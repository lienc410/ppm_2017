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360" yWindow="60" windowWidth="30675" windowHeight="19980" firstSheet="2" activeTab="2"/>
  </bookViews>
  <sheets>
    <sheet name="Raw Data" sheetId="1" state="hidden" r:id="rId1"/>
    <sheet name="Complete Data" sheetId="7" state="hidden" r:id="rId2"/>
    <sheet name="Pivot" sheetId="4" r:id="rId3"/>
    <sheet name="U9-2010-4.5" sheetId="2" state="hidden" r:id="rId4"/>
    <sheet name="U6-2012-3.5" sheetId="5" state="hidden" r:id="rId5"/>
  </sheets>
  <definedNames>
    <definedName name="_xlnm.Print_Area" localSheetId="4">'U6-2012-3.5'!$A$1:$H$103</definedName>
    <definedName name="_xlnm.Print_Area" localSheetId="3">'U9-2010-4.5'!$A$1:$H$103</definedName>
  </definedNames>
  <calcPr calcId="145621"/>
  <pivotCaches>
    <pivotCache cacheId="46" r:id="rId6"/>
  </pivotCaches>
</workbook>
</file>

<file path=xl/calcChain.xml><?xml version="1.0" encoding="utf-8"?>
<calcChain xmlns="http://schemas.openxmlformats.org/spreadsheetml/2006/main">
  <c r="A4" i="1" l="1"/>
  <c r="A5" i="1"/>
  <c r="A6" i="1"/>
  <c r="A7" i="1"/>
  <c r="H344" i="7" s="1"/>
  <c r="A8" i="1"/>
  <c r="L433" i="7" s="1"/>
  <c r="A9" i="1"/>
  <c r="A10" i="1"/>
  <c r="A11" i="1"/>
  <c r="G518" i="7" s="1"/>
  <c r="A12" i="1"/>
  <c r="A13" i="1"/>
  <c r="A14" i="1"/>
  <c r="A15" i="1"/>
  <c r="A16" i="1"/>
  <c r="A17" i="1"/>
  <c r="A18" i="1"/>
  <c r="A19" i="1"/>
  <c r="K927" i="7" s="1"/>
  <c r="A20" i="1"/>
  <c r="A21" i="1"/>
  <c r="A22" i="1"/>
  <c r="A23" i="1"/>
  <c r="A24" i="1"/>
  <c r="A25" i="1"/>
  <c r="A26" i="1"/>
  <c r="A27" i="1"/>
  <c r="L936" i="7" s="1"/>
  <c r="A28" i="1"/>
  <c r="A29" i="1"/>
  <c r="A30" i="1"/>
  <c r="A31" i="1"/>
  <c r="A32" i="1"/>
  <c r="A33" i="1"/>
  <c r="A34" i="1"/>
  <c r="A35" i="1"/>
  <c r="K943" i="7" s="1"/>
  <c r="A36" i="1"/>
  <c r="A37" i="1"/>
  <c r="A38" i="1"/>
  <c r="A39" i="1"/>
  <c r="A40" i="1"/>
  <c r="A41" i="1"/>
  <c r="A42" i="1"/>
  <c r="A43" i="1"/>
  <c r="M945" i="7" s="1"/>
  <c r="A44" i="1"/>
  <c r="A45" i="1"/>
  <c r="A46" i="1"/>
  <c r="A47" i="1"/>
  <c r="A48" i="1"/>
  <c r="A49" i="1"/>
  <c r="A50" i="1"/>
  <c r="A51" i="1"/>
  <c r="H948" i="7" s="1"/>
  <c r="A52" i="1"/>
  <c r="A53" i="1"/>
  <c r="A54" i="1"/>
  <c r="A55" i="1"/>
  <c r="A56" i="1"/>
  <c r="A57" i="1"/>
  <c r="A58" i="1"/>
  <c r="A59" i="1"/>
  <c r="L952" i="7" s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G65" i="7"/>
  <c r="G133" i="7"/>
  <c r="H133" i="7"/>
  <c r="I133" i="7"/>
  <c r="J133" i="7"/>
  <c r="K133" i="7"/>
  <c r="L133" i="7"/>
  <c r="M133" i="7"/>
  <c r="G134" i="7"/>
  <c r="H134" i="7"/>
  <c r="I134" i="7"/>
  <c r="J134" i="7"/>
  <c r="K134" i="7"/>
  <c r="L134" i="7"/>
  <c r="M134" i="7"/>
  <c r="G142" i="7"/>
  <c r="H142" i="7"/>
  <c r="I142" i="7"/>
  <c r="J142" i="7"/>
  <c r="K142" i="7"/>
  <c r="L142" i="7"/>
  <c r="M142" i="7"/>
  <c r="G143" i="7"/>
  <c r="H143" i="7"/>
  <c r="I143" i="7"/>
  <c r="J143" i="7"/>
  <c r="K143" i="7"/>
  <c r="L143" i="7"/>
  <c r="M143" i="7"/>
  <c r="K297" i="7"/>
  <c r="H409" i="7"/>
  <c r="H454" i="7"/>
  <c r="I479" i="7"/>
  <c r="K506" i="7"/>
  <c r="G525" i="7"/>
  <c r="I543" i="7"/>
  <c r="K561" i="7"/>
  <c r="M579" i="7"/>
  <c r="J592" i="7"/>
  <c r="G603" i="7"/>
  <c r="J613" i="7"/>
  <c r="K622" i="7"/>
  <c r="L631" i="7"/>
  <c r="M640" i="7"/>
  <c r="G650" i="7"/>
  <c r="H659" i="7"/>
  <c r="I668" i="7"/>
  <c r="J677" i="7"/>
  <c r="J685" i="7"/>
  <c r="M691" i="7"/>
  <c r="H697" i="7"/>
  <c r="J702" i="7"/>
  <c r="K707" i="7"/>
  <c r="M712" i="7"/>
  <c r="L717" i="7"/>
  <c r="I722" i="7"/>
  <c r="M726" i="7"/>
  <c r="J731" i="7"/>
  <c r="G736" i="7"/>
  <c r="K740" i="7"/>
  <c r="H745" i="7"/>
  <c r="L749" i="7"/>
  <c r="I754" i="7"/>
  <c r="M758" i="7"/>
  <c r="J763" i="7"/>
  <c r="G768" i="7"/>
  <c r="K772" i="7"/>
  <c r="H777" i="7"/>
  <c r="L781" i="7"/>
  <c r="I786" i="7"/>
  <c r="G790" i="7"/>
  <c r="G793" i="7"/>
  <c r="M795" i="7"/>
  <c r="J798" i="7"/>
  <c r="G801" i="7"/>
  <c r="L803" i="7"/>
  <c r="I806" i="7"/>
  <c r="M808" i="7"/>
  <c r="J811" i="7"/>
  <c r="H814" i="7"/>
  <c r="L816" i="7"/>
  <c r="I819" i="7"/>
  <c r="G822" i="7"/>
  <c r="K824" i="7"/>
  <c r="H827" i="7"/>
  <c r="L829" i="7"/>
  <c r="J832" i="7"/>
  <c r="L834" i="7"/>
  <c r="G837" i="7"/>
  <c r="I839" i="7"/>
  <c r="K841" i="7"/>
  <c r="M843" i="7"/>
  <c r="H846" i="7"/>
  <c r="J848" i="7"/>
  <c r="L850" i="7"/>
  <c r="G853" i="7"/>
  <c r="I855" i="7"/>
  <c r="K857" i="7"/>
  <c r="M859" i="7"/>
  <c r="H862" i="7"/>
  <c r="J864" i="7"/>
  <c r="L866" i="7"/>
  <c r="G869" i="7"/>
  <c r="I871" i="7"/>
  <c r="K873" i="7"/>
  <c r="M875" i="7"/>
  <c r="H878" i="7"/>
  <c r="J880" i="7"/>
  <c r="L882" i="7"/>
  <c r="G885" i="7"/>
  <c r="I887" i="7"/>
  <c r="K889" i="7"/>
  <c r="M891" i="7"/>
  <c r="H894" i="7"/>
  <c r="J896" i="7"/>
  <c r="L898" i="7"/>
  <c r="G901" i="7"/>
  <c r="I903" i="7"/>
  <c r="K905" i="7"/>
  <c r="M907" i="7"/>
  <c r="H910" i="7"/>
  <c r="J912" i="7"/>
  <c r="L914" i="7"/>
  <c r="G917" i="7"/>
  <c r="I919" i="7"/>
  <c r="K921" i="7"/>
  <c r="M923" i="7"/>
  <c r="H926" i="7"/>
  <c r="J928" i="7"/>
  <c r="L930" i="7"/>
  <c r="G933" i="7"/>
  <c r="I935" i="7"/>
  <c r="K937" i="7"/>
  <c r="M939" i="7"/>
  <c r="H942" i="7"/>
  <c r="J944" i="7"/>
  <c r="L946" i="7"/>
  <c r="G949" i="7"/>
  <c r="I951" i="7"/>
  <c r="K953" i="7"/>
  <c r="G955" i="7"/>
  <c r="M955" i="7"/>
  <c r="I957" i="7"/>
  <c r="H958" i="7"/>
  <c r="K959" i="7"/>
  <c r="J960" i="7"/>
  <c r="M961" i="7"/>
  <c r="L962" i="7"/>
  <c r="H964" i="7"/>
  <c r="G965" i="7"/>
  <c r="J966" i="7"/>
  <c r="I967" i="7"/>
  <c r="L968" i="7"/>
  <c r="K969" i="7"/>
  <c r="G971" i="7"/>
  <c r="M971" i="7"/>
  <c r="I973" i="7"/>
  <c r="H974" i="7"/>
  <c r="K975" i="7"/>
  <c r="J976" i="7"/>
  <c r="M977" i="7"/>
  <c r="L978" i="7"/>
  <c r="H980" i="7"/>
  <c r="G981" i="7"/>
  <c r="J982" i="7"/>
  <c r="I983" i="7"/>
  <c r="L984" i="7"/>
  <c r="K985" i="7"/>
  <c r="G987" i="7"/>
  <c r="M987" i="7"/>
  <c r="I989" i="7"/>
  <c r="H990" i="7"/>
  <c r="K991" i="7"/>
  <c r="J992" i="7"/>
  <c r="M993" i="7"/>
  <c r="L994" i="7"/>
  <c r="H996" i="7"/>
  <c r="G997" i="7"/>
  <c r="J998" i="7"/>
  <c r="I999" i="7"/>
  <c r="L1000" i="7"/>
  <c r="K1001" i="7"/>
  <c r="G1003" i="7"/>
  <c r="M1003" i="7"/>
  <c r="I1005" i="7"/>
  <c r="H1006" i="7"/>
  <c r="K1007" i="7"/>
  <c r="J1008" i="7"/>
  <c r="M1009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K19" i="7"/>
  <c r="G21" i="7"/>
  <c r="M21" i="7"/>
  <c r="I23" i="7"/>
  <c r="H24" i="7"/>
  <c r="K25" i="7"/>
  <c r="J26" i="7"/>
  <c r="M27" i="7"/>
  <c r="L28" i="7"/>
  <c r="H30" i="7"/>
  <c r="G31" i="7"/>
  <c r="J32" i="7"/>
  <c r="I33" i="7"/>
  <c r="L34" i="7"/>
  <c r="K35" i="7"/>
  <c r="G37" i="7"/>
  <c r="M37" i="7"/>
  <c r="I39" i="7"/>
  <c r="H40" i="7"/>
  <c r="K41" i="7"/>
  <c r="J42" i="7"/>
  <c r="M43" i="7"/>
  <c r="L44" i="7"/>
  <c r="H46" i="7"/>
  <c r="G47" i="7"/>
  <c r="J48" i="7"/>
  <c r="I49" i="7"/>
  <c r="L50" i="7"/>
  <c r="K51" i="7"/>
  <c r="G53" i="7"/>
  <c r="M53" i="7"/>
  <c r="I55" i="7"/>
  <c r="H56" i="7"/>
  <c r="K57" i="7"/>
  <c r="J58" i="7"/>
  <c r="M59" i="7"/>
  <c r="L60" i="7"/>
  <c r="H62" i="7"/>
  <c r="G63" i="7"/>
  <c r="J64" i="7"/>
  <c r="L3" i="7"/>
  <c r="J6" i="7"/>
  <c r="L7" i="7"/>
  <c r="J10" i="7"/>
  <c r="L11" i="7"/>
  <c r="J14" i="7"/>
  <c r="L15" i="7"/>
  <c r="J18" i="7"/>
  <c r="K18" i="7"/>
  <c r="L18" i="7"/>
  <c r="M18" i="7"/>
  <c r="I8" i="7"/>
  <c r="I12" i="7"/>
  <c r="I18" i="7"/>
  <c r="H3" i="7"/>
  <c r="H10" i="7"/>
  <c r="H18" i="7"/>
  <c r="H2" i="7"/>
  <c r="G9" i="7"/>
  <c r="G18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3" i="7"/>
  <c r="A3" i="1"/>
  <c r="A2" i="1"/>
  <c r="F2" i="7"/>
  <c r="D102" i="5"/>
  <c r="H90" i="5"/>
  <c r="G90" i="5"/>
  <c r="F90" i="5"/>
  <c r="E90" i="5"/>
  <c r="D90" i="5"/>
  <c r="C90" i="5"/>
  <c r="B90" i="5"/>
  <c r="H89" i="5"/>
  <c r="G89" i="5"/>
  <c r="F89" i="5"/>
  <c r="E89" i="5"/>
  <c r="D89" i="5"/>
  <c r="C89" i="5"/>
  <c r="B89" i="5"/>
  <c r="H88" i="5"/>
  <c r="G88" i="5"/>
  <c r="F88" i="5"/>
  <c r="E88" i="5"/>
  <c r="D88" i="5"/>
  <c r="C88" i="5"/>
  <c r="B88" i="5"/>
  <c r="H87" i="5"/>
  <c r="G87" i="5"/>
  <c r="F87" i="5"/>
  <c r="E87" i="5"/>
  <c r="D87" i="5"/>
  <c r="C87" i="5"/>
  <c r="B87" i="5"/>
  <c r="H86" i="5"/>
  <c r="G86" i="5"/>
  <c r="F86" i="5"/>
  <c r="E86" i="5"/>
  <c r="D86" i="5"/>
  <c r="C86" i="5"/>
  <c r="B86" i="5"/>
  <c r="H85" i="5"/>
  <c r="G85" i="5"/>
  <c r="F85" i="5"/>
  <c r="E85" i="5"/>
  <c r="D85" i="5"/>
  <c r="C85" i="5"/>
  <c r="B85" i="5"/>
  <c r="H84" i="5"/>
  <c r="G84" i="5"/>
  <c r="F84" i="5"/>
  <c r="E84" i="5"/>
  <c r="D84" i="5"/>
  <c r="C84" i="5"/>
  <c r="B84" i="5"/>
  <c r="H83" i="5"/>
  <c r="G83" i="5"/>
  <c r="F83" i="5"/>
  <c r="E83" i="5"/>
  <c r="D83" i="5"/>
  <c r="C83" i="5"/>
  <c r="B83" i="5"/>
  <c r="H90" i="2"/>
  <c r="G90" i="2"/>
  <c r="F90" i="2"/>
  <c r="E90" i="2"/>
  <c r="D90" i="2"/>
  <c r="C90" i="2"/>
  <c r="B90" i="2"/>
  <c r="H89" i="2"/>
  <c r="G89" i="2"/>
  <c r="F89" i="2"/>
  <c r="E89" i="2"/>
  <c r="D89" i="2"/>
  <c r="C89" i="2"/>
  <c r="B89" i="2"/>
  <c r="H88" i="2"/>
  <c r="G88" i="2"/>
  <c r="F88" i="2"/>
  <c r="E88" i="2"/>
  <c r="D88" i="2"/>
  <c r="C88" i="2"/>
  <c r="B88" i="2"/>
  <c r="H87" i="2"/>
  <c r="G87" i="2"/>
  <c r="F87" i="2"/>
  <c r="E87" i="2"/>
  <c r="D87" i="2"/>
  <c r="C87" i="2"/>
  <c r="B87" i="2"/>
  <c r="H86" i="2"/>
  <c r="G86" i="2"/>
  <c r="F86" i="2"/>
  <c r="E86" i="2"/>
  <c r="D86" i="2"/>
  <c r="C86" i="2"/>
  <c r="B86" i="2"/>
  <c r="H85" i="2"/>
  <c r="G85" i="2"/>
  <c r="F85" i="2"/>
  <c r="E85" i="2"/>
  <c r="D85" i="2"/>
  <c r="C85" i="2"/>
  <c r="B85" i="2"/>
  <c r="H84" i="2"/>
  <c r="G84" i="2"/>
  <c r="F84" i="2"/>
  <c r="E84" i="2"/>
  <c r="D84" i="2"/>
  <c r="C84" i="2"/>
  <c r="B84" i="2"/>
  <c r="H83" i="2"/>
  <c r="G83" i="2"/>
  <c r="F83" i="2"/>
  <c r="E83" i="2"/>
  <c r="D83" i="2"/>
  <c r="C83" i="2"/>
  <c r="B83" i="2"/>
  <c r="H37" i="2"/>
  <c r="G37" i="2"/>
  <c r="F37" i="2"/>
  <c r="E37" i="2"/>
  <c r="D37" i="2"/>
  <c r="C37" i="2"/>
  <c r="B37" i="2"/>
  <c r="H36" i="2"/>
  <c r="G36" i="2"/>
  <c r="F36" i="2"/>
  <c r="E36" i="2"/>
  <c r="D36" i="2"/>
  <c r="C36" i="2"/>
  <c r="B36" i="2"/>
  <c r="H35" i="2"/>
  <c r="G35" i="2"/>
  <c r="F35" i="2"/>
  <c r="E35" i="2"/>
  <c r="D35" i="2"/>
  <c r="C35" i="2"/>
  <c r="B35" i="2"/>
  <c r="H34" i="2"/>
  <c r="G34" i="2"/>
  <c r="F34" i="2"/>
  <c r="E34" i="2"/>
  <c r="D34" i="2"/>
  <c r="C34" i="2"/>
  <c r="B34" i="2"/>
  <c r="H33" i="2"/>
  <c r="G33" i="2"/>
  <c r="F33" i="2"/>
  <c r="E33" i="2"/>
  <c r="D33" i="2"/>
  <c r="C33" i="2"/>
  <c r="B33" i="2"/>
  <c r="H32" i="2"/>
  <c r="G32" i="2"/>
  <c r="F32" i="2"/>
  <c r="E32" i="2"/>
  <c r="D32" i="2"/>
  <c r="C32" i="2"/>
  <c r="B32" i="2"/>
  <c r="H31" i="2"/>
  <c r="G31" i="2"/>
  <c r="F31" i="2"/>
  <c r="E31" i="2"/>
  <c r="D31" i="2"/>
  <c r="C31" i="2"/>
  <c r="B31" i="2"/>
  <c r="H30" i="2"/>
  <c r="G30" i="2"/>
  <c r="F30" i="2"/>
  <c r="E30" i="2"/>
  <c r="D30" i="2"/>
  <c r="C30" i="2"/>
  <c r="B30" i="2"/>
  <c r="B35" i="5" l="1"/>
  <c r="C31" i="5"/>
  <c r="D32" i="5"/>
  <c r="E33" i="5"/>
  <c r="F34" i="5"/>
  <c r="G35" i="5"/>
  <c r="H36" i="5"/>
  <c r="C30" i="5"/>
  <c r="D31" i="5"/>
  <c r="E32" i="5"/>
  <c r="F33" i="5"/>
  <c r="G34" i="5"/>
  <c r="H35" i="5"/>
  <c r="B37" i="5"/>
  <c r="D30" i="5"/>
  <c r="E31" i="5"/>
  <c r="F32" i="5"/>
  <c r="G33" i="5"/>
  <c r="H34" i="5"/>
  <c r="B36" i="5"/>
  <c r="C37" i="5"/>
  <c r="F31" i="5"/>
  <c r="H33" i="5"/>
  <c r="C36" i="5"/>
  <c r="G31" i="5"/>
  <c r="B34" i="5"/>
  <c r="D36" i="5"/>
  <c r="H31" i="5"/>
  <c r="C34" i="5"/>
  <c r="F37" i="5"/>
  <c r="H30" i="5"/>
  <c r="B32" i="5"/>
  <c r="C33" i="5"/>
  <c r="D34" i="5"/>
  <c r="E35" i="5"/>
  <c r="F36" i="5"/>
  <c r="G37" i="5"/>
  <c r="E30" i="5"/>
  <c r="G32" i="5"/>
  <c r="D37" i="5"/>
  <c r="F30" i="5"/>
  <c r="H32" i="5"/>
  <c r="C35" i="5"/>
  <c r="E37" i="5"/>
  <c r="G30" i="5"/>
  <c r="B33" i="5"/>
  <c r="D35" i="5"/>
  <c r="E36" i="5"/>
  <c r="B31" i="5"/>
  <c r="C32" i="5"/>
  <c r="D33" i="5"/>
  <c r="E34" i="5"/>
  <c r="F35" i="5"/>
  <c r="G36" i="5"/>
  <c r="H37" i="5"/>
  <c r="B30" i="5"/>
  <c r="G7" i="7"/>
  <c r="H8" i="7"/>
  <c r="I11" i="7"/>
  <c r="K15" i="7"/>
  <c r="K11" i="7"/>
  <c r="K7" i="7"/>
  <c r="K3" i="7"/>
  <c r="M62" i="7"/>
  <c r="K60" i="7"/>
  <c r="I58" i="7"/>
  <c r="G56" i="7"/>
  <c r="L53" i="7"/>
  <c r="J51" i="7"/>
  <c r="H49" i="7"/>
  <c r="M46" i="7"/>
  <c r="K44" i="7"/>
  <c r="I42" i="7"/>
  <c r="G40" i="7"/>
  <c r="L37" i="7"/>
  <c r="J35" i="7"/>
  <c r="H33" i="7"/>
  <c r="M30" i="7"/>
  <c r="K28" i="7"/>
  <c r="I26" i="7"/>
  <c r="G24" i="7"/>
  <c r="L21" i="7"/>
  <c r="J19" i="7"/>
  <c r="I1008" i="7"/>
  <c r="G1006" i="7"/>
  <c r="L1003" i="7"/>
  <c r="J1001" i="7"/>
  <c r="H999" i="7"/>
  <c r="M996" i="7"/>
  <c r="K994" i="7"/>
  <c r="I992" i="7"/>
  <c r="G990" i="7"/>
  <c r="L987" i="7"/>
  <c r="J985" i="7"/>
  <c r="H983" i="7"/>
  <c r="M980" i="7"/>
  <c r="K978" i="7"/>
  <c r="I976" i="7"/>
  <c r="G974" i="7"/>
  <c r="L971" i="7"/>
  <c r="J969" i="7"/>
  <c r="H967" i="7"/>
  <c r="M964" i="7"/>
  <c r="K962" i="7"/>
  <c r="I960" i="7"/>
  <c r="G958" i="7"/>
  <c r="L955" i="7"/>
  <c r="J953" i="7"/>
  <c r="H951" i="7"/>
  <c r="M948" i="7"/>
  <c r="K946" i="7"/>
  <c r="I944" i="7"/>
  <c r="G942" i="7"/>
  <c r="L939" i="7"/>
  <c r="J937" i="7"/>
  <c r="H935" i="7"/>
  <c r="M932" i="7"/>
  <c r="K930" i="7"/>
  <c r="I928" i="7"/>
  <c r="G926" i="7"/>
  <c r="L923" i="7"/>
  <c r="J921" i="7"/>
  <c r="H919" i="7"/>
  <c r="M916" i="7"/>
  <c r="K914" i="7"/>
  <c r="I912" i="7"/>
  <c r="G910" i="7"/>
  <c r="L907" i="7"/>
  <c r="J905" i="7"/>
  <c r="H903" i="7"/>
  <c r="M900" i="7"/>
  <c r="K898" i="7"/>
  <c r="I896" i="7"/>
  <c r="G894" i="7"/>
  <c r="L891" i="7"/>
  <c r="J889" i="7"/>
  <c r="H887" i="7"/>
  <c r="M884" i="7"/>
  <c r="K882" i="7"/>
  <c r="I880" i="7"/>
  <c r="G878" i="7"/>
  <c r="L875" i="7"/>
  <c r="J873" i="7"/>
  <c r="H871" i="7"/>
  <c r="M868" i="7"/>
  <c r="K866" i="7"/>
  <c r="I864" i="7"/>
  <c r="G862" i="7"/>
  <c r="L859" i="7"/>
  <c r="J857" i="7"/>
  <c r="H855" i="7"/>
  <c r="M852" i="7"/>
  <c r="K850" i="7"/>
  <c r="I848" i="7"/>
  <c r="G846" i="7"/>
  <c r="L843" i="7"/>
  <c r="J841" i="7"/>
  <c r="H839" i="7"/>
  <c r="M836" i="7"/>
  <c r="K834" i="7"/>
  <c r="I832" i="7"/>
  <c r="K829" i="7"/>
  <c r="G827" i="7"/>
  <c r="J824" i="7"/>
  <c r="L821" i="7"/>
  <c r="H819" i="7"/>
  <c r="K816" i="7"/>
  <c r="G814" i="7"/>
  <c r="I811" i="7"/>
  <c r="L808" i="7"/>
  <c r="H806" i="7"/>
  <c r="J803" i="7"/>
  <c r="M800" i="7"/>
  <c r="I798" i="7"/>
  <c r="L795" i="7"/>
  <c r="M792" i="7"/>
  <c r="L789" i="7"/>
  <c r="H786" i="7"/>
  <c r="K781" i="7"/>
  <c r="G777" i="7"/>
  <c r="J772" i="7"/>
  <c r="M767" i="7"/>
  <c r="I763" i="7"/>
  <c r="L758" i="7"/>
  <c r="H754" i="7"/>
  <c r="K749" i="7"/>
  <c r="G745" i="7"/>
  <c r="J740" i="7"/>
  <c r="M735" i="7"/>
  <c r="I731" i="7"/>
  <c r="L726" i="7"/>
  <c r="H722" i="7"/>
  <c r="K717" i="7"/>
  <c r="L712" i="7"/>
  <c r="J707" i="7"/>
  <c r="H702" i="7"/>
  <c r="G697" i="7"/>
  <c r="L691" i="7"/>
  <c r="I685" i="7"/>
  <c r="I677" i="7"/>
  <c r="H668" i="7"/>
  <c r="G659" i="7"/>
  <c r="M649" i="7"/>
  <c r="L640" i="7"/>
  <c r="K631" i="7"/>
  <c r="J622" i="7"/>
  <c r="I613" i="7"/>
  <c r="L602" i="7"/>
  <c r="I592" i="7"/>
  <c r="L579" i="7"/>
  <c r="J561" i="7"/>
  <c r="H543" i="7"/>
  <c r="M524" i="7"/>
  <c r="G502" i="7"/>
  <c r="H479" i="7"/>
  <c r="H448" i="7"/>
  <c r="J394" i="7"/>
  <c r="M294" i="7"/>
  <c r="G6" i="7"/>
  <c r="H7" i="7"/>
  <c r="I9" i="7"/>
  <c r="K14" i="7"/>
  <c r="K10" i="7"/>
  <c r="K6" i="7"/>
  <c r="K64" i="7"/>
  <c r="I62" i="7"/>
  <c r="G60" i="7"/>
  <c r="L57" i="7"/>
  <c r="J55" i="7"/>
  <c r="H53" i="7"/>
  <c r="M50" i="7"/>
  <c r="K48" i="7"/>
  <c r="I46" i="7"/>
  <c r="G44" i="7"/>
  <c r="L41" i="7"/>
  <c r="J39" i="7"/>
  <c r="H37" i="7"/>
  <c r="M34" i="7"/>
  <c r="K32" i="7"/>
  <c r="I30" i="7"/>
  <c r="G28" i="7"/>
  <c r="L25" i="7"/>
  <c r="J23" i="7"/>
  <c r="H21" i="7"/>
  <c r="L1007" i="7"/>
  <c r="J1005" i="7"/>
  <c r="H1003" i="7"/>
  <c r="M1000" i="7"/>
  <c r="K998" i="7"/>
  <c r="I996" i="7"/>
  <c r="G994" i="7"/>
  <c r="L991" i="7"/>
  <c r="J989" i="7"/>
  <c r="H987" i="7"/>
  <c r="M984" i="7"/>
  <c r="K982" i="7"/>
  <c r="I980" i="7"/>
  <c r="G978" i="7"/>
  <c r="L975" i="7"/>
  <c r="J973" i="7"/>
  <c r="H971" i="7"/>
  <c r="M968" i="7"/>
  <c r="K966" i="7"/>
  <c r="I964" i="7"/>
  <c r="G962" i="7"/>
  <c r="L959" i="7"/>
  <c r="J957" i="7"/>
  <c r="H955" i="7"/>
  <c r="M952" i="7"/>
  <c r="K950" i="7"/>
  <c r="I948" i="7"/>
  <c r="G946" i="7"/>
  <c r="L943" i="7"/>
  <c r="J941" i="7"/>
  <c r="H939" i="7"/>
  <c r="M936" i="7"/>
  <c r="K934" i="7"/>
  <c r="I932" i="7"/>
  <c r="G930" i="7"/>
  <c r="L927" i="7"/>
  <c r="J925" i="7"/>
  <c r="H923" i="7"/>
  <c r="M920" i="7"/>
  <c r="K918" i="7"/>
  <c r="I916" i="7"/>
  <c r="G914" i="7"/>
  <c r="L911" i="7"/>
  <c r="J909" i="7"/>
  <c r="H907" i="7"/>
  <c r="M904" i="7"/>
  <c r="K902" i="7"/>
  <c r="I900" i="7"/>
  <c r="G898" i="7"/>
  <c r="L895" i="7"/>
  <c r="J893" i="7"/>
  <c r="H891" i="7"/>
  <c r="M888" i="7"/>
  <c r="K886" i="7"/>
  <c r="I884" i="7"/>
  <c r="G882" i="7"/>
  <c r="L879" i="7"/>
  <c r="J877" i="7"/>
  <c r="H875" i="7"/>
  <c r="M872" i="7"/>
  <c r="K870" i="7"/>
  <c r="I868" i="7"/>
  <c r="G866" i="7"/>
  <c r="L863" i="7"/>
  <c r="J861" i="7"/>
  <c r="H859" i="7"/>
  <c r="M856" i="7"/>
  <c r="K854" i="7"/>
  <c r="I852" i="7"/>
  <c r="G850" i="7"/>
  <c r="L847" i="7"/>
  <c r="J845" i="7"/>
  <c r="H843" i="7"/>
  <c r="M840" i="7"/>
  <c r="K838" i="7"/>
  <c r="I836" i="7"/>
  <c r="G834" i="7"/>
  <c r="K831" i="7"/>
  <c r="G829" i="7"/>
  <c r="I826" i="7"/>
  <c r="L823" i="7"/>
  <c r="H821" i="7"/>
  <c r="K818" i="7"/>
  <c r="M815" i="7"/>
  <c r="I813" i="7"/>
  <c r="L810" i="7"/>
  <c r="G808" i="7"/>
  <c r="J805" i="7"/>
  <c r="M802" i="7"/>
  <c r="I800" i="7"/>
  <c r="K797" i="7"/>
  <c r="G795" i="7"/>
  <c r="G792" i="7"/>
  <c r="G789" i="7"/>
  <c r="G785" i="7"/>
  <c r="J780" i="7"/>
  <c r="M775" i="7"/>
  <c r="I771" i="7"/>
  <c r="L766" i="7"/>
  <c r="H762" i="7"/>
  <c r="K757" i="7"/>
  <c r="G753" i="7"/>
  <c r="J748" i="7"/>
  <c r="M743" i="7"/>
  <c r="I739" i="7"/>
  <c r="L734" i="7"/>
  <c r="H730" i="7"/>
  <c r="K725" i="7"/>
  <c r="G721" i="7"/>
  <c r="J716" i="7"/>
  <c r="I711" i="7"/>
  <c r="H706" i="7"/>
  <c r="M700" i="7"/>
  <c r="L695" i="7"/>
  <c r="J690" i="7"/>
  <c r="I683" i="7"/>
  <c r="G675" i="7"/>
  <c r="M665" i="7"/>
  <c r="L656" i="7"/>
  <c r="K647" i="7"/>
  <c r="J638" i="7"/>
  <c r="I629" i="7"/>
  <c r="H620" i="7"/>
  <c r="K610" i="7"/>
  <c r="H600" i="7"/>
  <c r="K589" i="7"/>
  <c r="H575" i="7"/>
  <c r="M556" i="7"/>
  <c r="K538" i="7"/>
  <c r="I520" i="7"/>
  <c r="K497" i="7"/>
  <c r="K474" i="7"/>
  <c r="G448" i="7"/>
  <c r="L380" i="7"/>
  <c r="J248" i="7"/>
  <c r="J950" i="7"/>
  <c r="I941" i="7"/>
  <c r="J934" i="7"/>
  <c r="M929" i="7"/>
  <c r="L920" i="7"/>
  <c r="M913" i="7"/>
  <c r="G907" i="7"/>
  <c r="H900" i="7"/>
  <c r="I893" i="7"/>
  <c r="J886" i="7"/>
  <c r="K879" i="7"/>
  <c r="L872" i="7"/>
  <c r="M865" i="7"/>
  <c r="G859" i="7"/>
  <c r="H852" i="7"/>
  <c r="I845" i="7"/>
  <c r="L840" i="7"/>
  <c r="M833" i="7"/>
  <c r="H826" i="7"/>
  <c r="I818" i="7"/>
  <c r="K810" i="7"/>
  <c r="L802" i="7"/>
  <c r="M791" i="7"/>
  <c r="M779" i="7"/>
  <c r="H766" i="7"/>
  <c r="J752" i="7"/>
  <c r="I743" i="7"/>
  <c r="K729" i="7"/>
  <c r="M715" i="7"/>
  <c r="I700" i="7"/>
  <c r="K682" i="7"/>
  <c r="K655" i="7"/>
  <c r="H628" i="7"/>
  <c r="M598" i="7"/>
  <c r="K554" i="7"/>
  <c r="J497" i="7"/>
  <c r="K441" i="7"/>
  <c r="K145" i="7"/>
  <c r="I4" i="7"/>
  <c r="L9" i="7"/>
  <c r="M61" i="7"/>
  <c r="G55" i="7"/>
  <c r="H48" i="7"/>
  <c r="I41" i="7"/>
  <c r="J34" i="7"/>
  <c r="K27" i="7"/>
  <c r="L20" i="7"/>
  <c r="K1009" i="7"/>
  <c r="L1002" i="7"/>
  <c r="M995" i="7"/>
  <c r="G989" i="7"/>
  <c r="H982" i="7"/>
  <c r="I975" i="7"/>
  <c r="J968" i="7"/>
  <c r="K961" i="7"/>
  <c r="L954" i="7"/>
  <c r="M947" i="7"/>
  <c r="G941" i="7"/>
  <c r="H934" i="7"/>
  <c r="G925" i="7"/>
  <c r="H918" i="7"/>
  <c r="I911" i="7"/>
  <c r="J904" i="7"/>
  <c r="K897" i="7"/>
  <c r="L890" i="7"/>
  <c r="M883" i="7"/>
  <c r="G877" i="7"/>
  <c r="H870" i="7"/>
  <c r="I863" i="7"/>
  <c r="J856" i="7"/>
  <c r="K849" i="7"/>
  <c r="L842" i="7"/>
  <c r="M835" i="7"/>
  <c r="J828" i="7"/>
  <c r="K820" i="7"/>
  <c r="M812" i="7"/>
  <c r="G805" i="7"/>
  <c r="H797" i="7"/>
  <c r="J788" i="7"/>
  <c r="M774" i="7"/>
  <c r="H761" i="7"/>
  <c r="J747" i="7"/>
  <c r="L733" i="7"/>
  <c r="G720" i="7"/>
  <c r="G705" i="7"/>
  <c r="G689" i="7"/>
  <c r="L663" i="7"/>
  <c r="I636" i="7"/>
  <c r="H608" i="7"/>
  <c r="L570" i="7"/>
  <c r="M492" i="7"/>
  <c r="H16" i="7"/>
  <c r="I3" i="7"/>
  <c r="K17" i="7"/>
  <c r="K13" i="7"/>
  <c r="K9" i="7"/>
  <c r="K5" i="7"/>
  <c r="G64" i="7"/>
  <c r="L61" i="7"/>
  <c r="J59" i="7"/>
  <c r="H57" i="7"/>
  <c r="M54" i="7"/>
  <c r="K52" i="7"/>
  <c r="I50" i="7"/>
  <c r="G48" i="7"/>
  <c r="L45" i="7"/>
  <c r="J43" i="7"/>
  <c r="H41" i="7"/>
  <c r="M38" i="7"/>
  <c r="K36" i="7"/>
  <c r="I34" i="7"/>
  <c r="G32" i="7"/>
  <c r="L29" i="7"/>
  <c r="J27" i="7"/>
  <c r="H25" i="7"/>
  <c r="M22" i="7"/>
  <c r="K20" i="7"/>
  <c r="J1009" i="7"/>
  <c r="H1007" i="7"/>
  <c r="M1004" i="7"/>
  <c r="K1002" i="7"/>
  <c r="I1000" i="7"/>
  <c r="G998" i="7"/>
  <c r="L995" i="7"/>
  <c r="J993" i="7"/>
  <c r="H991" i="7"/>
  <c r="M988" i="7"/>
  <c r="K986" i="7"/>
  <c r="I984" i="7"/>
  <c r="G982" i="7"/>
  <c r="L979" i="7"/>
  <c r="J977" i="7"/>
  <c r="H975" i="7"/>
  <c r="M972" i="7"/>
  <c r="K970" i="7"/>
  <c r="I968" i="7"/>
  <c r="G966" i="7"/>
  <c r="L963" i="7"/>
  <c r="J961" i="7"/>
  <c r="H959" i="7"/>
  <c r="M956" i="7"/>
  <c r="K954" i="7"/>
  <c r="I952" i="7"/>
  <c r="G950" i="7"/>
  <c r="L947" i="7"/>
  <c r="J945" i="7"/>
  <c r="H943" i="7"/>
  <c r="M940" i="7"/>
  <c r="K938" i="7"/>
  <c r="I936" i="7"/>
  <c r="G934" i="7"/>
  <c r="L931" i="7"/>
  <c r="J929" i="7"/>
  <c r="H927" i="7"/>
  <c r="M924" i="7"/>
  <c r="K922" i="7"/>
  <c r="I920" i="7"/>
  <c r="G918" i="7"/>
  <c r="L915" i="7"/>
  <c r="J913" i="7"/>
  <c r="H911" i="7"/>
  <c r="M908" i="7"/>
  <c r="K906" i="7"/>
  <c r="I904" i="7"/>
  <c r="G902" i="7"/>
  <c r="L899" i="7"/>
  <c r="J897" i="7"/>
  <c r="H895" i="7"/>
  <c r="M892" i="7"/>
  <c r="K890" i="7"/>
  <c r="I888" i="7"/>
  <c r="G886" i="7"/>
  <c r="L883" i="7"/>
  <c r="J881" i="7"/>
  <c r="H879" i="7"/>
  <c r="M876" i="7"/>
  <c r="K874" i="7"/>
  <c r="I872" i="7"/>
  <c r="G870" i="7"/>
  <c r="L867" i="7"/>
  <c r="J865" i="7"/>
  <c r="H863" i="7"/>
  <c r="M860" i="7"/>
  <c r="K858" i="7"/>
  <c r="I856" i="7"/>
  <c r="G854" i="7"/>
  <c r="L851" i="7"/>
  <c r="J849" i="7"/>
  <c r="H847" i="7"/>
  <c r="M844" i="7"/>
  <c r="K842" i="7"/>
  <c r="I840" i="7"/>
  <c r="G838" i="7"/>
  <c r="L835" i="7"/>
  <c r="J833" i="7"/>
  <c r="M830" i="7"/>
  <c r="I828" i="7"/>
  <c r="L825" i="7"/>
  <c r="H823" i="7"/>
  <c r="J820" i="7"/>
  <c r="M817" i="7"/>
  <c r="I815" i="7"/>
  <c r="K812" i="7"/>
  <c r="G810" i="7"/>
  <c r="J807" i="7"/>
  <c r="M804" i="7"/>
  <c r="H802" i="7"/>
  <c r="K799" i="7"/>
  <c r="G797" i="7"/>
  <c r="I794" i="7"/>
  <c r="I791" i="7"/>
  <c r="I788" i="7"/>
  <c r="M783" i="7"/>
  <c r="I779" i="7"/>
  <c r="L774" i="7"/>
  <c r="H770" i="7"/>
  <c r="K765" i="7"/>
  <c r="G761" i="7"/>
  <c r="J756" i="7"/>
  <c r="M751" i="7"/>
  <c r="I747" i="7"/>
  <c r="L742" i="7"/>
  <c r="H738" i="7"/>
  <c r="K733" i="7"/>
  <c r="G729" i="7"/>
  <c r="J724" i="7"/>
  <c r="M719" i="7"/>
  <c r="I715" i="7"/>
  <c r="G710" i="7"/>
  <c r="M704" i="7"/>
  <c r="K699" i="7"/>
  <c r="J694" i="7"/>
  <c r="M688" i="7"/>
  <c r="K681" i="7"/>
  <c r="L672" i="7"/>
  <c r="K663" i="7"/>
  <c r="J654" i="7"/>
  <c r="I645" i="7"/>
  <c r="H636" i="7"/>
  <c r="G627" i="7"/>
  <c r="M617" i="7"/>
  <c r="G608" i="7"/>
  <c r="K597" i="7"/>
  <c r="K586" i="7"/>
  <c r="K570" i="7"/>
  <c r="I552" i="7"/>
  <c r="G534" i="7"/>
  <c r="L515" i="7"/>
  <c r="J488" i="7"/>
  <c r="J465" i="7"/>
  <c r="K433" i="7"/>
  <c r="J345" i="7"/>
  <c r="G939" i="7"/>
  <c r="H932" i="7"/>
  <c r="I925" i="7"/>
  <c r="J918" i="7"/>
  <c r="K911" i="7"/>
  <c r="L904" i="7"/>
  <c r="M897" i="7"/>
  <c r="G891" i="7"/>
  <c r="H884" i="7"/>
  <c r="I877" i="7"/>
  <c r="J870" i="7"/>
  <c r="K863" i="7"/>
  <c r="L856" i="7"/>
  <c r="M849" i="7"/>
  <c r="G843" i="7"/>
  <c r="H836" i="7"/>
  <c r="M828" i="7"/>
  <c r="G821" i="7"/>
  <c r="H813" i="7"/>
  <c r="I805" i="7"/>
  <c r="J797" i="7"/>
  <c r="M788" i="7"/>
  <c r="I775" i="7"/>
  <c r="K761" i="7"/>
  <c r="M747" i="7"/>
  <c r="H734" i="7"/>
  <c r="J720" i="7"/>
  <c r="J705" i="7"/>
  <c r="K689" i="7"/>
  <c r="L664" i="7"/>
  <c r="I637" i="7"/>
  <c r="I609" i="7"/>
  <c r="M572" i="7"/>
  <c r="I536" i="7"/>
  <c r="H470" i="7"/>
  <c r="M379" i="7"/>
  <c r="G17" i="7"/>
  <c r="I2" i="7"/>
  <c r="L13" i="7"/>
  <c r="H64" i="7"/>
  <c r="I57" i="7"/>
  <c r="J50" i="7"/>
  <c r="K43" i="7"/>
  <c r="L36" i="7"/>
  <c r="M29" i="7"/>
  <c r="G23" i="7"/>
  <c r="I1007" i="7"/>
  <c r="J1000" i="7"/>
  <c r="K993" i="7"/>
  <c r="L986" i="7"/>
  <c r="M979" i="7"/>
  <c r="G973" i="7"/>
  <c r="H966" i="7"/>
  <c r="I959" i="7"/>
  <c r="J952" i="7"/>
  <c r="K945" i="7"/>
  <c r="L938" i="7"/>
  <c r="M931" i="7"/>
  <c r="I927" i="7"/>
  <c r="J920" i="7"/>
  <c r="K913" i="7"/>
  <c r="L906" i="7"/>
  <c r="M899" i="7"/>
  <c r="G893" i="7"/>
  <c r="H886" i="7"/>
  <c r="I879" i="7"/>
  <c r="J872" i="7"/>
  <c r="K865" i="7"/>
  <c r="L858" i="7"/>
  <c r="M851" i="7"/>
  <c r="G845" i="7"/>
  <c r="H838" i="7"/>
  <c r="H831" i="7"/>
  <c r="I823" i="7"/>
  <c r="J815" i="7"/>
  <c r="K807" i="7"/>
  <c r="L799" i="7"/>
  <c r="J791" i="7"/>
  <c r="J779" i="7"/>
  <c r="L765" i="7"/>
  <c r="G752" i="7"/>
  <c r="I738" i="7"/>
  <c r="K724" i="7"/>
  <c r="H710" i="7"/>
  <c r="K694" i="7"/>
  <c r="M672" i="7"/>
  <c r="J645" i="7"/>
  <c r="G618" i="7"/>
  <c r="L586" i="7"/>
  <c r="H534" i="7"/>
  <c r="G470" i="7"/>
  <c r="K364" i="7"/>
  <c r="G15" i="7"/>
  <c r="G14" i="7"/>
  <c r="H15" i="7"/>
  <c r="I17" i="7"/>
  <c r="K2" i="7"/>
  <c r="K16" i="7"/>
  <c r="K12" i="7"/>
  <c r="K8" i="7"/>
  <c r="K4" i="7"/>
  <c r="J63" i="7"/>
  <c r="H61" i="7"/>
  <c r="M58" i="7"/>
  <c r="K56" i="7"/>
  <c r="I54" i="7"/>
  <c r="G52" i="7"/>
  <c r="L49" i="7"/>
  <c r="J47" i="7"/>
  <c r="H45" i="7"/>
  <c r="M42" i="7"/>
  <c r="K40" i="7"/>
  <c r="I38" i="7"/>
  <c r="G36" i="7"/>
  <c r="L33" i="7"/>
  <c r="J31" i="7"/>
  <c r="H29" i="7"/>
  <c r="M26" i="7"/>
  <c r="K24" i="7"/>
  <c r="I22" i="7"/>
  <c r="G20" i="7"/>
  <c r="M1008" i="7"/>
  <c r="K1006" i="7"/>
  <c r="I1004" i="7"/>
  <c r="G1002" i="7"/>
  <c r="L999" i="7"/>
  <c r="J997" i="7"/>
  <c r="H995" i="7"/>
  <c r="M992" i="7"/>
  <c r="K990" i="7"/>
  <c r="I988" i="7"/>
  <c r="G986" i="7"/>
  <c r="L983" i="7"/>
  <c r="J981" i="7"/>
  <c r="H979" i="7"/>
  <c r="M976" i="7"/>
  <c r="K974" i="7"/>
  <c r="I972" i="7"/>
  <c r="G970" i="7"/>
  <c r="L967" i="7"/>
  <c r="J965" i="7"/>
  <c r="H963" i="7"/>
  <c r="M960" i="7"/>
  <c r="K958" i="7"/>
  <c r="I956" i="7"/>
  <c r="G954" i="7"/>
  <c r="L951" i="7"/>
  <c r="J949" i="7"/>
  <c r="H947" i="7"/>
  <c r="M944" i="7"/>
  <c r="K942" i="7"/>
  <c r="I940" i="7"/>
  <c r="G938" i="7"/>
  <c r="L935" i="7"/>
  <c r="J933" i="7"/>
  <c r="H931" i="7"/>
  <c r="M928" i="7"/>
  <c r="K926" i="7"/>
  <c r="I924" i="7"/>
  <c r="G922" i="7"/>
  <c r="L919" i="7"/>
  <c r="J917" i="7"/>
  <c r="H915" i="7"/>
  <c r="M912" i="7"/>
  <c r="K910" i="7"/>
  <c r="I908" i="7"/>
  <c r="G906" i="7"/>
  <c r="L903" i="7"/>
  <c r="J901" i="7"/>
  <c r="H899" i="7"/>
  <c r="M896" i="7"/>
  <c r="K894" i="7"/>
  <c r="I892" i="7"/>
  <c r="G890" i="7"/>
  <c r="L887" i="7"/>
  <c r="J885" i="7"/>
  <c r="H883" i="7"/>
  <c r="M880" i="7"/>
  <c r="K878" i="7"/>
  <c r="I876" i="7"/>
  <c r="G874" i="7"/>
  <c r="L871" i="7"/>
  <c r="J869" i="7"/>
  <c r="H867" i="7"/>
  <c r="M864" i="7"/>
  <c r="K862" i="7"/>
  <c r="I860" i="7"/>
  <c r="G858" i="7"/>
  <c r="L855" i="7"/>
  <c r="J853" i="7"/>
  <c r="H851" i="7"/>
  <c r="M848" i="7"/>
  <c r="K846" i="7"/>
  <c r="I844" i="7"/>
  <c r="G842" i="7"/>
  <c r="L839" i="7"/>
  <c r="J837" i="7"/>
  <c r="H835" i="7"/>
  <c r="M832" i="7"/>
  <c r="I830" i="7"/>
  <c r="L827" i="7"/>
  <c r="G825" i="7"/>
  <c r="J822" i="7"/>
  <c r="M819" i="7"/>
  <c r="H817" i="7"/>
  <c r="K814" i="7"/>
  <c r="G812" i="7"/>
  <c r="J809" i="7"/>
  <c r="L806" i="7"/>
  <c r="H804" i="7"/>
  <c r="K801" i="7"/>
  <c r="M798" i="7"/>
  <c r="I796" i="7"/>
  <c r="K793" i="7"/>
  <c r="K790" i="7"/>
  <c r="I787" i="7"/>
  <c r="L782" i="7"/>
  <c r="H778" i="7"/>
  <c r="K773" i="7"/>
  <c r="G769" i="7"/>
  <c r="J764" i="7"/>
  <c r="M759" i="7"/>
  <c r="I755" i="7"/>
  <c r="L750" i="7"/>
  <c r="H746" i="7"/>
  <c r="K741" i="7"/>
  <c r="G737" i="7"/>
  <c r="J732" i="7"/>
  <c r="M727" i="7"/>
  <c r="I723" i="7"/>
  <c r="L718" i="7"/>
  <c r="G714" i="7"/>
  <c r="L708" i="7"/>
  <c r="K703" i="7"/>
  <c r="I698" i="7"/>
  <c r="G693" i="7"/>
  <c r="H687" i="7"/>
  <c r="K679" i="7"/>
  <c r="J670" i="7"/>
  <c r="I661" i="7"/>
  <c r="H652" i="7"/>
  <c r="G643" i="7"/>
  <c r="M633" i="7"/>
  <c r="L624" i="7"/>
  <c r="K615" i="7"/>
  <c r="J605" i="7"/>
  <c r="G595" i="7"/>
  <c r="K583" i="7"/>
  <c r="G566" i="7"/>
  <c r="L547" i="7"/>
  <c r="J529" i="7"/>
  <c r="H511" i="7"/>
  <c r="I488" i="7"/>
  <c r="I460" i="7"/>
  <c r="I423" i="7"/>
  <c r="G923" i="7"/>
  <c r="H916" i="7"/>
  <c r="I909" i="7"/>
  <c r="J902" i="7"/>
  <c r="K895" i="7"/>
  <c r="L888" i="7"/>
  <c r="M881" i="7"/>
  <c r="G875" i="7"/>
  <c r="H868" i="7"/>
  <c r="I861" i="7"/>
  <c r="J854" i="7"/>
  <c r="K847" i="7"/>
  <c r="J838" i="7"/>
  <c r="J831" i="7"/>
  <c r="K823" i="7"/>
  <c r="L815" i="7"/>
  <c r="M807" i="7"/>
  <c r="G800" i="7"/>
  <c r="M794" i="7"/>
  <c r="J784" i="7"/>
  <c r="L770" i="7"/>
  <c r="G757" i="7"/>
  <c r="L738" i="7"/>
  <c r="G725" i="7"/>
  <c r="L710" i="7"/>
  <c r="G695" i="7"/>
  <c r="M673" i="7"/>
  <c r="J646" i="7"/>
  <c r="G619" i="7"/>
  <c r="H588" i="7"/>
  <c r="L17" i="7"/>
  <c r="L5" i="7"/>
  <c r="K59" i="7"/>
  <c r="L52" i="7"/>
  <c r="M45" i="7"/>
  <c r="G39" i="7"/>
  <c r="H32" i="7"/>
  <c r="I25" i="7"/>
  <c r="G1005" i="7"/>
  <c r="H998" i="7"/>
  <c r="I991" i="7"/>
  <c r="J984" i="7"/>
  <c r="K977" i="7"/>
  <c r="L970" i="7"/>
  <c r="M963" i="7"/>
  <c r="G957" i="7"/>
  <c r="H950" i="7"/>
  <c r="I943" i="7"/>
  <c r="J936" i="7"/>
  <c r="K929" i="7"/>
  <c r="L922" i="7"/>
  <c r="M915" i="7"/>
  <c r="G909" i="7"/>
  <c r="H902" i="7"/>
  <c r="I895" i="7"/>
  <c r="J888" i="7"/>
  <c r="K881" i="7"/>
  <c r="L874" i="7"/>
  <c r="M867" i="7"/>
  <c r="G861" i="7"/>
  <c r="H854" i="7"/>
  <c r="I847" i="7"/>
  <c r="J840" i="7"/>
  <c r="K833" i="7"/>
  <c r="M825" i="7"/>
  <c r="G818" i="7"/>
  <c r="H810" i="7"/>
  <c r="I802" i="7"/>
  <c r="K794" i="7"/>
  <c r="G784" i="7"/>
  <c r="I770" i="7"/>
  <c r="K756" i="7"/>
  <c r="M742" i="7"/>
  <c r="H729" i="7"/>
  <c r="J715" i="7"/>
  <c r="L699" i="7"/>
  <c r="M681" i="7"/>
  <c r="K654" i="7"/>
  <c r="H627" i="7"/>
  <c r="L597" i="7"/>
  <c r="J552" i="7"/>
  <c r="M515" i="7"/>
  <c r="H65" i="7"/>
  <c r="I66" i="7"/>
  <c r="J67" i="7"/>
  <c r="K68" i="7"/>
  <c r="L69" i="7"/>
  <c r="M70" i="7"/>
  <c r="G72" i="7"/>
  <c r="H73" i="7"/>
  <c r="I74" i="7"/>
  <c r="J75" i="7"/>
  <c r="K76" i="7"/>
  <c r="L77" i="7"/>
  <c r="M78" i="7"/>
  <c r="G80" i="7"/>
  <c r="H81" i="7"/>
  <c r="I82" i="7"/>
  <c r="J83" i="7"/>
  <c r="K84" i="7"/>
  <c r="L85" i="7"/>
  <c r="M86" i="7"/>
  <c r="G88" i="7"/>
  <c r="H89" i="7"/>
  <c r="I90" i="7"/>
  <c r="J91" i="7"/>
  <c r="K92" i="7"/>
  <c r="L93" i="7"/>
  <c r="M94" i="7"/>
  <c r="G96" i="7"/>
  <c r="H97" i="7"/>
  <c r="I98" i="7"/>
  <c r="J99" i="7"/>
  <c r="K100" i="7"/>
  <c r="L101" i="7"/>
  <c r="M102" i="7"/>
  <c r="G104" i="7"/>
  <c r="H105" i="7"/>
  <c r="I106" i="7"/>
  <c r="J107" i="7"/>
  <c r="K108" i="7"/>
  <c r="L109" i="7"/>
  <c r="M110" i="7"/>
  <c r="G112" i="7"/>
  <c r="H113" i="7"/>
  <c r="I114" i="7"/>
  <c r="J115" i="7"/>
  <c r="K116" i="7"/>
  <c r="L117" i="7"/>
  <c r="M118" i="7"/>
  <c r="G120" i="7"/>
  <c r="H121" i="7"/>
  <c r="I122" i="7"/>
  <c r="J123" i="7"/>
  <c r="K124" i="7"/>
  <c r="L125" i="7"/>
  <c r="M126" i="7"/>
  <c r="G128" i="7"/>
  <c r="H129" i="7"/>
  <c r="I130" i="7"/>
  <c r="J131" i="7"/>
  <c r="K132" i="7"/>
  <c r="G136" i="7"/>
  <c r="H137" i="7"/>
  <c r="I138" i="7"/>
  <c r="J139" i="7"/>
  <c r="K140" i="7"/>
  <c r="L141" i="7"/>
  <c r="I65" i="7"/>
  <c r="J66" i="7"/>
  <c r="K67" i="7"/>
  <c r="L68" i="7"/>
  <c r="M69" i="7"/>
  <c r="G71" i="7"/>
  <c r="H72" i="7"/>
  <c r="I73" i="7"/>
  <c r="J74" i="7"/>
  <c r="K75" i="7"/>
  <c r="L76" i="7"/>
  <c r="M77" i="7"/>
  <c r="G79" i="7"/>
  <c r="H80" i="7"/>
  <c r="I81" i="7"/>
  <c r="J82" i="7"/>
  <c r="K83" i="7"/>
  <c r="L84" i="7"/>
  <c r="M85" i="7"/>
  <c r="G87" i="7"/>
  <c r="H88" i="7"/>
  <c r="I89" i="7"/>
  <c r="J90" i="7"/>
  <c r="K91" i="7"/>
  <c r="L92" i="7"/>
  <c r="M93" i="7"/>
  <c r="G95" i="7"/>
  <c r="H96" i="7"/>
  <c r="I97" i="7"/>
  <c r="J98" i="7"/>
  <c r="K99" i="7"/>
  <c r="L100" i="7"/>
  <c r="M101" i="7"/>
  <c r="G103" i="7"/>
  <c r="H104" i="7"/>
  <c r="I105" i="7"/>
  <c r="J106" i="7"/>
  <c r="K107" i="7"/>
  <c r="L108" i="7"/>
  <c r="M109" i="7"/>
  <c r="G111" i="7"/>
  <c r="H112" i="7"/>
  <c r="I113" i="7"/>
  <c r="J114" i="7"/>
  <c r="K115" i="7"/>
  <c r="L116" i="7"/>
  <c r="M117" i="7"/>
  <c r="G119" i="7"/>
  <c r="H120" i="7"/>
  <c r="I121" i="7"/>
  <c r="J122" i="7"/>
  <c r="K123" i="7"/>
  <c r="L124" i="7"/>
  <c r="M125" i="7"/>
  <c r="G127" i="7"/>
  <c r="H128" i="7"/>
  <c r="I129" i="7"/>
  <c r="J130" i="7"/>
  <c r="K131" i="7"/>
  <c r="L132" i="7"/>
  <c r="G135" i="7"/>
  <c r="H136" i="7"/>
  <c r="I137" i="7"/>
  <c r="J138" i="7"/>
  <c r="K139" i="7"/>
  <c r="L140" i="7"/>
  <c r="M141" i="7"/>
  <c r="H144" i="7"/>
  <c r="I145" i="7"/>
  <c r="J146" i="7"/>
  <c r="K147" i="7"/>
  <c r="L148" i="7"/>
  <c r="J65" i="7"/>
  <c r="K66" i="7"/>
  <c r="L67" i="7"/>
  <c r="M68" i="7"/>
  <c r="G70" i="7"/>
  <c r="H71" i="7"/>
  <c r="I72" i="7"/>
  <c r="J73" i="7"/>
  <c r="K74" i="7"/>
  <c r="L75" i="7"/>
  <c r="M76" i="7"/>
  <c r="G78" i="7"/>
  <c r="H79" i="7"/>
  <c r="I80" i="7"/>
  <c r="J81" i="7"/>
  <c r="K82" i="7"/>
  <c r="L83" i="7"/>
  <c r="M84" i="7"/>
  <c r="G86" i="7"/>
  <c r="H87" i="7"/>
  <c r="I88" i="7"/>
  <c r="J89" i="7"/>
  <c r="K90" i="7"/>
  <c r="L91" i="7"/>
  <c r="M92" i="7"/>
  <c r="G94" i="7"/>
  <c r="H95" i="7"/>
  <c r="I96" i="7"/>
  <c r="J97" i="7"/>
  <c r="K98" i="7"/>
  <c r="L99" i="7"/>
  <c r="M100" i="7"/>
  <c r="G102" i="7"/>
  <c r="H103" i="7"/>
  <c r="I104" i="7"/>
  <c r="J105" i="7"/>
  <c r="K106" i="7"/>
  <c r="L107" i="7"/>
  <c r="M108" i="7"/>
  <c r="G110" i="7"/>
  <c r="H111" i="7"/>
  <c r="I112" i="7"/>
  <c r="J113" i="7"/>
  <c r="K114" i="7"/>
  <c r="L115" i="7"/>
  <c r="M116" i="7"/>
  <c r="G118" i="7"/>
  <c r="H119" i="7"/>
  <c r="I120" i="7"/>
  <c r="J121" i="7"/>
  <c r="K122" i="7"/>
  <c r="L123" i="7"/>
  <c r="M124" i="7"/>
  <c r="G126" i="7"/>
  <c r="H127" i="7"/>
  <c r="I128" i="7"/>
  <c r="J129" i="7"/>
  <c r="K130" i="7"/>
  <c r="L131" i="7"/>
  <c r="M132" i="7"/>
  <c r="H135" i="7"/>
  <c r="I136" i="7"/>
  <c r="J137" i="7"/>
  <c r="K138" i="7"/>
  <c r="L139" i="7"/>
  <c r="M140" i="7"/>
  <c r="I144" i="7"/>
  <c r="J145" i="7"/>
  <c r="K146" i="7"/>
  <c r="L147" i="7"/>
  <c r="M148" i="7"/>
  <c r="G150" i="7"/>
  <c r="H151" i="7"/>
  <c r="M65" i="7"/>
  <c r="G67" i="7"/>
  <c r="H68" i="7"/>
  <c r="I69" i="7"/>
  <c r="J70" i="7"/>
  <c r="K71" i="7"/>
  <c r="L72" i="7"/>
  <c r="M73" i="7"/>
  <c r="G75" i="7"/>
  <c r="H76" i="7"/>
  <c r="I77" i="7"/>
  <c r="J78" i="7"/>
  <c r="K79" i="7"/>
  <c r="L80" i="7"/>
  <c r="M81" i="7"/>
  <c r="G83" i="7"/>
  <c r="H84" i="7"/>
  <c r="I85" i="7"/>
  <c r="J86" i="7"/>
  <c r="K87" i="7"/>
  <c r="L88" i="7"/>
  <c r="M89" i="7"/>
  <c r="G91" i="7"/>
  <c r="H92" i="7"/>
  <c r="I93" i="7"/>
  <c r="J94" i="7"/>
  <c r="K95" i="7"/>
  <c r="L96" i="7"/>
  <c r="M97" i="7"/>
  <c r="G99" i="7"/>
  <c r="H100" i="7"/>
  <c r="I101" i="7"/>
  <c r="J102" i="7"/>
  <c r="K103" i="7"/>
  <c r="L104" i="7"/>
  <c r="M105" i="7"/>
  <c r="G107" i="7"/>
  <c r="H108" i="7"/>
  <c r="I109" i="7"/>
  <c r="J110" i="7"/>
  <c r="K111" i="7"/>
  <c r="L112" i="7"/>
  <c r="M113" i="7"/>
  <c r="G115" i="7"/>
  <c r="H116" i="7"/>
  <c r="I117" i="7"/>
  <c r="J118" i="7"/>
  <c r="K119" i="7"/>
  <c r="L120" i="7"/>
  <c r="M121" i="7"/>
  <c r="G123" i="7"/>
  <c r="H124" i="7"/>
  <c r="I125" i="7"/>
  <c r="J126" i="7"/>
  <c r="K127" i="7"/>
  <c r="L128" i="7"/>
  <c r="M129" i="7"/>
  <c r="G131" i="7"/>
  <c r="H132" i="7"/>
  <c r="K135" i="7"/>
  <c r="L136" i="7"/>
  <c r="M137" i="7"/>
  <c r="G139" i="7"/>
  <c r="H140" i="7"/>
  <c r="I141" i="7"/>
  <c r="L144" i="7"/>
  <c r="M145" i="7"/>
  <c r="G147" i="7"/>
  <c r="H148" i="7"/>
  <c r="I149" i="7"/>
  <c r="J150" i="7"/>
  <c r="K151" i="7"/>
  <c r="L152" i="7"/>
  <c r="M153" i="7"/>
  <c r="G155" i="7"/>
  <c r="H156" i="7"/>
  <c r="I157" i="7"/>
  <c r="J158" i="7"/>
  <c r="K159" i="7"/>
  <c r="L160" i="7"/>
  <c r="M161" i="7"/>
  <c r="G163" i="7"/>
  <c r="H164" i="7"/>
  <c r="I165" i="7"/>
  <c r="J166" i="7"/>
  <c r="K65" i="7"/>
  <c r="M67" i="7"/>
  <c r="H70" i="7"/>
  <c r="J72" i="7"/>
  <c r="L74" i="7"/>
  <c r="G77" i="7"/>
  <c r="I79" i="7"/>
  <c r="K81" i="7"/>
  <c r="M83" i="7"/>
  <c r="H86" i="7"/>
  <c r="J88" i="7"/>
  <c r="L90" i="7"/>
  <c r="G93" i="7"/>
  <c r="I95" i="7"/>
  <c r="K97" i="7"/>
  <c r="M99" i="7"/>
  <c r="H102" i="7"/>
  <c r="J104" i="7"/>
  <c r="L106" i="7"/>
  <c r="G109" i="7"/>
  <c r="I111" i="7"/>
  <c r="K113" i="7"/>
  <c r="M115" i="7"/>
  <c r="H118" i="7"/>
  <c r="J120" i="7"/>
  <c r="L122" i="7"/>
  <c r="G125" i="7"/>
  <c r="I127" i="7"/>
  <c r="K129" i="7"/>
  <c r="M131" i="7"/>
  <c r="M136" i="7"/>
  <c r="H139" i="7"/>
  <c r="J141" i="7"/>
  <c r="G144" i="7"/>
  <c r="G146" i="7"/>
  <c r="M147" i="7"/>
  <c r="K149" i="7"/>
  <c r="G151" i="7"/>
  <c r="J152" i="7"/>
  <c r="L153" i="7"/>
  <c r="H155" i="7"/>
  <c r="J156" i="7"/>
  <c r="L157" i="7"/>
  <c r="G159" i="7"/>
  <c r="I160" i="7"/>
  <c r="K161" i="7"/>
  <c r="M162" i="7"/>
  <c r="I164" i="7"/>
  <c r="K165" i="7"/>
  <c r="M166" i="7"/>
  <c r="G168" i="7"/>
  <c r="H169" i="7"/>
  <c r="I170" i="7"/>
  <c r="J171" i="7"/>
  <c r="K172" i="7"/>
  <c r="L173" i="7"/>
  <c r="M174" i="7"/>
  <c r="G176" i="7"/>
  <c r="H177" i="7"/>
  <c r="I178" i="7"/>
  <c r="J179" i="7"/>
  <c r="K180" i="7"/>
  <c r="L181" i="7"/>
  <c r="M182" i="7"/>
  <c r="G184" i="7"/>
  <c r="H185" i="7"/>
  <c r="I186" i="7"/>
  <c r="J187" i="7"/>
  <c r="K188" i="7"/>
  <c r="L189" i="7"/>
  <c r="M190" i="7"/>
  <c r="G192" i="7"/>
  <c r="H193" i="7"/>
  <c r="I194" i="7"/>
  <c r="L65" i="7"/>
  <c r="G68" i="7"/>
  <c r="I70" i="7"/>
  <c r="K72" i="7"/>
  <c r="M74" i="7"/>
  <c r="H77" i="7"/>
  <c r="J79" i="7"/>
  <c r="L81" i="7"/>
  <c r="G84" i="7"/>
  <c r="I86" i="7"/>
  <c r="K88" i="7"/>
  <c r="M90" i="7"/>
  <c r="H93" i="7"/>
  <c r="J95" i="7"/>
  <c r="L97" i="7"/>
  <c r="G100" i="7"/>
  <c r="I102" i="7"/>
  <c r="K104" i="7"/>
  <c r="M106" i="7"/>
  <c r="H109" i="7"/>
  <c r="J111" i="7"/>
  <c r="L113" i="7"/>
  <c r="G116" i="7"/>
  <c r="I118" i="7"/>
  <c r="K120" i="7"/>
  <c r="M122" i="7"/>
  <c r="H125" i="7"/>
  <c r="J127" i="7"/>
  <c r="L129" i="7"/>
  <c r="G132" i="7"/>
  <c r="G137" i="7"/>
  <c r="I139" i="7"/>
  <c r="K141" i="7"/>
  <c r="J144" i="7"/>
  <c r="H146" i="7"/>
  <c r="G148" i="7"/>
  <c r="L149" i="7"/>
  <c r="I151" i="7"/>
  <c r="K152" i="7"/>
  <c r="G154" i="7"/>
  <c r="I155" i="7"/>
  <c r="K156" i="7"/>
  <c r="M157" i="7"/>
  <c r="H159" i="7"/>
  <c r="J160" i="7"/>
  <c r="L161" i="7"/>
  <c r="H163" i="7"/>
  <c r="J164" i="7"/>
  <c r="L165" i="7"/>
  <c r="G167" i="7"/>
  <c r="H168" i="7"/>
  <c r="I169" i="7"/>
  <c r="J170" i="7"/>
  <c r="K171" i="7"/>
  <c r="L172" i="7"/>
  <c r="M173" i="7"/>
  <c r="G175" i="7"/>
  <c r="H176" i="7"/>
  <c r="I177" i="7"/>
  <c r="J178" i="7"/>
  <c r="K179" i="7"/>
  <c r="L180" i="7"/>
  <c r="M181" i="7"/>
  <c r="G183" i="7"/>
  <c r="H184" i="7"/>
  <c r="I185" i="7"/>
  <c r="J186" i="7"/>
  <c r="K187" i="7"/>
  <c r="L188" i="7"/>
  <c r="M189" i="7"/>
  <c r="G191" i="7"/>
  <c r="H192" i="7"/>
  <c r="I193" i="7"/>
  <c r="J194" i="7"/>
  <c r="K195" i="7"/>
  <c r="L196" i="7"/>
  <c r="M197" i="7"/>
  <c r="G199" i="7"/>
  <c r="H200" i="7"/>
  <c r="I201" i="7"/>
  <c r="J202" i="7"/>
  <c r="K203" i="7"/>
  <c r="L204" i="7"/>
  <c r="M205" i="7"/>
  <c r="G207" i="7"/>
  <c r="G66" i="7"/>
  <c r="I68" i="7"/>
  <c r="K70" i="7"/>
  <c r="M72" i="7"/>
  <c r="H75" i="7"/>
  <c r="J77" i="7"/>
  <c r="L79" i="7"/>
  <c r="G82" i="7"/>
  <c r="I84" i="7"/>
  <c r="K86" i="7"/>
  <c r="M88" i="7"/>
  <c r="H91" i="7"/>
  <c r="J93" i="7"/>
  <c r="L95" i="7"/>
  <c r="G98" i="7"/>
  <c r="I100" i="7"/>
  <c r="K102" i="7"/>
  <c r="M104" i="7"/>
  <c r="H107" i="7"/>
  <c r="J109" i="7"/>
  <c r="L111" i="7"/>
  <c r="G114" i="7"/>
  <c r="I116" i="7"/>
  <c r="K118" i="7"/>
  <c r="M120" i="7"/>
  <c r="H123" i="7"/>
  <c r="J125" i="7"/>
  <c r="L127" i="7"/>
  <c r="G130" i="7"/>
  <c r="I132" i="7"/>
  <c r="I135" i="7"/>
  <c r="K137" i="7"/>
  <c r="M139" i="7"/>
  <c r="K144" i="7"/>
  <c r="I146" i="7"/>
  <c r="I148" i="7"/>
  <c r="M149" i="7"/>
  <c r="J151" i="7"/>
  <c r="M152" i="7"/>
  <c r="H154" i="7"/>
  <c r="J155" i="7"/>
  <c r="L156" i="7"/>
  <c r="G158" i="7"/>
  <c r="I159" i="7"/>
  <c r="K160" i="7"/>
  <c r="G162" i="7"/>
  <c r="I163" i="7"/>
  <c r="K164" i="7"/>
  <c r="M165" i="7"/>
  <c r="H167" i="7"/>
  <c r="I168" i="7"/>
  <c r="J169" i="7"/>
  <c r="K170" i="7"/>
  <c r="L171" i="7"/>
  <c r="M172" i="7"/>
  <c r="G174" i="7"/>
  <c r="H175" i="7"/>
  <c r="I176" i="7"/>
  <c r="J177" i="7"/>
  <c r="K178" i="7"/>
  <c r="L179" i="7"/>
  <c r="M180" i="7"/>
  <c r="G182" i="7"/>
  <c r="H183" i="7"/>
  <c r="I184" i="7"/>
  <c r="J185" i="7"/>
  <c r="K186" i="7"/>
  <c r="L187" i="7"/>
  <c r="M188" i="7"/>
  <c r="G190" i="7"/>
  <c r="H191" i="7"/>
  <c r="I192" i="7"/>
  <c r="J193" i="7"/>
  <c r="K194" i="7"/>
  <c r="L195" i="7"/>
  <c r="M196" i="7"/>
  <c r="G198" i="7"/>
  <c r="H199" i="7"/>
  <c r="I200" i="7"/>
  <c r="J201" i="7"/>
  <c r="K202" i="7"/>
  <c r="L203" i="7"/>
  <c r="M204" i="7"/>
  <c r="G206" i="7"/>
  <c r="H207" i="7"/>
  <c r="M66" i="7"/>
  <c r="H69" i="7"/>
  <c r="J71" i="7"/>
  <c r="L73" i="7"/>
  <c r="G76" i="7"/>
  <c r="I78" i="7"/>
  <c r="K80" i="7"/>
  <c r="M82" i="7"/>
  <c r="H85" i="7"/>
  <c r="J87" i="7"/>
  <c r="L89" i="7"/>
  <c r="G92" i="7"/>
  <c r="I94" i="7"/>
  <c r="K96" i="7"/>
  <c r="M98" i="7"/>
  <c r="H101" i="7"/>
  <c r="J103" i="7"/>
  <c r="L105" i="7"/>
  <c r="G108" i="7"/>
  <c r="I110" i="7"/>
  <c r="K112" i="7"/>
  <c r="M114" i="7"/>
  <c r="H117" i="7"/>
  <c r="J119" i="7"/>
  <c r="L121" i="7"/>
  <c r="G124" i="7"/>
  <c r="I126" i="7"/>
  <c r="K128" i="7"/>
  <c r="M130" i="7"/>
  <c r="M135" i="7"/>
  <c r="H138" i="7"/>
  <c r="J140" i="7"/>
  <c r="H145" i="7"/>
  <c r="H147" i="7"/>
  <c r="G149" i="7"/>
  <c r="K150" i="7"/>
  <c r="G152" i="7"/>
  <c r="I153" i="7"/>
  <c r="K154" i="7"/>
  <c r="M155" i="7"/>
  <c r="H157" i="7"/>
  <c r="K158" i="7"/>
  <c r="M159" i="7"/>
  <c r="H161" i="7"/>
  <c r="J162" i="7"/>
  <c r="L163" i="7"/>
  <c r="G165" i="7"/>
  <c r="I166" i="7"/>
  <c r="K167" i="7"/>
  <c r="L168" i="7"/>
  <c r="M169" i="7"/>
  <c r="G171" i="7"/>
  <c r="H172" i="7"/>
  <c r="I173" i="7"/>
  <c r="J174" i="7"/>
  <c r="K175" i="7"/>
  <c r="L176" i="7"/>
  <c r="M177" i="7"/>
  <c r="G179" i="7"/>
  <c r="H180" i="7"/>
  <c r="I181" i="7"/>
  <c r="J182" i="7"/>
  <c r="K183" i="7"/>
  <c r="L184" i="7"/>
  <c r="M185" i="7"/>
  <c r="G187" i="7"/>
  <c r="H188" i="7"/>
  <c r="I189" i="7"/>
  <c r="J190" i="7"/>
  <c r="K191" i="7"/>
  <c r="L192" i="7"/>
  <c r="M193" i="7"/>
  <c r="G195" i="7"/>
  <c r="H196" i="7"/>
  <c r="I197" i="7"/>
  <c r="J198" i="7"/>
  <c r="K199" i="7"/>
  <c r="L200" i="7"/>
  <c r="M201" i="7"/>
  <c r="G203" i="7"/>
  <c r="H204" i="7"/>
  <c r="I205" i="7"/>
  <c r="J206" i="7"/>
  <c r="K207" i="7"/>
  <c r="L208" i="7"/>
  <c r="M209" i="7"/>
  <c r="G211" i="7"/>
  <c r="H212" i="7"/>
  <c r="I213" i="7"/>
  <c r="J214" i="7"/>
  <c r="K215" i="7"/>
  <c r="L216" i="7"/>
  <c r="M217" i="7"/>
  <c r="G219" i="7"/>
  <c r="H220" i="7"/>
  <c r="I221" i="7"/>
  <c r="J222" i="7"/>
  <c r="K223" i="7"/>
  <c r="L224" i="7"/>
  <c r="M225" i="7"/>
  <c r="G227" i="7"/>
  <c r="H228" i="7"/>
  <c r="I229" i="7"/>
  <c r="J230" i="7"/>
  <c r="H66" i="7"/>
  <c r="L70" i="7"/>
  <c r="I75" i="7"/>
  <c r="M79" i="7"/>
  <c r="J84" i="7"/>
  <c r="G89" i="7"/>
  <c r="K93" i="7"/>
  <c r="H98" i="7"/>
  <c r="L102" i="7"/>
  <c r="I107" i="7"/>
  <c r="M111" i="7"/>
  <c r="J116" i="7"/>
  <c r="G121" i="7"/>
  <c r="K125" i="7"/>
  <c r="H130" i="7"/>
  <c r="G138" i="7"/>
  <c r="L145" i="7"/>
  <c r="J149" i="7"/>
  <c r="I152" i="7"/>
  <c r="M154" i="7"/>
  <c r="K157" i="7"/>
  <c r="H160" i="7"/>
  <c r="L162" i="7"/>
  <c r="J165" i="7"/>
  <c r="M167" i="7"/>
  <c r="H170" i="7"/>
  <c r="J172" i="7"/>
  <c r="L174" i="7"/>
  <c r="G177" i="7"/>
  <c r="I179" i="7"/>
  <c r="K181" i="7"/>
  <c r="M183" i="7"/>
  <c r="H186" i="7"/>
  <c r="J188" i="7"/>
  <c r="L190" i="7"/>
  <c r="G193" i="7"/>
  <c r="I195" i="7"/>
  <c r="H197" i="7"/>
  <c r="M198" i="7"/>
  <c r="M200" i="7"/>
  <c r="L202" i="7"/>
  <c r="J204" i="7"/>
  <c r="I206" i="7"/>
  <c r="G208" i="7"/>
  <c r="I209" i="7"/>
  <c r="K210" i="7"/>
  <c r="M211" i="7"/>
  <c r="H213" i="7"/>
  <c r="K214" i="7"/>
  <c r="M215" i="7"/>
  <c r="H217" i="7"/>
  <c r="J218" i="7"/>
  <c r="L219" i="7"/>
  <c r="G221" i="7"/>
  <c r="I222" i="7"/>
  <c r="L223" i="7"/>
  <c r="G225" i="7"/>
  <c r="I226" i="7"/>
  <c r="K227" i="7"/>
  <c r="M228" i="7"/>
  <c r="H230" i="7"/>
  <c r="J231" i="7"/>
  <c r="K232" i="7"/>
  <c r="L233" i="7"/>
  <c r="M234" i="7"/>
  <c r="G236" i="7"/>
  <c r="H237" i="7"/>
  <c r="I238" i="7"/>
  <c r="J239" i="7"/>
  <c r="K240" i="7"/>
  <c r="L241" i="7"/>
  <c r="M242" i="7"/>
  <c r="G244" i="7"/>
  <c r="H245" i="7"/>
  <c r="I246" i="7"/>
  <c r="J247" i="7"/>
  <c r="K248" i="7"/>
  <c r="L249" i="7"/>
  <c r="M250" i="7"/>
  <c r="G252" i="7"/>
  <c r="H253" i="7"/>
  <c r="L66" i="7"/>
  <c r="I71" i="7"/>
  <c r="M75" i="7"/>
  <c r="J80" i="7"/>
  <c r="G85" i="7"/>
  <c r="K89" i="7"/>
  <c r="H94" i="7"/>
  <c r="L98" i="7"/>
  <c r="I103" i="7"/>
  <c r="M107" i="7"/>
  <c r="J112" i="7"/>
  <c r="G117" i="7"/>
  <c r="K121" i="7"/>
  <c r="H126" i="7"/>
  <c r="L130" i="7"/>
  <c r="L138" i="7"/>
  <c r="L146" i="7"/>
  <c r="H150" i="7"/>
  <c r="G153" i="7"/>
  <c r="K155" i="7"/>
  <c r="H158" i="7"/>
  <c r="M160" i="7"/>
  <c r="J163" i="7"/>
  <c r="G166" i="7"/>
  <c r="J168" i="7"/>
  <c r="L170" i="7"/>
  <c r="G173" i="7"/>
  <c r="I175" i="7"/>
  <c r="K177" i="7"/>
  <c r="M179" i="7"/>
  <c r="H182" i="7"/>
  <c r="J184" i="7"/>
  <c r="L186" i="7"/>
  <c r="G189" i="7"/>
  <c r="I191" i="7"/>
  <c r="K193" i="7"/>
  <c r="J195" i="7"/>
  <c r="J197" i="7"/>
  <c r="I199" i="7"/>
  <c r="G201" i="7"/>
  <c r="M202" i="7"/>
  <c r="K204" i="7"/>
  <c r="K206" i="7"/>
  <c r="H208" i="7"/>
  <c r="J209" i="7"/>
  <c r="L210" i="7"/>
  <c r="G212" i="7"/>
  <c r="J213" i="7"/>
  <c r="L214" i="7"/>
  <c r="G216" i="7"/>
  <c r="I217" i="7"/>
  <c r="K218" i="7"/>
  <c r="M219" i="7"/>
  <c r="H221" i="7"/>
  <c r="K222" i="7"/>
  <c r="M223" i="7"/>
  <c r="H225" i="7"/>
  <c r="J226" i="7"/>
  <c r="L227" i="7"/>
  <c r="G229" i="7"/>
  <c r="I230" i="7"/>
  <c r="K231" i="7"/>
  <c r="L232" i="7"/>
  <c r="M233" i="7"/>
  <c r="G235" i="7"/>
  <c r="H236" i="7"/>
  <c r="I237" i="7"/>
  <c r="J238" i="7"/>
  <c r="K239" i="7"/>
  <c r="L240" i="7"/>
  <c r="M241" i="7"/>
  <c r="G243" i="7"/>
  <c r="H244" i="7"/>
  <c r="I245" i="7"/>
  <c r="J246" i="7"/>
  <c r="K247" i="7"/>
  <c r="L248" i="7"/>
  <c r="M249" i="7"/>
  <c r="G251" i="7"/>
  <c r="H252" i="7"/>
  <c r="I253" i="7"/>
  <c r="J254" i="7"/>
  <c r="K255" i="7"/>
  <c r="L256" i="7"/>
  <c r="M257" i="7"/>
  <c r="H67" i="7"/>
  <c r="L71" i="7"/>
  <c r="I76" i="7"/>
  <c r="M80" i="7"/>
  <c r="J85" i="7"/>
  <c r="G90" i="7"/>
  <c r="K94" i="7"/>
  <c r="H99" i="7"/>
  <c r="L103" i="7"/>
  <c r="I108" i="7"/>
  <c r="M112" i="7"/>
  <c r="J117" i="7"/>
  <c r="G122" i="7"/>
  <c r="K126" i="7"/>
  <c r="H131" i="7"/>
  <c r="M138" i="7"/>
  <c r="M146" i="7"/>
  <c r="I150" i="7"/>
  <c r="H153" i="7"/>
  <c r="L155" i="7"/>
  <c r="I158" i="7"/>
  <c r="G161" i="7"/>
  <c r="K163" i="7"/>
  <c r="H166" i="7"/>
  <c r="K168" i="7"/>
  <c r="M170" i="7"/>
  <c r="H173" i="7"/>
  <c r="J175" i="7"/>
  <c r="L177" i="7"/>
  <c r="G180" i="7"/>
  <c r="I182" i="7"/>
  <c r="K184" i="7"/>
  <c r="M186" i="7"/>
  <c r="H189" i="7"/>
  <c r="J191" i="7"/>
  <c r="L193" i="7"/>
  <c r="M195" i="7"/>
  <c r="K197" i="7"/>
  <c r="J199" i="7"/>
  <c r="H201" i="7"/>
  <c r="H203" i="7"/>
  <c r="G205" i="7"/>
  <c r="L206" i="7"/>
  <c r="I208" i="7"/>
  <c r="K209" i="7"/>
  <c r="M210" i="7"/>
  <c r="I212" i="7"/>
  <c r="K213" i="7"/>
  <c r="M214" i="7"/>
  <c r="H216" i="7"/>
  <c r="J217" i="7"/>
  <c r="L218" i="7"/>
  <c r="G220" i="7"/>
  <c r="J221" i="7"/>
  <c r="L222" i="7"/>
  <c r="G224" i="7"/>
  <c r="I225" i="7"/>
  <c r="K226" i="7"/>
  <c r="M227" i="7"/>
  <c r="H229" i="7"/>
  <c r="K230" i="7"/>
  <c r="L231" i="7"/>
  <c r="M232" i="7"/>
  <c r="G234" i="7"/>
  <c r="H235" i="7"/>
  <c r="I236" i="7"/>
  <c r="J237" i="7"/>
  <c r="K238" i="7"/>
  <c r="L239" i="7"/>
  <c r="M240" i="7"/>
  <c r="G242" i="7"/>
  <c r="H243" i="7"/>
  <c r="I244" i="7"/>
  <c r="J245" i="7"/>
  <c r="K246" i="7"/>
  <c r="L247" i="7"/>
  <c r="M248" i="7"/>
  <c r="G250" i="7"/>
  <c r="H251" i="7"/>
  <c r="I252" i="7"/>
  <c r="J253" i="7"/>
  <c r="K254" i="7"/>
  <c r="L255" i="7"/>
  <c r="M256" i="7"/>
  <c r="G258" i="7"/>
  <c r="H259" i="7"/>
  <c r="I260" i="7"/>
  <c r="J261" i="7"/>
  <c r="K262" i="7"/>
  <c r="L263" i="7"/>
  <c r="M264" i="7"/>
  <c r="G69" i="7"/>
  <c r="K73" i="7"/>
  <c r="H78" i="7"/>
  <c r="L82" i="7"/>
  <c r="I87" i="7"/>
  <c r="M91" i="7"/>
  <c r="J96" i="7"/>
  <c r="G101" i="7"/>
  <c r="K105" i="7"/>
  <c r="H110" i="7"/>
  <c r="L114" i="7"/>
  <c r="I119" i="7"/>
  <c r="M123" i="7"/>
  <c r="J128" i="7"/>
  <c r="J136" i="7"/>
  <c r="G141" i="7"/>
  <c r="M144" i="7"/>
  <c r="J148" i="7"/>
  <c r="L151" i="7"/>
  <c r="I154" i="7"/>
  <c r="M156" i="7"/>
  <c r="J159" i="7"/>
  <c r="H162" i="7"/>
  <c r="L164" i="7"/>
  <c r="I167" i="7"/>
  <c r="K169" i="7"/>
  <c r="M171" i="7"/>
  <c r="H174" i="7"/>
  <c r="J176" i="7"/>
  <c r="L178" i="7"/>
  <c r="G181" i="7"/>
  <c r="I183" i="7"/>
  <c r="K185" i="7"/>
  <c r="M187" i="7"/>
  <c r="H190" i="7"/>
  <c r="J192" i="7"/>
  <c r="L194" i="7"/>
  <c r="J196" i="7"/>
  <c r="I198" i="7"/>
  <c r="G200" i="7"/>
  <c r="G202" i="7"/>
  <c r="M203" i="7"/>
  <c r="K205" i="7"/>
  <c r="J207" i="7"/>
  <c r="M208" i="7"/>
  <c r="H210" i="7"/>
  <c r="J211" i="7"/>
  <c r="L212" i="7"/>
  <c r="G214" i="7"/>
  <c r="I215" i="7"/>
  <c r="K216" i="7"/>
  <c r="G218" i="7"/>
  <c r="I219" i="7"/>
  <c r="K220" i="7"/>
  <c r="M221" i="7"/>
  <c r="H223" i="7"/>
  <c r="J224" i="7"/>
  <c r="L225" i="7"/>
  <c r="H227" i="7"/>
  <c r="J228" i="7"/>
  <c r="L229" i="7"/>
  <c r="G231" i="7"/>
  <c r="H232" i="7"/>
  <c r="I233" i="7"/>
  <c r="J234" i="7"/>
  <c r="K235" i="7"/>
  <c r="L236" i="7"/>
  <c r="M237" i="7"/>
  <c r="G239" i="7"/>
  <c r="H240" i="7"/>
  <c r="I241" i="7"/>
  <c r="J242" i="7"/>
  <c r="K243" i="7"/>
  <c r="L244" i="7"/>
  <c r="M245" i="7"/>
  <c r="G247" i="7"/>
  <c r="H248" i="7"/>
  <c r="I249" i="7"/>
  <c r="J250" i="7"/>
  <c r="K251" i="7"/>
  <c r="L252" i="7"/>
  <c r="M253" i="7"/>
  <c r="G255" i="7"/>
  <c r="H256" i="7"/>
  <c r="I257" i="7"/>
  <c r="J258" i="7"/>
  <c r="K259" i="7"/>
  <c r="L260" i="7"/>
  <c r="M261" i="7"/>
  <c r="G263" i="7"/>
  <c r="H264" i="7"/>
  <c r="I265" i="7"/>
  <c r="J266" i="7"/>
  <c r="K267" i="7"/>
  <c r="L268" i="7"/>
  <c r="M269" i="7"/>
  <c r="G271" i="7"/>
  <c r="H272" i="7"/>
  <c r="I273" i="7"/>
  <c r="J274" i="7"/>
  <c r="K275" i="7"/>
  <c r="L276" i="7"/>
  <c r="M277" i="7"/>
  <c r="G279" i="7"/>
  <c r="H280" i="7"/>
  <c r="I281" i="7"/>
  <c r="J282" i="7"/>
  <c r="K283" i="7"/>
  <c r="L284" i="7"/>
  <c r="M285" i="7"/>
  <c r="G287" i="7"/>
  <c r="H288" i="7"/>
  <c r="I289" i="7"/>
  <c r="J290" i="7"/>
  <c r="K291" i="7"/>
  <c r="L292" i="7"/>
  <c r="M293" i="7"/>
  <c r="G295" i="7"/>
  <c r="H296" i="7"/>
  <c r="I297" i="7"/>
  <c r="J298" i="7"/>
  <c r="K299" i="7"/>
  <c r="L300" i="7"/>
  <c r="I67" i="7"/>
  <c r="J76" i="7"/>
  <c r="K85" i="7"/>
  <c r="L94" i="7"/>
  <c r="M103" i="7"/>
  <c r="G113" i="7"/>
  <c r="H122" i="7"/>
  <c r="I131" i="7"/>
  <c r="J135" i="7"/>
  <c r="J147" i="7"/>
  <c r="K153" i="7"/>
  <c r="M158" i="7"/>
  <c r="G164" i="7"/>
  <c r="G169" i="7"/>
  <c r="K173" i="7"/>
  <c r="H178" i="7"/>
  <c r="L182" i="7"/>
  <c r="I187" i="7"/>
  <c r="M191" i="7"/>
  <c r="I196" i="7"/>
  <c r="M199" i="7"/>
  <c r="J203" i="7"/>
  <c r="I207" i="7"/>
  <c r="G210" i="7"/>
  <c r="K212" i="7"/>
  <c r="H215" i="7"/>
  <c r="L217" i="7"/>
  <c r="J220" i="7"/>
  <c r="G223" i="7"/>
  <c r="K225" i="7"/>
  <c r="I228" i="7"/>
  <c r="M230" i="7"/>
  <c r="H233" i="7"/>
  <c r="J235" i="7"/>
  <c r="L237" i="7"/>
  <c r="G240" i="7"/>
  <c r="I242" i="7"/>
  <c r="K244" i="7"/>
  <c r="M246" i="7"/>
  <c r="H249" i="7"/>
  <c r="J251" i="7"/>
  <c r="L253" i="7"/>
  <c r="J255" i="7"/>
  <c r="J257" i="7"/>
  <c r="G259" i="7"/>
  <c r="K260" i="7"/>
  <c r="H262" i="7"/>
  <c r="K263" i="7"/>
  <c r="H265" i="7"/>
  <c r="K266" i="7"/>
  <c r="M267" i="7"/>
  <c r="H269" i="7"/>
  <c r="J270" i="7"/>
  <c r="L271" i="7"/>
  <c r="G273" i="7"/>
  <c r="I274" i="7"/>
  <c r="L275" i="7"/>
  <c r="G277" i="7"/>
  <c r="I278" i="7"/>
  <c r="K279" i="7"/>
  <c r="M280" i="7"/>
  <c r="H282" i="7"/>
  <c r="J283" i="7"/>
  <c r="M284" i="7"/>
  <c r="H286" i="7"/>
  <c r="J287" i="7"/>
  <c r="L288" i="7"/>
  <c r="G290" i="7"/>
  <c r="I291" i="7"/>
  <c r="K292" i="7"/>
  <c r="G294" i="7"/>
  <c r="I295" i="7"/>
  <c r="K296" i="7"/>
  <c r="M297" i="7"/>
  <c r="H299" i="7"/>
  <c r="J300" i="7"/>
  <c r="L301" i="7"/>
  <c r="M302" i="7"/>
  <c r="G304" i="7"/>
  <c r="H305" i="7"/>
  <c r="I306" i="7"/>
  <c r="J307" i="7"/>
  <c r="K308" i="7"/>
  <c r="L309" i="7"/>
  <c r="M310" i="7"/>
  <c r="J68" i="7"/>
  <c r="K77" i="7"/>
  <c r="L86" i="7"/>
  <c r="M95" i="7"/>
  <c r="G105" i="7"/>
  <c r="H114" i="7"/>
  <c r="I123" i="7"/>
  <c r="J132" i="7"/>
  <c r="L135" i="7"/>
  <c r="K148" i="7"/>
  <c r="J154" i="7"/>
  <c r="L159" i="7"/>
  <c r="M164" i="7"/>
  <c r="L169" i="7"/>
  <c r="I174" i="7"/>
  <c r="M178" i="7"/>
  <c r="J183" i="7"/>
  <c r="G188" i="7"/>
  <c r="K192" i="7"/>
  <c r="K196" i="7"/>
  <c r="J200" i="7"/>
  <c r="G204" i="7"/>
  <c r="L207" i="7"/>
  <c r="I210" i="7"/>
  <c r="M212" i="7"/>
  <c r="J215" i="7"/>
  <c r="H218" i="7"/>
  <c r="L220" i="7"/>
  <c r="I223" i="7"/>
  <c r="G226" i="7"/>
  <c r="K228" i="7"/>
  <c r="H231" i="7"/>
  <c r="J233" i="7"/>
  <c r="L235" i="7"/>
  <c r="G238" i="7"/>
  <c r="I240" i="7"/>
  <c r="K242" i="7"/>
  <c r="M244" i="7"/>
  <c r="H247" i="7"/>
  <c r="J249" i="7"/>
  <c r="L251" i="7"/>
  <c r="G254" i="7"/>
  <c r="M255" i="7"/>
  <c r="K257" i="7"/>
  <c r="I259" i="7"/>
  <c r="M260" i="7"/>
  <c r="I262" i="7"/>
  <c r="M263" i="7"/>
  <c r="J265" i="7"/>
  <c r="L266" i="7"/>
  <c r="G268" i="7"/>
  <c r="I269" i="7"/>
  <c r="K270" i="7"/>
  <c r="M271" i="7"/>
  <c r="H273" i="7"/>
  <c r="K274" i="7"/>
  <c r="M275" i="7"/>
  <c r="H277" i="7"/>
  <c r="J278" i="7"/>
  <c r="L279" i="7"/>
  <c r="G281" i="7"/>
  <c r="I282" i="7"/>
  <c r="L283" i="7"/>
  <c r="G285" i="7"/>
  <c r="I286" i="7"/>
  <c r="K287" i="7"/>
  <c r="M288" i="7"/>
  <c r="H290" i="7"/>
  <c r="J291" i="7"/>
  <c r="M292" i="7"/>
  <c r="H294" i="7"/>
  <c r="J295" i="7"/>
  <c r="L296" i="7"/>
  <c r="G298" i="7"/>
  <c r="I299" i="7"/>
  <c r="K300" i="7"/>
  <c r="M301" i="7"/>
  <c r="G303" i="7"/>
  <c r="H304" i="7"/>
  <c r="I305" i="7"/>
  <c r="J306" i="7"/>
  <c r="K307" i="7"/>
  <c r="L308" i="7"/>
  <c r="J69" i="7"/>
  <c r="K78" i="7"/>
  <c r="L87" i="7"/>
  <c r="M96" i="7"/>
  <c r="G106" i="7"/>
  <c r="H115" i="7"/>
  <c r="I124" i="7"/>
  <c r="K136" i="7"/>
  <c r="H149" i="7"/>
  <c r="L154" i="7"/>
  <c r="G160" i="7"/>
  <c r="H165" i="7"/>
  <c r="G170" i="7"/>
  <c r="K174" i="7"/>
  <c r="H179" i="7"/>
  <c r="L183" i="7"/>
  <c r="I188" i="7"/>
  <c r="M192" i="7"/>
  <c r="G197" i="7"/>
  <c r="K200" i="7"/>
  <c r="I204" i="7"/>
  <c r="M207" i="7"/>
  <c r="J210" i="7"/>
  <c r="G213" i="7"/>
  <c r="L215" i="7"/>
  <c r="I218" i="7"/>
  <c r="M220" i="7"/>
  <c r="J223" i="7"/>
  <c r="H226" i="7"/>
  <c r="L228" i="7"/>
  <c r="I231" i="7"/>
  <c r="K233" i="7"/>
  <c r="M235" i="7"/>
  <c r="H238" i="7"/>
  <c r="J240" i="7"/>
  <c r="L242" i="7"/>
  <c r="G245" i="7"/>
  <c r="I247" i="7"/>
  <c r="K249" i="7"/>
  <c r="M251" i="7"/>
  <c r="H254" i="7"/>
  <c r="G256" i="7"/>
  <c r="L257" i="7"/>
  <c r="J259" i="7"/>
  <c r="G261" i="7"/>
  <c r="J262" i="7"/>
  <c r="G264" i="7"/>
  <c r="K265" i="7"/>
  <c r="M266" i="7"/>
  <c r="H268" i="7"/>
  <c r="J269" i="7"/>
  <c r="L270" i="7"/>
  <c r="G272" i="7"/>
  <c r="J273" i="7"/>
  <c r="L274" i="7"/>
  <c r="G276" i="7"/>
  <c r="I277" i="7"/>
  <c r="K278" i="7"/>
  <c r="M279" i="7"/>
  <c r="H281" i="7"/>
  <c r="K282" i="7"/>
  <c r="M283" i="7"/>
  <c r="H285" i="7"/>
  <c r="J286" i="7"/>
  <c r="L287" i="7"/>
  <c r="G289" i="7"/>
  <c r="I290" i="7"/>
  <c r="L291" i="7"/>
  <c r="G293" i="7"/>
  <c r="I294" i="7"/>
  <c r="K295" i="7"/>
  <c r="M296" i="7"/>
  <c r="H298" i="7"/>
  <c r="J299" i="7"/>
  <c r="M300" i="7"/>
  <c r="G302" i="7"/>
  <c r="H303" i="7"/>
  <c r="I304" i="7"/>
  <c r="J305" i="7"/>
  <c r="K306" i="7"/>
  <c r="L307" i="7"/>
  <c r="M308" i="7"/>
  <c r="G310" i="7"/>
  <c r="H311" i="7"/>
  <c r="I312" i="7"/>
  <c r="G73" i="7"/>
  <c r="H82" i="7"/>
  <c r="I91" i="7"/>
  <c r="J100" i="7"/>
  <c r="K109" i="7"/>
  <c r="L118" i="7"/>
  <c r="M127" i="7"/>
  <c r="I140" i="7"/>
  <c r="G145" i="7"/>
  <c r="M151" i="7"/>
  <c r="G157" i="7"/>
  <c r="I162" i="7"/>
  <c r="J167" i="7"/>
  <c r="G172" i="7"/>
  <c r="K176" i="7"/>
  <c r="H181" i="7"/>
  <c r="L185" i="7"/>
  <c r="I190" i="7"/>
  <c r="M194" i="7"/>
  <c r="K198" i="7"/>
  <c r="H202" i="7"/>
  <c r="L205" i="7"/>
  <c r="G209" i="7"/>
  <c r="K211" i="7"/>
  <c r="H214" i="7"/>
  <c r="M216" i="7"/>
  <c r="J219" i="7"/>
  <c r="G222" i="7"/>
  <c r="K224" i="7"/>
  <c r="I227" i="7"/>
  <c r="M229" i="7"/>
  <c r="I232" i="7"/>
  <c r="K234" i="7"/>
  <c r="M236" i="7"/>
  <c r="H239" i="7"/>
  <c r="J241" i="7"/>
  <c r="L243" i="7"/>
  <c r="G246" i="7"/>
  <c r="I248" i="7"/>
  <c r="K250" i="7"/>
  <c r="M252" i="7"/>
  <c r="M254" i="7"/>
  <c r="K256" i="7"/>
  <c r="K258" i="7"/>
  <c r="G260" i="7"/>
  <c r="K261" i="7"/>
  <c r="H263" i="7"/>
  <c r="K264" i="7"/>
  <c r="G266" i="7"/>
  <c r="I267" i="7"/>
  <c r="K268" i="7"/>
  <c r="G270" i="7"/>
  <c r="I271" i="7"/>
  <c r="K272" i="7"/>
  <c r="M273" i="7"/>
  <c r="H275" i="7"/>
  <c r="J276" i="7"/>
  <c r="L277" i="7"/>
  <c r="H279" i="7"/>
  <c r="J280" i="7"/>
  <c r="L281" i="7"/>
  <c r="G283" i="7"/>
  <c r="I284" i="7"/>
  <c r="K285" i="7"/>
  <c r="M286" i="7"/>
  <c r="I288" i="7"/>
  <c r="K289" i="7"/>
  <c r="M290" i="7"/>
  <c r="H292" i="7"/>
  <c r="J293" i="7"/>
  <c r="L294" i="7"/>
  <c r="G296" i="7"/>
  <c r="J297" i="7"/>
  <c r="L298" i="7"/>
  <c r="G300" i="7"/>
  <c r="I301" i="7"/>
  <c r="J302" i="7"/>
  <c r="K303" i="7"/>
  <c r="L304" i="7"/>
  <c r="M305" i="7"/>
  <c r="G307" i="7"/>
  <c r="H308" i="7"/>
  <c r="I309" i="7"/>
  <c r="J310" i="7"/>
  <c r="K311" i="7"/>
  <c r="L312" i="7"/>
  <c r="M313" i="7"/>
  <c r="G315" i="7"/>
  <c r="H316" i="7"/>
  <c r="I317" i="7"/>
  <c r="J318" i="7"/>
  <c r="K319" i="7"/>
  <c r="L320" i="7"/>
  <c r="M321" i="7"/>
  <c r="G323" i="7"/>
  <c r="H324" i="7"/>
  <c r="I325" i="7"/>
  <c r="J326" i="7"/>
  <c r="K327" i="7"/>
  <c r="L328" i="7"/>
  <c r="M329" i="7"/>
  <c r="G331" i="7"/>
  <c r="H332" i="7"/>
  <c r="I333" i="7"/>
  <c r="J334" i="7"/>
  <c r="K335" i="7"/>
  <c r="L336" i="7"/>
  <c r="M337" i="7"/>
  <c r="G339" i="7"/>
  <c r="H340" i="7"/>
  <c r="I341" i="7"/>
  <c r="J342" i="7"/>
  <c r="K343" i="7"/>
  <c r="L344" i="7"/>
  <c r="M345" i="7"/>
  <c r="G347" i="7"/>
  <c r="H348" i="7"/>
  <c r="I349" i="7"/>
  <c r="J350" i="7"/>
  <c r="K351" i="7"/>
  <c r="L352" i="7"/>
  <c r="M353" i="7"/>
  <c r="G355" i="7"/>
  <c r="H356" i="7"/>
  <c r="I357" i="7"/>
  <c r="J358" i="7"/>
  <c r="K359" i="7"/>
  <c r="L360" i="7"/>
  <c r="K69" i="7"/>
  <c r="M87" i="7"/>
  <c r="H106" i="7"/>
  <c r="J124" i="7"/>
  <c r="J153" i="7"/>
  <c r="M163" i="7"/>
  <c r="J173" i="7"/>
  <c r="K182" i="7"/>
  <c r="L191" i="7"/>
  <c r="L199" i="7"/>
  <c r="M206" i="7"/>
  <c r="J212" i="7"/>
  <c r="K217" i="7"/>
  <c r="M222" i="7"/>
  <c r="G228" i="7"/>
  <c r="G233" i="7"/>
  <c r="K237" i="7"/>
  <c r="H242" i="7"/>
  <c r="L246" i="7"/>
  <c r="I251" i="7"/>
  <c r="I255" i="7"/>
  <c r="M258" i="7"/>
  <c r="G262" i="7"/>
  <c r="G265" i="7"/>
  <c r="L267" i="7"/>
  <c r="I270" i="7"/>
  <c r="M272" i="7"/>
  <c r="J275" i="7"/>
  <c r="H278" i="7"/>
  <c r="L280" i="7"/>
  <c r="I283" i="7"/>
  <c r="G286" i="7"/>
  <c r="K288" i="7"/>
  <c r="H291" i="7"/>
  <c r="L293" i="7"/>
  <c r="J296" i="7"/>
  <c r="G299" i="7"/>
  <c r="K301" i="7"/>
  <c r="M303" i="7"/>
  <c r="H306" i="7"/>
  <c r="J308" i="7"/>
  <c r="K310" i="7"/>
  <c r="H312" i="7"/>
  <c r="K313" i="7"/>
  <c r="M314" i="7"/>
  <c r="I316" i="7"/>
  <c r="K317" i="7"/>
  <c r="M318" i="7"/>
  <c r="H320" i="7"/>
  <c r="J321" i="7"/>
  <c r="L322" i="7"/>
  <c r="G324" i="7"/>
  <c r="J325" i="7"/>
  <c r="L326" i="7"/>
  <c r="G328" i="7"/>
  <c r="I329" i="7"/>
  <c r="K330" i="7"/>
  <c r="M331" i="7"/>
  <c r="H333" i="7"/>
  <c r="K334" i="7"/>
  <c r="M335" i="7"/>
  <c r="H337" i="7"/>
  <c r="J338" i="7"/>
  <c r="L339" i="7"/>
  <c r="G341" i="7"/>
  <c r="I342" i="7"/>
  <c r="L343" i="7"/>
  <c r="G345" i="7"/>
  <c r="I346" i="7"/>
  <c r="K347" i="7"/>
  <c r="M348" i="7"/>
  <c r="H350" i="7"/>
  <c r="J351" i="7"/>
  <c r="M352" i="7"/>
  <c r="H354" i="7"/>
  <c r="J355" i="7"/>
  <c r="L356" i="7"/>
  <c r="G358" i="7"/>
  <c r="I359" i="7"/>
  <c r="K360" i="7"/>
  <c r="M361" i="7"/>
  <c r="G363" i="7"/>
  <c r="H364" i="7"/>
  <c r="I365" i="7"/>
  <c r="J366" i="7"/>
  <c r="K367" i="7"/>
  <c r="L368" i="7"/>
  <c r="M369" i="7"/>
  <c r="G371" i="7"/>
  <c r="H372" i="7"/>
  <c r="I373" i="7"/>
  <c r="J374" i="7"/>
  <c r="K375" i="7"/>
  <c r="L376" i="7"/>
  <c r="M377" i="7"/>
  <c r="G379" i="7"/>
  <c r="H380" i="7"/>
  <c r="I381" i="7"/>
  <c r="J382" i="7"/>
  <c r="K383" i="7"/>
  <c r="L384" i="7"/>
  <c r="M385" i="7"/>
  <c r="G387" i="7"/>
  <c r="H388" i="7"/>
  <c r="I389" i="7"/>
  <c r="J390" i="7"/>
  <c r="K391" i="7"/>
  <c r="L392" i="7"/>
  <c r="M393" i="7"/>
  <c r="G395" i="7"/>
  <c r="H396" i="7"/>
  <c r="I397" i="7"/>
  <c r="J398" i="7"/>
  <c r="K399" i="7"/>
  <c r="L400" i="7"/>
  <c r="M401" i="7"/>
  <c r="G403" i="7"/>
  <c r="H404" i="7"/>
  <c r="I405" i="7"/>
  <c r="J406" i="7"/>
  <c r="K407" i="7"/>
  <c r="L408" i="7"/>
  <c r="M409" i="7"/>
  <c r="G411" i="7"/>
  <c r="H412" i="7"/>
  <c r="I413" i="7"/>
  <c r="J414" i="7"/>
  <c r="K415" i="7"/>
  <c r="L416" i="7"/>
  <c r="M417" i="7"/>
  <c r="G419" i="7"/>
  <c r="H420" i="7"/>
  <c r="I421" i="7"/>
  <c r="J422" i="7"/>
  <c r="K423" i="7"/>
  <c r="L424" i="7"/>
  <c r="M425" i="7"/>
  <c r="G427" i="7"/>
  <c r="H428" i="7"/>
  <c r="I429" i="7"/>
  <c r="J430" i="7"/>
  <c r="K431" i="7"/>
  <c r="L432" i="7"/>
  <c r="M433" i="7"/>
  <c r="G435" i="7"/>
  <c r="M71" i="7"/>
  <c r="H90" i="7"/>
  <c r="J108" i="7"/>
  <c r="L126" i="7"/>
  <c r="G156" i="7"/>
  <c r="K166" i="7"/>
  <c r="L175" i="7"/>
  <c r="M184" i="7"/>
  <c r="G194" i="7"/>
  <c r="K201" i="7"/>
  <c r="J208" i="7"/>
  <c r="L213" i="7"/>
  <c r="M218" i="7"/>
  <c r="H224" i="7"/>
  <c r="J229" i="7"/>
  <c r="H234" i="7"/>
  <c r="L238" i="7"/>
  <c r="I243" i="7"/>
  <c r="M247" i="7"/>
  <c r="J252" i="7"/>
  <c r="I256" i="7"/>
  <c r="L259" i="7"/>
  <c r="L262" i="7"/>
  <c r="L265" i="7"/>
  <c r="I268" i="7"/>
  <c r="M270" i="7"/>
  <c r="K273" i="7"/>
  <c r="H276" i="7"/>
  <c r="L278" i="7"/>
  <c r="J281" i="7"/>
  <c r="G284" i="7"/>
  <c r="K286" i="7"/>
  <c r="H289" i="7"/>
  <c r="M291" i="7"/>
  <c r="J294" i="7"/>
  <c r="G297" i="7"/>
  <c r="L299" i="7"/>
  <c r="H302" i="7"/>
  <c r="J304" i="7"/>
  <c r="L306" i="7"/>
  <c r="G309" i="7"/>
  <c r="L310" i="7"/>
  <c r="J312" i="7"/>
  <c r="L313" i="7"/>
  <c r="H315" i="7"/>
  <c r="J316" i="7"/>
  <c r="L317" i="7"/>
  <c r="G319" i="7"/>
  <c r="I320" i="7"/>
  <c r="K321" i="7"/>
  <c r="M322" i="7"/>
  <c r="I324" i="7"/>
  <c r="K325" i="7"/>
  <c r="M326" i="7"/>
  <c r="H328" i="7"/>
  <c r="J329" i="7"/>
  <c r="L330" i="7"/>
  <c r="G332" i="7"/>
  <c r="J333" i="7"/>
  <c r="L334" i="7"/>
  <c r="G336" i="7"/>
  <c r="I337" i="7"/>
  <c r="K338" i="7"/>
  <c r="M339" i="7"/>
  <c r="H341" i="7"/>
  <c r="K342" i="7"/>
  <c r="M343" i="7"/>
  <c r="H345" i="7"/>
  <c r="J346" i="7"/>
  <c r="L347" i="7"/>
  <c r="G349" i="7"/>
  <c r="I350" i="7"/>
  <c r="L351" i="7"/>
  <c r="G353" i="7"/>
  <c r="I354" i="7"/>
  <c r="K355" i="7"/>
  <c r="M356" i="7"/>
  <c r="H358" i="7"/>
  <c r="J359" i="7"/>
  <c r="M360" i="7"/>
  <c r="G362" i="7"/>
  <c r="H363" i="7"/>
  <c r="I364" i="7"/>
  <c r="J365" i="7"/>
  <c r="K366" i="7"/>
  <c r="L367" i="7"/>
  <c r="G74" i="7"/>
  <c r="I92" i="7"/>
  <c r="K110" i="7"/>
  <c r="M128" i="7"/>
  <c r="L137" i="7"/>
  <c r="I156" i="7"/>
  <c r="L166" i="7"/>
  <c r="M175" i="7"/>
  <c r="G185" i="7"/>
  <c r="H194" i="7"/>
  <c r="L201" i="7"/>
  <c r="K208" i="7"/>
  <c r="M213" i="7"/>
  <c r="H219" i="7"/>
  <c r="I224" i="7"/>
  <c r="K229" i="7"/>
  <c r="I234" i="7"/>
  <c r="M238" i="7"/>
  <c r="J243" i="7"/>
  <c r="G248" i="7"/>
  <c r="K252" i="7"/>
  <c r="J256" i="7"/>
  <c r="M259" i="7"/>
  <c r="M262" i="7"/>
  <c r="M265" i="7"/>
  <c r="J268" i="7"/>
  <c r="H271" i="7"/>
  <c r="L273" i="7"/>
  <c r="I276" i="7"/>
  <c r="M278" i="7"/>
  <c r="K281" i="7"/>
  <c r="H284" i="7"/>
  <c r="L286" i="7"/>
  <c r="J289" i="7"/>
  <c r="G292" i="7"/>
  <c r="K294" i="7"/>
  <c r="H297" i="7"/>
  <c r="M299" i="7"/>
  <c r="I302" i="7"/>
  <c r="K304" i="7"/>
  <c r="M306" i="7"/>
  <c r="H309" i="7"/>
  <c r="G311" i="7"/>
  <c r="K312" i="7"/>
  <c r="G314" i="7"/>
  <c r="I315" i="7"/>
  <c r="K316" i="7"/>
  <c r="M317" i="7"/>
  <c r="H319" i="7"/>
  <c r="J320" i="7"/>
  <c r="L321" i="7"/>
  <c r="H323" i="7"/>
  <c r="J324" i="7"/>
  <c r="L325" i="7"/>
  <c r="G327" i="7"/>
  <c r="I328" i="7"/>
  <c r="K329" i="7"/>
  <c r="M330" i="7"/>
  <c r="I332" i="7"/>
  <c r="K333" i="7"/>
  <c r="M334" i="7"/>
  <c r="H336" i="7"/>
  <c r="J337" i="7"/>
  <c r="L338" i="7"/>
  <c r="G340" i="7"/>
  <c r="J341" i="7"/>
  <c r="L342" i="7"/>
  <c r="G344" i="7"/>
  <c r="I345" i="7"/>
  <c r="K346" i="7"/>
  <c r="M347" i="7"/>
  <c r="H349" i="7"/>
  <c r="K350" i="7"/>
  <c r="M351" i="7"/>
  <c r="H353" i="7"/>
  <c r="J354" i="7"/>
  <c r="L355" i="7"/>
  <c r="G357" i="7"/>
  <c r="I358" i="7"/>
  <c r="L359" i="7"/>
  <c r="G361" i="7"/>
  <c r="H362" i="7"/>
  <c r="I363" i="7"/>
  <c r="J364" i="7"/>
  <c r="K365" i="7"/>
  <c r="L366" i="7"/>
  <c r="M367" i="7"/>
  <c r="G369" i="7"/>
  <c r="H370" i="7"/>
  <c r="I371" i="7"/>
  <c r="J372" i="7"/>
  <c r="K373" i="7"/>
  <c r="L374" i="7"/>
  <c r="M375" i="7"/>
  <c r="G377" i="7"/>
  <c r="H378" i="7"/>
  <c r="I379" i="7"/>
  <c r="J380" i="7"/>
  <c r="K381" i="7"/>
  <c r="L382" i="7"/>
  <c r="M383" i="7"/>
  <c r="G385" i="7"/>
  <c r="H386" i="7"/>
  <c r="I387" i="7"/>
  <c r="J388" i="7"/>
  <c r="K389" i="7"/>
  <c r="L390" i="7"/>
  <c r="M391" i="7"/>
  <c r="G393" i="7"/>
  <c r="H394" i="7"/>
  <c r="I395" i="7"/>
  <c r="J396" i="7"/>
  <c r="K397" i="7"/>
  <c r="L398" i="7"/>
  <c r="M399" i="7"/>
  <c r="G401" i="7"/>
  <c r="H402" i="7"/>
  <c r="I403" i="7"/>
  <c r="J404" i="7"/>
  <c r="K405" i="7"/>
  <c r="L406" i="7"/>
  <c r="M407" i="7"/>
  <c r="G409" i="7"/>
  <c r="H410" i="7"/>
  <c r="I411" i="7"/>
  <c r="J412" i="7"/>
  <c r="K413" i="7"/>
  <c r="L414" i="7"/>
  <c r="M415" i="7"/>
  <c r="G417" i="7"/>
  <c r="H418" i="7"/>
  <c r="I419" i="7"/>
  <c r="J420" i="7"/>
  <c r="K421" i="7"/>
  <c r="L422" i="7"/>
  <c r="M423" i="7"/>
  <c r="G425" i="7"/>
  <c r="H426" i="7"/>
  <c r="I427" i="7"/>
  <c r="J428" i="7"/>
  <c r="K429" i="7"/>
  <c r="L430" i="7"/>
  <c r="M431" i="7"/>
  <c r="G433" i="7"/>
  <c r="H434" i="7"/>
  <c r="I435" i="7"/>
  <c r="J436" i="7"/>
  <c r="K437" i="7"/>
  <c r="L438" i="7"/>
  <c r="M439" i="7"/>
  <c r="G441" i="7"/>
  <c r="H442" i="7"/>
  <c r="I443" i="7"/>
  <c r="J444" i="7"/>
  <c r="K445" i="7"/>
  <c r="L446" i="7"/>
  <c r="M447" i="7"/>
  <c r="G449" i="7"/>
  <c r="H450" i="7"/>
  <c r="I451" i="7"/>
  <c r="J452" i="7"/>
  <c r="K453" i="7"/>
  <c r="L454" i="7"/>
  <c r="M455" i="7"/>
  <c r="G457" i="7"/>
  <c r="H458" i="7"/>
  <c r="I459" i="7"/>
  <c r="J460" i="7"/>
  <c r="G81" i="7"/>
  <c r="I99" i="7"/>
  <c r="K117" i="7"/>
  <c r="L150" i="7"/>
  <c r="I161" i="7"/>
  <c r="H171" i="7"/>
  <c r="I180" i="7"/>
  <c r="J189" i="7"/>
  <c r="L197" i="7"/>
  <c r="H205" i="7"/>
  <c r="H211" i="7"/>
  <c r="I216" i="7"/>
  <c r="K221" i="7"/>
  <c r="L226" i="7"/>
  <c r="M231" i="7"/>
  <c r="J236" i="7"/>
  <c r="G241" i="7"/>
  <c r="K245" i="7"/>
  <c r="H250" i="7"/>
  <c r="I254" i="7"/>
  <c r="H258" i="7"/>
  <c r="H261" i="7"/>
  <c r="I264" i="7"/>
  <c r="G267" i="7"/>
  <c r="K269" i="7"/>
  <c r="I272" i="7"/>
  <c r="M274" i="7"/>
  <c r="J277" i="7"/>
  <c r="G280" i="7"/>
  <c r="L282" i="7"/>
  <c r="I285" i="7"/>
  <c r="M287" i="7"/>
  <c r="K290" i="7"/>
  <c r="H293" i="7"/>
  <c r="L295" i="7"/>
  <c r="I298" i="7"/>
  <c r="G301" i="7"/>
  <c r="I303" i="7"/>
  <c r="K305" i="7"/>
  <c r="M307" i="7"/>
  <c r="M309" i="7"/>
  <c r="L311" i="7"/>
  <c r="H313" i="7"/>
  <c r="J314" i="7"/>
  <c r="L315" i="7"/>
  <c r="G317" i="7"/>
  <c r="I318" i="7"/>
  <c r="L319" i="7"/>
  <c r="G321" i="7"/>
  <c r="I322" i="7"/>
  <c r="K323" i="7"/>
  <c r="M324" i="7"/>
  <c r="H326" i="7"/>
  <c r="J327" i="7"/>
  <c r="M328" i="7"/>
  <c r="H330" i="7"/>
  <c r="J331" i="7"/>
  <c r="L332" i="7"/>
  <c r="G334" i="7"/>
  <c r="I335" i="7"/>
  <c r="K336" i="7"/>
  <c r="G338" i="7"/>
  <c r="I339" i="7"/>
  <c r="K340" i="7"/>
  <c r="M341" i="7"/>
  <c r="H343" i="7"/>
  <c r="J344" i="7"/>
  <c r="L345" i="7"/>
  <c r="H347" i="7"/>
  <c r="J348" i="7"/>
  <c r="L349" i="7"/>
  <c r="G351" i="7"/>
  <c r="I352" i="7"/>
  <c r="K353" i="7"/>
  <c r="M354" i="7"/>
  <c r="I356" i="7"/>
  <c r="K357" i="7"/>
  <c r="M358" i="7"/>
  <c r="H360" i="7"/>
  <c r="J361" i="7"/>
  <c r="K362" i="7"/>
  <c r="L363" i="7"/>
  <c r="M364" i="7"/>
  <c r="G366" i="7"/>
  <c r="H367" i="7"/>
  <c r="I368" i="7"/>
  <c r="J369" i="7"/>
  <c r="K370" i="7"/>
  <c r="L371" i="7"/>
  <c r="M372" i="7"/>
  <c r="G374" i="7"/>
  <c r="H375" i="7"/>
  <c r="I376" i="7"/>
  <c r="J377" i="7"/>
  <c r="K378" i="7"/>
  <c r="L379" i="7"/>
  <c r="M380" i="7"/>
  <c r="G382" i="7"/>
  <c r="H383" i="7"/>
  <c r="I384" i="7"/>
  <c r="J385" i="7"/>
  <c r="K386" i="7"/>
  <c r="L387" i="7"/>
  <c r="M388" i="7"/>
  <c r="G390" i="7"/>
  <c r="H391" i="7"/>
  <c r="I392" i="7"/>
  <c r="J393" i="7"/>
  <c r="K394" i="7"/>
  <c r="L395" i="7"/>
  <c r="M396" i="7"/>
  <c r="G398" i="7"/>
  <c r="H399" i="7"/>
  <c r="I400" i="7"/>
  <c r="J401" i="7"/>
  <c r="K402" i="7"/>
  <c r="L403" i="7"/>
  <c r="M404" i="7"/>
  <c r="G406" i="7"/>
  <c r="H407" i="7"/>
  <c r="I408" i="7"/>
  <c r="J409" i="7"/>
  <c r="K410" i="7"/>
  <c r="L411" i="7"/>
  <c r="M412" i="7"/>
  <c r="G414" i="7"/>
  <c r="H415" i="7"/>
  <c r="I416" i="7"/>
  <c r="J417" i="7"/>
  <c r="K418" i="7"/>
  <c r="L419" i="7"/>
  <c r="M420" i="7"/>
  <c r="G422" i="7"/>
  <c r="H423" i="7"/>
  <c r="I424" i="7"/>
  <c r="J425" i="7"/>
  <c r="K426" i="7"/>
  <c r="L427" i="7"/>
  <c r="M428" i="7"/>
  <c r="G430" i="7"/>
  <c r="H431" i="7"/>
  <c r="I432" i="7"/>
  <c r="J433" i="7"/>
  <c r="K434" i="7"/>
  <c r="L435" i="7"/>
  <c r="M436" i="7"/>
  <c r="G438" i="7"/>
  <c r="H439" i="7"/>
  <c r="I440" i="7"/>
  <c r="J441" i="7"/>
  <c r="K442" i="7"/>
  <c r="L443" i="7"/>
  <c r="M444" i="7"/>
  <c r="G446" i="7"/>
  <c r="H447" i="7"/>
  <c r="I448" i="7"/>
  <c r="J449" i="7"/>
  <c r="K450" i="7"/>
  <c r="L451" i="7"/>
  <c r="M452" i="7"/>
  <c r="G454" i="7"/>
  <c r="H455" i="7"/>
  <c r="I456" i="7"/>
  <c r="J457" i="7"/>
  <c r="K458" i="7"/>
  <c r="L459" i="7"/>
  <c r="M460" i="7"/>
  <c r="G462" i="7"/>
  <c r="H463" i="7"/>
  <c r="I464" i="7"/>
  <c r="H74" i="7"/>
  <c r="L110" i="7"/>
  <c r="L158" i="7"/>
  <c r="G178" i="7"/>
  <c r="G196" i="7"/>
  <c r="L209" i="7"/>
  <c r="I220" i="7"/>
  <c r="L230" i="7"/>
  <c r="M239" i="7"/>
  <c r="G249" i="7"/>
  <c r="H257" i="7"/>
  <c r="J263" i="7"/>
  <c r="G269" i="7"/>
  <c r="H274" i="7"/>
  <c r="J279" i="7"/>
  <c r="K284" i="7"/>
  <c r="M289" i="7"/>
  <c r="H295" i="7"/>
  <c r="I300" i="7"/>
  <c r="G305" i="7"/>
  <c r="K309" i="7"/>
  <c r="G313" i="7"/>
  <c r="K315" i="7"/>
  <c r="H318" i="7"/>
  <c r="M320" i="7"/>
  <c r="J323" i="7"/>
  <c r="G326" i="7"/>
  <c r="K328" i="7"/>
  <c r="I331" i="7"/>
  <c r="M333" i="7"/>
  <c r="J336" i="7"/>
  <c r="H339" i="7"/>
  <c r="L341" i="7"/>
  <c r="I344" i="7"/>
  <c r="M346" i="7"/>
  <c r="K349" i="7"/>
  <c r="H352" i="7"/>
  <c r="L354" i="7"/>
  <c r="J357" i="7"/>
  <c r="G360" i="7"/>
  <c r="J362" i="7"/>
  <c r="L364" i="7"/>
  <c r="G367" i="7"/>
  <c r="H369" i="7"/>
  <c r="M370" i="7"/>
  <c r="L372" i="7"/>
  <c r="K374" i="7"/>
  <c r="J376" i="7"/>
  <c r="I378" i="7"/>
  <c r="G380" i="7"/>
  <c r="M381" i="7"/>
  <c r="L383" i="7"/>
  <c r="K385" i="7"/>
  <c r="J387" i="7"/>
  <c r="H389" i="7"/>
  <c r="G391" i="7"/>
  <c r="M392" i="7"/>
  <c r="L394" i="7"/>
  <c r="K396" i="7"/>
  <c r="I398" i="7"/>
  <c r="H400" i="7"/>
  <c r="G402" i="7"/>
  <c r="M403" i="7"/>
  <c r="L405" i="7"/>
  <c r="J407" i="7"/>
  <c r="I409" i="7"/>
  <c r="H411" i="7"/>
  <c r="G413" i="7"/>
  <c r="M414" i="7"/>
  <c r="K416" i="7"/>
  <c r="J418" i="7"/>
  <c r="I420" i="7"/>
  <c r="H422" i="7"/>
  <c r="G424" i="7"/>
  <c r="L78" i="7"/>
  <c r="I115" i="7"/>
  <c r="J161" i="7"/>
  <c r="J180" i="7"/>
  <c r="H198" i="7"/>
  <c r="I211" i="7"/>
  <c r="L221" i="7"/>
  <c r="G232" i="7"/>
  <c r="H241" i="7"/>
  <c r="I250" i="7"/>
  <c r="I258" i="7"/>
  <c r="J264" i="7"/>
  <c r="L269" i="7"/>
  <c r="G275" i="7"/>
  <c r="I280" i="7"/>
  <c r="J285" i="7"/>
  <c r="L290" i="7"/>
  <c r="M295" i="7"/>
  <c r="H301" i="7"/>
  <c r="L305" i="7"/>
  <c r="H310" i="7"/>
  <c r="I313" i="7"/>
  <c r="M315" i="7"/>
  <c r="K318" i="7"/>
  <c r="H321" i="7"/>
  <c r="L323" i="7"/>
  <c r="I326" i="7"/>
  <c r="G329" i="7"/>
  <c r="K331" i="7"/>
  <c r="H334" i="7"/>
  <c r="M336" i="7"/>
  <c r="J339" i="7"/>
  <c r="G342" i="7"/>
  <c r="K344" i="7"/>
  <c r="I347" i="7"/>
  <c r="M349" i="7"/>
  <c r="J352" i="7"/>
  <c r="H355" i="7"/>
  <c r="L357" i="7"/>
  <c r="I360" i="7"/>
  <c r="L362" i="7"/>
  <c r="G365" i="7"/>
  <c r="I367" i="7"/>
  <c r="I369" i="7"/>
  <c r="H371" i="7"/>
  <c r="G373" i="7"/>
  <c r="M374" i="7"/>
  <c r="K376" i="7"/>
  <c r="J378" i="7"/>
  <c r="I380" i="7"/>
  <c r="H382" i="7"/>
  <c r="G384" i="7"/>
  <c r="L385" i="7"/>
  <c r="K387" i="7"/>
  <c r="J389" i="7"/>
  <c r="I391" i="7"/>
  <c r="H393" i="7"/>
  <c r="M394" i="7"/>
  <c r="L396" i="7"/>
  <c r="K398" i="7"/>
  <c r="J400" i="7"/>
  <c r="I402" i="7"/>
  <c r="G404" i="7"/>
  <c r="M405" i="7"/>
  <c r="L407" i="7"/>
  <c r="K409" i="7"/>
  <c r="J411" i="7"/>
  <c r="H413" i="7"/>
  <c r="G415" i="7"/>
  <c r="M416" i="7"/>
  <c r="L418" i="7"/>
  <c r="K420" i="7"/>
  <c r="I422" i="7"/>
  <c r="H424" i="7"/>
  <c r="G426" i="7"/>
  <c r="M427" i="7"/>
  <c r="L429" i="7"/>
  <c r="J431" i="7"/>
  <c r="I433" i="7"/>
  <c r="H435" i="7"/>
  <c r="L436" i="7"/>
  <c r="I438" i="7"/>
  <c r="H83" i="7"/>
  <c r="L119" i="7"/>
  <c r="K162" i="7"/>
  <c r="J181" i="7"/>
  <c r="L198" i="7"/>
  <c r="L211" i="7"/>
  <c r="H222" i="7"/>
  <c r="J232" i="7"/>
  <c r="K241" i="7"/>
  <c r="L250" i="7"/>
  <c r="L258" i="7"/>
  <c r="L264" i="7"/>
  <c r="H270" i="7"/>
  <c r="I275" i="7"/>
  <c r="K280" i="7"/>
  <c r="L285" i="7"/>
  <c r="G291" i="7"/>
  <c r="I296" i="7"/>
  <c r="J301" i="7"/>
  <c r="G306" i="7"/>
  <c r="I310" i="7"/>
  <c r="J313" i="7"/>
  <c r="G316" i="7"/>
  <c r="L318" i="7"/>
  <c r="I321" i="7"/>
  <c r="M323" i="7"/>
  <c r="K326" i="7"/>
  <c r="H329" i="7"/>
  <c r="L331" i="7"/>
  <c r="I334" i="7"/>
  <c r="G337" i="7"/>
  <c r="K339" i="7"/>
  <c r="H342" i="7"/>
  <c r="M344" i="7"/>
  <c r="J347" i="7"/>
  <c r="G350" i="7"/>
  <c r="K352" i="7"/>
  <c r="I355" i="7"/>
  <c r="M357" i="7"/>
  <c r="J360" i="7"/>
  <c r="M362" i="7"/>
  <c r="H365" i="7"/>
  <c r="J367" i="7"/>
  <c r="K369" i="7"/>
  <c r="J371" i="7"/>
  <c r="H373" i="7"/>
  <c r="G375" i="7"/>
  <c r="M376" i="7"/>
  <c r="L378" i="7"/>
  <c r="K380" i="7"/>
  <c r="I382" i="7"/>
  <c r="H384" i="7"/>
  <c r="G386" i="7"/>
  <c r="M387" i="7"/>
  <c r="L389" i="7"/>
  <c r="J391" i="7"/>
  <c r="I393" i="7"/>
  <c r="H395" i="7"/>
  <c r="G397" i="7"/>
  <c r="M398" i="7"/>
  <c r="K400" i="7"/>
  <c r="J402" i="7"/>
  <c r="I404" i="7"/>
  <c r="H406" i="7"/>
  <c r="G408" i="7"/>
  <c r="L409" i="7"/>
  <c r="K411" i="7"/>
  <c r="J413" i="7"/>
  <c r="I415" i="7"/>
  <c r="H417" i="7"/>
  <c r="M418" i="7"/>
  <c r="L420" i="7"/>
  <c r="J101" i="7"/>
  <c r="H152" i="7"/>
  <c r="I172" i="7"/>
  <c r="K190" i="7"/>
  <c r="H206" i="7"/>
  <c r="G217" i="7"/>
  <c r="J227" i="7"/>
  <c r="G237" i="7"/>
  <c r="H246" i="7"/>
  <c r="H255" i="7"/>
  <c r="L261" i="7"/>
  <c r="J267" i="7"/>
  <c r="L272" i="7"/>
  <c r="G278" i="7"/>
  <c r="H283" i="7"/>
  <c r="J288" i="7"/>
  <c r="K293" i="7"/>
  <c r="M298" i="7"/>
  <c r="L303" i="7"/>
  <c r="I308" i="7"/>
  <c r="G312" i="7"/>
  <c r="L314" i="7"/>
  <c r="J317" i="7"/>
  <c r="G320" i="7"/>
  <c r="K322" i="7"/>
  <c r="H325" i="7"/>
  <c r="M327" i="7"/>
  <c r="J330" i="7"/>
  <c r="G333" i="7"/>
  <c r="L335" i="7"/>
  <c r="I338" i="7"/>
  <c r="M340" i="7"/>
  <c r="J343" i="7"/>
  <c r="H346" i="7"/>
  <c r="L348" i="7"/>
  <c r="I351" i="7"/>
  <c r="G354" i="7"/>
  <c r="K356" i="7"/>
  <c r="H359" i="7"/>
  <c r="L361" i="7"/>
  <c r="G364" i="7"/>
  <c r="I366" i="7"/>
  <c r="K368" i="7"/>
  <c r="J370" i="7"/>
  <c r="I372" i="7"/>
  <c r="H374" i="7"/>
  <c r="G376" i="7"/>
  <c r="L377" i="7"/>
  <c r="K379" i="7"/>
  <c r="J381" i="7"/>
  <c r="I383" i="7"/>
  <c r="H385" i="7"/>
  <c r="M386" i="7"/>
  <c r="L388" i="7"/>
  <c r="K390" i="7"/>
  <c r="J392" i="7"/>
  <c r="I394" i="7"/>
  <c r="G396" i="7"/>
  <c r="M397" i="7"/>
  <c r="L399" i="7"/>
  <c r="K401" i="7"/>
  <c r="J403" i="7"/>
  <c r="H405" i="7"/>
  <c r="G407" i="7"/>
  <c r="M408" i="7"/>
  <c r="L410" i="7"/>
  <c r="K412" i="7"/>
  <c r="I414" i="7"/>
  <c r="H416" i="7"/>
  <c r="G418" i="7"/>
  <c r="M419" i="7"/>
  <c r="L421" i="7"/>
  <c r="J423" i="7"/>
  <c r="I425" i="7"/>
  <c r="H427" i="7"/>
  <c r="G429" i="7"/>
  <c r="M430" i="7"/>
  <c r="K432" i="7"/>
  <c r="J434" i="7"/>
  <c r="H436" i="7"/>
  <c r="L437" i="7"/>
  <c r="I439" i="7"/>
  <c r="L440" i="7"/>
  <c r="I442" i="7"/>
  <c r="M443" i="7"/>
  <c r="I83" i="7"/>
  <c r="L167" i="7"/>
  <c r="I202" i="7"/>
  <c r="M224" i="7"/>
  <c r="M243" i="7"/>
  <c r="H260" i="7"/>
  <c r="J271" i="7"/>
  <c r="M281" i="7"/>
  <c r="I292" i="7"/>
  <c r="K302" i="7"/>
  <c r="I311" i="7"/>
  <c r="L316" i="7"/>
  <c r="G322" i="7"/>
  <c r="H327" i="7"/>
  <c r="J332" i="7"/>
  <c r="K337" i="7"/>
  <c r="M342" i="7"/>
  <c r="G348" i="7"/>
  <c r="I353" i="7"/>
  <c r="K358" i="7"/>
  <c r="J363" i="7"/>
  <c r="G368" i="7"/>
  <c r="K371" i="7"/>
  <c r="I375" i="7"/>
  <c r="M378" i="7"/>
  <c r="K382" i="7"/>
  <c r="I386" i="7"/>
  <c r="M389" i="7"/>
  <c r="K393" i="7"/>
  <c r="H397" i="7"/>
  <c r="M400" i="7"/>
  <c r="K404" i="7"/>
  <c r="H408" i="7"/>
  <c r="M411" i="7"/>
  <c r="J415" i="7"/>
  <c r="H419" i="7"/>
  <c r="K422" i="7"/>
  <c r="H425" i="7"/>
  <c r="K427" i="7"/>
  <c r="H430" i="7"/>
  <c r="J432" i="7"/>
  <c r="M434" i="7"/>
  <c r="H437" i="7"/>
  <c r="G439" i="7"/>
  <c r="M440" i="7"/>
  <c r="L442" i="7"/>
  <c r="I444" i="7"/>
  <c r="M445" i="7"/>
  <c r="J447" i="7"/>
  <c r="M448" i="7"/>
  <c r="J450" i="7"/>
  <c r="G452" i="7"/>
  <c r="J453" i="7"/>
  <c r="G455" i="7"/>
  <c r="K456" i="7"/>
  <c r="G458" i="7"/>
  <c r="K459" i="7"/>
  <c r="H461" i="7"/>
  <c r="J462" i="7"/>
  <c r="L463" i="7"/>
  <c r="G465" i="7"/>
  <c r="H466" i="7"/>
  <c r="I467" i="7"/>
  <c r="J468" i="7"/>
  <c r="K469" i="7"/>
  <c r="L470" i="7"/>
  <c r="M471" i="7"/>
  <c r="G473" i="7"/>
  <c r="H474" i="7"/>
  <c r="I475" i="7"/>
  <c r="J476" i="7"/>
  <c r="K477" i="7"/>
  <c r="L478" i="7"/>
  <c r="M479" i="7"/>
  <c r="G481" i="7"/>
  <c r="H482" i="7"/>
  <c r="I483" i="7"/>
  <c r="J484" i="7"/>
  <c r="K485" i="7"/>
  <c r="L486" i="7"/>
  <c r="M487" i="7"/>
  <c r="G489" i="7"/>
  <c r="H490" i="7"/>
  <c r="I491" i="7"/>
  <c r="J492" i="7"/>
  <c r="K493" i="7"/>
  <c r="L494" i="7"/>
  <c r="M495" i="7"/>
  <c r="G497" i="7"/>
  <c r="H498" i="7"/>
  <c r="I499" i="7"/>
  <c r="J500" i="7"/>
  <c r="K501" i="7"/>
  <c r="L502" i="7"/>
  <c r="M503" i="7"/>
  <c r="G505" i="7"/>
  <c r="H506" i="7"/>
  <c r="I507" i="7"/>
  <c r="J508" i="7"/>
  <c r="K509" i="7"/>
  <c r="L510" i="7"/>
  <c r="M511" i="7"/>
  <c r="G513" i="7"/>
  <c r="H514" i="7"/>
  <c r="I515" i="7"/>
  <c r="J516" i="7"/>
  <c r="K517" i="7"/>
  <c r="L518" i="7"/>
  <c r="M519" i="7"/>
  <c r="G521" i="7"/>
  <c r="H522" i="7"/>
  <c r="I523" i="7"/>
  <c r="J524" i="7"/>
  <c r="K525" i="7"/>
  <c r="L526" i="7"/>
  <c r="M527" i="7"/>
  <c r="G529" i="7"/>
  <c r="H530" i="7"/>
  <c r="I531" i="7"/>
  <c r="J532" i="7"/>
  <c r="K533" i="7"/>
  <c r="L534" i="7"/>
  <c r="M535" i="7"/>
  <c r="G537" i="7"/>
  <c r="H538" i="7"/>
  <c r="I539" i="7"/>
  <c r="J540" i="7"/>
  <c r="K541" i="7"/>
  <c r="L542" i="7"/>
  <c r="M543" i="7"/>
  <c r="G545" i="7"/>
  <c r="H546" i="7"/>
  <c r="I547" i="7"/>
  <c r="J548" i="7"/>
  <c r="K549" i="7"/>
  <c r="L550" i="7"/>
  <c r="M551" i="7"/>
  <c r="G553" i="7"/>
  <c r="H554" i="7"/>
  <c r="I555" i="7"/>
  <c r="J556" i="7"/>
  <c r="K557" i="7"/>
  <c r="L558" i="7"/>
  <c r="M559" i="7"/>
  <c r="G561" i="7"/>
  <c r="H562" i="7"/>
  <c r="I563" i="7"/>
  <c r="J564" i="7"/>
  <c r="K565" i="7"/>
  <c r="L566" i="7"/>
  <c r="M567" i="7"/>
  <c r="G569" i="7"/>
  <c r="H570" i="7"/>
  <c r="I571" i="7"/>
  <c r="J572" i="7"/>
  <c r="K573" i="7"/>
  <c r="L574" i="7"/>
  <c r="M575" i="7"/>
  <c r="G577" i="7"/>
  <c r="H578" i="7"/>
  <c r="I579" i="7"/>
  <c r="J580" i="7"/>
  <c r="K581" i="7"/>
  <c r="L582" i="7"/>
  <c r="J92" i="7"/>
  <c r="M168" i="7"/>
  <c r="I203" i="7"/>
  <c r="J225" i="7"/>
  <c r="J244" i="7"/>
  <c r="J260" i="7"/>
  <c r="K271" i="7"/>
  <c r="G282" i="7"/>
  <c r="J292" i="7"/>
  <c r="L302" i="7"/>
  <c r="J311" i="7"/>
  <c r="M316" i="7"/>
  <c r="H322" i="7"/>
  <c r="I327" i="7"/>
  <c r="K332" i="7"/>
  <c r="L337" i="7"/>
  <c r="G343" i="7"/>
  <c r="I348" i="7"/>
  <c r="J353" i="7"/>
  <c r="L358" i="7"/>
  <c r="K363" i="7"/>
  <c r="H368" i="7"/>
  <c r="M371" i="7"/>
  <c r="J375" i="7"/>
  <c r="H379" i="7"/>
  <c r="M382" i="7"/>
  <c r="J386" i="7"/>
  <c r="H390" i="7"/>
  <c r="L393" i="7"/>
  <c r="J397" i="7"/>
  <c r="H401" i="7"/>
  <c r="L404" i="7"/>
  <c r="J408" i="7"/>
  <c r="G412" i="7"/>
  <c r="L415" i="7"/>
  <c r="J419" i="7"/>
  <c r="M422" i="7"/>
  <c r="K425" i="7"/>
  <c r="G428" i="7"/>
  <c r="I430" i="7"/>
  <c r="M432" i="7"/>
  <c r="J435" i="7"/>
  <c r="I437" i="7"/>
  <c r="J439" i="7"/>
  <c r="H441" i="7"/>
  <c r="M442" i="7"/>
  <c r="K444" i="7"/>
  <c r="H446" i="7"/>
  <c r="K447" i="7"/>
  <c r="H449" i="7"/>
  <c r="L450" i="7"/>
  <c r="H452" i="7"/>
  <c r="L453" i="7"/>
  <c r="I455" i="7"/>
  <c r="L456" i="7"/>
  <c r="I458" i="7"/>
  <c r="M459" i="7"/>
  <c r="I461" i="7"/>
  <c r="K462" i="7"/>
  <c r="M463" i="7"/>
  <c r="H465" i="7"/>
  <c r="I466" i="7"/>
  <c r="J467" i="7"/>
  <c r="K468" i="7"/>
  <c r="L469" i="7"/>
  <c r="M470" i="7"/>
  <c r="G472" i="7"/>
  <c r="H473" i="7"/>
  <c r="I474" i="7"/>
  <c r="J475" i="7"/>
  <c r="K476" i="7"/>
  <c r="L477" i="7"/>
  <c r="M478" i="7"/>
  <c r="G480" i="7"/>
  <c r="H481" i="7"/>
  <c r="I482" i="7"/>
  <c r="J483" i="7"/>
  <c r="K484" i="7"/>
  <c r="L485" i="7"/>
  <c r="M486" i="7"/>
  <c r="G488" i="7"/>
  <c r="H489" i="7"/>
  <c r="I490" i="7"/>
  <c r="J491" i="7"/>
  <c r="K492" i="7"/>
  <c r="L493" i="7"/>
  <c r="M494" i="7"/>
  <c r="G496" i="7"/>
  <c r="H497" i="7"/>
  <c r="I498" i="7"/>
  <c r="J499" i="7"/>
  <c r="K500" i="7"/>
  <c r="L501" i="7"/>
  <c r="M502" i="7"/>
  <c r="G504" i="7"/>
  <c r="H505" i="7"/>
  <c r="I506" i="7"/>
  <c r="J507" i="7"/>
  <c r="K508" i="7"/>
  <c r="L509" i="7"/>
  <c r="M510" i="7"/>
  <c r="G512" i="7"/>
  <c r="H513" i="7"/>
  <c r="I514" i="7"/>
  <c r="J515" i="7"/>
  <c r="K516" i="7"/>
  <c r="L517" i="7"/>
  <c r="M518" i="7"/>
  <c r="G520" i="7"/>
  <c r="H521" i="7"/>
  <c r="I522" i="7"/>
  <c r="J523" i="7"/>
  <c r="K524" i="7"/>
  <c r="L525" i="7"/>
  <c r="M526" i="7"/>
  <c r="G528" i="7"/>
  <c r="H529" i="7"/>
  <c r="I530" i="7"/>
  <c r="J531" i="7"/>
  <c r="K532" i="7"/>
  <c r="L533" i="7"/>
  <c r="M534" i="7"/>
  <c r="G536" i="7"/>
  <c r="H537" i="7"/>
  <c r="I538" i="7"/>
  <c r="J539" i="7"/>
  <c r="K540" i="7"/>
  <c r="L541" i="7"/>
  <c r="M542" i="7"/>
  <c r="G544" i="7"/>
  <c r="H545" i="7"/>
  <c r="I546" i="7"/>
  <c r="J547" i="7"/>
  <c r="K548" i="7"/>
  <c r="L549" i="7"/>
  <c r="M550" i="7"/>
  <c r="G552" i="7"/>
  <c r="H553" i="7"/>
  <c r="I554" i="7"/>
  <c r="J555" i="7"/>
  <c r="K556" i="7"/>
  <c r="L557" i="7"/>
  <c r="M558" i="7"/>
  <c r="G560" i="7"/>
  <c r="H561" i="7"/>
  <c r="I562" i="7"/>
  <c r="J563" i="7"/>
  <c r="K564" i="7"/>
  <c r="L565" i="7"/>
  <c r="M566" i="7"/>
  <c r="G568" i="7"/>
  <c r="H569" i="7"/>
  <c r="I570" i="7"/>
  <c r="J571" i="7"/>
  <c r="K572" i="7"/>
  <c r="L573" i="7"/>
  <c r="M574" i="7"/>
  <c r="G576" i="7"/>
  <c r="H577" i="7"/>
  <c r="I578" i="7"/>
  <c r="J579" i="7"/>
  <c r="K580" i="7"/>
  <c r="L581" i="7"/>
  <c r="M582" i="7"/>
  <c r="G584" i="7"/>
  <c r="H585" i="7"/>
  <c r="I586" i="7"/>
  <c r="J587" i="7"/>
  <c r="K588" i="7"/>
  <c r="L589" i="7"/>
  <c r="G97" i="7"/>
  <c r="I171" i="7"/>
  <c r="J205" i="7"/>
  <c r="M226" i="7"/>
  <c r="L245" i="7"/>
  <c r="I261" i="7"/>
  <c r="J272" i="7"/>
  <c r="M282" i="7"/>
  <c r="I293" i="7"/>
  <c r="J303" i="7"/>
  <c r="M311" i="7"/>
  <c r="H317" i="7"/>
  <c r="J322" i="7"/>
  <c r="L327" i="7"/>
  <c r="M332" i="7"/>
  <c r="H338" i="7"/>
  <c r="I343" i="7"/>
  <c r="K348" i="7"/>
  <c r="L353" i="7"/>
  <c r="G359" i="7"/>
  <c r="M363" i="7"/>
  <c r="J368" i="7"/>
  <c r="G372" i="7"/>
  <c r="L375" i="7"/>
  <c r="J379" i="7"/>
  <c r="G383" i="7"/>
  <c r="L386" i="7"/>
  <c r="I390" i="7"/>
  <c r="G394" i="7"/>
  <c r="L397" i="7"/>
  <c r="I401" i="7"/>
  <c r="G405" i="7"/>
  <c r="K408" i="7"/>
  <c r="I412" i="7"/>
  <c r="G416" i="7"/>
  <c r="K419" i="7"/>
  <c r="G423" i="7"/>
  <c r="L425" i="7"/>
  <c r="I428" i="7"/>
  <c r="K430" i="7"/>
  <c r="H433" i="7"/>
  <c r="K435" i="7"/>
  <c r="J437" i="7"/>
  <c r="K439" i="7"/>
  <c r="I441" i="7"/>
  <c r="G443" i="7"/>
  <c r="L444" i="7"/>
  <c r="I446" i="7"/>
  <c r="L447" i="7"/>
  <c r="I449" i="7"/>
  <c r="M450" i="7"/>
  <c r="I452" i="7"/>
  <c r="M453" i="7"/>
  <c r="J455" i="7"/>
  <c r="M456" i="7"/>
  <c r="J458" i="7"/>
  <c r="G460" i="7"/>
  <c r="J461" i="7"/>
  <c r="L462" i="7"/>
  <c r="G464" i="7"/>
  <c r="I465" i="7"/>
  <c r="J466" i="7"/>
  <c r="K467" i="7"/>
  <c r="L468" i="7"/>
  <c r="M469" i="7"/>
  <c r="G471" i="7"/>
  <c r="H472" i="7"/>
  <c r="I473" i="7"/>
  <c r="J474" i="7"/>
  <c r="K475" i="7"/>
  <c r="L476" i="7"/>
  <c r="M477" i="7"/>
  <c r="G479" i="7"/>
  <c r="H480" i="7"/>
  <c r="I481" i="7"/>
  <c r="J482" i="7"/>
  <c r="K483" i="7"/>
  <c r="L484" i="7"/>
  <c r="M485" i="7"/>
  <c r="G487" i="7"/>
  <c r="H488" i="7"/>
  <c r="I489" i="7"/>
  <c r="J490" i="7"/>
  <c r="K491" i="7"/>
  <c r="L492" i="7"/>
  <c r="M493" i="7"/>
  <c r="G495" i="7"/>
  <c r="H496" i="7"/>
  <c r="I497" i="7"/>
  <c r="J498" i="7"/>
  <c r="K499" i="7"/>
  <c r="L500" i="7"/>
  <c r="M501" i="7"/>
  <c r="G503" i="7"/>
  <c r="H504" i="7"/>
  <c r="I505" i="7"/>
  <c r="J506" i="7"/>
  <c r="K507" i="7"/>
  <c r="L508" i="7"/>
  <c r="M509" i="7"/>
  <c r="G511" i="7"/>
  <c r="H512" i="7"/>
  <c r="I513" i="7"/>
  <c r="J514" i="7"/>
  <c r="K515" i="7"/>
  <c r="L516" i="7"/>
  <c r="M517" i="7"/>
  <c r="G519" i="7"/>
  <c r="H520" i="7"/>
  <c r="I521" i="7"/>
  <c r="J522" i="7"/>
  <c r="K523" i="7"/>
  <c r="L524" i="7"/>
  <c r="M525" i="7"/>
  <c r="G527" i="7"/>
  <c r="H528" i="7"/>
  <c r="I529" i="7"/>
  <c r="J530" i="7"/>
  <c r="K531" i="7"/>
  <c r="L532" i="7"/>
  <c r="M533" i="7"/>
  <c r="G535" i="7"/>
  <c r="H536" i="7"/>
  <c r="I537" i="7"/>
  <c r="J538" i="7"/>
  <c r="K539" i="7"/>
  <c r="L540" i="7"/>
  <c r="M541" i="7"/>
  <c r="G543" i="7"/>
  <c r="H544" i="7"/>
  <c r="I545" i="7"/>
  <c r="J546" i="7"/>
  <c r="K547" i="7"/>
  <c r="L548" i="7"/>
  <c r="M549" i="7"/>
  <c r="G551" i="7"/>
  <c r="H552" i="7"/>
  <c r="I553" i="7"/>
  <c r="J554" i="7"/>
  <c r="K555" i="7"/>
  <c r="L556" i="7"/>
  <c r="M557" i="7"/>
  <c r="G559" i="7"/>
  <c r="H560" i="7"/>
  <c r="I561" i="7"/>
  <c r="J562" i="7"/>
  <c r="K563" i="7"/>
  <c r="L564" i="7"/>
  <c r="M565" i="7"/>
  <c r="G567" i="7"/>
  <c r="H568" i="7"/>
  <c r="I569" i="7"/>
  <c r="J570" i="7"/>
  <c r="K571" i="7"/>
  <c r="L572" i="7"/>
  <c r="M573" i="7"/>
  <c r="G575" i="7"/>
  <c r="H576" i="7"/>
  <c r="I577" i="7"/>
  <c r="J578" i="7"/>
  <c r="K579" i="7"/>
  <c r="L580" i="7"/>
  <c r="G129" i="7"/>
  <c r="H141" i="7"/>
  <c r="I147" i="7"/>
  <c r="H187" i="7"/>
  <c r="G215" i="7"/>
  <c r="I235" i="7"/>
  <c r="K253" i="7"/>
  <c r="I266" i="7"/>
  <c r="M276" i="7"/>
  <c r="I287" i="7"/>
  <c r="L297" i="7"/>
  <c r="I307" i="7"/>
  <c r="I314" i="7"/>
  <c r="J319" i="7"/>
  <c r="L324" i="7"/>
  <c r="G330" i="7"/>
  <c r="H335" i="7"/>
  <c r="J340" i="7"/>
  <c r="K345" i="7"/>
  <c r="M350" i="7"/>
  <c r="G356" i="7"/>
  <c r="I361" i="7"/>
  <c r="M365" i="7"/>
  <c r="G370" i="7"/>
  <c r="L373" i="7"/>
  <c r="I377" i="7"/>
  <c r="G381" i="7"/>
  <c r="K384" i="7"/>
  <c r="I388" i="7"/>
  <c r="G392" i="7"/>
  <c r="K395" i="7"/>
  <c r="I399" i="7"/>
  <c r="M402" i="7"/>
  <c r="K406" i="7"/>
  <c r="I410" i="7"/>
  <c r="M413" i="7"/>
  <c r="K417" i="7"/>
  <c r="H421" i="7"/>
  <c r="J424" i="7"/>
  <c r="L426" i="7"/>
  <c r="H429" i="7"/>
  <c r="L431" i="7"/>
  <c r="G434" i="7"/>
  <c r="I436" i="7"/>
  <c r="J438" i="7"/>
  <c r="H440" i="7"/>
  <c r="M441" i="7"/>
  <c r="K443" i="7"/>
  <c r="I445" i="7"/>
  <c r="M446" i="7"/>
  <c r="J448" i="7"/>
  <c r="M449" i="7"/>
  <c r="J451" i="7"/>
  <c r="G453" i="7"/>
  <c r="J454" i="7"/>
  <c r="G456" i="7"/>
  <c r="K457" i="7"/>
  <c r="G459" i="7"/>
  <c r="K460" i="7"/>
  <c r="M461" i="7"/>
  <c r="I463" i="7"/>
  <c r="K464" i="7"/>
  <c r="L465" i="7"/>
  <c r="M466" i="7"/>
  <c r="G468" i="7"/>
  <c r="H469" i="7"/>
  <c r="I470" i="7"/>
  <c r="J471" i="7"/>
  <c r="K472" i="7"/>
  <c r="L473" i="7"/>
  <c r="M474" i="7"/>
  <c r="G476" i="7"/>
  <c r="H477" i="7"/>
  <c r="I478" i="7"/>
  <c r="J479" i="7"/>
  <c r="K480" i="7"/>
  <c r="L481" i="7"/>
  <c r="M482" i="7"/>
  <c r="G484" i="7"/>
  <c r="H485" i="7"/>
  <c r="I486" i="7"/>
  <c r="J487" i="7"/>
  <c r="K488" i="7"/>
  <c r="L489" i="7"/>
  <c r="M490" i="7"/>
  <c r="G492" i="7"/>
  <c r="H493" i="7"/>
  <c r="I494" i="7"/>
  <c r="J495" i="7"/>
  <c r="K496" i="7"/>
  <c r="L497" i="7"/>
  <c r="M498" i="7"/>
  <c r="G500" i="7"/>
  <c r="H501" i="7"/>
  <c r="I502" i="7"/>
  <c r="J503" i="7"/>
  <c r="K504" i="7"/>
  <c r="L505" i="7"/>
  <c r="M506" i="7"/>
  <c r="G508" i="7"/>
  <c r="H509" i="7"/>
  <c r="I510" i="7"/>
  <c r="J511" i="7"/>
  <c r="K512" i="7"/>
  <c r="L513" i="7"/>
  <c r="M514" i="7"/>
  <c r="G516" i="7"/>
  <c r="H517" i="7"/>
  <c r="I518" i="7"/>
  <c r="J519" i="7"/>
  <c r="K520" i="7"/>
  <c r="L521" i="7"/>
  <c r="M522" i="7"/>
  <c r="G524" i="7"/>
  <c r="H525" i="7"/>
  <c r="I526" i="7"/>
  <c r="J527" i="7"/>
  <c r="K528" i="7"/>
  <c r="L529" i="7"/>
  <c r="M530" i="7"/>
  <c r="G532" i="7"/>
  <c r="H533" i="7"/>
  <c r="I534" i="7"/>
  <c r="J535" i="7"/>
  <c r="K536" i="7"/>
  <c r="L537" i="7"/>
  <c r="M538" i="7"/>
  <c r="G540" i="7"/>
  <c r="H541" i="7"/>
  <c r="I542" i="7"/>
  <c r="J543" i="7"/>
  <c r="K544" i="7"/>
  <c r="L545" i="7"/>
  <c r="M546" i="7"/>
  <c r="G548" i="7"/>
  <c r="H549" i="7"/>
  <c r="I550" i="7"/>
  <c r="J551" i="7"/>
  <c r="K552" i="7"/>
  <c r="L553" i="7"/>
  <c r="M554" i="7"/>
  <c r="G556" i="7"/>
  <c r="H557" i="7"/>
  <c r="I558" i="7"/>
  <c r="J559" i="7"/>
  <c r="K560" i="7"/>
  <c r="L561" i="7"/>
  <c r="M562" i="7"/>
  <c r="G564" i="7"/>
  <c r="H565" i="7"/>
  <c r="I566" i="7"/>
  <c r="J567" i="7"/>
  <c r="K568" i="7"/>
  <c r="L569" i="7"/>
  <c r="M570" i="7"/>
  <c r="G572" i="7"/>
  <c r="H573" i="7"/>
  <c r="I574" i="7"/>
  <c r="J575" i="7"/>
  <c r="K576" i="7"/>
  <c r="L577" i="7"/>
  <c r="M578" i="7"/>
  <c r="G580" i="7"/>
  <c r="H581" i="7"/>
  <c r="I582" i="7"/>
  <c r="J583" i="7"/>
  <c r="K584" i="7"/>
  <c r="L585" i="7"/>
  <c r="M586" i="7"/>
  <c r="G588" i="7"/>
  <c r="H589" i="7"/>
  <c r="I590" i="7"/>
  <c r="J591" i="7"/>
  <c r="K592" i="7"/>
  <c r="L593" i="7"/>
  <c r="M594" i="7"/>
  <c r="G596" i="7"/>
  <c r="H597" i="7"/>
  <c r="I598" i="7"/>
  <c r="J599" i="7"/>
  <c r="K600" i="7"/>
  <c r="L601" i="7"/>
  <c r="M602" i="7"/>
  <c r="G604" i="7"/>
  <c r="H605" i="7"/>
  <c r="I606" i="7"/>
  <c r="J607" i="7"/>
  <c r="K608" i="7"/>
  <c r="L609" i="7"/>
  <c r="M610" i="7"/>
  <c r="G612" i="7"/>
  <c r="H613" i="7"/>
  <c r="K101" i="7"/>
  <c r="G140" i="7"/>
  <c r="M150" i="7"/>
  <c r="J216" i="7"/>
  <c r="L254" i="7"/>
  <c r="K277" i="7"/>
  <c r="K298" i="7"/>
  <c r="K314" i="7"/>
  <c r="G325" i="7"/>
  <c r="J335" i="7"/>
  <c r="G346" i="7"/>
  <c r="J356" i="7"/>
  <c r="H366" i="7"/>
  <c r="M373" i="7"/>
  <c r="H381" i="7"/>
  <c r="K388" i="7"/>
  <c r="M395" i="7"/>
  <c r="H403" i="7"/>
  <c r="J410" i="7"/>
  <c r="L417" i="7"/>
  <c r="K424" i="7"/>
  <c r="J429" i="7"/>
  <c r="I434" i="7"/>
  <c r="K438" i="7"/>
  <c r="G442" i="7"/>
  <c r="J445" i="7"/>
  <c r="K448" i="7"/>
  <c r="K451" i="7"/>
  <c r="K454" i="7"/>
  <c r="L457" i="7"/>
  <c r="L460" i="7"/>
  <c r="J463" i="7"/>
  <c r="M465" i="7"/>
  <c r="H468" i="7"/>
  <c r="J470" i="7"/>
  <c r="L472" i="7"/>
  <c r="G475" i="7"/>
  <c r="I477" i="7"/>
  <c r="K479" i="7"/>
  <c r="M481" i="7"/>
  <c r="H484" i="7"/>
  <c r="J486" i="7"/>
  <c r="L488" i="7"/>
  <c r="G491" i="7"/>
  <c r="I493" i="7"/>
  <c r="K495" i="7"/>
  <c r="M497" i="7"/>
  <c r="H500" i="7"/>
  <c r="J502" i="7"/>
  <c r="L504" i="7"/>
  <c r="G507" i="7"/>
  <c r="I509" i="7"/>
  <c r="K511" i="7"/>
  <c r="M513" i="7"/>
  <c r="H516" i="7"/>
  <c r="J518" i="7"/>
  <c r="L520" i="7"/>
  <c r="G523" i="7"/>
  <c r="I525" i="7"/>
  <c r="K527" i="7"/>
  <c r="M529" i="7"/>
  <c r="H532" i="7"/>
  <c r="J534" i="7"/>
  <c r="L536" i="7"/>
  <c r="G539" i="7"/>
  <c r="I541" i="7"/>
  <c r="K543" i="7"/>
  <c r="M545" i="7"/>
  <c r="H548" i="7"/>
  <c r="J550" i="7"/>
  <c r="L552" i="7"/>
  <c r="G555" i="7"/>
  <c r="I557" i="7"/>
  <c r="K559" i="7"/>
  <c r="M561" i="7"/>
  <c r="H564" i="7"/>
  <c r="J566" i="7"/>
  <c r="L568" i="7"/>
  <c r="G571" i="7"/>
  <c r="I573" i="7"/>
  <c r="K575" i="7"/>
  <c r="M577" i="7"/>
  <c r="H580" i="7"/>
  <c r="H582" i="7"/>
  <c r="M583" i="7"/>
  <c r="J585" i="7"/>
  <c r="G587" i="7"/>
  <c r="J588" i="7"/>
  <c r="G590" i="7"/>
  <c r="I591" i="7"/>
  <c r="L592" i="7"/>
  <c r="G594" i="7"/>
  <c r="I595" i="7"/>
  <c r="K596" i="7"/>
  <c r="M597" i="7"/>
  <c r="H599" i="7"/>
  <c r="J600" i="7"/>
  <c r="M601" i="7"/>
  <c r="H603" i="7"/>
  <c r="J604" i="7"/>
  <c r="L605" i="7"/>
  <c r="G607" i="7"/>
  <c r="I608" i="7"/>
  <c r="K609" i="7"/>
  <c r="G611" i="7"/>
  <c r="I612" i="7"/>
  <c r="K613" i="7"/>
  <c r="L614" i="7"/>
  <c r="M615" i="7"/>
  <c r="G617" i="7"/>
  <c r="H618" i="7"/>
  <c r="I619" i="7"/>
  <c r="J620" i="7"/>
  <c r="K621" i="7"/>
  <c r="L622" i="7"/>
  <c r="M623" i="7"/>
  <c r="G625" i="7"/>
  <c r="H626" i="7"/>
  <c r="I627" i="7"/>
  <c r="J628" i="7"/>
  <c r="K629" i="7"/>
  <c r="L630" i="7"/>
  <c r="M631" i="7"/>
  <c r="G633" i="7"/>
  <c r="H634" i="7"/>
  <c r="I635" i="7"/>
  <c r="J636" i="7"/>
  <c r="K637" i="7"/>
  <c r="L638" i="7"/>
  <c r="M639" i="7"/>
  <c r="G641" i="7"/>
  <c r="H642" i="7"/>
  <c r="I643" i="7"/>
  <c r="J644" i="7"/>
  <c r="K645" i="7"/>
  <c r="L646" i="7"/>
  <c r="M647" i="7"/>
  <c r="G649" i="7"/>
  <c r="H650" i="7"/>
  <c r="I651" i="7"/>
  <c r="J652" i="7"/>
  <c r="K653" i="7"/>
  <c r="L654" i="7"/>
  <c r="M655" i="7"/>
  <c r="G657" i="7"/>
  <c r="H658" i="7"/>
  <c r="I659" i="7"/>
  <c r="J660" i="7"/>
  <c r="K661" i="7"/>
  <c r="L662" i="7"/>
  <c r="M663" i="7"/>
  <c r="G665" i="7"/>
  <c r="H666" i="7"/>
  <c r="I667" i="7"/>
  <c r="J668" i="7"/>
  <c r="K669" i="7"/>
  <c r="L670" i="7"/>
  <c r="M671" i="7"/>
  <c r="G673" i="7"/>
  <c r="H674" i="7"/>
  <c r="I675" i="7"/>
  <c r="J676" i="7"/>
  <c r="K677" i="7"/>
  <c r="L678" i="7"/>
  <c r="M679" i="7"/>
  <c r="M119" i="7"/>
  <c r="J157" i="7"/>
  <c r="K219" i="7"/>
  <c r="G257" i="7"/>
  <c r="I279" i="7"/>
  <c r="H300" i="7"/>
  <c r="J315" i="7"/>
  <c r="M325" i="7"/>
  <c r="I336" i="7"/>
  <c r="L346" i="7"/>
  <c r="H357" i="7"/>
  <c r="M366" i="7"/>
  <c r="I374" i="7"/>
  <c r="L381" i="7"/>
  <c r="G389" i="7"/>
  <c r="I396" i="7"/>
  <c r="K403" i="7"/>
  <c r="M410" i="7"/>
  <c r="I418" i="7"/>
  <c r="M424" i="7"/>
  <c r="M429" i="7"/>
  <c r="L434" i="7"/>
  <c r="M438" i="7"/>
  <c r="J442" i="7"/>
  <c r="L445" i="7"/>
  <c r="L448" i="7"/>
  <c r="M451" i="7"/>
  <c r="M454" i="7"/>
  <c r="M457" i="7"/>
  <c r="G461" i="7"/>
  <c r="K463" i="7"/>
  <c r="G466" i="7"/>
  <c r="I468" i="7"/>
  <c r="K470" i="7"/>
  <c r="M472" i="7"/>
  <c r="H475" i="7"/>
  <c r="J477" i="7"/>
  <c r="L479" i="7"/>
  <c r="G482" i="7"/>
  <c r="I484" i="7"/>
  <c r="K486" i="7"/>
  <c r="M488" i="7"/>
  <c r="H491" i="7"/>
  <c r="J493" i="7"/>
  <c r="L495" i="7"/>
  <c r="G498" i="7"/>
  <c r="I500" i="7"/>
  <c r="K502" i="7"/>
  <c r="M504" i="7"/>
  <c r="H507" i="7"/>
  <c r="J509" i="7"/>
  <c r="L511" i="7"/>
  <c r="G514" i="7"/>
  <c r="I516" i="7"/>
  <c r="K518" i="7"/>
  <c r="M520" i="7"/>
  <c r="H523" i="7"/>
  <c r="J525" i="7"/>
  <c r="L527" i="7"/>
  <c r="G530" i="7"/>
  <c r="I532" i="7"/>
  <c r="K534" i="7"/>
  <c r="M536" i="7"/>
  <c r="H539" i="7"/>
  <c r="J541" i="7"/>
  <c r="L543" i="7"/>
  <c r="G546" i="7"/>
  <c r="I548" i="7"/>
  <c r="K550" i="7"/>
  <c r="M552" i="7"/>
  <c r="H555" i="7"/>
  <c r="J557" i="7"/>
  <c r="L559" i="7"/>
  <c r="G562" i="7"/>
  <c r="I564" i="7"/>
  <c r="K566" i="7"/>
  <c r="M568" i="7"/>
  <c r="H571" i="7"/>
  <c r="J573" i="7"/>
  <c r="L575" i="7"/>
  <c r="G578" i="7"/>
  <c r="I580" i="7"/>
  <c r="J582" i="7"/>
  <c r="H584" i="7"/>
  <c r="K585" i="7"/>
  <c r="H587" i="7"/>
  <c r="L588" i="7"/>
  <c r="H590" i="7"/>
  <c r="K591" i="7"/>
  <c r="M592" i="7"/>
  <c r="H594" i="7"/>
  <c r="J595" i="7"/>
  <c r="L596" i="7"/>
  <c r="G598" i="7"/>
  <c r="I599" i="7"/>
  <c r="L600" i="7"/>
  <c r="G602" i="7"/>
  <c r="I603" i="7"/>
  <c r="K604" i="7"/>
  <c r="M605" i="7"/>
  <c r="H607" i="7"/>
  <c r="J608" i="7"/>
  <c r="M609" i="7"/>
  <c r="H611" i="7"/>
  <c r="J612" i="7"/>
  <c r="L613" i="7"/>
  <c r="M614" i="7"/>
  <c r="G616" i="7"/>
  <c r="H617" i="7"/>
  <c r="I618" i="7"/>
  <c r="J619" i="7"/>
  <c r="K620" i="7"/>
  <c r="L621" i="7"/>
  <c r="M622" i="7"/>
  <c r="G624" i="7"/>
  <c r="H625" i="7"/>
  <c r="I626" i="7"/>
  <c r="J627" i="7"/>
  <c r="K628" i="7"/>
  <c r="L629" i="7"/>
  <c r="M630" i="7"/>
  <c r="G632" i="7"/>
  <c r="H633" i="7"/>
  <c r="I634" i="7"/>
  <c r="J635" i="7"/>
  <c r="K636" i="7"/>
  <c r="L637" i="7"/>
  <c r="M638" i="7"/>
  <c r="G640" i="7"/>
  <c r="H641" i="7"/>
  <c r="I642" i="7"/>
  <c r="J643" i="7"/>
  <c r="K644" i="7"/>
  <c r="L645" i="7"/>
  <c r="M646" i="7"/>
  <c r="G648" i="7"/>
  <c r="H649" i="7"/>
  <c r="I650" i="7"/>
  <c r="J651" i="7"/>
  <c r="K652" i="7"/>
  <c r="L653" i="7"/>
  <c r="M654" i="7"/>
  <c r="G656" i="7"/>
  <c r="H657" i="7"/>
  <c r="I658" i="7"/>
  <c r="J659" i="7"/>
  <c r="K660" i="7"/>
  <c r="L661" i="7"/>
  <c r="M662" i="7"/>
  <c r="G664" i="7"/>
  <c r="H665" i="7"/>
  <c r="I666" i="7"/>
  <c r="J667" i="7"/>
  <c r="K668" i="7"/>
  <c r="L669" i="7"/>
  <c r="M670" i="7"/>
  <c r="G672" i="7"/>
  <c r="H673" i="7"/>
  <c r="I674" i="7"/>
  <c r="J675" i="7"/>
  <c r="K676" i="7"/>
  <c r="L677" i="7"/>
  <c r="M678" i="7"/>
  <c r="G680" i="7"/>
  <c r="H681" i="7"/>
  <c r="I682" i="7"/>
  <c r="J683" i="7"/>
  <c r="K684" i="7"/>
  <c r="L685" i="7"/>
  <c r="M686" i="7"/>
  <c r="G688" i="7"/>
  <c r="H689" i="7"/>
  <c r="I690" i="7"/>
  <c r="M176" i="7"/>
  <c r="G230" i="7"/>
  <c r="I263" i="7"/>
  <c r="J284" i="7"/>
  <c r="M304" i="7"/>
  <c r="G318" i="7"/>
  <c r="J328" i="7"/>
  <c r="M338" i="7"/>
  <c r="J349" i="7"/>
  <c r="M359" i="7"/>
  <c r="M368" i="7"/>
  <c r="H376" i="7"/>
  <c r="J383" i="7"/>
  <c r="M390" i="7"/>
  <c r="H398" i="7"/>
  <c r="J405" i="7"/>
  <c r="L412" i="7"/>
  <c r="G420" i="7"/>
  <c r="I426" i="7"/>
  <c r="G431" i="7"/>
  <c r="M435" i="7"/>
  <c r="L439" i="7"/>
  <c r="H443" i="7"/>
  <c r="J446" i="7"/>
  <c r="K449" i="7"/>
  <c r="K452" i="7"/>
  <c r="K455" i="7"/>
  <c r="L458" i="7"/>
  <c r="K461" i="7"/>
  <c r="H464" i="7"/>
  <c r="K466" i="7"/>
  <c r="M468" i="7"/>
  <c r="H471" i="7"/>
  <c r="J473" i="7"/>
  <c r="L475" i="7"/>
  <c r="G478" i="7"/>
  <c r="I480" i="7"/>
  <c r="K482" i="7"/>
  <c r="M484" i="7"/>
  <c r="H487" i="7"/>
  <c r="J489" i="7"/>
  <c r="L491" i="7"/>
  <c r="G494" i="7"/>
  <c r="I496" i="7"/>
  <c r="K498" i="7"/>
  <c r="M500" i="7"/>
  <c r="H503" i="7"/>
  <c r="J505" i="7"/>
  <c r="L507" i="7"/>
  <c r="G510" i="7"/>
  <c r="I512" i="7"/>
  <c r="K514" i="7"/>
  <c r="M516" i="7"/>
  <c r="H519" i="7"/>
  <c r="J521" i="7"/>
  <c r="L523" i="7"/>
  <c r="G526" i="7"/>
  <c r="I528" i="7"/>
  <c r="K530" i="7"/>
  <c r="M532" i="7"/>
  <c r="H535" i="7"/>
  <c r="J537" i="7"/>
  <c r="L539" i="7"/>
  <c r="G542" i="7"/>
  <c r="I544" i="7"/>
  <c r="K546" i="7"/>
  <c r="M548" i="7"/>
  <c r="H551" i="7"/>
  <c r="J553" i="7"/>
  <c r="L555" i="7"/>
  <c r="G558" i="7"/>
  <c r="I560" i="7"/>
  <c r="K562" i="7"/>
  <c r="M564" i="7"/>
  <c r="H567" i="7"/>
  <c r="J569" i="7"/>
  <c r="L571" i="7"/>
  <c r="G574" i="7"/>
  <c r="I576" i="7"/>
  <c r="K578" i="7"/>
  <c r="M580" i="7"/>
  <c r="K582" i="7"/>
  <c r="I584" i="7"/>
  <c r="M585" i="7"/>
  <c r="I587" i="7"/>
  <c r="M588" i="7"/>
  <c r="J590" i="7"/>
  <c r="L591" i="7"/>
  <c r="G593" i="7"/>
  <c r="I594" i="7"/>
  <c r="K595" i="7"/>
  <c r="M596" i="7"/>
  <c r="H598" i="7"/>
  <c r="K599" i="7"/>
  <c r="M600" i="7"/>
  <c r="H602" i="7"/>
  <c r="J603" i="7"/>
  <c r="L604" i="7"/>
  <c r="G606" i="7"/>
  <c r="I607" i="7"/>
  <c r="L608" i="7"/>
  <c r="G610" i="7"/>
  <c r="I611" i="7"/>
  <c r="K612" i="7"/>
  <c r="M613" i="7"/>
  <c r="G615" i="7"/>
  <c r="H616" i="7"/>
  <c r="I617" i="7"/>
  <c r="J618" i="7"/>
  <c r="K619" i="7"/>
  <c r="L620" i="7"/>
  <c r="M621" i="7"/>
  <c r="G623" i="7"/>
  <c r="H624" i="7"/>
  <c r="I625" i="7"/>
  <c r="J626" i="7"/>
  <c r="K627" i="7"/>
  <c r="L628" i="7"/>
  <c r="M629" i="7"/>
  <c r="G631" i="7"/>
  <c r="H632" i="7"/>
  <c r="I633" i="7"/>
  <c r="J634" i="7"/>
  <c r="K635" i="7"/>
  <c r="L636" i="7"/>
  <c r="M637" i="7"/>
  <c r="G639" i="7"/>
  <c r="H640" i="7"/>
  <c r="I641" i="7"/>
  <c r="J642" i="7"/>
  <c r="K643" i="7"/>
  <c r="L644" i="7"/>
  <c r="M645" i="7"/>
  <c r="G647" i="7"/>
  <c r="H648" i="7"/>
  <c r="I649" i="7"/>
  <c r="J650" i="7"/>
  <c r="K651" i="7"/>
  <c r="L652" i="7"/>
  <c r="M653" i="7"/>
  <c r="G655" i="7"/>
  <c r="H656" i="7"/>
  <c r="I657" i="7"/>
  <c r="J658" i="7"/>
  <c r="K659" i="7"/>
  <c r="L660" i="7"/>
  <c r="M661" i="7"/>
  <c r="G663" i="7"/>
  <c r="H664" i="7"/>
  <c r="I665" i="7"/>
  <c r="J666" i="7"/>
  <c r="K667" i="7"/>
  <c r="L668" i="7"/>
  <c r="M669" i="7"/>
  <c r="G671" i="7"/>
  <c r="H672" i="7"/>
  <c r="I673" i="7"/>
  <c r="J674" i="7"/>
  <c r="K675" i="7"/>
  <c r="L676" i="7"/>
  <c r="M677" i="7"/>
  <c r="G679" i="7"/>
  <c r="H680" i="7"/>
  <c r="I681" i="7"/>
  <c r="J682" i="7"/>
  <c r="K683" i="7"/>
  <c r="L684" i="7"/>
  <c r="M685" i="7"/>
  <c r="G687" i="7"/>
  <c r="H688" i="7"/>
  <c r="H195" i="7"/>
  <c r="I239" i="7"/>
  <c r="M268" i="7"/>
  <c r="L289" i="7"/>
  <c r="J309" i="7"/>
  <c r="K320" i="7"/>
  <c r="H331" i="7"/>
  <c r="K341" i="7"/>
  <c r="G352" i="7"/>
  <c r="I362" i="7"/>
  <c r="L370" i="7"/>
  <c r="G378" i="7"/>
  <c r="I385" i="7"/>
  <c r="K392" i="7"/>
  <c r="G400" i="7"/>
  <c r="I407" i="7"/>
  <c r="K414" i="7"/>
  <c r="M421" i="7"/>
  <c r="J427" i="7"/>
  <c r="H432" i="7"/>
  <c r="G437" i="7"/>
  <c r="K440" i="7"/>
  <c r="H444" i="7"/>
  <c r="I447" i="7"/>
  <c r="I450" i="7"/>
  <c r="I453" i="7"/>
  <c r="J456" i="7"/>
  <c r="J459" i="7"/>
  <c r="I462" i="7"/>
  <c r="M464" i="7"/>
  <c r="H467" i="7"/>
  <c r="J469" i="7"/>
  <c r="L471" i="7"/>
  <c r="G474" i="7"/>
  <c r="I476" i="7"/>
  <c r="K478" i="7"/>
  <c r="M480" i="7"/>
  <c r="H483" i="7"/>
  <c r="J485" i="7"/>
  <c r="L487" i="7"/>
  <c r="G490" i="7"/>
  <c r="I492" i="7"/>
  <c r="K494" i="7"/>
  <c r="M496" i="7"/>
  <c r="H499" i="7"/>
  <c r="J501" i="7"/>
  <c r="L503" i="7"/>
  <c r="G506" i="7"/>
  <c r="I508" i="7"/>
  <c r="K510" i="7"/>
  <c r="M512" i="7"/>
  <c r="H515" i="7"/>
  <c r="J517" i="7"/>
  <c r="L519" i="7"/>
  <c r="G522" i="7"/>
  <c r="I524" i="7"/>
  <c r="K526" i="7"/>
  <c r="M528" i="7"/>
  <c r="H531" i="7"/>
  <c r="J533" i="7"/>
  <c r="L535" i="7"/>
  <c r="G538" i="7"/>
  <c r="I540" i="7"/>
  <c r="K542" i="7"/>
  <c r="M544" i="7"/>
  <c r="H547" i="7"/>
  <c r="J549" i="7"/>
  <c r="L551" i="7"/>
  <c r="G554" i="7"/>
  <c r="I556" i="7"/>
  <c r="K558" i="7"/>
  <c r="M560" i="7"/>
  <c r="H563" i="7"/>
  <c r="J565" i="7"/>
  <c r="L567" i="7"/>
  <c r="G570" i="7"/>
  <c r="I572" i="7"/>
  <c r="K574" i="7"/>
  <c r="M576" i="7"/>
  <c r="H579" i="7"/>
  <c r="J581" i="7"/>
  <c r="I583" i="7"/>
  <c r="M584" i="7"/>
  <c r="J586" i="7"/>
  <c r="M587" i="7"/>
  <c r="J589" i="7"/>
  <c r="M590" i="7"/>
  <c r="H592" i="7"/>
  <c r="J593" i="7"/>
  <c r="L594" i="7"/>
  <c r="H596" i="7"/>
  <c r="J597" i="7"/>
  <c r="L598" i="7"/>
  <c r="G600" i="7"/>
  <c r="I601" i="7"/>
  <c r="K602" i="7"/>
  <c r="M603" i="7"/>
  <c r="I605" i="7"/>
  <c r="K606" i="7"/>
  <c r="M607" i="7"/>
  <c r="H609" i="7"/>
  <c r="J610" i="7"/>
  <c r="L611" i="7"/>
  <c r="G613" i="7"/>
  <c r="I614" i="7"/>
  <c r="J615" i="7"/>
  <c r="K616" i="7"/>
  <c r="L617" i="7"/>
  <c r="M618" i="7"/>
  <c r="G620" i="7"/>
  <c r="H621" i="7"/>
  <c r="I622" i="7"/>
  <c r="J623" i="7"/>
  <c r="K624" i="7"/>
  <c r="L625" i="7"/>
  <c r="M626" i="7"/>
  <c r="G628" i="7"/>
  <c r="H629" i="7"/>
  <c r="I630" i="7"/>
  <c r="J631" i="7"/>
  <c r="K632" i="7"/>
  <c r="L633" i="7"/>
  <c r="M634" i="7"/>
  <c r="G636" i="7"/>
  <c r="H637" i="7"/>
  <c r="I638" i="7"/>
  <c r="J639" i="7"/>
  <c r="K640" i="7"/>
  <c r="L641" i="7"/>
  <c r="M642" i="7"/>
  <c r="G644" i="7"/>
  <c r="H645" i="7"/>
  <c r="I646" i="7"/>
  <c r="J647" i="7"/>
  <c r="K648" i="7"/>
  <c r="L649" i="7"/>
  <c r="M650" i="7"/>
  <c r="G652" i="7"/>
  <c r="H653" i="7"/>
  <c r="I654" i="7"/>
  <c r="J655" i="7"/>
  <c r="K656" i="7"/>
  <c r="L657" i="7"/>
  <c r="M658" i="7"/>
  <c r="G660" i="7"/>
  <c r="H661" i="7"/>
  <c r="I662" i="7"/>
  <c r="J663" i="7"/>
  <c r="K664" i="7"/>
  <c r="L665" i="7"/>
  <c r="M666" i="7"/>
  <c r="G668" i="7"/>
  <c r="H669" i="7"/>
  <c r="I670" i="7"/>
  <c r="J671" i="7"/>
  <c r="K672" i="7"/>
  <c r="L673" i="7"/>
  <c r="M674" i="7"/>
  <c r="G676" i="7"/>
  <c r="H677" i="7"/>
  <c r="I678" i="7"/>
  <c r="J679" i="7"/>
  <c r="K680" i="7"/>
  <c r="L681" i="7"/>
  <c r="M682" i="7"/>
  <c r="G684" i="7"/>
  <c r="H685" i="7"/>
  <c r="I686" i="7"/>
  <c r="J687" i="7"/>
  <c r="K688" i="7"/>
  <c r="L689" i="7"/>
  <c r="M690" i="7"/>
  <c r="G692" i="7"/>
  <c r="H693" i="7"/>
  <c r="I694" i="7"/>
  <c r="J695" i="7"/>
  <c r="K696" i="7"/>
  <c r="L697" i="7"/>
  <c r="M698" i="7"/>
  <c r="G700" i="7"/>
  <c r="H701" i="7"/>
  <c r="I702" i="7"/>
  <c r="J703" i="7"/>
  <c r="K704" i="7"/>
  <c r="L705" i="7"/>
  <c r="M706" i="7"/>
  <c r="G708" i="7"/>
  <c r="H709" i="7"/>
  <c r="I710" i="7"/>
  <c r="J711" i="7"/>
  <c r="K712" i="7"/>
  <c r="L713" i="7"/>
  <c r="M714" i="7"/>
  <c r="I214" i="7"/>
  <c r="K276" i="7"/>
  <c r="H314" i="7"/>
  <c r="G335" i="7"/>
  <c r="M355" i="7"/>
  <c r="J373" i="7"/>
  <c r="G388" i="7"/>
  <c r="L402" i="7"/>
  <c r="I417" i="7"/>
  <c r="L428" i="7"/>
  <c r="H438" i="7"/>
  <c r="H445" i="7"/>
  <c r="H451" i="7"/>
  <c r="I457" i="7"/>
  <c r="G463" i="7"/>
  <c r="M467" i="7"/>
  <c r="J472" i="7"/>
  <c r="G477" i="7"/>
  <c r="K481" i="7"/>
  <c r="H486" i="7"/>
  <c r="L490" i="7"/>
  <c r="I495" i="7"/>
  <c r="M499" i="7"/>
  <c r="J504" i="7"/>
  <c r="G509" i="7"/>
  <c r="K513" i="7"/>
  <c r="H518" i="7"/>
  <c r="L522" i="7"/>
  <c r="I527" i="7"/>
  <c r="M531" i="7"/>
  <c r="J536" i="7"/>
  <c r="G541" i="7"/>
  <c r="K545" i="7"/>
  <c r="H550" i="7"/>
  <c r="L554" i="7"/>
  <c r="I559" i="7"/>
  <c r="M563" i="7"/>
  <c r="J568" i="7"/>
  <c r="G573" i="7"/>
  <c r="K577" i="7"/>
  <c r="G582" i="7"/>
  <c r="I585" i="7"/>
  <c r="I588" i="7"/>
  <c r="H591" i="7"/>
  <c r="M593" i="7"/>
  <c r="J596" i="7"/>
  <c r="G599" i="7"/>
  <c r="K601" i="7"/>
  <c r="I604" i="7"/>
  <c r="M606" i="7"/>
  <c r="J609" i="7"/>
  <c r="H612" i="7"/>
  <c r="K614" i="7"/>
  <c r="M616" i="7"/>
  <c r="H619" i="7"/>
  <c r="J621" i="7"/>
  <c r="L623" i="7"/>
  <c r="G626" i="7"/>
  <c r="I628" i="7"/>
  <c r="K630" i="7"/>
  <c r="M632" i="7"/>
  <c r="H635" i="7"/>
  <c r="J637" i="7"/>
  <c r="L639" i="7"/>
  <c r="G642" i="7"/>
  <c r="I644" i="7"/>
  <c r="K646" i="7"/>
  <c r="M648" i="7"/>
  <c r="H651" i="7"/>
  <c r="J653" i="7"/>
  <c r="L655" i="7"/>
  <c r="G658" i="7"/>
  <c r="I660" i="7"/>
  <c r="K662" i="7"/>
  <c r="M664" i="7"/>
  <c r="H667" i="7"/>
  <c r="J669" i="7"/>
  <c r="L671" i="7"/>
  <c r="G674" i="7"/>
  <c r="I676" i="7"/>
  <c r="K678" i="7"/>
  <c r="M680" i="7"/>
  <c r="L682" i="7"/>
  <c r="J684" i="7"/>
  <c r="J686" i="7"/>
  <c r="I688" i="7"/>
  <c r="M689" i="7"/>
  <c r="I691" i="7"/>
  <c r="K692" i="7"/>
  <c r="M693" i="7"/>
  <c r="H695" i="7"/>
  <c r="J696" i="7"/>
  <c r="M697" i="7"/>
  <c r="H699" i="7"/>
  <c r="J700" i="7"/>
  <c r="L701" i="7"/>
  <c r="G703" i="7"/>
  <c r="I704" i="7"/>
  <c r="K705" i="7"/>
  <c r="G707" i="7"/>
  <c r="I708" i="7"/>
  <c r="K709" i="7"/>
  <c r="M710" i="7"/>
  <c r="H712" i="7"/>
  <c r="J713" i="7"/>
  <c r="L714" i="7"/>
  <c r="G716" i="7"/>
  <c r="H717" i="7"/>
  <c r="I718" i="7"/>
  <c r="J719" i="7"/>
  <c r="K720" i="7"/>
  <c r="L721" i="7"/>
  <c r="M722" i="7"/>
  <c r="G724" i="7"/>
  <c r="H725" i="7"/>
  <c r="I726" i="7"/>
  <c r="J727" i="7"/>
  <c r="K728" i="7"/>
  <c r="L729" i="7"/>
  <c r="M730" i="7"/>
  <c r="G732" i="7"/>
  <c r="H733" i="7"/>
  <c r="I734" i="7"/>
  <c r="J735" i="7"/>
  <c r="K736" i="7"/>
  <c r="L737" i="7"/>
  <c r="M738" i="7"/>
  <c r="G740" i="7"/>
  <c r="H741" i="7"/>
  <c r="I742" i="7"/>
  <c r="J743" i="7"/>
  <c r="K744" i="7"/>
  <c r="L745" i="7"/>
  <c r="M746" i="7"/>
  <c r="G748" i="7"/>
  <c r="H749" i="7"/>
  <c r="I750" i="7"/>
  <c r="J751" i="7"/>
  <c r="K752" i="7"/>
  <c r="L753" i="7"/>
  <c r="M754" i="7"/>
  <c r="G756" i="7"/>
  <c r="H757" i="7"/>
  <c r="I758" i="7"/>
  <c r="J759" i="7"/>
  <c r="K760" i="7"/>
  <c r="L761" i="7"/>
  <c r="M762" i="7"/>
  <c r="G764" i="7"/>
  <c r="H765" i="7"/>
  <c r="I766" i="7"/>
  <c r="J767" i="7"/>
  <c r="K768" i="7"/>
  <c r="L769" i="7"/>
  <c r="M770" i="7"/>
  <c r="G772" i="7"/>
  <c r="H773" i="7"/>
  <c r="I774" i="7"/>
  <c r="J775" i="7"/>
  <c r="K776" i="7"/>
  <c r="L777" i="7"/>
  <c r="M778" i="7"/>
  <c r="G780" i="7"/>
  <c r="H781" i="7"/>
  <c r="I782" i="7"/>
  <c r="J783" i="7"/>
  <c r="K784" i="7"/>
  <c r="L785" i="7"/>
  <c r="M786" i="7"/>
  <c r="G788" i="7"/>
  <c r="L234" i="7"/>
  <c r="H287" i="7"/>
  <c r="I319" i="7"/>
  <c r="I340" i="7"/>
  <c r="H361" i="7"/>
  <c r="H377" i="7"/>
  <c r="L391" i="7"/>
  <c r="I406" i="7"/>
  <c r="G421" i="7"/>
  <c r="I431" i="7"/>
  <c r="G440" i="7"/>
  <c r="K446" i="7"/>
  <c r="L452" i="7"/>
  <c r="M458" i="7"/>
  <c r="J464" i="7"/>
  <c r="G469" i="7"/>
  <c r="K473" i="7"/>
  <c r="H478" i="7"/>
  <c r="L482" i="7"/>
  <c r="I487" i="7"/>
  <c r="M491" i="7"/>
  <c r="J496" i="7"/>
  <c r="G501" i="7"/>
  <c r="K505" i="7"/>
  <c r="H510" i="7"/>
  <c r="L514" i="7"/>
  <c r="I519" i="7"/>
  <c r="M523" i="7"/>
  <c r="J528" i="7"/>
  <c r="G533" i="7"/>
  <c r="K537" i="7"/>
  <c r="H542" i="7"/>
  <c r="L546" i="7"/>
  <c r="I551" i="7"/>
  <c r="M555" i="7"/>
  <c r="J560" i="7"/>
  <c r="G565" i="7"/>
  <c r="K569" i="7"/>
  <c r="H574" i="7"/>
  <c r="L578" i="7"/>
  <c r="G583" i="7"/>
  <c r="G586" i="7"/>
  <c r="G589" i="7"/>
  <c r="M591" i="7"/>
  <c r="J594" i="7"/>
  <c r="G597" i="7"/>
  <c r="L599" i="7"/>
  <c r="I602" i="7"/>
  <c r="M604" i="7"/>
  <c r="K607" i="7"/>
  <c r="H610" i="7"/>
  <c r="L612" i="7"/>
  <c r="H615" i="7"/>
  <c r="J617" i="7"/>
  <c r="L619" i="7"/>
  <c r="G622" i="7"/>
  <c r="I624" i="7"/>
  <c r="K626" i="7"/>
  <c r="M628" i="7"/>
  <c r="H631" i="7"/>
  <c r="J633" i="7"/>
  <c r="L635" i="7"/>
  <c r="G638" i="7"/>
  <c r="I640" i="7"/>
  <c r="K642" i="7"/>
  <c r="M644" i="7"/>
  <c r="H647" i="7"/>
  <c r="J649" i="7"/>
  <c r="L651" i="7"/>
  <c r="G654" i="7"/>
  <c r="I656" i="7"/>
  <c r="K658" i="7"/>
  <c r="M660" i="7"/>
  <c r="H663" i="7"/>
  <c r="J665" i="7"/>
  <c r="L667" i="7"/>
  <c r="G670" i="7"/>
  <c r="I672" i="7"/>
  <c r="K674" i="7"/>
  <c r="M676" i="7"/>
  <c r="H679" i="7"/>
  <c r="G681" i="7"/>
  <c r="G683" i="7"/>
  <c r="M684" i="7"/>
  <c r="K686" i="7"/>
  <c r="J688" i="7"/>
  <c r="G690" i="7"/>
  <c r="J691" i="7"/>
  <c r="L692" i="7"/>
  <c r="G694" i="7"/>
  <c r="I695" i="7"/>
  <c r="L696" i="7"/>
  <c r="G698" i="7"/>
  <c r="I699" i="7"/>
  <c r="K700" i="7"/>
  <c r="M701" i="7"/>
  <c r="H703" i="7"/>
  <c r="J704" i="7"/>
  <c r="M705" i="7"/>
  <c r="H707" i="7"/>
  <c r="J708" i="7"/>
  <c r="L709" i="7"/>
  <c r="G711" i="7"/>
  <c r="I712" i="7"/>
  <c r="K713" i="7"/>
  <c r="G715" i="7"/>
  <c r="H716" i="7"/>
  <c r="I717" i="7"/>
  <c r="J718" i="7"/>
  <c r="K719" i="7"/>
  <c r="L720" i="7"/>
  <c r="M721" i="7"/>
  <c r="G723" i="7"/>
  <c r="H724" i="7"/>
  <c r="I725" i="7"/>
  <c r="J726" i="7"/>
  <c r="K727" i="7"/>
  <c r="L728" i="7"/>
  <c r="M729" i="7"/>
  <c r="G731" i="7"/>
  <c r="H732" i="7"/>
  <c r="I733" i="7"/>
  <c r="J734" i="7"/>
  <c r="K735" i="7"/>
  <c r="L736" i="7"/>
  <c r="M737" i="7"/>
  <c r="G739" i="7"/>
  <c r="H740" i="7"/>
  <c r="I741" i="7"/>
  <c r="J742" i="7"/>
  <c r="K743" i="7"/>
  <c r="L744" i="7"/>
  <c r="M745" i="7"/>
  <c r="G747" i="7"/>
  <c r="H748" i="7"/>
  <c r="I749" i="7"/>
  <c r="J750" i="7"/>
  <c r="K751" i="7"/>
  <c r="L752" i="7"/>
  <c r="M753" i="7"/>
  <c r="G755" i="7"/>
  <c r="H756" i="7"/>
  <c r="I757" i="7"/>
  <c r="J758" i="7"/>
  <c r="K759" i="7"/>
  <c r="L760" i="7"/>
  <c r="M761" i="7"/>
  <c r="G763" i="7"/>
  <c r="H764" i="7"/>
  <c r="I765" i="7"/>
  <c r="J766" i="7"/>
  <c r="K767" i="7"/>
  <c r="L768" i="7"/>
  <c r="M769" i="7"/>
  <c r="G771" i="7"/>
  <c r="H772" i="7"/>
  <c r="I773" i="7"/>
  <c r="J774" i="7"/>
  <c r="K775" i="7"/>
  <c r="L776" i="7"/>
  <c r="M777" i="7"/>
  <c r="G779" i="7"/>
  <c r="H780" i="7"/>
  <c r="I781" i="7"/>
  <c r="J782" i="7"/>
  <c r="K783" i="7"/>
  <c r="L784" i="7"/>
  <c r="M785" i="7"/>
  <c r="G787" i="7"/>
  <c r="H788" i="7"/>
  <c r="I789" i="7"/>
  <c r="J790" i="7"/>
  <c r="K791" i="7"/>
  <c r="L792" i="7"/>
  <c r="M793" i="7"/>
  <c r="K236" i="7"/>
  <c r="G288" i="7"/>
  <c r="M319" i="7"/>
  <c r="L340" i="7"/>
  <c r="K361" i="7"/>
  <c r="K377" i="7"/>
  <c r="H392" i="7"/>
  <c r="M406" i="7"/>
  <c r="J421" i="7"/>
  <c r="G432" i="7"/>
  <c r="J440" i="7"/>
  <c r="G447" i="7"/>
  <c r="H453" i="7"/>
  <c r="H459" i="7"/>
  <c r="L464" i="7"/>
  <c r="I469" i="7"/>
  <c r="M473" i="7"/>
  <c r="J478" i="7"/>
  <c r="G483" i="7"/>
  <c r="K487" i="7"/>
  <c r="H492" i="7"/>
  <c r="L496" i="7"/>
  <c r="I501" i="7"/>
  <c r="M505" i="7"/>
  <c r="J510" i="7"/>
  <c r="G515" i="7"/>
  <c r="K519" i="7"/>
  <c r="H524" i="7"/>
  <c r="L528" i="7"/>
  <c r="I533" i="7"/>
  <c r="M537" i="7"/>
  <c r="J542" i="7"/>
  <c r="G547" i="7"/>
  <c r="K551" i="7"/>
  <c r="H556" i="7"/>
  <c r="L560" i="7"/>
  <c r="I565" i="7"/>
  <c r="M569" i="7"/>
  <c r="J574" i="7"/>
  <c r="G579" i="7"/>
  <c r="H583" i="7"/>
  <c r="H586" i="7"/>
  <c r="I589" i="7"/>
  <c r="G592" i="7"/>
  <c r="K594" i="7"/>
  <c r="I597" i="7"/>
  <c r="M599" i="7"/>
  <c r="J602" i="7"/>
  <c r="G605" i="7"/>
  <c r="L607" i="7"/>
  <c r="I610" i="7"/>
  <c r="M612" i="7"/>
  <c r="I615" i="7"/>
  <c r="K617" i="7"/>
  <c r="M619" i="7"/>
  <c r="H622" i="7"/>
  <c r="J624" i="7"/>
  <c r="L626" i="7"/>
  <c r="G629" i="7"/>
  <c r="I631" i="7"/>
  <c r="K633" i="7"/>
  <c r="M635" i="7"/>
  <c r="H638" i="7"/>
  <c r="J640" i="7"/>
  <c r="L642" i="7"/>
  <c r="G645" i="7"/>
  <c r="I647" i="7"/>
  <c r="K649" i="7"/>
  <c r="M651" i="7"/>
  <c r="H654" i="7"/>
  <c r="J656" i="7"/>
  <c r="L658" i="7"/>
  <c r="G661" i="7"/>
  <c r="I663" i="7"/>
  <c r="K665" i="7"/>
  <c r="M667" i="7"/>
  <c r="H670" i="7"/>
  <c r="J672" i="7"/>
  <c r="L674" i="7"/>
  <c r="G677" i="7"/>
  <c r="I679" i="7"/>
  <c r="J681" i="7"/>
  <c r="H683" i="7"/>
  <c r="G685" i="7"/>
  <c r="L686" i="7"/>
  <c r="L688" i="7"/>
  <c r="H690" i="7"/>
  <c r="K691" i="7"/>
  <c r="M692" i="7"/>
  <c r="H694" i="7"/>
  <c r="K695" i="7"/>
  <c r="M696" i="7"/>
  <c r="H698" i="7"/>
  <c r="J699" i="7"/>
  <c r="L700" i="7"/>
  <c r="G702" i="7"/>
  <c r="I703" i="7"/>
  <c r="L704" i="7"/>
  <c r="G706" i="7"/>
  <c r="I707" i="7"/>
  <c r="K708" i="7"/>
  <c r="M709" i="7"/>
  <c r="H711" i="7"/>
  <c r="J712" i="7"/>
  <c r="M713" i="7"/>
  <c r="H715" i="7"/>
  <c r="I716" i="7"/>
  <c r="J717" i="7"/>
  <c r="K718" i="7"/>
  <c r="L719" i="7"/>
  <c r="M720" i="7"/>
  <c r="G722" i="7"/>
  <c r="H723" i="7"/>
  <c r="I724" i="7"/>
  <c r="J725" i="7"/>
  <c r="K726" i="7"/>
  <c r="L727" i="7"/>
  <c r="M728" i="7"/>
  <c r="G730" i="7"/>
  <c r="H731" i="7"/>
  <c r="I732" i="7"/>
  <c r="J733" i="7"/>
  <c r="K734" i="7"/>
  <c r="L735" i="7"/>
  <c r="M736" i="7"/>
  <c r="G738" i="7"/>
  <c r="H739" i="7"/>
  <c r="I740" i="7"/>
  <c r="J741" i="7"/>
  <c r="K742" i="7"/>
  <c r="L743" i="7"/>
  <c r="M744" i="7"/>
  <c r="G746" i="7"/>
  <c r="H747" i="7"/>
  <c r="I748" i="7"/>
  <c r="J749" i="7"/>
  <c r="K750" i="7"/>
  <c r="L751" i="7"/>
  <c r="M752" i="7"/>
  <c r="G754" i="7"/>
  <c r="H755" i="7"/>
  <c r="I756" i="7"/>
  <c r="J757" i="7"/>
  <c r="K758" i="7"/>
  <c r="L759" i="7"/>
  <c r="M760" i="7"/>
  <c r="G762" i="7"/>
  <c r="H763" i="7"/>
  <c r="I764" i="7"/>
  <c r="J765" i="7"/>
  <c r="K766" i="7"/>
  <c r="L767" i="7"/>
  <c r="M768" i="7"/>
  <c r="G770" i="7"/>
  <c r="H771" i="7"/>
  <c r="I772" i="7"/>
  <c r="J773" i="7"/>
  <c r="K774" i="7"/>
  <c r="L775" i="7"/>
  <c r="M776" i="7"/>
  <c r="G778" i="7"/>
  <c r="H779" i="7"/>
  <c r="I780" i="7"/>
  <c r="J781" i="7"/>
  <c r="K782" i="7"/>
  <c r="L783" i="7"/>
  <c r="M784" i="7"/>
  <c r="G786" i="7"/>
  <c r="H787" i="7"/>
  <c r="G186" i="7"/>
  <c r="H266" i="7"/>
  <c r="H307" i="7"/>
  <c r="L329" i="7"/>
  <c r="L350" i="7"/>
  <c r="L369" i="7"/>
  <c r="J384" i="7"/>
  <c r="G399" i="7"/>
  <c r="L413" i="7"/>
  <c r="J426" i="7"/>
  <c r="G436" i="7"/>
  <c r="J443" i="7"/>
  <c r="L449" i="7"/>
  <c r="L455" i="7"/>
  <c r="L461" i="7"/>
  <c r="L466" i="7"/>
  <c r="I471" i="7"/>
  <c r="M475" i="7"/>
  <c r="J480" i="7"/>
  <c r="G485" i="7"/>
  <c r="K489" i="7"/>
  <c r="H494" i="7"/>
  <c r="L498" i="7"/>
  <c r="I503" i="7"/>
  <c r="M507" i="7"/>
  <c r="J512" i="7"/>
  <c r="G517" i="7"/>
  <c r="K521" i="7"/>
  <c r="H526" i="7"/>
  <c r="L530" i="7"/>
  <c r="I535" i="7"/>
  <c r="M539" i="7"/>
  <c r="J544" i="7"/>
  <c r="G549" i="7"/>
  <c r="K553" i="7"/>
  <c r="H558" i="7"/>
  <c r="L562" i="7"/>
  <c r="I567" i="7"/>
  <c r="M571" i="7"/>
  <c r="J576" i="7"/>
  <c r="G581" i="7"/>
  <c r="J584" i="7"/>
  <c r="K587" i="7"/>
  <c r="K590" i="7"/>
  <c r="H593" i="7"/>
  <c r="L595" i="7"/>
  <c r="J598" i="7"/>
  <c r="G601" i="7"/>
  <c r="K603" i="7"/>
  <c r="H606" i="7"/>
  <c r="M608" i="7"/>
  <c r="J611" i="7"/>
  <c r="G614" i="7"/>
  <c r="I616" i="7"/>
  <c r="K618" i="7"/>
  <c r="M620" i="7"/>
  <c r="H623" i="7"/>
  <c r="J625" i="7"/>
  <c r="L627" i="7"/>
  <c r="G630" i="7"/>
  <c r="I632" i="7"/>
  <c r="K634" i="7"/>
  <c r="M636" i="7"/>
  <c r="H639" i="7"/>
  <c r="J641" i="7"/>
  <c r="L643" i="7"/>
  <c r="G646" i="7"/>
  <c r="I648" i="7"/>
  <c r="K650" i="7"/>
  <c r="M652" i="7"/>
  <c r="H655" i="7"/>
  <c r="J657" i="7"/>
  <c r="L659" i="7"/>
  <c r="G662" i="7"/>
  <c r="I664" i="7"/>
  <c r="K666" i="7"/>
  <c r="M668" i="7"/>
  <c r="H671" i="7"/>
  <c r="J673" i="7"/>
  <c r="L675" i="7"/>
  <c r="G678" i="7"/>
  <c r="I680" i="7"/>
  <c r="G682" i="7"/>
  <c r="M683" i="7"/>
  <c r="K685" i="7"/>
  <c r="K687" i="7"/>
  <c r="I689" i="7"/>
  <c r="L690" i="7"/>
  <c r="H692" i="7"/>
  <c r="J693" i="7"/>
  <c r="L694" i="7"/>
  <c r="G696" i="7"/>
  <c r="I697" i="7"/>
  <c r="K698" i="7"/>
  <c r="M699" i="7"/>
  <c r="I701" i="7"/>
  <c r="K702" i="7"/>
  <c r="M703" i="7"/>
  <c r="H705" i="7"/>
  <c r="J706" i="7"/>
  <c r="L707" i="7"/>
  <c r="G709" i="7"/>
  <c r="J710" i="7"/>
  <c r="L711" i="7"/>
  <c r="G713" i="7"/>
  <c r="I714" i="7"/>
  <c r="K715" i="7"/>
  <c r="L716" i="7"/>
  <c r="M717" i="7"/>
  <c r="G719" i="7"/>
  <c r="H720" i="7"/>
  <c r="I721" i="7"/>
  <c r="J722" i="7"/>
  <c r="K723" i="7"/>
  <c r="L724" i="7"/>
  <c r="M725" i="7"/>
  <c r="G727" i="7"/>
  <c r="H728" i="7"/>
  <c r="I729" i="7"/>
  <c r="J730" i="7"/>
  <c r="K731" i="7"/>
  <c r="L732" i="7"/>
  <c r="M733" i="7"/>
  <c r="G735" i="7"/>
  <c r="H736" i="7"/>
  <c r="I737" i="7"/>
  <c r="J738" i="7"/>
  <c r="K739" i="7"/>
  <c r="L740" i="7"/>
  <c r="M741" i="7"/>
  <c r="G743" i="7"/>
  <c r="H744" i="7"/>
  <c r="I745" i="7"/>
  <c r="J746" i="7"/>
  <c r="K747" i="7"/>
  <c r="L748" i="7"/>
  <c r="M749" i="7"/>
  <c r="G751" i="7"/>
  <c r="H752" i="7"/>
  <c r="I753" i="7"/>
  <c r="J754" i="7"/>
  <c r="K755" i="7"/>
  <c r="L756" i="7"/>
  <c r="M757" i="7"/>
  <c r="G759" i="7"/>
  <c r="H760" i="7"/>
  <c r="I761" i="7"/>
  <c r="J762" i="7"/>
  <c r="K763" i="7"/>
  <c r="L764" i="7"/>
  <c r="M765" i="7"/>
  <c r="G767" i="7"/>
  <c r="H768" i="7"/>
  <c r="I769" i="7"/>
  <c r="J770" i="7"/>
  <c r="K771" i="7"/>
  <c r="L772" i="7"/>
  <c r="M773" i="7"/>
  <c r="G775" i="7"/>
  <c r="H776" i="7"/>
  <c r="I777" i="7"/>
  <c r="J778" i="7"/>
  <c r="K779" i="7"/>
  <c r="L780" i="7"/>
  <c r="M781" i="7"/>
  <c r="G783" i="7"/>
  <c r="H784" i="7"/>
  <c r="I785" i="7"/>
  <c r="J786" i="7"/>
  <c r="K787" i="7"/>
  <c r="L788" i="7"/>
  <c r="M789" i="7"/>
  <c r="G791" i="7"/>
  <c r="H792" i="7"/>
  <c r="I793" i="7"/>
  <c r="J794" i="7"/>
  <c r="K795" i="7"/>
  <c r="L796" i="7"/>
  <c r="M797" i="7"/>
  <c r="G799" i="7"/>
  <c r="H800" i="7"/>
  <c r="I801" i="7"/>
  <c r="J802" i="7"/>
  <c r="K803" i="7"/>
  <c r="L804" i="7"/>
  <c r="M805" i="7"/>
  <c r="G807" i="7"/>
  <c r="H808" i="7"/>
  <c r="I809" i="7"/>
  <c r="J810" i="7"/>
  <c r="K811" i="7"/>
  <c r="L812" i="7"/>
  <c r="M813" i="7"/>
  <c r="G815" i="7"/>
  <c r="H816" i="7"/>
  <c r="I817" i="7"/>
  <c r="J818" i="7"/>
  <c r="K819" i="7"/>
  <c r="L820" i="7"/>
  <c r="M821" i="7"/>
  <c r="G823" i="7"/>
  <c r="H824" i="7"/>
  <c r="I825" i="7"/>
  <c r="J826" i="7"/>
  <c r="K827" i="7"/>
  <c r="L828" i="7"/>
  <c r="M829" i="7"/>
  <c r="G831" i="7"/>
  <c r="H832" i="7"/>
  <c r="G253" i="7"/>
  <c r="K324" i="7"/>
  <c r="L365" i="7"/>
  <c r="J395" i="7"/>
  <c r="L423" i="7"/>
  <c r="L441" i="7"/>
  <c r="I454" i="7"/>
  <c r="K465" i="7"/>
  <c r="L474" i="7"/>
  <c r="M483" i="7"/>
  <c r="G493" i="7"/>
  <c r="H502" i="7"/>
  <c r="I511" i="7"/>
  <c r="J520" i="7"/>
  <c r="K529" i="7"/>
  <c r="L538" i="7"/>
  <c r="M547" i="7"/>
  <c r="G557" i="7"/>
  <c r="H566" i="7"/>
  <c r="I575" i="7"/>
  <c r="L583" i="7"/>
  <c r="M589" i="7"/>
  <c r="H595" i="7"/>
  <c r="I600" i="7"/>
  <c r="K605" i="7"/>
  <c r="L610" i="7"/>
  <c r="L615" i="7"/>
  <c r="I620" i="7"/>
  <c r="M624" i="7"/>
  <c r="J629" i="7"/>
  <c r="G634" i="7"/>
  <c r="K638" i="7"/>
  <c r="H643" i="7"/>
  <c r="L647" i="7"/>
  <c r="I652" i="7"/>
  <c r="M656" i="7"/>
  <c r="J661" i="7"/>
  <c r="G666" i="7"/>
  <c r="K670" i="7"/>
  <c r="H675" i="7"/>
  <c r="L679" i="7"/>
  <c r="L683" i="7"/>
  <c r="I687" i="7"/>
  <c r="K690" i="7"/>
  <c r="I693" i="7"/>
  <c r="M695" i="7"/>
  <c r="J698" i="7"/>
  <c r="G701" i="7"/>
  <c r="L703" i="7"/>
  <c r="I706" i="7"/>
  <c r="M708" i="7"/>
  <c r="K711" i="7"/>
  <c r="H714" i="7"/>
  <c r="K716" i="7"/>
  <c r="M718" i="7"/>
  <c r="H721" i="7"/>
  <c r="J723" i="7"/>
  <c r="L725" i="7"/>
  <c r="G728" i="7"/>
  <c r="I730" i="7"/>
  <c r="K732" i="7"/>
  <c r="M734" i="7"/>
  <c r="H737" i="7"/>
  <c r="J739" i="7"/>
  <c r="L741" i="7"/>
  <c r="G744" i="7"/>
  <c r="I746" i="7"/>
  <c r="K748" i="7"/>
  <c r="M750" i="7"/>
  <c r="H753" i="7"/>
  <c r="J755" i="7"/>
  <c r="L757" i="7"/>
  <c r="G760" i="7"/>
  <c r="I762" i="7"/>
  <c r="K764" i="7"/>
  <c r="M766" i="7"/>
  <c r="H769" i="7"/>
  <c r="J771" i="7"/>
  <c r="L773" i="7"/>
  <c r="G776" i="7"/>
  <c r="I778" i="7"/>
  <c r="K780" i="7"/>
  <c r="M782" i="7"/>
  <c r="H785" i="7"/>
  <c r="J787" i="7"/>
  <c r="H789" i="7"/>
  <c r="L790" i="7"/>
  <c r="I792" i="7"/>
  <c r="L793" i="7"/>
  <c r="H795" i="7"/>
  <c r="J796" i="7"/>
  <c r="L797" i="7"/>
  <c r="H799" i="7"/>
  <c r="J800" i="7"/>
  <c r="L801" i="7"/>
  <c r="G803" i="7"/>
  <c r="I804" i="7"/>
  <c r="K805" i="7"/>
  <c r="M806" i="7"/>
  <c r="I808" i="7"/>
  <c r="K809" i="7"/>
  <c r="M810" i="7"/>
  <c r="H812" i="7"/>
  <c r="J813" i="7"/>
  <c r="L814" i="7"/>
  <c r="G816" i="7"/>
  <c r="J817" i="7"/>
  <c r="L818" i="7"/>
  <c r="G820" i="7"/>
  <c r="I821" i="7"/>
  <c r="K822" i="7"/>
  <c r="M823" i="7"/>
  <c r="H825" i="7"/>
  <c r="K826" i="7"/>
  <c r="M827" i="7"/>
  <c r="H829" i="7"/>
  <c r="J830" i="7"/>
  <c r="L831" i="7"/>
  <c r="G833" i="7"/>
  <c r="H834" i="7"/>
  <c r="I835" i="7"/>
  <c r="J836" i="7"/>
  <c r="K837" i="7"/>
  <c r="L838" i="7"/>
  <c r="M839" i="7"/>
  <c r="G841" i="7"/>
  <c r="H842" i="7"/>
  <c r="I843" i="7"/>
  <c r="J844" i="7"/>
  <c r="K845" i="7"/>
  <c r="L846" i="7"/>
  <c r="M847" i="7"/>
  <c r="G849" i="7"/>
  <c r="H850" i="7"/>
  <c r="I851" i="7"/>
  <c r="J852" i="7"/>
  <c r="K853" i="7"/>
  <c r="L854" i="7"/>
  <c r="M855" i="7"/>
  <c r="G857" i="7"/>
  <c r="H858" i="7"/>
  <c r="I859" i="7"/>
  <c r="J860" i="7"/>
  <c r="K861" i="7"/>
  <c r="L862" i="7"/>
  <c r="M863" i="7"/>
  <c r="G865" i="7"/>
  <c r="H866" i="7"/>
  <c r="I867" i="7"/>
  <c r="J868" i="7"/>
  <c r="K869" i="7"/>
  <c r="L870" i="7"/>
  <c r="M871" i="7"/>
  <c r="G873" i="7"/>
  <c r="H874" i="7"/>
  <c r="I875" i="7"/>
  <c r="J876" i="7"/>
  <c r="K877" i="7"/>
  <c r="L878" i="7"/>
  <c r="M879" i="7"/>
  <c r="G881" i="7"/>
  <c r="H882" i="7"/>
  <c r="I883" i="7"/>
  <c r="J884" i="7"/>
  <c r="K885" i="7"/>
  <c r="L886" i="7"/>
  <c r="M887" i="7"/>
  <c r="G889" i="7"/>
  <c r="H890" i="7"/>
  <c r="I891" i="7"/>
  <c r="J892" i="7"/>
  <c r="K893" i="7"/>
  <c r="L894" i="7"/>
  <c r="M895" i="7"/>
  <c r="G897" i="7"/>
  <c r="H898" i="7"/>
  <c r="I899" i="7"/>
  <c r="J900" i="7"/>
  <c r="K901" i="7"/>
  <c r="L902" i="7"/>
  <c r="M903" i="7"/>
  <c r="G905" i="7"/>
  <c r="H906" i="7"/>
  <c r="I907" i="7"/>
  <c r="J908" i="7"/>
  <c r="K909" i="7"/>
  <c r="L910" i="7"/>
  <c r="M911" i="7"/>
  <c r="G913" i="7"/>
  <c r="H914" i="7"/>
  <c r="I915" i="7"/>
  <c r="J916" i="7"/>
  <c r="K917" i="7"/>
  <c r="L918" i="7"/>
  <c r="M919" i="7"/>
  <c r="G921" i="7"/>
  <c r="H922" i="7"/>
  <c r="I923" i="7"/>
  <c r="J924" i="7"/>
  <c r="K925" i="7"/>
  <c r="L926" i="7"/>
  <c r="M927" i="7"/>
  <c r="G929" i="7"/>
  <c r="H930" i="7"/>
  <c r="I931" i="7"/>
  <c r="J932" i="7"/>
  <c r="K933" i="7"/>
  <c r="L934" i="7"/>
  <c r="M935" i="7"/>
  <c r="G937" i="7"/>
  <c r="H938" i="7"/>
  <c r="I939" i="7"/>
  <c r="J940" i="7"/>
  <c r="K941" i="7"/>
  <c r="L942" i="7"/>
  <c r="M943" i="7"/>
  <c r="G945" i="7"/>
  <c r="H946" i="7"/>
  <c r="I947" i="7"/>
  <c r="J948" i="7"/>
  <c r="K949" i="7"/>
  <c r="L950" i="7"/>
  <c r="M951" i="7"/>
  <c r="G953" i="7"/>
  <c r="H954" i="7"/>
  <c r="I955" i="7"/>
  <c r="J956" i="7"/>
  <c r="K957" i="7"/>
  <c r="L958" i="7"/>
  <c r="M959" i="7"/>
  <c r="G961" i="7"/>
  <c r="H962" i="7"/>
  <c r="I963" i="7"/>
  <c r="J964" i="7"/>
  <c r="K965" i="7"/>
  <c r="L966" i="7"/>
  <c r="M967" i="7"/>
  <c r="G969" i="7"/>
  <c r="H970" i="7"/>
  <c r="I971" i="7"/>
  <c r="J972" i="7"/>
  <c r="K973" i="7"/>
  <c r="L974" i="7"/>
  <c r="M975" i="7"/>
  <c r="G977" i="7"/>
  <c r="H978" i="7"/>
  <c r="I979" i="7"/>
  <c r="J980" i="7"/>
  <c r="K981" i="7"/>
  <c r="L982" i="7"/>
  <c r="M983" i="7"/>
  <c r="G985" i="7"/>
  <c r="H986" i="7"/>
  <c r="I987" i="7"/>
  <c r="J988" i="7"/>
  <c r="K989" i="7"/>
  <c r="L990" i="7"/>
  <c r="M991" i="7"/>
  <c r="G993" i="7"/>
  <c r="H994" i="7"/>
  <c r="I995" i="7"/>
  <c r="J996" i="7"/>
  <c r="K997" i="7"/>
  <c r="L998" i="7"/>
  <c r="M999" i="7"/>
  <c r="G1001" i="7"/>
  <c r="H1002" i="7"/>
  <c r="I1003" i="7"/>
  <c r="J1004" i="7"/>
  <c r="K1005" i="7"/>
  <c r="L1006" i="7"/>
  <c r="M1007" i="7"/>
  <c r="G1009" i="7"/>
  <c r="G19" i="7"/>
  <c r="H20" i="7"/>
  <c r="I21" i="7"/>
  <c r="J22" i="7"/>
  <c r="K23" i="7"/>
  <c r="L24" i="7"/>
  <c r="M25" i="7"/>
  <c r="G27" i="7"/>
  <c r="H28" i="7"/>
  <c r="I29" i="7"/>
  <c r="J30" i="7"/>
  <c r="K31" i="7"/>
  <c r="L32" i="7"/>
  <c r="M33" i="7"/>
  <c r="G35" i="7"/>
  <c r="H36" i="7"/>
  <c r="I37" i="7"/>
  <c r="J38" i="7"/>
  <c r="K39" i="7"/>
  <c r="L40" i="7"/>
  <c r="M41" i="7"/>
  <c r="G43" i="7"/>
  <c r="H44" i="7"/>
  <c r="I45" i="7"/>
  <c r="J46" i="7"/>
  <c r="K47" i="7"/>
  <c r="L48" i="7"/>
  <c r="M49" i="7"/>
  <c r="G51" i="7"/>
  <c r="H52" i="7"/>
  <c r="I53" i="7"/>
  <c r="J54" i="7"/>
  <c r="K55" i="7"/>
  <c r="L56" i="7"/>
  <c r="M57" i="7"/>
  <c r="G59" i="7"/>
  <c r="H60" i="7"/>
  <c r="I61" i="7"/>
  <c r="J62" i="7"/>
  <c r="K63" i="7"/>
  <c r="L64" i="7"/>
  <c r="L4" i="7"/>
  <c r="L6" i="7"/>
  <c r="L8" i="7"/>
  <c r="L10" i="7"/>
  <c r="L12" i="7"/>
  <c r="L14" i="7"/>
  <c r="L16" i="7"/>
  <c r="I5" i="7"/>
  <c r="I13" i="7"/>
  <c r="H4" i="7"/>
  <c r="H12" i="7"/>
  <c r="G3" i="7"/>
  <c r="G11" i="7"/>
  <c r="G2" i="7"/>
  <c r="H267" i="7"/>
  <c r="I330" i="7"/>
  <c r="I370" i="7"/>
  <c r="J399" i="7"/>
  <c r="M426" i="7"/>
  <c r="G444" i="7"/>
  <c r="H456" i="7"/>
  <c r="G467" i="7"/>
  <c r="H476" i="7"/>
  <c r="I485" i="7"/>
  <c r="J494" i="7"/>
  <c r="K503" i="7"/>
  <c r="L512" i="7"/>
  <c r="M521" i="7"/>
  <c r="G531" i="7"/>
  <c r="H540" i="7"/>
  <c r="I549" i="7"/>
  <c r="J558" i="7"/>
  <c r="K567" i="7"/>
  <c r="L576" i="7"/>
  <c r="L584" i="7"/>
  <c r="L590" i="7"/>
  <c r="M595" i="7"/>
  <c r="H601" i="7"/>
  <c r="J606" i="7"/>
  <c r="K611" i="7"/>
  <c r="J616" i="7"/>
  <c r="G621" i="7"/>
  <c r="K625" i="7"/>
  <c r="H630" i="7"/>
  <c r="L634" i="7"/>
  <c r="I639" i="7"/>
  <c r="M643" i="7"/>
  <c r="J648" i="7"/>
  <c r="G653" i="7"/>
  <c r="K657" i="7"/>
  <c r="H662" i="7"/>
  <c r="L666" i="7"/>
  <c r="I671" i="7"/>
  <c r="M675" i="7"/>
  <c r="J680" i="7"/>
  <c r="H684" i="7"/>
  <c r="L687" i="7"/>
  <c r="G691" i="7"/>
  <c r="K693" i="7"/>
  <c r="H696" i="7"/>
  <c r="L698" i="7"/>
  <c r="J701" i="7"/>
  <c r="G704" i="7"/>
  <c r="K706" i="7"/>
  <c r="I709" i="7"/>
  <c r="M711" i="7"/>
  <c r="J714" i="7"/>
  <c r="M716" i="7"/>
  <c r="H719" i="7"/>
  <c r="J721" i="7"/>
  <c r="L723" i="7"/>
  <c r="G726" i="7"/>
  <c r="I728" i="7"/>
  <c r="K730" i="7"/>
  <c r="M732" i="7"/>
  <c r="H735" i="7"/>
  <c r="J737" i="7"/>
  <c r="L739" i="7"/>
  <c r="G742" i="7"/>
  <c r="I744" i="7"/>
  <c r="K746" i="7"/>
  <c r="M748" i="7"/>
  <c r="H751" i="7"/>
  <c r="J753" i="7"/>
  <c r="L755" i="7"/>
  <c r="G758" i="7"/>
  <c r="I760" i="7"/>
  <c r="K762" i="7"/>
  <c r="M764" i="7"/>
  <c r="H767" i="7"/>
  <c r="J769" i="7"/>
  <c r="L771" i="7"/>
  <c r="G774" i="7"/>
  <c r="I776" i="7"/>
  <c r="K778" i="7"/>
  <c r="M780" i="7"/>
  <c r="H783" i="7"/>
  <c r="J785" i="7"/>
  <c r="L787" i="7"/>
  <c r="J789" i="7"/>
  <c r="M790" i="7"/>
  <c r="J792" i="7"/>
  <c r="G794" i="7"/>
  <c r="I795" i="7"/>
  <c r="K796" i="7"/>
  <c r="G798" i="7"/>
  <c r="I799" i="7"/>
  <c r="K800" i="7"/>
  <c r="M801" i="7"/>
  <c r="H803" i="7"/>
  <c r="J804" i="7"/>
  <c r="L805" i="7"/>
  <c r="H807" i="7"/>
  <c r="J808" i="7"/>
  <c r="L809" i="7"/>
  <c r="G811" i="7"/>
  <c r="I812" i="7"/>
  <c r="K813" i="7"/>
  <c r="M814" i="7"/>
  <c r="I816" i="7"/>
  <c r="K817" i="7"/>
  <c r="M818" i="7"/>
  <c r="H820" i="7"/>
  <c r="J821" i="7"/>
  <c r="L822" i="7"/>
  <c r="G824" i="7"/>
  <c r="J825" i="7"/>
  <c r="L826" i="7"/>
  <c r="G828" i="7"/>
  <c r="I829" i="7"/>
  <c r="K830" i="7"/>
  <c r="M831" i="7"/>
  <c r="H833" i="7"/>
  <c r="I834" i="7"/>
  <c r="J835" i="7"/>
  <c r="K836" i="7"/>
  <c r="L837" i="7"/>
  <c r="M838" i="7"/>
  <c r="G840" i="7"/>
  <c r="H841" i="7"/>
  <c r="I842" i="7"/>
  <c r="J843" i="7"/>
  <c r="K844" i="7"/>
  <c r="L845" i="7"/>
  <c r="M846" i="7"/>
  <c r="G848" i="7"/>
  <c r="H849" i="7"/>
  <c r="I850" i="7"/>
  <c r="J851" i="7"/>
  <c r="K852" i="7"/>
  <c r="L853" i="7"/>
  <c r="M854" i="7"/>
  <c r="G856" i="7"/>
  <c r="H857" i="7"/>
  <c r="I858" i="7"/>
  <c r="J859" i="7"/>
  <c r="K860" i="7"/>
  <c r="L861" i="7"/>
  <c r="M862" i="7"/>
  <c r="G864" i="7"/>
  <c r="H865" i="7"/>
  <c r="I866" i="7"/>
  <c r="J867" i="7"/>
  <c r="K868" i="7"/>
  <c r="L869" i="7"/>
  <c r="M870" i="7"/>
  <c r="G872" i="7"/>
  <c r="H873" i="7"/>
  <c r="I874" i="7"/>
  <c r="J875" i="7"/>
  <c r="K876" i="7"/>
  <c r="L877" i="7"/>
  <c r="M878" i="7"/>
  <c r="G880" i="7"/>
  <c r="H881" i="7"/>
  <c r="I882" i="7"/>
  <c r="J883" i="7"/>
  <c r="K884" i="7"/>
  <c r="L885" i="7"/>
  <c r="M886" i="7"/>
  <c r="G888" i="7"/>
  <c r="H889" i="7"/>
  <c r="I890" i="7"/>
  <c r="J891" i="7"/>
  <c r="K892" i="7"/>
  <c r="L893" i="7"/>
  <c r="M894" i="7"/>
  <c r="G896" i="7"/>
  <c r="H897" i="7"/>
  <c r="I898" i="7"/>
  <c r="J899" i="7"/>
  <c r="K900" i="7"/>
  <c r="L901" i="7"/>
  <c r="M902" i="7"/>
  <c r="G904" i="7"/>
  <c r="H905" i="7"/>
  <c r="I906" i="7"/>
  <c r="J907" i="7"/>
  <c r="K908" i="7"/>
  <c r="L909" i="7"/>
  <c r="M910" i="7"/>
  <c r="G912" i="7"/>
  <c r="H913" i="7"/>
  <c r="I914" i="7"/>
  <c r="J915" i="7"/>
  <c r="K916" i="7"/>
  <c r="L917" i="7"/>
  <c r="M918" i="7"/>
  <c r="G920" i="7"/>
  <c r="H921" i="7"/>
  <c r="I922" i="7"/>
  <c r="J923" i="7"/>
  <c r="K924" i="7"/>
  <c r="L925" i="7"/>
  <c r="M926" i="7"/>
  <c r="G928" i="7"/>
  <c r="H929" i="7"/>
  <c r="I930" i="7"/>
  <c r="J931" i="7"/>
  <c r="K932" i="7"/>
  <c r="L933" i="7"/>
  <c r="M934" i="7"/>
  <c r="G936" i="7"/>
  <c r="H937" i="7"/>
  <c r="I938" i="7"/>
  <c r="J939" i="7"/>
  <c r="K940" i="7"/>
  <c r="L941" i="7"/>
  <c r="M942" i="7"/>
  <c r="G944" i="7"/>
  <c r="H945" i="7"/>
  <c r="I946" i="7"/>
  <c r="J947" i="7"/>
  <c r="K948" i="7"/>
  <c r="L949" i="7"/>
  <c r="M950" i="7"/>
  <c r="G952" i="7"/>
  <c r="H953" i="7"/>
  <c r="I954" i="7"/>
  <c r="J955" i="7"/>
  <c r="K956" i="7"/>
  <c r="L957" i="7"/>
  <c r="M958" i="7"/>
  <c r="G960" i="7"/>
  <c r="H961" i="7"/>
  <c r="I962" i="7"/>
  <c r="J963" i="7"/>
  <c r="K964" i="7"/>
  <c r="L965" i="7"/>
  <c r="M966" i="7"/>
  <c r="G968" i="7"/>
  <c r="H969" i="7"/>
  <c r="I970" i="7"/>
  <c r="J971" i="7"/>
  <c r="K972" i="7"/>
  <c r="L973" i="7"/>
  <c r="M974" i="7"/>
  <c r="G976" i="7"/>
  <c r="H977" i="7"/>
  <c r="I978" i="7"/>
  <c r="J979" i="7"/>
  <c r="K980" i="7"/>
  <c r="L981" i="7"/>
  <c r="M982" i="7"/>
  <c r="G984" i="7"/>
  <c r="H985" i="7"/>
  <c r="I986" i="7"/>
  <c r="J987" i="7"/>
  <c r="K988" i="7"/>
  <c r="L989" i="7"/>
  <c r="M990" i="7"/>
  <c r="G992" i="7"/>
  <c r="H993" i="7"/>
  <c r="I994" i="7"/>
  <c r="J995" i="7"/>
  <c r="K996" i="7"/>
  <c r="L997" i="7"/>
  <c r="M998" i="7"/>
  <c r="G1000" i="7"/>
  <c r="H1001" i="7"/>
  <c r="I1002" i="7"/>
  <c r="J1003" i="7"/>
  <c r="K1004" i="7"/>
  <c r="L1005" i="7"/>
  <c r="M1006" i="7"/>
  <c r="G1008" i="7"/>
  <c r="H1009" i="7"/>
  <c r="H19" i="7"/>
  <c r="I20" i="7"/>
  <c r="J21" i="7"/>
  <c r="K22" i="7"/>
  <c r="L23" i="7"/>
  <c r="M24" i="7"/>
  <c r="G26" i="7"/>
  <c r="H27" i="7"/>
  <c r="I28" i="7"/>
  <c r="J29" i="7"/>
  <c r="K30" i="7"/>
  <c r="L31" i="7"/>
  <c r="M32" i="7"/>
  <c r="G34" i="7"/>
  <c r="H35" i="7"/>
  <c r="I36" i="7"/>
  <c r="J37" i="7"/>
  <c r="K38" i="7"/>
  <c r="L39" i="7"/>
  <c r="M40" i="7"/>
  <c r="G42" i="7"/>
  <c r="H43" i="7"/>
  <c r="I44" i="7"/>
  <c r="J45" i="7"/>
  <c r="K46" i="7"/>
  <c r="L47" i="7"/>
  <c r="M48" i="7"/>
  <c r="G50" i="7"/>
  <c r="H51" i="7"/>
  <c r="I52" i="7"/>
  <c r="J53" i="7"/>
  <c r="K54" i="7"/>
  <c r="L55" i="7"/>
  <c r="M56" i="7"/>
  <c r="G58" i="7"/>
  <c r="H59" i="7"/>
  <c r="I60" i="7"/>
  <c r="J61" i="7"/>
  <c r="K62" i="7"/>
  <c r="L63" i="7"/>
  <c r="M64" i="7"/>
  <c r="M4" i="7"/>
  <c r="M6" i="7"/>
  <c r="M8" i="7"/>
  <c r="M10" i="7"/>
  <c r="M12" i="7"/>
  <c r="M14" i="7"/>
  <c r="M16" i="7"/>
  <c r="I6" i="7"/>
  <c r="I14" i="7"/>
  <c r="H5" i="7"/>
  <c r="H13" i="7"/>
  <c r="G4" i="7"/>
  <c r="G12" i="7"/>
  <c r="G274" i="7"/>
  <c r="L333" i="7"/>
  <c r="K372" i="7"/>
  <c r="L401" i="7"/>
  <c r="K428" i="7"/>
  <c r="G445" i="7"/>
  <c r="H457" i="7"/>
  <c r="L467" i="7"/>
  <c r="M476" i="7"/>
  <c r="G486" i="7"/>
  <c r="H495" i="7"/>
  <c r="I504" i="7"/>
  <c r="J513" i="7"/>
  <c r="K522" i="7"/>
  <c r="L531" i="7"/>
  <c r="M540" i="7"/>
  <c r="G550" i="7"/>
  <c r="H559" i="7"/>
  <c r="I568" i="7"/>
  <c r="J577" i="7"/>
  <c r="G585" i="7"/>
  <c r="G591" i="7"/>
  <c r="I596" i="7"/>
  <c r="J601" i="7"/>
  <c r="L606" i="7"/>
  <c r="M611" i="7"/>
  <c r="L616" i="7"/>
  <c r="I621" i="7"/>
  <c r="M625" i="7"/>
  <c r="J630" i="7"/>
  <c r="G635" i="7"/>
  <c r="K639" i="7"/>
  <c r="H644" i="7"/>
  <c r="L648" i="7"/>
  <c r="I653" i="7"/>
  <c r="M657" i="7"/>
  <c r="J662" i="7"/>
  <c r="G667" i="7"/>
  <c r="K671" i="7"/>
  <c r="H676" i="7"/>
  <c r="L680" i="7"/>
  <c r="I684" i="7"/>
  <c r="M687" i="7"/>
  <c r="H691" i="7"/>
  <c r="L693" i="7"/>
  <c r="I696" i="7"/>
  <c r="G699" i="7"/>
  <c r="K701" i="7"/>
  <c r="H704" i="7"/>
  <c r="L706" i="7"/>
  <c r="J709" i="7"/>
  <c r="G712" i="7"/>
  <c r="K714" i="7"/>
  <c r="G717" i="7"/>
  <c r="I719" i="7"/>
  <c r="K721" i="7"/>
  <c r="M723" i="7"/>
  <c r="H726" i="7"/>
  <c r="J728" i="7"/>
  <c r="L730" i="7"/>
  <c r="G733" i="7"/>
  <c r="I735" i="7"/>
  <c r="K737" i="7"/>
  <c r="M739" i="7"/>
  <c r="H742" i="7"/>
  <c r="J744" i="7"/>
  <c r="L746" i="7"/>
  <c r="G749" i="7"/>
  <c r="I751" i="7"/>
  <c r="K753" i="7"/>
  <c r="M755" i="7"/>
  <c r="H758" i="7"/>
  <c r="J760" i="7"/>
  <c r="L762" i="7"/>
  <c r="G765" i="7"/>
  <c r="I767" i="7"/>
  <c r="K769" i="7"/>
  <c r="M771" i="7"/>
  <c r="H774" i="7"/>
  <c r="J776" i="7"/>
  <c r="L778" i="7"/>
  <c r="G781" i="7"/>
  <c r="I783" i="7"/>
  <c r="K785" i="7"/>
  <c r="M787" i="7"/>
  <c r="K789" i="7"/>
  <c r="H791" i="7"/>
  <c r="K792" i="7"/>
  <c r="H794" i="7"/>
  <c r="J795" i="7"/>
  <c r="M796" i="7"/>
  <c r="H798" i="7"/>
  <c r="J799" i="7"/>
  <c r="L800" i="7"/>
  <c r="G802" i="7"/>
  <c r="I803" i="7"/>
  <c r="K804" i="7"/>
  <c r="G806" i="7"/>
  <c r="I807" i="7"/>
  <c r="K808" i="7"/>
  <c r="M809" i="7"/>
  <c r="H811" i="7"/>
  <c r="J812" i="7"/>
  <c r="L813" i="7"/>
  <c r="H815" i="7"/>
  <c r="J816" i="7"/>
  <c r="L817" i="7"/>
  <c r="G819" i="7"/>
  <c r="I820" i="7"/>
  <c r="K821" i="7"/>
  <c r="M822" i="7"/>
  <c r="I824" i="7"/>
  <c r="K825" i="7"/>
  <c r="M826" i="7"/>
  <c r="H828" i="7"/>
  <c r="J829" i="7"/>
  <c r="L830" i="7"/>
  <c r="G832" i="7"/>
  <c r="I833" i="7"/>
  <c r="J834" i="7"/>
  <c r="K835" i="7"/>
  <c r="L836" i="7"/>
  <c r="M837" i="7"/>
  <c r="G839" i="7"/>
  <c r="H840" i="7"/>
  <c r="I841" i="7"/>
  <c r="J842" i="7"/>
  <c r="K843" i="7"/>
  <c r="L844" i="7"/>
  <c r="M845" i="7"/>
  <c r="G847" i="7"/>
  <c r="H848" i="7"/>
  <c r="I849" i="7"/>
  <c r="J850" i="7"/>
  <c r="K851" i="7"/>
  <c r="L852" i="7"/>
  <c r="M853" i="7"/>
  <c r="G855" i="7"/>
  <c r="H856" i="7"/>
  <c r="I857" i="7"/>
  <c r="J858" i="7"/>
  <c r="K859" i="7"/>
  <c r="L860" i="7"/>
  <c r="M861" i="7"/>
  <c r="G863" i="7"/>
  <c r="H864" i="7"/>
  <c r="I865" i="7"/>
  <c r="J866" i="7"/>
  <c r="K867" i="7"/>
  <c r="L868" i="7"/>
  <c r="M869" i="7"/>
  <c r="G871" i="7"/>
  <c r="H872" i="7"/>
  <c r="I873" i="7"/>
  <c r="J874" i="7"/>
  <c r="K875" i="7"/>
  <c r="L876" i="7"/>
  <c r="M877" i="7"/>
  <c r="G879" i="7"/>
  <c r="H880" i="7"/>
  <c r="I881" i="7"/>
  <c r="J882" i="7"/>
  <c r="K883" i="7"/>
  <c r="L884" i="7"/>
  <c r="M885" i="7"/>
  <c r="G887" i="7"/>
  <c r="H888" i="7"/>
  <c r="I889" i="7"/>
  <c r="J890" i="7"/>
  <c r="K891" i="7"/>
  <c r="L892" i="7"/>
  <c r="M893" i="7"/>
  <c r="G895" i="7"/>
  <c r="H896" i="7"/>
  <c r="I897" i="7"/>
  <c r="J898" i="7"/>
  <c r="K899" i="7"/>
  <c r="L900" i="7"/>
  <c r="M901" i="7"/>
  <c r="G903" i="7"/>
  <c r="H904" i="7"/>
  <c r="I905" i="7"/>
  <c r="J906" i="7"/>
  <c r="K907" i="7"/>
  <c r="L908" i="7"/>
  <c r="M909" i="7"/>
  <c r="G911" i="7"/>
  <c r="H912" i="7"/>
  <c r="I913" i="7"/>
  <c r="J914" i="7"/>
  <c r="K915" i="7"/>
  <c r="L916" i="7"/>
  <c r="M917" i="7"/>
  <c r="G919" i="7"/>
  <c r="H920" i="7"/>
  <c r="I921" i="7"/>
  <c r="J922" i="7"/>
  <c r="K923" i="7"/>
  <c r="L924" i="7"/>
  <c r="M925" i="7"/>
  <c r="G927" i="7"/>
  <c r="H928" i="7"/>
  <c r="I929" i="7"/>
  <c r="J930" i="7"/>
  <c r="K931" i="7"/>
  <c r="L932" i="7"/>
  <c r="M933" i="7"/>
  <c r="G935" i="7"/>
  <c r="H936" i="7"/>
  <c r="I937" i="7"/>
  <c r="J938" i="7"/>
  <c r="K939" i="7"/>
  <c r="L940" i="7"/>
  <c r="M941" i="7"/>
  <c r="G943" i="7"/>
  <c r="H944" i="7"/>
  <c r="I945" i="7"/>
  <c r="J946" i="7"/>
  <c r="K947" i="7"/>
  <c r="L948" i="7"/>
  <c r="M949" i="7"/>
  <c r="G951" i="7"/>
  <c r="H952" i="7"/>
  <c r="I953" i="7"/>
  <c r="J954" i="7"/>
  <c r="K955" i="7"/>
  <c r="L956" i="7"/>
  <c r="M957" i="7"/>
  <c r="G959" i="7"/>
  <c r="H960" i="7"/>
  <c r="I961" i="7"/>
  <c r="J962" i="7"/>
  <c r="K963" i="7"/>
  <c r="L964" i="7"/>
  <c r="M965" i="7"/>
  <c r="G967" i="7"/>
  <c r="H968" i="7"/>
  <c r="I969" i="7"/>
  <c r="J970" i="7"/>
  <c r="K971" i="7"/>
  <c r="L972" i="7"/>
  <c r="M973" i="7"/>
  <c r="G975" i="7"/>
  <c r="H976" i="7"/>
  <c r="I977" i="7"/>
  <c r="J978" i="7"/>
  <c r="K979" i="7"/>
  <c r="L980" i="7"/>
  <c r="M981" i="7"/>
  <c r="G983" i="7"/>
  <c r="H984" i="7"/>
  <c r="I985" i="7"/>
  <c r="J986" i="7"/>
  <c r="K987" i="7"/>
  <c r="L988" i="7"/>
  <c r="M989" i="7"/>
  <c r="G991" i="7"/>
  <c r="H992" i="7"/>
  <c r="I993" i="7"/>
  <c r="J994" i="7"/>
  <c r="K995" i="7"/>
  <c r="L996" i="7"/>
  <c r="M997" i="7"/>
  <c r="G999" i="7"/>
  <c r="H1000" i="7"/>
  <c r="I1001" i="7"/>
  <c r="J1002" i="7"/>
  <c r="K1003" i="7"/>
  <c r="L1004" i="7"/>
  <c r="M1005" i="7"/>
  <c r="G1007" i="7"/>
  <c r="H1008" i="7"/>
  <c r="I1009" i="7"/>
  <c r="I19" i="7"/>
  <c r="J20" i="7"/>
  <c r="K21" i="7"/>
  <c r="L22" i="7"/>
  <c r="M23" i="7"/>
  <c r="G25" i="7"/>
  <c r="H26" i="7"/>
  <c r="I27" i="7"/>
  <c r="J28" i="7"/>
  <c r="K29" i="7"/>
  <c r="L30" i="7"/>
  <c r="M31" i="7"/>
  <c r="G33" i="7"/>
  <c r="H34" i="7"/>
  <c r="I35" i="7"/>
  <c r="J36" i="7"/>
  <c r="K37" i="7"/>
  <c r="L38" i="7"/>
  <c r="M39" i="7"/>
  <c r="G41" i="7"/>
  <c r="H42" i="7"/>
  <c r="I43" i="7"/>
  <c r="J44" i="7"/>
  <c r="K45" i="7"/>
  <c r="L46" i="7"/>
  <c r="M47" i="7"/>
  <c r="G49" i="7"/>
  <c r="H50" i="7"/>
  <c r="I51" i="7"/>
  <c r="J52" i="7"/>
  <c r="K53" i="7"/>
  <c r="L54" i="7"/>
  <c r="M55" i="7"/>
  <c r="G57" i="7"/>
  <c r="H58" i="7"/>
  <c r="I59" i="7"/>
  <c r="J60" i="7"/>
  <c r="K61" i="7"/>
  <c r="L62" i="7"/>
  <c r="M63" i="7"/>
  <c r="J3" i="7"/>
  <c r="J5" i="7"/>
  <c r="J7" i="7"/>
  <c r="J9" i="7"/>
  <c r="J11" i="7"/>
  <c r="J13" i="7"/>
  <c r="J15" i="7"/>
  <c r="J17" i="7"/>
  <c r="M2" i="7"/>
  <c r="I7" i="7"/>
  <c r="I15" i="7"/>
  <c r="H6" i="7"/>
  <c r="H14" i="7"/>
  <c r="G5" i="7"/>
  <c r="G13" i="7"/>
  <c r="K189" i="7"/>
  <c r="G308" i="7"/>
  <c r="H351" i="7"/>
  <c r="M384" i="7"/>
  <c r="H414" i="7"/>
  <c r="K436" i="7"/>
  <c r="G450" i="7"/>
  <c r="H462" i="7"/>
  <c r="K471" i="7"/>
  <c r="L480" i="7"/>
  <c r="M489" i="7"/>
  <c r="G499" i="7"/>
  <c r="H508" i="7"/>
  <c r="I517" i="7"/>
  <c r="J526" i="7"/>
  <c r="K535" i="7"/>
  <c r="L544" i="7"/>
  <c r="M553" i="7"/>
  <c r="G563" i="7"/>
  <c r="H572" i="7"/>
  <c r="I581" i="7"/>
  <c r="L587" i="7"/>
  <c r="I593" i="7"/>
  <c r="K598" i="7"/>
  <c r="L603" i="7"/>
  <c r="G609" i="7"/>
  <c r="H614" i="7"/>
  <c r="L618" i="7"/>
  <c r="I623" i="7"/>
  <c r="M627" i="7"/>
  <c r="J632" i="7"/>
  <c r="G637" i="7"/>
  <c r="K641" i="7"/>
  <c r="H646" i="7"/>
  <c r="L650" i="7"/>
  <c r="I655" i="7"/>
  <c r="M659" i="7"/>
  <c r="J664" i="7"/>
  <c r="G669" i="7"/>
  <c r="K673" i="7"/>
  <c r="H678" i="7"/>
  <c r="H682" i="7"/>
  <c r="G686" i="7"/>
  <c r="J689" i="7"/>
  <c r="I692" i="7"/>
  <c r="M694" i="7"/>
  <c r="J697" i="7"/>
  <c r="H700" i="7"/>
  <c r="L702" i="7"/>
  <c r="I705" i="7"/>
  <c r="M707" i="7"/>
  <c r="K710" i="7"/>
  <c r="H713" i="7"/>
  <c r="L715" i="7"/>
  <c r="G718" i="7"/>
  <c r="I720" i="7"/>
  <c r="K722" i="7"/>
  <c r="M724" i="7"/>
  <c r="H727" i="7"/>
  <c r="J729" i="7"/>
  <c r="L731" i="7"/>
  <c r="G734" i="7"/>
  <c r="I736" i="7"/>
  <c r="K738" i="7"/>
  <c r="M740" i="7"/>
  <c r="H743" i="7"/>
  <c r="J745" i="7"/>
  <c r="L747" i="7"/>
  <c r="G750" i="7"/>
  <c r="I752" i="7"/>
  <c r="K754" i="7"/>
  <c r="M756" i="7"/>
  <c r="H759" i="7"/>
  <c r="J761" i="7"/>
  <c r="L763" i="7"/>
  <c r="G766" i="7"/>
  <c r="I768" i="7"/>
  <c r="K770" i="7"/>
  <c r="M772" i="7"/>
  <c r="H775" i="7"/>
  <c r="J777" i="7"/>
  <c r="L779" i="7"/>
  <c r="G782" i="7"/>
  <c r="I784" i="7"/>
  <c r="K786" i="7"/>
  <c r="K788" i="7"/>
  <c r="H790" i="7"/>
  <c r="L791" i="7"/>
  <c r="H793" i="7"/>
  <c r="L794" i="7"/>
  <c r="G796" i="7"/>
  <c r="I797" i="7"/>
  <c r="K798" i="7"/>
  <c r="M799" i="7"/>
  <c r="H801" i="7"/>
  <c r="K802" i="7"/>
  <c r="M803" i="7"/>
  <c r="H805" i="7"/>
  <c r="J806" i="7"/>
  <c r="L807" i="7"/>
  <c r="G809" i="7"/>
  <c r="I810" i="7"/>
  <c r="L811" i="7"/>
  <c r="G813" i="7"/>
  <c r="I814" i="7"/>
  <c r="K815" i="7"/>
  <c r="M816" i="7"/>
  <c r="H818" i="7"/>
  <c r="J819" i="7"/>
  <c r="M820" i="7"/>
  <c r="H822" i="7"/>
  <c r="J823" i="7"/>
  <c r="L824" i="7"/>
  <c r="G826" i="7"/>
  <c r="I827" i="7"/>
  <c r="K828" i="7"/>
  <c r="G830" i="7"/>
  <c r="I831" i="7"/>
  <c r="K832" i="7"/>
  <c r="L833" i="7"/>
  <c r="M834" i="7"/>
  <c r="G836" i="7"/>
  <c r="H837" i="7"/>
  <c r="I838" i="7"/>
  <c r="J839" i="7"/>
  <c r="K840" i="7"/>
  <c r="L841" i="7"/>
  <c r="M842" i="7"/>
  <c r="G844" i="7"/>
  <c r="H845" i="7"/>
  <c r="I846" i="7"/>
  <c r="J847" i="7"/>
  <c r="K848" i="7"/>
  <c r="L849" i="7"/>
  <c r="M850" i="7"/>
  <c r="G852" i="7"/>
  <c r="H853" i="7"/>
  <c r="I854" i="7"/>
  <c r="J855" i="7"/>
  <c r="K856" i="7"/>
  <c r="L857" i="7"/>
  <c r="M858" i="7"/>
  <c r="G860" i="7"/>
  <c r="H861" i="7"/>
  <c r="I862" i="7"/>
  <c r="J863" i="7"/>
  <c r="K864" i="7"/>
  <c r="L865" i="7"/>
  <c r="M866" i="7"/>
  <c r="G868" i="7"/>
  <c r="H869" i="7"/>
  <c r="I870" i="7"/>
  <c r="J871" i="7"/>
  <c r="K872" i="7"/>
  <c r="L873" i="7"/>
  <c r="M874" i="7"/>
  <c r="G876" i="7"/>
  <c r="H877" i="7"/>
  <c r="I878" i="7"/>
  <c r="J879" i="7"/>
  <c r="K880" i="7"/>
  <c r="L881" i="7"/>
  <c r="M882" i="7"/>
  <c r="G884" i="7"/>
  <c r="H885" i="7"/>
  <c r="I886" i="7"/>
  <c r="J887" i="7"/>
  <c r="K888" i="7"/>
  <c r="L889" i="7"/>
  <c r="M890" i="7"/>
  <c r="G892" i="7"/>
  <c r="H893" i="7"/>
  <c r="I894" i="7"/>
  <c r="J895" i="7"/>
  <c r="K896" i="7"/>
  <c r="L897" i="7"/>
  <c r="M898" i="7"/>
  <c r="G900" i="7"/>
  <c r="H901" i="7"/>
  <c r="I902" i="7"/>
  <c r="J903" i="7"/>
  <c r="K904" i="7"/>
  <c r="L905" i="7"/>
  <c r="M906" i="7"/>
  <c r="G908" i="7"/>
  <c r="H909" i="7"/>
  <c r="I910" i="7"/>
  <c r="J911" i="7"/>
  <c r="K912" i="7"/>
  <c r="L913" i="7"/>
  <c r="M914" i="7"/>
  <c r="G916" i="7"/>
  <c r="H917" i="7"/>
  <c r="I918" i="7"/>
  <c r="J919" i="7"/>
  <c r="K920" i="7"/>
  <c r="L921" i="7"/>
  <c r="M922" i="7"/>
  <c r="G924" i="7"/>
  <c r="H925" i="7"/>
  <c r="I926" i="7"/>
  <c r="J927" i="7"/>
  <c r="K928" i="7"/>
  <c r="L929" i="7"/>
  <c r="M930" i="7"/>
  <c r="G932" i="7"/>
  <c r="H933" i="7"/>
  <c r="I934" i="7"/>
  <c r="J935" i="7"/>
  <c r="K936" i="7"/>
  <c r="L937" i="7"/>
  <c r="M938" i="7"/>
  <c r="G940" i="7"/>
  <c r="H941" i="7"/>
  <c r="I942" i="7"/>
  <c r="J943" i="7"/>
  <c r="K944" i="7"/>
  <c r="L945" i="7"/>
  <c r="M946" i="7"/>
  <c r="G948" i="7"/>
  <c r="H949" i="7"/>
  <c r="I950" i="7"/>
  <c r="J951" i="7"/>
  <c r="K952" i="7"/>
  <c r="L953" i="7"/>
  <c r="M954" i="7"/>
  <c r="G956" i="7"/>
  <c r="H957" i="7"/>
  <c r="I958" i="7"/>
  <c r="J959" i="7"/>
  <c r="K960" i="7"/>
  <c r="L961" i="7"/>
  <c r="M962" i="7"/>
  <c r="G964" i="7"/>
  <c r="H965" i="7"/>
  <c r="I966" i="7"/>
  <c r="J967" i="7"/>
  <c r="K968" i="7"/>
  <c r="L969" i="7"/>
  <c r="M970" i="7"/>
  <c r="G972" i="7"/>
  <c r="H973" i="7"/>
  <c r="I974" i="7"/>
  <c r="J975" i="7"/>
  <c r="K976" i="7"/>
  <c r="L977" i="7"/>
  <c r="M978" i="7"/>
  <c r="G980" i="7"/>
  <c r="H981" i="7"/>
  <c r="I982" i="7"/>
  <c r="J983" i="7"/>
  <c r="K984" i="7"/>
  <c r="L985" i="7"/>
  <c r="M986" i="7"/>
  <c r="G988" i="7"/>
  <c r="H989" i="7"/>
  <c r="I990" i="7"/>
  <c r="J991" i="7"/>
  <c r="K992" i="7"/>
  <c r="L993" i="7"/>
  <c r="M994" i="7"/>
  <c r="G996" i="7"/>
  <c r="H997" i="7"/>
  <c r="I998" i="7"/>
  <c r="J999" i="7"/>
  <c r="K1000" i="7"/>
  <c r="L1001" i="7"/>
  <c r="M1002" i="7"/>
  <c r="G1004" i="7"/>
  <c r="H1005" i="7"/>
  <c r="I1006" i="7"/>
  <c r="J1007" i="7"/>
  <c r="K1008" i="7"/>
  <c r="L1009" i="7"/>
  <c r="L19" i="7"/>
  <c r="M20" i="7"/>
  <c r="G22" i="7"/>
  <c r="H23" i="7"/>
  <c r="I24" i="7"/>
  <c r="J25" i="7"/>
  <c r="K26" i="7"/>
  <c r="L27" i="7"/>
  <c r="M28" i="7"/>
  <c r="G30" i="7"/>
  <c r="H31" i="7"/>
  <c r="I32" i="7"/>
  <c r="J33" i="7"/>
  <c r="K34" i="7"/>
  <c r="L35" i="7"/>
  <c r="M36" i="7"/>
  <c r="G38" i="7"/>
  <c r="H39" i="7"/>
  <c r="I40" i="7"/>
  <c r="J41" i="7"/>
  <c r="K42" i="7"/>
  <c r="L43" i="7"/>
  <c r="M44" i="7"/>
  <c r="G46" i="7"/>
  <c r="H47" i="7"/>
  <c r="I48" i="7"/>
  <c r="J49" i="7"/>
  <c r="K50" i="7"/>
  <c r="L51" i="7"/>
  <c r="M52" i="7"/>
  <c r="G54" i="7"/>
  <c r="H55" i="7"/>
  <c r="I56" i="7"/>
  <c r="J57" i="7"/>
  <c r="K58" i="7"/>
  <c r="L59" i="7"/>
  <c r="M60" i="7"/>
  <c r="G62" i="7"/>
  <c r="H63" i="7"/>
  <c r="I64" i="7"/>
  <c r="M3" i="7"/>
  <c r="M5" i="7"/>
  <c r="M7" i="7"/>
  <c r="M9" i="7"/>
  <c r="M11" i="7"/>
  <c r="M13" i="7"/>
  <c r="M15" i="7"/>
  <c r="M17" i="7"/>
  <c r="J2" i="7"/>
  <c r="I10" i="7"/>
  <c r="H9" i="7"/>
  <c r="H17" i="7"/>
  <c r="G8" i="7"/>
  <c r="G16" i="7"/>
  <c r="H209" i="7"/>
  <c r="M312" i="7"/>
  <c r="K354" i="7"/>
  <c r="H387" i="7"/>
  <c r="J416" i="7"/>
  <c r="M437" i="7"/>
  <c r="G451" i="7"/>
  <c r="M462" i="7"/>
  <c r="I472" i="7"/>
  <c r="J481" i="7"/>
  <c r="K490" i="7"/>
  <c r="L499" i="7"/>
  <c r="M508" i="7"/>
  <c r="G10" i="7"/>
  <c r="H11" i="7"/>
  <c r="I16" i="7"/>
  <c r="L2" i="7"/>
  <c r="J16" i="7"/>
  <c r="J12" i="7"/>
  <c r="J8" i="7"/>
  <c r="J4" i="7"/>
  <c r="I63" i="7"/>
  <c r="G61" i="7"/>
  <c r="L58" i="7"/>
  <c r="J56" i="7"/>
  <c r="H54" i="7"/>
  <c r="M51" i="7"/>
  <c r="K49" i="7"/>
  <c r="I47" i="7"/>
  <c r="G45" i="7"/>
  <c r="L42" i="7"/>
  <c r="J40" i="7"/>
  <c r="H38" i="7"/>
  <c r="M35" i="7"/>
  <c r="K33" i="7"/>
  <c r="I31" i="7"/>
  <c r="G29" i="7"/>
  <c r="L26" i="7"/>
  <c r="J24" i="7"/>
  <c r="H22" i="7"/>
  <c r="M19" i="7"/>
  <c r="L1008" i="7"/>
  <c r="J1006" i="7"/>
  <c r="H1004" i="7"/>
  <c r="M1001" i="7"/>
  <c r="K999" i="7"/>
  <c r="I997" i="7"/>
  <c r="G995" i="7"/>
  <c r="L992" i="7"/>
  <c r="J990" i="7"/>
  <c r="H988" i="7"/>
  <c r="M985" i="7"/>
  <c r="K983" i="7"/>
  <c r="I981" i="7"/>
  <c r="G979" i="7"/>
  <c r="L976" i="7"/>
  <c r="J974" i="7"/>
  <c r="H972" i="7"/>
  <c r="M969" i="7"/>
  <c r="K967" i="7"/>
  <c r="I965" i="7"/>
  <c r="G963" i="7"/>
  <c r="L960" i="7"/>
  <c r="J958" i="7"/>
  <c r="H956" i="7"/>
  <c r="M953" i="7"/>
  <c r="K951" i="7"/>
  <c r="I949" i="7"/>
  <c r="G947" i="7"/>
  <c r="L944" i="7"/>
  <c r="J942" i="7"/>
  <c r="H940" i="7"/>
  <c r="M937" i="7"/>
  <c r="K935" i="7"/>
  <c r="I933" i="7"/>
  <c r="G931" i="7"/>
  <c r="L928" i="7"/>
  <c r="J926" i="7"/>
  <c r="H924" i="7"/>
  <c r="M921" i="7"/>
  <c r="K919" i="7"/>
  <c r="I917" i="7"/>
  <c r="G915" i="7"/>
  <c r="L912" i="7"/>
  <c r="J910" i="7"/>
  <c r="H908" i="7"/>
  <c r="M905" i="7"/>
  <c r="K903" i="7"/>
  <c r="I901" i="7"/>
  <c r="G899" i="7"/>
  <c r="L896" i="7"/>
  <c r="J894" i="7"/>
  <c r="H892" i="7"/>
  <c r="M889" i="7"/>
  <c r="K887" i="7"/>
  <c r="I885" i="7"/>
  <c r="G883" i="7"/>
  <c r="L880" i="7"/>
  <c r="J878" i="7"/>
  <c r="H876" i="7"/>
  <c r="M873" i="7"/>
  <c r="K871" i="7"/>
  <c r="I869" i="7"/>
  <c r="G867" i="7"/>
  <c r="L864" i="7"/>
  <c r="J862" i="7"/>
  <c r="H860" i="7"/>
  <c r="M857" i="7"/>
  <c r="K855" i="7"/>
  <c r="I853" i="7"/>
  <c r="G851" i="7"/>
  <c r="L848" i="7"/>
  <c r="J846" i="7"/>
  <c r="H844" i="7"/>
  <c r="M841" i="7"/>
  <c r="K839" i="7"/>
  <c r="I837" i="7"/>
  <c r="G835" i="7"/>
  <c r="L832" i="7"/>
  <c r="H830" i="7"/>
  <c r="J827" i="7"/>
  <c r="M824" i="7"/>
  <c r="I822" i="7"/>
  <c r="L819" i="7"/>
  <c r="G817" i="7"/>
  <c r="J814" i="7"/>
  <c r="M811" i="7"/>
  <c r="H809" i="7"/>
  <c r="K806" i="7"/>
  <c r="G804" i="7"/>
  <c r="J801" i="7"/>
  <c r="L798" i="7"/>
  <c r="H796" i="7"/>
  <c r="J793" i="7"/>
  <c r="I790" i="7"/>
  <c r="L786" i="7"/>
  <c r="H782" i="7"/>
  <c r="K777" i="7"/>
  <c r="G773" i="7"/>
  <c r="J768" i="7"/>
  <c r="M763" i="7"/>
  <c r="I759" i="7"/>
  <c r="L754" i="7"/>
  <c r="H750" i="7"/>
  <c r="K745" i="7"/>
  <c r="G741" i="7"/>
  <c r="J736" i="7"/>
  <c r="M731" i="7"/>
  <c r="I727" i="7"/>
  <c r="L722" i="7"/>
  <c r="H718" i="7"/>
  <c r="I713" i="7"/>
  <c r="H708" i="7"/>
  <c r="M702" i="7"/>
  <c r="K697" i="7"/>
  <c r="J692" i="7"/>
  <c r="H686" i="7"/>
  <c r="J678" i="7"/>
  <c r="I669" i="7"/>
  <c r="H660" i="7"/>
  <c r="G651" i="7"/>
  <c r="M641" i="7"/>
  <c r="L632" i="7"/>
  <c r="K623" i="7"/>
  <c r="J614" i="7"/>
  <c r="H604" i="7"/>
  <c r="K593" i="7"/>
  <c r="M581" i="7"/>
  <c r="L563" i="7"/>
  <c r="J545" i="7"/>
  <c r="H527" i="7"/>
  <c r="L506" i="7"/>
  <c r="L483" i="7"/>
  <c r="H460" i="7"/>
  <c r="G410" i="7"/>
  <c r="I323" i="7"/>
</calcChain>
</file>

<file path=xl/sharedStrings.xml><?xml version="1.0" encoding="utf-8"?>
<sst xmlns="http://schemas.openxmlformats.org/spreadsheetml/2006/main" count="1482" uniqueCount="45">
  <si>
    <t>OrigYear</t>
  </si>
  <si>
    <t>coupon</t>
  </si>
  <si>
    <t>ficoBucket</t>
  </si>
  <si>
    <t>cltvBucket</t>
  </si>
  <si>
    <t>total_balance</t>
  </si>
  <si>
    <t>fha_refi_incentive_old</t>
  </si>
  <si>
    <t>refi_incentive_old</t>
  </si>
  <si>
    <t>fha_refi_incentive_new</t>
  </si>
  <si>
    <t>refi_incentive_new</t>
  </si>
  <si>
    <t>100+</t>
  </si>
  <si>
    <t>Sum of fha_refi_incentive_old</t>
  </si>
  <si>
    <t>Sum of fha_refi_incentive_new</t>
  </si>
  <si>
    <t>Sum of total_balance</t>
  </si>
  <si>
    <t>0 and &lt; 80</t>
  </si>
  <si>
    <t>&gt;= 80 and &lt; 85</t>
  </si>
  <si>
    <t>&gt;= 85 and &lt; 90</t>
  </si>
  <si>
    <t>&gt;= 90 and &lt; 95</t>
  </si>
  <si>
    <t>&gt;= 95 and &lt; 97</t>
  </si>
  <si>
    <t>&gt;= 97 and &lt; 100</t>
  </si>
  <si>
    <t>&gt;= 100</t>
  </si>
  <si>
    <t>&lt;620</t>
  </si>
  <si>
    <t>&gt;= 780</t>
  </si>
  <si>
    <t>Sum of refi_incentive_old</t>
  </si>
  <si>
    <t>Sum of refi_incentive_new</t>
  </si>
  <si>
    <t>Incentive to FHA - Old</t>
  </si>
  <si>
    <t>Incentive to FHA - New</t>
  </si>
  <si>
    <t>Incentive to FHA - Delta</t>
  </si>
  <si>
    <t>Balance Distribution</t>
  </si>
  <si>
    <t>Refi Incentive - Old</t>
  </si>
  <si>
    <t>Refi Incentive - New</t>
  </si>
  <si>
    <t>Refi Incentive - Delta</t>
  </si>
  <si>
    <t>FGU9 2010 4.5</t>
  </si>
  <si>
    <t>(New - Old)</t>
  </si>
  <si>
    <t>(as the max number of FHA_incentive and conv_incentive)</t>
  </si>
  <si>
    <t>CLTV</t>
  </si>
  <si>
    <t>FICO</t>
  </si>
  <si>
    <t>marketTicker</t>
  </si>
  <si>
    <t>FGU6</t>
  </si>
  <si>
    <t>FGU9</t>
  </si>
  <si>
    <t>FGU6 2012 3.5</t>
  </si>
  <si>
    <t>fha_refi_incentive_delta</t>
  </si>
  <si>
    <t>refi_incentive_delta</t>
  </si>
  <si>
    <t>id</t>
  </si>
  <si>
    <t>Sum of fha_refi_incentive_delta</t>
  </si>
  <si>
    <t>Sum of refi_incentive_delta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</si>
</sst>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/>
    <xf numFmtId="9" fontId="0" fillId="0" borderId="1" xfId="1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5" fillId="0" borderId="1" xfId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1"/>
    </xf>
    <xf numFmtId="2" fontId="0" fillId="2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1"/>
    </xf>
    <xf numFmtId="2" fontId="0" fillId="3" borderId="0" xfId="0" applyNumberForma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indent="1"/>
    </xf>
    <xf numFmtId="9" fontId="0" fillId="5" borderId="0" xfId="0" applyNumberFormat="1" applyFill="1" applyAlignment="1">
      <alignment horizontal="center"/>
    </xf>
    <xf numFmtId="0" fontId="0" fillId="0" borderId="0" xfId="0" applyAlignment="1">
      <alignment horizontal="left" indent="2"/>
    </xf>
  </cellXfs>
  <cellStyles count="2">
    <cellStyle name="Normal" xfId="0" builtinId="0"/>
    <cellStyle name="Percent" xfId="1" builtinId="5"/>
  </cellStyles>
  <dxfs count="480"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alignment horizontal="center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4" tint="0.79998168889431442"/>
      </font>
    </dxf>
    <dxf>
      <font>
        <color theme="6" tint="0.79998168889431442"/>
      </font>
    </dxf>
    <dxf>
      <font>
        <color theme="9" tint="0.799981688894314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342901</xdr:colOff>
      <xdr:row>7</xdr:row>
      <xdr:rowOff>38100</xdr:rowOff>
    </xdr:from>
    <xdr:to>
      <xdr:col>21</xdr:col>
      <xdr:colOff>47626</xdr:colOff>
      <xdr:row>49</xdr:row>
      <xdr:rowOff>142875</xdr:rowOff>
    </xdr:to>
    <xdr:sp macro="" textlink="">
      <xdr:nvSpPr>
        <xdr:cNvPr id="2" name="TextBox 1"/>
        <xdr:cNvSpPr txBox="1"/>
      </xdr:nvSpPr>
      <xdr:spPr>
        <a:xfrm>
          <a:off x="8267701" y="1371600"/>
          <a:ext cx="6496050" cy="810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</a:t>
          </a:r>
        </a:p>
        <a:p>
          <a:r>
            <a:rPr lang="en-US" sz="1100"/>
            <a:t>    marketTicker, </a:t>
          </a:r>
        </a:p>
        <a:p>
          <a:r>
            <a:rPr lang="en-US" sz="1100"/>
            <a:t>    year(originationDate) OrigYear,</a:t>
          </a:r>
        </a:p>
        <a:p>
          <a:r>
            <a:rPr lang="en-US" sz="1100"/>
            <a:t>    coupon = case </a:t>
          </a:r>
        </a:p>
        <a:p>
          <a:r>
            <a:rPr lang="en-US" sz="1100"/>
            <a:t>            when origNoteRate &lt;= 2.00 THEN 2.00</a:t>
          </a:r>
        </a:p>
        <a:p>
          <a:r>
            <a:rPr lang="en-US" sz="1100"/>
            <a:t>            when origNoteRate &gt; 10.00 THEN 10.00</a:t>
          </a:r>
        </a:p>
        <a:p>
          <a:r>
            <a:rPr lang="en-US" sz="1100"/>
            <a:t>            else convert(int, origNoteRate / 0.5) * 0.5</a:t>
          </a:r>
        </a:p>
        <a:p>
          <a:r>
            <a:rPr lang="en-US" sz="1100"/>
            <a:t>            end,</a:t>
          </a:r>
        </a:p>
        <a:p>
          <a:r>
            <a:rPr lang="en-US" sz="1100"/>
            <a:t>	ficoBucket = case </a:t>
          </a:r>
        </a:p>
        <a:p>
          <a:r>
            <a:rPr lang="en-US" sz="1100"/>
            <a:t>	           when origFICO &lt; 620 then '620'</a:t>
          </a:r>
        </a:p>
        <a:p>
          <a:r>
            <a:rPr lang="en-US" sz="1100"/>
            <a:t>	           when origFICO &lt; 640 then '640'</a:t>
          </a:r>
        </a:p>
        <a:p>
          <a:r>
            <a:rPr lang="en-US" sz="1100"/>
            <a:t>	           when origFICO &lt; 660 then '660'</a:t>
          </a:r>
        </a:p>
        <a:p>
          <a:r>
            <a:rPr lang="en-US" sz="1100"/>
            <a:t>	           when origFICO &lt; 680 then '680'</a:t>
          </a:r>
        </a:p>
        <a:p>
          <a:r>
            <a:rPr lang="en-US" sz="1100"/>
            <a:t>	           when origFICO &lt; 700 then '700'</a:t>
          </a:r>
        </a:p>
        <a:p>
          <a:r>
            <a:rPr lang="en-US" sz="1100"/>
            <a:t>	           when origFICO &lt; 720 then '720'</a:t>
          </a:r>
        </a:p>
        <a:p>
          <a:r>
            <a:rPr lang="en-US" sz="1100"/>
            <a:t>	           when origFICO &lt; 740 then '740'</a:t>
          </a:r>
        </a:p>
        <a:p>
          <a:r>
            <a:rPr lang="en-US" sz="1100"/>
            <a:t>               when origFICO &lt; 760 then '760'</a:t>
          </a:r>
        </a:p>
        <a:p>
          <a:r>
            <a:rPr lang="en-US" sz="1100"/>
            <a:t>	           else '780' end,</a:t>
          </a:r>
        </a:p>
        <a:p>
          <a:r>
            <a:rPr lang="en-US" sz="1100"/>
            <a:t>    cltvBucket = case</a:t>
          </a:r>
        </a:p>
        <a:p>
          <a:r>
            <a:rPr lang="en-US" sz="1100"/>
            <a:t>                  when cltv &lt; 80 THEN '80'</a:t>
          </a:r>
        </a:p>
        <a:p>
          <a:r>
            <a:rPr lang="en-US" sz="1100"/>
            <a:t>                  when cltv &lt; 85 THEN '85'</a:t>
          </a:r>
        </a:p>
        <a:p>
          <a:r>
            <a:rPr lang="en-US" sz="1100"/>
            <a:t>                  when cltv &lt; 90 THEN '90'</a:t>
          </a:r>
        </a:p>
        <a:p>
          <a:r>
            <a:rPr lang="en-US" sz="1100"/>
            <a:t>                  when cltv &lt; 95 THEN '95'</a:t>
          </a:r>
        </a:p>
        <a:p>
          <a:r>
            <a:rPr lang="en-US" sz="1100"/>
            <a:t>                  when cltv &lt; 97 THEN '97'</a:t>
          </a:r>
        </a:p>
        <a:p>
          <a:r>
            <a:rPr lang="en-US" sz="1100"/>
            <a:t>                  when cltv &lt; 100 THEN '100'</a:t>
          </a:r>
        </a:p>
        <a:p>
          <a:r>
            <a:rPr lang="en-US" sz="1100"/>
            <a:t>                  else '100+' end,</a:t>
          </a:r>
        </a:p>
        <a:p>
          <a:r>
            <a:rPr lang="en-US" sz="1100"/>
            <a:t>    sum(balance) as total_balance,</a:t>
          </a:r>
        </a:p>
        <a:p>
          <a:r>
            <a:rPr lang="en-US" sz="1100"/>
            <a:t>    sum(si1.fha_refi_incentive * balance) / sum(balance) as fha_refi_incentive_old,</a:t>
          </a:r>
        </a:p>
        <a:p>
          <a:r>
            <a:rPr lang="en-US" sz="1100"/>
            <a:t>    sum(si2.fha_refi_incentive * balance) / sum(balance) as fha_refi_incentive_new,</a:t>
          </a:r>
        </a:p>
        <a:p>
          <a:r>
            <a:rPr lang="en-US" sz="1100"/>
            <a:t>    fha_refi_incentive_new - fha_refi_incentive_old as fha_refi_incentive_delta,</a:t>
          </a:r>
        </a:p>
        <a:p>
          <a:r>
            <a:rPr lang="en-US" sz="1100"/>
            <a:t>    sum(si1.refi_incentive * balance) / sum(balance) as refi_incentive_old,</a:t>
          </a:r>
        </a:p>
        <a:p>
          <a:r>
            <a:rPr lang="en-US" sz="1100"/>
            <a:t>    sum(si2.refi_incentive * balance) / sum(balance) as refi_incentive_new,</a:t>
          </a:r>
        </a:p>
        <a:p>
          <a:r>
            <a:rPr lang="en-US" sz="1100"/>
            <a:t>    refi_incentive_new - refi_incentive_old as refi_incentive_delta</a:t>
          </a:r>
        </a:p>
        <a:p>
          <a:r>
            <a:rPr lang="en-US" sz="1100"/>
            <a:t>FROM scale.FHL_poolHist sh</a:t>
          </a:r>
        </a:p>
        <a:p>
          <a:r>
            <a:rPr lang="en-US" sz="1100"/>
            <a:t>JOIN scale.FHL_poolIncentive si1 ON sh.issueId = si1.issueId AND sh.asOf = si1.asOf</a:t>
          </a:r>
        </a:p>
        <a:p>
          <a:r>
            <a:rPr lang="en-US" sz="1100"/>
            <a:t>JOIN scale.FHL_poolIncentive si2 ON sh.issueId = si2.issueId AND sh.asOf = si2.asOf</a:t>
          </a:r>
        </a:p>
        <a:p>
          <a:r>
            <a:rPr lang="en-US" sz="1100"/>
            <a:t>WHERE 1 = 1</a:t>
          </a:r>
        </a:p>
        <a:p>
          <a:r>
            <a:rPr lang="en-US" sz="1100"/>
            <a:t>AND si1.version = '2.00'</a:t>
          </a:r>
        </a:p>
        <a:p>
          <a:r>
            <a:rPr lang="en-US" sz="1100"/>
            <a:t>AND si2.version = '2.01'</a:t>
          </a:r>
        </a:p>
        <a:p>
          <a:r>
            <a:rPr lang="en-US" sz="1100"/>
            <a:t>AND sh.asof = '2016-12-01'</a:t>
          </a:r>
        </a:p>
        <a:p>
          <a:r>
            <a:rPr lang="en-US" sz="1100"/>
            <a:t>and year(originationDate) in (2012, 2013, 2014)</a:t>
          </a:r>
        </a:p>
        <a:p>
          <a:r>
            <a:rPr lang="en-US" sz="1100"/>
            <a:t>and origNoteRate in (3.50, 4.00, 4.50)</a:t>
          </a:r>
        </a:p>
        <a:p>
          <a:r>
            <a:rPr lang="en-US" sz="1100"/>
            <a:t>and marketTicker in ('FGU9', 'FGU6')</a:t>
          </a:r>
        </a:p>
        <a:p>
          <a:r>
            <a:rPr lang="en-US" sz="1100"/>
            <a:t>group by marketTicker, OrigYear, coupon, ficoBucket, cltvBucket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745.476777314812" createdVersion="4" refreshedVersion="4" minRefreshableVersion="3" recordCount="1009">
  <cacheSource type="worksheet">
    <worksheetSource ref="A1:M1048576" sheet="Complete Data"/>
  </cacheSource>
  <cacheFields count="13">
    <cacheField name="marketTicker" numFmtId="0">
      <sharedItems containsBlank="1" count="3">
        <s v="FGU6"/>
        <s v="FGU9"/>
        <m/>
      </sharedItems>
    </cacheField>
    <cacheField name="OrigYear" numFmtId="0">
      <sharedItems containsString="0" containsBlank="1" containsNumber="1" containsInteger="1" minValue="2012" maxValue="2014" count="4">
        <n v="2012"/>
        <n v="2013"/>
        <n v="2014"/>
        <m/>
      </sharedItems>
    </cacheField>
    <cacheField name="coupon" numFmtId="0">
      <sharedItems containsString="0" containsBlank="1" containsNumber="1" minValue="3.5" maxValue="4.5" count="4">
        <n v="3.5"/>
        <n v="4"/>
        <n v="4.5"/>
        <m/>
      </sharedItems>
    </cacheField>
    <cacheField name="ficoBucket" numFmtId="0">
      <sharedItems containsString="0" containsBlank="1" containsNumber="1" containsInteger="1" minValue="620" maxValue="780" count="10">
        <n v="620"/>
        <n v="640"/>
        <n v="660"/>
        <n v="680"/>
        <n v="700"/>
        <n v="720"/>
        <n v="740"/>
        <n v="760"/>
        <n v="780"/>
        <m/>
      </sharedItems>
    </cacheField>
    <cacheField name="cltvBucket" numFmtId="0">
      <sharedItems containsBlank="1" containsMixedTypes="1" containsNumber="1" containsInteger="1" minValue="80" maxValue="100" count="8">
        <n v="80"/>
        <n v="85"/>
        <n v="90"/>
        <n v="95"/>
        <n v="97"/>
        <n v="100"/>
        <s v="100+"/>
        <m/>
      </sharedItems>
    </cacheField>
    <cacheField name="id" numFmtId="0">
      <sharedItems containsBlank="1"/>
    </cacheField>
    <cacheField name="total_balance" numFmtId="0">
      <sharedItems containsBlank="1" containsMixedTypes="1" containsNumber="1" minValue="459973.58" maxValue="258000524.68000001"/>
    </cacheField>
    <cacheField name="fha_refi_incentive_old" numFmtId="0">
      <sharedItems containsBlank="1" containsMixedTypes="1" containsNumber="1" minValue="-112.82810000000001" maxValue="32.987299999999998"/>
    </cacheField>
    <cacheField name="fha_refi_incentive_new" numFmtId="0">
      <sharedItems containsBlank="1" containsMixedTypes="1" containsNumber="1" minValue="-87.828100000000006" maxValue="57.983400000000003"/>
    </cacheField>
    <cacheField name="fha_refi_incentive_delta" numFmtId="0">
      <sharedItems containsBlank="1" containsMixedTypes="1" containsNumber="1" minValue="24.989899999999999" maxValue="25"/>
    </cacheField>
    <cacheField name="refi_incentive_old" numFmtId="0">
      <sharedItems containsBlank="1" containsMixedTypes="1" containsNumber="1" minValue="-99.8108" maxValue="105.40730000000001"/>
    </cacheField>
    <cacheField name="refi_incentive_new" numFmtId="0">
      <sharedItems containsBlank="1" containsMixedTypes="1" containsNumber="1" minValue="-81.686599999999999" maxValue="105.40730000000001"/>
    </cacheField>
    <cacheField name="refi_incentive_delta" numFmtId="0">
      <sharedItems containsBlank="1" containsMixedTypes="1" containsNumber="1" minValue="0" maxValue="24.99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9">
  <r>
    <x v="0"/>
    <x v="0"/>
    <x v="0"/>
    <x v="0"/>
    <x v="0"/>
    <s v="FGU620123.562080"/>
    <s v=""/>
    <s v=""/>
    <s v=""/>
    <s v=""/>
    <s v=""/>
    <s v=""/>
    <s v=""/>
  </r>
  <r>
    <x v="0"/>
    <x v="0"/>
    <x v="0"/>
    <x v="1"/>
    <x v="0"/>
    <s v="FGU620123.564080"/>
    <s v=""/>
    <s v=""/>
    <s v=""/>
    <s v=""/>
    <s v=""/>
    <s v=""/>
    <s v=""/>
  </r>
  <r>
    <x v="0"/>
    <x v="0"/>
    <x v="0"/>
    <x v="2"/>
    <x v="0"/>
    <s v="FGU620123.566080"/>
    <s v=""/>
    <s v=""/>
    <s v=""/>
    <s v=""/>
    <s v=""/>
    <s v=""/>
    <s v=""/>
  </r>
  <r>
    <x v="0"/>
    <x v="0"/>
    <x v="0"/>
    <x v="3"/>
    <x v="0"/>
    <s v="FGU620123.568080"/>
    <s v=""/>
    <s v=""/>
    <s v=""/>
    <s v=""/>
    <s v=""/>
    <s v=""/>
    <s v=""/>
  </r>
  <r>
    <x v="0"/>
    <x v="0"/>
    <x v="0"/>
    <x v="4"/>
    <x v="0"/>
    <s v="FGU620123.570080"/>
    <s v=""/>
    <s v=""/>
    <s v=""/>
    <s v=""/>
    <s v=""/>
    <s v=""/>
    <s v=""/>
  </r>
  <r>
    <x v="0"/>
    <x v="0"/>
    <x v="0"/>
    <x v="5"/>
    <x v="0"/>
    <s v="FGU620123.572080"/>
    <s v=""/>
    <s v=""/>
    <s v=""/>
    <s v=""/>
    <s v=""/>
    <s v=""/>
    <s v=""/>
  </r>
  <r>
    <x v="0"/>
    <x v="0"/>
    <x v="0"/>
    <x v="6"/>
    <x v="0"/>
    <s v="FGU620123.574080"/>
    <s v=""/>
    <s v=""/>
    <s v=""/>
    <s v=""/>
    <s v=""/>
    <s v=""/>
    <s v=""/>
  </r>
  <r>
    <x v="0"/>
    <x v="0"/>
    <x v="0"/>
    <x v="7"/>
    <x v="0"/>
    <s v="FGU620123.576080"/>
    <s v=""/>
    <s v=""/>
    <s v=""/>
    <s v=""/>
    <s v=""/>
    <s v=""/>
    <s v=""/>
  </r>
  <r>
    <x v="0"/>
    <x v="0"/>
    <x v="0"/>
    <x v="8"/>
    <x v="0"/>
    <s v="FGU620123.578080"/>
    <s v=""/>
    <s v=""/>
    <s v=""/>
    <s v=""/>
    <s v=""/>
    <s v=""/>
    <s v=""/>
  </r>
  <r>
    <x v="0"/>
    <x v="0"/>
    <x v="0"/>
    <x v="0"/>
    <x v="1"/>
    <s v="FGU620123.562085"/>
    <s v=""/>
    <s v=""/>
    <s v=""/>
    <s v=""/>
    <s v=""/>
    <s v=""/>
    <s v=""/>
  </r>
  <r>
    <x v="0"/>
    <x v="0"/>
    <x v="0"/>
    <x v="1"/>
    <x v="1"/>
    <s v="FGU620123.564085"/>
    <s v=""/>
    <s v=""/>
    <s v=""/>
    <s v=""/>
    <s v=""/>
    <s v=""/>
    <s v=""/>
  </r>
  <r>
    <x v="0"/>
    <x v="0"/>
    <x v="0"/>
    <x v="2"/>
    <x v="1"/>
    <s v="FGU620123.566085"/>
    <s v=""/>
    <s v=""/>
    <s v=""/>
    <s v=""/>
    <s v=""/>
    <s v=""/>
    <s v=""/>
  </r>
  <r>
    <x v="0"/>
    <x v="0"/>
    <x v="0"/>
    <x v="3"/>
    <x v="1"/>
    <s v="FGU620123.568085"/>
    <s v=""/>
    <s v=""/>
    <s v=""/>
    <s v=""/>
    <s v=""/>
    <s v=""/>
    <s v=""/>
  </r>
  <r>
    <x v="0"/>
    <x v="0"/>
    <x v="0"/>
    <x v="4"/>
    <x v="1"/>
    <s v="FGU620123.570085"/>
    <s v=""/>
    <s v=""/>
    <s v=""/>
    <s v=""/>
    <s v=""/>
    <s v=""/>
    <s v=""/>
  </r>
  <r>
    <x v="0"/>
    <x v="0"/>
    <x v="0"/>
    <x v="5"/>
    <x v="1"/>
    <s v="FGU620123.572085"/>
    <s v=""/>
    <s v=""/>
    <s v=""/>
    <s v=""/>
    <s v=""/>
    <s v=""/>
    <s v=""/>
  </r>
  <r>
    <x v="0"/>
    <x v="0"/>
    <x v="0"/>
    <x v="6"/>
    <x v="1"/>
    <s v="FGU620123.574085"/>
    <s v=""/>
    <s v=""/>
    <s v=""/>
    <s v=""/>
    <s v=""/>
    <s v=""/>
    <s v=""/>
  </r>
  <r>
    <x v="0"/>
    <x v="0"/>
    <x v="0"/>
    <x v="7"/>
    <x v="1"/>
    <s v="FGU620123.576085"/>
    <n v="1397120.96"/>
    <n v="-90.667400000000001"/>
    <n v="-65.667400000000001"/>
    <n v="25"/>
    <n v="-37.890799999999999"/>
    <n v="-35.6175"/>
    <n v="2.2732999999999999"/>
  </r>
  <r>
    <x v="0"/>
    <x v="0"/>
    <x v="0"/>
    <x v="8"/>
    <x v="1"/>
    <s v="FGU620123.578085"/>
    <s v=""/>
    <s v=""/>
    <s v=""/>
    <s v=""/>
    <s v=""/>
    <s v=""/>
    <s v=""/>
  </r>
  <r>
    <x v="0"/>
    <x v="0"/>
    <x v="0"/>
    <x v="0"/>
    <x v="2"/>
    <s v="FGU620123.562090"/>
    <s v=""/>
    <s v=""/>
    <s v=""/>
    <s v=""/>
    <s v=""/>
    <s v=""/>
    <s v=""/>
  </r>
  <r>
    <x v="0"/>
    <x v="0"/>
    <x v="0"/>
    <x v="1"/>
    <x v="2"/>
    <s v="FGU620123.564090"/>
    <s v=""/>
    <s v=""/>
    <s v=""/>
    <s v=""/>
    <s v=""/>
    <s v=""/>
    <s v=""/>
  </r>
  <r>
    <x v="0"/>
    <x v="0"/>
    <x v="0"/>
    <x v="2"/>
    <x v="2"/>
    <s v="FGU620123.566090"/>
    <s v=""/>
    <s v=""/>
    <s v=""/>
    <s v=""/>
    <s v=""/>
    <s v=""/>
    <s v=""/>
  </r>
  <r>
    <x v="0"/>
    <x v="0"/>
    <x v="0"/>
    <x v="3"/>
    <x v="2"/>
    <s v="FGU620123.568090"/>
    <s v=""/>
    <s v=""/>
    <s v=""/>
    <s v=""/>
    <s v=""/>
    <s v=""/>
    <s v=""/>
  </r>
  <r>
    <x v="0"/>
    <x v="0"/>
    <x v="0"/>
    <x v="4"/>
    <x v="2"/>
    <s v="FGU620123.570090"/>
    <s v=""/>
    <s v=""/>
    <s v=""/>
    <s v=""/>
    <s v=""/>
    <s v=""/>
    <s v=""/>
  </r>
  <r>
    <x v="0"/>
    <x v="0"/>
    <x v="0"/>
    <x v="5"/>
    <x v="2"/>
    <s v="FGU620123.572090"/>
    <s v=""/>
    <s v=""/>
    <s v=""/>
    <s v=""/>
    <s v=""/>
    <s v=""/>
    <s v=""/>
  </r>
  <r>
    <x v="0"/>
    <x v="0"/>
    <x v="0"/>
    <x v="6"/>
    <x v="2"/>
    <s v="FGU620123.574090"/>
    <s v=""/>
    <s v=""/>
    <s v=""/>
    <s v=""/>
    <s v=""/>
    <s v=""/>
    <s v=""/>
  </r>
  <r>
    <x v="0"/>
    <x v="0"/>
    <x v="0"/>
    <x v="7"/>
    <x v="2"/>
    <s v="FGU620123.576090"/>
    <s v=""/>
    <s v=""/>
    <s v=""/>
    <s v=""/>
    <s v=""/>
    <s v=""/>
    <s v=""/>
  </r>
  <r>
    <x v="0"/>
    <x v="0"/>
    <x v="0"/>
    <x v="8"/>
    <x v="2"/>
    <s v="FGU620123.578090"/>
    <s v=""/>
    <s v=""/>
    <s v=""/>
    <s v=""/>
    <s v=""/>
    <s v=""/>
    <s v=""/>
  </r>
  <r>
    <x v="0"/>
    <x v="0"/>
    <x v="0"/>
    <x v="0"/>
    <x v="3"/>
    <s v="FGU620123.562095"/>
    <s v=""/>
    <s v=""/>
    <s v=""/>
    <s v=""/>
    <s v=""/>
    <s v=""/>
    <s v=""/>
  </r>
  <r>
    <x v="0"/>
    <x v="0"/>
    <x v="0"/>
    <x v="1"/>
    <x v="3"/>
    <s v="FGU620123.564095"/>
    <s v=""/>
    <s v=""/>
    <s v=""/>
    <s v=""/>
    <s v=""/>
    <s v=""/>
    <s v=""/>
  </r>
  <r>
    <x v="0"/>
    <x v="0"/>
    <x v="0"/>
    <x v="2"/>
    <x v="3"/>
    <s v="FGU620123.566095"/>
    <s v=""/>
    <s v=""/>
    <s v=""/>
    <s v=""/>
    <s v=""/>
    <s v=""/>
    <s v=""/>
  </r>
  <r>
    <x v="0"/>
    <x v="0"/>
    <x v="0"/>
    <x v="3"/>
    <x v="3"/>
    <s v="FGU620123.568095"/>
    <s v=""/>
    <s v=""/>
    <s v=""/>
    <s v=""/>
    <s v=""/>
    <s v=""/>
    <s v=""/>
  </r>
  <r>
    <x v="0"/>
    <x v="0"/>
    <x v="0"/>
    <x v="4"/>
    <x v="3"/>
    <s v="FGU620123.570095"/>
    <s v=""/>
    <s v=""/>
    <s v=""/>
    <s v=""/>
    <s v=""/>
    <s v=""/>
    <s v=""/>
  </r>
  <r>
    <x v="0"/>
    <x v="0"/>
    <x v="0"/>
    <x v="5"/>
    <x v="3"/>
    <s v="FGU620123.572095"/>
    <s v=""/>
    <s v=""/>
    <s v=""/>
    <s v=""/>
    <s v=""/>
    <s v=""/>
    <s v=""/>
  </r>
  <r>
    <x v="0"/>
    <x v="0"/>
    <x v="0"/>
    <x v="6"/>
    <x v="3"/>
    <s v="FGU620123.574095"/>
    <s v=""/>
    <s v=""/>
    <s v=""/>
    <s v=""/>
    <s v=""/>
    <s v=""/>
    <s v=""/>
  </r>
  <r>
    <x v="0"/>
    <x v="0"/>
    <x v="0"/>
    <x v="7"/>
    <x v="3"/>
    <s v="FGU620123.576095"/>
    <s v=""/>
    <s v=""/>
    <s v=""/>
    <s v=""/>
    <s v=""/>
    <s v=""/>
    <s v=""/>
  </r>
  <r>
    <x v="0"/>
    <x v="0"/>
    <x v="0"/>
    <x v="8"/>
    <x v="3"/>
    <s v="FGU620123.578095"/>
    <s v=""/>
    <s v=""/>
    <s v=""/>
    <s v=""/>
    <s v=""/>
    <s v=""/>
    <s v=""/>
  </r>
  <r>
    <x v="0"/>
    <x v="0"/>
    <x v="0"/>
    <x v="0"/>
    <x v="4"/>
    <s v="FGU620123.562097"/>
    <s v=""/>
    <s v=""/>
    <s v=""/>
    <s v=""/>
    <s v=""/>
    <s v=""/>
    <s v=""/>
  </r>
  <r>
    <x v="0"/>
    <x v="0"/>
    <x v="0"/>
    <x v="1"/>
    <x v="4"/>
    <s v="FGU620123.564097"/>
    <s v=""/>
    <s v=""/>
    <s v=""/>
    <s v=""/>
    <s v=""/>
    <s v=""/>
    <s v=""/>
  </r>
  <r>
    <x v="0"/>
    <x v="0"/>
    <x v="0"/>
    <x v="2"/>
    <x v="4"/>
    <s v="FGU620123.566097"/>
    <s v=""/>
    <s v=""/>
    <s v=""/>
    <s v=""/>
    <s v=""/>
    <s v=""/>
    <s v=""/>
  </r>
  <r>
    <x v="0"/>
    <x v="0"/>
    <x v="0"/>
    <x v="3"/>
    <x v="4"/>
    <s v="FGU620123.568097"/>
    <s v=""/>
    <s v=""/>
    <s v=""/>
    <s v=""/>
    <s v=""/>
    <s v=""/>
    <s v=""/>
  </r>
  <r>
    <x v="0"/>
    <x v="0"/>
    <x v="0"/>
    <x v="4"/>
    <x v="4"/>
    <s v="FGU620123.570097"/>
    <s v=""/>
    <s v=""/>
    <s v=""/>
    <s v=""/>
    <s v=""/>
    <s v=""/>
    <s v=""/>
  </r>
  <r>
    <x v="0"/>
    <x v="0"/>
    <x v="0"/>
    <x v="5"/>
    <x v="4"/>
    <s v="FGU620123.572097"/>
    <s v=""/>
    <s v=""/>
    <s v=""/>
    <s v=""/>
    <s v=""/>
    <s v=""/>
    <s v=""/>
  </r>
  <r>
    <x v="0"/>
    <x v="0"/>
    <x v="0"/>
    <x v="6"/>
    <x v="4"/>
    <s v="FGU620123.574097"/>
    <s v=""/>
    <s v=""/>
    <s v=""/>
    <s v=""/>
    <s v=""/>
    <s v=""/>
    <s v=""/>
  </r>
  <r>
    <x v="0"/>
    <x v="0"/>
    <x v="0"/>
    <x v="7"/>
    <x v="4"/>
    <s v="FGU620123.576097"/>
    <s v=""/>
    <s v=""/>
    <s v=""/>
    <s v=""/>
    <s v=""/>
    <s v=""/>
    <s v=""/>
  </r>
  <r>
    <x v="0"/>
    <x v="0"/>
    <x v="0"/>
    <x v="8"/>
    <x v="4"/>
    <s v="FGU620123.578097"/>
    <s v=""/>
    <s v=""/>
    <s v=""/>
    <s v=""/>
    <s v=""/>
    <s v=""/>
    <s v=""/>
  </r>
  <r>
    <x v="0"/>
    <x v="0"/>
    <x v="0"/>
    <x v="0"/>
    <x v="5"/>
    <s v="FGU620123.5620100"/>
    <s v=""/>
    <s v=""/>
    <s v=""/>
    <s v=""/>
    <s v=""/>
    <s v=""/>
    <s v=""/>
  </r>
  <r>
    <x v="0"/>
    <x v="0"/>
    <x v="0"/>
    <x v="1"/>
    <x v="5"/>
    <s v="FGU620123.5640100"/>
    <s v=""/>
    <s v=""/>
    <s v=""/>
    <s v=""/>
    <s v=""/>
    <s v=""/>
    <s v=""/>
  </r>
  <r>
    <x v="0"/>
    <x v="0"/>
    <x v="0"/>
    <x v="2"/>
    <x v="5"/>
    <s v="FGU620123.5660100"/>
    <s v=""/>
    <s v=""/>
    <s v=""/>
    <s v=""/>
    <s v=""/>
    <s v=""/>
    <s v=""/>
  </r>
  <r>
    <x v="0"/>
    <x v="0"/>
    <x v="0"/>
    <x v="3"/>
    <x v="5"/>
    <s v="FGU620123.5680100"/>
    <s v=""/>
    <s v=""/>
    <s v=""/>
    <s v=""/>
    <s v=""/>
    <s v=""/>
    <s v=""/>
  </r>
  <r>
    <x v="0"/>
    <x v="0"/>
    <x v="0"/>
    <x v="4"/>
    <x v="5"/>
    <s v="FGU620123.5700100"/>
    <s v=""/>
    <s v=""/>
    <s v=""/>
    <s v=""/>
    <s v=""/>
    <s v=""/>
    <s v=""/>
  </r>
  <r>
    <x v="0"/>
    <x v="0"/>
    <x v="0"/>
    <x v="5"/>
    <x v="5"/>
    <s v="FGU620123.5720100"/>
    <s v=""/>
    <s v=""/>
    <s v=""/>
    <s v=""/>
    <s v=""/>
    <s v=""/>
    <s v=""/>
  </r>
  <r>
    <x v="0"/>
    <x v="0"/>
    <x v="0"/>
    <x v="6"/>
    <x v="5"/>
    <s v="FGU620123.5740100"/>
    <s v=""/>
    <s v=""/>
    <s v=""/>
    <s v=""/>
    <s v=""/>
    <s v=""/>
    <s v=""/>
  </r>
  <r>
    <x v="0"/>
    <x v="0"/>
    <x v="0"/>
    <x v="7"/>
    <x v="5"/>
    <s v="FGU620123.5760100"/>
    <s v=""/>
    <s v=""/>
    <s v=""/>
    <s v=""/>
    <s v=""/>
    <s v=""/>
    <s v=""/>
  </r>
  <r>
    <x v="0"/>
    <x v="0"/>
    <x v="0"/>
    <x v="8"/>
    <x v="5"/>
    <s v="FGU620123.5780100"/>
    <s v=""/>
    <s v=""/>
    <s v=""/>
    <s v=""/>
    <s v=""/>
    <s v=""/>
    <s v=""/>
  </r>
  <r>
    <x v="0"/>
    <x v="0"/>
    <x v="0"/>
    <x v="0"/>
    <x v="6"/>
    <s v="FGU620123.5620100+"/>
    <s v=""/>
    <s v=""/>
    <s v=""/>
    <s v=""/>
    <s v=""/>
    <s v=""/>
    <s v=""/>
  </r>
  <r>
    <x v="0"/>
    <x v="0"/>
    <x v="0"/>
    <x v="1"/>
    <x v="6"/>
    <s v="FGU620123.5640100+"/>
    <s v=""/>
    <s v=""/>
    <s v=""/>
    <s v=""/>
    <s v=""/>
    <s v=""/>
    <s v=""/>
  </r>
  <r>
    <x v="0"/>
    <x v="0"/>
    <x v="0"/>
    <x v="2"/>
    <x v="6"/>
    <s v="FGU620123.5660100+"/>
    <s v=""/>
    <s v=""/>
    <s v=""/>
    <s v=""/>
    <s v=""/>
    <s v=""/>
    <s v=""/>
  </r>
  <r>
    <x v="0"/>
    <x v="0"/>
    <x v="0"/>
    <x v="3"/>
    <x v="6"/>
    <s v="FGU620123.5680100+"/>
    <s v=""/>
    <s v=""/>
    <s v=""/>
    <s v=""/>
    <s v=""/>
    <s v=""/>
    <s v=""/>
  </r>
  <r>
    <x v="0"/>
    <x v="0"/>
    <x v="0"/>
    <x v="4"/>
    <x v="6"/>
    <s v="FGU620123.5700100+"/>
    <s v=""/>
    <s v=""/>
    <s v=""/>
    <s v=""/>
    <s v=""/>
    <s v=""/>
    <s v=""/>
  </r>
  <r>
    <x v="0"/>
    <x v="0"/>
    <x v="0"/>
    <x v="5"/>
    <x v="6"/>
    <s v="FGU620123.5720100+"/>
    <s v=""/>
    <s v=""/>
    <s v=""/>
    <s v=""/>
    <s v=""/>
    <s v=""/>
    <s v=""/>
  </r>
  <r>
    <x v="0"/>
    <x v="0"/>
    <x v="0"/>
    <x v="6"/>
    <x v="6"/>
    <s v="FGU620123.5740100+"/>
    <s v=""/>
    <s v=""/>
    <s v=""/>
    <s v=""/>
    <s v=""/>
    <s v=""/>
    <s v=""/>
  </r>
  <r>
    <x v="0"/>
    <x v="0"/>
    <x v="0"/>
    <x v="7"/>
    <x v="6"/>
    <s v="FGU620123.5760100+"/>
    <s v=""/>
    <s v=""/>
    <s v=""/>
    <s v=""/>
    <s v=""/>
    <s v=""/>
    <s v=""/>
  </r>
  <r>
    <x v="0"/>
    <x v="0"/>
    <x v="0"/>
    <x v="8"/>
    <x v="6"/>
    <s v="FGU620123.5780100+"/>
    <s v=""/>
    <s v=""/>
    <s v=""/>
    <s v=""/>
    <s v=""/>
    <s v=""/>
    <s v=""/>
  </r>
  <r>
    <x v="0"/>
    <x v="1"/>
    <x v="0"/>
    <x v="0"/>
    <x v="0"/>
    <s v="FGU620133.562080"/>
    <s v=""/>
    <s v=""/>
    <s v=""/>
    <s v=""/>
    <s v=""/>
    <s v=""/>
    <s v=""/>
  </r>
  <r>
    <x v="0"/>
    <x v="1"/>
    <x v="0"/>
    <x v="1"/>
    <x v="0"/>
    <s v="FGU620133.564080"/>
    <s v=""/>
    <s v=""/>
    <s v=""/>
    <s v=""/>
    <s v=""/>
    <s v=""/>
    <s v=""/>
  </r>
  <r>
    <x v="0"/>
    <x v="1"/>
    <x v="0"/>
    <x v="2"/>
    <x v="0"/>
    <s v="FGU620133.566080"/>
    <s v=""/>
    <s v=""/>
    <s v=""/>
    <s v=""/>
    <s v=""/>
    <s v=""/>
    <s v=""/>
  </r>
  <r>
    <x v="0"/>
    <x v="1"/>
    <x v="0"/>
    <x v="3"/>
    <x v="0"/>
    <s v="FGU620133.568080"/>
    <s v=""/>
    <s v=""/>
    <s v=""/>
    <s v=""/>
    <s v=""/>
    <s v=""/>
    <s v=""/>
  </r>
  <r>
    <x v="0"/>
    <x v="1"/>
    <x v="0"/>
    <x v="4"/>
    <x v="0"/>
    <s v="FGU620133.570080"/>
    <s v=""/>
    <s v=""/>
    <s v=""/>
    <s v=""/>
    <s v=""/>
    <s v=""/>
    <s v=""/>
  </r>
  <r>
    <x v="0"/>
    <x v="1"/>
    <x v="0"/>
    <x v="5"/>
    <x v="0"/>
    <s v="FGU620133.572080"/>
    <s v=""/>
    <s v=""/>
    <s v=""/>
    <s v=""/>
    <s v=""/>
    <s v=""/>
    <s v=""/>
  </r>
  <r>
    <x v="0"/>
    <x v="1"/>
    <x v="0"/>
    <x v="6"/>
    <x v="0"/>
    <s v="FGU620133.574080"/>
    <s v=""/>
    <s v=""/>
    <s v=""/>
    <s v=""/>
    <s v=""/>
    <s v=""/>
    <s v=""/>
  </r>
  <r>
    <x v="0"/>
    <x v="1"/>
    <x v="0"/>
    <x v="7"/>
    <x v="0"/>
    <s v="FGU620133.576080"/>
    <s v=""/>
    <s v=""/>
    <s v=""/>
    <s v=""/>
    <s v=""/>
    <s v=""/>
    <s v=""/>
  </r>
  <r>
    <x v="0"/>
    <x v="1"/>
    <x v="0"/>
    <x v="8"/>
    <x v="0"/>
    <s v="FGU620133.578080"/>
    <s v=""/>
    <s v=""/>
    <s v=""/>
    <s v=""/>
    <s v=""/>
    <s v=""/>
    <s v=""/>
  </r>
  <r>
    <x v="0"/>
    <x v="1"/>
    <x v="0"/>
    <x v="0"/>
    <x v="1"/>
    <s v="FGU620133.562085"/>
    <s v=""/>
    <s v=""/>
    <s v=""/>
    <s v=""/>
    <s v=""/>
    <s v=""/>
    <s v=""/>
  </r>
  <r>
    <x v="0"/>
    <x v="1"/>
    <x v="0"/>
    <x v="1"/>
    <x v="1"/>
    <s v="FGU620133.564085"/>
    <s v=""/>
    <s v=""/>
    <s v=""/>
    <s v=""/>
    <s v=""/>
    <s v=""/>
    <s v=""/>
  </r>
  <r>
    <x v="0"/>
    <x v="1"/>
    <x v="0"/>
    <x v="2"/>
    <x v="1"/>
    <s v="FGU620133.566085"/>
    <s v=""/>
    <s v=""/>
    <s v=""/>
    <s v=""/>
    <s v=""/>
    <s v=""/>
    <s v=""/>
  </r>
  <r>
    <x v="0"/>
    <x v="1"/>
    <x v="0"/>
    <x v="3"/>
    <x v="1"/>
    <s v="FGU620133.568085"/>
    <s v=""/>
    <s v=""/>
    <s v=""/>
    <s v=""/>
    <s v=""/>
    <s v=""/>
    <s v=""/>
  </r>
  <r>
    <x v="0"/>
    <x v="1"/>
    <x v="0"/>
    <x v="4"/>
    <x v="1"/>
    <s v="FGU620133.570085"/>
    <s v=""/>
    <s v=""/>
    <s v=""/>
    <s v=""/>
    <s v=""/>
    <s v=""/>
    <s v=""/>
  </r>
  <r>
    <x v="0"/>
    <x v="1"/>
    <x v="0"/>
    <x v="5"/>
    <x v="1"/>
    <s v="FGU620133.572085"/>
    <s v=""/>
    <s v=""/>
    <s v=""/>
    <s v=""/>
    <s v=""/>
    <s v=""/>
    <s v=""/>
  </r>
  <r>
    <x v="0"/>
    <x v="1"/>
    <x v="0"/>
    <x v="6"/>
    <x v="1"/>
    <s v="FGU620133.574085"/>
    <n v="1626495.34"/>
    <n v="-102.95780000000001"/>
    <n v="-77.957800000000006"/>
    <n v="25"/>
    <n v="-55.417200000000001"/>
    <n v="-49.816600000000001"/>
    <n v="5.6006"/>
  </r>
  <r>
    <x v="0"/>
    <x v="1"/>
    <x v="0"/>
    <x v="7"/>
    <x v="1"/>
    <s v="FGU620133.576085"/>
    <n v="29115659.109999999"/>
    <n v="-100.9115"/>
    <n v="-75.912099999999995"/>
    <n v="24.999400000000001"/>
    <n v="-49.026200000000003"/>
    <n v="-42.406700000000001"/>
    <n v="6.6195000000000004"/>
  </r>
  <r>
    <x v="0"/>
    <x v="1"/>
    <x v="0"/>
    <x v="8"/>
    <x v="1"/>
    <s v="FGU620133.578085"/>
    <s v=""/>
    <s v=""/>
    <s v=""/>
    <s v=""/>
    <s v=""/>
    <s v=""/>
    <s v=""/>
  </r>
  <r>
    <x v="0"/>
    <x v="1"/>
    <x v="0"/>
    <x v="0"/>
    <x v="2"/>
    <s v="FGU620133.562090"/>
    <s v=""/>
    <s v=""/>
    <s v=""/>
    <s v=""/>
    <s v=""/>
    <s v=""/>
    <s v=""/>
  </r>
  <r>
    <x v="0"/>
    <x v="1"/>
    <x v="0"/>
    <x v="1"/>
    <x v="2"/>
    <s v="FGU620133.564090"/>
    <s v=""/>
    <s v=""/>
    <s v=""/>
    <s v=""/>
    <s v=""/>
    <s v=""/>
    <s v=""/>
  </r>
  <r>
    <x v="0"/>
    <x v="1"/>
    <x v="0"/>
    <x v="2"/>
    <x v="2"/>
    <s v="FGU620133.566090"/>
    <s v=""/>
    <s v=""/>
    <s v=""/>
    <s v=""/>
    <s v=""/>
    <s v=""/>
    <s v=""/>
  </r>
  <r>
    <x v="0"/>
    <x v="1"/>
    <x v="0"/>
    <x v="3"/>
    <x v="2"/>
    <s v="FGU620133.568090"/>
    <s v=""/>
    <s v=""/>
    <s v=""/>
    <s v=""/>
    <s v=""/>
    <s v=""/>
    <s v=""/>
  </r>
  <r>
    <x v="0"/>
    <x v="1"/>
    <x v="0"/>
    <x v="4"/>
    <x v="2"/>
    <s v="FGU620133.570090"/>
    <s v=""/>
    <s v=""/>
    <s v=""/>
    <s v=""/>
    <s v=""/>
    <s v=""/>
    <s v=""/>
  </r>
  <r>
    <x v="0"/>
    <x v="1"/>
    <x v="0"/>
    <x v="5"/>
    <x v="2"/>
    <s v="FGU620133.572090"/>
    <s v=""/>
    <s v=""/>
    <s v=""/>
    <s v=""/>
    <s v=""/>
    <s v=""/>
    <s v=""/>
  </r>
  <r>
    <x v="0"/>
    <x v="1"/>
    <x v="0"/>
    <x v="6"/>
    <x v="2"/>
    <s v="FGU620133.574090"/>
    <n v="1082444.3999999999"/>
    <n v="-106.6858"/>
    <n v="-81.6858"/>
    <n v="25"/>
    <n v="-72.392899999999997"/>
    <n v="-64.872799999999998"/>
    <n v="7.5201000000000002"/>
  </r>
  <r>
    <x v="0"/>
    <x v="1"/>
    <x v="0"/>
    <x v="7"/>
    <x v="2"/>
    <s v="FGU620133.576090"/>
    <s v=""/>
    <s v=""/>
    <s v=""/>
    <s v=""/>
    <s v=""/>
    <s v=""/>
    <s v=""/>
  </r>
  <r>
    <x v="0"/>
    <x v="1"/>
    <x v="0"/>
    <x v="8"/>
    <x v="2"/>
    <s v="FGU620133.578090"/>
    <s v=""/>
    <s v=""/>
    <s v=""/>
    <s v=""/>
    <s v=""/>
    <s v=""/>
    <s v=""/>
  </r>
  <r>
    <x v="0"/>
    <x v="1"/>
    <x v="0"/>
    <x v="0"/>
    <x v="3"/>
    <s v="FGU620133.562095"/>
    <s v=""/>
    <s v=""/>
    <s v=""/>
    <s v=""/>
    <s v=""/>
    <s v=""/>
    <s v=""/>
  </r>
  <r>
    <x v="0"/>
    <x v="1"/>
    <x v="0"/>
    <x v="1"/>
    <x v="3"/>
    <s v="FGU620133.564095"/>
    <s v=""/>
    <s v=""/>
    <s v=""/>
    <s v=""/>
    <s v=""/>
    <s v=""/>
    <s v=""/>
  </r>
  <r>
    <x v="0"/>
    <x v="1"/>
    <x v="0"/>
    <x v="2"/>
    <x v="3"/>
    <s v="FGU620133.566095"/>
    <s v=""/>
    <s v=""/>
    <s v=""/>
    <s v=""/>
    <s v=""/>
    <s v=""/>
    <s v=""/>
  </r>
  <r>
    <x v="0"/>
    <x v="1"/>
    <x v="0"/>
    <x v="3"/>
    <x v="3"/>
    <s v="FGU620133.568095"/>
    <s v=""/>
    <s v=""/>
    <s v=""/>
    <s v=""/>
    <s v=""/>
    <s v=""/>
    <s v=""/>
  </r>
  <r>
    <x v="0"/>
    <x v="1"/>
    <x v="0"/>
    <x v="4"/>
    <x v="3"/>
    <s v="FGU620133.570095"/>
    <s v=""/>
    <s v=""/>
    <s v=""/>
    <s v=""/>
    <s v=""/>
    <s v=""/>
    <s v=""/>
  </r>
  <r>
    <x v="0"/>
    <x v="1"/>
    <x v="0"/>
    <x v="5"/>
    <x v="3"/>
    <s v="FGU620133.572095"/>
    <s v=""/>
    <s v=""/>
    <s v=""/>
    <s v=""/>
    <s v=""/>
    <s v=""/>
    <s v=""/>
  </r>
  <r>
    <x v="0"/>
    <x v="1"/>
    <x v="0"/>
    <x v="6"/>
    <x v="3"/>
    <s v="FGU620133.574095"/>
    <s v=""/>
    <s v=""/>
    <s v=""/>
    <s v=""/>
    <s v=""/>
    <s v=""/>
    <s v=""/>
  </r>
  <r>
    <x v="0"/>
    <x v="1"/>
    <x v="0"/>
    <x v="7"/>
    <x v="3"/>
    <s v="FGU620133.576095"/>
    <s v=""/>
    <s v=""/>
    <s v=""/>
    <s v=""/>
    <s v=""/>
    <s v=""/>
    <s v=""/>
  </r>
  <r>
    <x v="0"/>
    <x v="1"/>
    <x v="0"/>
    <x v="8"/>
    <x v="3"/>
    <s v="FGU620133.578095"/>
    <s v=""/>
    <s v=""/>
    <s v=""/>
    <s v=""/>
    <s v=""/>
    <s v=""/>
    <s v=""/>
  </r>
  <r>
    <x v="0"/>
    <x v="1"/>
    <x v="0"/>
    <x v="0"/>
    <x v="4"/>
    <s v="FGU620133.562097"/>
    <s v=""/>
    <s v=""/>
    <s v=""/>
    <s v=""/>
    <s v=""/>
    <s v=""/>
    <s v=""/>
  </r>
  <r>
    <x v="0"/>
    <x v="1"/>
    <x v="0"/>
    <x v="1"/>
    <x v="4"/>
    <s v="FGU620133.564097"/>
    <s v=""/>
    <s v=""/>
    <s v=""/>
    <s v=""/>
    <s v=""/>
    <s v=""/>
    <s v=""/>
  </r>
  <r>
    <x v="0"/>
    <x v="1"/>
    <x v="0"/>
    <x v="2"/>
    <x v="4"/>
    <s v="FGU620133.566097"/>
    <s v=""/>
    <s v=""/>
    <s v=""/>
    <s v=""/>
    <s v=""/>
    <s v=""/>
    <s v=""/>
  </r>
  <r>
    <x v="0"/>
    <x v="1"/>
    <x v="0"/>
    <x v="3"/>
    <x v="4"/>
    <s v="FGU620133.568097"/>
    <s v=""/>
    <s v=""/>
    <s v=""/>
    <s v=""/>
    <s v=""/>
    <s v=""/>
    <s v=""/>
  </r>
  <r>
    <x v="0"/>
    <x v="1"/>
    <x v="0"/>
    <x v="4"/>
    <x v="4"/>
    <s v="FGU620133.570097"/>
    <s v=""/>
    <s v=""/>
    <s v=""/>
    <s v=""/>
    <s v=""/>
    <s v=""/>
    <s v=""/>
  </r>
  <r>
    <x v="0"/>
    <x v="1"/>
    <x v="0"/>
    <x v="5"/>
    <x v="4"/>
    <s v="FGU620133.572097"/>
    <s v=""/>
    <s v=""/>
    <s v=""/>
    <s v=""/>
    <s v=""/>
    <s v=""/>
    <s v=""/>
  </r>
  <r>
    <x v="0"/>
    <x v="1"/>
    <x v="0"/>
    <x v="6"/>
    <x v="4"/>
    <s v="FGU620133.574097"/>
    <s v=""/>
    <s v=""/>
    <s v=""/>
    <s v=""/>
    <s v=""/>
    <s v=""/>
    <s v=""/>
  </r>
  <r>
    <x v="0"/>
    <x v="1"/>
    <x v="0"/>
    <x v="7"/>
    <x v="4"/>
    <s v="FGU620133.576097"/>
    <s v=""/>
    <s v=""/>
    <s v=""/>
    <s v=""/>
    <s v=""/>
    <s v=""/>
    <s v=""/>
  </r>
  <r>
    <x v="0"/>
    <x v="1"/>
    <x v="0"/>
    <x v="8"/>
    <x v="4"/>
    <s v="FGU620133.578097"/>
    <s v=""/>
    <s v=""/>
    <s v=""/>
    <s v=""/>
    <s v=""/>
    <s v=""/>
    <s v=""/>
  </r>
  <r>
    <x v="0"/>
    <x v="1"/>
    <x v="0"/>
    <x v="0"/>
    <x v="5"/>
    <s v="FGU620133.5620100"/>
    <s v=""/>
    <s v=""/>
    <s v=""/>
    <s v=""/>
    <s v=""/>
    <s v=""/>
    <s v=""/>
  </r>
  <r>
    <x v="0"/>
    <x v="1"/>
    <x v="0"/>
    <x v="1"/>
    <x v="5"/>
    <s v="FGU620133.5640100"/>
    <s v=""/>
    <s v=""/>
    <s v=""/>
    <s v=""/>
    <s v=""/>
    <s v=""/>
    <s v=""/>
  </r>
  <r>
    <x v="0"/>
    <x v="1"/>
    <x v="0"/>
    <x v="2"/>
    <x v="5"/>
    <s v="FGU620133.5660100"/>
    <s v=""/>
    <s v=""/>
    <s v=""/>
    <s v=""/>
    <s v=""/>
    <s v=""/>
    <s v=""/>
  </r>
  <r>
    <x v="0"/>
    <x v="1"/>
    <x v="0"/>
    <x v="3"/>
    <x v="5"/>
    <s v="FGU620133.5680100"/>
    <s v=""/>
    <s v=""/>
    <s v=""/>
    <s v=""/>
    <s v=""/>
    <s v=""/>
    <s v=""/>
  </r>
  <r>
    <x v="0"/>
    <x v="1"/>
    <x v="0"/>
    <x v="4"/>
    <x v="5"/>
    <s v="FGU620133.5700100"/>
    <s v=""/>
    <s v=""/>
    <s v=""/>
    <s v=""/>
    <s v=""/>
    <s v=""/>
    <s v=""/>
  </r>
  <r>
    <x v="0"/>
    <x v="1"/>
    <x v="0"/>
    <x v="5"/>
    <x v="5"/>
    <s v="FGU620133.5720100"/>
    <s v=""/>
    <s v=""/>
    <s v=""/>
    <s v=""/>
    <s v=""/>
    <s v=""/>
    <s v=""/>
  </r>
  <r>
    <x v="0"/>
    <x v="1"/>
    <x v="0"/>
    <x v="6"/>
    <x v="5"/>
    <s v="FGU620133.5740100"/>
    <s v=""/>
    <s v=""/>
    <s v=""/>
    <s v=""/>
    <s v=""/>
    <s v=""/>
    <s v=""/>
  </r>
  <r>
    <x v="0"/>
    <x v="1"/>
    <x v="0"/>
    <x v="7"/>
    <x v="5"/>
    <s v="FGU620133.5760100"/>
    <s v=""/>
    <s v=""/>
    <s v=""/>
    <s v=""/>
    <s v=""/>
    <s v=""/>
    <s v=""/>
  </r>
  <r>
    <x v="0"/>
    <x v="1"/>
    <x v="0"/>
    <x v="8"/>
    <x v="5"/>
    <s v="FGU620133.5780100"/>
    <s v=""/>
    <s v=""/>
    <s v=""/>
    <s v=""/>
    <s v=""/>
    <s v=""/>
    <s v=""/>
  </r>
  <r>
    <x v="0"/>
    <x v="1"/>
    <x v="0"/>
    <x v="0"/>
    <x v="6"/>
    <s v="FGU620133.5620100+"/>
    <s v=""/>
    <s v=""/>
    <s v=""/>
    <s v=""/>
    <s v=""/>
    <s v=""/>
    <s v=""/>
  </r>
  <r>
    <x v="0"/>
    <x v="1"/>
    <x v="0"/>
    <x v="1"/>
    <x v="6"/>
    <s v="FGU620133.5640100+"/>
    <s v=""/>
    <s v=""/>
    <s v=""/>
    <s v=""/>
    <s v=""/>
    <s v=""/>
    <s v=""/>
  </r>
  <r>
    <x v="0"/>
    <x v="1"/>
    <x v="0"/>
    <x v="2"/>
    <x v="6"/>
    <s v="FGU620133.5660100+"/>
    <s v=""/>
    <s v=""/>
    <s v=""/>
    <s v=""/>
    <s v=""/>
    <s v=""/>
    <s v=""/>
  </r>
  <r>
    <x v="0"/>
    <x v="1"/>
    <x v="0"/>
    <x v="3"/>
    <x v="6"/>
    <s v="FGU620133.5680100+"/>
    <s v=""/>
    <s v=""/>
    <s v=""/>
    <s v=""/>
    <s v=""/>
    <s v=""/>
    <s v=""/>
  </r>
  <r>
    <x v="0"/>
    <x v="1"/>
    <x v="0"/>
    <x v="4"/>
    <x v="6"/>
    <s v="FGU620133.5700100+"/>
    <s v=""/>
    <s v=""/>
    <s v=""/>
    <s v=""/>
    <s v=""/>
    <s v=""/>
    <s v=""/>
  </r>
  <r>
    <x v="0"/>
    <x v="1"/>
    <x v="0"/>
    <x v="5"/>
    <x v="6"/>
    <s v="FGU620133.5720100+"/>
    <s v=""/>
    <s v=""/>
    <s v=""/>
    <s v=""/>
    <s v=""/>
    <s v=""/>
    <s v=""/>
  </r>
  <r>
    <x v="0"/>
    <x v="1"/>
    <x v="0"/>
    <x v="6"/>
    <x v="6"/>
    <s v="FGU620133.5740100+"/>
    <s v=""/>
    <s v=""/>
    <s v=""/>
    <s v=""/>
    <s v=""/>
    <s v=""/>
    <s v=""/>
  </r>
  <r>
    <x v="0"/>
    <x v="1"/>
    <x v="0"/>
    <x v="7"/>
    <x v="6"/>
    <s v="FGU620133.5760100+"/>
    <s v=""/>
    <s v=""/>
    <s v=""/>
    <s v=""/>
    <s v=""/>
    <s v=""/>
    <s v=""/>
  </r>
  <r>
    <x v="0"/>
    <x v="1"/>
    <x v="0"/>
    <x v="8"/>
    <x v="6"/>
    <s v="FGU620133.5780100+"/>
    <s v=""/>
    <s v=""/>
    <s v=""/>
    <s v=""/>
    <s v=""/>
    <s v=""/>
    <s v=""/>
  </r>
  <r>
    <x v="0"/>
    <x v="0"/>
    <x v="1"/>
    <x v="0"/>
    <x v="0"/>
    <s v="FGU62012462080"/>
    <s v=""/>
    <s v=""/>
    <s v=""/>
    <s v=""/>
    <s v=""/>
    <s v=""/>
    <s v=""/>
  </r>
  <r>
    <x v="0"/>
    <x v="0"/>
    <x v="1"/>
    <x v="1"/>
    <x v="0"/>
    <s v="FGU62012464080"/>
    <s v=""/>
    <s v=""/>
    <s v=""/>
    <s v=""/>
    <s v=""/>
    <s v=""/>
    <s v=""/>
  </r>
  <r>
    <x v="0"/>
    <x v="0"/>
    <x v="1"/>
    <x v="2"/>
    <x v="0"/>
    <s v="FGU62012466080"/>
    <s v=""/>
    <s v=""/>
    <s v=""/>
    <s v=""/>
    <s v=""/>
    <s v=""/>
    <s v=""/>
  </r>
  <r>
    <x v="0"/>
    <x v="0"/>
    <x v="1"/>
    <x v="3"/>
    <x v="0"/>
    <s v="FGU62012468080"/>
    <s v=""/>
    <s v=""/>
    <s v=""/>
    <s v=""/>
    <s v=""/>
    <s v=""/>
    <s v=""/>
  </r>
  <r>
    <x v="0"/>
    <x v="0"/>
    <x v="1"/>
    <x v="4"/>
    <x v="0"/>
    <s v="FGU62012470080"/>
    <s v=""/>
    <s v=""/>
    <s v=""/>
    <s v=""/>
    <s v=""/>
    <s v=""/>
    <s v=""/>
  </r>
  <r>
    <x v="0"/>
    <x v="0"/>
    <x v="1"/>
    <x v="5"/>
    <x v="0"/>
    <s v="FGU62012472080"/>
    <n v="18262792"/>
    <n v="-43.237833057404401"/>
    <n v="-18.238252984974402"/>
    <n v="24.9995800724299"/>
    <n v="1.87024700722989"/>
    <n v="8.1382572624684606"/>
    <n v="6.2680102552385701"/>
  </r>
  <r>
    <x v="0"/>
    <x v="0"/>
    <x v="1"/>
    <x v="6"/>
    <x v="0"/>
    <s v="FGU62012474080"/>
    <n v="179629932.69999999"/>
    <n v="-49.636223125408101"/>
    <n v="-24.6364603258003"/>
    <n v="24.999762799607801"/>
    <n v="0.37924917534785602"/>
    <n v="6.5202591989662499"/>
    <n v="6.1410100236183904"/>
  </r>
  <r>
    <x v="0"/>
    <x v="0"/>
    <x v="1"/>
    <x v="7"/>
    <x v="0"/>
    <s v="FGU62012476080"/>
    <n v="2415954.25"/>
    <n v="-59.454146580913097"/>
    <n v="-34.454146580913097"/>
    <n v="25"/>
    <n v="3.90071614909471"/>
    <n v="9.09841860461637"/>
    <n v="5.19770245552166"/>
  </r>
  <r>
    <x v="0"/>
    <x v="0"/>
    <x v="1"/>
    <x v="8"/>
    <x v="0"/>
    <s v="FGU62012478080"/>
    <n v="35036122.659999996"/>
    <n v="-60.120022382871397"/>
    <n v="-35.1200237103942"/>
    <n v="24.999998672477201"/>
    <n v="11.8753152485647"/>
    <n v="13.894598811829599"/>
    <n v="2.01928356326493"/>
  </r>
  <r>
    <x v="0"/>
    <x v="0"/>
    <x v="1"/>
    <x v="0"/>
    <x v="1"/>
    <s v="FGU62012462085"/>
    <s v=""/>
    <s v=""/>
    <s v=""/>
    <s v=""/>
    <s v=""/>
    <s v=""/>
    <s v=""/>
  </r>
  <r>
    <x v="0"/>
    <x v="0"/>
    <x v="1"/>
    <x v="1"/>
    <x v="1"/>
    <s v="FGU62012464085"/>
    <s v=""/>
    <s v=""/>
    <s v=""/>
    <s v=""/>
    <s v=""/>
    <s v=""/>
    <s v=""/>
  </r>
  <r>
    <x v="0"/>
    <x v="0"/>
    <x v="1"/>
    <x v="2"/>
    <x v="1"/>
    <s v="FGU62012466085"/>
    <s v=""/>
    <s v=""/>
    <s v=""/>
    <s v=""/>
    <s v=""/>
    <s v=""/>
    <s v=""/>
  </r>
  <r>
    <x v="0"/>
    <x v="0"/>
    <x v="1"/>
    <x v="3"/>
    <x v="1"/>
    <s v="FGU62012468085"/>
    <s v=""/>
    <s v=""/>
    <s v=""/>
    <s v=""/>
    <s v=""/>
    <s v=""/>
    <s v=""/>
  </r>
  <r>
    <x v="0"/>
    <x v="0"/>
    <x v="1"/>
    <x v="4"/>
    <x v="1"/>
    <s v="FGU62012470085"/>
    <s v=""/>
    <s v=""/>
    <s v=""/>
    <s v=""/>
    <s v=""/>
    <s v=""/>
    <s v=""/>
  </r>
  <r>
    <x v="0"/>
    <x v="0"/>
    <x v="1"/>
    <x v="5"/>
    <x v="1"/>
    <s v="FGU62012472085"/>
    <n v="2256668.85"/>
    <n v="-34.592799999999997"/>
    <n v="-9.5928000000000004"/>
    <n v="25"/>
    <n v="6.6280000000000001"/>
    <n v="15.004300000000001"/>
    <n v="8.3763000000000005"/>
  </r>
  <r>
    <x v="0"/>
    <x v="0"/>
    <x v="1"/>
    <x v="6"/>
    <x v="1"/>
    <s v="FGU62012474085"/>
    <n v="39989905.450000003"/>
    <n v="-43.531756777355596"/>
    <n v="-18.531892765591198"/>
    <n v="24.999864011764402"/>
    <n v="3.6174777424769"/>
    <n v="10.117683138540199"/>
    <n v="6.50020539606329"/>
  </r>
  <r>
    <x v="0"/>
    <x v="0"/>
    <x v="1"/>
    <x v="7"/>
    <x v="1"/>
    <s v="FGU62012476085"/>
    <n v="103826795.15000001"/>
    <n v="-45.837701082293201"/>
    <n v="-20.838259293884001"/>
    <n v="24.999441788409101"/>
    <n v="6.47281711641077"/>
    <n v="12.3128087883911"/>
    <n v="5.8399916719804104"/>
  </r>
  <r>
    <x v="0"/>
    <x v="0"/>
    <x v="1"/>
    <x v="8"/>
    <x v="1"/>
    <s v="FGU62012478085"/>
    <n v="2323496.79"/>
    <n v="-53.283900000000003"/>
    <n v="-28.283899999999999"/>
    <n v="25"/>
    <n v="4.5119999999999996"/>
    <n v="8.1224000000000007"/>
    <n v="3.6103999999999998"/>
  </r>
  <r>
    <x v="0"/>
    <x v="0"/>
    <x v="1"/>
    <x v="0"/>
    <x v="2"/>
    <s v="FGU62012462090"/>
    <s v=""/>
    <s v=""/>
    <s v=""/>
    <s v=""/>
    <s v=""/>
    <s v=""/>
    <s v=""/>
  </r>
  <r>
    <x v="0"/>
    <x v="0"/>
    <x v="1"/>
    <x v="1"/>
    <x v="2"/>
    <s v="FGU62012464090"/>
    <s v=""/>
    <s v=""/>
    <s v=""/>
    <s v=""/>
    <s v=""/>
    <s v=""/>
    <s v=""/>
  </r>
  <r>
    <x v="0"/>
    <x v="0"/>
    <x v="1"/>
    <x v="2"/>
    <x v="2"/>
    <s v="FGU62012466090"/>
    <s v=""/>
    <s v=""/>
    <s v=""/>
    <s v=""/>
    <s v=""/>
    <s v=""/>
    <s v=""/>
  </r>
  <r>
    <x v="0"/>
    <x v="0"/>
    <x v="1"/>
    <x v="3"/>
    <x v="2"/>
    <s v="FGU62012468090"/>
    <s v=""/>
    <s v=""/>
    <s v=""/>
    <s v=""/>
    <s v=""/>
    <s v=""/>
    <s v=""/>
  </r>
  <r>
    <x v="0"/>
    <x v="0"/>
    <x v="1"/>
    <x v="4"/>
    <x v="2"/>
    <s v="FGU62012470090"/>
    <s v=""/>
    <s v=""/>
    <s v=""/>
    <s v=""/>
    <s v=""/>
    <s v=""/>
    <s v=""/>
  </r>
  <r>
    <x v="0"/>
    <x v="0"/>
    <x v="1"/>
    <x v="5"/>
    <x v="2"/>
    <s v="FGU62012472090"/>
    <s v=""/>
    <s v=""/>
    <s v=""/>
    <s v=""/>
    <s v=""/>
    <s v=""/>
    <s v=""/>
  </r>
  <r>
    <x v="0"/>
    <x v="0"/>
    <x v="1"/>
    <x v="6"/>
    <x v="2"/>
    <s v="FGU62012474090"/>
    <n v="2476179.17"/>
    <n v="-43.6008"/>
    <n v="-18.602"/>
    <n v="24.998799999999999"/>
    <n v="-1.5551999999999999"/>
    <n v="7.4878999999999998"/>
    <n v="9.0431000000000008"/>
  </r>
  <r>
    <x v="0"/>
    <x v="0"/>
    <x v="1"/>
    <x v="7"/>
    <x v="2"/>
    <s v="FGU62012476090"/>
    <n v="607829.24"/>
    <n v="10.395300000000001"/>
    <n v="35.392499999999998"/>
    <n v="24.997199999999999"/>
    <n v="60.643099999999997"/>
    <n v="60.643099999999997"/>
    <n v="0"/>
  </r>
  <r>
    <x v="0"/>
    <x v="0"/>
    <x v="1"/>
    <x v="8"/>
    <x v="2"/>
    <s v="FGU62012478090"/>
    <s v=""/>
    <s v=""/>
    <s v=""/>
    <s v=""/>
    <s v=""/>
    <s v=""/>
    <s v=""/>
  </r>
  <r>
    <x v="0"/>
    <x v="0"/>
    <x v="1"/>
    <x v="0"/>
    <x v="3"/>
    <s v="FGU62012462095"/>
    <s v=""/>
    <s v=""/>
    <s v=""/>
    <s v=""/>
    <s v=""/>
    <s v=""/>
    <s v=""/>
  </r>
  <r>
    <x v="0"/>
    <x v="0"/>
    <x v="1"/>
    <x v="1"/>
    <x v="3"/>
    <s v="FGU62012464095"/>
    <s v=""/>
    <s v=""/>
    <s v=""/>
    <s v=""/>
    <s v=""/>
    <s v=""/>
    <s v=""/>
  </r>
  <r>
    <x v="0"/>
    <x v="0"/>
    <x v="1"/>
    <x v="2"/>
    <x v="3"/>
    <s v="FGU62012466095"/>
    <s v=""/>
    <s v=""/>
    <s v=""/>
    <s v=""/>
    <s v=""/>
    <s v=""/>
    <s v=""/>
  </r>
  <r>
    <x v="0"/>
    <x v="0"/>
    <x v="1"/>
    <x v="3"/>
    <x v="3"/>
    <s v="FGU62012468095"/>
    <s v=""/>
    <s v=""/>
    <s v=""/>
    <s v=""/>
    <s v=""/>
    <s v=""/>
    <s v=""/>
  </r>
  <r>
    <x v="0"/>
    <x v="0"/>
    <x v="1"/>
    <x v="4"/>
    <x v="3"/>
    <s v="FGU62012470095"/>
    <s v=""/>
    <s v=""/>
    <s v=""/>
    <s v=""/>
    <s v=""/>
    <s v=""/>
    <s v=""/>
  </r>
  <r>
    <x v="0"/>
    <x v="0"/>
    <x v="1"/>
    <x v="5"/>
    <x v="3"/>
    <s v="FGU62012472095"/>
    <s v=""/>
    <s v=""/>
    <s v=""/>
    <s v=""/>
    <s v=""/>
    <s v=""/>
    <s v=""/>
  </r>
  <r>
    <x v="0"/>
    <x v="0"/>
    <x v="1"/>
    <x v="6"/>
    <x v="3"/>
    <s v="FGU62012474095"/>
    <s v=""/>
    <s v=""/>
    <s v=""/>
    <s v=""/>
    <s v=""/>
    <s v=""/>
    <s v=""/>
  </r>
  <r>
    <x v="0"/>
    <x v="0"/>
    <x v="1"/>
    <x v="7"/>
    <x v="3"/>
    <s v="FGU62012476095"/>
    <s v=""/>
    <s v=""/>
    <s v=""/>
    <s v=""/>
    <s v=""/>
    <s v=""/>
    <s v=""/>
  </r>
  <r>
    <x v="0"/>
    <x v="0"/>
    <x v="1"/>
    <x v="8"/>
    <x v="3"/>
    <s v="FGU62012478095"/>
    <s v=""/>
    <s v=""/>
    <s v=""/>
    <s v=""/>
    <s v=""/>
    <s v=""/>
    <s v=""/>
  </r>
  <r>
    <x v="0"/>
    <x v="0"/>
    <x v="1"/>
    <x v="0"/>
    <x v="4"/>
    <s v="FGU62012462097"/>
    <s v=""/>
    <s v=""/>
    <s v=""/>
    <s v=""/>
    <s v=""/>
    <s v=""/>
    <s v=""/>
  </r>
  <r>
    <x v="0"/>
    <x v="0"/>
    <x v="1"/>
    <x v="1"/>
    <x v="4"/>
    <s v="FGU62012464097"/>
    <s v=""/>
    <s v=""/>
    <s v=""/>
    <s v=""/>
    <s v=""/>
    <s v=""/>
    <s v=""/>
  </r>
  <r>
    <x v="0"/>
    <x v="0"/>
    <x v="1"/>
    <x v="2"/>
    <x v="4"/>
    <s v="FGU62012466097"/>
    <s v=""/>
    <s v=""/>
    <s v=""/>
    <s v=""/>
    <s v=""/>
    <s v=""/>
    <s v=""/>
  </r>
  <r>
    <x v="0"/>
    <x v="0"/>
    <x v="1"/>
    <x v="3"/>
    <x v="4"/>
    <s v="FGU62012468097"/>
    <s v=""/>
    <s v=""/>
    <s v=""/>
    <s v=""/>
    <s v=""/>
    <s v=""/>
    <s v=""/>
  </r>
  <r>
    <x v="0"/>
    <x v="0"/>
    <x v="1"/>
    <x v="4"/>
    <x v="4"/>
    <s v="FGU62012470097"/>
    <s v=""/>
    <s v=""/>
    <s v=""/>
    <s v=""/>
    <s v=""/>
    <s v=""/>
    <s v=""/>
  </r>
  <r>
    <x v="0"/>
    <x v="0"/>
    <x v="1"/>
    <x v="5"/>
    <x v="4"/>
    <s v="FGU62012472097"/>
    <s v=""/>
    <s v=""/>
    <s v=""/>
    <s v=""/>
    <s v=""/>
    <s v=""/>
    <s v=""/>
  </r>
  <r>
    <x v="0"/>
    <x v="0"/>
    <x v="1"/>
    <x v="6"/>
    <x v="4"/>
    <s v="FGU62012474097"/>
    <s v=""/>
    <s v=""/>
    <s v=""/>
    <s v=""/>
    <s v=""/>
    <s v=""/>
    <s v=""/>
  </r>
  <r>
    <x v="0"/>
    <x v="0"/>
    <x v="1"/>
    <x v="7"/>
    <x v="4"/>
    <s v="FGU62012476097"/>
    <s v=""/>
    <s v=""/>
    <s v=""/>
    <s v=""/>
    <s v=""/>
    <s v=""/>
    <s v=""/>
  </r>
  <r>
    <x v="0"/>
    <x v="0"/>
    <x v="1"/>
    <x v="8"/>
    <x v="4"/>
    <s v="FGU62012478097"/>
    <s v=""/>
    <s v=""/>
    <s v=""/>
    <s v=""/>
    <s v=""/>
    <s v=""/>
    <s v=""/>
  </r>
  <r>
    <x v="0"/>
    <x v="0"/>
    <x v="1"/>
    <x v="0"/>
    <x v="5"/>
    <s v="FGU620124620100"/>
    <s v=""/>
    <s v=""/>
    <s v=""/>
    <s v=""/>
    <s v=""/>
    <s v=""/>
    <s v=""/>
  </r>
  <r>
    <x v="0"/>
    <x v="0"/>
    <x v="1"/>
    <x v="1"/>
    <x v="5"/>
    <s v="FGU620124640100"/>
    <s v=""/>
    <s v=""/>
    <s v=""/>
    <s v=""/>
    <s v=""/>
    <s v=""/>
    <s v=""/>
  </r>
  <r>
    <x v="0"/>
    <x v="0"/>
    <x v="1"/>
    <x v="2"/>
    <x v="5"/>
    <s v="FGU620124660100"/>
    <s v=""/>
    <s v=""/>
    <s v=""/>
    <s v=""/>
    <s v=""/>
    <s v=""/>
    <s v=""/>
  </r>
  <r>
    <x v="0"/>
    <x v="0"/>
    <x v="1"/>
    <x v="3"/>
    <x v="5"/>
    <s v="FGU620124680100"/>
    <s v=""/>
    <s v=""/>
    <s v=""/>
    <s v=""/>
    <s v=""/>
    <s v=""/>
    <s v=""/>
  </r>
  <r>
    <x v="0"/>
    <x v="0"/>
    <x v="1"/>
    <x v="4"/>
    <x v="5"/>
    <s v="FGU620124700100"/>
    <s v=""/>
    <s v=""/>
    <s v=""/>
    <s v=""/>
    <s v=""/>
    <s v=""/>
    <s v=""/>
  </r>
  <r>
    <x v="0"/>
    <x v="0"/>
    <x v="1"/>
    <x v="5"/>
    <x v="5"/>
    <s v="FGU620124720100"/>
    <s v=""/>
    <s v=""/>
    <s v=""/>
    <s v=""/>
    <s v=""/>
    <s v=""/>
    <s v=""/>
  </r>
  <r>
    <x v="0"/>
    <x v="0"/>
    <x v="1"/>
    <x v="6"/>
    <x v="5"/>
    <s v="FGU620124740100"/>
    <s v=""/>
    <s v=""/>
    <s v=""/>
    <s v=""/>
    <s v=""/>
    <s v=""/>
    <s v=""/>
  </r>
  <r>
    <x v="0"/>
    <x v="0"/>
    <x v="1"/>
    <x v="7"/>
    <x v="5"/>
    <s v="FGU620124760100"/>
    <s v=""/>
    <s v=""/>
    <s v=""/>
    <s v=""/>
    <s v=""/>
    <s v=""/>
    <s v=""/>
  </r>
  <r>
    <x v="0"/>
    <x v="0"/>
    <x v="1"/>
    <x v="8"/>
    <x v="5"/>
    <s v="FGU620124780100"/>
    <s v=""/>
    <s v=""/>
    <s v=""/>
    <s v=""/>
    <s v=""/>
    <s v=""/>
    <s v=""/>
  </r>
  <r>
    <x v="0"/>
    <x v="0"/>
    <x v="1"/>
    <x v="0"/>
    <x v="6"/>
    <s v="FGU620124620100+"/>
    <s v=""/>
    <s v=""/>
    <s v=""/>
    <s v=""/>
    <s v=""/>
    <s v=""/>
    <s v=""/>
  </r>
  <r>
    <x v="0"/>
    <x v="0"/>
    <x v="1"/>
    <x v="1"/>
    <x v="6"/>
    <s v="FGU620124640100+"/>
    <s v=""/>
    <s v=""/>
    <s v=""/>
    <s v=""/>
    <s v=""/>
    <s v=""/>
    <s v=""/>
  </r>
  <r>
    <x v="0"/>
    <x v="0"/>
    <x v="1"/>
    <x v="2"/>
    <x v="6"/>
    <s v="FGU620124660100+"/>
    <s v=""/>
    <s v=""/>
    <s v=""/>
    <s v=""/>
    <s v=""/>
    <s v=""/>
    <s v=""/>
  </r>
  <r>
    <x v="0"/>
    <x v="0"/>
    <x v="1"/>
    <x v="3"/>
    <x v="6"/>
    <s v="FGU620124680100+"/>
    <s v=""/>
    <s v=""/>
    <s v=""/>
    <s v=""/>
    <s v=""/>
    <s v=""/>
    <s v=""/>
  </r>
  <r>
    <x v="0"/>
    <x v="0"/>
    <x v="1"/>
    <x v="4"/>
    <x v="6"/>
    <s v="FGU620124700100+"/>
    <s v=""/>
    <s v=""/>
    <s v=""/>
    <s v=""/>
    <s v=""/>
    <s v=""/>
    <s v=""/>
  </r>
  <r>
    <x v="0"/>
    <x v="0"/>
    <x v="1"/>
    <x v="5"/>
    <x v="6"/>
    <s v="FGU620124720100+"/>
    <s v=""/>
    <s v=""/>
    <s v=""/>
    <s v=""/>
    <s v=""/>
    <s v=""/>
    <s v=""/>
  </r>
  <r>
    <x v="0"/>
    <x v="0"/>
    <x v="1"/>
    <x v="6"/>
    <x v="6"/>
    <s v="FGU620124740100+"/>
    <s v=""/>
    <s v=""/>
    <s v=""/>
    <s v=""/>
    <s v=""/>
    <s v=""/>
    <s v=""/>
  </r>
  <r>
    <x v="0"/>
    <x v="0"/>
    <x v="1"/>
    <x v="7"/>
    <x v="6"/>
    <s v="FGU620124760100+"/>
    <s v=""/>
    <s v=""/>
    <s v=""/>
    <s v=""/>
    <s v=""/>
    <s v=""/>
    <s v=""/>
  </r>
  <r>
    <x v="0"/>
    <x v="0"/>
    <x v="1"/>
    <x v="8"/>
    <x v="6"/>
    <s v="FGU620124780100+"/>
    <s v=""/>
    <s v=""/>
    <s v=""/>
    <s v=""/>
    <s v=""/>
    <s v=""/>
    <s v=""/>
  </r>
  <r>
    <x v="0"/>
    <x v="1"/>
    <x v="1"/>
    <x v="0"/>
    <x v="0"/>
    <s v="FGU62013462080"/>
    <s v=""/>
    <s v=""/>
    <s v=""/>
    <s v=""/>
    <s v=""/>
    <s v=""/>
    <s v=""/>
  </r>
  <r>
    <x v="0"/>
    <x v="1"/>
    <x v="1"/>
    <x v="1"/>
    <x v="0"/>
    <s v="FGU62013464080"/>
    <s v=""/>
    <s v=""/>
    <s v=""/>
    <s v=""/>
    <s v=""/>
    <s v=""/>
    <s v=""/>
  </r>
  <r>
    <x v="0"/>
    <x v="1"/>
    <x v="1"/>
    <x v="2"/>
    <x v="0"/>
    <s v="FGU62013466080"/>
    <s v=""/>
    <s v=""/>
    <s v=""/>
    <s v=""/>
    <s v=""/>
    <s v=""/>
    <s v=""/>
  </r>
  <r>
    <x v="0"/>
    <x v="1"/>
    <x v="1"/>
    <x v="3"/>
    <x v="0"/>
    <s v="FGU62013468080"/>
    <s v=""/>
    <s v=""/>
    <s v=""/>
    <s v=""/>
    <s v=""/>
    <s v=""/>
    <s v=""/>
  </r>
  <r>
    <x v="0"/>
    <x v="1"/>
    <x v="1"/>
    <x v="4"/>
    <x v="0"/>
    <s v="FGU62013470080"/>
    <s v=""/>
    <s v=""/>
    <s v=""/>
    <s v=""/>
    <s v=""/>
    <s v=""/>
    <s v=""/>
  </r>
  <r>
    <x v="0"/>
    <x v="1"/>
    <x v="1"/>
    <x v="5"/>
    <x v="0"/>
    <s v="FGU62013472080"/>
    <s v=""/>
    <s v=""/>
    <s v=""/>
    <s v=""/>
    <s v=""/>
    <s v=""/>
    <s v=""/>
  </r>
  <r>
    <x v="0"/>
    <x v="1"/>
    <x v="1"/>
    <x v="6"/>
    <x v="0"/>
    <s v="FGU62013474080"/>
    <s v=""/>
    <s v=""/>
    <s v=""/>
    <s v=""/>
    <s v=""/>
    <s v=""/>
    <s v=""/>
  </r>
  <r>
    <x v="0"/>
    <x v="1"/>
    <x v="1"/>
    <x v="7"/>
    <x v="0"/>
    <s v="FGU62013476080"/>
    <s v=""/>
    <s v=""/>
    <s v=""/>
    <s v=""/>
    <s v=""/>
    <s v=""/>
    <s v=""/>
  </r>
  <r>
    <x v="0"/>
    <x v="1"/>
    <x v="1"/>
    <x v="8"/>
    <x v="0"/>
    <s v="FGU62013478080"/>
    <n v="957901.84"/>
    <n v="-51.97"/>
    <n v="-26.97"/>
    <n v="25"/>
    <n v="24.688099999999999"/>
    <n v="24.688099999999999"/>
    <n v="0"/>
  </r>
  <r>
    <x v="0"/>
    <x v="1"/>
    <x v="1"/>
    <x v="0"/>
    <x v="1"/>
    <s v="FGU62013462085"/>
    <s v=""/>
    <s v=""/>
    <s v=""/>
    <s v=""/>
    <s v=""/>
    <s v=""/>
    <s v=""/>
  </r>
  <r>
    <x v="0"/>
    <x v="1"/>
    <x v="1"/>
    <x v="1"/>
    <x v="1"/>
    <s v="FGU62013464085"/>
    <s v=""/>
    <s v=""/>
    <s v=""/>
    <s v=""/>
    <s v=""/>
    <s v=""/>
    <s v=""/>
  </r>
  <r>
    <x v="0"/>
    <x v="1"/>
    <x v="1"/>
    <x v="2"/>
    <x v="1"/>
    <s v="FGU62013466085"/>
    <s v=""/>
    <s v=""/>
    <s v=""/>
    <s v=""/>
    <s v=""/>
    <s v=""/>
    <s v=""/>
  </r>
  <r>
    <x v="0"/>
    <x v="1"/>
    <x v="1"/>
    <x v="3"/>
    <x v="1"/>
    <s v="FGU62013468085"/>
    <s v=""/>
    <s v=""/>
    <s v=""/>
    <s v=""/>
    <s v=""/>
    <s v=""/>
    <s v=""/>
  </r>
  <r>
    <x v="0"/>
    <x v="1"/>
    <x v="1"/>
    <x v="4"/>
    <x v="1"/>
    <s v="FGU62013470085"/>
    <s v=""/>
    <s v=""/>
    <s v=""/>
    <s v=""/>
    <s v=""/>
    <s v=""/>
    <s v=""/>
  </r>
  <r>
    <x v="0"/>
    <x v="1"/>
    <x v="1"/>
    <x v="5"/>
    <x v="1"/>
    <s v="FGU62013472085"/>
    <n v="23546582.530000001"/>
    <n v="-51.248699999999999"/>
    <n v="-26.249300000000002"/>
    <n v="24.999400000000001"/>
    <n v="-10.9476"/>
    <n v="-2.9624999999999999"/>
    <n v="7.9851000000000001"/>
  </r>
  <r>
    <x v="0"/>
    <x v="1"/>
    <x v="1"/>
    <x v="6"/>
    <x v="1"/>
    <s v="FGU62013474085"/>
    <n v="14320526.880000001"/>
    <n v="-39.320700000000002"/>
    <n v="-14.3215"/>
    <n v="24.999199999999998"/>
    <n v="11.622999999999999"/>
    <n v="18.172699999999999"/>
    <n v="6.5496999999999996"/>
  </r>
  <r>
    <x v="0"/>
    <x v="1"/>
    <x v="1"/>
    <x v="7"/>
    <x v="1"/>
    <s v="FGU62013476085"/>
    <n v="79114520.859999999"/>
    <n v="-32.6509"/>
    <n v="-7.6513999999999998"/>
    <n v="24.999500000000001"/>
    <n v="13.3742"/>
    <n v="19.9072"/>
    <n v="6.5330000000000004"/>
  </r>
  <r>
    <x v="0"/>
    <x v="1"/>
    <x v="1"/>
    <x v="8"/>
    <x v="1"/>
    <s v="FGU62013478085"/>
    <n v="711095.08"/>
    <n v="-65.427599999999998"/>
    <n v="-40.427599999999998"/>
    <n v="25"/>
    <n v="3.3835000000000002"/>
    <n v="3.3835000000000002"/>
    <n v="0"/>
  </r>
  <r>
    <x v="0"/>
    <x v="1"/>
    <x v="1"/>
    <x v="0"/>
    <x v="2"/>
    <s v="FGU62013462090"/>
    <s v=""/>
    <s v=""/>
    <s v=""/>
    <s v=""/>
    <s v=""/>
    <s v=""/>
    <s v=""/>
  </r>
  <r>
    <x v="0"/>
    <x v="1"/>
    <x v="1"/>
    <x v="1"/>
    <x v="2"/>
    <s v="FGU62013464090"/>
    <s v=""/>
    <s v=""/>
    <s v=""/>
    <s v=""/>
    <s v=""/>
    <s v=""/>
    <s v=""/>
  </r>
  <r>
    <x v="0"/>
    <x v="1"/>
    <x v="1"/>
    <x v="2"/>
    <x v="2"/>
    <s v="FGU62013466090"/>
    <s v=""/>
    <s v=""/>
    <s v=""/>
    <s v=""/>
    <s v=""/>
    <s v=""/>
    <s v=""/>
  </r>
  <r>
    <x v="0"/>
    <x v="1"/>
    <x v="1"/>
    <x v="3"/>
    <x v="2"/>
    <s v="FGU62013468090"/>
    <s v=""/>
    <s v=""/>
    <s v=""/>
    <s v=""/>
    <s v=""/>
    <s v=""/>
    <s v=""/>
  </r>
  <r>
    <x v="0"/>
    <x v="1"/>
    <x v="1"/>
    <x v="4"/>
    <x v="2"/>
    <s v="FGU62013470090"/>
    <s v=""/>
    <s v=""/>
    <s v=""/>
    <s v=""/>
    <s v=""/>
    <s v=""/>
    <s v=""/>
  </r>
  <r>
    <x v="0"/>
    <x v="1"/>
    <x v="1"/>
    <x v="5"/>
    <x v="2"/>
    <s v="FGU62013472090"/>
    <n v="2056564.87"/>
    <n v="-36.610399999999998"/>
    <n v="-11.611000000000001"/>
    <n v="24.999400000000001"/>
    <n v="-18.9603"/>
    <n v="-2.8589000000000002"/>
    <n v="16.101400000000002"/>
  </r>
  <r>
    <x v="0"/>
    <x v="1"/>
    <x v="1"/>
    <x v="6"/>
    <x v="2"/>
    <s v="FGU62013474090"/>
    <n v="42300192.369999997"/>
    <n v="-37.1541764743492"/>
    <n v="-12.154570604004901"/>
    <n v="24.999605870344201"/>
    <n v="-2.4800524747224899"/>
    <n v="7.5475647089445301"/>
    <n v="10.027617183666999"/>
  </r>
  <r>
    <x v="0"/>
    <x v="1"/>
    <x v="1"/>
    <x v="7"/>
    <x v="2"/>
    <s v="FGU62013476090"/>
    <n v="722449.27"/>
    <n v="-66.363200000000006"/>
    <n v="-41.363199999999999"/>
    <n v="25"/>
    <n v="-19.7805"/>
    <n v="-10.922599999999999"/>
    <n v="8.8579000000000008"/>
  </r>
  <r>
    <x v="0"/>
    <x v="1"/>
    <x v="1"/>
    <x v="8"/>
    <x v="2"/>
    <s v="FGU62013478090"/>
    <s v=""/>
    <s v=""/>
    <s v=""/>
    <s v=""/>
    <s v=""/>
    <s v=""/>
    <s v=""/>
  </r>
  <r>
    <x v="0"/>
    <x v="1"/>
    <x v="1"/>
    <x v="0"/>
    <x v="3"/>
    <s v="FGU62013462095"/>
    <s v=""/>
    <s v=""/>
    <s v=""/>
    <s v=""/>
    <s v=""/>
    <s v=""/>
    <s v=""/>
  </r>
  <r>
    <x v="0"/>
    <x v="1"/>
    <x v="1"/>
    <x v="1"/>
    <x v="3"/>
    <s v="FGU62013464095"/>
    <s v=""/>
    <s v=""/>
    <s v=""/>
    <s v=""/>
    <s v=""/>
    <s v=""/>
    <s v=""/>
  </r>
  <r>
    <x v="0"/>
    <x v="1"/>
    <x v="1"/>
    <x v="2"/>
    <x v="3"/>
    <s v="FGU62013466095"/>
    <s v=""/>
    <s v=""/>
    <s v=""/>
    <s v=""/>
    <s v=""/>
    <s v=""/>
    <s v=""/>
  </r>
  <r>
    <x v="0"/>
    <x v="1"/>
    <x v="1"/>
    <x v="3"/>
    <x v="3"/>
    <s v="FGU62013468095"/>
    <s v=""/>
    <s v=""/>
    <s v=""/>
    <s v=""/>
    <s v=""/>
    <s v=""/>
    <s v=""/>
  </r>
  <r>
    <x v="0"/>
    <x v="1"/>
    <x v="1"/>
    <x v="4"/>
    <x v="3"/>
    <s v="FGU62013470095"/>
    <s v=""/>
    <s v=""/>
    <s v=""/>
    <s v=""/>
    <s v=""/>
    <s v=""/>
    <s v=""/>
  </r>
  <r>
    <x v="0"/>
    <x v="1"/>
    <x v="1"/>
    <x v="5"/>
    <x v="3"/>
    <s v="FGU62013472095"/>
    <n v="23794598.149999999"/>
    <n v="-42.071309384820303"/>
    <n v="-17.0716861598533"/>
    <n v="24.9996232249669"/>
    <n v="-20.284240154777599"/>
    <n v="-5.8577629449972797"/>
    <n v="14.426477209780399"/>
  </r>
  <r>
    <x v="0"/>
    <x v="1"/>
    <x v="1"/>
    <x v="6"/>
    <x v="3"/>
    <s v="FGU62013474095"/>
    <s v=""/>
    <s v=""/>
    <s v=""/>
    <s v=""/>
    <s v=""/>
    <s v=""/>
    <s v=""/>
  </r>
  <r>
    <x v="0"/>
    <x v="1"/>
    <x v="1"/>
    <x v="7"/>
    <x v="3"/>
    <s v="FGU62013476095"/>
    <s v=""/>
    <s v=""/>
    <s v=""/>
    <s v=""/>
    <s v=""/>
    <s v=""/>
    <s v=""/>
  </r>
  <r>
    <x v="0"/>
    <x v="1"/>
    <x v="1"/>
    <x v="8"/>
    <x v="3"/>
    <s v="FGU62013478095"/>
    <s v=""/>
    <s v=""/>
    <s v=""/>
    <s v=""/>
    <s v=""/>
    <s v=""/>
    <s v=""/>
  </r>
  <r>
    <x v="0"/>
    <x v="1"/>
    <x v="1"/>
    <x v="0"/>
    <x v="4"/>
    <s v="FGU62013462097"/>
    <s v=""/>
    <s v=""/>
    <s v=""/>
    <s v=""/>
    <s v=""/>
    <s v=""/>
    <s v=""/>
  </r>
  <r>
    <x v="0"/>
    <x v="1"/>
    <x v="1"/>
    <x v="1"/>
    <x v="4"/>
    <s v="FGU62013464097"/>
    <s v=""/>
    <s v=""/>
    <s v=""/>
    <s v=""/>
    <s v=""/>
    <s v=""/>
    <s v=""/>
  </r>
  <r>
    <x v="0"/>
    <x v="1"/>
    <x v="1"/>
    <x v="2"/>
    <x v="4"/>
    <s v="FGU62013466097"/>
    <s v=""/>
    <s v=""/>
    <s v=""/>
    <s v=""/>
    <s v=""/>
    <s v=""/>
    <s v=""/>
  </r>
  <r>
    <x v="0"/>
    <x v="1"/>
    <x v="1"/>
    <x v="3"/>
    <x v="4"/>
    <s v="FGU62013468097"/>
    <s v=""/>
    <s v=""/>
    <s v=""/>
    <s v=""/>
    <s v=""/>
    <s v=""/>
    <s v=""/>
  </r>
  <r>
    <x v="0"/>
    <x v="1"/>
    <x v="1"/>
    <x v="4"/>
    <x v="4"/>
    <s v="FGU62013470097"/>
    <s v=""/>
    <s v=""/>
    <s v=""/>
    <s v=""/>
    <s v=""/>
    <s v=""/>
    <s v=""/>
  </r>
  <r>
    <x v="0"/>
    <x v="1"/>
    <x v="1"/>
    <x v="5"/>
    <x v="4"/>
    <s v="FGU62013472097"/>
    <s v=""/>
    <s v=""/>
    <s v=""/>
    <s v=""/>
    <s v=""/>
    <s v=""/>
    <s v=""/>
  </r>
  <r>
    <x v="0"/>
    <x v="1"/>
    <x v="1"/>
    <x v="6"/>
    <x v="4"/>
    <s v="FGU62013474097"/>
    <s v=""/>
    <s v=""/>
    <s v=""/>
    <s v=""/>
    <s v=""/>
    <s v=""/>
    <s v=""/>
  </r>
  <r>
    <x v="0"/>
    <x v="1"/>
    <x v="1"/>
    <x v="7"/>
    <x v="4"/>
    <s v="FGU62013476097"/>
    <s v=""/>
    <s v=""/>
    <s v=""/>
    <s v=""/>
    <s v=""/>
    <s v=""/>
    <s v=""/>
  </r>
  <r>
    <x v="0"/>
    <x v="1"/>
    <x v="1"/>
    <x v="8"/>
    <x v="4"/>
    <s v="FGU62013478097"/>
    <s v=""/>
    <s v=""/>
    <s v=""/>
    <s v=""/>
    <s v=""/>
    <s v=""/>
    <s v=""/>
  </r>
  <r>
    <x v="0"/>
    <x v="1"/>
    <x v="1"/>
    <x v="0"/>
    <x v="5"/>
    <s v="FGU620134620100"/>
    <s v=""/>
    <s v=""/>
    <s v=""/>
    <s v=""/>
    <s v=""/>
    <s v=""/>
    <s v=""/>
  </r>
  <r>
    <x v="0"/>
    <x v="1"/>
    <x v="1"/>
    <x v="1"/>
    <x v="5"/>
    <s v="FGU620134640100"/>
    <s v=""/>
    <s v=""/>
    <s v=""/>
    <s v=""/>
    <s v=""/>
    <s v=""/>
    <s v=""/>
  </r>
  <r>
    <x v="0"/>
    <x v="1"/>
    <x v="1"/>
    <x v="2"/>
    <x v="5"/>
    <s v="FGU620134660100"/>
    <s v=""/>
    <s v=""/>
    <s v=""/>
    <s v=""/>
    <s v=""/>
    <s v=""/>
    <s v=""/>
  </r>
  <r>
    <x v="0"/>
    <x v="1"/>
    <x v="1"/>
    <x v="3"/>
    <x v="5"/>
    <s v="FGU620134680100"/>
    <s v=""/>
    <s v=""/>
    <s v=""/>
    <s v=""/>
    <s v=""/>
    <s v=""/>
    <s v=""/>
  </r>
  <r>
    <x v="0"/>
    <x v="1"/>
    <x v="1"/>
    <x v="4"/>
    <x v="5"/>
    <s v="FGU620134700100"/>
    <s v=""/>
    <s v=""/>
    <s v=""/>
    <s v=""/>
    <s v=""/>
    <s v=""/>
    <s v=""/>
  </r>
  <r>
    <x v="0"/>
    <x v="1"/>
    <x v="1"/>
    <x v="5"/>
    <x v="5"/>
    <s v="FGU620134720100"/>
    <s v=""/>
    <s v=""/>
    <s v=""/>
    <s v=""/>
    <s v=""/>
    <s v=""/>
    <s v=""/>
  </r>
  <r>
    <x v="0"/>
    <x v="1"/>
    <x v="1"/>
    <x v="6"/>
    <x v="5"/>
    <s v="FGU620134740100"/>
    <s v=""/>
    <s v=""/>
    <s v=""/>
    <s v=""/>
    <s v=""/>
    <s v=""/>
    <s v=""/>
  </r>
  <r>
    <x v="0"/>
    <x v="1"/>
    <x v="1"/>
    <x v="7"/>
    <x v="5"/>
    <s v="FGU620134760100"/>
    <s v=""/>
    <s v=""/>
    <s v=""/>
    <s v=""/>
    <s v=""/>
    <s v=""/>
    <s v=""/>
  </r>
  <r>
    <x v="0"/>
    <x v="1"/>
    <x v="1"/>
    <x v="8"/>
    <x v="5"/>
    <s v="FGU620134780100"/>
    <s v=""/>
    <s v=""/>
    <s v=""/>
    <s v=""/>
    <s v=""/>
    <s v=""/>
    <s v=""/>
  </r>
  <r>
    <x v="0"/>
    <x v="1"/>
    <x v="1"/>
    <x v="0"/>
    <x v="6"/>
    <s v="FGU620134620100+"/>
    <s v=""/>
    <s v=""/>
    <s v=""/>
    <s v=""/>
    <s v=""/>
    <s v=""/>
    <s v=""/>
  </r>
  <r>
    <x v="0"/>
    <x v="1"/>
    <x v="1"/>
    <x v="1"/>
    <x v="6"/>
    <s v="FGU620134640100+"/>
    <s v=""/>
    <s v=""/>
    <s v=""/>
    <s v=""/>
    <s v=""/>
    <s v=""/>
    <s v=""/>
  </r>
  <r>
    <x v="0"/>
    <x v="1"/>
    <x v="1"/>
    <x v="2"/>
    <x v="6"/>
    <s v="FGU620134660100+"/>
    <s v=""/>
    <s v=""/>
    <s v=""/>
    <s v=""/>
    <s v=""/>
    <s v=""/>
    <s v=""/>
  </r>
  <r>
    <x v="0"/>
    <x v="1"/>
    <x v="1"/>
    <x v="3"/>
    <x v="6"/>
    <s v="FGU620134680100+"/>
    <s v=""/>
    <s v=""/>
    <s v=""/>
    <s v=""/>
    <s v=""/>
    <s v=""/>
    <s v=""/>
  </r>
  <r>
    <x v="0"/>
    <x v="1"/>
    <x v="1"/>
    <x v="4"/>
    <x v="6"/>
    <s v="FGU620134700100+"/>
    <s v=""/>
    <s v=""/>
    <s v=""/>
    <s v=""/>
    <s v=""/>
    <s v=""/>
    <s v=""/>
  </r>
  <r>
    <x v="0"/>
    <x v="1"/>
    <x v="1"/>
    <x v="5"/>
    <x v="6"/>
    <s v="FGU620134720100+"/>
    <s v=""/>
    <s v=""/>
    <s v=""/>
    <s v=""/>
    <s v=""/>
    <s v=""/>
    <s v=""/>
  </r>
  <r>
    <x v="0"/>
    <x v="1"/>
    <x v="1"/>
    <x v="6"/>
    <x v="6"/>
    <s v="FGU620134740100+"/>
    <s v=""/>
    <s v=""/>
    <s v=""/>
    <s v=""/>
    <s v=""/>
    <s v=""/>
    <s v=""/>
  </r>
  <r>
    <x v="0"/>
    <x v="1"/>
    <x v="1"/>
    <x v="7"/>
    <x v="6"/>
    <s v="FGU620134760100+"/>
    <s v=""/>
    <s v=""/>
    <s v=""/>
    <s v=""/>
    <s v=""/>
    <s v=""/>
    <s v=""/>
  </r>
  <r>
    <x v="0"/>
    <x v="1"/>
    <x v="1"/>
    <x v="8"/>
    <x v="6"/>
    <s v="FGU620134780100+"/>
    <s v=""/>
    <s v=""/>
    <s v=""/>
    <s v=""/>
    <s v=""/>
    <s v=""/>
    <s v=""/>
  </r>
  <r>
    <x v="0"/>
    <x v="2"/>
    <x v="1"/>
    <x v="0"/>
    <x v="0"/>
    <s v="FGU62014462080"/>
    <s v=""/>
    <s v=""/>
    <s v=""/>
    <s v=""/>
    <s v=""/>
    <s v=""/>
    <s v=""/>
  </r>
  <r>
    <x v="0"/>
    <x v="2"/>
    <x v="1"/>
    <x v="1"/>
    <x v="0"/>
    <s v="FGU62014464080"/>
    <s v=""/>
    <s v=""/>
    <s v=""/>
    <s v=""/>
    <s v=""/>
    <s v=""/>
    <s v=""/>
  </r>
  <r>
    <x v="0"/>
    <x v="2"/>
    <x v="1"/>
    <x v="2"/>
    <x v="0"/>
    <s v="FGU62014466080"/>
    <s v=""/>
    <s v=""/>
    <s v=""/>
    <s v=""/>
    <s v=""/>
    <s v=""/>
    <s v=""/>
  </r>
  <r>
    <x v="0"/>
    <x v="2"/>
    <x v="1"/>
    <x v="3"/>
    <x v="0"/>
    <s v="FGU62014468080"/>
    <s v=""/>
    <s v=""/>
    <s v=""/>
    <s v=""/>
    <s v=""/>
    <s v=""/>
    <s v=""/>
  </r>
  <r>
    <x v="0"/>
    <x v="2"/>
    <x v="1"/>
    <x v="4"/>
    <x v="0"/>
    <s v="FGU62014470080"/>
    <s v=""/>
    <s v=""/>
    <s v=""/>
    <s v=""/>
    <s v=""/>
    <s v=""/>
    <s v=""/>
  </r>
  <r>
    <x v="0"/>
    <x v="2"/>
    <x v="1"/>
    <x v="5"/>
    <x v="0"/>
    <s v="FGU62014472080"/>
    <s v=""/>
    <s v=""/>
    <s v=""/>
    <s v=""/>
    <s v=""/>
    <s v=""/>
    <s v=""/>
  </r>
  <r>
    <x v="0"/>
    <x v="2"/>
    <x v="1"/>
    <x v="6"/>
    <x v="0"/>
    <s v="FGU62014474080"/>
    <s v=""/>
    <s v=""/>
    <s v=""/>
    <s v=""/>
    <s v=""/>
    <s v=""/>
    <s v=""/>
  </r>
  <r>
    <x v="0"/>
    <x v="2"/>
    <x v="1"/>
    <x v="7"/>
    <x v="0"/>
    <s v="FGU62014476080"/>
    <s v=""/>
    <s v=""/>
    <s v=""/>
    <s v=""/>
    <s v=""/>
    <s v=""/>
    <s v=""/>
  </r>
  <r>
    <x v="0"/>
    <x v="2"/>
    <x v="1"/>
    <x v="8"/>
    <x v="0"/>
    <s v="FGU62014478080"/>
    <s v=""/>
    <s v=""/>
    <s v=""/>
    <s v=""/>
    <s v=""/>
    <s v=""/>
    <s v=""/>
  </r>
  <r>
    <x v="0"/>
    <x v="2"/>
    <x v="1"/>
    <x v="0"/>
    <x v="1"/>
    <s v="FGU62014462085"/>
    <s v=""/>
    <s v=""/>
    <s v=""/>
    <s v=""/>
    <s v=""/>
    <s v=""/>
    <s v=""/>
  </r>
  <r>
    <x v="0"/>
    <x v="2"/>
    <x v="1"/>
    <x v="1"/>
    <x v="1"/>
    <s v="FGU62014464085"/>
    <s v=""/>
    <s v=""/>
    <s v=""/>
    <s v=""/>
    <s v=""/>
    <s v=""/>
    <s v=""/>
  </r>
  <r>
    <x v="0"/>
    <x v="2"/>
    <x v="1"/>
    <x v="2"/>
    <x v="1"/>
    <s v="FGU62014466085"/>
    <s v=""/>
    <s v=""/>
    <s v=""/>
    <s v=""/>
    <s v=""/>
    <s v=""/>
    <s v=""/>
  </r>
  <r>
    <x v="0"/>
    <x v="2"/>
    <x v="1"/>
    <x v="3"/>
    <x v="1"/>
    <s v="FGU62014468085"/>
    <s v=""/>
    <s v=""/>
    <s v=""/>
    <s v=""/>
    <s v=""/>
    <s v=""/>
    <s v=""/>
  </r>
  <r>
    <x v="0"/>
    <x v="2"/>
    <x v="1"/>
    <x v="4"/>
    <x v="1"/>
    <s v="FGU62014470085"/>
    <s v=""/>
    <s v=""/>
    <s v=""/>
    <s v=""/>
    <s v=""/>
    <s v=""/>
    <s v=""/>
  </r>
  <r>
    <x v="0"/>
    <x v="2"/>
    <x v="1"/>
    <x v="5"/>
    <x v="1"/>
    <s v="FGU62014472085"/>
    <s v=""/>
    <s v=""/>
    <s v=""/>
    <s v=""/>
    <s v=""/>
    <s v=""/>
    <s v=""/>
  </r>
  <r>
    <x v="0"/>
    <x v="2"/>
    <x v="1"/>
    <x v="6"/>
    <x v="1"/>
    <s v="FGU62014474085"/>
    <s v=""/>
    <s v=""/>
    <s v=""/>
    <s v=""/>
    <s v=""/>
    <s v=""/>
    <s v=""/>
  </r>
  <r>
    <x v="0"/>
    <x v="2"/>
    <x v="1"/>
    <x v="7"/>
    <x v="1"/>
    <s v="FGU62014476085"/>
    <s v=""/>
    <s v=""/>
    <s v=""/>
    <s v=""/>
    <s v=""/>
    <s v=""/>
    <s v=""/>
  </r>
  <r>
    <x v="0"/>
    <x v="2"/>
    <x v="1"/>
    <x v="8"/>
    <x v="1"/>
    <s v="FGU62014478085"/>
    <s v=""/>
    <s v=""/>
    <s v=""/>
    <s v=""/>
    <s v=""/>
    <s v=""/>
    <s v=""/>
  </r>
  <r>
    <x v="0"/>
    <x v="2"/>
    <x v="1"/>
    <x v="0"/>
    <x v="2"/>
    <s v="FGU62014462090"/>
    <s v=""/>
    <s v=""/>
    <s v=""/>
    <s v=""/>
    <s v=""/>
    <s v=""/>
    <s v=""/>
  </r>
  <r>
    <x v="0"/>
    <x v="2"/>
    <x v="1"/>
    <x v="1"/>
    <x v="2"/>
    <s v="FGU62014464090"/>
    <s v=""/>
    <s v=""/>
    <s v=""/>
    <s v=""/>
    <s v=""/>
    <s v=""/>
    <s v=""/>
  </r>
  <r>
    <x v="0"/>
    <x v="2"/>
    <x v="1"/>
    <x v="2"/>
    <x v="2"/>
    <s v="FGU62014466090"/>
    <s v=""/>
    <s v=""/>
    <s v=""/>
    <s v=""/>
    <s v=""/>
    <s v=""/>
    <s v=""/>
  </r>
  <r>
    <x v="0"/>
    <x v="2"/>
    <x v="1"/>
    <x v="3"/>
    <x v="2"/>
    <s v="FGU62014468090"/>
    <s v=""/>
    <s v=""/>
    <s v=""/>
    <s v=""/>
    <s v=""/>
    <s v=""/>
    <s v=""/>
  </r>
  <r>
    <x v="0"/>
    <x v="2"/>
    <x v="1"/>
    <x v="4"/>
    <x v="2"/>
    <s v="FGU62014470090"/>
    <s v=""/>
    <s v=""/>
    <s v=""/>
    <s v=""/>
    <s v=""/>
    <s v=""/>
    <s v=""/>
  </r>
  <r>
    <x v="0"/>
    <x v="2"/>
    <x v="1"/>
    <x v="5"/>
    <x v="2"/>
    <s v="FGU62014472090"/>
    <s v=""/>
    <s v=""/>
    <s v=""/>
    <s v=""/>
    <s v=""/>
    <s v=""/>
    <s v=""/>
  </r>
  <r>
    <x v="0"/>
    <x v="2"/>
    <x v="1"/>
    <x v="6"/>
    <x v="2"/>
    <s v="FGU62014474090"/>
    <s v=""/>
    <s v=""/>
    <s v=""/>
    <s v=""/>
    <s v=""/>
    <s v=""/>
    <s v=""/>
  </r>
  <r>
    <x v="0"/>
    <x v="2"/>
    <x v="1"/>
    <x v="7"/>
    <x v="2"/>
    <s v="FGU62014476090"/>
    <s v=""/>
    <s v=""/>
    <s v=""/>
    <s v=""/>
    <s v=""/>
    <s v=""/>
    <s v=""/>
  </r>
  <r>
    <x v="0"/>
    <x v="2"/>
    <x v="1"/>
    <x v="8"/>
    <x v="2"/>
    <s v="FGU62014478090"/>
    <s v=""/>
    <s v=""/>
    <s v=""/>
    <s v=""/>
    <s v=""/>
    <s v=""/>
    <s v=""/>
  </r>
  <r>
    <x v="0"/>
    <x v="2"/>
    <x v="1"/>
    <x v="0"/>
    <x v="3"/>
    <s v="FGU62014462095"/>
    <s v=""/>
    <s v=""/>
    <s v=""/>
    <s v=""/>
    <s v=""/>
    <s v=""/>
    <s v=""/>
  </r>
  <r>
    <x v="0"/>
    <x v="2"/>
    <x v="1"/>
    <x v="1"/>
    <x v="3"/>
    <s v="FGU62014464095"/>
    <s v=""/>
    <s v=""/>
    <s v=""/>
    <s v=""/>
    <s v=""/>
    <s v=""/>
    <s v=""/>
  </r>
  <r>
    <x v="0"/>
    <x v="2"/>
    <x v="1"/>
    <x v="2"/>
    <x v="3"/>
    <s v="FGU62014466095"/>
    <s v=""/>
    <s v=""/>
    <s v=""/>
    <s v=""/>
    <s v=""/>
    <s v=""/>
    <s v=""/>
  </r>
  <r>
    <x v="0"/>
    <x v="2"/>
    <x v="1"/>
    <x v="3"/>
    <x v="3"/>
    <s v="FGU62014468095"/>
    <s v=""/>
    <s v=""/>
    <s v=""/>
    <s v=""/>
    <s v=""/>
    <s v=""/>
    <s v=""/>
  </r>
  <r>
    <x v="0"/>
    <x v="2"/>
    <x v="1"/>
    <x v="4"/>
    <x v="3"/>
    <s v="FGU62014470095"/>
    <s v=""/>
    <s v=""/>
    <s v=""/>
    <s v=""/>
    <s v=""/>
    <s v=""/>
    <s v=""/>
  </r>
  <r>
    <x v="0"/>
    <x v="2"/>
    <x v="1"/>
    <x v="5"/>
    <x v="3"/>
    <s v="FGU62014472095"/>
    <s v=""/>
    <s v=""/>
    <s v=""/>
    <s v=""/>
    <s v=""/>
    <s v=""/>
    <s v=""/>
  </r>
  <r>
    <x v="0"/>
    <x v="2"/>
    <x v="1"/>
    <x v="6"/>
    <x v="3"/>
    <s v="FGU62014474095"/>
    <s v=""/>
    <s v=""/>
    <s v=""/>
    <s v=""/>
    <s v=""/>
    <s v=""/>
    <s v=""/>
  </r>
  <r>
    <x v="0"/>
    <x v="2"/>
    <x v="1"/>
    <x v="7"/>
    <x v="3"/>
    <s v="FGU62014476095"/>
    <s v=""/>
    <s v=""/>
    <s v=""/>
    <s v=""/>
    <s v=""/>
    <s v=""/>
    <s v=""/>
  </r>
  <r>
    <x v="0"/>
    <x v="2"/>
    <x v="1"/>
    <x v="8"/>
    <x v="3"/>
    <s v="FGU62014478095"/>
    <s v=""/>
    <s v=""/>
    <s v=""/>
    <s v=""/>
    <s v=""/>
    <s v=""/>
    <s v=""/>
  </r>
  <r>
    <x v="0"/>
    <x v="2"/>
    <x v="1"/>
    <x v="0"/>
    <x v="4"/>
    <s v="FGU62014462097"/>
    <s v=""/>
    <s v=""/>
    <s v=""/>
    <s v=""/>
    <s v=""/>
    <s v=""/>
    <s v=""/>
  </r>
  <r>
    <x v="0"/>
    <x v="2"/>
    <x v="1"/>
    <x v="1"/>
    <x v="4"/>
    <s v="FGU62014464097"/>
    <s v=""/>
    <s v=""/>
    <s v=""/>
    <s v=""/>
    <s v=""/>
    <s v=""/>
    <s v=""/>
  </r>
  <r>
    <x v="0"/>
    <x v="2"/>
    <x v="1"/>
    <x v="2"/>
    <x v="4"/>
    <s v="FGU62014466097"/>
    <s v=""/>
    <s v=""/>
    <s v=""/>
    <s v=""/>
    <s v=""/>
    <s v=""/>
    <s v=""/>
  </r>
  <r>
    <x v="0"/>
    <x v="2"/>
    <x v="1"/>
    <x v="3"/>
    <x v="4"/>
    <s v="FGU62014468097"/>
    <s v=""/>
    <s v=""/>
    <s v=""/>
    <s v=""/>
    <s v=""/>
    <s v=""/>
    <s v=""/>
  </r>
  <r>
    <x v="0"/>
    <x v="2"/>
    <x v="1"/>
    <x v="4"/>
    <x v="4"/>
    <s v="FGU62014470097"/>
    <s v=""/>
    <s v=""/>
    <s v=""/>
    <s v=""/>
    <s v=""/>
    <s v=""/>
    <s v=""/>
  </r>
  <r>
    <x v="0"/>
    <x v="2"/>
    <x v="1"/>
    <x v="5"/>
    <x v="4"/>
    <s v="FGU62014472097"/>
    <n v="1787058.48"/>
    <n v="-36.597799999999999"/>
    <n v="-11.597799999999999"/>
    <n v="25"/>
    <n v="-13.8414"/>
    <n v="1.3974"/>
    <n v="15.238799999999999"/>
  </r>
  <r>
    <x v="0"/>
    <x v="2"/>
    <x v="1"/>
    <x v="6"/>
    <x v="4"/>
    <s v="FGU62014474097"/>
    <s v=""/>
    <s v=""/>
    <s v=""/>
    <s v=""/>
    <s v=""/>
    <s v=""/>
    <s v=""/>
  </r>
  <r>
    <x v="0"/>
    <x v="2"/>
    <x v="1"/>
    <x v="7"/>
    <x v="4"/>
    <s v="FGU62014476097"/>
    <s v=""/>
    <s v=""/>
    <s v=""/>
    <s v=""/>
    <s v=""/>
    <s v=""/>
    <s v=""/>
  </r>
  <r>
    <x v="0"/>
    <x v="2"/>
    <x v="1"/>
    <x v="8"/>
    <x v="4"/>
    <s v="FGU62014478097"/>
    <s v=""/>
    <s v=""/>
    <s v=""/>
    <s v=""/>
    <s v=""/>
    <s v=""/>
    <s v=""/>
  </r>
  <r>
    <x v="0"/>
    <x v="2"/>
    <x v="1"/>
    <x v="0"/>
    <x v="5"/>
    <s v="FGU620144620100"/>
    <s v=""/>
    <s v=""/>
    <s v=""/>
    <s v=""/>
    <s v=""/>
    <s v=""/>
    <s v=""/>
  </r>
  <r>
    <x v="0"/>
    <x v="2"/>
    <x v="1"/>
    <x v="1"/>
    <x v="5"/>
    <s v="FGU620144640100"/>
    <s v=""/>
    <s v=""/>
    <s v=""/>
    <s v=""/>
    <s v=""/>
    <s v=""/>
    <s v=""/>
  </r>
  <r>
    <x v="0"/>
    <x v="2"/>
    <x v="1"/>
    <x v="2"/>
    <x v="5"/>
    <s v="FGU620144660100"/>
    <s v=""/>
    <s v=""/>
    <s v=""/>
    <s v=""/>
    <s v=""/>
    <s v=""/>
    <s v=""/>
  </r>
  <r>
    <x v="0"/>
    <x v="2"/>
    <x v="1"/>
    <x v="3"/>
    <x v="5"/>
    <s v="FGU620144680100"/>
    <s v=""/>
    <s v=""/>
    <s v=""/>
    <s v=""/>
    <s v=""/>
    <s v=""/>
    <s v=""/>
  </r>
  <r>
    <x v="0"/>
    <x v="2"/>
    <x v="1"/>
    <x v="4"/>
    <x v="5"/>
    <s v="FGU620144700100"/>
    <s v=""/>
    <s v=""/>
    <s v=""/>
    <s v=""/>
    <s v=""/>
    <s v=""/>
    <s v=""/>
  </r>
  <r>
    <x v="0"/>
    <x v="2"/>
    <x v="1"/>
    <x v="5"/>
    <x v="5"/>
    <s v="FGU620144720100"/>
    <s v=""/>
    <s v=""/>
    <s v=""/>
    <s v=""/>
    <s v=""/>
    <s v=""/>
    <s v=""/>
  </r>
  <r>
    <x v="0"/>
    <x v="2"/>
    <x v="1"/>
    <x v="6"/>
    <x v="5"/>
    <s v="FGU620144740100"/>
    <s v=""/>
    <s v=""/>
    <s v=""/>
    <s v=""/>
    <s v=""/>
    <s v=""/>
    <s v=""/>
  </r>
  <r>
    <x v="0"/>
    <x v="2"/>
    <x v="1"/>
    <x v="7"/>
    <x v="5"/>
    <s v="FGU620144760100"/>
    <s v=""/>
    <s v=""/>
    <s v=""/>
    <s v=""/>
    <s v=""/>
    <s v=""/>
    <s v=""/>
  </r>
  <r>
    <x v="0"/>
    <x v="2"/>
    <x v="1"/>
    <x v="8"/>
    <x v="5"/>
    <s v="FGU620144780100"/>
    <s v=""/>
    <s v=""/>
    <s v=""/>
    <s v=""/>
    <s v=""/>
    <s v=""/>
    <s v=""/>
  </r>
  <r>
    <x v="0"/>
    <x v="2"/>
    <x v="1"/>
    <x v="0"/>
    <x v="6"/>
    <s v="FGU620144620100+"/>
    <s v=""/>
    <s v=""/>
    <s v=""/>
    <s v=""/>
    <s v=""/>
    <s v=""/>
    <s v=""/>
  </r>
  <r>
    <x v="0"/>
    <x v="2"/>
    <x v="1"/>
    <x v="1"/>
    <x v="6"/>
    <s v="FGU620144640100+"/>
    <s v=""/>
    <s v=""/>
    <s v=""/>
    <s v=""/>
    <s v=""/>
    <s v=""/>
    <s v=""/>
  </r>
  <r>
    <x v="0"/>
    <x v="2"/>
    <x v="1"/>
    <x v="2"/>
    <x v="6"/>
    <s v="FGU620144660100+"/>
    <s v=""/>
    <s v=""/>
    <s v=""/>
    <s v=""/>
    <s v=""/>
    <s v=""/>
    <s v=""/>
  </r>
  <r>
    <x v="0"/>
    <x v="2"/>
    <x v="1"/>
    <x v="3"/>
    <x v="6"/>
    <s v="FGU620144680100+"/>
    <s v=""/>
    <s v=""/>
    <s v=""/>
    <s v=""/>
    <s v=""/>
    <s v=""/>
    <s v=""/>
  </r>
  <r>
    <x v="0"/>
    <x v="2"/>
    <x v="1"/>
    <x v="4"/>
    <x v="6"/>
    <s v="FGU620144700100+"/>
    <s v=""/>
    <s v=""/>
    <s v=""/>
    <s v=""/>
    <s v=""/>
    <s v=""/>
    <s v=""/>
  </r>
  <r>
    <x v="0"/>
    <x v="2"/>
    <x v="1"/>
    <x v="5"/>
    <x v="6"/>
    <s v="FGU620144720100+"/>
    <s v=""/>
    <s v=""/>
    <s v=""/>
    <s v=""/>
    <s v=""/>
    <s v=""/>
    <s v=""/>
  </r>
  <r>
    <x v="0"/>
    <x v="2"/>
    <x v="1"/>
    <x v="6"/>
    <x v="6"/>
    <s v="FGU620144740100+"/>
    <s v=""/>
    <s v=""/>
    <s v=""/>
    <s v=""/>
    <s v=""/>
    <s v=""/>
    <s v=""/>
  </r>
  <r>
    <x v="0"/>
    <x v="2"/>
    <x v="1"/>
    <x v="7"/>
    <x v="6"/>
    <s v="FGU620144760100+"/>
    <s v=""/>
    <s v=""/>
    <s v=""/>
    <s v=""/>
    <s v=""/>
    <s v=""/>
    <s v=""/>
  </r>
  <r>
    <x v="0"/>
    <x v="2"/>
    <x v="1"/>
    <x v="8"/>
    <x v="6"/>
    <s v="FGU620144780100+"/>
    <s v=""/>
    <s v=""/>
    <s v=""/>
    <s v=""/>
    <s v=""/>
    <s v=""/>
    <s v=""/>
  </r>
  <r>
    <x v="0"/>
    <x v="0"/>
    <x v="2"/>
    <x v="0"/>
    <x v="0"/>
    <s v="FGU620124.562080"/>
    <s v=""/>
    <s v=""/>
    <s v=""/>
    <s v=""/>
    <s v=""/>
    <s v=""/>
    <s v=""/>
  </r>
  <r>
    <x v="0"/>
    <x v="0"/>
    <x v="2"/>
    <x v="1"/>
    <x v="0"/>
    <s v="FGU620124.564080"/>
    <s v=""/>
    <s v=""/>
    <s v=""/>
    <s v=""/>
    <s v=""/>
    <s v=""/>
    <s v=""/>
  </r>
  <r>
    <x v="0"/>
    <x v="0"/>
    <x v="2"/>
    <x v="2"/>
    <x v="0"/>
    <s v="FGU620124.566080"/>
    <s v=""/>
    <s v=""/>
    <s v=""/>
    <s v=""/>
    <s v=""/>
    <s v=""/>
    <s v=""/>
  </r>
  <r>
    <x v="0"/>
    <x v="0"/>
    <x v="2"/>
    <x v="3"/>
    <x v="0"/>
    <s v="FGU620124.568080"/>
    <s v=""/>
    <s v=""/>
    <s v=""/>
    <s v=""/>
    <s v=""/>
    <s v=""/>
    <s v=""/>
  </r>
  <r>
    <x v="0"/>
    <x v="0"/>
    <x v="2"/>
    <x v="4"/>
    <x v="0"/>
    <s v="FGU620124.570080"/>
    <n v="1175507.94"/>
    <n v="-15.5036"/>
    <n v="9.4893000000000001"/>
    <n v="24.992899999999999"/>
    <n v="37.9146"/>
    <n v="47.098199999999999"/>
    <n v="9.1836000000000002"/>
  </r>
  <r>
    <x v="0"/>
    <x v="0"/>
    <x v="2"/>
    <x v="5"/>
    <x v="0"/>
    <s v="FGU620124.572080"/>
    <n v="26009042.890000001"/>
    <n v="5.2352608182582703"/>
    <n v="30.230694552998099"/>
    <n v="24.995433734739802"/>
    <n v="54.520513333110202"/>
    <n v="60.812404588684402"/>
    <n v="6.2918912555741802"/>
  </r>
  <r>
    <x v="0"/>
    <x v="0"/>
    <x v="2"/>
    <x v="6"/>
    <x v="0"/>
    <s v="FGU620124.574080"/>
    <n v="258000524.68000001"/>
    <n v="5.4908475493489002"/>
    <n v="30.486412786155501"/>
    <n v="24.995565236806598"/>
    <n v="57.590421274844999"/>
    <n v="63.603332930069897"/>
    <n v="6.0129116552249"/>
  </r>
  <r>
    <x v="0"/>
    <x v="0"/>
    <x v="2"/>
    <x v="7"/>
    <x v="0"/>
    <s v="FGU620124.576080"/>
    <n v="31465167.23"/>
    <n v="1.1159958772488601"/>
    <n v="26.109122485700599"/>
    <n v="24.9931266084517"/>
    <n v="62.307705205956601"/>
    <n v="66.021590180723095"/>
    <n v="3.7138849747664202"/>
  </r>
  <r>
    <x v="0"/>
    <x v="0"/>
    <x v="2"/>
    <x v="8"/>
    <x v="0"/>
    <s v="FGU620124.578080"/>
    <n v="1372585.95"/>
    <n v="30.285900000000002"/>
    <n v="55.2821"/>
    <n v="24.996200000000002"/>
    <n v="105.40730000000001"/>
    <n v="105.40730000000001"/>
    <n v="0"/>
  </r>
  <r>
    <x v="0"/>
    <x v="0"/>
    <x v="2"/>
    <x v="0"/>
    <x v="1"/>
    <s v="FGU620124.562085"/>
    <s v=""/>
    <s v=""/>
    <s v=""/>
    <s v=""/>
    <s v=""/>
    <s v=""/>
    <s v=""/>
  </r>
  <r>
    <x v="0"/>
    <x v="0"/>
    <x v="2"/>
    <x v="1"/>
    <x v="1"/>
    <s v="FGU620124.564085"/>
    <s v=""/>
    <s v=""/>
    <s v=""/>
    <s v=""/>
    <s v=""/>
    <s v=""/>
    <s v=""/>
  </r>
  <r>
    <x v="0"/>
    <x v="0"/>
    <x v="2"/>
    <x v="2"/>
    <x v="1"/>
    <s v="FGU620124.566085"/>
    <s v=""/>
    <s v=""/>
    <s v=""/>
    <s v=""/>
    <s v=""/>
    <s v=""/>
    <s v=""/>
  </r>
  <r>
    <x v="0"/>
    <x v="0"/>
    <x v="2"/>
    <x v="3"/>
    <x v="1"/>
    <s v="FGU620124.568085"/>
    <s v=""/>
    <s v=""/>
    <s v=""/>
    <s v=""/>
    <s v=""/>
    <s v=""/>
    <s v=""/>
  </r>
  <r>
    <x v="0"/>
    <x v="0"/>
    <x v="2"/>
    <x v="4"/>
    <x v="1"/>
    <s v="FGU620124.570085"/>
    <s v=""/>
    <s v=""/>
    <s v=""/>
    <s v=""/>
    <s v=""/>
    <s v=""/>
    <s v=""/>
  </r>
  <r>
    <x v="0"/>
    <x v="0"/>
    <x v="2"/>
    <x v="5"/>
    <x v="1"/>
    <s v="FGU620124.572085"/>
    <n v="559624.42000000004"/>
    <n v="8.6609999999999996"/>
    <n v="33.656199999999998"/>
    <n v="24.995200000000001"/>
    <n v="51.008699999999997"/>
    <n v="58.883699999999997"/>
    <n v="7.875"/>
  </r>
  <r>
    <x v="0"/>
    <x v="0"/>
    <x v="2"/>
    <x v="6"/>
    <x v="1"/>
    <s v="FGU620124.574085"/>
    <n v="17380470.449999999"/>
    <n v="-2.39583196282894"/>
    <n v="22.597732791371801"/>
    <n v="24.993564754200701"/>
    <n v="39.635249304491303"/>
    <n v="48.083967974701203"/>
    <n v="8.4487186702098693"/>
  </r>
  <r>
    <x v="0"/>
    <x v="0"/>
    <x v="2"/>
    <x v="7"/>
    <x v="1"/>
    <s v="FGU620124.576085"/>
    <s v=""/>
    <s v=""/>
    <s v=""/>
    <s v=""/>
    <s v=""/>
    <s v=""/>
    <s v=""/>
  </r>
  <r>
    <x v="0"/>
    <x v="0"/>
    <x v="2"/>
    <x v="8"/>
    <x v="1"/>
    <s v="FGU620124.578085"/>
    <n v="1069943.46"/>
    <n v="-17.021999999999998"/>
    <n v="7.9679000000000002"/>
    <n v="24.989899999999999"/>
    <n v="15.184900000000001"/>
    <n v="29.894400000000001"/>
    <n v="14.7095"/>
  </r>
  <r>
    <x v="0"/>
    <x v="0"/>
    <x v="2"/>
    <x v="0"/>
    <x v="2"/>
    <s v="FGU620124.562090"/>
    <s v=""/>
    <s v=""/>
    <s v=""/>
    <s v=""/>
    <s v=""/>
    <s v=""/>
    <s v=""/>
  </r>
  <r>
    <x v="0"/>
    <x v="0"/>
    <x v="2"/>
    <x v="1"/>
    <x v="2"/>
    <s v="FGU620124.564090"/>
    <s v=""/>
    <s v=""/>
    <s v=""/>
    <s v=""/>
    <s v=""/>
    <s v=""/>
    <s v=""/>
  </r>
  <r>
    <x v="0"/>
    <x v="0"/>
    <x v="2"/>
    <x v="2"/>
    <x v="2"/>
    <s v="FGU620124.566090"/>
    <s v=""/>
    <s v=""/>
    <s v=""/>
    <s v=""/>
    <s v=""/>
    <s v=""/>
    <s v=""/>
  </r>
  <r>
    <x v="0"/>
    <x v="0"/>
    <x v="2"/>
    <x v="3"/>
    <x v="2"/>
    <s v="FGU620124.568090"/>
    <s v=""/>
    <s v=""/>
    <s v=""/>
    <s v=""/>
    <s v=""/>
    <s v=""/>
    <s v=""/>
  </r>
  <r>
    <x v="0"/>
    <x v="0"/>
    <x v="2"/>
    <x v="4"/>
    <x v="2"/>
    <s v="FGU620124.570090"/>
    <s v=""/>
    <s v=""/>
    <s v=""/>
    <s v=""/>
    <s v=""/>
    <s v=""/>
    <s v=""/>
  </r>
  <r>
    <x v="0"/>
    <x v="0"/>
    <x v="2"/>
    <x v="5"/>
    <x v="2"/>
    <s v="FGU620124.572090"/>
    <s v=""/>
    <s v=""/>
    <s v=""/>
    <s v=""/>
    <s v=""/>
    <s v=""/>
    <s v=""/>
  </r>
  <r>
    <x v="0"/>
    <x v="0"/>
    <x v="2"/>
    <x v="6"/>
    <x v="2"/>
    <s v="FGU620124.574090"/>
    <n v="3248075.34"/>
    <n v="-3.7804000000000002"/>
    <n v="21.2149"/>
    <n v="24.9953"/>
    <n v="36.723500000000001"/>
    <n v="44.916600000000003"/>
    <n v="8.1930999999999994"/>
  </r>
  <r>
    <x v="0"/>
    <x v="0"/>
    <x v="2"/>
    <x v="7"/>
    <x v="2"/>
    <s v="FGU620124.576090"/>
    <n v="1232498.57"/>
    <n v="11.8748"/>
    <n v="36.868099999999998"/>
    <n v="24.993300000000001"/>
    <n v="51.183999999999997"/>
    <n v="59.598100000000002"/>
    <n v="8.4140999999999995"/>
  </r>
  <r>
    <x v="0"/>
    <x v="0"/>
    <x v="2"/>
    <x v="8"/>
    <x v="2"/>
    <s v="FGU620124.578090"/>
    <s v=""/>
    <s v=""/>
    <s v=""/>
    <s v=""/>
    <s v=""/>
    <s v=""/>
    <s v=""/>
  </r>
  <r>
    <x v="0"/>
    <x v="0"/>
    <x v="2"/>
    <x v="0"/>
    <x v="3"/>
    <s v="FGU620124.562095"/>
    <s v=""/>
    <s v=""/>
    <s v=""/>
    <s v=""/>
    <s v=""/>
    <s v=""/>
    <s v=""/>
  </r>
  <r>
    <x v="0"/>
    <x v="0"/>
    <x v="2"/>
    <x v="1"/>
    <x v="3"/>
    <s v="FGU620124.564095"/>
    <s v=""/>
    <s v=""/>
    <s v=""/>
    <s v=""/>
    <s v=""/>
    <s v=""/>
    <s v=""/>
  </r>
  <r>
    <x v="0"/>
    <x v="0"/>
    <x v="2"/>
    <x v="2"/>
    <x v="3"/>
    <s v="FGU620124.566095"/>
    <s v=""/>
    <s v=""/>
    <s v=""/>
    <s v=""/>
    <s v=""/>
    <s v=""/>
    <s v=""/>
  </r>
  <r>
    <x v="0"/>
    <x v="0"/>
    <x v="2"/>
    <x v="3"/>
    <x v="3"/>
    <s v="FGU620124.568095"/>
    <n v="483242.4"/>
    <n v="-15.27"/>
    <n v="9.7200000000000006"/>
    <n v="24.99"/>
    <n v="-2.9386000000000001"/>
    <n v="12.442299999999999"/>
    <n v="15.3809"/>
  </r>
  <r>
    <x v="0"/>
    <x v="0"/>
    <x v="2"/>
    <x v="4"/>
    <x v="3"/>
    <s v="FGU620124.570095"/>
    <s v=""/>
    <s v=""/>
    <s v=""/>
    <s v=""/>
    <s v=""/>
    <s v=""/>
    <s v=""/>
  </r>
  <r>
    <x v="0"/>
    <x v="0"/>
    <x v="2"/>
    <x v="5"/>
    <x v="3"/>
    <s v="FGU620124.572095"/>
    <s v=""/>
    <s v=""/>
    <s v=""/>
    <s v=""/>
    <s v=""/>
    <s v=""/>
    <s v=""/>
  </r>
  <r>
    <x v="0"/>
    <x v="0"/>
    <x v="2"/>
    <x v="6"/>
    <x v="3"/>
    <s v="FGU620124.574095"/>
    <s v=""/>
    <s v=""/>
    <s v=""/>
    <s v=""/>
    <s v=""/>
    <s v=""/>
    <s v=""/>
  </r>
  <r>
    <x v="0"/>
    <x v="0"/>
    <x v="2"/>
    <x v="7"/>
    <x v="3"/>
    <s v="FGU620124.576095"/>
    <s v=""/>
    <s v=""/>
    <s v=""/>
    <s v=""/>
    <s v=""/>
    <s v=""/>
    <s v=""/>
  </r>
  <r>
    <x v="0"/>
    <x v="0"/>
    <x v="2"/>
    <x v="8"/>
    <x v="3"/>
    <s v="FGU620124.578095"/>
    <s v=""/>
    <s v=""/>
    <s v=""/>
    <s v=""/>
    <s v=""/>
    <s v=""/>
    <s v=""/>
  </r>
  <r>
    <x v="0"/>
    <x v="0"/>
    <x v="2"/>
    <x v="0"/>
    <x v="4"/>
    <s v="FGU620124.562097"/>
    <s v=""/>
    <s v=""/>
    <s v=""/>
    <s v=""/>
    <s v=""/>
    <s v=""/>
    <s v=""/>
  </r>
  <r>
    <x v="0"/>
    <x v="0"/>
    <x v="2"/>
    <x v="1"/>
    <x v="4"/>
    <s v="FGU620124.564097"/>
    <s v=""/>
    <s v=""/>
    <s v=""/>
    <s v=""/>
    <s v=""/>
    <s v=""/>
    <s v=""/>
  </r>
  <r>
    <x v="0"/>
    <x v="0"/>
    <x v="2"/>
    <x v="2"/>
    <x v="4"/>
    <s v="FGU620124.566097"/>
    <s v=""/>
    <s v=""/>
    <s v=""/>
    <s v=""/>
    <s v=""/>
    <s v=""/>
    <s v=""/>
  </r>
  <r>
    <x v="0"/>
    <x v="0"/>
    <x v="2"/>
    <x v="3"/>
    <x v="4"/>
    <s v="FGU620124.568097"/>
    <s v=""/>
    <s v=""/>
    <s v=""/>
    <s v=""/>
    <s v=""/>
    <s v=""/>
    <s v=""/>
  </r>
  <r>
    <x v="0"/>
    <x v="0"/>
    <x v="2"/>
    <x v="4"/>
    <x v="4"/>
    <s v="FGU620124.570097"/>
    <s v=""/>
    <s v=""/>
    <s v=""/>
    <s v=""/>
    <s v=""/>
    <s v=""/>
    <s v=""/>
  </r>
  <r>
    <x v="0"/>
    <x v="0"/>
    <x v="2"/>
    <x v="5"/>
    <x v="4"/>
    <s v="FGU620124.572097"/>
    <s v=""/>
    <s v=""/>
    <s v=""/>
    <s v=""/>
    <s v=""/>
    <s v=""/>
    <s v=""/>
  </r>
  <r>
    <x v="0"/>
    <x v="0"/>
    <x v="2"/>
    <x v="6"/>
    <x v="4"/>
    <s v="FGU620124.574097"/>
    <s v=""/>
    <s v=""/>
    <s v=""/>
    <s v=""/>
    <s v=""/>
    <s v=""/>
    <s v=""/>
  </r>
  <r>
    <x v="0"/>
    <x v="0"/>
    <x v="2"/>
    <x v="7"/>
    <x v="4"/>
    <s v="FGU620124.576097"/>
    <s v=""/>
    <s v=""/>
    <s v=""/>
    <s v=""/>
    <s v=""/>
    <s v=""/>
    <s v=""/>
  </r>
  <r>
    <x v="0"/>
    <x v="0"/>
    <x v="2"/>
    <x v="8"/>
    <x v="4"/>
    <s v="FGU620124.578097"/>
    <s v=""/>
    <s v=""/>
    <s v=""/>
    <s v=""/>
    <s v=""/>
    <s v=""/>
    <s v=""/>
  </r>
  <r>
    <x v="0"/>
    <x v="0"/>
    <x v="2"/>
    <x v="0"/>
    <x v="5"/>
    <s v="FGU620124.5620100"/>
    <s v=""/>
    <s v=""/>
    <s v=""/>
    <s v=""/>
    <s v=""/>
    <s v=""/>
    <s v=""/>
  </r>
  <r>
    <x v="0"/>
    <x v="0"/>
    <x v="2"/>
    <x v="1"/>
    <x v="5"/>
    <s v="FGU620124.5640100"/>
    <s v=""/>
    <s v=""/>
    <s v=""/>
    <s v=""/>
    <s v=""/>
    <s v=""/>
    <s v=""/>
  </r>
  <r>
    <x v="0"/>
    <x v="0"/>
    <x v="2"/>
    <x v="2"/>
    <x v="5"/>
    <s v="FGU620124.5660100"/>
    <s v=""/>
    <s v=""/>
    <s v=""/>
    <s v=""/>
    <s v=""/>
    <s v=""/>
    <s v=""/>
  </r>
  <r>
    <x v="0"/>
    <x v="0"/>
    <x v="2"/>
    <x v="3"/>
    <x v="5"/>
    <s v="FGU620124.5680100"/>
    <s v=""/>
    <s v=""/>
    <s v=""/>
    <s v=""/>
    <s v=""/>
    <s v=""/>
    <s v=""/>
  </r>
  <r>
    <x v="0"/>
    <x v="0"/>
    <x v="2"/>
    <x v="4"/>
    <x v="5"/>
    <s v="FGU620124.5700100"/>
    <s v=""/>
    <s v=""/>
    <s v=""/>
    <s v=""/>
    <s v=""/>
    <s v=""/>
    <s v=""/>
  </r>
  <r>
    <x v="0"/>
    <x v="0"/>
    <x v="2"/>
    <x v="5"/>
    <x v="5"/>
    <s v="FGU620124.5720100"/>
    <s v=""/>
    <s v=""/>
    <s v=""/>
    <s v=""/>
    <s v=""/>
    <s v=""/>
    <s v=""/>
  </r>
  <r>
    <x v="0"/>
    <x v="0"/>
    <x v="2"/>
    <x v="6"/>
    <x v="5"/>
    <s v="FGU620124.5740100"/>
    <s v=""/>
    <s v=""/>
    <s v=""/>
    <s v=""/>
    <s v=""/>
    <s v=""/>
    <s v=""/>
  </r>
  <r>
    <x v="0"/>
    <x v="0"/>
    <x v="2"/>
    <x v="7"/>
    <x v="5"/>
    <s v="FGU620124.5760100"/>
    <s v=""/>
    <s v=""/>
    <s v=""/>
    <s v=""/>
    <s v=""/>
    <s v=""/>
    <s v=""/>
  </r>
  <r>
    <x v="0"/>
    <x v="0"/>
    <x v="2"/>
    <x v="8"/>
    <x v="5"/>
    <s v="FGU620124.5780100"/>
    <s v=""/>
    <s v=""/>
    <s v=""/>
    <s v=""/>
    <s v=""/>
    <s v=""/>
    <s v=""/>
  </r>
  <r>
    <x v="0"/>
    <x v="0"/>
    <x v="2"/>
    <x v="0"/>
    <x v="6"/>
    <s v="FGU620124.5620100+"/>
    <s v=""/>
    <s v=""/>
    <s v=""/>
    <s v=""/>
    <s v=""/>
    <s v=""/>
    <s v=""/>
  </r>
  <r>
    <x v="0"/>
    <x v="0"/>
    <x v="2"/>
    <x v="1"/>
    <x v="6"/>
    <s v="FGU620124.5640100+"/>
    <s v=""/>
    <s v=""/>
    <s v=""/>
    <s v=""/>
    <s v=""/>
    <s v=""/>
    <s v=""/>
  </r>
  <r>
    <x v="0"/>
    <x v="0"/>
    <x v="2"/>
    <x v="2"/>
    <x v="6"/>
    <s v="FGU620124.5660100+"/>
    <s v=""/>
    <s v=""/>
    <s v=""/>
    <s v=""/>
    <s v=""/>
    <s v=""/>
    <s v=""/>
  </r>
  <r>
    <x v="0"/>
    <x v="0"/>
    <x v="2"/>
    <x v="3"/>
    <x v="6"/>
    <s v="FGU620124.5680100+"/>
    <s v=""/>
    <s v=""/>
    <s v=""/>
    <s v=""/>
    <s v=""/>
    <s v=""/>
    <s v=""/>
  </r>
  <r>
    <x v="0"/>
    <x v="0"/>
    <x v="2"/>
    <x v="4"/>
    <x v="6"/>
    <s v="FGU620124.5700100+"/>
    <s v=""/>
    <s v=""/>
    <s v=""/>
    <s v=""/>
    <s v=""/>
    <s v=""/>
    <s v=""/>
  </r>
  <r>
    <x v="0"/>
    <x v="0"/>
    <x v="2"/>
    <x v="5"/>
    <x v="6"/>
    <s v="FGU620124.5720100+"/>
    <s v=""/>
    <s v=""/>
    <s v=""/>
    <s v=""/>
    <s v=""/>
    <s v=""/>
    <s v=""/>
  </r>
  <r>
    <x v="0"/>
    <x v="0"/>
    <x v="2"/>
    <x v="6"/>
    <x v="6"/>
    <s v="FGU620124.5740100+"/>
    <s v=""/>
    <s v=""/>
    <s v=""/>
    <s v=""/>
    <s v=""/>
    <s v=""/>
    <s v=""/>
  </r>
  <r>
    <x v="0"/>
    <x v="0"/>
    <x v="2"/>
    <x v="7"/>
    <x v="6"/>
    <s v="FGU620124.5760100+"/>
    <s v=""/>
    <s v=""/>
    <s v=""/>
    <s v=""/>
    <s v=""/>
    <s v=""/>
    <s v=""/>
  </r>
  <r>
    <x v="0"/>
    <x v="0"/>
    <x v="2"/>
    <x v="8"/>
    <x v="6"/>
    <s v="FGU620124.5780100+"/>
    <s v=""/>
    <s v=""/>
    <s v=""/>
    <s v=""/>
    <s v=""/>
    <s v=""/>
    <s v=""/>
  </r>
  <r>
    <x v="0"/>
    <x v="1"/>
    <x v="2"/>
    <x v="0"/>
    <x v="0"/>
    <s v="FGU620134.562080"/>
    <s v=""/>
    <s v=""/>
    <s v=""/>
    <s v=""/>
    <s v=""/>
    <s v=""/>
    <s v=""/>
  </r>
  <r>
    <x v="0"/>
    <x v="1"/>
    <x v="2"/>
    <x v="1"/>
    <x v="0"/>
    <s v="FGU620134.564080"/>
    <s v=""/>
    <s v=""/>
    <s v=""/>
    <s v=""/>
    <s v=""/>
    <s v=""/>
    <s v=""/>
  </r>
  <r>
    <x v="0"/>
    <x v="1"/>
    <x v="2"/>
    <x v="2"/>
    <x v="0"/>
    <s v="FGU620134.566080"/>
    <s v=""/>
    <s v=""/>
    <s v=""/>
    <s v=""/>
    <s v=""/>
    <s v=""/>
    <s v=""/>
  </r>
  <r>
    <x v="0"/>
    <x v="1"/>
    <x v="2"/>
    <x v="3"/>
    <x v="0"/>
    <s v="FGU620134.568080"/>
    <s v=""/>
    <s v=""/>
    <s v=""/>
    <s v=""/>
    <s v=""/>
    <s v=""/>
    <s v=""/>
  </r>
  <r>
    <x v="0"/>
    <x v="1"/>
    <x v="2"/>
    <x v="4"/>
    <x v="0"/>
    <s v="FGU620134.570080"/>
    <s v=""/>
    <s v=""/>
    <s v=""/>
    <s v=""/>
    <s v=""/>
    <s v=""/>
    <s v=""/>
  </r>
  <r>
    <x v="0"/>
    <x v="1"/>
    <x v="2"/>
    <x v="5"/>
    <x v="0"/>
    <s v="FGU620134.572080"/>
    <s v=""/>
    <s v=""/>
    <s v=""/>
    <s v=""/>
    <s v=""/>
    <s v=""/>
    <s v=""/>
  </r>
  <r>
    <x v="0"/>
    <x v="1"/>
    <x v="2"/>
    <x v="6"/>
    <x v="0"/>
    <s v="FGU620134.574080"/>
    <s v=""/>
    <s v=""/>
    <s v=""/>
    <s v=""/>
    <s v=""/>
    <s v=""/>
    <s v=""/>
  </r>
  <r>
    <x v="0"/>
    <x v="1"/>
    <x v="2"/>
    <x v="7"/>
    <x v="0"/>
    <s v="FGU620134.576080"/>
    <s v=""/>
    <s v=""/>
    <s v=""/>
    <s v=""/>
    <s v=""/>
    <s v=""/>
    <s v=""/>
  </r>
  <r>
    <x v="0"/>
    <x v="1"/>
    <x v="2"/>
    <x v="8"/>
    <x v="0"/>
    <s v="FGU620134.578080"/>
    <s v=""/>
    <s v=""/>
    <s v=""/>
    <s v=""/>
    <s v=""/>
    <s v=""/>
    <s v=""/>
  </r>
  <r>
    <x v="0"/>
    <x v="1"/>
    <x v="2"/>
    <x v="0"/>
    <x v="1"/>
    <s v="FGU620134.562085"/>
    <s v=""/>
    <s v=""/>
    <s v=""/>
    <s v=""/>
    <s v=""/>
    <s v=""/>
    <s v=""/>
  </r>
  <r>
    <x v="0"/>
    <x v="1"/>
    <x v="2"/>
    <x v="1"/>
    <x v="1"/>
    <s v="FGU620134.564085"/>
    <s v=""/>
    <s v=""/>
    <s v=""/>
    <s v=""/>
    <s v=""/>
    <s v=""/>
    <s v=""/>
  </r>
  <r>
    <x v="0"/>
    <x v="1"/>
    <x v="2"/>
    <x v="2"/>
    <x v="1"/>
    <s v="FGU620134.566085"/>
    <s v=""/>
    <s v=""/>
    <s v=""/>
    <s v=""/>
    <s v=""/>
    <s v=""/>
    <s v=""/>
  </r>
  <r>
    <x v="0"/>
    <x v="1"/>
    <x v="2"/>
    <x v="3"/>
    <x v="1"/>
    <s v="FGU620134.568085"/>
    <s v=""/>
    <s v=""/>
    <s v=""/>
    <s v=""/>
    <s v=""/>
    <s v=""/>
    <s v=""/>
  </r>
  <r>
    <x v="0"/>
    <x v="1"/>
    <x v="2"/>
    <x v="4"/>
    <x v="1"/>
    <s v="FGU620134.570085"/>
    <s v=""/>
    <s v=""/>
    <s v=""/>
    <s v=""/>
    <s v=""/>
    <s v=""/>
    <s v=""/>
  </r>
  <r>
    <x v="0"/>
    <x v="1"/>
    <x v="2"/>
    <x v="5"/>
    <x v="1"/>
    <s v="FGU620134.572085"/>
    <s v=""/>
    <s v=""/>
    <s v=""/>
    <s v=""/>
    <s v=""/>
    <s v=""/>
    <s v=""/>
  </r>
  <r>
    <x v="0"/>
    <x v="1"/>
    <x v="2"/>
    <x v="6"/>
    <x v="1"/>
    <s v="FGU620134.574085"/>
    <n v="786119.82"/>
    <n v="-4.7687999999999997"/>
    <n v="20.223600000000001"/>
    <n v="24.9924"/>
    <n v="10.9139"/>
    <n v="26.806999999999999"/>
    <n v="15.8931"/>
  </r>
  <r>
    <x v="0"/>
    <x v="1"/>
    <x v="2"/>
    <x v="7"/>
    <x v="1"/>
    <s v="FGU620134.576085"/>
    <n v="720846.16"/>
    <n v="32.987299999999998"/>
    <n v="57.983400000000003"/>
    <n v="24.996099999999998"/>
    <n v="96.370699999999999"/>
    <n v="96.370699999999999"/>
    <n v="0"/>
  </r>
  <r>
    <x v="0"/>
    <x v="1"/>
    <x v="2"/>
    <x v="8"/>
    <x v="1"/>
    <s v="FGU620134.578085"/>
    <s v=""/>
    <s v=""/>
    <s v=""/>
    <s v=""/>
    <s v=""/>
    <s v=""/>
    <s v=""/>
  </r>
  <r>
    <x v="0"/>
    <x v="1"/>
    <x v="2"/>
    <x v="0"/>
    <x v="2"/>
    <s v="FGU620134.562090"/>
    <s v=""/>
    <s v=""/>
    <s v=""/>
    <s v=""/>
    <s v=""/>
    <s v=""/>
    <s v=""/>
  </r>
  <r>
    <x v="0"/>
    <x v="1"/>
    <x v="2"/>
    <x v="1"/>
    <x v="2"/>
    <s v="FGU620134.564090"/>
    <s v=""/>
    <s v=""/>
    <s v=""/>
    <s v=""/>
    <s v=""/>
    <s v=""/>
    <s v=""/>
  </r>
  <r>
    <x v="0"/>
    <x v="1"/>
    <x v="2"/>
    <x v="2"/>
    <x v="2"/>
    <s v="FGU620134.566090"/>
    <s v=""/>
    <s v=""/>
    <s v=""/>
    <s v=""/>
    <s v=""/>
    <s v=""/>
    <s v=""/>
  </r>
  <r>
    <x v="0"/>
    <x v="1"/>
    <x v="2"/>
    <x v="3"/>
    <x v="2"/>
    <s v="FGU620134.568090"/>
    <s v=""/>
    <s v=""/>
    <s v=""/>
    <s v=""/>
    <s v=""/>
    <s v=""/>
    <s v=""/>
  </r>
  <r>
    <x v="0"/>
    <x v="1"/>
    <x v="2"/>
    <x v="4"/>
    <x v="2"/>
    <s v="FGU620134.570090"/>
    <n v="31456366.5"/>
    <n v="-2.2806048240924399"/>
    <n v="22.7168244369633"/>
    <n v="24.9974292610557"/>
    <n v="15.4225665086999"/>
    <n v="32.272617870120897"/>
    <n v="16.850051361420899"/>
  </r>
  <r>
    <x v="0"/>
    <x v="1"/>
    <x v="2"/>
    <x v="5"/>
    <x v="2"/>
    <s v="FGU620134.572090"/>
    <s v=""/>
    <s v=""/>
    <s v=""/>
    <s v=""/>
    <s v=""/>
    <s v=""/>
    <s v=""/>
  </r>
  <r>
    <x v="0"/>
    <x v="1"/>
    <x v="2"/>
    <x v="6"/>
    <x v="2"/>
    <s v="FGU620134.574090"/>
    <n v="19573956.059999999"/>
    <n v="-5.4886170858755801"/>
    <n v="19.507352322087701"/>
    <n v="24.995969407963301"/>
    <n v="21.070416029734599"/>
    <n v="34.203715395066503"/>
    <n v="13.1332993653318"/>
  </r>
  <r>
    <x v="0"/>
    <x v="1"/>
    <x v="2"/>
    <x v="7"/>
    <x v="2"/>
    <s v="FGU620134.576090"/>
    <n v="3352539.41"/>
    <n v="19.276700000000002"/>
    <n v="44.2729"/>
    <n v="24.996200000000002"/>
    <n v="41.048400000000001"/>
    <n v="57.453699999999998"/>
    <n v="16.4053"/>
  </r>
  <r>
    <x v="0"/>
    <x v="1"/>
    <x v="2"/>
    <x v="8"/>
    <x v="2"/>
    <s v="FGU620134.578090"/>
    <s v=""/>
    <s v=""/>
    <s v=""/>
    <s v=""/>
    <s v=""/>
    <s v=""/>
    <s v=""/>
  </r>
  <r>
    <x v="0"/>
    <x v="1"/>
    <x v="2"/>
    <x v="0"/>
    <x v="3"/>
    <s v="FGU620134.562095"/>
    <s v=""/>
    <s v=""/>
    <s v=""/>
    <s v=""/>
    <s v=""/>
    <s v=""/>
    <s v=""/>
  </r>
  <r>
    <x v="0"/>
    <x v="1"/>
    <x v="2"/>
    <x v="1"/>
    <x v="3"/>
    <s v="FGU620134.564095"/>
    <s v=""/>
    <s v=""/>
    <s v=""/>
    <s v=""/>
    <s v=""/>
    <s v=""/>
    <s v=""/>
  </r>
  <r>
    <x v="0"/>
    <x v="1"/>
    <x v="2"/>
    <x v="2"/>
    <x v="3"/>
    <s v="FGU620134.566095"/>
    <s v=""/>
    <s v=""/>
    <s v=""/>
    <s v=""/>
    <s v=""/>
    <s v=""/>
    <s v=""/>
  </r>
  <r>
    <x v="0"/>
    <x v="1"/>
    <x v="2"/>
    <x v="3"/>
    <x v="3"/>
    <s v="FGU620134.568095"/>
    <s v=""/>
    <s v=""/>
    <s v=""/>
    <s v=""/>
    <s v=""/>
    <s v=""/>
    <s v=""/>
  </r>
  <r>
    <x v="0"/>
    <x v="1"/>
    <x v="2"/>
    <x v="4"/>
    <x v="3"/>
    <s v="FGU620134.570095"/>
    <n v="11815683.68"/>
    <n v="8.5159580493014602"/>
    <n v="33.5114830864702"/>
    <n v="24.995525037168701"/>
    <n v="22.514156691249099"/>
    <n v="40.074108393370501"/>
    <n v="17.5599517021213"/>
  </r>
  <r>
    <x v="0"/>
    <x v="1"/>
    <x v="2"/>
    <x v="5"/>
    <x v="3"/>
    <s v="FGU620134.572095"/>
    <s v=""/>
    <s v=""/>
    <s v=""/>
    <s v=""/>
    <s v=""/>
    <s v=""/>
    <s v=""/>
  </r>
  <r>
    <x v="0"/>
    <x v="1"/>
    <x v="2"/>
    <x v="6"/>
    <x v="3"/>
    <s v="FGU620134.574095"/>
    <n v="990912.71"/>
    <n v="4.0076000000000001"/>
    <n v="29.004300000000001"/>
    <n v="24.996700000000001"/>
    <n v="28.486899999999999"/>
    <n v="42.506599999999999"/>
    <n v="14.0197"/>
  </r>
  <r>
    <x v="0"/>
    <x v="1"/>
    <x v="2"/>
    <x v="7"/>
    <x v="3"/>
    <s v="FGU620134.576095"/>
    <s v=""/>
    <s v=""/>
    <s v=""/>
    <s v=""/>
    <s v=""/>
    <s v=""/>
    <s v=""/>
  </r>
  <r>
    <x v="0"/>
    <x v="1"/>
    <x v="2"/>
    <x v="8"/>
    <x v="3"/>
    <s v="FGU620134.578095"/>
    <s v=""/>
    <s v=""/>
    <s v=""/>
    <s v=""/>
    <s v=""/>
    <s v=""/>
    <s v=""/>
  </r>
  <r>
    <x v="0"/>
    <x v="1"/>
    <x v="2"/>
    <x v="0"/>
    <x v="4"/>
    <s v="FGU620134.562097"/>
    <s v=""/>
    <s v=""/>
    <s v=""/>
    <s v=""/>
    <s v=""/>
    <s v=""/>
    <s v=""/>
  </r>
  <r>
    <x v="0"/>
    <x v="1"/>
    <x v="2"/>
    <x v="1"/>
    <x v="4"/>
    <s v="FGU620134.564097"/>
    <s v=""/>
    <s v=""/>
    <s v=""/>
    <s v=""/>
    <s v=""/>
    <s v=""/>
    <s v=""/>
  </r>
  <r>
    <x v="0"/>
    <x v="1"/>
    <x v="2"/>
    <x v="2"/>
    <x v="4"/>
    <s v="FGU620134.566097"/>
    <s v=""/>
    <s v=""/>
    <s v=""/>
    <s v=""/>
    <s v=""/>
    <s v=""/>
    <s v=""/>
  </r>
  <r>
    <x v="0"/>
    <x v="1"/>
    <x v="2"/>
    <x v="3"/>
    <x v="4"/>
    <s v="FGU620134.568097"/>
    <s v=""/>
    <s v=""/>
    <s v=""/>
    <s v=""/>
    <s v=""/>
    <s v=""/>
    <s v=""/>
  </r>
  <r>
    <x v="0"/>
    <x v="1"/>
    <x v="2"/>
    <x v="4"/>
    <x v="4"/>
    <s v="FGU620134.570097"/>
    <s v=""/>
    <s v=""/>
    <s v=""/>
    <s v=""/>
    <s v=""/>
    <s v=""/>
    <s v=""/>
  </r>
  <r>
    <x v="0"/>
    <x v="1"/>
    <x v="2"/>
    <x v="5"/>
    <x v="4"/>
    <s v="FGU620134.572097"/>
    <s v=""/>
    <s v=""/>
    <s v=""/>
    <s v=""/>
    <s v=""/>
    <s v=""/>
    <s v=""/>
  </r>
  <r>
    <x v="0"/>
    <x v="1"/>
    <x v="2"/>
    <x v="6"/>
    <x v="4"/>
    <s v="FGU620134.574097"/>
    <s v=""/>
    <s v=""/>
    <s v=""/>
    <s v=""/>
    <s v=""/>
    <s v=""/>
    <s v=""/>
  </r>
  <r>
    <x v="0"/>
    <x v="1"/>
    <x v="2"/>
    <x v="7"/>
    <x v="4"/>
    <s v="FGU620134.576097"/>
    <s v=""/>
    <s v=""/>
    <s v=""/>
    <s v=""/>
    <s v=""/>
    <s v=""/>
    <s v=""/>
  </r>
  <r>
    <x v="0"/>
    <x v="1"/>
    <x v="2"/>
    <x v="8"/>
    <x v="4"/>
    <s v="FGU620134.578097"/>
    <s v=""/>
    <s v=""/>
    <s v=""/>
    <s v=""/>
    <s v=""/>
    <s v=""/>
    <s v=""/>
  </r>
  <r>
    <x v="0"/>
    <x v="1"/>
    <x v="2"/>
    <x v="0"/>
    <x v="5"/>
    <s v="FGU620134.5620100"/>
    <s v=""/>
    <s v=""/>
    <s v=""/>
    <s v=""/>
    <s v=""/>
    <s v=""/>
    <s v=""/>
  </r>
  <r>
    <x v="0"/>
    <x v="1"/>
    <x v="2"/>
    <x v="1"/>
    <x v="5"/>
    <s v="FGU620134.5640100"/>
    <s v=""/>
    <s v=""/>
    <s v=""/>
    <s v=""/>
    <s v=""/>
    <s v=""/>
    <s v=""/>
  </r>
  <r>
    <x v="0"/>
    <x v="1"/>
    <x v="2"/>
    <x v="2"/>
    <x v="5"/>
    <s v="FGU620134.5660100"/>
    <s v=""/>
    <s v=""/>
    <s v=""/>
    <s v=""/>
    <s v=""/>
    <s v=""/>
    <s v=""/>
  </r>
  <r>
    <x v="0"/>
    <x v="1"/>
    <x v="2"/>
    <x v="3"/>
    <x v="5"/>
    <s v="FGU620134.5680100"/>
    <s v=""/>
    <s v=""/>
    <s v=""/>
    <s v=""/>
    <s v=""/>
    <s v=""/>
    <s v=""/>
  </r>
  <r>
    <x v="0"/>
    <x v="1"/>
    <x v="2"/>
    <x v="4"/>
    <x v="5"/>
    <s v="FGU620134.5700100"/>
    <s v=""/>
    <s v=""/>
    <s v=""/>
    <s v=""/>
    <s v=""/>
    <s v=""/>
    <s v=""/>
  </r>
  <r>
    <x v="0"/>
    <x v="1"/>
    <x v="2"/>
    <x v="5"/>
    <x v="5"/>
    <s v="FGU620134.5720100"/>
    <s v=""/>
    <s v=""/>
    <s v=""/>
    <s v=""/>
    <s v=""/>
    <s v=""/>
    <s v=""/>
  </r>
  <r>
    <x v="0"/>
    <x v="1"/>
    <x v="2"/>
    <x v="6"/>
    <x v="5"/>
    <s v="FGU620134.5740100"/>
    <s v=""/>
    <s v=""/>
    <s v=""/>
    <s v=""/>
    <s v=""/>
    <s v=""/>
    <s v=""/>
  </r>
  <r>
    <x v="0"/>
    <x v="1"/>
    <x v="2"/>
    <x v="7"/>
    <x v="5"/>
    <s v="FGU620134.5760100"/>
    <s v=""/>
    <s v=""/>
    <s v=""/>
    <s v=""/>
    <s v=""/>
    <s v=""/>
    <s v=""/>
  </r>
  <r>
    <x v="0"/>
    <x v="1"/>
    <x v="2"/>
    <x v="8"/>
    <x v="5"/>
    <s v="FGU620134.5780100"/>
    <s v=""/>
    <s v=""/>
    <s v=""/>
    <s v=""/>
    <s v=""/>
    <s v=""/>
    <s v=""/>
  </r>
  <r>
    <x v="0"/>
    <x v="1"/>
    <x v="2"/>
    <x v="0"/>
    <x v="6"/>
    <s v="FGU620134.5620100+"/>
    <s v=""/>
    <s v=""/>
    <s v=""/>
    <s v=""/>
    <s v=""/>
    <s v=""/>
    <s v=""/>
  </r>
  <r>
    <x v="0"/>
    <x v="1"/>
    <x v="2"/>
    <x v="1"/>
    <x v="6"/>
    <s v="FGU620134.5640100+"/>
    <s v=""/>
    <s v=""/>
    <s v=""/>
    <s v=""/>
    <s v=""/>
    <s v=""/>
    <s v=""/>
  </r>
  <r>
    <x v="0"/>
    <x v="1"/>
    <x v="2"/>
    <x v="2"/>
    <x v="6"/>
    <s v="FGU620134.5660100+"/>
    <s v=""/>
    <s v=""/>
    <s v=""/>
    <s v=""/>
    <s v=""/>
    <s v=""/>
    <s v=""/>
  </r>
  <r>
    <x v="0"/>
    <x v="1"/>
    <x v="2"/>
    <x v="3"/>
    <x v="6"/>
    <s v="FGU620134.5680100+"/>
    <s v=""/>
    <s v=""/>
    <s v=""/>
    <s v=""/>
    <s v=""/>
    <s v=""/>
    <s v=""/>
  </r>
  <r>
    <x v="0"/>
    <x v="1"/>
    <x v="2"/>
    <x v="4"/>
    <x v="6"/>
    <s v="FGU620134.5700100+"/>
    <s v=""/>
    <s v=""/>
    <s v=""/>
    <s v=""/>
    <s v=""/>
    <s v=""/>
    <s v=""/>
  </r>
  <r>
    <x v="0"/>
    <x v="1"/>
    <x v="2"/>
    <x v="5"/>
    <x v="6"/>
    <s v="FGU620134.5720100+"/>
    <s v=""/>
    <s v=""/>
    <s v=""/>
    <s v=""/>
    <s v=""/>
    <s v=""/>
    <s v=""/>
  </r>
  <r>
    <x v="0"/>
    <x v="1"/>
    <x v="2"/>
    <x v="6"/>
    <x v="6"/>
    <s v="FGU620134.5740100+"/>
    <s v=""/>
    <s v=""/>
    <s v=""/>
    <s v=""/>
    <s v=""/>
    <s v=""/>
    <s v=""/>
  </r>
  <r>
    <x v="0"/>
    <x v="1"/>
    <x v="2"/>
    <x v="7"/>
    <x v="6"/>
    <s v="FGU620134.5760100+"/>
    <s v=""/>
    <s v=""/>
    <s v=""/>
    <s v=""/>
    <s v=""/>
    <s v=""/>
    <s v=""/>
  </r>
  <r>
    <x v="0"/>
    <x v="1"/>
    <x v="2"/>
    <x v="8"/>
    <x v="6"/>
    <s v="FGU620134.5780100+"/>
    <s v=""/>
    <s v=""/>
    <s v=""/>
    <s v=""/>
    <s v=""/>
    <s v=""/>
    <s v=""/>
  </r>
  <r>
    <x v="0"/>
    <x v="2"/>
    <x v="2"/>
    <x v="0"/>
    <x v="0"/>
    <s v="FGU620144.562080"/>
    <s v=""/>
    <s v=""/>
    <s v=""/>
    <s v=""/>
    <s v=""/>
    <s v=""/>
    <s v=""/>
  </r>
  <r>
    <x v="0"/>
    <x v="2"/>
    <x v="2"/>
    <x v="1"/>
    <x v="0"/>
    <s v="FGU620144.564080"/>
    <s v=""/>
    <s v=""/>
    <s v=""/>
    <s v=""/>
    <s v=""/>
    <s v=""/>
    <s v=""/>
  </r>
  <r>
    <x v="0"/>
    <x v="2"/>
    <x v="2"/>
    <x v="2"/>
    <x v="0"/>
    <s v="FGU620144.566080"/>
    <s v=""/>
    <s v=""/>
    <s v=""/>
    <s v=""/>
    <s v=""/>
    <s v=""/>
    <s v=""/>
  </r>
  <r>
    <x v="0"/>
    <x v="2"/>
    <x v="2"/>
    <x v="3"/>
    <x v="0"/>
    <s v="FGU620144.568080"/>
    <s v=""/>
    <s v=""/>
    <s v=""/>
    <s v=""/>
    <s v=""/>
    <s v=""/>
    <s v=""/>
  </r>
  <r>
    <x v="0"/>
    <x v="2"/>
    <x v="2"/>
    <x v="4"/>
    <x v="0"/>
    <s v="FGU620144.570080"/>
    <s v=""/>
    <s v=""/>
    <s v=""/>
    <s v=""/>
    <s v=""/>
    <s v=""/>
    <s v=""/>
  </r>
  <r>
    <x v="0"/>
    <x v="2"/>
    <x v="2"/>
    <x v="5"/>
    <x v="0"/>
    <s v="FGU620144.572080"/>
    <s v=""/>
    <s v=""/>
    <s v=""/>
    <s v=""/>
    <s v=""/>
    <s v=""/>
    <s v=""/>
  </r>
  <r>
    <x v="0"/>
    <x v="2"/>
    <x v="2"/>
    <x v="6"/>
    <x v="0"/>
    <s v="FGU620144.574080"/>
    <s v=""/>
    <s v=""/>
    <s v=""/>
    <s v=""/>
    <s v=""/>
    <s v=""/>
    <s v=""/>
  </r>
  <r>
    <x v="0"/>
    <x v="2"/>
    <x v="2"/>
    <x v="7"/>
    <x v="0"/>
    <s v="FGU620144.576080"/>
    <s v=""/>
    <s v=""/>
    <s v=""/>
    <s v=""/>
    <s v=""/>
    <s v=""/>
    <s v=""/>
  </r>
  <r>
    <x v="0"/>
    <x v="2"/>
    <x v="2"/>
    <x v="8"/>
    <x v="0"/>
    <s v="FGU620144.578080"/>
    <s v=""/>
    <s v=""/>
    <s v=""/>
    <s v=""/>
    <s v=""/>
    <s v=""/>
    <s v=""/>
  </r>
  <r>
    <x v="0"/>
    <x v="2"/>
    <x v="2"/>
    <x v="0"/>
    <x v="1"/>
    <s v="FGU620144.562085"/>
    <s v=""/>
    <s v=""/>
    <s v=""/>
    <s v=""/>
    <s v=""/>
    <s v=""/>
    <s v=""/>
  </r>
  <r>
    <x v="0"/>
    <x v="2"/>
    <x v="2"/>
    <x v="1"/>
    <x v="1"/>
    <s v="FGU620144.564085"/>
    <s v=""/>
    <s v=""/>
    <s v=""/>
    <s v=""/>
    <s v=""/>
    <s v=""/>
    <s v=""/>
  </r>
  <r>
    <x v="0"/>
    <x v="2"/>
    <x v="2"/>
    <x v="2"/>
    <x v="1"/>
    <s v="FGU620144.566085"/>
    <s v=""/>
    <s v=""/>
    <s v=""/>
    <s v=""/>
    <s v=""/>
    <s v=""/>
    <s v=""/>
  </r>
  <r>
    <x v="0"/>
    <x v="2"/>
    <x v="2"/>
    <x v="3"/>
    <x v="1"/>
    <s v="FGU620144.568085"/>
    <s v=""/>
    <s v=""/>
    <s v=""/>
    <s v=""/>
    <s v=""/>
    <s v=""/>
    <s v=""/>
  </r>
  <r>
    <x v="0"/>
    <x v="2"/>
    <x v="2"/>
    <x v="4"/>
    <x v="1"/>
    <s v="FGU620144.570085"/>
    <s v=""/>
    <s v=""/>
    <s v=""/>
    <s v=""/>
    <s v=""/>
    <s v=""/>
    <s v=""/>
  </r>
  <r>
    <x v="0"/>
    <x v="2"/>
    <x v="2"/>
    <x v="5"/>
    <x v="1"/>
    <s v="FGU620144.572085"/>
    <s v=""/>
    <s v=""/>
    <s v=""/>
    <s v=""/>
    <s v=""/>
    <s v=""/>
    <s v=""/>
  </r>
  <r>
    <x v="0"/>
    <x v="2"/>
    <x v="2"/>
    <x v="6"/>
    <x v="1"/>
    <s v="FGU620144.574085"/>
    <s v=""/>
    <s v=""/>
    <s v=""/>
    <s v=""/>
    <s v=""/>
    <s v=""/>
    <s v=""/>
  </r>
  <r>
    <x v="0"/>
    <x v="2"/>
    <x v="2"/>
    <x v="7"/>
    <x v="1"/>
    <s v="FGU620144.576085"/>
    <s v=""/>
    <s v=""/>
    <s v=""/>
    <s v=""/>
    <s v=""/>
    <s v=""/>
    <s v=""/>
  </r>
  <r>
    <x v="0"/>
    <x v="2"/>
    <x v="2"/>
    <x v="8"/>
    <x v="1"/>
    <s v="FGU620144.578085"/>
    <s v=""/>
    <s v=""/>
    <s v=""/>
    <s v=""/>
    <s v=""/>
    <s v=""/>
    <s v=""/>
  </r>
  <r>
    <x v="0"/>
    <x v="2"/>
    <x v="2"/>
    <x v="0"/>
    <x v="2"/>
    <s v="FGU620144.562090"/>
    <s v=""/>
    <s v=""/>
    <s v=""/>
    <s v=""/>
    <s v=""/>
    <s v=""/>
    <s v=""/>
  </r>
  <r>
    <x v="0"/>
    <x v="2"/>
    <x v="2"/>
    <x v="1"/>
    <x v="2"/>
    <s v="FGU620144.564090"/>
    <s v=""/>
    <s v=""/>
    <s v=""/>
    <s v=""/>
    <s v=""/>
    <s v=""/>
    <s v=""/>
  </r>
  <r>
    <x v="0"/>
    <x v="2"/>
    <x v="2"/>
    <x v="2"/>
    <x v="2"/>
    <s v="FGU620144.566090"/>
    <s v=""/>
    <s v=""/>
    <s v=""/>
    <s v=""/>
    <s v=""/>
    <s v=""/>
    <s v=""/>
  </r>
  <r>
    <x v="0"/>
    <x v="2"/>
    <x v="2"/>
    <x v="3"/>
    <x v="2"/>
    <s v="FGU620144.568090"/>
    <s v=""/>
    <s v=""/>
    <s v=""/>
    <s v=""/>
    <s v=""/>
    <s v=""/>
    <s v=""/>
  </r>
  <r>
    <x v="0"/>
    <x v="2"/>
    <x v="2"/>
    <x v="4"/>
    <x v="2"/>
    <s v="FGU620144.570090"/>
    <s v=""/>
    <s v=""/>
    <s v=""/>
    <s v=""/>
    <s v=""/>
    <s v=""/>
    <s v=""/>
  </r>
  <r>
    <x v="0"/>
    <x v="2"/>
    <x v="2"/>
    <x v="5"/>
    <x v="2"/>
    <s v="FGU620144.572090"/>
    <s v=""/>
    <s v=""/>
    <s v=""/>
    <s v=""/>
    <s v=""/>
    <s v=""/>
    <s v=""/>
  </r>
  <r>
    <x v="0"/>
    <x v="2"/>
    <x v="2"/>
    <x v="6"/>
    <x v="2"/>
    <s v="FGU620144.574090"/>
    <s v=""/>
    <s v=""/>
    <s v=""/>
    <s v=""/>
    <s v=""/>
    <s v=""/>
    <s v=""/>
  </r>
  <r>
    <x v="0"/>
    <x v="2"/>
    <x v="2"/>
    <x v="7"/>
    <x v="2"/>
    <s v="FGU620144.576090"/>
    <s v=""/>
    <s v=""/>
    <s v=""/>
    <s v=""/>
    <s v=""/>
    <s v=""/>
    <s v=""/>
  </r>
  <r>
    <x v="0"/>
    <x v="2"/>
    <x v="2"/>
    <x v="8"/>
    <x v="2"/>
    <s v="FGU620144.578090"/>
    <s v=""/>
    <s v=""/>
    <s v=""/>
    <s v=""/>
    <s v=""/>
    <s v=""/>
    <s v=""/>
  </r>
  <r>
    <x v="0"/>
    <x v="2"/>
    <x v="2"/>
    <x v="0"/>
    <x v="3"/>
    <s v="FGU620144.562095"/>
    <s v=""/>
    <s v=""/>
    <s v=""/>
    <s v=""/>
    <s v=""/>
    <s v=""/>
    <s v=""/>
  </r>
  <r>
    <x v="0"/>
    <x v="2"/>
    <x v="2"/>
    <x v="1"/>
    <x v="3"/>
    <s v="FGU620144.564095"/>
    <s v=""/>
    <s v=""/>
    <s v=""/>
    <s v=""/>
    <s v=""/>
    <s v=""/>
    <s v=""/>
  </r>
  <r>
    <x v="0"/>
    <x v="2"/>
    <x v="2"/>
    <x v="2"/>
    <x v="3"/>
    <s v="FGU620144.566095"/>
    <s v=""/>
    <s v=""/>
    <s v=""/>
    <s v=""/>
    <s v=""/>
    <s v=""/>
    <s v=""/>
  </r>
  <r>
    <x v="0"/>
    <x v="2"/>
    <x v="2"/>
    <x v="3"/>
    <x v="3"/>
    <s v="FGU620144.568095"/>
    <s v=""/>
    <s v=""/>
    <s v=""/>
    <s v=""/>
    <s v=""/>
    <s v=""/>
    <s v=""/>
  </r>
  <r>
    <x v="0"/>
    <x v="2"/>
    <x v="2"/>
    <x v="4"/>
    <x v="3"/>
    <s v="FGU620144.570095"/>
    <s v=""/>
    <s v=""/>
    <s v=""/>
    <s v=""/>
    <s v=""/>
    <s v=""/>
    <s v=""/>
  </r>
  <r>
    <x v="0"/>
    <x v="2"/>
    <x v="2"/>
    <x v="5"/>
    <x v="3"/>
    <s v="FGU620144.572095"/>
    <s v=""/>
    <s v=""/>
    <s v=""/>
    <s v=""/>
    <s v=""/>
    <s v=""/>
    <s v=""/>
  </r>
  <r>
    <x v="0"/>
    <x v="2"/>
    <x v="2"/>
    <x v="6"/>
    <x v="3"/>
    <s v="FGU620144.574095"/>
    <n v="1409861.12"/>
    <n v="-0.6361"/>
    <n v="24.360800000000001"/>
    <n v="24.9969"/>
    <n v="20.8536"/>
    <n v="30.807500000000001"/>
    <n v="9.9539000000000009"/>
  </r>
  <r>
    <x v="0"/>
    <x v="2"/>
    <x v="2"/>
    <x v="7"/>
    <x v="3"/>
    <s v="FGU620144.576095"/>
    <s v=""/>
    <s v=""/>
    <s v=""/>
    <s v=""/>
    <s v=""/>
    <s v=""/>
    <s v=""/>
  </r>
  <r>
    <x v="0"/>
    <x v="2"/>
    <x v="2"/>
    <x v="8"/>
    <x v="3"/>
    <s v="FGU620144.578095"/>
    <s v=""/>
    <s v=""/>
    <s v=""/>
    <s v=""/>
    <s v=""/>
    <s v=""/>
    <s v=""/>
  </r>
  <r>
    <x v="0"/>
    <x v="2"/>
    <x v="2"/>
    <x v="0"/>
    <x v="4"/>
    <s v="FGU620144.562097"/>
    <s v=""/>
    <s v=""/>
    <s v=""/>
    <s v=""/>
    <s v=""/>
    <s v=""/>
    <s v=""/>
  </r>
  <r>
    <x v="0"/>
    <x v="2"/>
    <x v="2"/>
    <x v="1"/>
    <x v="4"/>
    <s v="FGU620144.564097"/>
    <s v=""/>
    <s v=""/>
    <s v=""/>
    <s v=""/>
    <s v=""/>
    <s v=""/>
    <s v=""/>
  </r>
  <r>
    <x v="0"/>
    <x v="2"/>
    <x v="2"/>
    <x v="2"/>
    <x v="4"/>
    <s v="FGU620144.566097"/>
    <s v=""/>
    <s v=""/>
    <s v=""/>
    <s v=""/>
    <s v=""/>
    <s v=""/>
    <s v=""/>
  </r>
  <r>
    <x v="0"/>
    <x v="2"/>
    <x v="2"/>
    <x v="3"/>
    <x v="4"/>
    <s v="FGU620144.568097"/>
    <s v=""/>
    <s v=""/>
    <s v=""/>
    <s v=""/>
    <s v=""/>
    <s v=""/>
    <s v=""/>
  </r>
  <r>
    <x v="0"/>
    <x v="2"/>
    <x v="2"/>
    <x v="4"/>
    <x v="4"/>
    <s v="FGU620144.570097"/>
    <s v=""/>
    <s v=""/>
    <s v=""/>
    <s v=""/>
    <s v=""/>
    <s v=""/>
    <s v=""/>
  </r>
  <r>
    <x v="0"/>
    <x v="2"/>
    <x v="2"/>
    <x v="5"/>
    <x v="4"/>
    <s v="FGU620144.572097"/>
    <s v=""/>
    <s v=""/>
    <s v=""/>
    <s v=""/>
    <s v=""/>
    <s v=""/>
    <s v=""/>
  </r>
  <r>
    <x v="0"/>
    <x v="2"/>
    <x v="2"/>
    <x v="6"/>
    <x v="4"/>
    <s v="FGU620144.574097"/>
    <s v=""/>
    <s v=""/>
    <s v=""/>
    <s v=""/>
    <s v=""/>
    <s v=""/>
    <s v=""/>
  </r>
  <r>
    <x v="0"/>
    <x v="2"/>
    <x v="2"/>
    <x v="7"/>
    <x v="4"/>
    <s v="FGU620144.576097"/>
    <s v=""/>
    <s v=""/>
    <s v=""/>
    <s v=""/>
    <s v=""/>
    <s v=""/>
    <s v=""/>
  </r>
  <r>
    <x v="0"/>
    <x v="2"/>
    <x v="2"/>
    <x v="8"/>
    <x v="4"/>
    <s v="FGU620144.578097"/>
    <s v=""/>
    <s v=""/>
    <s v=""/>
    <s v=""/>
    <s v=""/>
    <s v=""/>
    <s v=""/>
  </r>
  <r>
    <x v="0"/>
    <x v="2"/>
    <x v="2"/>
    <x v="0"/>
    <x v="5"/>
    <s v="FGU620144.5620100"/>
    <s v=""/>
    <s v=""/>
    <s v=""/>
    <s v=""/>
    <s v=""/>
    <s v=""/>
    <s v=""/>
  </r>
  <r>
    <x v="0"/>
    <x v="2"/>
    <x v="2"/>
    <x v="1"/>
    <x v="5"/>
    <s v="FGU620144.5640100"/>
    <s v=""/>
    <s v=""/>
    <s v=""/>
    <s v=""/>
    <s v=""/>
    <s v=""/>
    <s v=""/>
  </r>
  <r>
    <x v="0"/>
    <x v="2"/>
    <x v="2"/>
    <x v="2"/>
    <x v="5"/>
    <s v="FGU620144.5660100"/>
    <s v=""/>
    <s v=""/>
    <s v=""/>
    <s v=""/>
    <s v=""/>
    <s v=""/>
    <s v=""/>
  </r>
  <r>
    <x v="0"/>
    <x v="2"/>
    <x v="2"/>
    <x v="3"/>
    <x v="5"/>
    <s v="FGU620144.5680100"/>
    <s v=""/>
    <s v=""/>
    <s v=""/>
    <s v=""/>
    <s v=""/>
    <s v=""/>
    <s v=""/>
  </r>
  <r>
    <x v="0"/>
    <x v="2"/>
    <x v="2"/>
    <x v="4"/>
    <x v="5"/>
    <s v="FGU620144.5700100"/>
    <s v=""/>
    <s v=""/>
    <s v=""/>
    <s v=""/>
    <s v=""/>
    <s v=""/>
    <s v=""/>
  </r>
  <r>
    <x v="0"/>
    <x v="2"/>
    <x v="2"/>
    <x v="5"/>
    <x v="5"/>
    <s v="FGU620144.5720100"/>
    <s v=""/>
    <s v=""/>
    <s v=""/>
    <s v=""/>
    <s v=""/>
    <s v=""/>
    <s v=""/>
  </r>
  <r>
    <x v="0"/>
    <x v="2"/>
    <x v="2"/>
    <x v="6"/>
    <x v="5"/>
    <s v="FGU620144.5740100"/>
    <s v=""/>
    <s v=""/>
    <s v=""/>
    <s v=""/>
    <s v=""/>
    <s v=""/>
    <s v=""/>
  </r>
  <r>
    <x v="0"/>
    <x v="2"/>
    <x v="2"/>
    <x v="7"/>
    <x v="5"/>
    <s v="FGU620144.5760100"/>
    <s v=""/>
    <s v=""/>
    <s v=""/>
    <s v=""/>
    <s v=""/>
    <s v=""/>
    <s v=""/>
  </r>
  <r>
    <x v="0"/>
    <x v="2"/>
    <x v="2"/>
    <x v="8"/>
    <x v="5"/>
    <s v="FGU620144.5780100"/>
    <s v=""/>
    <s v=""/>
    <s v=""/>
    <s v=""/>
    <s v=""/>
    <s v=""/>
    <s v=""/>
  </r>
  <r>
    <x v="0"/>
    <x v="2"/>
    <x v="2"/>
    <x v="0"/>
    <x v="6"/>
    <s v="FGU620144.5620100+"/>
    <s v=""/>
    <s v=""/>
    <s v=""/>
    <s v=""/>
    <s v=""/>
    <s v=""/>
    <s v=""/>
  </r>
  <r>
    <x v="0"/>
    <x v="2"/>
    <x v="2"/>
    <x v="1"/>
    <x v="6"/>
    <s v="FGU620144.5640100+"/>
    <s v=""/>
    <s v=""/>
    <s v=""/>
    <s v=""/>
    <s v=""/>
    <s v=""/>
    <s v=""/>
  </r>
  <r>
    <x v="0"/>
    <x v="2"/>
    <x v="2"/>
    <x v="2"/>
    <x v="6"/>
    <s v="FGU620144.5660100+"/>
    <s v=""/>
    <s v=""/>
    <s v=""/>
    <s v=""/>
    <s v=""/>
    <s v=""/>
    <s v=""/>
  </r>
  <r>
    <x v="0"/>
    <x v="2"/>
    <x v="2"/>
    <x v="3"/>
    <x v="6"/>
    <s v="FGU620144.5680100+"/>
    <s v=""/>
    <s v=""/>
    <s v=""/>
    <s v=""/>
    <s v=""/>
    <s v=""/>
    <s v=""/>
  </r>
  <r>
    <x v="0"/>
    <x v="2"/>
    <x v="2"/>
    <x v="4"/>
    <x v="6"/>
    <s v="FGU620144.5700100+"/>
    <s v=""/>
    <s v=""/>
    <s v=""/>
    <s v=""/>
    <s v=""/>
    <s v=""/>
    <s v=""/>
  </r>
  <r>
    <x v="0"/>
    <x v="2"/>
    <x v="2"/>
    <x v="5"/>
    <x v="6"/>
    <s v="FGU620144.5720100+"/>
    <s v=""/>
    <s v=""/>
    <s v=""/>
    <s v=""/>
    <s v=""/>
    <s v=""/>
    <s v=""/>
  </r>
  <r>
    <x v="0"/>
    <x v="2"/>
    <x v="2"/>
    <x v="6"/>
    <x v="6"/>
    <s v="FGU620144.5740100+"/>
    <s v=""/>
    <s v=""/>
    <s v=""/>
    <s v=""/>
    <s v=""/>
    <s v=""/>
    <s v=""/>
  </r>
  <r>
    <x v="0"/>
    <x v="2"/>
    <x v="2"/>
    <x v="7"/>
    <x v="6"/>
    <s v="FGU620144.5760100+"/>
    <s v=""/>
    <s v=""/>
    <s v=""/>
    <s v=""/>
    <s v=""/>
    <s v=""/>
    <s v=""/>
  </r>
  <r>
    <x v="0"/>
    <x v="2"/>
    <x v="2"/>
    <x v="8"/>
    <x v="6"/>
    <s v="FGU620144.5780100+"/>
    <s v=""/>
    <s v=""/>
    <s v=""/>
    <s v=""/>
    <s v=""/>
    <s v=""/>
    <s v=""/>
  </r>
  <r>
    <x v="1"/>
    <x v="0"/>
    <x v="0"/>
    <x v="0"/>
    <x v="0"/>
    <s v="FGU920123.562080"/>
    <s v=""/>
    <s v=""/>
    <s v=""/>
    <s v=""/>
    <s v=""/>
    <s v=""/>
    <s v=""/>
  </r>
  <r>
    <x v="1"/>
    <x v="0"/>
    <x v="0"/>
    <x v="1"/>
    <x v="0"/>
    <s v="FGU920123.564080"/>
    <s v=""/>
    <s v=""/>
    <s v=""/>
    <s v=""/>
    <s v=""/>
    <s v=""/>
    <s v=""/>
  </r>
  <r>
    <x v="1"/>
    <x v="0"/>
    <x v="0"/>
    <x v="2"/>
    <x v="0"/>
    <s v="FGU920123.566080"/>
    <s v=""/>
    <s v=""/>
    <s v=""/>
    <s v=""/>
    <s v=""/>
    <s v=""/>
    <s v=""/>
  </r>
  <r>
    <x v="1"/>
    <x v="0"/>
    <x v="0"/>
    <x v="3"/>
    <x v="0"/>
    <s v="FGU920123.568080"/>
    <s v=""/>
    <s v=""/>
    <s v=""/>
    <s v=""/>
    <s v=""/>
    <s v=""/>
    <s v=""/>
  </r>
  <r>
    <x v="1"/>
    <x v="0"/>
    <x v="0"/>
    <x v="4"/>
    <x v="0"/>
    <s v="FGU920123.570080"/>
    <s v=""/>
    <s v=""/>
    <s v=""/>
    <s v=""/>
    <s v=""/>
    <s v=""/>
    <s v=""/>
  </r>
  <r>
    <x v="1"/>
    <x v="0"/>
    <x v="0"/>
    <x v="5"/>
    <x v="0"/>
    <s v="FGU920123.572080"/>
    <s v=""/>
    <s v=""/>
    <s v=""/>
    <s v=""/>
    <s v=""/>
    <s v=""/>
    <s v=""/>
  </r>
  <r>
    <x v="1"/>
    <x v="0"/>
    <x v="0"/>
    <x v="6"/>
    <x v="0"/>
    <s v="FGU920123.574080"/>
    <s v=""/>
    <s v=""/>
    <s v=""/>
    <s v=""/>
    <s v=""/>
    <s v=""/>
    <s v=""/>
  </r>
  <r>
    <x v="1"/>
    <x v="0"/>
    <x v="0"/>
    <x v="7"/>
    <x v="0"/>
    <s v="FGU920123.576080"/>
    <s v=""/>
    <s v=""/>
    <s v=""/>
    <s v=""/>
    <s v=""/>
    <s v=""/>
    <s v=""/>
  </r>
  <r>
    <x v="1"/>
    <x v="0"/>
    <x v="0"/>
    <x v="8"/>
    <x v="0"/>
    <s v="FGU920123.578080"/>
    <s v=""/>
    <s v=""/>
    <s v=""/>
    <s v=""/>
    <s v=""/>
    <s v=""/>
    <s v=""/>
  </r>
  <r>
    <x v="1"/>
    <x v="0"/>
    <x v="0"/>
    <x v="0"/>
    <x v="1"/>
    <s v="FGU920123.562085"/>
    <s v=""/>
    <s v=""/>
    <s v=""/>
    <s v=""/>
    <s v=""/>
    <s v=""/>
    <s v=""/>
  </r>
  <r>
    <x v="1"/>
    <x v="0"/>
    <x v="0"/>
    <x v="1"/>
    <x v="1"/>
    <s v="FGU920123.564085"/>
    <s v=""/>
    <s v=""/>
    <s v=""/>
    <s v=""/>
    <s v=""/>
    <s v=""/>
    <s v=""/>
  </r>
  <r>
    <x v="1"/>
    <x v="0"/>
    <x v="0"/>
    <x v="2"/>
    <x v="1"/>
    <s v="FGU920123.566085"/>
    <s v=""/>
    <s v=""/>
    <s v=""/>
    <s v=""/>
    <s v=""/>
    <s v=""/>
    <s v=""/>
  </r>
  <r>
    <x v="1"/>
    <x v="0"/>
    <x v="0"/>
    <x v="3"/>
    <x v="1"/>
    <s v="FGU920123.568085"/>
    <s v=""/>
    <s v=""/>
    <s v=""/>
    <s v=""/>
    <s v=""/>
    <s v=""/>
    <s v=""/>
  </r>
  <r>
    <x v="1"/>
    <x v="0"/>
    <x v="0"/>
    <x v="4"/>
    <x v="1"/>
    <s v="FGU920123.570085"/>
    <s v=""/>
    <s v=""/>
    <s v=""/>
    <s v=""/>
    <s v=""/>
    <s v=""/>
    <s v=""/>
  </r>
  <r>
    <x v="1"/>
    <x v="0"/>
    <x v="0"/>
    <x v="5"/>
    <x v="1"/>
    <s v="FGU920123.572085"/>
    <s v=""/>
    <s v=""/>
    <s v=""/>
    <s v=""/>
    <s v=""/>
    <s v=""/>
    <s v=""/>
  </r>
  <r>
    <x v="1"/>
    <x v="0"/>
    <x v="0"/>
    <x v="6"/>
    <x v="1"/>
    <s v="FGU920123.574085"/>
    <s v=""/>
    <s v=""/>
    <s v=""/>
    <s v=""/>
    <s v=""/>
    <s v=""/>
    <s v=""/>
  </r>
  <r>
    <x v="1"/>
    <x v="0"/>
    <x v="0"/>
    <x v="7"/>
    <x v="1"/>
    <s v="FGU920123.576085"/>
    <s v=""/>
    <s v=""/>
    <s v=""/>
    <s v=""/>
    <s v=""/>
    <s v=""/>
    <s v=""/>
  </r>
  <r>
    <x v="1"/>
    <x v="0"/>
    <x v="0"/>
    <x v="8"/>
    <x v="1"/>
    <s v="FGU920123.578085"/>
    <s v=""/>
    <s v=""/>
    <s v=""/>
    <s v=""/>
    <s v=""/>
    <s v=""/>
    <s v=""/>
  </r>
  <r>
    <x v="1"/>
    <x v="0"/>
    <x v="0"/>
    <x v="0"/>
    <x v="2"/>
    <s v="FGU920123.562090"/>
    <s v=""/>
    <s v=""/>
    <s v=""/>
    <s v=""/>
    <s v=""/>
    <s v=""/>
    <s v=""/>
  </r>
  <r>
    <x v="1"/>
    <x v="0"/>
    <x v="0"/>
    <x v="1"/>
    <x v="2"/>
    <s v="FGU920123.564090"/>
    <s v=""/>
    <s v=""/>
    <s v=""/>
    <s v=""/>
    <s v=""/>
    <s v=""/>
    <s v=""/>
  </r>
  <r>
    <x v="1"/>
    <x v="0"/>
    <x v="0"/>
    <x v="2"/>
    <x v="2"/>
    <s v="FGU920123.566090"/>
    <s v=""/>
    <s v=""/>
    <s v=""/>
    <s v=""/>
    <s v=""/>
    <s v=""/>
    <s v=""/>
  </r>
  <r>
    <x v="1"/>
    <x v="0"/>
    <x v="0"/>
    <x v="3"/>
    <x v="2"/>
    <s v="FGU920123.568090"/>
    <s v=""/>
    <s v=""/>
    <s v=""/>
    <s v=""/>
    <s v=""/>
    <s v=""/>
    <s v=""/>
  </r>
  <r>
    <x v="1"/>
    <x v="0"/>
    <x v="0"/>
    <x v="4"/>
    <x v="2"/>
    <s v="FGU920123.570090"/>
    <s v=""/>
    <s v=""/>
    <s v=""/>
    <s v=""/>
    <s v=""/>
    <s v=""/>
    <s v=""/>
  </r>
  <r>
    <x v="1"/>
    <x v="0"/>
    <x v="0"/>
    <x v="5"/>
    <x v="2"/>
    <s v="FGU920123.572090"/>
    <s v=""/>
    <s v=""/>
    <s v=""/>
    <s v=""/>
    <s v=""/>
    <s v=""/>
    <s v=""/>
  </r>
  <r>
    <x v="1"/>
    <x v="0"/>
    <x v="0"/>
    <x v="6"/>
    <x v="2"/>
    <s v="FGU920123.574090"/>
    <s v=""/>
    <s v=""/>
    <s v=""/>
    <s v=""/>
    <s v=""/>
    <s v=""/>
    <s v=""/>
  </r>
  <r>
    <x v="1"/>
    <x v="0"/>
    <x v="0"/>
    <x v="7"/>
    <x v="2"/>
    <s v="FGU920123.576090"/>
    <s v=""/>
    <s v=""/>
    <s v=""/>
    <s v=""/>
    <s v=""/>
    <s v=""/>
    <s v=""/>
  </r>
  <r>
    <x v="1"/>
    <x v="0"/>
    <x v="0"/>
    <x v="8"/>
    <x v="2"/>
    <s v="FGU920123.578090"/>
    <s v=""/>
    <s v=""/>
    <s v=""/>
    <s v=""/>
    <s v=""/>
    <s v=""/>
    <s v=""/>
  </r>
  <r>
    <x v="1"/>
    <x v="0"/>
    <x v="0"/>
    <x v="0"/>
    <x v="3"/>
    <s v="FGU920123.562095"/>
    <s v=""/>
    <s v=""/>
    <s v=""/>
    <s v=""/>
    <s v=""/>
    <s v=""/>
    <s v=""/>
  </r>
  <r>
    <x v="1"/>
    <x v="0"/>
    <x v="0"/>
    <x v="1"/>
    <x v="3"/>
    <s v="FGU920123.564095"/>
    <s v=""/>
    <s v=""/>
    <s v=""/>
    <s v=""/>
    <s v=""/>
    <s v=""/>
    <s v=""/>
  </r>
  <r>
    <x v="1"/>
    <x v="0"/>
    <x v="0"/>
    <x v="2"/>
    <x v="3"/>
    <s v="FGU920123.566095"/>
    <s v=""/>
    <s v=""/>
    <s v=""/>
    <s v=""/>
    <s v=""/>
    <s v=""/>
    <s v=""/>
  </r>
  <r>
    <x v="1"/>
    <x v="0"/>
    <x v="0"/>
    <x v="3"/>
    <x v="3"/>
    <s v="FGU920123.568095"/>
    <s v=""/>
    <s v=""/>
    <s v=""/>
    <s v=""/>
    <s v=""/>
    <s v=""/>
    <s v=""/>
  </r>
  <r>
    <x v="1"/>
    <x v="0"/>
    <x v="0"/>
    <x v="4"/>
    <x v="3"/>
    <s v="FGU920123.570095"/>
    <s v=""/>
    <s v=""/>
    <s v=""/>
    <s v=""/>
    <s v=""/>
    <s v=""/>
    <s v=""/>
  </r>
  <r>
    <x v="1"/>
    <x v="0"/>
    <x v="0"/>
    <x v="5"/>
    <x v="3"/>
    <s v="FGU920123.572095"/>
    <s v=""/>
    <s v=""/>
    <s v=""/>
    <s v=""/>
    <s v=""/>
    <s v=""/>
    <s v=""/>
  </r>
  <r>
    <x v="1"/>
    <x v="0"/>
    <x v="0"/>
    <x v="6"/>
    <x v="3"/>
    <s v="FGU920123.574095"/>
    <s v=""/>
    <s v=""/>
    <s v=""/>
    <s v=""/>
    <s v=""/>
    <s v=""/>
    <s v=""/>
  </r>
  <r>
    <x v="1"/>
    <x v="0"/>
    <x v="0"/>
    <x v="7"/>
    <x v="3"/>
    <s v="FGU920123.576095"/>
    <s v=""/>
    <s v=""/>
    <s v=""/>
    <s v=""/>
    <s v=""/>
    <s v=""/>
    <s v=""/>
  </r>
  <r>
    <x v="1"/>
    <x v="0"/>
    <x v="0"/>
    <x v="8"/>
    <x v="3"/>
    <s v="FGU920123.578095"/>
    <s v=""/>
    <s v=""/>
    <s v=""/>
    <s v=""/>
    <s v=""/>
    <s v=""/>
    <s v=""/>
  </r>
  <r>
    <x v="1"/>
    <x v="0"/>
    <x v="0"/>
    <x v="0"/>
    <x v="4"/>
    <s v="FGU920123.562097"/>
    <s v=""/>
    <s v=""/>
    <s v=""/>
    <s v=""/>
    <s v=""/>
    <s v=""/>
    <s v=""/>
  </r>
  <r>
    <x v="1"/>
    <x v="0"/>
    <x v="0"/>
    <x v="1"/>
    <x v="4"/>
    <s v="FGU920123.564097"/>
    <s v=""/>
    <s v=""/>
    <s v=""/>
    <s v=""/>
    <s v=""/>
    <s v=""/>
    <s v=""/>
  </r>
  <r>
    <x v="1"/>
    <x v="0"/>
    <x v="0"/>
    <x v="2"/>
    <x v="4"/>
    <s v="FGU920123.566097"/>
    <s v=""/>
    <s v=""/>
    <s v=""/>
    <s v=""/>
    <s v=""/>
    <s v=""/>
    <s v=""/>
  </r>
  <r>
    <x v="1"/>
    <x v="0"/>
    <x v="0"/>
    <x v="3"/>
    <x v="4"/>
    <s v="FGU920123.568097"/>
    <s v=""/>
    <s v=""/>
    <s v=""/>
    <s v=""/>
    <s v=""/>
    <s v=""/>
    <s v=""/>
  </r>
  <r>
    <x v="1"/>
    <x v="0"/>
    <x v="0"/>
    <x v="4"/>
    <x v="4"/>
    <s v="FGU920123.570097"/>
    <s v=""/>
    <s v=""/>
    <s v=""/>
    <s v=""/>
    <s v=""/>
    <s v=""/>
    <s v=""/>
  </r>
  <r>
    <x v="1"/>
    <x v="0"/>
    <x v="0"/>
    <x v="5"/>
    <x v="4"/>
    <s v="FGU920123.572097"/>
    <s v=""/>
    <s v=""/>
    <s v=""/>
    <s v=""/>
    <s v=""/>
    <s v=""/>
    <s v=""/>
  </r>
  <r>
    <x v="1"/>
    <x v="0"/>
    <x v="0"/>
    <x v="6"/>
    <x v="4"/>
    <s v="FGU920123.574097"/>
    <s v=""/>
    <s v=""/>
    <s v=""/>
    <s v=""/>
    <s v=""/>
    <s v=""/>
    <s v=""/>
  </r>
  <r>
    <x v="1"/>
    <x v="0"/>
    <x v="0"/>
    <x v="7"/>
    <x v="4"/>
    <s v="FGU920123.576097"/>
    <s v=""/>
    <s v=""/>
    <s v=""/>
    <s v=""/>
    <s v=""/>
    <s v=""/>
    <s v=""/>
  </r>
  <r>
    <x v="1"/>
    <x v="0"/>
    <x v="0"/>
    <x v="8"/>
    <x v="4"/>
    <s v="FGU920123.578097"/>
    <s v=""/>
    <s v=""/>
    <s v=""/>
    <s v=""/>
    <s v=""/>
    <s v=""/>
    <s v=""/>
  </r>
  <r>
    <x v="1"/>
    <x v="0"/>
    <x v="0"/>
    <x v="0"/>
    <x v="5"/>
    <s v="FGU920123.5620100"/>
    <s v=""/>
    <s v=""/>
    <s v=""/>
    <s v=""/>
    <s v=""/>
    <s v=""/>
    <s v=""/>
  </r>
  <r>
    <x v="1"/>
    <x v="0"/>
    <x v="0"/>
    <x v="1"/>
    <x v="5"/>
    <s v="FGU920123.5640100"/>
    <s v=""/>
    <s v=""/>
    <s v=""/>
    <s v=""/>
    <s v=""/>
    <s v=""/>
    <s v=""/>
  </r>
  <r>
    <x v="1"/>
    <x v="0"/>
    <x v="0"/>
    <x v="2"/>
    <x v="5"/>
    <s v="FGU920123.5660100"/>
    <s v=""/>
    <s v=""/>
    <s v=""/>
    <s v=""/>
    <s v=""/>
    <s v=""/>
    <s v=""/>
  </r>
  <r>
    <x v="1"/>
    <x v="0"/>
    <x v="0"/>
    <x v="3"/>
    <x v="5"/>
    <s v="FGU920123.5680100"/>
    <s v=""/>
    <s v=""/>
    <s v=""/>
    <s v=""/>
    <s v=""/>
    <s v=""/>
    <s v=""/>
  </r>
  <r>
    <x v="1"/>
    <x v="0"/>
    <x v="0"/>
    <x v="4"/>
    <x v="5"/>
    <s v="FGU920123.5700100"/>
    <s v=""/>
    <s v=""/>
    <s v=""/>
    <s v=""/>
    <s v=""/>
    <s v=""/>
    <s v=""/>
  </r>
  <r>
    <x v="1"/>
    <x v="0"/>
    <x v="0"/>
    <x v="5"/>
    <x v="5"/>
    <s v="FGU920123.5720100"/>
    <s v=""/>
    <s v=""/>
    <s v=""/>
    <s v=""/>
    <s v=""/>
    <s v=""/>
    <s v=""/>
  </r>
  <r>
    <x v="1"/>
    <x v="0"/>
    <x v="0"/>
    <x v="6"/>
    <x v="5"/>
    <s v="FGU920123.5740100"/>
    <s v=""/>
    <s v=""/>
    <s v=""/>
    <s v=""/>
    <s v=""/>
    <s v=""/>
    <s v=""/>
  </r>
  <r>
    <x v="1"/>
    <x v="0"/>
    <x v="0"/>
    <x v="7"/>
    <x v="5"/>
    <s v="FGU920123.5760100"/>
    <s v=""/>
    <s v=""/>
    <s v=""/>
    <s v=""/>
    <s v=""/>
    <s v=""/>
    <s v=""/>
  </r>
  <r>
    <x v="1"/>
    <x v="0"/>
    <x v="0"/>
    <x v="8"/>
    <x v="5"/>
    <s v="FGU920123.5780100"/>
    <s v=""/>
    <s v=""/>
    <s v=""/>
    <s v=""/>
    <s v=""/>
    <s v=""/>
    <s v=""/>
  </r>
  <r>
    <x v="1"/>
    <x v="0"/>
    <x v="0"/>
    <x v="0"/>
    <x v="6"/>
    <s v="FGU920123.5620100+"/>
    <s v=""/>
    <s v=""/>
    <s v=""/>
    <s v=""/>
    <s v=""/>
    <s v=""/>
    <s v=""/>
  </r>
  <r>
    <x v="1"/>
    <x v="0"/>
    <x v="0"/>
    <x v="1"/>
    <x v="6"/>
    <s v="FGU920123.5640100+"/>
    <s v=""/>
    <s v=""/>
    <s v=""/>
    <s v=""/>
    <s v=""/>
    <s v=""/>
    <s v=""/>
  </r>
  <r>
    <x v="1"/>
    <x v="0"/>
    <x v="0"/>
    <x v="2"/>
    <x v="6"/>
    <s v="FGU920123.5660100+"/>
    <s v=""/>
    <s v=""/>
    <s v=""/>
    <s v=""/>
    <s v=""/>
    <s v=""/>
    <s v=""/>
  </r>
  <r>
    <x v="1"/>
    <x v="0"/>
    <x v="0"/>
    <x v="3"/>
    <x v="6"/>
    <s v="FGU920123.5680100+"/>
    <s v=""/>
    <s v=""/>
    <s v=""/>
    <s v=""/>
    <s v=""/>
    <s v=""/>
    <s v=""/>
  </r>
  <r>
    <x v="1"/>
    <x v="0"/>
    <x v="0"/>
    <x v="4"/>
    <x v="6"/>
    <s v="FGU920123.5700100+"/>
    <s v=""/>
    <s v=""/>
    <s v=""/>
    <s v=""/>
    <s v=""/>
    <s v=""/>
    <s v=""/>
  </r>
  <r>
    <x v="1"/>
    <x v="0"/>
    <x v="0"/>
    <x v="5"/>
    <x v="6"/>
    <s v="FGU920123.5720100+"/>
    <s v=""/>
    <s v=""/>
    <s v=""/>
    <s v=""/>
    <s v=""/>
    <s v=""/>
    <s v=""/>
  </r>
  <r>
    <x v="1"/>
    <x v="0"/>
    <x v="0"/>
    <x v="6"/>
    <x v="6"/>
    <s v="FGU920123.5740100+"/>
    <s v=""/>
    <s v=""/>
    <s v=""/>
    <s v=""/>
    <s v=""/>
    <s v=""/>
    <s v=""/>
  </r>
  <r>
    <x v="1"/>
    <x v="0"/>
    <x v="0"/>
    <x v="7"/>
    <x v="6"/>
    <s v="FGU920123.5760100+"/>
    <s v=""/>
    <s v=""/>
    <s v=""/>
    <s v=""/>
    <s v=""/>
    <s v=""/>
    <s v=""/>
  </r>
  <r>
    <x v="1"/>
    <x v="0"/>
    <x v="0"/>
    <x v="8"/>
    <x v="6"/>
    <s v="FGU920123.5780100+"/>
    <s v=""/>
    <s v=""/>
    <s v=""/>
    <s v=""/>
    <s v=""/>
    <s v=""/>
    <s v=""/>
  </r>
  <r>
    <x v="1"/>
    <x v="1"/>
    <x v="0"/>
    <x v="0"/>
    <x v="0"/>
    <s v="FGU920133.562080"/>
    <s v=""/>
    <s v=""/>
    <s v=""/>
    <s v=""/>
    <s v=""/>
    <s v=""/>
    <s v=""/>
  </r>
  <r>
    <x v="1"/>
    <x v="1"/>
    <x v="0"/>
    <x v="1"/>
    <x v="0"/>
    <s v="FGU920133.564080"/>
    <s v=""/>
    <s v=""/>
    <s v=""/>
    <s v=""/>
    <s v=""/>
    <s v=""/>
    <s v=""/>
  </r>
  <r>
    <x v="1"/>
    <x v="1"/>
    <x v="0"/>
    <x v="2"/>
    <x v="0"/>
    <s v="FGU920133.566080"/>
    <s v=""/>
    <s v=""/>
    <s v=""/>
    <s v=""/>
    <s v=""/>
    <s v=""/>
    <s v=""/>
  </r>
  <r>
    <x v="1"/>
    <x v="1"/>
    <x v="0"/>
    <x v="3"/>
    <x v="0"/>
    <s v="FGU920133.568080"/>
    <s v=""/>
    <s v=""/>
    <s v=""/>
    <s v=""/>
    <s v=""/>
    <s v=""/>
    <s v=""/>
  </r>
  <r>
    <x v="1"/>
    <x v="1"/>
    <x v="0"/>
    <x v="4"/>
    <x v="0"/>
    <s v="FGU920133.570080"/>
    <s v=""/>
    <s v=""/>
    <s v=""/>
    <s v=""/>
    <s v=""/>
    <s v=""/>
    <s v=""/>
  </r>
  <r>
    <x v="1"/>
    <x v="1"/>
    <x v="0"/>
    <x v="5"/>
    <x v="0"/>
    <s v="FGU920133.572080"/>
    <s v=""/>
    <s v=""/>
    <s v=""/>
    <s v=""/>
    <s v=""/>
    <s v=""/>
    <s v=""/>
  </r>
  <r>
    <x v="1"/>
    <x v="1"/>
    <x v="0"/>
    <x v="6"/>
    <x v="0"/>
    <s v="FGU920133.574080"/>
    <s v=""/>
    <s v=""/>
    <s v=""/>
    <s v=""/>
    <s v=""/>
    <s v=""/>
    <s v=""/>
  </r>
  <r>
    <x v="1"/>
    <x v="1"/>
    <x v="0"/>
    <x v="7"/>
    <x v="0"/>
    <s v="FGU920133.576080"/>
    <s v=""/>
    <s v=""/>
    <s v=""/>
    <s v=""/>
    <s v=""/>
    <s v=""/>
    <s v=""/>
  </r>
  <r>
    <x v="1"/>
    <x v="1"/>
    <x v="0"/>
    <x v="8"/>
    <x v="0"/>
    <s v="FGU920133.578080"/>
    <s v=""/>
    <s v=""/>
    <s v=""/>
    <s v=""/>
    <s v=""/>
    <s v=""/>
    <s v=""/>
  </r>
  <r>
    <x v="1"/>
    <x v="1"/>
    <x v="0"/>
    <x v="0"/>
    <x v="1"/>
    <s v="FGU920133.562085"/>
    <s v=""/>
    <s v=""/>
    <s v=""/>
    <s v=""/>
    <s v=""/>
    <s v=""/>
    <s v=""/>
  </r>
  <r>
    <x v="1"/>
    <x v="1"/>
    <x v="0"/>
    <x v="1"/>
    <x v="1"/>
    <s v="FGU920133.564085"/>
    <s v=""/>
    <s v=""/>
    <s v=""/>
    <s v=""/>
    <s v=""/>
    <s v=""/>
    <s v=""/>
  </r>
  <r>
    <x v="1"/>
    <x v="1"/>
    <x v="0"/>
    <x v="2"/>
    <x v="1"/>
    <s v="FGU920133.566085"/>
    <s v=""/>
    <s v=""/>
    <s v=""/>
    <s v=""/>
    <s v=""/>
    <s v=""/>
    <s v=""/>
  </r>
  <r>
    <x v="1"/>
    <x v="1"/>
    <x v="0"/>
    <x v="3"/>
    <x v="1"/>
    <s v="FGU920133.568085"/>
    <s v=""/>
    <s v=""/>
    <s v=""/>
    <s v=""/>
    <s v=""/>
    <s v=""/>
    <s v=""/>
  </r>
  <r>
    <x v="1"/>
    <x v="1"/>
    <x v="0"/>
    <x v="4"/>
    <x v="1"/>
    <s v="FGU920133.570085"/>
    <s v=""/>
    <s v=""/>
    <s v=""/>
    <s v=""/>
    <s v=""/>
    <s v=""/>
    <s v=""/>
  </r>
  <r>
    <x v="1"/>
    <x v="1"/>
    <x v="0"/>
    <x v="5"/>
    <x v="1"/>
    <s v="FGU920133.572085"/>
    <s v=""/>
    <s v=""/>
    <s v=""/>
    <s v=""/>
    <s v=""/>
    <s v=""/>
    <s v=""/>
  </r>
  <r>
    <x v="1"/>
    <x v="1"/>
    <x v="0"/>
    <x v="6"/>
    <x v="1"/>
    <s v="FGU920133.574085"/>
    <s v=""/>
    <s v=""/>
    <s v=""/>
    <s v=""/>
    <s v=""/>
    <s v=""/>
    <s v=""/>
  </r>
  <r>
    <x v="1"/>
    <x v="1"/>
    <x v="0"/>
    <x v="7"/>
    <x v="1"/>
    <s v="FGU920133.576085"/>
    <s v=""/>
    <s v=""/>
    <s v=""/>
    <s v=""/>
    <s v=""/>
    <s v=""/>
    <s v=""/>
  </r>
  <r>
    <x v="1"/>
    <x v="1"/>
    <x v="0"/>
    <x v="8"/>
    <x v="1"/>
    <s v="FGU920133.578085"/>
    <s v=""/>
    <s v=""/>
    <s v=""/>
    <s v=""/>
    <s v=""/>
    <s v=""/>
    <s v=""/>
  </r>
  <r>
    <x v="1"/>
    <x v="1"/>
    <x v="0"/>
    <x v="0"/>
    <x v="2"/>
    <s v="FGU920133.562090"/>
    <s v=""/>
    <s v=""/>
    <s v=""/>
    <s v=""/>
    <s v=""/>
    <s v=""/>
    <s v=""/>
  </r>
  <r>
    <x v="1"/>
    <x v="1"/>
    <x v="0"/>
    <x v="1"/>
    <x v="2"/>
    <s v="FGU920133.564090"/>
    <s v=""/>
    <s v=""/>
    <s v=""/>
    <s v=""/>
    <s v=""/>
    <s v=""/>
    <s v=""/>
  </r>
  <r>
    <x v="1"/>
    <x v="1"/>
    <x v="0"/>
    <x v="2"/>
    <x v="2"/>
    <s v="FGU920133.566090"/>
    <s v=""/>
    <s v=""/>
    <s v=""/>
    <s v=""/>
    <s v=""/>
    <s v=""/>
    <s v=""/>
  </r>
  <r>
    <x v="1"/>
    <x v="1"/>
    <x v="0"/>
    <x v="3"/>
    <x v="2"/>
    <s v="FGU920133.568090"/>
    <s v=""/>
    <s v=""/>
    <s v=""/>
    <s v=""/>
    <s v=""/>
    <s v=""/>
    <s v=""/>
  </r>
  <r>
    <x v="1"/>
    <x v="1"/>
    <x v="0"/>
    <x v="4"/>
    <x v="2"/>
    <s v="FGU920133.570090"/>
    <s v=""/>
    <s v=""/>
    <s v=""/>
    <s v=""/>
    <s v=""/>
    <s v=""/>
    <s v=""/>
  </r>
  <r>
    <x v="1"/>
    <x v="1"/>
    <x v="0"/>
    <x v="5"/>
    <x v="2"/>
    <s v="FGU920133.572090"/>
    <s v=""/>
    <s v=""/>
    <s v=""/>
    <s v=""/>
    <s v=""/>
    <s v=""/>
    <s v=""/>
  </r>
  <r>
    <x v="1"/>
    <x v="1"/>
    <x v="0"/>
    <x v="6"/>
    <x v="2"/>
    <s v="FGU920133.574090"/>
    <s v=""/>
    <s v=""/>
    <s v=""/>
    <s v=""/>
    <s v=""/>
    <s v=""/>
    <s v=""/>
  </r>
  <r>
    <x v="1"/>
    <x v="1"/>
    <x v="0"/>
    <x v="7"/>
    <x v="2"/>
    <s v="FGU920133.576090"/>
    <s v=""/>
    <s v=""/>
    <s v=""/>
    <s v=""/>
    <s v=""/>
    <s v=""/>
    <s v=""/>
  </r>
  <r>
    <x v="1"/>
    <x v="1"/>
    <x v="0"/>
    <x v="8"/>
    <x v="2"/>
    <s v="FGU920133.578090"/>
    <s v=""/>
    <s v=""/>
    <s v=""/>
    <s v=""/>
    <s v=""/>
    <s v=""/>
    <s v=""/>
  </r>
  <r>
    <x v="1"/>
    <x v="1"/>
    <x v="0"/>
    <x v="0"/>
    <x v="3"/>
    <s v="FGU920133.562095"/>
    <s v=""/>
    <s v=""/>
    <s v=""/>
    <s v=""/>
    <s v=""/>
    <s v=""/>
    <s v=""/>
  </r>
  <r>
    <x v="1"/>
    <x v="1"/>
    <x v="0"/>
    <x v="1"/>
    <x v="3"/>
    <s v="FGU920133.564095"/>
    <s v=""/>
    <s v=""/>
    <s v=""/>
    <s v=""/>
    <s v=""/>
    <s v=""/>
    <s v=""/>
  </r>
  <r>
    <x v="1"/>
    <x v="1"/>
    <x v="0"/>
    <x v="2"/>
    <x v="3"/>
    <s v="FGU920133.566095"/>
    <s v=""/>
    <s v=""/>
    <s v=""/>
    <s v=""/>
    <s v=""/>
    <s v=""/>
    <s v=""/>
  </r>
  <r>
    <x v="1"/>
    <x v="1"/>
    <x v="0"/>
    <x v="3"/>
    <x v="3"/>
    <s v="FGU920133.568095"/>
    <s v=""/>
    <s v=""/>
    <s v=""/>
    <s v=""/>
    <s v=""/>
    <s v=""/>
    <s v=""/>
  </r>
  <r>
    <x v="1"/>
    <x v="1"/>
    <x v="0"/>
    <x v="4"/>
    <x v="3"/>
    <s v="FGU920133.570095"/>
    <s v=""/>
    <s v=""/>
    <s v=""/>
    <s v=""/>
    <s v=""/>
    <s v=""/>
    <s v=""/>
  </r>
  <r>
    <x v="1"/>
    <x v="1"/>
    <x v="0"/>
    <x v="5"/>
    <x v="3"/>
    <s v="FGU920133.572095"/>
    <s v=""/>
    <s v=""/>
    <s v=""/>
    <s v=""/>
    <s v=""/>
    <s v=""/>
    <s v=""/>
  </r>
  <r>
    <x v="1"/>
    <x v="1"/>
    <x v="0"/>
    <x v="6"/>
    <x v="3"/>
    <s v="FGU920133.574095"/>
    <s v=""/>
    <s v=""/>
    <s v=""/>
    <s v=""/>
    <s v=""/>
    <s v=""/>
    <s v=""/>
  </r>
  <r>
    <x v="1"/>
    <x v="1"/>
    <x v="0"/>
    <x v="7"/>
    <x v="3"/>
    <s v="FGU920133.576095"/>
    <s v=""/>
    <s v=""/>
    <s v=""/>
    <s v=""/>
    <s v=""/>
    <s v=""/>
    <s v=""/>
  </r>
  <r>
    <x v="1"/>
    <x v="1"/>
    <x v="0"/>
    <x v="8"/>
    <x v="3"/>
    <s v="FGU920133.578095"/>
    <s v=""/>
    <s v=""/>
    <s v=""/>
    <s v=""/>
    <s v=""/>
    <s v=""/>
    <s v=""/>
  </r>
  <r>
    <x v="1"/>
    <x v="1"/>
    <x v="0"/>
    <x v="0"/>
    <x v="4"/>
    <s v="FGU920133.562097"/>
    <s v=""/>
    <s v=""/>
    <s v=""/>
    <s v=""/>
    <s v=""/>
    <s v=""/>
    <s v=""/>
  </r>
  <r>
    <x v="1"/>
    <x v="1"/>
    <x v="0"/>
    <x v="1"/>
    <x v="4"/>
    <s v="FGU920133.564097"/>
    <s v=""/>
    <s v=""/>
    <s v=""/>
    <s v=""/>
    <s v=""/>
    <s v=""/>
    <s v=""/>
  </r>
  <r>
    <x v="1"/>
    <x v="1"/>
    <x v="0"/>
    <x v="2"/>
    <x v="4"/>
    <s v="FGU920133.566097"/>
    <s v=""/>
    <s v=""/>
    <s v=""/>
    <s v=""/>
    <s v=""/>
    <s v=""/>
    <s v=""/>
  </r>
  <r>
    <x v="1"/>
    <x v="1"/>
    <x v="0"/>
    <x v="3"/>
    <x v="4"/>
    <s v="FGU920133.568097"/>
    <s v=""/>
    <s v=""/>
    <s v=""/>
    <s v=""/>
    <s v=""/>
    <s v=""/>
    <s v=""/>
  </r>
  <r>
    <x v="1"/>
    <x v="1"/>
    <x v="0"/>
    <x v="4"/>
    <x v="4"/>
    <s v="FGU920133.570097"/>
    <s v=""/>
    <s v=""/>
    <s v=""/>
    <s v=""/>
    <s v=""/>
    <s v=""/>
    <s v=""/>
  </r>
  <r>
    <x v="1"/>
    <x v="1"/>
    <x v="0"/>
    <x v="5"/>
    <x v="4"/>
    <s v="FGU920133.572097"/>
    <s v=""/>
    <s v=""/>
    <s v=""/>
    <s v=""/>
    <s v=""/>
    <s v=""/>
    <s v=""/>
  </r>
  <r>
    <x v="1"/>
    <x v="1"/>
    <x v="0"/>
    <x v="6"/>
    <x v="4"/>
    <s v="FGU920133.574097"/>
    <s v=""/>
    <s v=""/>
    <s v=""/>
    <s v=""/>
    <s v=""/>
    <s v=""/>
    <s v=""/>
  </r>
  <r>
    <x v="1"/>
    <x v="1"/>
    <x v="0"/>
    <x v="7"/>
    <x v="4"/>
    <s v="FGU920133.576097"/>
    <n v="3603174.86"/>
    <n v="-104.8085"/>
    <n v="-79.808899999999994"/>
    <n v="24.999600000000001"/>
    <n v="-87.954700000000003"/>
    <n v="-70.617000000000004"/>
    <n v="17.337700000000002"/>
  </r>
  <r>
    <x v="1"/>
    <x v="1"/>
    <x v="0"/>
    <x v="8"/>
    <x v="4"/>
    <s v="FGU920133.578097"/>
    <s v=""/>
    <s v=""/>
    <s v=""/>
    <s v=""/>
    <s v=""/>
    <s v=""/>
    <s v=""/>
  </r>
  <r>
    <x v="1"/>
    <x v="1"/>
    <x v="0"/>
    <x v="0"/>
    <x v="5"/>
    <s v="FGU920133.5620100"/>
    <s v=""/>
    <s v=""/>
    <s v=""/>
    <s v=""/>
    <s v=""/>
    <s v=""/>
    <s v=""/>
  </r>
  <r>
    <x v="1"/>
    <x v="1"/>
    <x v="0"/>
    <x v="1"/>
    <x v="5"/>
    <s v="FGU920133.5640100"/>
    <s v=""/>
    <s v=""/>
    <s v=""/>
    <s v=""/>
    <s v=""/>
    <s v=""/>
    <s v=""/>
  </r>
  <r>
    <x v="1"/>
    <x v="1"/>
    <x v="0"/>
    <x v="2"/>
    <x v="5"/>
    <s v="FGU920133.5660100"/>
    <s v=""/>
    <s v=""/>
    <s v=""/>
    <s v=""/>
    <s v=""/>
    <s v=""/>
    <s v=""/>
  </r>
  <r>
    <x v="1"/>
    <x v="1"/>
    <x v="0"/>
    <x v="3"/>
    <x v="5"/>
    <s v="FGU920133.5680100"/>
    <s v=""/>
    <s v=""/>
    <s v=""/>
    <s v=""/>
    <s v=""/>
    <s v=""/>
    <s v=""/>
  </r>
  <r>
    <x v="1"/>
    <x v="1"/>
    <x v="0"/>
    <x v="4"/>
    <x v="5"/>
    <s v="FGU920133.5700100"/>
    <s v=""/>
    <s v=""/>
    <s v=""/>
    <s v=""/>
    <s v=""/>
    <s v=""/>
    <s v=""/>
  </r>
  <r>
    <x v="1"/>
    <x v="1"/>
    <x v="0"/>
    <x v="5"/>
    <x v="5"/>
    <s v="FGU920133.5720100"/>
    <s v=""/>
    <s v=""/>
    <s v=""/>
    <s v=""/>
    <s v=""/>
    <s v=""/>
    <s v=""/>
  </r>
  <r>
    <x v="1"/>
    <x v="1"/>
    <x v="0"/>
    <x v="6"/>
    <x v="5"/>
    <s v="FGU920133.5740100"/>
    <s v=""/>
    <s v=""/>
    <s v=""/>
    <s v=""/>
    <s v=""/>
    <s v=""/>
    <s v=""/>
  </r>
  <r>
    <x v="1"/>
    <x v="1"/>
    <x v="0"/>
    <x v="7"/>
    <x v="5"/>
    <s v="FGU920133.5760100"/>
    <s v=""/>
    <s v=""/>
    <s v=""/>
    <s v=""/>
    <s v=""/>
    <s v=""/>
    <s v=""/>
  </r>
  <r>
    <x v="1"/>
    <x v="1"/>
    <x v="0"/>
    <x v="8"/>
    <x v="5"/>
    <s v="FGU920133.5780100"/>
    <s v=""/>
    <s v=""/>
    <s v=""/>
    <s v=""/>
    <s v=""/>
    <s v=""/>
    <s v=""/>
  </r>
  <r>
    <x v="1"/>
    <x v="1"/>
    <x v="0"/>
    <x v="0"/>
    <x v="6"/>
    <s v="FGU920133.5620100+"/>
    <s v=""/>
    <s v=""/>
    <s v=""/>
    <s v=""/>
    <s v=""/>
    <s v=""/>
    <s v=""/>
  </r>
  <r>
    <x v="1"/>
    <x v="1"/>
    <x v="0"/>
    <x v="1"/>
    <x v="6"/>
    <s v="FGU920133.5640100+"/>
    <s v=""/>
    <s v=""/>
    <s v=""/>
    <s v=""/>
    <s v=""/>
    <s v=""/>
    <s v=""/>
  </r>
  <r>
    <x v="1"/>
    <x v="1"/>
    <x v="0"/>
    <x v="2"/>
    <x v="6"/>
    <s v="FGU920133.5660100+"/>
    <s v=""/>
    <s v=""/>
    <s v=""/>
    <s v=""/>
    <s v=""/>
    <s v=""/>
    <s v=""/>
  </r>
  <r>
    <x v="1"/>
    <x v="1"/>
    <x v="0"/>
    <x v="3"/>
    <x v="6"/>
    <s v="FGU920133.5680100+"/>
    <s v=""/>
    <s v=""/>
    <s v=""/>
    <s v=""/>
    <s v=""/>
    <s v=""/>
    <s v=""/>
  </r>
  <r>
    <x v="1"/>
    <x v="1"/>
    <x v="0"/>
    <x v="4"/>
    <x v="6"/>
    <s v="FGU920133.5700100+"/>
    <n v="1063274.55"/>
    <n v="-53.614100000000001"/>
    <n v="-28.6158"/>
    <n v="24.9983"/>
    <n v="-53.614100000000001"/>
    <n v="-28.6158"/>
    <n v="24.9983"/>
  </r>
  <r>
    <x v="1"/>
    <x v="1"/>
    <x v="0"/>
    <x v="5"/>
    <x v="6"/>
    <s v="FGU920133.5720100+"/>
    <s v=""/>
    <s v=""/>
    <s v=""/>
    <s v=""/>
    <s v=""/>
    <s v=""/>
    <s v=""/>
  </r>
  <r>
    <x v="1"/>
    <x v="1"/>
    <x v="0"/>
    <x v="6"/>
    <x v="6"/>
    <s v="FGU920133.5740100+"/>
    <s v=""/>
    <s v=""/>
    <s v=""/>
    <s v=""/>
    <s v=""/>
    <s v=""/>
    <s v=""/>
  </r>
  <r>
    <x v="1"/>
    <x v="1"/>
    <x v="0"/>
    <x v="7"/>
    <x v="6"/>
    <s v="FGU920133.5760100+"/>
    <s v=""/>
    <s v=""/>
    <s v=""/>
    <s v=""/>
    <s v=""/>
    <s v=""/>
    <s v=""/>
  </r>
  <r>
    <x v="1"/>
    <x v="1"/>
    <x v="0"/>
    <x v="8"/>
    <x v="6"/>
    <s v="FGU920133.5780100+"/>
    <n v="946242.49"/>
    <n v="-112.82810000000001"/>
    <n v="-87.828100000000006"/>
    <n v="25"/>
    <n v="-99.8108"/>
    <n v="-81.686599999999999"/>
    <n v="18.124199999999998"/>
  </r>
  <r>
    <x v="1"/>
    <x v="0"/>
    <x v="1"/>
    <x v="0"/>
    <x v="0"/>
    <s v="FGU92012462080"/>
    <s v=""/>
    <s v=""/>
    <s v=""/>
    <s v=""/>
    <s v=""/>
    <s v=""/>
    <s v=""/>
  </r>
  <r>
    <x v="1"/>
    <x v="0"/>
    <x v="1"/>
    <x v="1"/>
    <x v="0"/>
    <s v="FGU92012464080"/>
    <s v=""/>
    <s v=""/>
    <s v=""/>
    <s v=""/>
    <s v=""/>
    <s v=""/>
    <s v=""/>
  </r>
  <r>
    <x v="1"/>
    <x v="0"/>
    <x v="1"/>
    <x v="2"/>
    <x v="0"/>
    <s v="FGU92012466080"/>
    <s v=""/>
    <s v=""/>
    <s v=""/>
    <s v=""/>
    <s v=""/>
    <s v=""/>
    <s v=""/>
  </r>
  <r>
    <x v="1"/>
    <x v="0"/>
    <x v="1"/>
    <x v="3"/>
    <x v="0"/>
    <s v="FGU92012468080"/>
    <s v=""/>
    <s v=""/>
    <s v=""/>
    <s v=""/>
    <s v=""/>
    <s v=""/>
    <s v=""/>
  </r>
  <r>
    <x v="1"/>
    <x v="0"/>
    <x v="1"/>
    <x v="4"/>
    <x v="0"/>
    <s v="FGU92012470080"/>
    <s v=""/>
    <s v=""/>
    <s v=""/>
    <s v=""/>
    <s v=""/>
    <s v=""/>
    <s v=""/>
  </r>
  <r>
    <x v="1"/>
    <x v="0"/>
    <x v="1"/>
    <x v="5"/>
    <x v="0"/>
    <s v="FGU92012472080"/>
    <s v=""/>
    <s v=""/>
    <s v=""/>
    <s v=""/>
    <s v=""/>
    <s v=""/>
    <s v=""/>
  </r>
  <r>
    <x v="1"/>
    <x v="0"/>
    <x v="1"/>
    <x v="6"/>
    <x v="0"/>
    <s v="FGU92012474080"/>
    <s v=""/>
    <s v=""/>
    <s v=""/>
    <s v=""/>
    <s v=""/>
    <s v=""/>
    <s v=""/>
  </r>
  <r>
    <x v="1"/>
    <x v="0"/>
    <x v="1"/>
    <x v="7"/>
    <x v="0"/>
    <s v="FGU92012476080"/>
    <s v=""/>
    <s v=""/>
    <s v=""/>
    <s v=""/>
    <s v=""/>
    <s v=""/>
    <s v=""/>
  </r>
  <r>
    <x v="1"/>
    <x v="0"/>
    <x v="1"/>
    <x v="8"/>
    <x v="0"/>
    <s v="FGU92012478080"/>
    <s v=""/>
    <s v=""/>
    <s v=""/>
    <s v=""/>
    <s v=""/>
    <s v=""/>
    <s v=""/>
  </r>
  <r>
    <x v="1"/>
    <x v="0"/>
    <x v="1"/>
    <x v="0"/>
    <x v="1"/>
    <s v="FGU92012462085"/>
    <s v=""/>
    <s v=""/>
    <s v=""/>
    <s v=""/>
    <s v=""/>
    <s v=""/>
    <s v=""/>
  </r>
  <r>
    <x v="1"/>
    <x v="0"/>
    <x v="1"/>
    <x v="1"/>
    <x v="1"/>
    <s v="FGU92012464085"/>
    <s v=""/>
    <s v=""/>
    <s v=""/>
    <s v=""/>
    <s v=""/>
    <s v=""/>
    <s v=""/>
  </r>
  <r>
    <x v="1"/>
    <x v="0"/>
    <x v="1"/>
    <x v="2"/>
    <x v="1"/>
    <s v="FGU92012466085"/>
    <s v=""/>
    <s v=""/>
    <s v=""/>
    <s v=""/>
    <s v=""/>
    <s v=""/>
    <s v=""/>
  </r>
  <r>
    <x v="1"/>
    <x v="0"/>
    <x v="1"/>
    <x v="3"/>
    <x v="1"/>
    <s v="FGU92012468085"/>
    <s v=""/>
    <s v=""/>
    <s v=""/>
    <s v=""/>
    <s v=""/>
    <s v=""/>
    <s v=""/>
  </r>
  <r>
    <x v="1"/>
    <x v="0"/>
    <x v="1"/>
    <x v="4"/>
    <x v="1"/>
    <s v="FGU92012470085"/>
    <s v=""/>
    <s v=""/>
    <s v=""/>
    <s v=""/>
    <s v=""/>
    <s v=""/>
    <s v=""/>
  </r>
  <r>
    <x v="1"/>
    <x v="0"/>
    <x v="1"/>
    <x v="5"/>
    <x v="1"/>
    <s v="FGU92012472085"/>
    <s v=""/>
    <s v=""/>
    <s v=""/>
    <s v=""/>
    <s v=""/>
    <s v=""/>
    <s v=""/>
  </r>
  <r>
    <x v="1"/>
    <x v="0"/>
    <x v="1"/>
    <x v="6"/>
    <x v="1"/>
    <s v="FGU92012474085"/>
    <s v=""/>
    <s v=""/>
    <s v=""/>
    <s v=""/>
    <s v=""/>
    <s v=""/>
    <s v=""/>
  </r>
  <r>
    <x v="1"/>
    <x v="0"/>
    <x v="1"/>
    <x v="7"/>
    <x v="1"/>
    <s v="FGU92012476085"/>
    <s v=""/>
    <s v=""/>
    <s v=""/>
    <s v=""/>
    <s v=""/>
    <s v=""/>
    <s v=""/>
  </r>
  <r>
    <x v="1"/>
    <x v="0"/>
    <x v="1"/>
    <x v="8"/>
    <x v="1"/>
    <s v="FGU92012478085"/>
    <s v=""/>
    <s v=""/>
    <s v=""/>
    <s v=""/>
    <s v=""/>
    <s v=""/>
    <s v=""/>
  </r>
  <r>
    <x v="1"/>
    <x v="0"/>
    <x v="1"/>
    <x v="0"/>
    <x v="2"/>
    <s v="FGU92012462090"/>
    <s v=""/>
    <s v=""/>
    <s v=""/>
    <s v=""/>
    <s v=""/>
    <s v=""/>
    <s v=""/>
  </r>
  <r>
    <x v="1"/>
    <x v="0"/>
    <x v="1"/>
    <x v="1"/>
    <x v="2"/>
    <s v="FGU92012464090"/>
    <s v=""/>
    <s v=""/>
    <s v=""/>
    <s v=""/>
    <s v=""/>
    <s v=""/>
    <s v=""/>
  </r>
  <r>
    <x v="1"/>
    <x v="0"/>
    <x v="1"/>
    <x v="2"/>
    <x v="2"/>
    <s v="FGU92012466090"/>
    <s v=""/>
    <s v=""/>
    <s v=""/>
    <s v=""/>
    <s v=""/>
    <s v=""/>
    <s v=""/>
  </r>
  <r>
    <x v="1"/>
    <x v="0"/>
    <x v="1"/>
    <x v="3"/>
    <x v="2"/>
    <s v="FGU92012468090"/>
    <s v=""/>
    <s v=""/>
    <s v=""/>
    <s v=""/>
    <s v=""/>
    <s v=""/>
    <s v=""/>
  </r>
  <r>
    <x v="1"/>
    <x v="0"/>
    <x v="1"/>
    <x v="4"/>
    <x v="2"/>
    <s v="FGU92012470090"/>
    <s v=""/>
    <s v=""/>
    <s v=""/>
    <s v=""/>
    <s v=""/>
    <s v=""/>
    <s v=""/>
  </r>
  <r>
    <x v="1"/>
    <x v="0"/>
    <x v="1"/>
    <x v="5"/>
    <x v="2"/>
    <s v="FGU92012472090"/>
    <s v=""/>
    <s v=""/>
    <s v=""/>
    <s v=""/>
    <s v=""/>
    <s v=""/>
    <s v=""/>
  </r>
  <r>
    <x v="1"/>
    <x v="0"/>
    <x v="1"/>
    <x v="6"/>
    <x v="2"/>
    <s v="FGU92012474090"/>
    <s v=""/>
    <s v=""/>
    <s v=""/>
    <s v=""/>
    <s v=""/>
    <s v=""/>
    <s v=""/>
  </r>
  <r>
    <x v="1"/>
    <x v="0"/>
    <x v="1"/>
    <x v="7"/>
    <x v="2"/>
    <s v="FGU92012476090"/>
    <s v=""/>
    <s v=""/>
    <s v=""/>
    <s v=""/>
    <s v=""/>
    <s v=""/>
    <s v=""/>
  </r>
  <r>
    <x v="1"/>
    <x v="0"/>
    <x v="1"/>
    <x v="8"/>
    <x v="2"/>
    <s v="FGU92012478090"/>
    <s v=""/>
    <s v=""/>
    <s v=""/>
    <s v=""/>
    <s v=""/>
    <s v=""/>
    <s v=""/>
  </r>
  <r>
    <x v="1"/>
    <x v="0"/>
    <x v="1"/>
    <x v="0"/>
    <x v="3"/>
    <s v="FGU92012462095"/>
    <s v=""/>
    <s v=""/>
    <s v=""/>
    <s v=""/>
    <s v=""/>
    <s v=""/>
    <s v=""/>
  </r>
  <r>
    <x v="1"/>
    <x v="0"/>
    <x v="1"/>
    <x v="1"/>
    <x v="3"/>
    <s v="FGU92012464095"/>
    <s v=""/>
    <s v=""/>
    <s v=""/>
    <s v=""/>
    <s v=""/>
    <s v=""/>
    <s v=""/>
  </r>
  <r>
    <x v="1"/>
    <x v="0"/>
    <x v="1"/>
    <x v="2"/>
    <x v="3"/>
    <s v="FGU92012466095"/>
    <s v=""/>
    <s v=""/>
    <s v=""/>
    <s v=""/>
    <s v=""/>
    <s v=""/>
    <s v=""/>
  </r>
  <r>
    <x v="1"/>
    <x v="0"/>
    <x v="1"/>
    <x v="3"/>
    <x v="3"/>
    <s v="FGU92012468095"/>
    <s v=""/>
    <s v=""/>
    <s v=""/>
    <s v=""/>
    <s v=""/>
    <s v=""/>
    <s v=""/>
  </r>
  <r>
    <x v="1"/>
    <x v="0"/>
    <x v="1"/>
    <x v="4"/>
    <x v="3"/>
    <s v="FGU92012470095"/>
    <s v=""/>
    <s v=""/>
    <s v=""/>
    <s v=""/>
    <s v=""/>
    <s v=""/>
    <s v=""/>
  </r>
  <r>
    <x v="1"/>
    <x v="0"/>
    <x v="1"/>
    <x v="5"/>
    <x v="3"/>
    <s v="FGU92012472095"/>
    <s v=""/>
    <s v=""/>
    <s v=""/>
    <s v=""/>
    <s v=""/>
    <s v=""/>
    <s v=""/>
  </r>
  <r>
    <x v="1"/>
    <x v="0"/>
    <x v="1"/>
    <x v="6"/>
    <x v="3"/>
    <s v="FGU92012474095"/>
    <n v="859258.68"/>
    <n v="-12.8453"/>
    <n v="12.1495"/>
    <n v="24.994800000000001"/>
    <n v="13.2018"/>
    <n v="26.001200000000001"/>
    <n v="12.7994"/>
  </r>
  <r>
    <x v="1"/>
    <x v="0"/>
    <x v="1"/>
    <x v="7"/>
    <x v="3"/>
    <s v="FGU92012476095"/>
    <n v="7712001.1900000004"/>
    <n v="-50.8203719255621"/>
    <n v="-25.820711310820698"/>
    <n v="24.999660614741401"/>
    <n v="-13.042820219665"/>
    <n v="-5.24341245528879"/>
    <n v="7.7994077643762596"/>
  </r>
  <r>
    <x v="1"/>
    <x v="0"/>
    <x v="1"/>
    <x v="8"/>
    <x v="3"/>
    <s v="FGU92012478095"/>
    <n v="49332423.390000001"/>
    <n v="-63.776728944024299"/>
    <n v="-38.776767582211299"/>
    <n v="24.999961361813"/>
    <n v="-27.050356317001501"/>
    <n v="-17.492736188084301"/>
    <n v="9.5576201289171205"/>
  </r>
  <r>
    <x v="1"/>
    <x v="0"/>
    <x v="1"/>
    <x v="0"/>
    <x v="4"/>
    <s v="FGU92012462097"/>
    <s v=""/>
    <s v=""/>
    <s v=""/>
    <s v=""/>
    <s v=""/>
    <s v=""/>
    <s v=""/>
  </r>
  <r>
    <x v="1"/>
    <x v="0"/>
    <x v="1"/>
    <x v="1"/>
    <x v="4"/>
    <s v="FGU92012464097"/>
    <s v=""/>
    <s v=""/>
    <s v=""/>
    <s v=""/>
    <s v=""/>
    <s v=""/>
    <s v=""/>
  </r>
  <r>
    <x v="1"/>
    <x v="0"/>
    <x v="1"/>
    <x v="2"/>
    <x v="4"/>
    <s v="FGU92012466097"/>
    <s v=""/>
    <s v=""/>
    <s v=""/>
    <s v=""/>
    <s v=""/>
    <s v=""/>
    <s v=""/>
  </r>
  <r>
    <x v="1"/>
    <x v="0"/>
    <x v="1"/>
    <x v="3"/>
    <x v="4"/>
    <s v="FGU92012468097"/>
    <s v=""/>
    <s v=""/>
    <s v=""/>
    <s v=""/>
    <s v=""/>
    <s v=""/>
    <s v=""/>
  </r>
  <r>
    <x v="1"/>
    <x v="0"/>
    <x v="1"/>
    <x v="4"/>
    <x v="4"/>
    <s v="FGU92012470097"/>
    <s v=""/>
    <s v=""/>
    <s v=""/>
    <s v=""/>
    <s v=""/>
    <s v=""/>
    <s v=""/>
  </r>
  <r>
    <x v="1"/>
    <x v="0"/>
    <x v="1"/>
    <x v="5"/>
    <x v="4"/>
    <s v="FGU92012472097"/>
    <s v=""/>
    <s v=""/>
    <s v=""/>
    <s v=""/>
    <s v=""/>
    <s v=""/>
    <s v=""/>
  </r>
  <r>
    <x v="1"/>
    <x v="0"/>
    <x v="1"/>
    <x v="6"/>
    <x v="4"/>
    <s v="FGU92012474097"/>
    <s v=""/>
    <s v=""/>
    <s v=""/>
    <s v=""/>
    <s v=""/>
    <s v=""/>
    <s v=""/>
  </r>
  <r>
    <x v="1"/>
    <x v="0"/>
    <x v="1"/>
    <x v="7"/>
    <x v="4"/>
    <s v="FGU92012476097"/>
    <s v=""/>
    <s v=""/>
    <s v=""/>
    <s v=""/>
    <s v=""/>
    <s v=""/>
    <s v=""/>
  </r>
  <r>
    <x v="1"/>
    <x v="0"/>
    <x v="1"/>
    <x v="8"/>
    <x v="4"/>
    <s v="FGU92012478097"/>
    <s v=""/>
    <s v=""/>
    <s v=""/>
    <s v=""/>
    <s v=""/>
    <s v=""/>
    <s v=""/>
  </r>
  <r>
    <x v="1"/>
    <x v="0"/>
    <x v="1"/>
    <x v="0"/>
    <x v="5"/>
    <s v="FGU920124620100"/>
    <s v=""/>
    <s v=""/>
    <s v=""/>
    <s v=""/>
    <s v=""/>
    <s v=""/>
    <s v=""/>
  </r>
  <r>
    <x v="1"/>
    <x v="0"/>
    <x v="1"/>
    <x v="1"/>
    <x v="5"/>
    <s v="FGU920124640100"/>
    <s v=""/>
    <s v=""/>
    <s v=""/>
    <s v=""/>
    <s v=""/>
    <s v=""/>
    <s v=""/>
  </r>
  <r>
    <x v="1"/>
    <x v="0"/>
    <x v="1"/>
    <x v="2"/>
    <x v="5"/>
    <s v="FGU920124660100"/>
    <s v=""/>
    <s v=""/>
    <s v=""/>
    <s v=""/>
    <s v=""/>
    <s v=""/>
    <s v=""/>
  </r>
  <r>
    <x v="1"/>
    <x v="0"/>
    <x v="1"/>
    <x v="3"/>
    <x v="5"/>
    <s v="FGU920124680100"/>
    <s v=""/>
    <s v=""/>
    <s v=""/>
    <s v=""/>
    <s v=""/>
    <s v=""/>
    <s v=""/>
  </r>
  <r>
    <x v="1"/>
    <x v="0"/>
    <x v="1"/>
    <x v="4"/>
    <x v="5"/>
    <s v="FGU920124700100"/>
    <s v=""/>
    <s v=""/>
    <s v=""/>
    <s v=""/>
    <s v=""/>
    <s v=""/>
    <s v=""/>
  </r>
  <r>
    <x v="1"/>
    <x v="0"/>
    <x v="1"/>
    <x v="5"/>
    <x v="5"/>
    <s v="FGU920124720100"/>
    <s v=""/>
    <s v=""/>
    <s v=""/>
    <s v=""/>
    <s v=""/>
    <s v=""/>
    <s v=""/>
  </r>
  <r>
    <x v="1"/>
    <x v="0"/>
    <x v="1"/>
    <x v="6"/>
    <x v="5"/>
    <s v="FGU920124740100"/>
    <s v=""/>
    <s v=""/>
    <s v=""/>
    <s v=""/>
    <s v=""/>
    <s v=""/>
    <s v=""/>
  </r>
  <r>
    <x v="1"/>
    <x v="0"/>
    <x v="1"/>
    <x v="7"/>
    <x v="5"/>
    <s v="FGU920124760100"/>
    <s v=""/>
    <s v=""/>
    <s v=""/>
    <s v=""/>
    <s v=""/>
    <s v=""/>
    <s v=""/>
  </r>
  <r>
    <x v="1"/>
    <x v="0"/>
    <x v="1"/>
    <x v="8"/>
    <x v="5"/>
    <s v="FGU920124780100"/>
    <s v=""/>
    <s v=""/>
    <s v=""/>
    <s v=""/>
    <s v=""/>
    <s v=""/>
    <s v=""/>
  </r>
  <r>
    <x v="1"/>
    <x v="0"/>
    <x v="1"/>
    <x v="0"/>
    <x v="6"/>
    <s v="FGU920124620100+"/>
    <s v=""/>
    <s v=""/>
    <s v=""/>
    <s v=""/>
    <s v=""/>
    <s v=""/>
    <s v=""/>
  </r>
  <r>
    <x v="1"/>
    <x v="0"/>
    <x v="1"/>
    <x v="1"/>
    <x v="6"/>
    <s v="FGU920124640100+"/>
    <s v=""/>
    <s v=""/>
    <s v=""/>
    <s v=""/>
    <s v=""/>
    <s v=""/>
    <s v=""/>
  </r>
  <r>
    <x v="1"/>
    <x v="0"/>
    <x v="1"/>
    <x v="2"/>
    <x v="6"/>
    <s v="FGU920124660100+"/>
    <s v=""/>
    <s v=""/>
    <s v=""/>
    <s v=""/>
    <s v=""/>
    <s v=""/>
    <s v=""/>
  </r>
  <r>
    <x v="1"/>
    <x v="0"/>
    <x v="1"/>
    <x v="3"/>
    <x v="6"/>
    <s v="FGU920124680100+"/>
    <s v=""/>
    <s v=""/>
    <s v=""/>
    <s v=""/>
    <s v=""/>
    <s v=""/>
    <s v=""/>
  </r>
  <r>
    <x v="1"/>
    <x v="0"/>
    <x v="1"/>
    <x v="4"/>
    <x v="6"/>
    <s v="FGU920124700100+"/>
    <s v=""/>
    <s v=""/>
    <s v=""/>
    <s v=""/>
    <s v=""/>
    <s v=""/>
    <s v=""/>
  </r>
  <r>
    <x v="1"/>
    <x v="0"/>
    <x v="1"/>
    <x v="5"/>
    <x v="6"/>
    <s v="FGU920124720100+"/>
    <s v=""/>
    <s v=""/>
    <s v=""/>
    <s v=""/>
    <s v=""/>
    <s v=""/>
    <s v=""/>
  </r>
  <r>
    <x v="1"/>
    <x v="0"/>
    <x v="1"/>
    <x v="6"/>
    <x v="6"/>
    <s v="FGU920124740100+"/>
    <s v=""/>
    <s v=""/>
    <s v=""/>
    <s v=""/>
    <s v=""/>
    <s v=""/>
    <s v=""/>
  </r>
  <r>
    <x v="1"/>
    <x v="0"/>
    <x v="1"/>
    <x v="7"/>
    <x v="6"/>
    <s v="FGU920124760100+"/>
    <n v="6155194.6100000003"/>
    <n v="-44.72"/>
    <n v="-19.721800000000002"/>
    <n v="24.998200000000001"/>
    <n v="-18.0487"/>
    <n v="-3.1945000000000001"/>
    <n v="14.854200000000001"/>
  </r>
  <r>
    <x v="1"/>
    <x v="0"/>
    <x v="1"/>
    <x v="8"/>
    <x v="6"/>
    <s v="FGU920124780100+"/>
    <n v="2408820.9300000002"/>
    <n v="-52.4488638010343"/>
    <n v="-27.4488638010343"/>
    <n v="25"/>
    <n v="-28.789341402704402"/>
    <n v="-12.9863589566448"/>
    <n v="15.8029824460596"/>
  </r>
  <r>
    <x v="1"/>
    <x v="1"/>
    <x v="1"/>
    <x v="0"/>
    <x v="0"/>
    <s v="FGU92013462080"/>
    <s v=""/>
    <s v=""/>
    <s v=""/>
    <s v=""/>
    <s v=""/>
    <s v=""/>
    <s v=""/>
  </r>
  <r>
    <x v="1"/>
    <x v="1"/>
    <x v="1"/>
    <x v="1"/>
    <x v="0"/>
    <s v="FGU92013464080"/>
    <s v=""/>
    <s v=""/>
    <s v=""/>
    <s v=""/>
    <s v=""/>
    <s v=""/>
    <s v=""/>
  </r>
  <r>
    <x v="1"/>
    <x v="1"/>
    <x v="1"/>
    <x v="2"/>
    <x v="0"/>
    <s v="FGU92013466080"/>
    <s v=""/>
    <s v=""/>
    <s v=""/>
    <s v=""/>
    <s v=""/>
    <s v=""/>
    <s v=""/>
  </r>
  <r>
    <x v="1"/>
    <x v="1"/>
    <x v="1"/>
    <x v="3"/>
    <x v="0"/>
    <s v="FGU92013468080"/>
    <s v=""/>
    <s v=""/>
    <s v=""/>
    <s v=""/>
    <s v=""/>
    <s v=""/>
    <s v=""/>
  </r>
  <r>
    <x v="1"/>
    <x v="1"/>
    <x v="1"/>
    <x v="4"/>
    <x v="0"/>
    <s v="FGU92013470080"/>
    <s v=""/>
    <s v=""/>
    <s v=""/>
    <s v=""/>
    <s v=""/>
    <s v=""/>
    <s v=""/>
  </r>
  <r>
    <x v="1"/>
    <x v="1"/>
    <x v="1"/>
    <x v="5"/>
    <x v="0"/>
    <s v="FGU92013472080"/>
    <s v=""/>
    <s v=""/>
    <s v=""/>
    <s v=""/>
    <s v=""/>
    <s v=""/>
    <s v=""/>
  </r>
  <r>
    <x v="1"/>
    <x v="1"/>
    <x v="1"/>
    <x v="6"/>
    <x v="0"/>
    <s v="FGU92013474080"/>
    <s v=""/>
    <s v=""/>
    <s v=""/>
    <s v=""/>
    <s v=""/>
    <s v=""/>
    <s v=""/>
  </r>
  <r>
    <x v="1"/>
    <x v="1"/>
    <x v="1"/>
    <x v="7"/>
    <x v="0"/>
    <s v="FGU92013476080"/>
    <s v=""/>
    <s v=""/>
    <s v=""/>
    <s v=""/>
    <s v=""/>
    <s v=""/>
    <s v=""/>
  </r>
  <r>
    <x v="1"/>
    <x v="1"/>
    <x v="1"/>
    <x v="8"/>
    <x v="0"/>
    <s v="FGU92013478080"/>
    <s v=""/>
    <s v=""/>
    <s v=""/>
    <s v=""/>
    <s v=""/>
    <s v=""/>
    <s v=""/>
  </r>
  <r>
    <x v="1"/>
    <x v="1"/>
    <x v="1"/>
    <x v="0"/>
    <x v="1"/>
    <s v="FGU92013462085"/>
    <s v=""/>
    <s v=""/>
    <s v=""/>
    <s v=""/>
    <s v=""/>
    <s v=""/>
    <s v=""/>
  </r>
  <r>
    <x v="1"/>
    <x v="1"/>
    <x v="1"/>
    <x v="1"/>
    <x v="1"/>
    <s v="FGU92013464085"/>
    <s v=""/>
    <s v=""/>
    <s v=""/>
    <s v=""/>
    <s v=""/>
    <s v=""/>
    <s v=""/>
  </r>
  <r>
    <x v="1"/>
    <x v="1"/>
    <x v="1"/>
    <x v="2"/>
    <x v="1"/>
    <s v="FGU92013466085"/>
    <s v=""/>
    <s v=""/>
    <s v=""/>
    <s v=""/>
    <s v=""/>
    <s v=""/>
    <s v=""/>
  </r>
  <r>
    <x v="1"/>
    <x v="1"/>
    <x v="1"/>
    <x v="3"/>
    <x v="1"/>
    <s v="FGU92013468085"/>
    <s v=""/>
    <s v=""/>
    <s v=""/>
    <s v=""/>
    <s v=""/>
    <s v=""/>
    <s v=""/>
  </r>
  <r>
    <x v="1"/>
    <x v="1"/>
    <x v="1"/>
    <x v="4"/>
    <x v="1"/>
    <s v="FGU92013470085"/>
    <s v=""/>
    <s v=""/>
    <s v=""/>
    <s v=""/>
    <s v=""/>
    <s v=""/>
    <s v=""/>
  </r>
  <r>
    <x v="1"/>
    <x v="1"/>
    <x v="1"/>
    <x v="5"/>
    <x v="1"/>
    <s v="FGU92013472085"/>
    <s v=""/>
    <s v=""/>
    <s v=""/>
    <s v=""/>
    <s v=""/>
    <s v=""/>
    <s v=""/>
  </r>
  <r>
    <x v="1"/>
    <x v="1"/>
    <x v="1"/>
    <x v="6"/>
    <x v="1"/>
    <s v="FGU92013474085"/>
    <s v=""/>
    <s v=""/>
    <s v=""/>
    <s v=""/>
    <s v=""/>
    <s v=""/>
    <s v=""/>
  </r>
  <r>
    <x v="1"/>
    <x v="1"/>
    <x v="1"/>
    <x v="7"/>
    <x v="1"/>
    <s v="FGU92013476085"/>
    <s v=""/>
    <s v=""/>
    <s v=""/>
    <s v=""/>
    <s v=""/>
    <s v=""/>
    <s v=""/>
  </r>
  <r>
    <x v="1"/>
    <x v="1"/>
    <x v="1"/>
    <x v="8"/>
    <x v="1"/>
    <s v="FGU92013478085"/>
    <s v=""/>
    <s v=""/>
    <s v=""/>
    <s v=""/>
    <s v=""/>
    <s v=""/>
    <s v=""/>
  </r>
  <r>
    <x v="1"/>
    <x v="1"/>
    <x v="1"/>
    <x v="0"/>
    <x v="2"/>
    <s v="FGU92013462090"/>
    <s v=""/>
    <s v=""/>
    <s v=""/>
    <s v=""/>
    <s v=""/>
    <s v=""/>
    <s v=""/>
  </r>
  <r>
    <x v="1"/>
    <x v="1"/>
    <x v="1"/>
    <x v="1"/>
    <x v="2"/>
    <s v="FGU92013464090"/>
    <s v=""/>
    <s v=""/>
    <s v=""/>
    <s v=""/>
    <s v=""/>
    <s v=""/>
    <s v=""/>
  </r>
  <r>
    <x v="1"/>
    <x v="1"/>
    <x v="1"/>
    <x v="2"/>
    <x v="2"/>
    <s v="FGU92013466090"/>
    <s v=""/>
    <s v=""/>
    <s v=""/>
    <s v=""/>
    <s v=""/>
    <s v=""/>
    <s v=""/>
  </r>
  <r>
    <x v="1"/>
    <x v="1"/>
    <x v="1"/>
    <x v="3"/>
    <x v="2"/>
    <s v="FGU92013468090"/>
    <s v=""/>
    <s v=""/>
    <s v=""/>
    <s v=""/>
    <s v=""/>
    <s v=""/>
    <s v=""/>
  </r>
  <r>
    <x v="1"/>
    <x v="1"/>
    <x v="1"/>
    <x v="4"/>
    <x v="2"/>
    <s v="FGU92013470090"/>
    <s v=""/>
    <s v=""/>
    <s v=""/>
    <s v=""/>
    <s v=""/>
    <s v=""/>
    <s v=""/>
  </r>
  <r>
    <x v="1"/>
    <x v="1"/>
    <x v="1"/>
    <x v="5"/>
    <x v="2"/>
    <s v="FGU92013472090"/>
    <s v=""/>
    <s v=""/>
    <s v=""/>
    <s v=""/>
    <s v=""/>
    <s v=""/>
    <s v=""/>
  </r>
  <r>
    <x v="1"/>
    <x v="1"/>
    <x v="1"/>
    <x v="6"/>
    <x v="2"/>
    <s v="FGU92013474090"/>
    <s v=""/>
    <s v=""/>
    <s v=""/>
    <s v=""/>
    <s v=""/>
    <s v=""/>
    <s v=""/>
  </r>
  <r>
    <x v="1"/>
    <x v="1"/>
    <x v="1"/>
    <x v="7"/>
    <x v="2"/>
    <s v="FGU92013476090"/>
    <s v=""/>
    <s v=""/>
    <s v=""/>
    <s v=""/>
    <s v=""/>
    <s v=""/>
    <s v=""/>
  </r>
  <r>
    <x v="1"/>
    <x v="1"/>
    <x v="1"/>
    <x v="8"/>
    <x v="2"/>
    <s v="FGU92013478090"/>
    <s v=""/>
    <s v=""/>
    <s v=""/>
    <s v=""/>
    <s v=""/>
    <s v=""/>
    <s v=""/>
  </r>
  <r>
    <x v="1"/>
    <x v="1"/>
    <x v="1"/>
    <x v="0"/>
    <x v="3"/>
    <s v="FGU92013462095"/>
    <s v=""/>
    <s v=""/>
    <s v=""/>
    <s v=""/>
    <s v=""/>
    <s v=""/>
    <s v=""/>
  </r>
  <r>
    <x v="1"/>
    <x v="1"/>
    <x v="1"/>
    <x v="1"/>
    <x v="3"/>
    <s v="FGU92013464095"/>
    <s v=""/>
    <s v=""/>
    <s v=""/>
    <s v=""/>
    <s v=""/>
    <s v=""/>
    <s v=""/>
  </r>
  <r>
    <x v="1"/>
    <x v="1"/>
    <x v="1"/>
    <x v="2"/>
    <x v="3"/>
    <s v="FGU92013466095"/>
    <s v=""/>
    <s v=""/>
    <s v=""/>
    <s v=""/>
    <s v=""/>
    <s v=""/>
    <s v=""/>
  </r>
  <r>
    <x v="1"/>
    <x v="1"/>
    <x v="1"/>
    <x v="3"/>
    <x v="3"/>
    <s v="FGU92013468095"/>
    <s v=""/>
    <s v=""/>
    <s v=""/>
    <s v=""/>
    <s v=""/>
    <s v=""/>
    <s v=""/>
  </r>
  <r>
    <x v="1"/>
    <x v="1"/>
    <x v="1"/>
    <x v="4"/>
    <x v="3"/>
    <s v="FGU92013470095"/>
    <s v=""/>
    <s v=""/>
    <s v=""/>
    <s v=""/>
    <s v=""/>
    <s v=""/>
    <s v=""/>
  </r>
  <r>
    <x v="1"/>
    <x v="1"/>
    <x v="1"/>
    <x v="5"/>
    <x v="3"/>
    <s v="FGU92013472095"/>
    <s v=""/>
    <s v=""/>
    <s v=""/>
    <s v=""/>
    <s v=""/>
    <s v=""/>
    <s v=""/>
  </r>
  <r>
    <x v="1"/>
    <x v="1"/>
    <x v="1"/>
    <x v="6"/>
    <x v="3"/>
    <s v="FGU92013474095"/>
    <s v=""/>
    <s v=""/>
    <s v=""/>
    <s v=""/>
    <s v=""/>
    <s v=""/>
    <s v=""/>
  </r>
  <r>
    <x v="1"/>
    <x v="1"/>
    <x v="1"/>
    <x v="7"/>
    <x v="3"/>
    <s v="FGU92013476095"/>
    <s v=""/>
    <s v=""/>
    <s v=""/>
    <s v=""/>
    <s v=""/>
    <s v=""/>
    <s v=""/>
  </r>
  <r>
    <x v="1"/>
    <x v="1"/>
    <x v="1"/>
    <x v="8"/>
    <x v="3"/>
    <s v="FGU92013478095"/>
    <s v=""/>
    <s v=""/>
    <s v=""/>
    <s v=""/>
    <s v=""/>
    <s v=""/>
    <s v=""/>
  </r>
  <r>
    <x v="1"/>
    <x v="1"/>
    <x v="1"/>
    <x v="0"/>
    <x v="4"/>
    <s v="FGU92013462097"/>
    <s v=""/>
    <s v=""/>
    <s v=""/>
    <s v=""/>
    <s v=""/>
    <s v=""/>
    <s v=""/>
  </r>
  <r>
    <x v="1"/>
    <x v="1"/>
    <x v="1"/>
    <x v="1"/>
    <x v="4"/>
    <s v="FGU92013464097"/>
    <s v=""/>
    <s v=""/>
    <s v=""/>
    <s v=""/>
    <s v=""/>
    <s v=""/>
    <s v=""/>
  </r>
  <r>
    <x v="1"/>
    <x v="1"/>
    <x v="1"/>
    <x v="2"/>
    <x v="4"/>
    <s v="FGU92013466097"/>
    <s v=""/>
    <s v=""/>
    <s v=""/>
    <s v=""/>
    <s v=""/>
    <s v=""/>
    <s v=""/>
  </r>
  <r>
    <x v="1"/>
    <x v="1"/>
    <x v="1"/>
    <x v="3"/>
    <x v="4"/>
    <s v="FGU92013468097"/>
    <s v=""/>
    <s v=""/>
    <s v=""/>
    <s v=""/>
    <s v=""/>
    <s v=""/>
    <s v=""/>
  </r>
  <r>
    <x v="1"/>
    <x v="1"/>
    <x v="1"/>
    <x v="4"/>
    <x v="4"/>
    <s v="FGU92013470097"/>
    <s v=""/>
    <s v=""/>
    <s v=""/>
    <s v=""/>
    <s v=""/>
    <s v=""/>
    <s v=""/>
  </r>
  <r>
    <x v="1"/>
    <x v="1"/>
    <x v="1"/>
    <x v="5"/>
    <x v="4"/>
    <s v="FGU92013472097"/>
    <s v=""/>
    <s v=""/>
    <s v=""/>
    <s v=""/>
    <s v=""/>
    <s v=""/>
    <s v=""/>
  </r>
  <r>
    <x v="1"/>
    <x v="1"/>
    <x v="1"/>
    <x v="6"/>
    <x v="4"/>
    <s v="FGU92013474097"/>
    <s v=""/>
    <s v=""/>
    <s v=""/>
    <s v=""/>
    <s v=""/>
    <s v=""/>
    <s v=""/>
  </r>
  <r>
    <x v="1"/>
    <x v="1"/>
    <x v="1"/>
    <x v="7"/>
    <x v="4"/>
    <s v="FGU92013476097"/>
    <s v=""/>
    <s v=""/>
    <s v=""/>
    <s v=""/>
    <s v=""/>
    <s v=""/>
    <s v=""/>
  </r>
  <r>
    <x v="1"/>
    <x v="1"/>
    <x v="1"/>
    <x v="8"/>
    <x v="4"/>
    <s v="FGU92013478097"/>
    <s v=""/>
    <s v=""/>
    <s v=""/>
    <s v=""/>
    <s v=""/>
    <s v=""/>
    <s v=""/>
  </r>
  <r>
    <x v="1"/>
    <x v="1"/>
    <x v="1"/>
    <x v="0"/>
    <x v="5"/>
    <s v="FGU920134620100"/>
    <s v=""/>
    <s v=""/>
    <s v=""/>
    <s v=""/>
    <s v=""/>
    <s v=""/>
    <s v=""/>
  </r>
  <r>
    <x v="1"/>
    <x v="1"/>
    <x v="1"/>
    <x v="1"/>
    <x v="5"/>
    <s v="FGU920134640100"/>
    <s v=""/>
    <s v=""/>
    <s v=""/>
    <s v=""/>
    <s v=""/>
    <s v=""/>
    <s v=""/>
  </r>
  <r>
    <x v="1"/>
    <x v="1"/>
    <x v="1"/>
    <x v="2"/>
    <x v="5"/>
    <s v="FGU920134660100"/>
    <s v=""/>
    <s v=""/>
    <s v=""/>
    <s v=""/>
    <s v=""/>
    <s v=""/>
    <s v=""/>
  </r>
  <r>
    <x v="1"/>
    <x v="1"/>
    <x v="1"/>
    <x v="3"/>
    <x v="5"/>
    <s v="FGU920134680100"/>
    <s v=""/>
    <s v=""/>
    <s v=""/>
    <s v=""/>
    <s v=""/>
    <s v=""/>
    <s v=""/>
  </r>
  <r>
    <x v="1"/>
    <x v="1"/>
    <x v="1"/>
    <x v="4"/>
    <x v="5"/>
    <s v="FGU920134700100"/>
    <s v=""/>
    <s v=""/>
    <s v=""/>
    <s v=""/>
    <s v=""/>
    <s v=""/>
    <s v=""/>
  </r>
  <r>
    <x v="1"/>
    <x v="1"/>
    <x v="1"/>
    <x v="5"/>
    <x v="5"/>
    <s v="FGU920134720100"/>
    <n v="9861007.8100000005"/>
    <n v="-55.9709"/>
    <n v="-30.971699999999998"/>
    <n v="24.999199999999998"/>
    <n v="-39.497599999999998"/>
    <n v="-23.298500000000001"/>
    <n v="16.199100000000001"/>
  </r>
  <r>
    <x v="1"/>
    <x v="1"/>
    <x v="1"/>
    <x v="6"/>
    <x v="5"/>
    <s v="FGU920134740100"/>
    <n v="8997663.9199999999"/>
    <n v="-43.403500000000001"/>
    <n v="-18.404199999999999"/>
    <n v="24.999300000000002"/>
    <n v="-25.3368"/>
    <n v="-8.9673999999999996"/>
    <n v="16.369399999999999"/>
  </r>
  <r>
    <x v="1"/>
    <x v="1"/>
    <x v="1"/>
    <x v="7"/>
    <x v="5"/>
    <s v="FGU920134760100"/>
    <n v="4622251.0199999996"/>
    <n v="-40.321800000000003"/>
    <n v="-15.322800000000001"/>
    <n v="24.998999999999999"/>
    <n v="-24.814800000000002"/>
    <n v="-7.9321999999999999"/>
    <n v="16.8826"/>
  </r>
  <r>
    <x v="1"/>
    <x v="1"/>
    <x v="1"/>
    <x v="8"/>
    <x v="5"/>
    <s v="FGU920134780100"/>
    <s v=""/>
    <s v=""/>
    <s v=""/>
    <s v=""/>
    <s v=""/>
    <s v=""/>
    <s v=""/>
  </r>
  <r>
    <x v="1"/>
    <x v="1"/>
    <x v="1"/>
    <x v="0"/>
    <x v="6"/>
    <s v="FGU920134620100+"/>
    <s v=""/>
    <s v=""/>
    <s v=""/>
    <s v=""/>
    <s v=""/>
    <s v=""/>
    <s v=""/>
  </r>
  <r>
    <x v="1"/>
    <x v="1"/>
    <x v="1"/>
    <x v="1"/>
    <x v="6"/>
    <s v="FGU920134640100+"/>
    <s v=""/>
    <s v=""/>
    <s v=""/>
    <s v=""/>
    <s v=""/>
    <s v=""/>
    <s v=""/>
  </r>
  <r>
    <x v="1"/>
    <x v="1"/>
    <x v="1"/>
    <x v="2"/>
    <x v="6"/>
    <s v="FGU920134660100+"/>
    <s v=""/>
    <s v=""/>
    <s v=""/>
    <s v=""/>
    <s v=""/>
    <s v=""/>
    <s v=""/>
  </r>
  <r>
    <x v="1"/>
    <x v="1"/>
    <x v="1"/>
    <x v="3"/>
    <x v="6"/>
    <s v="FGU920134680100+"/>
    <n v="2069224.22"/>
    <n v="-30.067359626664299"/>
    <n v="-5.0677175996750998"/>
    <n v="24.9996420269892"/>
    <n v="-29.098491719654699"/>
    <n v="-5.0366099503083301"/>
    <n v="24.0618817693463"/>
  </r>
  <r>
    <x v="1"/>
    <x v="1"/>
    <x v="1"/>
    <x v="4"/>
    <x v="6"/>
    <s v="FGU920134700100+"/>
    <s v=""/>
    <s v=""/>
    <s v=""/>
    <s v=""/>
    <s v=""/>
    <s v=""/>
    <s v=""/>
  </r>
  <r>
    <x v="1"/>
    <x v="1"/>
    <x v="1"/>
    <x v="5"/>
    <x v="6"/>
    <s v="FGU920134720100+"/>
    <s v=""/>
    <s v=""/>
    <s v=""/>
    <s v=""/>
    <s v=""/>
    <s v=""/>
    <s v=""/>
  </r>
  <r>
    <x v="1"/>
    <x v="1"/>
    <x v="1"/>
    <x v="6"/>
    <x v="6"/>
    <s v="FGU920134740100+"/>
    <n v="234762406.55000001"/>
    <n v="-46.894666193268101"/>
    <n v="-21.895214899664801"/>
    <n v="24.9994512936033"/>
    <n v="-38.790572771700198"/>
    <n v="-18.152672967025602"/>
    <n v="20.6378998046746"/>
  </r>
  <r>
    <x v="1"/>
    <x v="1"/>
    <x v="1"/>
    <x v="7"/>
    <x v="6"/>
    <s v="FGU920134760100+"/>
    <n v="8943822.4000000004"/>
    <n v="-48.1907"/>
    <n v="-23.191800000000001"/>
    <n v="24.998899999999999"/>
    <n v="-43.133600000000001"/>
    <n v="-21.0274"/>
    <n v="22.106200000000001"/>
  </r>
  <r>
    <x v="1"/>
    <x v="1"/>
    <x v="1"/>
    <x v="8"/>
    <x v="6"/>
    <s v="FGU920134780100+"/>
    <n v="459973.58"/>
    <n v="-12.414099999999999"/>
    <n v="12.585800000000001"/>
    <n v="24.9999"/>
    <n v="2.9226000000000001"/>
    <n v="21.349299999999999"/>
    <n v="18.4267"/>
  </r>
  <r>
    <x v="1"/>
    <x v="2"/>
    <x v="1"/>
    <x v="0"/>
    <x v="0"/>
    <s v="FGU92014462080"/>
    <s v=""/>
    <s v=""/>
    <s v=""/>
    <s v=""/>
    <s v=""/>
    <s v=""/>
    <s v=""/>
  </r>
  <r>
    <x v="1"/>
    <x v="2"/>
    <x v="1"/>
    <x v="1"/>
    <x v="0"/>
    <s v="FGU92014464080"/>
    <s v=""/>
    <s v=""/>
    <s v=""/>
    <s v=""/>
    <s v=""/>
    <s v=""/>
    <s v=""/>
  </r>
  <r>
    <x v="1"/>
    <x v="2"/>
    <x v="1"/>
    <x v="2"/>
    <x v="0"/>
    <s v="FGU92014466080"/>
    <s v=""/>
    <s v=""/>
    <s v=""/>
    <s v=""/>
    <s v=""/>
    <s v=""/>
    <s v=""/>
  </r>
  <r>
    <x v="1"/>
    <x v="2"/>
    <x v="1"/>
    <x v="3"/>
    <x v="0"/>
    <s v="FGU92014468080"/>
    <s v=""/>
    <s v=""/>
    <s v=""/>
    <s v=""/>
    <s v=""/>
    <s v=""/>
    <s v=""/>
  </r>
  <r>
    <x v="1"/>
    <x v="2"/>
    <x v="1"/>
    <x v="4"/>
    <x v="0"/>
    <s v="FGU92014470080"/>
    <s v=""/>
    <s v=""/>
    <s v=""/>
    <s v=""/>
    <s v=""/>
    <s v=""/>
    <s v=""/>
  </r>
  <r>
    <x v="1"/>
    <x v="2"/>
    <x v="1"/>
    <x v="5"/>
    <x v="0"/>
    <s v="FGU92014472080"/>
    <s v=""/>
    <s v=""/>
    <s v=""/>
    <s v=""/>
    <s v=""/>
    <s v=""/>
    <s v=""/>
  </r>
  <r>
    <x v="1"/>
    <x v="2"/>
    <x v="1"/>
    <x v="6"/>
    <x v="0"/>
    <s v="FGU92014474080"/>
    <s v=""/>
    <s v=""/>
    <s v=""/>
    <s v=""/>
    <s v=""/>
    <s v=""/>
    <s v=""/>
  </r>
  <r>
    <x v="1"/>
    <x v="2"/>
    <x v="1"/>
    <x v="7"/>
    <x v="0"/>
    <s v="FGU92014476080"/>
    <s v=""/>
    <s v=""/>
    <s v=""/>
    <s v=""/>
    <s v=""/>
    <s v=""/>
    <s v=""/>
  </r>
  <r>
    <x v="1"/>
    <x v="2"/>
    <x v="1"/>
    <x v="8"/>
    <x v="0"/>
    <s v="FGU92014478080"/>
    <s v=""/>
    <s v=""/>
    <s v=""/>
    <s v=""/>
    <s v=""/>
    <s v=""/>
    <s v=""/>
  </r>
  <r>
    <x v="1"/>
    <x v="2"/>
    <x v="1"/>
    <x v="0"/>
    <x v="1"/>
    <s v="FGU92014462085"/>
    <s v=""/>
    <s v=""/>
    <s v=""/>
    <s v=""/>
    <s v=""/>
    <s v=""/>
    <s v=""/>
  </r>
  <r>
    <x v="1"/>
    <x v="2"/>
    <x v="1"/>
    <x v="1"/>
    <x v="1"/>
    <s v="FGU92014464085"/>
    <s v=""/>
    <s v=""/>
    <s v=""/>
    <s v=""/>
    <s v=""/>
    <s v=""/>
    <s v=""/>
  </r>
  <r>
    <x v="1"/>
    <x v="2"/>
    <x v="1"/>
    <x v="2"/>
    <x v="1"/>
    <s v="FGU92014466085"/>
    <s v=""/>
    <s v=""/>
    <s v=""/>
    <s v=""/>
    <s v=""/>
    <s v=""/>
    <s v=""/>
  </r>
  <r>
    <x v="1"/>
    <x v="2"/>
    <x v="1"/>
    <x v="3"/>
    <x v="1"/>
    <s v="FGU92014468085"/>
    <s v=""/>
    <s v=""/>
    <s v=""/>
    <s v=""/>
    <s v=""/>
    <s v=""/>
    <s v=""/>
  </r>
  <r>
    <x v="1"/>
    <x v="2"/>
    <x v="1"/>
    <x v="4"/>
    <x v="1"/>
    <s v="FGU92014470085"/>
    <s v=""/>
    <s v=""/>
    <s v=""/>
    <s v=""/>
    <s v=""/>
    <s v=""/>
    <s v=""/>
  </r>
  <r>
    <x v="1"/>
    <x v="2"/>
    <x v="1"/>
    <x v="5"/>
    <x v="1"/>
    <s v="FGU92014472085"/>
    <s v=""/>
    <s v=""/>
    <s v=""/>
    <s v=""/>
    <s v=""/>
    <s v=""/>
    <s v=""/>
  </r>
  <r>
    <x v="1"/>
    <x v="2"/>
    <x v="1"/>
    <x v="6"/>
    <x v="1"/>
    <s v="FGU92014474085"/>
    <s v=""/>
    <s v=""/>
    <s v=""/>
    <s v=""/>
    <s v=""/>
    <s v=""/>
    <s v=""/>
  </r>
  <r>
    <x v="1"/>
    <x v="2"/>
    <x v="1"/>
    <x v="7"/>
    <x v="1"/>
    <s v="FGU92014476085"/>
    <s v=""/>
    <s v=""/>
    <s v=""/>
    <s v=""/>
    <s v=""/>
    <s v=""/>
    <s v=""/>
  </r>
  <r>
    <x v="1"/>
    <x v="2"/>
    <x v="1"/>
    <x v="8"/>
    <x v="1"/>
    <s v="FGU92014478085"/>
    <s v=""/>
    <s v=""/>
    <s v=""/>
    <s v=""/>
    <s v=""/>
    <s v=""/>
    <s v=""/>
  </r>
  <r>
    <x v="1"/>
    <x v="2"/>
    <x v="1"/>
    <x v="0"/>
    <x v="2"/>
    <s v="FGU92014462090"/>
    <s v=""/>
    <s v=""/>
    <s v=""/>
    <s v=""/>
    <s v=""/>
    <s v=""/>
    <s v=""/>
  </r>
  <r>
    <x v="1"/>
    <x v="2"/>
    <x v="1"/>
    <x v="1"/>
    <x v="2"/>
    <s v="FGU92014464090"/>
    <s v=""/>
    <s v=""/>
    <s v=""/>
    <s v=""/>
    <s v=""/>
    <s v=""/>
    <s v=""/>
  </r>
  <r>
    <x v="1"/>
    <x v="2"/>
    <x v="1"/>
    <x v="2"/>
    <x v="2"/>
    <s v="FGU92014466090"/>
    <s v=""/>
    <s v=""/>
    <s v=""/>
    <s v=""/>
    <s v=""/>
    <s v=""/>
    <s v=""/>
  </r>
  <r>
    <x v="1"/>
    <x v="2"/>
    <x v="1"/>
    <x v="3"/>
    <x v="2"/>
    <s v="FGU92014468090"/>
    <s v=""/>
    <s v=""/>
    <s v=""/>
    <s v=""/>
    <s v=""/>
    <s v=""/>
    <s v=""/>
  </r>
  <r>
    <x v="1"/>
    <x v="2"/>
    <x v="1"/>
    <x v="4"/>
    <x v="2"/>
    <s v="FGU92014470090"/>
    <s v=""/>
    <s v=""/>
    <s v=""/>
    <s v=""/>
    <s v=""/>
    <s v=""/>
    <s v=""/>
  </r>
  <r>
    <x v="1"/>
    <x v="2"/>
    <x v="1"/>
    <x v="5"/>
    <x v="2"/>
    <s v="FGU92014472090"/>
    <s v=""/>
    <s v=""/>
    <s v=""/>
    <s v=""/>
    <s v=""/>
    <s v=""/>
    <s v=""/>
  </r>
  <r>
    <x v="1"/>
    <x v="2"/>
    <x v="1"/>
    <x v="6"/>
    <x v="2"/>
    <s v="FGU92014474090"/>
    <s v=""/>
    <s v=""/>
    <s v=""/>
    <s v=""/>
    <s v=""/>
    <s v=""/>
    <s v=""/>
  </r>
  <r>
    <x v="1"/>
    <x v="2"/>
    <x v="1"/>
    <x v="7"/>
    <x v="2"/>
    <s v="FGU92014476090"/>
    <s v=""/>
    <s v=""/>
    <s v=""/>
    <s v=""/>
    <s v=""/>
    <s v=""/>
    <s v=""/>
  </r>
  <r>
    <x v="1"/>
    <x v="2"/>
    <x v="1"/>
    <x v="8"/>
    <x v="2"/>
    <s v="FGU92014478090"/>
    <s v=""/>
    <s v=""/>
    <s v=""/>
    <s v=""/>
    <s v=""/>
    <s v=""/>
    <s v=""/>
  </r>
  <r>
    <x v="1"/>
    <x v="2"/>
    <x v="1"/>
    <x v="0"/>
    <x v="3"/>
    <s v="FGU92014462095"/>
    <s v=""/>
    <s v=""/>
    <s v=""/>
    <s v=""/>
    <s v=""/>
    <s v=""/>
    <s v=""/>
  </r>
  <r>
    <x v="1"/>
    <x v="2"/>
    <x v="1"/>
    <x v="1"/>
    <x v="3"/>
    <s v="FGU92014464095"/>
    <s v=""/>
    <s v=""/>
    <s v=""/>
    <s v=""/>
    <s v=""/>
    <s v=""/>
    <s v=""/>
  </r>
  <r>
    <x v="1"/>
    <x v="2"/>
    <x v="1"/>
    <x v="2"/>
    <x v="3"/>
    <s v="FGU92014466095"/>
    <s v=""/>
    <s v=""/>
    <s v=""/>
    <s v=""/>
    <s v=""/>
    <s v=""/>
    <s v=""/>
  </r>
  <r>
    <x v="1"/>
    <x v="2"/>
    <x v="1"/>
    <x v="3"/>
    <x v="3"/>
    <s v="FGU92014468095"/>
    <s v=""/>
    <s v=""/>
    <s v=""/>
    <s v=""/>
    <s v=""/>
    <s v=""/>
    <s v=""/>
  </r>
  <r>
    <x v="1"/>
    <x v="2"/>
    <x v="1"/>
    <x v="4"/>
    <x v="3"/>
    <s v="FGU92014470095"/>
    <s v=""/>
    <s v=""/>
    <s v=""/>
    <s v=""/>
    <s v=""/>
    <s v=""/>
    <s v=""/>
  </r>
  <r>
    <x v="1"/>
    <x v="2"/>
    <x v="1"/>
    <x v="5"/>
    <x v="3"/>
    <s v="FGU92014472095"/>
    <s v=""/>
    <s v=""/>
    <s v=""/>
    <s v=""/>
    <s v=""/>
    <s v=""/>
    <s v=""/>
  </r>
  <r>
    <x v="1"/>
    <x v="2"/>
    <x v="1"/>
    <x v="6"/>
    <x v="3"/>
    <s v="FGU92014474095"/>
    <s v=""/>
    <s v=""/>
    <s v=""/>
    <s v=""/>
    <s v=""/>
    <s v=""/>
    <s v=""/>
  </r>
  <r>
    <x v="1"/>
    <x v="2"/>
    <x v="1"/>
    <x v="7"/>
    <x v="3"/>
    <s v="FGU92014476095"/>
    <s v=""/>
    <s v=""/>
    <s v=""/>
    <s v=""/>
    <s v=""/>
    <s v=""/>
    <s v=""/>
  </r>
  <r>
    <x v="1"/>
    <x v="2"/>
    <x v="1"/>
    <x v="8"/>
    <x v="3"/>
    <s v="FGU92014478095"/>
    <s v=""/>
    <s v=""/>
    <s v=""/>
    <s v=""/>
    <s v=""/>
    <s v=""/>
    <s v=""/>
  </r>
  <r>
    <x v="1"/>
    <x v="2"/>
    <x v="1"/>
    <x v="0"/>
    <x v="4"/>
    <s v="FGU92014462097"/>
    <s v=""/>
    <s v=""/>
    <s v=""/>
    <s v=""/>
    <s v=""/>
    <s v=""/>
    <s v=""/>
  </r>
  <r>
    <x v="1"/>
    <x v="2"/>
    <x v="1"/>
    <x v="1"/>
    <x v="4"/>
    <s v="FGU92014464097"/>
    <s v=""/>
    <s v=""/>
    <s v=""/>
    <s v=""/>
    <s v=""/>
    <s v=""/>
    <s v=""/>
  </r>
  <r>
    <x v="1"/>
    <x v="2"/>
    <x v="1"/>
    <x v="2"/>
    <x v="4"/>
    <s v="FGU92014466097"/>
    <s v=""/>
    <s v=""/>
    <s v=""/>
    <s v=""/>
    <s v=""/>
    <s v=""/>
    <s v=""/>
  </r>
  <r>
    <x v="1"/>
    <x v="2"/>
    <x v="1"/>
    <x v="3"/>
    <x v="4"/>
    <s v="FGU92014468097"/>
    <s v=""/>
    <s v=""/>
    <s v=""/>
    <s v=""/>
    <s v=""/>
    <s v=""/>
    <s v=""/>
  </r>
  <r>
    <x v="1"/>
    <x v="2"/>
    <x v="1"/>
    <x v="4"/>
    <x v="4"/>
    <s v="FGU92014470097"/>
    <s v=""/>
    <s v=""/>
    <s v=""/>
    <s v=""/>
    <s v=""/>
    <s v=""/>
    <s v=""/>
  </r>
  <r>
    <x v="1"/>
    <x v="2"/>
    <x v="1"/>
    <x v="5"/>
    <x v="4"/>
    <s v="FGU92014472097"/>
    <s v=""/>
    <s v=""/>
    <s v=""/>
    <s v=""/>
    <s v=""/>
    <s v=""/>
    <s v=""/>
  </r>
  <r>
    <x v="1"/>
    <x v="2"/>
    <x v="1"/>
    <x v="6"/>
    <x v="4"/>
    <s v="FGU92014474097"/>
    <s v=""/>
    <s v=""/>
    <s v=""/>
    <s v=""/>
    <s v=""/>
    <s v=""/>
    <s v=""/>
  </r>
  <r>
    <x v="1"/>
    <x v="2"/>
    <x v="1"/>
    <x v="7"/>
    <x v="4"/>
    <s v="FGU92014476097"/>
    <s v=""/>
    <s v=""/>
    <s v=""/>
    <s v=""/>
    <s v=""/>
    <s v=""/>
    <s v=""/>
  </r>
  <r>
    <x v="1"/>
    <x v="2"/>
    <x v="1"/>
    <x v="8"/>
    <x v="4"/>
    <s v="FGU92014478097"/>
    <s v=""/>
    <s v=""/>
    <s v=""/>
    <s v=""/>
    <s v=""/>
    <s v=""/>
    <s v=""/>
  </r>
  <r>
    <x v="1"/>
    <x v="2"/>
    <x v="1"/>
    <x v="0"/>
    <x v="5"/>
    <s v="FGU920144620100"/>
    <s v=""/>
    <s v=""/>
    <s v=""/>
    <s v=""/>
    <s v=""/>
    <s v=""/>
    <s v=""/>
  </r>
  <r>
    <x v="1"/>
    <x v="2"/>
    <x v="1"/>
    <x v="1"/>
    <x v="5"/>
    <s v="FGU920144640100"/>
    <s v=""/>
    <s v=""/>
    <s v=""/>
    <s v=""/>
    <s v=""/>
    <s v=""/>
    <s v=""/>
  </r>
  <r>
    <x v="1"/>
    <x v="2"/>
    <x v="1"/>
    <x v="2"/>
    <x v="5"/>
    <s v="FGU920144660100"/>
    <s v=""/>
    <s v=""/>
    <s v=""/>
    <s v=""/>
    <s v=""/>
    <s v=""/>
    <s v=""/>
  </r>
  <r>
    <x v="1"/>
    <x v="2"/>
    <x v="1"/>
    <x v="3"/>
    <x v="5"/>
    <s v="FGU920144680100"/>
    <s v=""/>
    <s v=""/>
    <s v=""/>
    <s v=""/>
    <s v=""/>
    <s v=""/>
    <s v=""/>
  </r>
  <r>
    <x v="1"/>
    <x v="2"/>
    <x v="1"/>
    <x v="4"/>
    <x v="5"/>
    <s v="FGU920144700100"/>
    <s v=""/>
    <s v=""/>
    <s v=""/>
    <s v=""/>
    <s v=""/>
    <s v=""/>
    <s v=""/>
  </r>
  <r>
    <x v="1"/>
    <x v="2"/>
    <x v="1"/>
    <x v="5"/>
    <x v="5"/>
    <s v="FGU920144720100"/>
    <s v=""/>
    <s v=""/>
    <s v=""/>
    <s v=""/>
    <s v=""/>
    <s v=""/>
    <s v=""/>
  </r>
  <r>
    <x v="1"/>
    <x v="2"/>
    <x v="1"/>
    <x v="6"/>
    <x v="5"/>
    <s v="FGU920144740100"/>
    <s v=""/>
    <s v=""/>
    <s v=""/>
    <s v=""/>
    <s v=""/>
    <s v=""/>
    <s v=""/>
  </r>
  <r>
    <x v="1"/>
    <x v="2"/>
    <x v="1"/>
    <x v="7"/>
    <x v="5"/>
    <s v="FGU920144760100"/>
    <s v=""/>
    <s v=""/>
    <s v=""/>
    <s v=""/>
    <s v=""/>
    <s v=""/>
    <s v=""/>
  </r>
  <r>
    <x v="1"/>
    <x v="2"/>
    <x v="1"/>
    <x v="8"/>
    <x v="5"/>
    <s v="FGU920144780100"/>
    <s v=""/>
    <s v=""/>
    <s v=""/>
    <s v=""/>
    <s v=""/>
    <s v=""/>
    <s v=""/>
  </r>
  <r>
    <x v="1"/>
    <x v="2"/>
    <x v="1"/>
    <x v="0"/>
    <x v="6"/>
    <s v="FGU920144620100+"/>
    <s v=""/>
    <s v=""/>
    <s v=""/>
    <s v=""/>
    <s v=""/>
    <s v=""/>
    <s v=""/>
  </r>
  <r>
    <x v="1"/>
    <x v="2"/>
    <x v="1"/>
    <x v="1"/>
    <x v="6"/>
    <s v="FGU920144640100+"/>
    <s v=""/>
    <s v=""/>
    <s v=""/>
    <s v=""/>
    <s v=""/>
    <s v=""/>
    <s v=""/>
  </r>
  <r>
    <x v="1"/>
    <x v="2"/>
    <x v="1"/>
    <x v="2"/>
    <x v="6"/>
    <s v="FGU920144660100+"/>
    <s v=""/>
    <s v=""/>
    <s v=""/>
    <s v=""/>
    <s v=""/>
    <s v=""/>
    <s v=""/>
  </r>
  <r>
    <x v="1"/>
    <x v="2"/>
    <x v="1"/>
    <x v="3"/>
    <x v="6"/>
    <s v="FGU920144680100+"/>
    <s v=""/>
    <s v=""/>
    <s v=""/>
    <s v=""/>
    <s v=""/>
    <s v=""/>
    <s v=""/>
  </r>
  <r>
    <x v="1"/>
    <x v="2"/>
    <x v="1"/>
    <x v="4"/>
    <x v="6"/>
    <s v="FGU920144700100+"/>
    <s v=""/>
    <s v=""/>
    <s v=""/>
    <s v=""/>
    <s v=""/>
    <s v=""/>
    <s v=""/>
  </r>
  <r>
    <x v="1"/>
    <x v="2"/>
    <x v="1"/>
    <x v="5"/>
    <x v="6"/>
    <s v="FGU920144720100+"/>
    <s v=""/>
    <s v=""/>
    <s v=""/>
    <s v=""/>
    <s v=""/>
    <s v=""/>
    <s v=""/>
  </r>
  <r>
    <x v="1"/>
    <x v="2"/>
    <x v="1"/>
    <x v="6"/>
    <x v="6"/>
    <s v="FGU920144740100+"/>
    <s v=""/>
    <s v=""/>
    <s v=""/>
    <s v=""/>
    <s v=""/>
    <s v=""/>
    <s v=""/>
  </r>
  <r>
    <x v="1"/>
    <x v="2"/>
    <x v="1"/>
    <x v="7"/>
    <x v="6"/>
    <s v="FGU920144760100+"/>
    <s v=""/>
    <s v=""/>
    <s v=""/>
    <s v=""/>
    <s v=""/>
    <s v=""/>
    <s v=""/>
  </r>
  <r>
    <x v="1"/>
    <x v="2"/>
    <x v="1"/>
    <x v="8"/>
    <x v="6"/>
    <s v="FGU920144780100+"/>
    <s v=""/>
    <s v=""/>
    <s v=""/>
    <s v=""/>
    <s v=""/>
    <s v=""/>
    <s v=""/>
  </r>
  <r>
    <x v="1"/>
    <x v="0"/>
    <x v="2"/>
    <x v="0"/>
    <x v="0"/>
    <s v="FGU920124.562080"/>
    <s v=""/>
    <s v=""/>
    <s v=""/>
    <s v=""/>
    <s v=""/>
    <s v=""/>
    <s v=""/>
  </r>
  <r>
    <x v="1"/>
    <x v="0"/>
    <x v="2"/>
    <x v="1"/>
    <x v="0"/>
    <s v="FGU920124.564080"/>
    <s v=""/>
    <s v=""/>
    <s v=""/>
    <s v=""/>
    <s v=""/>
    <s v=""/>
    <s v=""/>
  </r>
  <r>
    <x v="1"/>
    <x v="0"/>
    <x v="2"/>
    <x v="2"/>
    <x v="0"/>
    <s v="FGU920124.566080"/>
    <s v=""/>
    <s v=""/>
    <s v=""/>
    <s v=""/>
    <s v=""/>
    <s v=""/>
    <s v=""/>
  </r>
  <r>
    <x v="1"/>
    <x v="0"/>
    <x v="2"/>
    <x v="3"/>
    <x v="0"/>
    <s v="FGU920124.568080"/>
    <s v=""/>
    <s v=""/>
    <s v=""/>
    <s v=""/>
    <s v=""/>
    <s v=""/>
    <s v=""/>
  </r>
  <r>
    <x v="1"/>
    <x v="0"/>
    <x v="2"/>
    <x v="4"/>
    <x v="0"/>
    <s v="FGU920124.570080"/>
    <s v=""/>
    <s v=""/>
    <s v=""/>
    <s v=""/>
    <s v=""/>
    <s v=""/>
    <s v=""/>
  </r>
  <r>
    <x v="1"/>
    <x v="0"/>
    <x v="2"/>
    <x v="5"/>
    <x v="0"/>
    <s v="FGU920124.572080"/>
    <s v=""/>
    <s v=""/>
    <s v=""/>
    <s v=""/>
    <s v=""/>
    <s v=""/>
    <s v=""/>
  </r>
  <r>
    <x v="1"/>
    <x v="0"/>
    <x v="2"/>
    <x v="6"/>
    <x v="0"/>
    <s v="FGU920124.574080"/>
    <s v=""/>
    <s v=""/>
    <s v=""/>
    <s v=""/>
    <s v=""/>
    <s v=""/>
    <s v=""/>
  </r>
  <r>
    <x v="1"/>
    <x v="0"/>
    <x v="2"/>
    <x v="7"/>
    <x v="0"/>
    <s v="FGU920124.576080"/>
    <s v=""/>
    <s v=""/>
    <s v=""/>
    <s v=""/>
    <s v=""/>
    <s v=""/>
    <s v=""/>
  </r>
  <r>
    <x v="1"/>
    <x v="0"/>
    <x v="2"/>
    <x v="8"/>
    <x v="0"/>
    <s v="FGU920124.578080"/>
    <s v=""/>
    <s v=""/>
    <s v=""/>
    <s v=""/>
    <s v=""/>
    <s v=""/>
    <s v=""/>
  </r>
  <r>
    <x v="1"/>
    <x v="0"/>
    <x v="2"/>
    <x v="0"/>
    <x v="1"/>
    <s v="FGU920124.562085"/>
    <s v=""/>
    <s v=""/>
    <s v=""/>
    <s v=""/>
    <s v=""/>
    <s v=""/>
    <s v=""/>
  </r>
  <r>
    <x v="1"/>
    <x v="0"/>
    <x v="2"/>
    <x v="1"/>
    <x v="1"/>
    <s v="FGU920124.564085"/>
    <s v=""/>
    <s v=""/>
    <s v=""/>
    <s v=""/>
    <s v=""/>
    <s v=""/>
    <s v=""/>
  </r>
  <r>
    <x v="1"/>
    <x v="0"/>
    <x v="2"/>
    <x v="2"/>
    <x v="1"/>
    <s v="FGU920124.566085"/>
    <s v=""/>
    <s v=""/>
    <s v=""/>
    <s v=""/>
    <s v=""/>
    <s v=""/>
    <s v=""/>
  </r>
  <r>
    <x v="1"/>
    <x v="0"/>
    <x v="2"/>
    <x v="3"/>
    <x v="1"/>
    <s v="FGU920124.568085"/>
    <s v=""/>
    <s v=""/>
    <s v=""/>
    <s v=""/>
    <s v=""/>
    <s v=""/>
    <s v=""/>
  </r>
  <r>
    <x v="1"/>
    <x v="0"/>
    <x v="2"/>
    <x v="4"/>
    <x v="1"/>
    <s v="FGU920124.570085"/>
    <s v=""/>
    <s v=""/>
    <s v=""/>
    <s v=""/>
    <s v=""/>
    <s v=""/>
    <s v=""/>
  </r>
  <r>
    <x v="1"/>
    <x v="0"/>
    <x v="2"/>
    <x v="5"/>
    <x v="1"/>
    <s v="FGU920124.572085"/>
    <s v=""/>
    <s v=""/>
    <s v=""/>
    <s v=""/>
    <s v=""/>
    <s v=""/>
    <s v=""/>
  </r>
  <r>
    <x v="1"/>
    <x v="0"/>
    <x v="2"/>
    <x v="6"/>
    <x v="1"/>
    <s v="FGU920124.574085"/>
    <s v=""/>
    <s v=""/>
    <s v=""/>
    <s v=""/>
    <s v=""/>
    <s v=""/>
    <s v=""/>
  </r>
  <r>
    <x v="1"/>
    <x v="0"/>
    <x v="2"/>
    <x v="7"/>
    <x v="1"/>
    <s v="FGU920124.576085"/>
    <s v=""/>
    <s v=""/>
    <s v=""/>
    <s v=""/>
    <s v=""/>
    <s v=""/>
    <s v=""/>
  </r>
  <r>
    <x v="1"/>
    <x v="0"/>
    <x v="2"/>
    <x v="8"/>
    <x v="1"/>
    <s v="FGU920124.578085"/>
    <s v=""/>
    <s v=""/>
    <s v=""/>
    <s v=""/>
    <s v=""/>
    <s v=""/>
    <s v=""/>
  </r>
  <r>
    <x v="1"/>
    <x v="0"/>
    <x v="2"/>
    <x v="0"/>
    <x v="2"/>
    <s v="FGU920124.562090"/>
    <s v=""/>
    <s v=""/>
    <s v=""/>
    <s v=""/>
    <s v=""/>
    <s v=""/>
    <s v=""/>
  </r>
  <r>
    <x v="1"/>
    <x v="0"/>
    <x v="2"/>
    <x v="1"/>
    <x v="2"/>
    <s v="FGU920124.564090"/>
    <s v=""/>
    <s v=""/>
    <s v=""/>
    <s v=""/>
    <s v=""/>
    <s v=""/>
    <s v=""/>
  </r>
  <r>
    <x v="1"/>
    <x v="0"/>
    <x v="2"/>
    <x v="2"/>
    <x v="2"/>
    <s v="FGU920124.566090"/>
    <s v=""/>
    <s v=""/>
    <s v=""/>
    <s v=""/>
    <s v=""/>
    <s v=""/>
    <s v=""/>
  </r>
  <r>
    <x v="1"/>
    <x v="0"/>
    <x v="2"/>
    <x v="3"/>
    <x v="2"/>
    <s v="FGU920124.568090"/>
    <s v=""/>
    <s v=""/>
    <s v=""/>
    <s v=""/>
    <s v=""/>
    <s v=""/>
    <s v=""/>
  </r>
  <r>
    <x v="1"/>
    <x v="0"/>
    <x v="2"/>
    <x v="4"/>
    <x v="2"/>
    <s v="FGU920124.570090"/>
    <s v=""/>
    <s v=""/>
    <s v=""/>
    <s v=""/>
    <s v=""/>
    <s v=""/>
    <s v=""/>
  </r>
  <r>
    <x v="1"/>
    <x v="0"/>
    <x v="2"/>
    <x v="5"/>
    <x v="2"/>
    <s v="FGU920124.572090"/>
    <s v=""/>
    <s v=""/>
    <s v=""/>
    <s v=""/>
    <s v=""/>
    <s v=""/>
    <s v=""/>
  </r>
  <r>
    <x v="1"/>
    <x v="0"/>
    <x v="2"/>
    <x v="6"/>
    <x v="2"/>
    <s v="FGU920124.574090"/>
    <s v=""/>
    <s v=""/>
    <s v=""/>
    <s v=""/>
    <s v=""/>
    <s v=""/>
    <s v=""/>
  </r>
  <r>
    <x v="1"/>
    <x v="0"/>
    <x v="2"/>
    <x v="7"/>
    <x v="2"/>
    <s v="FGU920124.576090"/>
    <s v=""/>
    <s v=""/>
    <s v=""/>
    <s v=""/>
    <s v=""/>
    <s v=""/>
    <s v=""/>
  </r>
  <r>
    <x v="1"/>
    <x v="0"/>
    <x v="2"/>
    <x v="8"/>
    <x v="2"/>
    <s v="FGU920124.578090"/>
    <s v=""/>
    <s v=""/>
    <s v=""/>
    <s v=""/>
    <s v=""/>
    <s v=""/>
    <s v=""/>
  </r>
  <r>
    <x v="1"/>
    <x v="0"/>
    <x v="2"/>
    <x v="0"/>
    <x v="3"/>
    <s v="FGU920124.562095"/>
    <s v=""/>
    <s v=""/>
    <s v=""/>
    <s v=""/>
    <s v=""/>
    <s v=""/>
    <s v=""/>
  </r>
  <r>
    <x v="1"/>
    <x v="0"/>
    <x v="2"/>
    <x v="1"/>
    <x v="3"/>
    <s v="FGU920124.564095"/>
    <s v=""/>
    <s v=""/>
    <s v=""/>
    <s v=""/>
    <s v=""/>
    <s v=""/>
    <s v=""/>
  </r>
  <r>
    <x v="1"/>
    <x v="0"/>
    <x v="2"/>
    <x v="2"/>
    <x v="3"/>
    <s v="FGU920124.566095"/>
    <s v=""/>
    <s v=""/>
    <s v=""/>
    <s v=""/>
    <s v=""/>
    <s v=""/>
    <s v=""/>
  </r>
  <r>
    <x v="1"/>
    <x v="0"/>
    <x v="2"/>
    <x v="3"/>
    <x v="3"/>
    <s v="FGU920124.568095"/>
    <s v=""/>
    <s v=""/>
    <s v=""/>
    <s v=""/>
    <s v=""/>
    <s v=""/>
    <s v=""/>
  </r>
  <r>
    <x v="1"/>
    <x v="0"/>
    <x v="2"/>
    <x v="4"/>
    <x v="3"/>
    <s v="FGU920124.570095"/>
    <n v="2286334.84"/>
    <n v="21.018599999999999"/>
    <n v="46.018099999999997"/>
    <n v="24.999500000000001"/>
    <n v="37.465299999999999"/>
    <n v="55.555599999999998"/>
    <n v="18.090299999999999"/>
  </r>
  <r>
    <x v="1"/>
    <x v="0"/>
    <x v="2"/>
    <x v="5"/>
    <x v="3"/>
    <s v="FGU920124.572095"/>
    <s v=""/>
    <s v=""/>
    <s v=""/>
    <s v=""/>
    <s v=""/>
    <s v=""/>
    <s v=""/>
  </r>
  <r>
    <x v="1"/>
    <x v="0"/>
    <x v="2"/>
    <x v="6"/>
    <x v="3"/>
    <s v="FGU920124.574095"/>
    <n v="9690401.4800000004"/>
    <n v="-1.8287"/>
    <n v="23.1645"/>
    <n v="24.993200000000002"/>
    <n v="24.6983"/>
    <n v="38.083300000000001"/>
    <n v="13.385"/>
  </r>
  <r>
    <x v="1"/>
    <x v="0"/>
    <x v="2"/>
    <x v="7"/>
    <x v="3"/>
    <s v="FGU920124.576095"/>
    <s v=""/>
    <s v=""/>
    <s v=""/>
    <s v=""/>
    <s v=""/>
    <s v=""/>
    <s v=""/>
  </r>
  <r>
    <x v="1"/>
    <x v="0"/>
    <x v="2"/>
    <x v="8"/>
    <x v="3"/>
    <s v="FGU920124.578095"/>
    <s v=""/>
    <s v=""/>
    <s v=""/>
    <s v=""/>
    <s v=""/>
    <s v=""/>
    <s v=""/>
  </r>
  <r>
    <x v="1"/>
    <x v="0"/>
    <x v="2"/>
    <x v="0"/>
    <x v="4"/>
    <s v="FGU920124.562097"/>
    <s v=""/>
    <s v=""/>
    <s v=""/>
    <s v=""/>
    <s v=""/>
    <s v=""/>
    <s v=""/>
  </r>
  <r>
    <x v="1"/>
    <x v="0"/>
    <x v="2"/>
    <x v="1"/>
    <x v="4"/>
    <s v="FGU920124.564097"/>
    <s v=""/>
    <s v=""/>
    <s v=""/>
    <s v=""/>
    <s v=""/>
    <s v=""/>
    <s v=""/>
  </r>
  <r>
    <x v="1"/>
    <x v="0"/>
    <x v="2"/>
    <x v="2"/>
    <x v="4"/>
    <s v="FGU920124.566097"/>
    <s v=""/>
    <s v=""/>
    <s v=""/>
    <s v=""/>
    <s v=""/>
    <s v=""/>
    <s v=""/>
  </r>
  <r>
    <x v="1"/>
    <x v="0"/>
    <x v="2"/>
    <x v="3"/>
    <x v="4"/>
    <s v="FGU920124.568097"/>
    <s v=""/>
    <s v=""/>
    <s v=""/>
    <s v=""/>
    <s v=""/>
    <s v=""/>
    <s v=""/>
  </r>
  <r>
    <x v="1"/>
    <x v="0"/>
    <x v="2"/>
    <x v="4"/>
    <x v="4"/>
    <s v="FGU920124.570097"/>
    <s v=""/>
    <s v=""/>
    <s v=""/>
    <s v=""/>
    <s v=""/>
    <s v=""/>
    <s v=""/>
  </r>
  <r>
    <x v="1"/>
    <x v="0"/>
    <x v="2"/>
    <x v="5"/>
    <x v="4"/>
    <s v="FGU920124.572097"/>
    <s v=""/>
    <s v=""/>
    <s v=""/>
    <s v=""/>
    <s v=""/>
    <s v=""/>
    <s v=""/>
  </r>
  <r>
    <x v="1"/>
    <x v="0"/>
    <x v="2"/>
    <x v="6"/>
    <x v="4"/>
    <s v="FGU920124.574097"/>
    <s v=""/>
    <s v=""/>
    <s v=""/>
    <s v=""/>
    <s v=""/>
    <s v=""/>
    <s v=""/>
  </r>
  <r>
    <x v="1"/>
    <x v="0"/>
    <x v="2"/>
    <x v="7"/>
    <x v="4"/>
    <s v="FGU920124.576097"/>
    <n v="133974803.22"/>
    <n v="-4.0640000000000001"/>
    <n v="20.927700000000002"/>
    <n v="24.991700000000002"/>
    <n v="24.796199999999999"/>
    <n v="37.615400000000001"/>
    <n v="12.8192"/>
  </r>
  <r>
    <x v="1"/>
    <x v="0"/>
    <x v="2"/>
    <x v="8"/>
    <x v="4"/>
    <s v="FGU920124.578097"/>
    <s v=""/>
    <s v=""/>
    <s v=""/>
    <s v=""/>
    <s v=""/>
    <s v=""/>
    <s v=""/>
  </r>
  <r>
    <x v="1"/>
    <x v="0"/>
    <x v="2"/>
    <x v="0"/>
    <x v="5"/>
    <s v="FGU920124.5620100"/>
    <s v=""/>
    <s v=""/>
    <s v=""/>
    <s v=""/>
    <s v=""/>
    <s v=""/>
    <s v=""/>
  </r>
  <r>
    <x v="1"/>
    <x v="0"/>
    <x v="2"/>
    <x v="1"/>
    <x v="5"/>
    <s v="FGU920124.5640100"/>
    <s v=""/>
    <s v=""/>
    <s v=""/>
    <s v=""/>
    <s v=""/>
    <s v=""/>
    <s v=""/>
  </r>
  <r>
    <x v="1"/>
    <x v="0"/>
    <x v="2"/>
    <x v="2"/>
    <x v="5"/>
    <s v="FGU920124.5660100"/>
    <s v=""/>
    <s v=""/>
    <s v=""/>
    <s v=""/>
    <s v=""/>
    <s v=""/>
    <s v=""/>
  </r>
  <r>
    <x v="1"/>
    <x v="0"/>
    <x v="2"/>
    <x v="3"/>
    <x v="5"/>
    <s v="FGU920124.5680100"/>
    <s v=""/>
    <s v=""/>
    <s v=""/>
    <s v=""/>
    <s v=""/>
    <s v=""/>
    <s v=""/>
  </r>
  <r>
    <x v="1"/>
    <x v="0"/>
    <x v="2"/>
    <x v="4"/>
    <x v="5"/>
    <s v="FGU920124.5700100"/>
    <s v=""/>
    <s v=""/>
    <s v=""/>
    <s v=""/>
    <s v=""/>
    <s v=""/>
    <s v=""/>
  </r>
  <r>
    <x v="1"/>
    <x v="0"/>
    <x v="2"/>
    <x v="5"/>
    <x v="5"/>
    <s v="FGU920124.5720100"/>
    <n v="15595419.300000001"/>
    <n v="9.4287265530064897"/>
    <n v="34.423707492256298"/>
    <n v="24.9949809392498"/>
    <n v="22.8978734789582"/>
    <n v="41.585059665295297"/>
    <n v="18.687186186337001"/>
  </r>
  <r>
    <x v="1"/>
    <x v="0"/>
    <x v="2"/>
    <x v="6"/>
    <x v="5"/>
    <s v="FGU920124.5740100"/>
    <n v="2807505.53"/>
    <n v="20.382000000000001"/>
    <n v="45.378900000000002"/>
    <n v="24.9969"/>
    <n v="27.901900000000001"/>
    <n v="49.250500000000002"/>
    <n v="21.348600000000001"/>
  </r>
  <r>
    <x v="1"/>
    <x v="0"/>
    <x v="2"/>
    <x v="7"/>
    <x v="5"/>
    <s v="FGU920124.5760100"/>
    <s v=""/>
    <s v=""/>
    <s v=""/>
    <s v=""/>
    <s v=""/>
    <s v=""/>
    <s v=""/>
  </r>
  <r>
    <x v="1"/>
    <x v="0"/>
    <x v="2"/>
    <x v="8"/>
    <x v="5"/>
    <s v="FGU920124.5780100"/>
    <s v=""/>
    <s v=""/>
    <s v=""/>
    <s v=""/>
    <s v=""/>
    <s v=""/>
    <s v=""/>
  </r>
  <r>
    <x v="1"/>
    <x v="0"/>
    <x v="2"/>
    <x v="0"/>
    <x v="6"/>
    <s v="FGU920124.5620100+"/>
    <s v=""/>
    <s v=""/>
    <s v=""/>
    <s v=""/>
    <s v=""/>
    <s v=""/>
    <s v=""/>
  </r>
  <r>
    <x v="1"/>
    <x v="0"/>
    <x v="2"/>
    <x v="1"/>
    <x v="6"/>
    <s v="FGU920124.5640100+"/>
    <s v=""/>
    <s v=""/>
    <s v=""/>
    <s v=""/>
    <s v=""/>
    <s v=""/>
    <s v=""/>
  </r>
  <r>
    <x v="1"/>
    <x v="0"/>
    <x v="2"/>
    <x v="2"/>
    <x v="6"/>
    <s v="FGU920124.5660100+"/>
    <s v=""/>
    <s v=""/>
    <s v=""/>
    <s v=""/>
    <s v=""/>
    <s v=""/>
    <s v=""/>
  </r>
  <r>
    <x v="1"/>
    <x v="0"/>
    <x v="2"/>
    <x v="3"/>
    <x v="6"/>
    <s v="FGU920124.5680100+"/>
    <s v=""/>
    <s v=""/>
    <s v=""/>
    <s v=""/>
    <s v=""/>
    <s v=""/>
    <s v=""/>
  </r>
  <r>
    <x v="1"/>
    <x v="0"/>
    <x v="2"/>
    <x v="4"/>
    <x v="6"/>
    <s v="FGU920124.5700100+"/>
    <s v=""/>
    <s v=""/>
    <s v=""/>
    <s v=""/>
    <s v=""/>
    <s v=""/>
    <s v=""/>
  </r>
  <r>
    <x v="1"/>
    <x v="0"/>
    <x v="2"/>
    <x v="5"/>
    <x v="6"/>
    <s v="FGU920124.5720100+"/>
    <n v="8145104.8899999997"/>
    <n v="-3.8733"/>
    <n v="21.124099999999999"/>
    <n v="24.997399999999999"/>
    <n v="12.1027"/>
    <n v="30.241700000000002"/>
    <n v="18.138999999999999"/>
  </r>
  <r>
    <x v="1"/>
    <x v="0"/>
    <x v="2"/>
    <x v="6"/>
    <x v="6"/>
    <s v="FGU920124.5740100+"/>
    <n v="88943742.379999995"/>
    <n v="-2.08040496920913"/>
    <n v="22.915629197267101"/>
    <n v="24.9960341664762"/>
    <n v="10.451983047353099"/>
    <n v="29.022975712695299"/>
    <n v="18.5709926653422"/>
  </r>
  <r>
    <x v="1"/>
    <x v="0"/>
    <x v="2"/>
    <x v="7"/>
    <x v="6"/>
    <s v="FGU920124.5760100+"/>
    <n v="47050527.600000001"/>
    <n v="15.8198663818275"/>
    <n v="40.815215492866201"/>
    <n v="24.9953491110386"/>
    <n v="31.276532492269201"/>
    <n v="48.6584141483591"/>
    <n v="17.381881656089799"/>
  </r>
  <r>
    <x v="1"/>
    <x v="0"/>
    <x v="2"/>
    <x v="8"/>
    <x v="6"/>
    <s v="FGU920124.5780100+"/>
    <n v="5537165.9100000001"/>
    <n v="23.8748745947027"/>
    <n v="48.871697019973702"/>
    <n v="24.996822425270899"/>
    <n v="40.063766877131101"/>
    <n v="58.0246940392298"/>
    <n v="17.960927162098699"/>
  </r>
  <r>
    <x v="1"/>
    <x v="1"/>
    <x v="2"/>
    <x v="0"/>
    <x v="0"/>
    <s v="FGU920134.562080"/>
    <s v=""/>
    <s v=""/>
    <s v=""/>
    <s v=""/>
    <s v=""/>
    <s v=""/>
    <s v=""/>
  </r>
  <r>
    <x v="1"/>
    <x v="1"/>
    <x v="2"/>
    <x v="1"/>
    <x v="0"/>
    <s v="FGU920134.564080"/>
    <s v=""/>
    <s v=""/>
    <s v=""/>
    <s v=""/>
    <s v=""/>
    <s v=""/>
    <s v=""/>
  </r>
  <r>
    <x v="1"/>
    <x v="1"/>
    <x v="2"/>
    <x v="2"/>
    <x v="0"/>
    <s v="FGU920134.566080"/>
    <s v=""/>
    <s v=""/>
    <s v=""/>
    <s v=""/>
    <s v=""/>
    <s v=""/>
    <s v=""/>
  </r>
  <r>
    <x v="1"/>
    <x v="1"/>
    <x v="2"/>
    <x v="3"/>
    <x v="0"/>
    <s v="FGU920134.568080"/>
    <s v=""/>
    <s v=""/>
    <s v=""/>
    <s v=""/>
    <s v=""/>
    <s v=""/>
    <s v=""/>
  </r>
  <r>
    <x v="1"/>
    <x v="1"/>
    <x v="2"/>
    <x v="4"/>
    <x v="0"/>
    <s v="FGU920134.570080"/>
    <s v=""/>
    <s v=""/>
    <s v=""/>
    <s v=""/>
    <s v=""/>
    <s v=""/>
    <s v=""/>
  </r>
  <r>
    <x v="1"/>
    <x v="1"/>
    <x v="2"/>
    <x v="5"/>
    <x v="0"/>
    <s v="FGU920134.572080"/>
    <s v=""/>
    <s v=""/>
    <s v=""/>
    <s v=""/>
    <s v=""/>
    <s v=""/>
    <s v=""/>
  </r>
  <r>
    <x v="1"/>
    <x v="1"/>
    <x v="2"/>
    <x v="6"/>
    <x v="0"/>
    <s v="FGU920134.574080"/>
    <s v=""/>
    <s v=""/>
    <s v=""/>
    <s v=""/>
    <s v=""/>
    <s v=""/>
    <s v=""/>
  </r>
  <r>
    <x v="1"/>
    <x v="1"/>
    <x v="2"/>
    <x v="7"/>
    <x v="0"/>
    <s v="FGU920134.576080"/>
    <s v=""/>
    <s v=""/>
    <s v=""/>
    <s v=""/>
    <s v=""/>
    <s v=""/>
    <s v=""/>
  </r>
  <r>
    <x v="1"/>
    <x v="1"/>
    <x v="2"/>
    <x v="8"/>
    <x v="0"/>
    <s v="FGU920134.578080"/>
    <s v=""/>
    <s v=""/>
    <s v=""/>
    <s v=""/>
    <s v=""/>
    <s v=""/>
    <s v=""/>
  </r>
  <r>
    <x v="1"/>
    <x v="1"/>
    <x v="2"/>
    <x v="0"/>
    <x v="1"/>
    <s v="FGU920134.562085"/>
    <s v=""/>
    <s v=""/>
    <s v=""/>
    <s v=""/>
    <s v=""/>
    <s v=""/>
    <s v=""/>
  </r>
  <r>
    <x v="1"/>
    <x v="1"/>
    <x v="2"/>
    <x v="1"/>
    <x v="1"/>
    <s v="FGU920134.564085"/>
    <s v=""/>
    <s v=""/>
    <s v=""/>
    <s v=""/>
    <s v=""/>
    <s v=""/>
    <s v=""/>
  </r>
  <r>
    <x v="1"/>
    <x v="1"/>
    <x v="2"/>
    <x v="2"/>
    <x v="1"/>
    <s v="FGU920134.566085"/>
    <s v=""/>
    <s v=""/>
    <s v=""/>
    <s v=""/>
    <s v=""/>
    <s v=""/>
    <s v=""/>
  </r>
  <r>
    <x v="1"/>
    <x v="1"/>
    <x v="2"/>
    <x v="3"/>
    <x v="1"/>
    <s v="FGU920134.568085"/>
    <s v=""/>
    <s v=""/>
    <s v=""/>
    <s v=""/>
    <s v=""/>
    <s v=""/>
    <s v=""/>
  </r>
  <r>
    <x v="1"/>
    <x v="1"/>
    <x v="2"/>
    <x v="4"/>
    <x v="1"/>
    <s v="FGU920134.570085"/>
    <s v=""/>
    <s v=""/>
    <s v=""/>
    <s v=""/>
    <s v=""/>
    <s v=""/>
    <s v=""/>
  </r>
  <r>
    <x v="1"/>
    <x v="1"/>
    <x v="2"/>
    <x v="5"/>
    <x v="1"/>
    <s v="FGU920134.572085"/>
    <s v=""/>
    <s v=""/>
    <s v=""/>
    <s v=""/>
    <s v=""/>
    <s v=""/>
    <s v=""/>
  </r>
  <r>
    <x v="1"/>
    <x v="1"/>
    <x v="2"/>
    <x v="6"/>
    <x v="1"/>
    <s v="FGU920134.574085"/>
    <s v=""/>
    <s v=""/>
    <s v=""/>
    <s v=""/>
    <s v=""/>
    <s v=""/>
    <s v=""/>
  </r>
  <r>
    <x v="1"/>
    <x v="1"/>
    <x v="2"/>
    <x v="7"/>
    <x v="1"/>
    <s v="FGU920134.576085"/>
    <s v=""/>
    <s v=""/>
    <s v=""/>
    <s v=""/>
    <s v=""/>
    <s v=""/>
    <s v=""/>
  </r>
  <r>
    <x v="1"/>
    <x v="1"/>
    <x v="2"/>
    <x v="8"/>
    <x v="1"/>
    <s v="FGU920134.578085"/>
    <s v=""/>
    <s v=""/>
    <s v=""/>
    <s v=""/>
    <s v=""/>
    <s v=""/>
    <s v=""/>
  </r>
  <r>
    <x v="1"/>
    <x v="1"/>
    <x v="2"/>
    <x v="0"/>
    <x v="2"/>
    <s v="FGU920134.562090"/>
    <s v=""/>
    <s v=""/>
    <s v=""/>
    <s v=""/>
    <s v=""/>
    <s v=""/>
    <s v=""/>
  </r>
  <r>
    <x v="1"/>
    <x v="1"/>
    <x v="2"/>
    <x v="1"/>
    <x v="2"/>
    <s v="FGU920134.564090"/>
    <s v=""/>
    <s v=""/>
    <s v=""/>
    <s v=""/>
    <s v=""/>
    <s v=""/>
    <s v=""/>
  </r>
  <r>
    <x v="1"/>
    <x v="1"/>
    <x v="2"/>
    <x v="2"/>
    <x v="2"/>
    <s v="FGU920134.566090"/>
    <s v=""/>
    <s v=""/>
    <s v=""/>
    <s v=""/>
    <s v=""/>
    <s v=""/>
    <s v=""/>
  </r>
  <r>
    <x v="1"/>
    <x v="1"/>
    <x v="2"/>
    <x v="3"/>
    <x v="2"/>
    <s v="FGU920134.568090"/>
    <s v=""/>
    <s v=""/>
    <s v=""/>
    <s v=""/>
    <s v=""/>
    <s v=""/>
    <s v=""/>
  </r>
  <r>
    <x v="1"/>
    <x v="1"/>
    <x v="2"/>
    <x v="4"/>
    <x v="2"/>
    <s v="FGU920134.570090"/>
    <s v=""/>
    <s v=""/>
    <s v=""/>
    <s v=""/>
    <s v=""/>
    <s v=""/>
    <s v=""/>
  </r>
  <r>
    <x v="1"/>
    <x v="1"/>
    <x v="2"/>
    <x v="5"/>
    <x v="2"/>
    <s v="FGU920134.572090"/>
    <s v=""/>
    <s v=""/>
    <s v=""/>
    <s v=""/>
    <s v=""/>
    <s v=""/>
    <s v=""/>
  </r>
  <r>
    <x v="1"/>
    <x v="1"/>
    <x v="2"/>
    <x v="6"/>
    <x v="2"/>
    <s v="FGU920134.574090"/>
    <s v=""/>
    <s v=""/>
    <s v=""/>
    <s v=""/>
    <s v=""/>
    <s v=""/>
    <s v=""/>
  </r>
  <r>
    <x v="1"/>
    <x v="1"/>
    <x v="2"/>
    <x v="7"/>
    <x v="2"/>
    <s v="FGU920134.576090"/>
    <s v=""/>
    <s v=""/>
    <s v=""/>
    <s v=""/>
    <s v=""/>
    <s v=""/>
    <s v=""/>
  </r>
  <r>
    <x v="1"/>
    <x v="1"/>
    <x v="2"/>
    <x v="8"/>
    <x v="2"/>
    <s v="FGU920134.578090"/>
    <s v=""/>
    <s v=""/>
    <s v=""/>
    <s v=""/>
    <s v=""/>
    <s v=""/>
    <s v=""/>
  </r>
  <r>
    <x v="1"/>
    <x v="1"/>
    <x v="2"/>
    <x v="0"/>
    <x v="3"/>
    <s v="FGU920134.562095"/>
    <s v=""/>
    <s v=""/>
    <s v=""/>
    <s v=""/>
    <s v=""/>
    <s v=""/>
    <s v=""/>
  </r>
  <r>
    <x v="1"/>
    <x v="1"/>
    <x v="2"/>
    <x v="1"/>
    <x v="3"/>
    <s v="FGU920134.564095"/>
    <s v=""/>
    <s v=""/>
    <s v=""/>
    <s v=""/>
    <s v=""/>
    <s v=""/>
    <s v=""/>
  </r>
  <r>
    <x v="1"/>
    <x v="1"/>
    <x v="2"/>
    <x v="2"/>
    <x v="3"/>
    <s v="FGU920134.566095"/>
    <s v=""/>
    <s v=""/>
    <s v=""/>
    <s v=""/>
    <s v=""/>
    <s v=""/>
    <s v=""/>
  </r>
  <r>
    <x v="1"/>
    <x v="1"/>
    <x v="2"/>
    <x v="3"/>
    <x v="3"/>
    <s v="FGU920134.568095"/>
    <s v=""/>
    <s v=""/>
    <s v=""/>
    <s v=""/>
    <s v=""/>
    <s v=""/>
    <s v=""/>
  </r>
  <r>
    <x v="1"/>
    <x v="1"/>
    <x v="2"/>
    <x v="4"/>
    <x v="3"/>
    <s v="FGU920134.570095"/>
    <s v=""/>
    <s v=""/>
    <s v=""/>
    <s v=""/>
    <s v=""/>
    <s v=""/>
    <s v=""/>
  </r>
  <r>
    <x v="1"/>
    <x v="1"/>
    <x v="2"/>
    <x v="5"/>
    <x v="3"/>
    <s v="FGU920134.572095"/>
    <s v=""/>
    <s v=""/>
    <s v=""/>
    <s v=""/>
    <s v=""/>
    <s v=""/>
    <s v=""/>
  </r>
  <r>
    <x v="1"/>
    <x v="1"/>
    <x v="2"/>
    <x v="6"/>
    <x v="3"/>
    <s v="FGU920134.574095"/>
    <s v=""/>
    <s v=""/>
    <s v=""/>
    <s v=""/>
    <s v=""/>
    <s v=""/>
    <s v=""/>
  </r>
  <r>
    <x v="1"/>
    <x v="1"/>
    <x v="2"/>
    <x v="7"/>
    <x v="3"/>
    <s v="FGU920134.576095"/>
    <s v=""/>
    <s v=""/>
    <s v=""/>
    <s v=""/>
    <s v=""/>
    <s v=""/>
    <s v=""/>
  </r>
  <r>
    <x v="1"/>
    <x v="1"/>
    <x v="2"/>
    <x v="8"/>
    <x v="3"/>
    <s v="FGU920134.578095"/>
    <s v=""/>
    <s v=""/>
    <s v=""/>
    <s v=""/>
    <s v=""/>
    <s v=""/>
    <s v=""/>
  </r>
  <r>
    <x v="1"/>
    <x v="1"/>
    <x v="2"/>
    <x v="0"/>
    <x v="4"/>
    <s v="FGU920134.562097"/>
    <s v=""/>
    <s v=""/>
    <s v=""/>
    <s v=""/>
    <s v=""/>
    <s v=""/>
    <s v=""/>
  </r>
  <r>
    <x v="1"/>
    <x v="1"/>
    <x v="2"/>
    <x v="1"/>
    <x v="4"/>
    <s v="FGU920134.564097"/>
    <s v=""/>
    <s v=""/>
    <s v=""/>
    <s v=""/>
    <s v=""/>
    <s v=""/>
    <s v=""/>
  </r>
  <r>
    <x v="1"/>
    <x v="1"/>
    <x v="2"/>
    <x v="2"/>
    <x v="4"/>
    <s v="FGU920134.566097"/>
    <s v=""/>
    <s v=""/>
    <s v=""/>
    <s v=""/>
    <s v=""/>
    <s v=""/>
    <s v=""/>
  </r>
  <r>
    <x v="1"/>
    <x v="1"/>
    <x v="2"/>
    <x v="3"/>
    <x v="4"/>
    <s v="FGU920134.568097"/>
    <s v=""/>
    <s v=""/>
    <s v=""/>
    <s v=""/>
    <s v=""/>
    <s v=""/>
    <s v=""/>
  </r>
  <r>
    <x v="1"/>
    <x v="1"/>
    <x v="2"/>
    <x v="4"/>
    <x v="4"/>
    <s v="FGU920134.570097"/>
    <s v=""/>
    <s v=""/>
    <s v=""/>
    <s v=""/>
    <s v=""/>
    <s v=""/>
    <s v=""/>
  </r>
  <r>
    <x v="1"/>
    <x v="1"/>
    <x v="2"/>
    <x v="5"/>
    <x v="4"/>
    <s v="FGU920134.572097"/>
    <s v=""/>
    <s v=""/>
    <s v=""/>
    <s v=""/>
    <s v=""/>
    <s v=""/>
    <s v=""/>
  </r>
  <r>
    <x v="1"/>
    <x v="1"/>
    <x v="2"/>
    <x v="6"/>
    <x v="4"/>
    <s v="FGU920134.574097"/>
    <n v="1775850.79"/>
    <n v="11.5892"/>
    <n v="36.5871"/>
    <n v="24.997900000000001"/>
    <n v="23.555900000000001"/>
    <n v="42.5961"/>
    <n v="19.040199999999999"/>
  </r>
  <r>
    <x v="1"/>
    <x v="1"/>
    <x v="2"/>
    <x v="7"/>
    <x v="4"/>
    <s v="FGU920134.576097"/>
    <s v=""/>
    <s v=""/>
    <s v=""/>
    <s v=""/>
    <s v=""/>
    <s v=""/>
    <s v=""/>
  </r>
  <r>
    <x v="1"/>
    <x v="1"/>
    <x v="2"/>
    <x v="8"/>
    <x v="4"/>
    <s v="FGU920134.578097"/>
    <s v=""/>
    <s v=""/>
    <s v=""/>
    <s v=""/>
    <s v=""/>
    <s v=""/>
    <s v=""/>
  </r>
  <r>
    <x v="1"/>
    <x v="1"/>
    <x v="2"/>
    <x v="0"/>
    <x v="5"/>
    <s v="FGU920134.5620100"/>
    <s v=""/>
    <s v=""/>
    <s v=""/>
    <s v=""/>
    <s v=""/>
    <s v=""/>
    <s v=""/>
  </r>
  <r>
    <x v="1"/>
    <x v="1"/>
    <x v="2"/>
    <x v="1"/>
    <x v="5"/>
    <s v="FGU920134.5640100"/>
    <s v=""/>
    <s v=""/>
    <s v=""/>
    <s v=""/>
    <s v=""/>
    <s v=""/>
    <s v=""/>
  </r>
  <r>
    <x v="1"/>
    <x v="1"/>
    <x v="2"/>
    <x v="2"/>
    <x v="5"/>
    <s v="FGU920134.5660100"/>
    <s v=""/>
    <s v=""/>
    <s v=""/>
    <s v=""/>
    <s v=""/>
    <s v=""/>
    <s v=""/>
  </r>
  <r>
    <x v="1"/>
    <x v="1"/>
    <x v="2"/>
    <x v="3"/>
    <x v="5"/>
    <s v="FGU920134.5680100"/>
    <s v=""/>
    <s v=""/>
    <s v=""/>
    <s v=""/>
    <s v=""/>
    <s v=""/>
    <s v=""/>
  </r>
  <r>
    <x v="1"/>
    <x v="1"/>
    <x v="2"/>
    <x v="4"/>
    <x v="5"/>
    <s v="FGU920134.5700100"/>
    <s v=""/>
    <s v=""/>
    <s v=""/>
    <s v=""/>
    <s v=""/>
    <s v=""/>
    <s v=""/>
  </r>
  <r>
    <x v="1"/>
    <x v="1"/>
    <x v="2"/>
    <x v="5"/>
    <x v="5"/>
    <s v="FGU920134.5720100"/>
    <s v=""/>
    <s v=""/>
    <s v=""/>
    <s v=""/>
    <s v=""/>
    <s v=""/>
    <s v=""/>
  </r>
  <r>
    <x v="1"/>
    <x v="1"/>
    <x v="2"/>
    <x v="6"/>
    <x v="5"/>
    <s v="FGU920134.5740100"/>
    <s v=""/>
    <s v=""/>
    <s v=""/>
    <s v=""/>
    <s v=""/>
    <s v=""/>
    <s v=""/>
  </r>
  <r>
    <x v="1"/>
    <x v="1"/>
    <x v="2"/>
    <x v="7"/>
    <x v="5"/>
    <s v="FGU920134.5760100"/>
    <s v=""/>
    <s v=""/>
    <s v=""/>
    <s v=""/>
    <s v=""/>
    <s v=""/>
    <s v=""/>
  </r>
  <r>
    <x v="1"/>
    <x v="1"/>
    <x v="2"/>
    <x v="8"/>
    <x v="5"/>
    <s v="FGU920134.5780100"/>
    <s v=""/>
    <s v=""/>
    <s v=""/>
    <s v=""/>
    <s v=""/>
    <s v=""/>
    <s v=""/>
  </r>
  <r>
    <x v="1"/>
    <x v="1"/>
    <x v="2"/>
    <x v="0"/>
    <x v="6"/>
    <s v="FGU920134.5620100+"/>
    <s v=""/>
    <s v=""/>
    <s v=""/>
    <s v=""/>
    <s v=""/>
    <s v=""/>
    <s v=""/>
  </r>
  <r>
    <x v="1"/>
    <x v="1"/>
    <x v="2"/>
    <x v="1"/>
    <x v="6"/>
    <s v="FGU920134.5640100+"/>
    <s v=""/>
    <s v=""/>
    <s v=""/>
    <s v=""/>
    <s v=""/>
    <s v=""/>
    <s v=""/>
  </r>
  <r>
    <x v="1"/>
    <x v="1"/>
    <x v="2"/>
    <x v="2"/>
    <x v="6"/>
    <s v="FGU920134.5660100+"/>
    <s v=""/>
    <s v=""/>
    <s v=""/>
    <s v=""/>
    <s v=""/>
    <s v=""/>
    <s v=""/>
  </r>
  <r>
    <x v="1"/>
    <x v="1"/>
    <x v="2"/>
    <x v="3"/>
    <x v="6"/>
    <s v="FGU920134.5680100+"/>
    <s v=""/>
    <s v=""/>
    <s v=""/>
    <s v=""/>
    <s v=""/>
    <s v=""/>
    <s v=""/>
  </r>
  <r>
    <x v="1"/>
    <x v="1"/>
    <x v="2"/>
    <x v="4"/>
    <x v="6"/>
    <s v="FGU920134.5700100+"/>
    <n v="16154593.050000001"/>
    <n v="-5.5854014572199899"/>
    <n v="19.408296907951001"/>
    <n v="24.993698365170999"/>
    <n v="-5.4860352732989401"/>
    <n v="19.408296907951001"/>
    <n v="24.89433218125"/>
  </r>
  <r>
    <x v="1"/>
    <x v="1"/>
    <x v="2"/>
    <x v="5"/>
    <x v="6"/>
    <s v="FGU920134.5720100+"/>
    <n v="4053124.57"/>
    <n v="5.1044998006792"/>
    <n v="30.098991423977299"/>
    <n v="24.994491623298099"/>
    <n v="6.3890202271031997"/>
    <n v="30.288731843576102"/>
    <n v="23.899711616472899"/>
  </r>
  <r>
    <x v="1"/>
    <x v="1"/>
    <x v="2"/>
    <x v="6"/>
    <x v="6"/>
    <s v="FGU920134.5740100+"/>
    <n v="38290048.479999997"/>
    <n v="11.0954929814104"/>
    <n v="36.092018591906701"/>
    <n v="24.996525610496199"/>
    <n v="14.902224625472099"/>
    <n v="37.718529981069402"/>
    <n v="22.816305355597201"/>
  </r>
  <r>
    <x v="1"/>
    <x v="1"/>
    <x v="2"/>
    <x v="7"/>
    <x v="6"/>
    <s v="FGU920134.5760100+"/>
    <s v=""/>
    <s v=""/>
    <s v=""/>
    <s v=""/>
    <s v=""/>
    <s v=""/>
    <s v=""/>
  </r>
  <r>
    <x v="1"/>
    <x v="1"/>
    <x v="2"/>
    <x v="8"/>
    <x v="6"/>
    <s v="FGU920134.5780100+"/>
    <n v="2909842.88"/>
    <n v="6.6021525240056897"/>
    <n v="31.601440431062699"/>
    <n v="24.999287907056999"/>
    <n v="13.1861638747079"/>
    <n v="33.8662844040403"/>
    <n v="20.680120529332399"/>
  </r>
  <r>
    <x v="1"/>
    <x v="2"/>
    <x v="2"/>
    <x v="0"/>
    <x v="0"/>
    <s v="FGU920144.562080"/>
    <s v=""/>
    <s v=""/>
    <s v=""/>
    <s v=""/>
    <s v=""/>
    <s v=""/>
    <s v=""/>
  </r>
  <r>
    <x v="1"/>
    <x v="2"/>
    <x v="2"/>
    <x v="1"/>
    <x v="0"/>
    <s v="FGU920144.564080"/>
    <s v=""/>
    <s v=""/>
    <s v=""/>
    <s v=""/>
    <s v=""/>
    <s v=""/>
    <s v=""/>
  </r>
  <r>
    <x v="1"/>
    <x v="2"/>
    <x v="2"/>
    <x v="2"/>
    <x v="0"/>
    <s v="FGU920144.566080"/>
    <s v=""/>
    <s v=""/>
    <s v=""/>
    <s v=""/>
    <s v=""/>
    <s v=""/>
    <s v=""/>
  </r>
  <r>
    <x v="1"/>
    <x v="2"/>
    <x v="2"/>
    <x v="3"/>
    <x v="0"/>
    <s v="FGU920144.568080"/>
    <s v=""/>
    <s v=""/>
    <s v=""/>
    <s v=""/>
    <s v=""/>
    <s v=""/>
    <s v=""/>
  </r>
  <r>
    <x v="1"/>
    <x v="2"/>
    <x v="2"/>
    <x v="4"/>
    <x v="0"/>
    <s v="FGU920144.570080"/>
    <s v=""/>
    <s v=""/>
    <s v=""/>
    <s v=""/>
    <s v=""/>
    <s v=""/>
    <s v=""/>
  </r>
  <r>
    <x v="1"/>
    <x v="2"/>
    <x v="2"/>
    <x v="5"/>
    <x v="0"/>
    <s v="FGU920144.572080"/>
    <s v=""/>
    <s v=""/>
    <s v=""/>
    <s v=""/>
    <s v=""/>
    <s v=""/>
    <s v=""/>
  </r>
  <r>
    <x v="1"/>
    <x v="2"/>
    <x v="2"/>
    <x v="6"/>
    <x v="0"/>
    <s v="FGU920144.574080"/>
    <s v=""/>
    <s v=""/>
    <s v=""/>
    <s v=""/>
    <s v=""/>
    <s v=""/>
    <s v=""/>
  </r>
  <r>
    <x v="1"/>
    <x v="2"/>
    <x v="2"/>
    <x v="7"/>
    <x v="0"/>
    <s v="FGU920144.576080"/>
    <s v=""/>
    <s v=""/>
    <s v=""/>
    <s v=""/>
    <s v=""/>
    <s v=""/>
    <s v=""/>
  </r>
  <r>
    <x v="1"/>
    <x v="2"/>
    <x v="2"/>
    <x v="8"/>
    <x v="0"/>
    <s v="FGU920144.578080"/>
    <s v=""/>
    <s v=""/>
    <s v=""/>
    <s v=""/>
    <s v=""/>
    <s v=""/>
    <s v=""/>
  </r>
  <r>
    <x v="1"/>
    <x v="2"/>
    <x v="2"/>
    <x v="0"/>
    <x v="1"/>
    <s v="FGU920144.562085"/>
    <s v=""/>
    <s v=""/>
    <s v=""/>
    <s v=""/>
    <s v=""/>
    <s v=""/>
    <s v=""/>
  </r>
  <r>
    <x v="1"/>
    <x v="2"/>
    <x v="2"/>
    <x v="1"/>
    <x v="1"/>
    <s v="FGU920144.564085"/>
    <s v=""/>
    <s v=""/>
    <s v=""/>
    <s v=""/>
    <s v=""/>
    <s v=""/>
    <s v=""/>
  </r>
  <r>
    <x v="1"/>
    <x v="2"/>
    <x v="2"/>
    <x v="2"/>
    <x v="1"/>
    <s v="FGU920144.566085"/>
    <s v=""/>
    <s v=""/>
    <s v=""/>
    <s v=""/>
    <s v=""/>
    <s v=""/>
    <s v=""/>
  </r>
  <r>
    <x v="1"/>
    <x v="2"/>
    <x v="2"/>
    <x v="3"/>
    <x v="1"/>
    <s v="FGU920144.568085"/>
    <s v=""/>
    <s v=""/>
    <s v=""/>
    <s v=""/>
    <s v=""/>
    <s v=""/>
    <s v=""/>
  </r>
  <r>
    <x v="1"/>
    <x v="2"/>
    <x v="2"/>
    <x v="4"/>
    <x v="1"/>
    <s v="FGU920144.570085"/>
    <s v=""/>
    <s v=""/>
    <s v=""/>
    <s v=""/>
    <s v=""/>
    <s v=""/>
    <s v=""/>
  </r>
  <r>
    <x v="1"/>
    <x v="2"/>
    <x v="2"/>
    <x v="5"/>
    <x v="1"/>
    <s v="FGU920144.572085"/>
    <s v=""/>
    <s v=""/>
    <s v=""/>
    <s v=""/>
    <s v=""/>
    <s v=""/>
    <s v=""/>
  </r>
  <r>
    <x v="1"/>
    <x v="2"/>
    <x v="2"/>
    <x v="6"/>
    <x v="1"/>
    <s v="FGU920144.574085"/>
    <s v=""/>
    <s v=""/>
    <s v=""/>
    <s v=""/>
    <s v=""/>
    <s v=""/>
    <s v=""/>
  </r>
  <r>
    <x v="1"/>
    <x v="2"/>
    <x v="2"/>
    <x v="7"/>
    <x v="1"/>
    <s v="FGU920144.576085"/>
    <s v=""/>
    <s v=""/>
    <s v=""/>
    <s v=""/>
    <s v=""/>
    <s v=""/>
    <s v=""/>
  </r>
  <r>
    <x v="1"/>
    <x v="2"/>
    <x v="2"/>
    <x v="8"/>
    <x v="1"/>
    <s v="FGU920144.578085"/>
    <s v=""/>
    <s v=""/>
    <s v=""/>
    <s v=""/>
    <s v=""/>
    <s v=""/>
    <s v=""/>
  </r>
  <r>
    <x v="1"/>
    <x v="2"/>
    <x v="2"/>
    <x v="0"/>
    <x v="2"/>
    <s v="FGU920144.562090"/>
    <s v=""/>
    <s v=""/>
    <s v=""/>
    <s v=""/>
    <s v=""/>
    <s v=""/>
    <s v=""/>
  </r>
  <r>
    <x v="1"/>
    <x v="2"/>
    <x v="2"/>
    <x v="1"/>
    <x v="2"/>
    <s v="FGU920144.564090"/>
    <s v=""/>
    <s v=""/>
    <s v=""/>
    <s v=""/>
    <s v=""/>
    <s v=""/>
    <s v=""/>
  </r>
  <r>
    <x v="1"/>
    <x v="2"/>
    <x v="2"/>
    <x v="2"/>
    <x v="2"/>
    <s v="FGU920144.566090"/>
    <s v=""/>
    <s v=""/>
    <s v=""/>
    <s v=""/>
    <s v=""/>
    <s v=""/>
    <s v=""/>
  </r>
  <r>
    <x v="1"/>
    <x v="2"/>
    <x v="2"/>
    <x v="3"/>
    <x v="2"/>
    <s v="FGU920144.568090"/>
    <s v=""/>
    <s v=""/>
    <s v=""/>
    <s v=""/>
    <s v=""/>
    <s v=""/>
    <s v=""/>
  </r>
  <r>
    <x v="1"/>
    <x v="2"/>
    <x v="2"/>
    <x v="4"/>
    <x v="2"/>
    <s v="FGU920144.570090"/>
    <s v=""/>
    <s v=""/>
    <s v=""/>
    <s v=""/>
    <s v=""/>
    <s v=""/>
    <s v=""/>
  </r>
  <r>
    <x v="1"/>
    <x v="2"/>
    <x v="2"/>
    <x v="5"/>
    <x v="2"/>
    <s v="FGU920144.572090"/>
    <s v=""/>
    <s v=""/>
    <s v=""/>
    <s v=""/>
    <s v=""/>
    <s v=""/>
    <s v=""/>
  </r>
  <r>
    <x v="1"/>
    <x v="2"/>
    <x v="2"/>
    <x v="6"/>
    <x v="2"/>
    <s v="FGU920144.574090"/>
    <s v=""/>
    <s v=""/>
    <s v=""/>
    <s v=""/>
    <s v=""/>
    <s v=""/>
    <s v=""/>
  </r>
  <r>
    <x v="1"/>
    <x v="2"/>
    <x v="2"/>
    <x v="7"/>
    <x v="2"/>
    <s v="FGU920144.576090"/>
    <s v=""/>
    <s v=""/>
    <s v=""/>
    <s v=""/>
    <s v=""/>
    <s v=""/>
    <s v=""/>
  </r>
  <r>
    <x v="1"/>
    <x v="2"/>
    <x v="2"/>
    <x v="8"/>
    <x v="2"/>
    <s v="FGU920144.578090"/>
    <s v=""/>
    <s v=""/>
    <s v=""/>
    <s v=""/>
    <s v=""/>
    <s v=""/>
    <s v=""/>
  </r>
  <r>
    <x v="1"/>
    <x v="2"/>
    <x v="2"/>
    <x v="0"/>
    <x v="3"/>
    <s v="FGU920144.562095"/>
    <s v=""/>
    <s v=""/>
    <s v=""/>
    <s v=""/>
    <s v=""/>
    <s v=""/>
    <s v=""/>
  </r>
  <r>
    <x v="1"/>
    <x v="2"/>
    <x v="2"/>
    <x v="1"/>
    <x v="3"/>
    <s v="FGU920144.564095"/>
    <s v=""/>
    <s v=""/>
    <s v=""/>
    <s v=""/>
    <s v=""/>
    <s v=""/>
    <s v=""/>
  </r>
  <r>
    <x v="1"/>
    <x v="2"/>
    <x v="2"/>
    <x v="2"/>
    <x v="3"/>
    <s v="FGU920144.566095"/>
    <s v=""/>
    <s v=""/>
    <s v=""/>
    <s v=""/>
    <s v=""/>
    <s v=""/>
    <s v=""/>
  </r>
  <r>
    <x v="1"/>
    <x v="2"/>
    <x v="2"/>
    <x v="3"/>
    <x v="3"/>
    <s v="FGU920144.568095"/>
    <s v=""/>
    <s v=""/>
    <s v=""/>
    <s v=""/>
    <s v=""/>
    <s v=""/>
    <s v=""/>
  </r>
  <r>
    <x v="1"/>
    <x v="2"/>
    <x v="2"/>
    <x v="4"/>
    <x v="3"/>
    <s v="FGU920144.570095"/>
    <s v=""/>
    <s v=""/>
    <s v=""/>
    <s v=""/>
    <s v=""/>
    <s v=""/>
    <s v=""/>
  </r>
  <r>
    <x v="1"/>
    <x v="2"/>
    <x v="2"/>
    <x v="5"/>
    <x v="3"/>
    <s v="FGU920144.572095"/>
    <s v=""/>
    <s v=""/>
    <s v=""/>
    <s v=""/>
    <s v=""/>
    <s v=""/>
    <s v=""/>
  </r>
  <r>
    <x v="1"/>
    <x v="2"/>
    <x v="2"/>
    <x v="6"/>
    <x v="3"/>
    <s v="FGU920144.574095"/>
    <s v=""/>
    <s v=""/>
    <s v=""/>
    <s v=""/>
    <s v=""/>
    <s v=""/>
    <s v=""/>
  </r>
  <r>
    <x v="1"/>
    <x v="2"/>
    <x v="2"/>
    <x v="7"/>
    <x v="3"/>
    <s v="FGU920144.576095"/>
    <s v=""/>
    <s v=""/>
    <s v=""/>
    <s v=""/>
    <s v=""/>
    <s v=""/>
    <s v=""/>
  </r>
  <r>
    <x v="1"/>
    <x v="2"/>
    <x v="2"/>
    <x v="8"/>
    <x v="3"/>
    <s v="FGU920144.578095"/>
    <s v=""/>
    <s v=""/>
    <s v=""/>
    <s v=""/>
    <s v=""/>
    <s v=""/>
    <s v=""/>
  </r>
  <r>
    <x v="1"/>
    <x v="2"/>
    <x v="2"/>
    <x v="0"/>
    <x v="4"/>
    <s v="FGU920144.562097"/>
    <s v=""/>
    <s v=""/>
    <s v=""/>
    <s v=""/>
    <s v=""/>
    <s v=""/>
    <s v=""/>
  </r>
  <r>
    <x v="1"/>
    <x v="2"/>
    <x v="2"/>
    <x v="1"/>
    <x v="4"/>
    <s v="FGU920144.564097"/>
    <s v=""/>
    <s v=""/>
    <s v=""/>
    <s v=""/>
    <s v=""/>
    <s v=""/>
    <s v=""/>
  </r>
  <r>
    <x v="1"/>
    <x v="2"/>
    <x v="2"/>
    <x v="2"/>
    <x v="4"/>
    <s v="FGU920144.566097"/>
    <s v=""/>
    <s v=""/>
    <s v=""/>
    <s v=""/>
    <s v=""/>
    <s v=""/>
    <s v=""/>
  </r>
  <r>
    <x v="1"/>
    <x v="2"/>
    <x v="2"/>
    <x v="3"/>
    <x v="4"/>
    <s v="FGU920144.568097"/>
    <s v=""/>
    <s v=""/>
    <s v=""/>
    <s v=""/>
    <s v=""/>
    <s v=""/>
    <s v=""/>
  </r>
  <r>
    <x v="1"/>
    <x v="2"/>
    <x v="2"/>
    <x v="4"/>
    <x v="4"/>
    <s v="FGU920144.570097"/>
    <s v=""/>
    <s v=""/>
    <s v=""/>
    <s v=""/>
    <s v=""/>
    <s v=""/>
    <s v=""/>
  </r>
  <r>
    <x v="1"/>
    <x v="2"/>
    <x v="2"/>
    <x v="5"/>
    <x v="4"/>
    <s v="FGU920144.572097"/>
    <s v=""/>
    <s v=""/>
    <s v=""/>
    <s v=""/>
    <s v=""/>
    <s v=""/>
    <s v=""/>
  </r>
  <r>
    <x v="1"/>
    <x v="2"/>
    <x v="2"/>
    <x v="6"/>
    <x v="4"/>
    <s v="FGU920144.574097"/>
    <s v=""/>
    <s v=""/>
    <s v=""/>
    <s v=""/>
    <s v=""/>
    <s v=""/>
    <s v=""/>
  </r>
  <r>
    <x v="1"/>
    <x v="2"/>
    <x v="2"/>
    <x v="7"/>
    <x v="4"/>
    <s v="FGU920144.576097"/>
    <s v=""/>
    <s v=""/>
    <s v=""/>
    <s v=""/>
    <s v=""/>
    <s v=""/>
    <s v=""/>
  </r>
  <r>
    <x v="1"/>
    <x v="2"/>
    <x v="2"/>
    <x v="8"/>
    <x v="4"/>
    <s v="FGU920144.578097"/>
    <s v=""/>
    <s v=""/>
    <s v=""/>
    <s v=""/>
    <s v=""/>
    <s v=""/>
    <s v=""/>
  </r>
  <r>
    <x v="1"/>
    <x v="2"/>
    <x v="2"/>
    <x v="0"/>
    <x v="5"/>
    <s v="FGU920144.5620100"/>
    <s v=""/>
    <s v=""/>
    <s v=""/>
    <s v=""/>
    <s v=""/>
    <s v=""/>
    <s v=""/>
  </r>
  <r>
    <x v="1"/>
    <x v="2"/>
    <x v="2"/>
    <x v="1"/>
    <x v="5"/>
    <s v="FGU920144.5640100"/>
    <s v=""/>
    <s v=""/>
    <s v=""/>
    <s v=""/>
    <s v=""/>
    <s v=""/>
    <s v=""/>
  </r>
  <r>
    <x v="1"/>
    <x v="2"/>
    <x v="2"/>
    <x v="2"/>
    <x v="5"/>
    <s v="FGU920144.5660100"/>
    <s v=""/>
    <s v=""/>
    <s v=""/>
    <s v=""/>
    <s v=""/>
    <s v=""/>
    <s v=""/>
  </r>
  <r>
    <x v="1"/>
    <x v="2"/>
    <x v="2"/>
    <x v="3"/>
    <x v="5"/>
    <s v="FGU920144.5680100"/>
    <s v=""/>
    <s v=""/>
    <s v=""/>
    <s v=""/>
    <s v=""/>
    <s v=""/>
    <s v=""/>
  </r>
  <r>
    <x v="1"/>
    <x v="2"/>
    <x v="2"/>
    <x v="4"/>
    <x v="5"/>
    <s v="FGU920144.5700100"/>
    <s v=""/>
    <s v=""/>
    <s v=""/>
    <s v=""/>
    <s v=""/>
    <s v=""/>
    <s v=""/>
  </r>
  <r>
    <x v="1"/>
    <x v="2"/>
    <x v="2"/>
    <x v="5"/>
    <x v="5"/>
    <s v="FGU920144.5720100"/>
    <s v=""/>
    <s v=""/>
    <s v=""/>
    <s v=""/>
    <s v=""/>
    <s v=""/>
    <s v=""/>
  </r>
  <r>
    <x v="1"/>
    <x v="2"/>
    <x v="2"/>
    <x v="6"/>
    <x v="5"/>
    <s v="FGU920144.5740100"/>
    <s v=""/>
    <s v=""/>
    <s v=""/>
    <s v=""/>
    <s v=""/>
    <s v=""/>
    <s v=""/>
  </r>
  <r>
    <x v="1"/>
    <x v="2"/>
    <x v="2"/>
    <x v="7"/>
    <x v="5"/>
    <s v="FGU920144.5760100"/>
    <s v=""/>
    <s v=""/>
    <s v=""/>
    <s v=""/>
    <s v=""/>
    <s v=""/>
    <s v=""/>
  </r>
  <r>
    <x v="1"/>
    <x v="2"/>
    <x v="2"/>
    <x v="8"/>
    <x v="5"/>
    <s v="FGU920144.5780100"/>
    <s v=""/>
    <s v=""/>
    <s v=""/>
    <s v=""/>
    <s v=""/>
    <s v=""/>
    <s v=""/>
  </r>
  <r>
    <x v="1"/>
    <x v="2"/>
    <x v="2"/>
    <x v="0"/>
    <x v="6"/>
    <s v="FGU920144.5620100+"/>
    <s v=""/>
    <s v=""/>
    <s v=""/>
    <s v=""/>
    <s v=""/>
    <s v=""/>
    <s v=""/>
  </r>
  <r>
    <x v="1"/>
    <x v="2"/>
    <x v="2"/>
    <x v="1"/>
    <x v="6"/>
    <s v="FGU920144.5640100+"/>
    <s v=""/>
    <s v=""/>
    <s v=""/>
    <s v=""/>
    <s v=""/>
    <s v=""/>
    <s v=""/>
  </r>
  <r>
    <x v="1"/>
    <x v="2"/>
    <x v="2"/>
    <x v="2"/>
    <x v="6"/>
    <s v="FGU920144.5660100+"/>
    <s v=""/>
    <s v=""/>
    <s v=""/>
    <s v=""/>
    <s v=""/>
    <s v=""/>
    <s v=""/>
  </r>
  <r>
    <x v="1"/>
    <x v="2"/>
    <x v="2"/>
    <x v="3"/>
    <x v="6"/>
    <s v="FGU920144.5680100+"/>
    <s v=""/>
    <s v=""/>
    <s v=""/>
    <s v=""/>
    <s v=""/>
    <s v=""/>
    <s v=""/>
  </r>
  <r>
    <x v="1"/>
    <x v="2"/>
    <x v="2"/>
    <x v="4"/>
    <x v="6"/>
    <s v="FGU920144.5700100+"/>
    <n v="1070970.8500000001"/>
    <n v="-14.6998"/>
    <n v="10.2949"/>
    <n v="24.994700000000002"/>
    <n v="-14.6998"/>
    <n v="10.2949"/>
    <n v="24.994700000000002"/>
  </r>
  <r>
    <x v="1"/>
    <x v="2"/>
    <x v="2"/>
    <x v="5"/>
    <x v="6"/>
    <s v="FGU920144.5720100+"/>
    <s v=""/>
    <s v=""/>
    <s v=""/>
    <s v=""/>
    <s v=""/>
    <s v=""/>
    <s v=""/>
  </r>
  <r>
    <x v="1"/>
    <x v="2"/>
    <x v="2"/>
    <x v="6"/>
    <x v="6"/>
    <s v="FGU920144.5740100+"/>
    <s v=""/>
    <s v=""/>
    <s v=""/>
    <s v=""/>
    <s v=""/>
    <s v=""/>
    <s v=""/>
  </r>
  <r>
    <x v="1"/>
    <x v="2"/>
    <x v="2"/>
    <x v="7"/>
    <x v="6"/>
    <s v="FGU920144.5760100+"/>
    <s v=""/>
    <s v=""/>
    <s v=""/>
    <s v=""/>
    <s v=""/>
    <s v=""/>
    <s v=""/>
  </r>
  <r>
    <x v="1"/>
    <x v="2"/>
    <x v="2"/>
    <x v="8"/>
    <x v="6"/>
    <s v="FGU920144.5780100+"/>
    <s v=""/>
    <s v=""/>
    <s v=""/>
    <s v=""/>
    <s v=""/>
    <s v=""/>
    <s v=""/>
  </r>
  <r>
    <x v="2"/>
    <x v="3"/>
    <x v="3"/>
    <x v="9"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46" dataOnRows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showHeaders="0" outline="1" outlineData="1" multipleFieldFilters="0">
  <location ref="A5:H75" firstHeaderRow="0" firstDataRow="1" firstDataCol="1" rowPageCount="3" colPageCount="1"/>
  <pivotFields count="13">
    <pivotField axis="axisPage" showAll="0" defaultSubtotal="0">
      <items count="3">
        <item x="0"/>
        <item x="1"/>
        <item x="2"/>
      </items>
    </pivotField>
    <pivotField axis="axisPage" showAll="0">
      <items count="5">
        <item x="0"/>
        <item x="3"/>
        <item x="1"/>
        <item x="2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axis="axisRow" showAll="0">
      <items count="11">
        <item x="3"/>
        <item x="4"/>
        <item x="5"/>
        <item x="6"/>
        <item x="8"/>
        <item x="9"/>
        <item x="7"/>
        <item x="0"/>
        <item x="1"/>
        <item x="2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 defaultSubtotal="0"/>
    <pivotField dataField="1" showAll="0"/>
    <pivotField dataField="1" showAll="0"/>
    <pivotField dataField="1" showAll="0"/>
    <pivotField dataField="1" showAll="0" defaultSubtotal="0"/>
    <pivotField dataField="1" showAll="0"/>
    <pivotField dataField="1" showAll="0"/>
    <pivotField dataField="1" showAll="0" defaultSubtotal="0"/>
  </pivotFields>
  <rowFields count="2">
    <field x="-2"/>
    <field x="3"/>
  </rowFields>
  <rowItems count="70">
    <i>
      <x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i="1">
      <x v="1"/>
    </i>
    <i r="1" i="1">
      <x/>
    </i>
    <i r="1" i="1">
      <x v="1"/>
    </i>
    <i r="1" i="1">
      <x v="2"/>
    </i>
    <i r="1" i="1">
      <x v="3"/>
    </i>
    <i r="1" i="1">
      <x v="4"/>
    </i>
    <i r="1" i="1">
      <x v="6"/>
    </i>
    <i r="1" i="1">
      <x v="7"/>
    </i>
    <i r="1" i="1">
      <x v="8"/>
    </i>
    <i r="1" i="1">
      <x v="9"/>
    </i>
    <i i="2">
      <x v="2"/>
    </i>
    <i r="1" i="2">
      <x/>
    </i>
    <i r="1" i="2">
      <x v="1"/>
    </i>
    <i r="1" i="2">
      <x v="2"/>
    </i>
    <i r="1" i="2">
      <x v="3"/>
    </i>
    <i r="1" i="2">
      <x v="4"/>
    </i>
    <i r="1" i="2">
      <x v="6"/>
    </i>
    <i r="1" i="2">
      <x v="7"/>
    </i>
    <i r="1" i="2">
      <x v="8"/>
    </i>
    <i r="1" i="2">
      <x v="9"/>
    </i>
    <i i="3">
      <x v="3"/>
    </i>
    <i r="1" i="3">
      <x/>
    </i>
    <i r="1" i="3">
      <x v="1"/>
    </i>
    <i r="1" i="3">
      <x v="2"/>
    </i>
    <i r="1" i="3">
      <x v="3"/>
    </i>
    <i r="1" i="3">
      <x v="4"/>
    </i>
    <i r="1" i="3">
      <x v="6"/>
    </i>
    <i r="1" i="3">
      <x v="7"/>
    </i>
    <i r="1" i="3">
      <x v="8"/>
    </i>
    <i r="1" i="3">
      <x v="9"/>
    </i>
    <i i="4">
      <x v="4"/>
    </i>
    <i r="1" i="4">
      <x/>
    </i>
    <i r="1" i="4">
      <x v="1"/>
    </i>
    <i r="1" i="4">
      <x v="2"/>
    </i>
    <i r="1" i="4">
      <x v="3"/>
    </i>
    <i r="1" i="4">
      <x v="4"/>
    </i>
    <i r="1" i="4">
      <x v="6"/>
    </i>
    <i r="1" i="4">
      <x v="7"/>
    </i>
    <i r="1" i="4">
      <x v="8"/>
    </i>
    <i r="1" i="4">
      <x v="9"/>
    </i>
    <i i="5">
      <x v="5"/>
    </i>
    <i r="1" i="5">
      <x/>
    </i>
    <i r="1" i="5">
      <x v="1"/>
    </i>
    <i r="1" i="5">
      <x v="2"/>
    </i>
    <i r="1" i="5">
      <x v="3"/>
    </i>
    <i r="1" i="5">
      <x v="4"/>
    </i>
    <i r="1" i="5">
      <x v="6"/>
    </i>
    <i r="1" i="5">
      <x v="7"/>
    </i>
    <i r="1" i="5">
      <x v="8"/>
    </i>
    <i r="1" i="5">
      <x v="9"/>
    </i>
    <i i="6">
      <x v="6"/>
    </i>
    <i r="1" i="6">
      <x/>
    </i>
    <i r="1" i="6">
      <x v="1"/>
    </i>
    <i r="1" i="6">
      <x v="2"/>
    </i>
    <i r="1" i="6">
      <x v="3"/>
    </i>
    <i r="1" i="6">
      <x v="4"/>
    </i>
    <i r="1" i="6">
      <x v="6"/>
    </i>
    <i r="1" i="6">
      <x v="7"/>
    </i>
    <i r="1" i="6">
      <x v="8"/>
    </i>
    <i r="1" i="6">
      <x v="9"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3">
    <pageField fld="1" item="0" hier="-1"/>
    <pageField fld="2" item="3" hier="-1"/>
    <pageField fld="0" item="1" hier="-1"/>
  </pageFields>
  <dataFields count="7">
    <dataField name="Sum of fha_refi_incentive_new" fld="8" baseField="0" baseItem="0"/>
    <dataField name="Sum of fha_refi_incentive_old" fld="7" baseField="0" baseItem="0"/>
    <dataField name="Sum of fha_refi_incentive_delta" fld="9" baseField="0" baseItem="0"/>
    <dataField name="Sum of refi_incentive_new" fld="11" baseField="0" baseItem="0"/>
    <dataField name="Sum of refi_incentive_old" fld="10" baseField="0" baseItem="0"/>
    <dataField name="Sum of refi_incentive_delta" fld="12" baseField="0" baseItem="0"/>
    <dataField name="Sum of total_balance" fld="6" showDataAs="percentOfTotal" baseField="0" baseItem="0" numFmtId="10"/>
  </dataFields>
  <formats count="67">
    <format dxfId="402">
      <pivotArea collapsedLevelsAreSubtotals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403">
      <pivotArea outline="0" fieldPosition="0">
        <references count="1">
          <reference field="4294967294" count="1">
            <x v="6"/>
          </reference>
        </references>
      </pivotArea>
    </format>
    <format dxfId="404">
      <pivotArea collapsedLevelsAreSubtotals="1" fieldPosition="0">
        <references count="2">
          <reference field="4294967294" count="1" selected="0">
            <x v="0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05">
      <pivotArea collapsedLevelsAreSubtotals="1" fieldPosition="0">
        <references count="2">
          <reference field="4294967294" count="1">
            <x v="1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06">
      <pivotArea collapsedLevelsAreSubtotals="1" fieldPosition="0">
        <references count="2">
          <reference field="4294967294" count="1" selected="0">
            <x v="1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07">
      <pivotArea collapsedLevelsAreSubtotals="1" fieldPosition="0">
        <references count="2">
          <reference field="4294967294" count="1">
            <x v="2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08">
      <pivotArea collapsedLevelsAreSubtotals="1" fieldPosition="0">
        <references count="2">
          <reference field="4294967294" count="1" selected="0">
            <x v="2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09">
      <pivotArea collapsedLevelsAreSubtotals="1" fieldPosition="0">
        <references count="2">
          <reference field="4294967294" count="1">
            <x v="3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10">
      <pivotArea collapsedLevelsAreSubtotals="1" fieldPosition="0">
        <references count="2">
          <reference field="4294967294" count="1" selected="0">
            <x v="3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11">
      <pivotArea collapsedLevelsAreSubtotals="1" fieldPosition="0">
        <references count="2">
          <reference field="4294967294" count="1">
            <x v="4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12">
      <pivotArea collapsedLevelsAreSubtotals="1" fieldPosition="0">
        <references count="2">
          <reference field="4294967294" count="1" selected="0">
            <x v="4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13">
      <pivotArea collapsedLevelsAreSubtotals="1" fieldPosition="0">
        <references count="2">
          <reference field="4294967294" count="1">
            <x v="5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14">
      <pivotArea collapsedLevelsAreSubtotals="1" fieldPosition="0">
        <references count="2">
          <reference field="4294967294" count="1" selected="0">
            <x v="5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15">
      <pivotArea collapsedLevelsAreSubtotals="1" fieldPosition="0">
        <references count="2">
          <reference field="4294967294" count="1">
            <x v="6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16">
      <pivotArea collapsedLevelsAreSubtotals="1" fieldPosition="0">
        <references count="2">
          <reference field="4294967294" count="1" selected="0">
            <x v="6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17">
      <pivotArea outline="0" collapsedLevelsAreSubtotals="1" fieldPosition="0">
        <references count="1">
          <reference field="4" count="6" selected="0">
            <x v="1"/>
            <x v="2"/>
            <x v="3"/>
            <x v="4"/>
            <x v="5"/>
            <x v="6"/>
          </reference>
        </references>
      </pivotArea>
    </format>
    <format dxfId="418">
      <pivotArea type="topRight" dataOnly="0" labelOnly="1" outline="0" fieldPosition="0"/>
    </format>
    <format dxfId="419">
      <pivotArea dataOnly="0" labelOnly="1" fieldPosition="0">
        <references count="1">
          <reference field="4" count="6">
            <x v="1"/>
            <x v="2"/>
            <x v="3"/>
            <x v="4"/>
            <x v="5"/>
            <x v="6"/>
          </reference>
        </references>
      </pivotArea>
    </format>
    <format dxfId="420">
      <pivotArea outline="0" collapsedLevelsAreSubtotals="1" fieldPosition="0">
        <references count="1">
          <reference field="4" count="1" selected="0">
            <x v="0"/>
          </reference>
        </references>
      </pivotArea>
    </format>
    <format dxfId="421">
      <pivotArea dataOnly="0" labelOnly="1" outline="0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422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423">
      <pivotArea field="4" type="button" dataOnly="0" labelOnly="1" outline="0" axis="axisCol" fieldPosition="0"/>
    </format>
    <format dxfId="424">
      <pivotArea dataOnly="0" labelOnly="1" fieldPosition="0">
        <references count="1">
          <reference field="4" count="1">
            <x v="0"/>
          </reference>
        </references>
      </pivotArea>
    </format>
    <format dxfId="425">
      <pivotArea collapsedLevelsAreSubtotals="1" fieldPosition="0">
        <references count="2">
          <reference field="4294967294" count="1">
            <x v="0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26">
      <pivotArea collapsedLevelsAreSubtotals="1" fieldPosition="0">
        <references count="2">
          <reference field="4294967294" count="1" selected="0">
            <x v="0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27">
      <pivotArea collapsedLevelsAreSubtotals="1" fieldPosition="0">
        <references count="2">
          <reference field="4294967294" count="1">
            <x v="1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28">
      <pivotArea collapsedLevelsAreSubtotals="1" fieldPosition="0">
        <references count="2">
          <reference field="4294967294" count="1" selected="0">
            <x v="1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29">
      <pivotArea collapsedLevelsAreSubtotals="1" fieldPosition="0">
        <references count="2">
          <reference field="4294967294" count="1">
            <x v="2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30">
      <pivotArea collapsedLevelsAreSubtotals="1" fieldPosition="0">
        <references count="2">
          <reference field="4294967294" count="1" selected="0">
            <x v="2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2">
      <pivotArea dataOnly="0" labelOnly="1" fieldPosition="0">
        <references count="2">
          <reference field="4294967294" count="1" selected="0">
            <x v="0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33">
      <pivotArea collapsedLevelsAreSubtotals="1" fieldPosition="0">
        <references count="2">
          <reference field="4294967294" count="1">
            <x v="3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34">
      <pivotArea collapsedLevelsAreSubtotals="1" fieldPosition="0">
        <references count="2">
          <reference field="4294967294" count="1" selected="0">
            <x v="3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35">
      <pivotArea collapsedLevelsAreSubtotals="1" fieldPosition="0">
        <references count="2">
          <reference field="4294967294" count="1">
            <x v="4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36">
      <pivotArea collapsedLevelsAreSubtotals="1" fieldPosition="0">
        <references count="2">
          <reference field="4294967294" count="1" selected="0">
            <x v="4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37">
      <pivotArea collapsedLevelsAreSubtotals="1" fieldPosition="0">
        <references count="2">
          <reference field="4294967294" count="1">
            <x v="5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38">
      <pivotArea collapsedLevelsAreSubtotals="1" fieldPosition="0">
        <references count="2">
          <reference field="4294967294" count="1" selected="0">
            <x v="5"/>
          </reference>
          <reference field="3" count="8">
            <x v="0"/>
            <x v="1"/>
            <x v="2"/>
            <x v="3"/>
            <x v="4"/>
            <x v="6"/>
            <x v="7"/>
            <x v="8"/>
          </reference>
        </references>
      </pivotArea>
    </format>
    <format dxfId="439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440">
      <pivotArea dataOnly="0" labelOnly="1" fieldPosition="0">
        <references count="2">
          <reference field="4294967294" count="1" selected="0">
            <x v="3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41">
      <pivotArea type="origin" dataOnly="0" labelOnly="1" outline="0" fieldPosition="0"/>
    </format>
    <format dxfId="442">
      <pivotArea field="-2" type="button" dataOnly="0" labelOnly="1" outline="0" axis="axisRow" fieldPosition="0"/>
    </format>
    <format dxfId="443">
      <pivotArea field="4" type="button" dataOnly="0" labelOnly="1" outline="0" axis="axisCol" fieldPosition="0"/>
    </format>
    <format dxfId="444">
      <pivotArea type="topRight" dataOnly="0" labelOnly="1" outline="0" fieldPosition="0"/>
    </format>
    <format dxfId="445">
      <pivotArea dataOnly="0" labelOnly="1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  <format dxfId="446">
      <pivotArea type="origin" dataOnly="0" labelOnly="1" outline="0" fieldPosition="0"/>
    </format>
    <format dxfId="447">
      <pivotArea field="-2" type="button" dataOnly="0" labelOnly="1" outline="0" axis="axisRow" fieldPosition="0"/>
    </format>
    <format dxfId="448">
      <pivotArea field="4" type="button" dataOnly="0" labelOnly="1" outline="0" axis="axisCol" fieldPosition="0"/>
    </format>
    <format dxfId="449">
      <pivotArea type="topRight" dataOnly="0" labelOnly="1" outline="0" fieldPosition="0"/>
    </format>
    <format dxfId="450">
      <pivotArea dataOnly="0" labelOnly="1" fieldPosition="0">
        <references count="1">
          <reference field="4" count="7">
            <x v="0"/>
            <x v="1"/>
            <x v="2"/>
            <x v="3"/>
            <x v="4"/>
            <x v="5"/>
            <x v="6"/>
          </reference>
        </references>
      </pivotArea>
    </format>
    <format dxfId="451">
      <pivotArea field="1" type="button" dataOnly="0" labelOnly="1" outline="0" axis="axisPage" fieldPosition="0"/>
    </format>
    <format dxfId="452">
      <pivotArea dataOnly="0" labelOnly="1" outline="0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453">
      <pivotArea field="2" type="button" dataOnly="0" labelOnly="1" outline="0" axis="axisPage" fieldPosition="1"/>
    </format>
    <format dxfId="454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455">
      <pivotArea field="1" type="button" dataOnly="0" labelOnly="1" outline="0" axis="axisPage" fieldPosition="0"/>
    </format>
    <format dxfId="456">
      <pivotArea dataOnly="0" labelOnly="1" outline="0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457">
      <pivotArea field="2" type="button" dataOnly="0" labelOnly="1" outline="0" axis="axisPage" fieldPosition="1"/>
    </format>
    <format dxfId="458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459">
      <pivotArea field="0" type="button" dataOnly="0" labelOnly="1" outline="0" axis="axisPage" fieldPosition="2"/>
    </format>
    <format dxfId="460">
      <pivotArea dataOnly="0" labelOnly="1" outline="0" fieldPosition="0">
        <references count="3">
          <reference field="0" count="0"/>
          <reference field="1" count="1" selected="0">
            <x v="0"/>
          </reference>
          <reference field="2" count="1" selected="0">
            <x v="0"/>
          </reference>
        </references>
      </pivotArea>
    </format>
    <format dxfId="461">
      <pivotArea field="0" type="button" dataOnly="0" labelOnly="1" outline="0" axis="axisPage" fieldPosition="2"/>
    </format>
    <format dxfId="462">
      <pivotArea dataOnly="0" labelOnly="1" outline="0" fieldPosition="0">
        <references count="3">
          <reference field="0" count="0"/>
          <reference field="1" count="1" selected="0">
            <x v="0"/>
          </reference>
          <reference field="2" count="1" selected="0">
            <x v="0"/>
          </reference>
        </references>
      </pivotArea>
    </format>
    <format dxfId="463">
      <pivotArea dataOnly="0" labelOnly="1" outline="0" fieldPosition="0">
        <references count="3">
          <reference field="0" count="1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  <format dxfId="464">
      <pivotArea collapsedLevelsAreSubtotals="1" fieldPosition="0">
        <references count="2">
          <reference field="4294967294" count="1">
            <x v="6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65">
      <pivotArea collapsedLevelsAreSubtotals="1" fieldPosition="0">
        <references count="2">
          <reference field="4294967294" count="1" selected="0">
            <x v="6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6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67">
      <pivotArea dataOnly="0" labelOnly="1" fieldPosition="0">
        <references count="2">
          <reference field="4294967294" count="1" selected="0">
            <x v="6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  <format dxfId="468">
      <pivotArea collapsedLevelsAreSubtotals="1" fieldPosition="0">
        <references count="2">
          <reference field="4294967294" count="1" selected="0">
            <x v="6"/>
          </reference>
          <reference field="3" count="9">
            <x v="0"/>
            <x v="1"/>
            <x v="2"/>
            <x v="3"/>
            <x v="4"/>
            <x v="6"/>
            <x v="7"/>
            <x v="8"/>
            <x v="9"/>
          </reference>
        </references>
      </pivotArea>
    </format>
  </formats>
  <conditionalFormats count="3">
    <conditionalFormat priority="5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3" count="9">
              <x v="0"/>
              <x v="1"/>
              <x v="2"/>
              <x v="3"/>
              <x v="4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5">
        <pivotArea type="data" collapsedLevelsAreSubtotals="1" fieldPosition="0">
          <references count="2">
            <reference field="4294967294" count="1" selected="0">
              <x v="0"/>
            </reference>
            <reference field="3" count="9">
              <x v="0"/>
              <x v="1"/>
              <x v="2"/>
              <x v="3"/>
              <x v="4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>
              <x v="1"/>
            </reference>
            <reference field="3" count="0" selected="0" defaultSubtotal="1" sumSubtotal="1" countASubtotal="1" avgSubtotal="1" maxSubtotal="1" minSubtotal="1" productSubtotal="1" countSubtotal="1" stdDevSubtotal="1" stdDevPSubtotal="1" varSubtotal="1" varPSubtotal="1"/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3" count="9">
              <x v="0"/>
              <x v="1"/>
              <x v="2"/>
              <x v="3"/>
              <x v="4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>
              <x v="2"/>
            </reference>
            <reference field="3" count="0" selected="0" defaultSubtotal="1" sumSubtotal="1" countASubtotal="1" avgSubtotal="1" maxSubtotal="1" minSubtotal="1" productSubtotal="1" countSubtotal="1" stdDevSubtotal="1" stdDevPSubtotal="1" varSubtotal="1" varPSubtotal="1"/>
          </references>
        </pivotArea>
        <pivotArea type="data" collapsedLevelsAreSubtotals="1" fieldPosition="0">
          <references count="2">
            <reference field="4294967294" count="1" selected="0">
              <x v="2"/>
            </reference>
            <reference field="3" count="9">
              <x v="0"/>
              <x v="1"/>
              <x v="2"/>
              <x v="3"/>
              <x v="4"/>
              <x v="6"/>
              <x v="7"/>
              <x v="8"/>
              <x v="9"/>
            </reference>
          </references>
        </pivotArea>
      </pivotAreas>
    </conditionalFormat>
    <conditionalFormat priority="1">
      <pivotAreas count="5">
        <pivotArea type="data" collapsedLevelsAreSubtotals="1" fieldPosition="0">
          <references count="2">
            <reference field="4294967294" count="1" selected="0">
              <x v="3"/>
            </reference>
            <reference field="3" count="9">
              <x v="0"/>
              <x v="1"/>
              <x v="2"/>
              <x v="3"/>
              <x v="4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>
              <x v="4"/>
            </reference>
            <reference field="3" count="0" selected="0" defaultSubtotal="1" sumSubtotal="1" countASubtotal="1" avgSubtotal="1" maxSubtotal="1" minSubtotal="1" productSubtotal="1" countSubtotal="1" stdDevSubtotal="1" stdDevPSubtotal="1" varSubtotal="1" varPSubtotal="1"/>
          </references>
        </pivotArea>
        <pivotArea type="data" collapsedLevelsAreSubtotals="1" fieldPosition="0">
          <references count="2">
            <reference field="4294967294" count="1" selected="0">
              <x v="4"/>
            </reference>
            <reference field="3" count="9">
              <x v="0"/>
              <x v="1"/>
              <x v="2"/>
              <x v="3"/>
              <x v="4"/>
              <x v="6"/>
              <x v="7"/>
              <x v="8"/>
              <x v="9"/>
            </reference>
          </references>
        </pivotArea>
        <pivotArea type="data" collapsedLevelsAreSubtotals="1" fieldPosition="0">
          <references count="2">
            <reference field="4294967294" count="1">
              <x v="5"/>
            </reference>
            <reference field="3" count="0" selected="0" defaultSubtotal="1" sumSubtotal="1" countASubtotal="1" avgSubtotal="1" maxSubtotal="1" minSubtotal="1" productSubtotal="1" countSubtotal="1" stdDevSubtotal="1" stdDevPSubtotal="1" varSubtotal="1" varPSubtotal="1"/>
          </references>
        </pivotArea>
        <pivotArea type="data" collapsedLevelsAreSubtotals="1" fieldPosition="0">
          <references count="2">
            <reference field="4294967294" count="1" selected="0">
              <x v="5"/>
            </reference>
            <reference field="3" count="9">
              <x v="0"/>
              <x v="1"/>
              <x v="2"/>
              <x v="3"/>
              <x v="4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workbookViewId="0">
      <selection activeCell="A3" sqref="A3:A74"/>
    </sheetView>
  </sheetViews>
  <sheetFormatPr defaultRowHeight="15" x14ac:dyDescent="0.25"/>
  <cols>
    <col min="1" max="1" width="17.42578125" bestFit="1" customWidth="1"/>
    <col min="20" max="20" width="29.28515625" customWidth="1"/>
    <col min="21" max="21" width="26.85546875" bestFit="1" customWidth="1"/>
    <col min="22" max="22" width="29.28515625" bestFit="1" customWidth="1"/>
    <col min="23" max="23" width="26.85546875" customWidth="1"/>
    <col min="24" max="29" width="13.7109375" customWidth="1"/>
  </cols>
  <sheetData>
    <row r="1" spans="1:13" x14ac:dyDescent="0.25">
      <c r="A1" t="s">
        <v>42</v>
      </c>
      <c r="B1" t="s">
        <v>36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40</v>
      </c>
      <c r="K1" t="s">
        <v>6</v>
      </c>
      <c r="L1" t="s">
        <v>8</v>
      </c>
      <c r="M1" t="s">
        <v>41</v>
      </c>
    </row>
    <row r="2" spans="1:13" x14ac:dyDescent="0.25">
      <c r="A2" t="str">
        <f>B2&amp;C2&amp;D2&amp;E2&amp;F2</f>
        <v>FGU620123.576085</v>
      </c>
      <c r="B2" t="s">
        <v>37</v>
      </c>
      <c r="C2">
        <v>2012</v>
      </c>
      <c r="D2">
        <v>3.5</v>
      </c>
      <c r="E2">
        <v>760</v>
      </c>
      <c r="F2">
        <v>85</v>
      </c>
      <c r="G2">
        <v>1397120.96</v>
      </c>
      <c r="H2">
        <v>-90.667400000000001</v>
      </c>
      <c r="I2">
        <v>-65.667400000000001</v>
      </c>
      <c r="J2">
        <v>25</v>
      </c>
      <c r="K2">
        <v>-37.890799999999999</v>
      </c>
      <c r="L2">
        <v>-35.6175</v>
      </c>
      <c r="M2">
        <v>2.2732999999999999</v>
      </c>
    </row>
    <row r="3" spans="1:13" x14ac:dyDescent="0.25">
      <c r="A3" t="str">
        <f>B3&amp;C3&amp;D3&amp;E3&amp;F3</f>
        <v>FGU62012472080</v>
      </c>
      <c r="B3" t="s">
        <v>37</v>
      </c>
      <c r="C3">
        <v>2012</v>
      </c>
      <c r="D3">
        <v>4</v>
      </c>
      <c r="E3">
        <v>720</v>
      </c>
      <c r="F3">
        <v>80</v>
      </c>
      <c r="G3">
        <v>18262792</v>
      </c>
      <c r="H3">
        <v>-43.237833057404401</v>
      </c>
      <c r="I3">
        <v>-18.238252984974402</v>
      </c>
      <c r="J3">
        <v>24.9995800724299</v>
      </c>
      <c r="K3">
        <v>1.87024700722989</v>
      </c>
      <c r="L3">
        <v>8.1382572624684606</v>
      </c>
      <c r="M3">
        <v>6.2680102552385701</v>
      </c>
    </row>
    <row r="4" spans="1:13" x14ac:dyDescent="0.25">
      <c r="A4" t="str">
        <f t="shared" ref="A4:A67" si="0">B4&amp;C4&amp;D4&amp;E4&amp;F4</f>
        <v>FGU62012472085</v>
      </c>
      <c r="B4" t="s">
        <v>37</v>
      </c>
      <c r="C4">
        <v>2012</v>
      </c>
      <c r="D4">
        <v>4</v>
      </c>
      <c r="E4">
        <v>720</v>
      </c>
      <c r="F4">
        <v>85</v>
      </c>
      <c r="G4">
        <v>2256668.85</v>
      </c>
      <c r="H4">
        <v>-34.592799999999997</v>
      </c>
      <c r="I4">
        <v>-9.5928000000000004</v>
      </c>
      <c r="J4">
        <v>25</v>
      </c>
      <c r="K4">
        <v>6.6280000000000001</v>
      </c>
      <c r="L4">
        <v>15.004300000000001</v>
      </c>
      <c r="M4">
        <v>8.3763000000000005</v>
      </c>
    </row>
    <row r="5" spans="1:13" x14ac:dyDescent="0.25">
      <c r="A5" t="str">
        <f t="shared" si="0"/>
        <v>FGU62012474080</v>
      </c>
      <c r="B5" t="s">
        <v>37</v>
      </c>
      <c r="C5">
        <v>2012</v>
      </c>
      <c r="D5">
        <v>4</v>
      </c>
      <c r="E5">
        <v>740</v>
      </c>
      <c r="F5">
        <v>80</v>
      </c>
      <c r="G5">
        <v>179629932.69999999</v>
      </c>
      <c r="H5">
        <v>-49.636223125408101</v>
      </c>
      <c r="I5">
        <v>-24.6364603258003</v>
      </c>
      <c r="J5">
        <v>24.999762799607801</v>
      </c>
      <c r="K5">
        <v>0.37924917534785602</v>
      </c>
      <c r="L5">
        <v>6.5202591989662499</v>
      </c>
      <c r="M5">
        <v>6.1410100236183904</v>
      </c>
    </row>
    <row r="6" spans="1:13" x14ac:dyDescent="0.25">
      <c r="A6" t="str">
        <f t="shared" si="0"/>
        <v>FGU62012474085</v>
      </c>
      <c r="B6" t="s">
        <v>37</v>
      </c>
      <c r="C6">
        <v>2012</v>
      </c>
      <c r="D6">
        <v>4</v>
      </c>
      <c r="E6">
        <v>740</v>
      </c>
      <c r="F6">
        <v>85</v>
      </c>
      <c r="G6">
        <v>39989905.450000003</v>
      </c>
      <c r="H6">
        <v>-43.531756777355596</v>
      </c>
      <c r="I6">
        <v>-18.531892765591198</v>
      </c>
      <c r="J6">
        <v>24.999864011764402</v>
      </c>
      <c r="K6">
        <v>3.6174777424769</v>
      </c>
      <c r="L6">
        <v>10.117683138540199</v>
      </c>
      <c r="M6">
        <v>6.50020539606329</v>
      </c>
    </row>
    <row r="7" spans="1:13" x14ac:dyDescent="0.25">
      <c r="A7" t="str">
        <f t="shared" si="0"/>
        <v>FGU62012474090</v>
      </c>
      <c r="B7" t="s">
        <v>37</v>
      </c>
      <c r="C7">
        <v>2012</v>
      </c>
      <c r="D7">
        <v>4</v>
      </c>
      <c r="E7">
        <v>740</v>
      </c>
      <c r="F7">
        <v>90</v>
      </c>
      <c r="G7">
        <v>2476179.17</v>
      </c>
      <c r="H7">
        <v>-43.6008</v>
      </c>
      <c r="I7">
        <v>-18.602</v>
      </c>
      <c r="J7">
        <v>24.998799999999999</v>
      </c>
      <c r="K7">
        <v>-1.5551999999999999</v>
      </c>
      <c r="L7">
        <v>7.4878999999999998</v>
      </c>
      <c r="M7">
        <v>9.0431000000000008</v>
      </c>
    </row>
    <row r="8" spans="1:13" x14ac:dyDescent="0.25">
      <c r="A8" t="str">
        <f t="shared" si="0"/>
        <v>FGU62012476080</v>
      </c>
      <c r="B8" t="s">
        <v>37</v>
      </c>
      <c r="C8">
        <v>2012</v>
      </c>
      <c r="D8">
        <v>4</v>
      </c>
      <c r="E8">
        <v>760</v>
      </c>
      <c r="F8">
        <v>80</v>
      </c>
      <c r="G8">
        <v>2415954.25</v>
      </c>
      <c r="H8">
        <v>-59.454146580913097</v>
      </c>
      <c r="I8">
        <v>-34.454146580913097</v>
      </c>
      <c r="J8">
        <v>25</v>
      </c>
      <c r="K8">
        <v>3.90071614909471</v>
      </c>
      <c r="L8">
        <v>9.09841860461637</v>
      </c>
      <c r="M8">
        <v>5.19770245552166</v>
      </c>
    </row>
    <row r="9" spans="1:13" x14ac:dyDescent="0.25">
      <c r="A9" t="str">
        <f t="shared" si="0"/>
        <v>FGU62012476085</v>
      </c>
      <c r="B9" t="s">
        <v>37</v>
      </c>
      <c r="C9">
        <v>2012</v>
      </c>
      <c r="D9">
        <v>4</v>
      </c>
      <c r="E9">
        <v>760</v>
      </c>
      <c r="F9">
        <v>85</v>
      </c>
      <c r="G9">
        <v>103826795.15000001</v>
      </c>
      <c r="H9">
        <v>-45.837701082293201</v>
      </c>
      <c r="I9">
        <v>-20.838259293884001</v>
      </c>
      <c r="J9">
        <v>24.999441788409101</v>
      </c>
      <c r="K9">
        <v>6.47281711641077</v>
      </c>
      <c r="L9">
        <v>12.3128087883911</v>
      </c>
      <c r="M9">
        <v>5.8399916719804104</v>
      </c>
    </row>
    <row r="10" spans="1:13" x14ac:dyDescent="0.25">
      <c r="A10" t="str">
        <f t="shared" si="0"/>
        <v>FGU62012476090</v>
      </c>
      <c r="B10" t="s">
        <v>37</v>
      </c>
      <c r="C10">
        <v>2012</v>
      </c>
      <c r="D10">
        <v>4</v>
      </c>
      <c r="E10">
        <v>760</v>
      </c>
      <c r="F10">
        <v>90</v>
      </c>
      <c r="G10">
        <v>607829.24</v>
      </c>
      <c r="H10">
        <v>10.395300000000001</v>
      </c>
      <c r="I10">
        <v>35.392499999999998</v>
      </c>
      <c r="J10">
        <v>24.997199999999999</v>
      </c>
      <c r="K10">
        <v>60.643099999999997</v>
      </c>
      <c r="L10">
        <v>60.643099999999997</v>
      </c>
      <c r="M10">
        <v>0</v>
      </c>
    </row>
    <row r="11" spans="1:13" x14ac:dyDescent="0.25">
      <c r="A11" t="str">
        <f t="shared" si="0"/>
        <v>FGU62012478080</v>
      </c>
      <c r="B11" t="s">
        <v>37</v>
      </c>
      <c r="C11">
        <v>2012</v>
      </c>
      <c r="D11">
        <v>4</v>
      </c>
      <c r="E11">
        <v>780</v>
      </c>
      <c r="F11">
        <v>80</v>
      </c>
      <c r="G11">
        <v>35036122.659999996</v>
      </c>
      <c r="H11">
        <v>-60.120022382871397</v>
      </c>
      <c r="I11">
        <v>-35.1200237103942</v>
      </c>
      <c r="J11">
        <v>24.999998672477201</v>
      </c>
      <c r="K11">
        <v>11.8753152485647</v>
      </c>
      <c r="L11">
        <v>13.894598811829599</v>
      </c>
      <c r="M11">
        <v>2.01928356326493</v>
      </c>
    </row>
    <row r="12" spans="1:13" x14ac:dyDescent="0.25">
      <c r="A12" t="str">
        <f t="shared" si="0"/>
        <v>FGU62012478085</v>
      </c>
      <c r="B12" t="s">
        <v>37</v>
      </c>
      <c r="C12">
        <v>2012</v>
      </c>
      <c r="D12">
        <v>4</v>
      </c>
      <c r="E12">
        <v>780</v>
      </c>
      <c r="F12">
        <v>85</v>
      </c>
      <c r="G12">
        <v>2323496.79</v>
      </c>
      <c r="H12">
        <v>-53.283900000000003</v>
      </c>
      <c r="I12">
        <v>-28.283899999999999</v>
      </c>
      <c r="J12">
        <v>25</v>
      </c>
      <c r="K12">
        <v>4.5119999999999996</v>
      </c>
      <c r="L12">
        <v>8.1224000000000007</v>
      </c>
      <c r="M12">
        <v>3.6103999999999998</v>
      </c>
    </row>
    <row r="13" spans="1:13" x14ac:dyDescent="0.25">
      <c r="A13" t="str">
        <f t="shared" si="0"/>
        <v>FGU620124.568095</v>
      </c>
      <c r="B13" t="s">
        <v>37</v>
      </c>
      <c r="C13">
        <v>2012</v>
      </c>
      <c r="D13">
        <v>4.5</v>
      </c>
      <c r="E13">
        <v>680</v>
      </c>
      <c r="F13">
        <v>95</v>
      </c>
      <c r="G13">
        <v>483242.4</v>
      </c>
      <c r="H13">
        <v>-15.27</v>
      </c>
      <c r="I13">
        <v>9.7200000000000006</v>
      </c>
      <c r="J13">
        <v>24.99</v>
      </c>
      <c r="K13">
        <v>-2.9386000000000001</v>
      </c>
      <c r="L13">
        <v>12.442299999999999</v>
      </c>
      <c r="M13">
        <v>15.3809</v>
      </c>
    </row>
    <row r="14" spans="1:13" x14ac:dyDescent="0.25">
      <c r="A14" t="str">
        <f t="shared" si="0"/>
        <v>FGU620124.570080</v>
      </c>
      <c r="B14" t="s">
        <v>37</v>
      </c>
      <c r="C14">
        <v>2012</v>
      </c>
      <c r="D14">
        <v>4.5</v>
      </c>
      <c r="E14">
        <v>700</v>
      </c>
      <c r="F14">
        <v>80</v>
      </c>
      <c r="G14">
        <v>1175507.94</v>
      </c>
      <c r="H14">
        <v>-15.5036</v>
      </c>
      <c r="I14">
        <v>9.4893000000000001</v>
      </c>
      <c r="J14">
        <v>24.992899999999999</v>
      </c>
      <c r="K14">
        <v>37.9146</v>
      </c>
      <c r="L14">
        <v>47.098199999999999</v>
      </c>
      <c r="M14">
        <v>9.1836000000000002</v>
      </c>
    </row>
    <row r="15" spans="1:13" x14ac:dyDescent="0.25">
      <c r="A15" t="str">
        <f t="shared" si="0"/>
        <v>FGU620124.572080</v>
      </c>
      <c r="B15" t="s">
        <v>37</v>
      </c>
      <c r="C15">
        <v>2012</v>
      </c>
      <c r="D15">
        <v>4.5</v>
      </c>
      <c r="E15">
        <v>720</v>
      </c>
      <c r="F15">
        <v>80</v>
      </c>
      <c r="G15">
        <v>26009042.890000001</v>
      </c>
      <c r="H15">
        <v>5.2352608182582703</v>
      </c>
      <c r="I15">
        <v>30.230694552998099</v>
      </c>
      <c r="J15">
        <v>24.995433734739802</v>
      </c>
      <c r="K15">
        <v>54.520513333110202</v>
      </c>
      <c r="L15">
        <v>60.812404588684402</v>
      </c>
      <c r="M15">
        <v>6.2918912555741802</v>
      </c>
    </row>
    <row r="16" spans="1:13" x14ac:dyDescent="0.25">
      <c r="A16" t="str">
        <f t="shared" si="0"/>
        <v>FGU620124.572085</v>
      </c>
      <c r="B16" t="s">
        <v>37</v>
      </c>
      <c r="C16">
        <v>2012</v>
      </c>
      <c r="D16">
        <v>4.5</v>
      </c>
      <c r="E16">
        <v>720</v>
      </c>
      <c r="F16">
        <v>85</v>
      </c>
      <c r="G16">
        <v>559624.42000000004</v>
      </c>
      <c r="H16">
        <v>8.6609999999999996</v>
      </c>
      <c r="I16">
        <v>33.656199999999998</v>
      </c>
      <c r="J16">
        <v>24.995200000000001</v>
      </c>
      <c r="K16">
        <v>51.008699999999997</v>
      </c>
      <c r="L16">
        <v>58.883699999999997</v>
      </c>
      <c r="M16">
        <v>7.875</v>
      </c>
    </row>
    <row r="17" spans="1:13" x14ac:dyDescent="0.25">
      <c r="A17" t="str">
        <f t="shared" si="0"/>
        <v>FGU620124.574080</v>
      </c>
      <c r="B17" t="s">
        <v>37</v>
      </c>
      <c r="C17">
        <v>2012</v>
      </c>
      <c r="D17">
        <v>4.5</v>
      </c>
      <c r="E17">
        <v>740</v>
      </c>
      <c r="F17">
        <v>80</v>
      </c>
      <c r="G17">
        <v>258000524.68000001</v>
      </c>
      <c r="H17">
        <v>5.4908475493489002</v>
      </c>
      <c r="I17">
        <v>30.486412786155501</v>
      </c>
      <c r="J17">
        <v>24.995565236806598</v>
      </c>
      <c r="K17">
        <v>57.590421274844999</v>
      </c>
      <c r="L17">
        <v>63.603332930069897</v>
      </c>
      <c r="M17">
        <v>6.0129116552249</v>
      </c>
    </row>
    <row r="18" spans="1:13" x14ac:dyDescent="0.25">
      <c r="A18" t="str">
        <f t="shared" si="0"/>
        <v>FGU620124.574085</v>
      </c>
      <c r="B18" t="s">
        <v>37</v>
      </c>
      <c r="C18">
        <v>2012</v>
      </c>
      <c r="D18">
        <v>4.5</v>
      </c>
      <c r="E18">
        <v>740</v>
      </c>
      <c r="F18">
        <v>85</v>
      </c>
      <c r="G18">
        <v>17380470.449999999</v>
      </c>
      <c r="H18">
        <v>-2.39583196282894</v>
      </c>
      <c r="I18">
        <v>22.597732791371801</v>
      </c>
      <c r="J18">
        <v>24.993564754200701</v>
      </c>
      <c r="K18">
        <v>39.635249304491303</v>
      </c>
      <c r="L18">
        <v>48.083967974701203</v>
      </c>
      <c r="M18">
        <v>8.4487186702098693</v>
      </c>
    </row>
    <row r="19" spans="1:13" x14ac:dyDescent="0.25">
      <c r="A19" t="str">
        <f t="shared" si="0"/>
        <v>FGU620124.574090</v>
      </c>
      <c r="B19" t="s">
        <v>37</v>
      </c>
      <c r="C19">
        <v>2012</v>
      </c>
      <c r="D19">
        <v>4.5</v>
      </c>
      <c r="E19">
        <v>740</v>
      </c>
      <c r="F19">
        <v>90</v>
      </c>
      <c r="G19">
        <v>3248075.34</v>
      </c>
      <c r="H19">
        <v>-3.7804000000000002</v>
      </c>
      <c r="I19">
        <v>21.2149</v>
      </c>
      <c r="J19">
        <v>24.9953</v>
      </c>
      <c r="K19">
        <v>36.723500000000001</v>
      </c>
      <c r="L19">
        <v>44.916600000000003</v>
      </c>
      <c r="M19">
        <v>8.1930999999999994</v>
      </c>
    </row>
    <row r="20" spans="1:13" x14ac:dyDescent="0.25">
      <c r="A20" t="str">
        <f t="shared" si="0"/>
        <v>FGU620124.576080</v>
      </c>
      <c r="B20" t="s">
        <v>37</v>
      </c>
      <c r="C20">
        <v>2012</v>
      </c>
      <c r="D20">
        <v>4.5</v>
      </c>
      <c r="E20">
        <v>760</v>
      </c>
      <c r="F20">
        <v>80</v>
      </c>
      <c r="G20">
        <v>31465167.23</v>
      </c>
      <c r="H20">
        <v>1.1159958772488601</v>
      </c>
      <c r="I20">
        <v>26.109122485700599</v>
      </c>
      <c r="J20">
        <v>24.9931266084517</v>
      </c>
      <c r="K20">
        <v>62.307705205956601</v>
      </c>
      <c r="L20">
        <v>66.021590180723095</v>
      </c>
      <c r="M20">
        <v>3.7138849747664202</v>
      </c>
    </row>
    <row r="21" spans="1:13" x14ac:dyDescent="0.25">
      <c r="A21" t="str">
        <f t="shared" si="0"/>
        <v>FGU620124.576090</v>
      </c>
      <c r="B21" t="s">
        <v>37</v>
      </c>
      <c r="C21">
        <v>2012</v>
      </c>
      <c r="D21">
        <v>4.5</v>
      </c>
      <c r="E21">
        <v>760</v>
      </c>
      <c r="F21">
        <v>90</v>
      </c>
      <c r="G21">
        <v>1232498.57</v>
      </c>
      <c r="H21">
        <v>11.8748</v>
      </c>
      <c r="I21">
        <v>36.868099999999998</v>
      </c>
      <c r="J21">
        <v>24.993300000000001</v>
      </c>
      <c r="K21">
        <v>51.183999999999997</v>
      </c>
      <c r="L21">
        <v>59.598100000000002</v>
      </c>
      <c r="M21">
        <v>8.4140999999999995</v>
      </c>
    </row>
    <row r="22" spans="1:13" x14ac:dyDescent="0.25">
      <c r="A22" t="str">
        <f t="shared" si="0"/>
        <v>FGU620124.578080</v>
      </c>
      <c r="B22" t="s">
        <v>37</v>
      </c>
      <c r="C22">
        <v>2012</v>
      </c>
      <c r="D22">
        <v>4.5</v>
      </c>
      <c r="E22">
        <v>780</v>
      </c>
      <c r="F22">
        <v>80</v>
      </c>
      <c r="G22">
        <v>1372585.95</v>
      </c>
      <c r="H22">
        <v>30.285900000000002</v>
      </c>
      <c r="I22">
        <v>55.2821</v>
      </c>
      <c r="J22">
        <v>24.996200000000002</v>
      </c>
      <c r="K22">
        <v>105.40730000000001</v>
      </c>
      <c r="L22">
        <v>105.40730000000001</v>
      </c>
      <c r="M22">
        <v>0</v>
      </c>
    </row>
    <row r="23" spans="1:13" x14ac:dyDescent="0.25">
      <c r="A23" t="str">
        <f t="shared" si="0"/>
        <v>FGU620124.578085</v>
      </c>
      <c r="B23" t="s">
        <v>37</v>
      </c>
      <c r="C23">
        <v>2012</v>
      </c>
      <c r="D23">
        <v>4.5</v>
      </c>
      <c r="E23">
        <v>780</v>
      </c>
      <c r="F23">
        <v>85</v>
      </c>
      <c r="G23">
        <v>1069943.46</v>
      </c>
      <c r="H23">
        <v>-17.021999999999998</v>
      </c>
      <c r="I23">
        <v>7.9679000000000002</v>
      </c>
      <c r="J23">
        <v>24.989899999999999</v>
      </c>
      <c r="K23">
        <v>15.184900000000001</v>
      </c>
      <c r="L23">
        <v>29.894400000000001</v>
      </c>
      <c r="M23">
        <v>14.7095</v>
      </c>
    </row>
    <row r="24" spans="1:13" x14ac:dyDescent="0.25">
      <c r="A24" t="str">
        <f t="shared" si="0"/>
        <v>FGU620133.574085</v>
      </c>
      <c r="B24" t="s">
        <v>37</v>
      </c>
      <c r="C24">
        <v>2013</v>
      </c>
      <c r="D24">
        <v>3.5</v>
      </c>
      <c r="E24">
        <v>740</v>
      </c>
      <c r="F24">
        <v>85</v>
      </c>
      <c r="G24">
        <v>1626495.34</v>
      </c>
      <c r="H24">
        <v>-102.95780000000001</v>
      </c>
      <c r="I24">
        <v>-77.957800000000006</v>
      </c>
      <c r="J24">
        <v>25</v>
      </c>
      <c r="K24">
        <v>-55.417200000000001</v>
      </c>
      <c r="L24">
        <v>-49.816600000000001</v>
      </c>
      <c r="M24">
        <v>5.6006</v>
      </c>
    </row>
    <row r="25" spans="1:13" x14ac:dyDescent="0.25">
      <c r="A25" t="str">
        <f t="shared" si="0"/>
        <v>FGU620133.574090</v>
      </c>
      <c r="B25" t="s">
        <v>37</v>
      </c>
      <c r="C25">
        <v>2013</v>
      </c>
      <c r="D25">
        <v>3.5</v>
      </c>
      <c r="E25">
        <v>740</v>
      </c>
      <c r="F25">
        <v>90</v>
      </c>
      <c r="G25">
        <v>1082444.3999999999</v>
      </c>
      <c r="H25">
        <v>-106.6858</v>
      </c>
      <c r="I25">
        <v>-81.6858</v>
      </c>
      <c r="J25">
        <v>25</v>
      </c>
      <c r="K25">
        <v>-72.392899999999997</v>
      </c>
      <c r="L25">
        <v>-64.872799999999998</v>
      </c>
      <c r="M25">
        <v>7.5201000000000002</v>
      </c>
    </row>
    <row r="26" spans="1:13" x14ac:dyDescent="0.25">
      <c r="A26" t="str">
        <f t="shared" si="0"/>
        <v>FGU620133.576085</v>
      </c>
      <c r="B26" t="s">
        <v>37</v>
      </c>
      <c r="C26">
        <v>2013</v>
      </c>
      <c r="D26">
        <v>3.5</v>
      </c>
      <c r="E26">
        <v>760</v>
      </c>
      <c r="F26">
        <v>85</v>
      </c>
      <c r="G26">
        <v>29115659.109999999</v>
      </c>
      <c r="H26">
        <v>-100.9115</v>
      </c>
      <c r="I26">
        <v>-75.912099999999995</v>
      </c>
      <c r="J26">
        <v>24.999400000000001</v>
      </c>
      <c r="K26">
        <v>-49.026200000000003</v>
      </c>
      <c r="L26">
        <v>-42.406700000000001</v>
      </c>
      <c r="M26">
        <v>6.6195000000000004</v>
      </c>
    </row>
    <row r="27" spans="1:13" x14ac:dyDescent="0.25">
      <c r="A27" t="str">
        <f t="shared" si="0"/>
        <v>FGU62013472085</v>
      </c>
      <c r="B27" t="s">
        <v>37</v>
      </c>
      <c r="C27">
        <v>2013</v>
      </c>
      <c r="D27">
        <v>4</v>
      </c>
      <c r="E27">
        <v>720</v>
      </c>
      <c r="F27">
        <v>85</v>
      </c>
      <c r="G27">
        <v>23546582.530000001</v>
      </c>
      <c r="H27">
        <v>-51.248699999999999</v>
      </c>
      <c r="I27">
        <v>-26.249300000000002</v>
      </c>
      <c r="J27">
        <v>24.999400000000001</v>
      </c>
      <c r="K27">
        <v>-10.9476</v>
      </c>
      <c r="L27">
        <v>-2.9624999999999999</v>
      </c>
      <c r="M27">
        <v>7.9851000000000001</v>
      </c>
    </row>
    <row r="28" spans="1:13" x14ac:dyDescent="0.25">
      <c r="A28" t="str">
        <f t="shared" si="0"/>
        <v>FGU62013472090</v>
      </c>
      <c r="B28" t="s">
        <v>37</v>
      </c>
      <c r="C28">
        <v>2013</v>
      </c>
      <c r="D28">
        <v>4</v>
      </c>
      <c r="E28">
        <v>720</v>
      </c>
      <c r="F28">
        <v>90</v>
      </c>
      <c r="G28">
        <v>2056564.87</v>
      </c>
      <c r="H28">
        <v>-36.610399999999998</v>
      </c>
      <c r="I28">
        <v>-11.611000000000001</v>
      </c>
      <c r="J28">
        <v>24.999400000000001</v>
      </c>
      <c r="K28">
        <v>-18.9603</v>
      </c>
      <c r="L28">
        <v>-2.8589000000000002</v>
      </c>
      <c r="M28">
        <v>16.101400000000002</v>
      </c>
    </row>
    <row r="29" spans="1:13" x14ac:dyDescent="0.25">
      <c r="A29" t="str">
        <f t="shared" si="0"/>
        <v>FGU62013472095</v>
      </c>
      <c r="B29" t="s">
        <v>37</v>
      </c>
      <c r="C29">
        <v>2013</v>
      </c>
      <c r="D29">
        <v>4</v>
      </c>
      <c r="E29">
        <v>720</v>
      </c>
      <c r="F29">
        <v>95</v>
      </c>
      <c r="G29">
        <v>23794598.149999999</v>
      </c>
      <c r="H29">
        <v>-42.071309384820303</v>
      </c>
      <c r="I29">
        <v>-17.0716861598533</v>
      </c>
      <c r="J29">
        <v>24.9996232249669</v>
      </c>
      <c r="K29">
        <v>-20.284240154777599</v>
      </c>
      <c r="L29">
        <v>-5.8577629449972797</v>
      </c>
      <c r="M29">
        <v>14.426477209780399</v>
      </c>
    </row>
    <row r="30" spans="1:13" x14ac:dyDescent="0.25">
      <c r="A30" t="str">
        <f t="shared" si="0"/>
        <v>FGU62013474085</v>
      </c>
      <c r="B30" t="s">
        <v>37</v>
      </c>
      <c r="C30">
        <v>2013</v>
      </c>
      <c r="D30">
        <v>4</v>
      </c>
      <c r="E30">
        <v>740</v>
      </c>
      <c r="F30">
        <v>85</v>
      </c>
      <c r="G30">
        <v>14320526.880000001</v>
      </c>
      <c r="H30">
        <v>-39.320700000000002</v>
      </c>
      <c r="I30">
        <v>-14.3215</v>
      </c>
      <c r="J30">
        <v>24.999199999999998</v>
      </c>
      <c r="K30">
        <v>11.622999999999999</v>
      </c>
      <c r="L30">
        <v>18.172699999999999</v>
      </c>
      <c r="M30">
        <v>6.5496999999999996</v>
      </c>
    </row>
    <row r="31" spans="1:13" x14ac:dyDescent="0.25">
      <c r="A31" t="str">
        <f t="shared" si="0"/>
        <v>FGU62013474090</v>
      </c>
      <c r="B31" t="s">
        <v>37</v>
      </c>
      <c r="C31">
        <v>2013</v>
      </c>
      <c r="D31">
        <v>4</v>
      </c>
      <c r="E31">
        <v>740</v>
      </c>
      <c r="F31">
        <v>90</v>
      </c>
      <c r="G31">
        <v>42300192.369999997</v>
      </c>
      <c r="H31">
        <v>-37.1541764743492</v>
      </c>
      <c r="I31">
        <v>-12.154570604004901</v>
      </c>
      <c r="J31">
        <v>24.999605870344201</v>
      </c>
      <c r="K31">
        <v>-2.4800524747224899</v>
      </c>
      <c r="L31">
        <v>7.5475647089445301</v>
      </c>
      <c r="M31">
        <v>10.027617183666999</v>
      </c>
    </row>
    <row r="32" spans="1:13" x14ac:dyDescent="0.25">
      <c r="A32" t="str">
        <f t="shared" si="0"/>
        <v>FGU62013476085</v>
      </c>
      <c r="B32" t="s">
        <v>37</v>
      </c>
      <c r="C32">
        <v>2013</v>
      </c>
      <c r="D32">
        <v>4</v>
      </c>
      <c r="E32">
        <v>760</v>
      </c>
      <c r="F32">
        <v>85</v>
      </c>
      <c r="G32">
        <v>79114520.859999999</v>
      </c>
      <c r="H32">
        <v>-32.6509</v>
      </c>
      <c r="I32">
        <v>-7.6513999999999998</v>
      </c>
      <c r="J32">
        <v>24.999500000000001</v>
      </c>
      <c r="K32">
        <v>13.3742</v>
      </c>
      <c r="L32">
        <v>19.9072</v>
      </c>
      <c r="M32">
        <v>6.5330000000000004</v>
      </c>
    </row>
    <row r="33" spans="1:13" x14ac:dyDescent="0.25">
      <c r="A33" t="str">
        <f t="shared" si="0"/>
        <v>FGU62013476090</v>
      </c>
      <c r="B33" t="s">
        <v>37</v>
      </c>
      <c r="C33">
        <v>2013</v>
      </c>
      <c r="D33">
        <v>4</v>
      </c>
      <c r="E33">
        <v>760</v>
      </c>
      <c r="F33">
        <v>90</v>
      </c>
      <c r="G33">
        <v>722449.27</v>
      </c>
      <c r="H33">
        <v>-66.363200000000006</v>
      </c>
      <c r="I33">
        <v>-41.363199999999999</v>
      </c>
      <c r="J33">
        <v>25</v>
      </c>
      <c r="K33">
        <v>-19.7805</v>
      </c>
      <c r="L33">
        <v>-10.922599999999999</v>
      </c>
      <c r="M33">
        <v>8.8579000000000008</v>
      </c>
    </row>
    <row r="34" spans="1:13" x14ac:dyDescent="0.25">
      <c r="A34" t="str">
        <f t="shared" si="0"/>
        <v>FGU62013478080</v>
      </c>
      <c r="B34" t="s">
        <v>37</v>
      </c>
      <c r="C34">
        <v>2013</v>
      </c>
      <c r="D34">
        <v>4</v>
      </c>
      <c r="E34">
        <v>780</v>
      </c>
      <c r="F34">
        <v>80</v>
      </c>
      <c r="G34">
        <v>957901.84</v>
      </c>
      <c r="H34">
        <v>-51.97</v>
      </c>
      <c r="I34">
        <v>-26.97</v>
      </c>
      <c r="J34">
        <v>25</v>
      </c>
      <c r="K34">
        <v>24.688099999999999</v>
      </c>
      <c r="L34">
        <v>24.688099999999999</v>
      </c>
      <c r="M34">
        <v>0</v>
      </c>
    </row>
    <row r="35" spans="1:13" x14ac:dyDescent="0.25">
      <c r="A35" t="str">
        <f t="shared" si="0"/>
        <v>FGU62013478085</v>
      </c>
      <c r="B35" t="s">
        <v>37</v>
      </c>
      <c r="C35">
        <v>2013</v>
      </c>
      <c r="D35">
        <v>4</v>
      </c>
      <c r="E35">
        <v>780</v>
      </c>
      <c r="F35">
        <v>85</v>
      </c>
      <c r="G35">
        <v>711095.08</v>
      </c>
      <c r="H35">
        <v>-65.427599999999998</v>
      </c>
      <c r="I35">
        <v>-40.427599999999998</v>
      </c>
      <c r="J35">
        <v>25</v>
      </c>
      <c r="K35">
        <v>3.3835000000000002</v>
      </c>
      <c r="L35">
        <v>3.3835000000000002</v>
      </c>
      <c r="M35">
        <v>0</v>
      </c>
    </row>
    <row r="36" spans="1:13" x14ac:dyDescent="0.25">
      <c r="A36" t="str">
        <f t="shared" si="0"/>
        <v>FGU620134.570090</v>
      </c>
      <c r="B36" t="s">
        <v>37</v>
      </c>
      <c r="C36">
        <v>2013</v>
      </c>
      <c r="D36">
        <v>4.5</v>
      </c>
      <c r="E36">
        <v>700</v>
      </c>
      <c r="F36">
        <v>90</v>
      </c>
      <c r="G36">
        <v>31456366.5</v>
      </c>
      <c r="H36">
        <v>-2.2806048240924399</v>
      </c>
      <c r="I36">
        <v>22.7168244369633</v>
      </c>
      <c r="J36">
        <v>24.9974292610557</v>
      </c>
      <c r="K36">
        <v>15.4225665086999</v>
      </c>
      <c r="L36">
        <v>32.272617870120897</v>
      </c>
      <c r="M36">
        <v>16.850051361420899</v>
      </c>
    </row>
    <row r="37" spans="1:13" x14ac:dyDescent="0.25">
      <c r="A37" t="str">
        <f t="shared" si="0"/>
        <v>FGU620134.570095</v>
      </c>
      <c r="B37" t="s">
        <v>37</v>
      </c>
      <c r="C37">
        <v>2013</v>
      </c>
      <c r="D37">
        <v>4.5</v>
      </c>
      <c r="E37">
        <v>700</v>
      </c>
      <c r="F37">
        <v>95</v>
      </c>
      <c r="G37">
        <v>11815683.68</v>
      </c>
      <c r="H37">
        <v>8.5159580493014602</v>
      </c>
      <c r="I37">
        <v>33.5114830864702</v>
      </c>
      <c r="J37">
        <v>24.995525037168701</v>
      </c>
      <c r="K37">
        <v>22.514156691249099</v>
      </c>
      <c r="L37">
        <v>40.074108393370501</v>
      </c>
      <c r="M37">
        <v>17.5599517021213</v>
      </c>
    </row>
    <row r="38" spans="1:13" x14ac:dyDescent="0.25">
      <c r="A38" t="str">
        <f t="shared" si="0"/>
        <v>FGU620134.574085</v>
      </c>
      <c r="B38" t="s">
        <v>37</v>
      </c>
      <c r="C38">
        <v>2013</v>
      </c>
      <c r="D38">
        <v>4.5</v>
      </c>
      <c r="E38">
        <v>740</v>
      </c>
      <c r="F38">
        <v>85</v>
      </c>
      <c r="G38">
        <v>786119.82</v>
      </c>
      <c r="H38">
        <v>-4.7687999999999997</v>
      </c>
      <c r="I38">
        <v>20.223600000000001</v>
      </c>
      <c r="J38">
        <v>24.9924</v>
      </c>
      <c r="K38">
        <v>10.9139</v>
      </c>
      <c r="L38">
        <v>26.806999999999999</v>
      </c>
      <c r="M38">
        <v>15.8931</v>
      </c>
    </row>
    <row r="39" spans="1:13" x14ac:dyDescent="0.25">
      <c r="A39" t="str">
        <f t="shared" si="0"/>
        <v>FGU620134.574090</v>
      </c>
      <c r="B39" t="s">
        <v>37</v>
      </c>
      <c r="C39">
        <v>2013</v>
      </c>
      <c r="D39">
        <v>4.5</v>
      </c>
      <c r="E39">
        <v>740</v>
      </c>
      <c r="F39">
        <v>90</v>
      </c>
      <c r="G39">
        <v>19573956.059999999</v>
      </c>
      <c r="H39">
        <v>-5.4886170858755801</v>
      </c>
      <c r="I39">
        <v>19.507352322087701</v>
      </c>
      <c r="J39">
        <v>24.995969407963301</v>
      </c>
      <c r="K39">
        <v>21.070416029734599</v>
      </c>
      <c r="L39">
        <v>34.203715395066503</v>
      </c>
      <c r="M39">
        <v>13.1332993653318</v>
      </c>
    </row>
    <row r="40" spans="1:13" x14ac:dyDescent="0.25">
      <c r="A40" t="str">
        <f t="shared" si="0"/>
        <v>FGU620134.574095</v>
      </c>
      <c r="B40" t="s">
        <v>37</v>
      </c>
      <c r="C40">
        <v>2013</v>
      </c>
      <c r="D40">
        <v>4.5</v>
      </c>
      <c r="E40">
        <v>740</v>
      </c>
      <c r="F40">
        <v>95</v>
      </c>
      <c r="G40">
        <v>990912.71</v>
      </c>
      <c r="H40">
        <v>4.0076000000000001</v>
      </c>
      <c r="I40">
        <v>29.004300000000001</v>
      </c>
      <c r="J40">
        <v>24.996700000000001</v>
      </c>
      <c r="K40">
        <v>28.486899999999999</v>
      </c>
      <c r="L40">
        <v>42.506599999999999</v>
      </c>
      <c r="M40">
        <v>14.0197</v>
      </c>
    </row>
    <row r="41" spans="1:13" x14ac:dyDescent="0.25">
      <c r="A41" t="str">
        <f t="shared" si="0"/>
        <v>FGU620134.576085</v>
      </c>
      <c r="B41" t="s">
        <v>37</v>
      </c>
      <c r="C41">
        <v>2013</v>
      </c>
      <c r="D41">
        <v>4.5</v>
      </c>
      <c r="E41">
        <v>760</v>
      </c>
      <c r="F41">
        <v>85</v>
      </c>
      <c r="G41">
        <v>720846.16</v>
      </c>
      <c r="H41">
        <v>32.987299999999998</v>
      </c>
      <c r="I41">
        <v>57.983400000000003</v>
      </c>
      <c r="J41">
        <v>24.996099999999998</v>
      </c>
      <c r="K41">
        <v>96.370699999999999</v>
      </c>
      <c r="L41">
        <v>96.370699999999999</v>
      </c>
      <c r="M41">
        <v>0</v>
      </c>
    </row>
    <row r="42" spans="1:13" x14ac:dyDescent="0.25">
      <c r="A42" t="str">
        <f t="shared" si="0"/>
        <v>FGU620134.576090</v>
      </c>
      <c r="B42" t="s">
        <v>37</v>
      </c>
      <c r="C42">
        <v>2013</v>
      </c>
      <c r="D42">
        <v>4.5</v>
      </c>
      <c r="E42">
        <v>760</v>
      </c>
      <c r="F42">
        <v>90</v>
      </c>
      <c r="G42">
        <v>3352539.41</v>
      </c>
      <c r="H42">
        <v>19.276700000000002</v>
      </c>
      <c r="I42">
        <v>44.2729</v>
      </c>
      <c r="J42">
        <v>24.996200000000002</v>
      </c>
      <c r="K42">
        <v>41.048400000000001</v>
      </c>
      <c r="L42">
        <v>57.453699999999998</v>
      </c>
      <c r="M42">
        <v>16.4053</v>
      </c>
    </row>
    <row r="43" spans="1:13" x14ac:dyDescent="0.25">
      <c r="A43" t="str">
        <f t="shared" si="0"/>
        <v>FGU62014472097</v>
      </c>
      <c r="B43" t="s">
        <v>37</v>
      </c>
      <c r="C43">
        <v>2014</v>
      </c>
      <c r="D43">
        <v>4</v>
      </c>
      <c r="E43">
        <v>720</v>
      </c>
      <c r="F43">
        <v>97</v>
      </c>
      <c r="G43">
        <v>1787058.48</v>
      </c>
      <c r="H43">
        <v>-36.597799999999999</v>
      </c>
      <c r="I43">
        <v>-11.597799999999999</v>
      </c>
      <c r="J43">
        <v>25</v>
      </c>
      <c r="K43">
        <v>-13.8414</v>
      </c>
      <c r="L43">
        <v>1.3974</v>
      </c>
      <c r="M43">
        <v>15.238799999999999</v>
      </c>
    </row>
    <row r="44" spans="1:13" x14ac:dyDescent="0.25">
      <c r="A44" t="str">
        <f t="shared" si="0"/>
        <v>FGU620144.574095</v>
      </c>
      <c r="B44" t="s">
        <v>37</v>
      </c>
      <c r="C44">
        <v>2014</v>
      </c>
      <c r="D44">
        <v>4.5</v>
      </c>
      <c r="E44">
        <v>740</v>
      </c>
      <c r="F44">
        <v>95</v>
      </c>
      <c r="G44">
        <v>1409861.12</v>
      </c>
      <c r="H44">
        <v>-0.6361</v>
      </c>
      <c r="I44">
        <v>24.360800000000001</v>
      </c>
      <c r="J44">
        <v>24.9969</v>
      </c>
      <c r="K44">
        <v>20.8536</v>
      </c>
      <c r="L44">
        <v>30.807500000000001</v>
      </c>
      <c r="M44">
        <v>9.9539000000000009</v>
      </c>
    </row>
    <row r="45" spans="1:13" x14ac:dyDescent="0.25">
      <c r="A45" t="str">
        <f t="shared" si="0"/>
        <v>FGU92012474095</v>
      </c>
      <c r="B45" t="s">
        <v>38</v>
      </c>
      <c r="C45">
        <v>2012</v>
      </c>
      <c r="D45">
        <v>4</v>
      </c>
      <c r="E45">
        <v>740</v>
      </c>
      <c r="F45">
        <v>95</v>
      </c>
      <c r="G45">
        <v>859258.68</v>
      </c>
      <c r="H45">
        <v>-12.8453</v>
      </c>
      <c r="I45">
        <v>12.1495</v>
      </c>
      <c r="J45">
        <v>24.994800000000001</v>
      </c>
      <c r="K45">
        <v>13.2018</v>
      </c>
      <c r="L45">
        <v>26.001200000000001</v>
      </c>
      <c r="M45">
        <v>12.7994</v>
      </c>
    </row>
    <row r="46" spans="1:13" x14ac:dyDescent="0.25">
      <c r="A46" t="str">
        <f t="shared" si="0"/>
        <v>FGU920124760100+</v>
      </c>
      <c r="B46" t="s">
        <v>38</v>
      </c>
      <c r="C46">
        <v>2012</v>
      </c>
      <c r="D46">
        <v>4</v>
      </c>
      <c r="E46">
        <v>760</v>
      </c>
      <c r="F46" t="s">
        <v>9</v>
      </c>
      <c r="G46">
        <v>6155194.6100000003</v>
      </c>
      <c r="H46">
        <v>-44.72</v>
      </c>
      <c r="I46">
        <v>-19.721800000000002</v>
      </c>
      <c r="J46">
        <v>24.998200000000001</v>
      </c>
      <c r="K46">
        <v>-18.0487</v>
      </c>
      <c r="L46">
        <v>-3.1945000000000001</v>
      </c>
      <c r="M46">
        <v>14.854200000000001</v>
      </c>
    </row>
    <row r="47" spans="1:13" x14ac:dyDescent="0.25">
      <c r="A47" t="str">
        <f t="shared" si="0"/>
        <v>FGU92012476095</v>
      </c>
      <c r="B47" t="s">
        <v>38</v>
      </c>
      <c r="C47">
        <v>2012</v>
      </c>
      <c r="D47">
        <v>4</v>
      </c>
      <c r="E47">
        <v>760</v>
      </c>
      <c r="F47">
        <v>95</v>
      </c>
      <c r="G47">
        <v>7712001.1900000004</v>
      </c>
      <c r="H47">
        <v>-50.8203719255621</v>
      </c>
      <c r="I47">
        <v>-25.820711310820698</v>
      </c>
      <c r="J47">
        <v>24.999660614741401</v>
      </c>
      <c r="K47">
        <v>-13.042820219665</v>
      </c>
      <c r="L47">
        <v>-5.24341245528879</v>
      </c>
      <c r="M47">
        <v>7.7994077643762596</v>
      </c>
    </row>
    <row r="48" spans="1:13" x14ac:dyDescent="0.25">
      <c r="A48" t="str">
        <f t="shared" si="0"/>
        <v>FGU920124780100+</v>
      </c>
      <c r="B48" t="s">
        <v>38</v>
      </c>
      <c r="C48">
        <v>2012</v>
      </c>
      <c r="D48">
        <v>4</v>
      </c>
      <c r="E48">
        <v>780</v>
      </c>
      <c r="F48" t="s">
        <v>9</v>
      </c>
      <c r="G48">
        <v>2408820.9300000002</v>
      </c>
      <c r="H48">
        <v>-52.4488638010343</v>
      </c>
      <c r="I48">
        <v>-27.4488638010343</v>
      </c>
      <c r="J48">
        <v>25</v>
      </c>
      <c r="K48">
        <v>-28.789341402704402</v>
      </c>
      <c r="L48">
        <v>-12.9863589566448</v>
      </c>
      <c r="M48">
        <v>15.8029824460596</v>
      </c>
    </row>
    <row r="49" spans="1:13" x14ac:dyDescent="0.25">
      <c r="A49" t="str">
        <f t="shared" si="0"/>
        <v>FGU92012478095</v>
      </c>
      <c r="B49" t="s">
        <v>38</v>
      </c>
      <c r="C49">
        <v>2012</v>
      </c>
      <c r="D49">
        <v>4</v>
      </c>
      <c r="E49">
        <v>780</v>
      </c>
      <c r="F49">
        <v>95</v>
      </c>
      <c r="G49">
        <v>49332423.390000001</v>
      </c>
      <c r="H49">
        <v>-63.776728944024299</v>
      </c>
      <c r="I49">
        <v>-38.776767582211299</v>
      </c>
      <c r="J49">
        <v>24.999961361813</v>
      </c>
      <c r="K49">
        <v>-27.050356317001501</v>
      </c>
      <c r="L49">
        <v>-17.492736188084301</v>
      </c>
      <c r="M49">
        <v>9.5576201289171205</v>
      </c>
    </row>
    <row r="50" spans="1:13" x14ac:dyDescent="0.25">
      <c r="A50" t="str">
        <f t="shared" si="0"/>
        <v>FGU920124.570095</v>
      </c>
      <c r="B50" t="s">
        <v>38</v>
      </c>
      <c r="C50">
        <v>2012</v>
      </c>
      <c r="D50">
        <v>4.5</v>
      </c>
      <c r="E50">
        <v>700</v>
      </c>
      <c r="F50">
        <v>95</v>
      </c>
      <c r="G50">
        <v>2286334.84</v>
      </c>
      <c r="H50">
        <v>21.018599999999999</v>
      </c>
      <c r="I50">
        <v>46.018099999999997</v>
      </c>
      <c r="J50">
        <v>24.999500000000001</v>
      </c>
      <c r="K50">
        <v>37.465299999999999</v>
      </c>
      <c r="L50">
        <v>55.555599999999998</v>
      </c>
      <c r="M50">
        <v>18.090299999999999</v>
      </c>
    </row>
    <row r="51" spans="1:13" x14ac:dyDescent="0.25">
      <c r="A51" t="str">
        <f t="shared" si="0"/>
        <v>FGU920124.5720100</v>
      </c>
      <c r="B51" t="s">
        <v>38</v>
      </c>
      <c r="C51">
        <v>2012</v>
      </c>
      <c r="D51">
        <v>4.5</v>
      </c>
      <c r="E51">
        <v>720</v>
      </c>
      <c r="F51">
        <v>100</v>
      </c>
      <c r="G51">
        <v>15595419.300000001</v>
      </c>
      <c r="H51">
        <v>9.4287265530064897</v>
      </c>
      <c r="I51">
        <v>34.423707492256298</v>
      </c>
      <c r="J51">
        <v>24.9949809392498</v>
      </c>
      <c r="K51">
        <v>22.8978734789582</v>
      </c>
      <c r="L51">
        <v>41.585059665295297</v>
      </c>
      <c r="M51">
        <v>18.687186186337001</v>
      </c>
    </row>
    <row r="52" spans="1:13" x14ac:dyDescent="0.25">
      <c r="A52" t="str">
        <f t="shared" si="0"/>
        <v>FGU920124.5720100+</v>
      </c>
      <c r="B52" t="s">
        <v>38</v>
      </c>
      <c r="C52">
        <v>2012</v>
      </c>
      <c r="D52">
        <v>4.5</v>
      </c>
      <c r="E52">
        <v>720</v>
      </c>
      <c r="F52" t="s">
        <v>9</v>
      </c>
      <c r="G52">
        <v>8145104.8899999997</v>
      </c>
      <c r="H52">
        <v>-3.8733</v>
      </c>
      <c r="I52">
        <v>21.124099999999999</v>
      </c>
      <c r="J52">
        <v>24.997399999999999</v>
      </c>
      <c r="K52">
        <v>12.1027</v>
      </c>
      <c r="L52">
        <v>30.241700000000002</v>
      </c>
      <c r="M52">
        <v>18.138999999999999</v>
      </c>
    </row>
    <row r="53" spans="1:13" x14ac:dyDescent="0.25">
      <c r="A53" t="str">
        <f t="shared" si="0"/>
        <v>FGU920124.5740100</v>
      </c>
      <c r="B53" t="s">
        <v>38</v>
      </c>
      <c r="C53">
        <v>2012</v>
      </c>
      <c r="D53">
        <v>4.5</v>
      </c>
      <c r="E53">
        <v>740</v>
      </c>
      <c r="F53">
        <v>100</v>
      </c>
      <c r="G53">
        <v>2807505.53</v>
      </c>
      <c r="H53">
        <v>20.382000000000001</v>
      </c>
      <c r="I53">
        <v>45.378900000000002</v>
      </c>
      <c r="J53">
        <v>24.9969</v>
      </c>
      <c r="K53">
        <v>27.901900000000001</v>
      </c>
      <c r="L53">
        <v>49.250500000000002</v>
      </c>
      <c r="M53">
        <v>21.348600000000001</v>
      </c>
    </row>
    <row r="54" spans="1:13" x14ac:dyDescent="0.25">
      <c r="A54" t="str">
        <f t="shared" si="0"/>
        <v>FGU920124.5740100+</v>
      </c>
      <c r="B54" t="s">
        <v>38</v>
      </c>
      <c r="C54">
        <v>2012</v>
      </c>
      <c r="D54">
        <v>4.5</v>
      </c>
      <c r="E54">
        <v>740</v>
      </c>
      <c r="F54" t="s">
        <v>9</v>
      </c>
      <c r="G54">
        <v>88943742.379999995</v>
      </c>
      <c r="H54">
        <v>-2.08040496920913</v>
      </c>
      <c r="I54">
        <v>22.915629197267101</v>
      </c>
      <c r="J54">
        <v>24.9960341664762</v>
      </c>
      <c r="K54">
        <v>10.451983047353099</v>
      </c>
      <c r="L54">
        <v>29.022975712695299</v>
      </c>
      <c r="M54">
        <v>18.5709926653422</v>
      </c>
    </row>
    <row r="55" spans="1:13" x14ac:dyDescent="0.25">
      <c r="A55" t="str">
        <f t="shared" si="0"/>
        <v>FGU920124.574095</v>
      </c>
      <c r="B55" t="s">
        <v>38</v>
      </c>
      <c r="C55">
        <v>2012</v>
      </c>
      <c r="D55">
        <v>4.5</v>
      </c>
      <c r="E55">
        <v>740</v>
      </c>
      <c r="F55">
        <v>95</v>
      </c>
      <c r="G55">
        <v>9690401.4800000004</v>
      </c>
      <c r="H55">
        <v>-1.8287</v>
      </c>
      <c r="I55">
        <v>23.1645</v>
      </c>
      <c r="J55">
        <v>24.993200000000002</v>
      </c>
      <c r="K55">
        <v>24.6983</v>
      </c>
      <c r="L55">
        <v>38.083300000000001</v>
      </c>
      <c r="M55">
        <v>13.385</v>
      </c>
    </row>
    <row r="56" spans="1:13" x14ac:dyDescent="0.25">
      <c r="A56" t="str">
        <f t="shared" si="0"/>
        <v>FGU920124.5760100+</v>
      </c>
      <c r="B56" t="s">
        <v>38</v>
      </c>
      <c r="C56">
        <v>2012</v>
      </c>
      <c r="D56">
        <v>4.5</v>
      </c>
      <c r="E56">
        <v>760</v>
      </c>
      <c r="F56" t="s">
        <v>9</v>
      </c>
      <c r="G56">
        <v>47050527.600000001</v>
      </c>
      <c r="H56">
        <v>15.8198663818275</v>
      </c>
      <c r="I56">
        <v>40.815215492866201</v>
      </c>
      <c r="J56">
        <v>24.9953491110386</v>
      </c>
      <c r="K56">
        <v>31.276532492269201</v>
      </c>
      <c r="L56">
        <v>48.6584141483591</v>
      </c>
      <c r="M56">
        <v>17.381881656089799</v>
      </c>
    </row>
    <row r="57" spans="1:13" x14ac:dyDescent="0.25">
      <c r="A57" t="str">
        <f t="shared" si="0"/>
        <v>FGU920124.576097</v>
      </c>
      <c r="B57" t="s">
        <v>38</v>
      </c>
      <c r="C57">
        <v>2012</v>
      </c>
      <c r="D57">
        <v>4.5</v>
      </c>
      <c r="E57">
        <v>760</v>
      </c>
      <c r="F57">
        <v>97</v>
      </c>
      <c r="G57">
        <v>133974803.22</v>
      </c>
      <c r="H57">
        <v>-4.0640000000000001</v>
      </c>
      <c r="I57">
        <v>20.927700000000002</v>
      </c>
      <c r="J57">
        <v>24.991700000000002</v>
      </c>
      <c r="K57">
        <v>24.796199999999999</v>
      </c>
      <c r="L57">
        <v>37.615400000000001</v>
      </c>
      <c r="M57">
        <v>12.8192</v>
      </c>
    </row>
    <row r="58" spans="1:13" x14ac:dyDescent="0.25">
      <c r="A58" t="str">
        <f t="shared" si="0"/>
        <v>FGU920124.5780100+</v>
      </c>
      <c r="B58" t="s">
        <v>38</v>
      </c>
      <c r="C58">
        <v>2012</v>
      </c>
      <c r="D58">
        <v>4.5</v>
      </c>
      <c r="E58">
        <v>780</v>
      </c>
      <c r="F58" t="s">
        <v>9</v>
      </c>
      <c r="G58">
        <v>5537165.9100000001</v>
      </c>
      <c r="H58">
        <v>23.8748745947027</v>
      </c>
      <c r="I58">
        <v>48.871697019973702</v>
      </c>
      <c r="J58">
        <v>24.996822425270899</v>
      </c>
      <c r="K58">
        <v>40.063766877131101</v>
      </c>
      <c r="L58">
        <v>58.0246940392298</v>
      </c>
      <c r="M58">
        <v>17.960927162098699</v>
      </c>
    </row>
    <row r="59" spans="1:13" x14ac:dyDescent="0.25">
      <c r="A59" t="str">
        <f t="shared" si="0"/>
        <v>FGU920133.5700100+</v>
      </c>
      <c r="B59" t="s">
        <v>38</v>
      </c>
      <c r="C59">
        <v>2013</v>
      </c>
      <c r="D59">
        <v>3.5</v>
      </c>
      <c r="E59">
        <v>700</v>
      </c>
      <c r="F59" t="s">
        <v>9</v>
      </c>
      <c r="G59">
        <v>1063274.55</v>
      </c>
      <c r="H59">
        <v>-53.614100000000001</v>
      </c>
      <c r="I59">
        <v>-28.6158</v>
      </c>
      <c r="J59">
        <v>24.9983</v>
      </c>
      <c r="K59">
        <v>-53.614100000000001</v>
      </c>
      <c r="L59">
        <v>-28.6158</v>
      </c>
      <c r="M59">
        <v>24.9983</v>
      </c>
    </row>
    <row r="60" spans="1:13" x14ac:dyDescent="0.25">
      <c r="A60" t="str">
        <f t="shared" si="0"/>
        <v>FGU920133.576097</v>
      </c>
      <c r="B60" t="s">
        <v>38</v>
      </c>
      <c r="C60">
        <v>2013</v>
      </c>
      <c r="D60">
        <v>3.5</v>
      </c>
      <c r="E60">
        <v>760</v>
      </c>
      <c r="F60">
        <v>97</v>
      </c>
      <c r="G60">
        <v>3603174.86</v>
      </c>
      <c r="H60">
        <v>-104.8085</v>
      </c>
      <c r="I60">
        <v>-79.808899999999994</v>
      </c>
      <c r="J60">
        <v>24.999600000000001</v>
      </c>
      <c r="K60">
        <v>-87.954700000000003</v>
      </c>
      <c r="L60">
        <v>-70.617000000000004</v>
      </c>
      <c r="M60">
        <v>17.337700000000002</v>
      </c>
    </row>
    <row r="61" spans="1:13" x14ac:dyDescent="0.25">
      <c r="A61" t="str">
        <f t="shared" si="0"/>
        <v>FGU920133.5780100+</v>
      </c>
      <c r="B61" t="s">
        <v>38</v>
      </c>
      <c r="C61">
        <v>2013</v>
      </c>
      <c r="D61">
        <v>3.5</v>
      </c>
      <c r="E61">
        <v>780</v>
      </c>
      <c r="F61" t="s">
        <v>9</v>
      </c>
      <c r="G61">
        <v>946242.49</v>
      </c>
      <c r="H61">
        <v>-112.82810000000001</v>
      </c>
      <c r="I61">
        <v>-87.828100000000006</v>
      </c>
      <c r="J61">
        <v>25</v>
      </c>
      <c r="K61">
        <v>-99.8108</v>
      </c>
      <c r="L61">
        <v>-81.686599999999999</v>
      </c>
      <c r="M61">
        <v>18.124199999999998</v>
      </c>
    </row>
    <row r="62" spans="1:13" x14ac:dyDescent="0.25">
      <c r="A62" t="str">
        <f t="shared" si="0"/>
        <v>FGU920134680100+</v>
      </c>
      <c r="B62" t="s">
        <v>38</v>
      </c>
      <c r="C62">
        <v>2013</v>
      </c>
      <c r="D62">
        <v>4</v>
      </c>
      <c r="E62">
        <v>680</v>
      </c>
      <c r="F62" t="s">
        <v>9</v>
      </c>
      <c r="G62">
        <v>2069224.22</v>
      </c>
      <c r="H62">
        <v>-30.067359626664299</v>
      </c>
      <c r="I62">
        <v>-5.0677175996750998</v>
      </c>
      <c r="J62">
        <v>24.9996420269892</v>
      </c>
      <c r="K62">
        <v>-29.098491719654699</v>
      </c>
      <c r="L62">
        <v>-5.0366099503083301</v>
      </c>
      <c r="M62">
        <v>24.0618817693463</v>
      </c>
    </row>
    <row r="63" spans="1:13" x14ac:dyDescent="0.25">
      <c r="A63" t="str">
        <f t="shared" si="0"/>
        <v>FGU920134720100</v>
      </c>
      <c r="B63" t="s">
        <v>38</v>
      </c>
      <c r="C63">
        <v>2013</v>
      </c>
      <c r="D63">
        <v>4</v>
      </c>
      <c r="E63">
        <v>720</v>
      </c>
      <c r="F63">
        <v>100</v>
      </c>
      <c r="G63">
        <v>9861007.8100000005</v>
      </c>
      <c r="H63">
        <v>-55.9709</v>
      </c>
      <c r="I63">
        <v>-30.971699999999998</v>
      </c>
      <c r="J63">
        <v>24.999199999999998</v>
      </c>
      <c r="K63">
        <v>-39.497599999999998</v>
      </c>
      <c r="L63">
        <v>-23.298500000000001</v>
      </c>
      <c r="M63">
        <v>16.199100000000001</v>
      </c>
    </row>
    <row r="64" spans="1:13" x14ac:dyDescent="0.25">
      <c r="A64" t="str">
        <f t="shared" si="0"/>
        <v>FGU920134740100</v>
      </c>
      <c r="B64" t="s">
        <v>38</v>
      </c>
      <c r="C64">
        <v>2013</v>
      </c>
      <c r="D64">
        <v>4</v>
      </c>
      <c r="E64">
        <v>740</v>
      </c>
      <c r="F64">
        <v>100</v>
      </c>
      <c r="G64">
        <v>8997663.9199999999</v>
      </c>
      <c r="H64">
        <v>-43.403500000000001</v>
      </c>
      <c r="I64">
        <v>-18.404199999999999</v>
      </c>
      <c r="J64">
        <v>24.999300000000002</v>
      </c>
      <c r="K64">
        <v>-25.3368</v>
      </c>
      <c r="L64">
        <v>-8.9673999999999996</v>
      </c>
      <c r="M64">
        <v>16.369399999999999</v>
      </c>
    </row>
    <row r="65" spans="1:13" x14ac:dyDescent="0.25">
      <c r="A65" t="str">
        <f t="shared" si="0"/>
        <v>FGU920134740100+</v>
      </c>
      <c r="B65" t="s">
        <v>38</v>
      </c>
      <c r="C65">
        <v>2013</v>
      </c>
      <c r="D65">
        <v>4</v>
      </c>
      <c r="E65">
        <v>740</v>
      </c>
      <c r="F65" t="s">
        <v>9</v>
      </c>
      <c r="G65">
        <v>234762406.55000001</v>
      </c>
      <c r="H65">
        <v>-46.894666193268101</v>
      </c>
      <c r="I65">
        <v>-21.895214899664801</v>
      </c>
      <c r="J65">
        <v>24.9994512936033</v>
      </c>
      <c r="K65">
        <v>-38.790572771700198</v>
      </c>
      <c r="L65">
        <v>-18.152672967025602</v>
      </c>
      <c r="M65">
        <v>20.6378998046746</v>
      </c>
    </row>
    <row r="66" spans="1:13" x14ac:dyDescent="0.25">
      <c r="A66" t="str">
        <f t="shared" si="0"/>
        <v>FGU920134760100</v>
      </c>
      <c r="B66" t="s">
        <v>38</v>
      </c>
      <c r="C66">
        <v>2013</v>
      </c>
      <c r="D66">
        <v>4</v>
      </c>
      <c r="E66">
        <v>760</v>
      </c>
      <c r="F66">
        <v>100</v>
      </c>
      <c r="G66">
        <v>4622251.0199999996</v>
      </c>
      <c r="H66">
        <v>-40.321800000000003</v>
      </c>
      <c r="I66">
        <v>-15.322800000000001</v>
      </c>
      <c r="J66">
        <v>24.998999999999999</v>
      </c>
      <c r="K66">
        <v>-24.814800000000002</v>
      </c>
      <c r="L66">
        <v>-7.9321999999999999</v>
      </c>
      <c r="M66">
        <v>16.8826</v>
      </c>
    </row>
    <row r="67" spans="1:13" x14ac:dyDescent="0.25">
      <c r="A67" t="str">
        <f t="shared" si="0"/>
        <v>FGU920134760100+</v>
      </c>
      <c r="B67" t="s">
        <v>38</v>
      </c>
      <c r="C67">
        <v>2013</v>
      </c>
      <c r="D67">
        <v>4</v>
      </c>
      <c r="E67">
        <v>760</v>
      </c>
      <c r="F67" t="s">
        <v>9</v>
      </c>
      <c r="G67">
        <v>8943822.4000000004</v>
      </c>
      <c r="H67">
        <v>-48.1907</v>
      </c>
      <c r="I67">
        <v>-23.191800000000001</v>
      </c>
      <c r="J67">
        <v>24.998899999999999</v>
      </c>
      <c r="K67">
        <v>-43.133600000000001</v>
      </c>
      <c r="L67">
        <v>-21.0274</v>
      </c>
      <c r="M67">
        <v>22.106200000000001</v>
      </c>
    </row>
    <row r="68" spans="1:13" x14ac:dyDescent="0.25">
      <c r="A68" t="str">
        <f t="shared" ref="A68:A74" si="1">B68&amp;C68&amp;D68&amp;E68&amp;F68</f>
        <v>FGU920134780100+</v>
      </c>
      <c r="B68" t="s">
        <v>38</v>
      </c>
      <c r="C68">
        <v>2013</v>
      </c>
      <c r="D68">
        <v>4</v>
      </c>
      <c r="E68">
        <v>780</v>
      </c>
      <c r="F68" t="s">
        <v>9</v>
      </c>
      <c r="G68">
        <v>459973.58</v>
      </c>
      <c r="H68">
        <v>-12.414099999999999</v>
      </c>
      <c r="I68">
        <v>12.585800000000001</v>
      </c>
      <c r="J68">
        <v>24.9999</v>
      </c>
      <c r="K68">
        <v>2.9226000000000001</v>
      </c>
      <c r="L68">
        <v>21.349299999999999</v>
      </c>
      <c r="M68">
        <v>18.4267</v>
      </c>
    </row>
    <row r="69" spans="1:13" x14ac:dyDescent="0.25">
      <c r="A69" t="str">
        <f t="shared" si="1"/>
        <v>FGU920134.5700100+</v>
      </c>
      <c r="B69" t="s">
        <v>38</v>
      </c>
      <c r="C69">
        <v>2013</v>
      </c>
      <c r="D69">
        <v>4.5</v>
      </c>
      <c r="E69">
        <v>700</v>
      </c>
      <c r="F69" t="s">
        <v>9</v>
      </c>
      <c r="G69">
        <v>16154593.050000001</v>
      </c>
      <c r="H69">
        <v>-5.5854014572199899</v>
      </c>
      <c r="I69">
        <v>19.408296907951001</v>
      </c>
      <c r="J69">
        <v>24.993698365170999</v>
      </c>
      <c r="K69">
        <v>-5.4860352732989401</v>
      </c>
      <c r="L69">
        <v>19.408296907951001</v>
      </c>
      <c r="M69">
        <v>24.89433218125</v>
      </c>
    </row>
    <row r="70" spans="1:13" x14ac:dyDescent="0.25">
      <c r="A70" t="str">
        <f t="shared" si="1"/>
        <v>FGU920134.5720100+</v>
      </c>
      <c r="B70" t="s">
        <v>38</v>
      </c>
      <c r="C70">
        <v>2013</v>
      </c>
      <c r="D70">
        <v>4.5</v>
      </c>
      <c r="E70">
        <v>720</v>
      </c>
      <c r="F70" t="s">
        <v>9</v>
      </c>
      <c r="G70">
        <v>4053124.57</v>
      </c>
      <c r="H70">
        <v>5.1044998006792</v>
      </c>
      <c r="I70">
        <v>30.098991423977299</v>
      </c>
      <c r="J70">
        <v>24.994491623298099</v>
      </c>
      <c r="K70">
        <v>6.3890202271031997</v>
      </c>
      <c r="L70">
        <v>30.288731843576102</v>
      </c>
      <c r="M70">
        <v>23.899711616472899</v>
      </c>
    </row>
    <row r="71" spans="1:13" x14ac:dyDescent="0.25">
      <c r="A71" t="str">
        <f t="shared" si="1"/>
        <v>FGU920134.5740100+</v>
      </c>
      <c r="B71" t="s">
        <v>38</v>
      </c>
      <c r="C71">
        <v>2013</v>
      </c>
      <c r="D71">
        <v>4.5</v>
      </c>
      <c r="E71">
        <v>740</v>
      </c>
      <c r="F71" t="s">
        <v>9</v>
      </c>
      <c r="G71">
        <v>38290048.479999997</v>
      </c>
      <c r="H71">
        <v>11.0954929814104</v>
      </c>
      <c r="I71">
        <v>36.092018591906701</v>
      </c>
      <c r="J71">
        <v>24.996525610496199</v>
      </c>
      <c r="K71">
        <v>14.902224625472099</v>
      </c>
      <c r="L71">
        <v>37.718529981069402</v>
      </c>
      <c r="M71">
        <v>22.816305355597201</v>
      </c>
    </row>
    <row r="72" spans="1:13" x14ac:dyDescent="0.25">
      <c r="A72" t="str">
        <f t="shared" si="1"/>
        <v>FGU920134.574097</v>
      </c>
      <c r="B72" t="s">
        <v>38</v>
      </c>
      <c r="C72">
        <v>2013</v>
      </c>
      <c r="D72">
        <v>4.5</v>
      </c>
      <c r="E72">
        <v>740</v>
      </c>
      <c r="F72">
        <v>97</v>
      </c>
      <c r="G72">
        <v>1775850.79</v>
      </c>
      <c r="H72">
        <v>11.5892</v>
      </c>
      <c r="I72">
        <v>36.5871</v>
      </c>
      <c r="J72">
        <v>24.997900000000001</v>
      </c>
      <c r="K72">
        <v>23.555900000000001</v>
      </c>
      <c r="L72">
        <v>42.5961</v>
      </c>
      <c r="M72">
        <v>19.040199999999999</v>
      </c>
    </row>
    <row r="73" spans="1:13" x14ac:dyDescent="0.25">
      <c r="A73" t="str">
        <f t="shared" si="1"/>
        <v>FGU920134.5780100+</v>
      </c>
      <c r="B73" t="s">
        <v>38</v>
      </c>
      <c r="C73">
        <v>2013</v>
      </c>
      <c r="D73">
        <v>4.5</v>
      </c>
      <c r="E73">
        <v>780</v>
      </c>
      <c r="F73" t="s">
        <v>9</v>
      </c>
      <c r="G73">
        <v>2909842.88</v>
      </c>
      <c r="H73">
        <v>6.6021525240056897</v>
      </c>
      <c r="I73">
        <v>31.601440431062699</v>
      </c>
      <c r="J73">
        <v>24.999287907056999</v>
      </c>
      <c r="K73">
        <v>13.1861638747079</v>
      </c>
      <c r="L73">
        <v>33.8662844040403</v>
      </c>
      <c r="M73">
        <v>20.680120529332399</v>
      </c>
    </row>
    <row r="74" spans="1:13" x14ac:dyDescent="0.25">
      <c r="A74" t="str">
        <f t="shared" si="1"/>
        <v>FGU920144.5700100+</v>
      </c>
      <c r="B74" t="s">
        <v>38</v>
      </c>
      <c r="C74">
        <v>2014</v>
      </c>
      <c r="D74">
        <v>4.5</v>
      </c>
      <c r="E74">
        <v>700</v>
      </c>
      <c r="F74" t="s">
        <v>9</v>
      </c>
      <c r="G74">
        <v>1070970.8500000001</v>
      </c>
      <c r="H74">
        <v>-14.6998</v>
      </c>
      <c r="I74">
        <v>10.2949</v>
      </c>
      <c r="J74">
        <v>24.994700000000002</v>
      </c>
      <c r="K74">
        <v>-14.6998</v>
      </c>
      <c r="L74">
        <v>10.2949</v>
      </c>
      <c r="M74">
        <v>24.994700000000002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9"/>
  <sheetViews>
    <sheetView workbookViewId="0">
      <selection activeCell="A3" sqref="A3:A74"/>
    </sheetView>
  </sheetViews>
  <sheetFormatPr defaultRowHeight="15" x14ac:dyDescent="0.25"/>
  <cols>
    <col min="1" max="1" width="12.5703125" bestFit="1" customWidth="1"/>
    <col min="2" max="2" width="8.5703125" bestFit="1" customWidth="1"/>
    <col min="3" max="3" width="7.5703125" bestFit="1" customWidth="1"/>
    <col min="4" max="4" width="10.28515625" style="3" bestFit="1" customWidth="1"/>
    <col min="5" max="5" width="10.140625" style="3" bestFit="1" customWidth="1"/>
    <col min="6" max="6" width="19.42578125" style="3" bestFit="1" customWidth="1"/>
    <col min="7" max="7" width="13.140625" bestFit="1" customWidth="1"/>
    <col min="8" max="8" width="21.5703125" bestFit="1" customWidth="1"/>
    <col min="9" max="9" width="22.5703125" bestFit="1" customWidth="1"/>
    <col min="10" max="10" width="23.28515625" bestFit="1" customWidth="1"/>
    <col min="11" max="11" width="17.5703125" bestFit="1" customWidth="1"/>
    <col min="12" max="12" width="18.5703125" bestFit="1" customWidth="1"/>
    <col min="13" max="13" width="19.28515625" bestFit="1" customWidth="1"/>
  </cols>
  <sheetData>
    <row r="1" spans="1:13" x14ac:dyDescent="0.25">
      <c r="A1" t="s">
        <v>36</v>
      </c>
      <c r="B1" t="s">
        <v>0</v>
      </c>
      <c r="C1" t="s">
        <v>1</v>
      </c>
      <c r="D1" s="3" t="s">
        <v>2</v>
      </c>
      <c r="E1" s="3" t="s">
        <v>3</v>
      </c>
      <c r="F1" s="3" t="s">
        <v>42</v>
      </c>
      <c r="G1" t="s">
        <v>4</v>
      </c>
      <c r="H1" t="s">
        <v>5</v>
      </c>
      <c r="I1" t="s">
        <v>7</v>
      </c>
      <c r="J1" t="s">
        <v>40</v>
      </c>
      <c r="K1" t="s">
        <v>6</v>
      </c>
      <c r="L1" t="s">
        <v>8</v>
      </c>
      <c r="M1" t="s">
        <v>41</v>
      </c>
    </row>
    <row r="2" spans="1:13" x14ac:dyDescent="0.25">
      <c r="A2" t="s">
        <v>37</v>
      </c>
      <c r="B2">
        <v>2012</v>
      </c>
      <c r="C2">
        <v>3.5</v>
      </c>
      <c r="D2" s="3">
        <v>620</v>
      </c>
      <c r="E2" s="3">
        <v>80</v>
      </c>
      <c r="F2" s="3" t="str">
        <f>A2&amp;B2&amp;C2&amp;D2&amp;E2</f>
        <v>FGU620123.562080</v>
      </c>
      <c r="G2" t="str">
        <f>IF(ISNA(VLOOKUP($F2,'Raw Data'!$A:$M,7,0)),"",VLOOKUP($F2,'Raw Data'!$A:$M,7,0))</f>
        <v/>
      </c>
      <c r="H2" t="str">
        <f>IF(ISNA(VLOOKUP($F2,'Raw Data'!$A:$M,8,0)),"",VLOOKUP($F2,'Raw Data'!$A:$M,8,0))</f>
        <v/>
      </c>
      <c r="I2" t="str">
        <f>IF(ISNA(VLOOKUP($F2,'Raw Data'!$A:$M,9,0)),"",VLOOKUP($F2,'Raw Data'!$A:$M,9,0))</f>
        <v/>
      </c>
      <c r="J2" t="str">
        <f>IF(ISNA(VLOOKUP($F2,'Raw Data'!$A:$M,10,0)),"",VLOOKUP($F2,'Raw Data'!$A:$M,10,0))</f>
        <v/>
      </c>
      <c r="K2" t="str">
        <f>IF(ISNA(VLOOKUP($F2,'Raw Data'!$A:$M,11,0)),"",VLOOKUP($F2,'Raw Data'!$A:$M,11,0))</f>
        <v/>
      </c>
      <c r="L2" t="str">
        <f>IF(ISNA(VLOOKUP($F2,'Raw Data'!$A:$M,12,0)),"",VLOOKUP($F2,'Raw Data'!$A:$M,12,0))</f>
        <v/>
      </c>
      <c r="M2" t="str">
        <f>IF(ISNA(VLOOKUP($F2,'Raw Data'!$A:$M,13,0)),"",VLOOKUP($F2,'Raw Data'!$A:$M,13,0))</f>
        <v/>
      </c>
    </row>
    <row r="3" spans="1:13" x14ac:dyDescent="0.25">
      <c r="A3" t="s">
        <v>37</v>
      </c>
      <c r="B3">
        <v>2012</v>
      </c>
      <c r="C3">
        <v>3.5</v>
      </c>
      <c r="D3" s="3">
        <v>640</v>
      </c>
      <c r="E3" s="3">
        <v>80</v>
      </c>
      <c r="F3" s="3" t="str">
        <f>A3&amp;B3&amp;C3&amp;D3&amp;E3</f>
        <v>FGU620123.564080</v>
      </c>
      <c r="G3" t="str">
        <f>IF(ISNA(VLOOKUP($F3,'Raw Data'!$A:$M,7,0)),"",VLOOKUP($F3,'Raw Data'!$A:$M,7,0))</f>
        <v/>
      </c>
      <c r="H3" t="str">
        <f>IF(ISNA(VLOOKUP($F3,'Raw Data'!$A:$M,8,0)),"",VLOOKUP($F3,'Raw Data'!$A:$M,8,0))</f>
        <v/>
      </c>
      <c r="I3" t="str">
        <f>IF(ISNA(VLOOKUP($F3,'Raw Data'!$A:$M,9,0)),"",VLOOKUP($F3,'Raw Data'!$A:$M,9,0))</f>
        <v/>
      </c>
      <c r="J3" t="str">
        <f>IF(ISNA(VLOOKUP($F3,'Raw Data'!$A:$M,10,0)),"",VLOOKUP($F3,'Raw Data'!$A:$M,10,0))</f>
        <v/>
      </c>
      <c r="K3" t="str">
        <f>IF(ISNA(VLOOKUP($F3,'Raw Data'!$A:$M,11,0)),"",VLOOKUP($F3,'Raw Data'!$A:$M,11,0))</f>
        <v/>
      </c>
      <c r="L3" t="str">
        <f>IF(ISNA(VLOOKUP($F3,'Raw Data'!$A:$M,12,0)),"",VLOOKUP($F3,'Raw Data'!$A:$M,12,0))</f>
        <v/>
      </c>
      <c r="M3" t="str">
        <f>IF(ISNA(VLOOKUP($F3,'Raw Data'!$A:$M,13,0)),"",VLOOKUP($F3,'Raw Data'!$A:$M,13,0))</f>
        <v/>
      </c>
    </row>
    <row r="4" spans="1:13" x14ac:dyDescent="0.25">
      <c r="A4" t="s">
        <v>37</v>
      </c>
      <c r="B4">
        <v>2012</v>
      </c>
      <c r="C4">
        <v>3.5</v>
      </c>
      <c r="D4" s="3">
        <v>660</v>
      </c>
      <c r="E4" s="3">
        <v>80</v>
      </c>
      <c r="F4" s="3" t="str">
        <f t="shared" ref="F4:F67" si="0">A4&amp;B4&amp;C4&amp;D4&amp;E4</f>
        <v>FGU620123.566080</v>
      </c>
      <c r="G4" t="str">
        <f>IF(ISNA(VLOOKUP($F4,'Raw Data'!$A:$M,7,0)),"",VLOOKUP($F4,'Raw Data'!$A:$M,7,0))</f>
        <v/>
      </c>
      <c r="H4" t="str">
        <f>IF(ISNA(VLOOKUP($F4,'Raw Data'!$A:$M,8,0)),"",VLOOKUP($F4,'Raw Data'!$A:$M,8,0))</f>
        <v/>
      </c>
      <c r="I4" t="str">
        <f>IF(ISNA(VLOOKUP($F4,'Raw Data'!$A:$M,9,0)),"",VLOOKUP($F4,'Raw Data'!$A:$M,9,0))</f>
        <v/>
      </c>
      <c r="J4" t="str">
        <f>IF(ISNA(VLOOKUP($F4,'Raw Data'!$A:$M,10,0)),"",VLOOKUP($F4,'Raw Data'!$A:$M,10,0))</f>
        <v/>
      </c>
      <c r="K4" t="str">
        <f>IF(ISNA(VLOOKUP($F4,'Raw Data'!$A:$M,11,0)),"",VLOOKUP($F4,'Raw Data'!$A:$M,11,0))</f>
        <v/>
      </c>
      <c r="L4" t="str">
        <f>IF(ISNA(VLOOKUP($F4,'Raw Data'!$A:$M,12,0)),"",VLOOKUP($F4,'Raw Data'!$A:$M,12,0))</f>
        <v/>
      </c>
      <c r="M4" t="str">
        <f>IF(ISNA(VLOOKUP($F4,'Raw Data'!$A:$M,13,0)),"",VLOOKUP($F4,'Raw Data'!$A:$M,13,0))</f>
        <v/>
      </c>
    </row>
    <row r="5" spans="1:13" x14ac:dyDescent="0.25">
      <c r="A5" t="s">
        <v>37</v>
      </c>
      <c r="B5">
        <v>2012</v>
      </c>
      <c r="C5">
        <v>3.5</v>
      </c>
      <c r="D5" s="3">
        <v>680</v>
      </c>
      <c r="E5" s="3">
        <v>80</v>
      </c>
      <c r="F5" s="3" t="str">
        <f t="shared" si="0"/>
        <v>FGU620123.568080</v>
      </c>
      <c r="G5" t="str">
        <f>IF(ISNA(VLOOKUP($F5,'Raw Data'!$A:$M,7,0)),"",VLOOKUP($F5,'Raw Data'!$A:$M,7,0))</f>
        <v/>
      </c>
      <c r="H5" t="str">
        <f>IF(ISNA(VLOOKUP($F5,'Raw Data'!$A:$M,8,0)),"",VLOOKUP($F5,'Raw Data'!$A:$M,8,0))</f>
        <v/>
      </c>
      <c r="I5" t="str">
        <f>IF(ISNA(VLOOKUP($F5,'Raw Data'!$A:$M,9,0)),"",VLOOKUP($F5,'Raw Data'!$A:$M,9,0))</f>
        <v/>
      </c>
      <c r="J5" t="str">
        <f>IF(ISNA(VLOOKUP($F5,'Raw Data'!$A:$M,10,0)),"",VLOOKUP($F5,'Raw Data'!$A:$M,10,0))</f>
        <v/>
      </c>
      <c r="K5" t="str">
        <f>IF(ISNA(VLOOKUP($F5,'Raw Data'!$A:$M,11,0)),"",VLOOKUP($F5,'Raw Data'!$A:$M,11,0))</f>
        <v/>
      </c>
      <c r="L5" t="str">
        <f>IF(ISNA(VLOOKUP($F5,'Raw Data'!$A:$M,12,0)),"",VLOOKUP($F5,'Raw Data'!$A:$M,12,0))</f>
        <v/>
      </c>
      <c r="M5" t="str">
        <f>IF(ISNA(VLOOKUP($F5,'Raw Data'!$A:$M,13,0)),"",VLOOKUP($F5,'Raw Data'!$A:$M,13,0))</f>
        <v/>
      </c>
    </row>
    <row r="6" spans="1:13" x14ac:dyDescent="0.25">
      <c r="A6" t="s">
        <v>37</v>
      </c>
      <c r="B6">
        <v>2012</v>
      </c>
      <c r="C6">
        <v>3.5</v>
      </c>
      <c r="D6" s="3">
        <v>700</v>
      </c>
      <c r="E6" s="3">
        <v>80</v>
      </c>
      <c r="F6" s="3" t="str">
        <f t="shared" si="0"/>
        <v>FGU620123.570080</v>
      </c>
      <c r="G6" t="str">
        <f>IF(ISNA(VLOOKUP($F6,'Raw Data'!$A:$M,7,0)),"",VLOOKUP($F6,'Raw Data'!$A:$M,7,0))</f>
        <v/>
      </c>
      <c r="H6" t="str">
        <f>IF(ISNA(VLOOKUP($F6,'Raw Data'!$A:$M,8,0)),"",VLOOKUP($F6,'Raw Data'!$A:$M,8,0))</f>
        <v/>
      </c>
      <c r="I6" t="str">
        <f>IF(ISNA(VLOOKUP($F6,'Raw Data'!$A:$M,9,0)),"",VLOOKUP($F6,'Raw Data'!$A:$M,9,0))</f>
        <v/>
      </c>
      <c r="J6" t="str">
        <f>IF(ISNA(VLOOKUP($F6,'Raw Data'!$A:$M,10,0)),"",VLOOKUP($F6,'Raw Data'!$A:$M,10,0))</f>
        <v/>
      </c>
      <c r="K6" t="str">
        <f>IF(ISNA(VLOOKUP($F6,'Raw Data'!$A:$M,11,0)),"",VLOOKUP($F6,'Raw Data'!$A:$M,11,0))</f>
        <v/>
      </c>
      <c r="L6" t="str">
        <f>IF(ISNA(VLOOKUP($F6,'Raw Data'!$A:$M,12,0)),"",VLOOKUP($F6,'Raw Data'!$A:$M,12,0))</f>
        <v/>
      </c>
      <c r="M6" t="str">
        <f>IF(ISNA(VLOOKUP($F6,'Raw Data'!$A:$M,13,0)),"",VLOOKUP($F6,'Raw Data'!$A:$M,13,0))</f>
        <v/>
      </c>
    </row>
    <row r="7" spans="1:13" x14ac:dyDescent="0.25">
      <c r="A7" t="s">
        <v>37</v>
      </c>
      <c r="B7">
        <v>2012</v>
      </c>
      <c r="C7">
        <v>3.5</v>
      </c>
      <c r="D7" s="3">
        <v>720</v>
      </c>
      <c r="E7" s="3">
        <v>80</v>
      </c>
      <c r="F7" s="3" t="str">
        <f t="shared" si="0"/>
        <v>FGU620123.572080</v>
      </c>
      <c r="G7" t="str">
        <f>IF(ISNA(VLOOKUP($F7,'Raw Data'!$A:$M,7,0)),"",VLOOKUP($F7,'Raw Data'!$A:$M,7,0))</f>
        <v/>
      </c>
      <c r="H7" t="str">
        <f>IF(ISNA(VLOOKUP($F7,'Raw Data'!$A:$M,8,0)),"",VLOOKUP($F7,'Raw Data'!$A:$M,8,0))</f>
        <v/>
      </c>
      <c r="I7" t="str">
        <f>IF(ISNA(VLOOKUP($F7,'Raw Data'!$A:$M,9,0)),"",VLOOKUP($F7,'Raw Data'!$A:$M,9,0))</f>
        <v/>
      </c>
      <c r="J7" t="str">
        <f>IF(ISNA(VLOOKUP($F7,'Raw Data'!$A:$M,10,0)),"",VLOOKUP($F7,'Raw Data'!$A:$M,10,0))</f>
        <v/>
      </c>
      <c r="K7" t="str">
        <f>IF(ISNA(VLOOKUP($F7,'Raw Data'!$A:$M,11,0)),"",VLOOKUP($F7,'Raw Data'!$A:$M,11,0))</f>
        <v/>
      </c>
      <c r="L7" t="str">
        <f>IF(ISNA(VLOOKUP($F7,'Raw Data'!$A:$M,12,0)),"",VLOOKUP($F7,'Raw Data'!$A:$M,12,0))</f>
        <v/>
      </c>
      <c r="M7" t="str">
        <f>IF(ISNA(VLOOKUP($F7,'Raw Data'!$A:$M,13,0)),"",VLOOKUP($F7,'Raw Data'!$A:$M,13,0))</f>
        <v/>
      </c>
    </row>
    <row r="8" spans="1:13" x14ac:dyDescent="0.25">
      <c r="A8" t="s">
        <v>37</v>
      </c>
      <c r="B8">
        <v>2012</v>
      </c>
      <c r="C8">
        <v>3.5</v>
      </c>
      <c r="D8" s="3">
        <v>740</v>
      </c>
      <c r="E8" s="3">
        <v>80</v>
      </c>
      <c r="F8" s="3" t="str">
        <f t="shared" si="0"/>
        <v>FGU620123.574080</v>
      </c>
      <c r="G8" t="str">
        <f>IF(ISNA(VLOOKUP($F8,'Raw Data'!$A:$M,7,0)),"",VLOOKUP($F8,'Raw Data'!$A:$M,7,0))</f>
        <v/>
      </c>
      <c r="H8" t="str">
        <f>IF(ISNA(VLOOKUP($F8,'Raw Data'!$A:$M,8,0)),"",VLOOKUP($F8,'Raw Data'!$A:$M,8,0))</f>
        <v/>
      </c>
      <c r="I8" t="str">
        <f>IF(ISNA(VLOOKUP($F8,'Raw Data'!$A:$M,9,0)),"",VLOOKUP($F8,'Raw Data'!$A:$M,9,0))</f>
        <v/>
      </c>
      <c r="J8" t="str">
        <f>IF(ISNA(VLOOKUP($F8,'Raw Data'!$A:$M,10,0)),"",VLOOKUP($F8,'Raw Data'!$A:$M,10,0))</f>
        <v/>
      </c>
      <c r="K8" t="str">
        <f>IF(ISNA(VLOOKUP($F8,'Raw Data'!$A:$M,11,0)),"",VLOOKUP($F8,'Raw Data'!$A:$M,11,0))</f>
        <v/>
      </c>
      <c r="L8" t="str">
        <f>IF(ISNA(VLOOKUP($F8,'Raw Data'!$A:$M,12,0)),"",VLOOKUP($F8,'Raw Data'!$A:$M,12,0))</f>
        <v/>
      </c>
      <c r="M8" t="str">
        <f>IF(ISNA(VLOOKUP($F8,'Raw Data'!$A:$M,13,0)),"",VLOOKUP($F8,'Raw Data'!$A:$M,13,0))</f>
        <v/>
      </c>
    </row>
    <row r="9" spans="1:13" x14ac:dyDescent="0.25">
      <c r="A9" t="s">
        <v>37</v>
      </c>
      <c r="B9">
        <v>2012</v>
      </c>
      <c r="C9">
        <v>3.5</v>
      </c>
      <c r="D9" s="3">
        <v>760</v>
      </c>
      <c r="E9" s="3">
        <v>80</v>
      </c>
      <c r="F9" s="3" t="str">
        <f t="shared" si="0"/>
        <v>FGU620123.576080</v>
      </c>
      <c r="G9" t="str">
        <f>IF(ISNA(VLOOKUP($F9,'Raw Data'!$A:$M,7,0)),"",VLOOKUP($F9,'Raw Data'!$A:$M,7,0))</f>
        <v/>
      </c>
      <c r="H9" t="str">
        <f>IF(ISNA(VLOOKUP($F9,'Raw Data'!$A:$M,8,0)),"",VLOOKUP($F9,'Raw Data'!$A:$M,8,0))</f>
        <v/>
      </c>
      <c r="I9" t="str">
        <f>IF(ISNA(VLOOKUP($F9,'Raw Data'!$A:$M,9,0)),"",VLOOKUP($F9,'Raw Data'!$A:$M,9,0))</f>
        <v/>
      </c>
      <c r="J9" t="str">
        <f>IF(ISNA(VLOOKUP($F9,'Raw Data'!$A:$M,10,0)),"",VLOOKUP($F9,'Raw Data'!$A:$M,10,0))</f>
        <v/>
      </c>
      <c r="K9" t="str">
        <f>IF(ISNA(VLOOKUP($F9,'Raw Data'!$A:$M,11,0)),"",VLOOKUP($F9,'Raw Data'!$A:$M,11,0))</f>
        <v/>
      </c>
      <c r="L9" t="str">
        <f>IF(ISNA(VLOOKUP($F9,'Raw Data'!$A:$M,12,0)),"",VLOOKUP($F9,'Raw Data'!$A:$M,12,0))</f>
        <v/>
      </c>
      <c r="M9" t="str">
        <f>IF(ISNA(VLOOKUP($F9,'Raw Data'!$A:$M,13,0)),"",VLOOKUP($F9,'Raw Data'!$A:$M,13,0))</f>
        <v/>
      </c>
    </row>
    <row r="10" spans="1:13" x14ac:dyDescent="0.25">
      <c r="A10" t="s">
        <v>37</v>
      </c>
      <c r="B10">
        <v>2012</v>
      </c>
      <c r="C10">
        <v>3.5</v>
      </c>
      <c r="D10" s="3">
        <v>780</v>
      </c>
      <c r="E10" s="3">
        <v>80</v>
      </c>
      <c r="F10" s="3" t="str">
        <f t="shared" si="0"/>
        <v>FGU620123.578080</v>
      </c>
      <c r="G10" t="str">
        <f>IF(ISNA(VLOOKUP($F10,'Raw Data'!$A:$M,7,0)),"",VLOOKUP($F10,'Raw Data'!$A:$M,7,0))</f>
        <v/>
      </c>
      <c r="H10" t="str">
        <f>IF(ISNA(VLOOKUP($F10,'Raw Data'!$A:$M,8,0)),"",VLOOKUP($F10,'Raw Data'!$A:$M,8,0))</f>
        <v/>
      </c>
      <c r="I10" t="str">
        <f>IF(ISNA(VLOOKUP($F10,'Raw Data'!$A:$M,9,0)),"",VLOOKUP($F10,'Raw Data'!$A:$M,9,0))</f>
        <v/>
      </c>
      <c r="J10" t="str">
        <f>IF(ISNA(VLOOKUP($F10,'Raw Data'!$A:$M,10,0)),"",VLOOKUP($F10,'Raw Data'!$A:$M,10,0))</f>
        <v/>
      </c>
      <c r="K10" t="str">
        <f>IF(ISNA(VLOOKUP($F10,'Raw Data'!$A:$M,11,0)),"",VLOOKUP($F10,'Raw Data'!$A:$M,11,0))</f>
        <v/>
      </c>
      <c r="L10" t="str">
        <f>IF(ISNA(VLOOKUP($F10,'Raw Data'!$A:$M,12,0)),"",VLOOKUP($F10,'Raw Data'!$A:$M,12,0))</f>
        <v/>
      </c>
      <c r="M10" t="str">
        <f>IF(ISNA(VLOOKUP($F10,'Raw Data'!$A:$M,13,0)),"",VLOOKUP($F10,'Raw Data'!$A:$M,13,0))</f>
        <v/>
      </c>
    </row>
    <row r="11" spans="1:13" x14ac:dyDescent="0.25">
      <c r="A11" t="s">
        <v>37</v>
      </c>
      <c r="B11">
        <v>2012</v>
      </c>
      <c r="C11">
        <v>3.5</v>
      </c>
      <c r="D11" s="3">
        <v>620</v>
      </c>
      <c r="E11" s="3">
        <v>85</v>
      </c>
      <c r="F11" s="3" t="str">
        <f t="shared" si="0"/>
        <v>FGU620123.562085</v>
      </c>
      <c r="G11" t="str">
        <f>IF(ISNA(VLOOKUP($F11,'Raw Data'!$A:$M,7,0)),"",VLOOKUP($F11,'Raw Data'!$A:$M,7,0))</f>
        <v/>
      </c>
      <c r="H11" t="str">
        <f>IF(ISNA(VLOOKUP($F11,'Raw Data'!$A:$M,8,0)),"",VLOOKUP($F11,'Raw Data'!$A:$M,8,0))</f>
        <v/>
      </c>
      <c r="I11" t="str">
        <f>IF(ISNA(VLOOKUP($F11,'Raw Data'!$A:$M,9,0)),"",VLOOKUP($F11,'Raw Data'!$A:$M,9,0))</f>
        <v/>
      </c>
      <c r="J11" t="str">
        <f>IF(ISNA(VLOOKUP($F11,'Raw Data'!$A:$M,10,0)),"",VLOOKUP($F11,'Raw Data'!$A:$M,10,0))</f>
        <v/>
      </c>
      <c r="K11" t="str">
        <f>IF(ISNA(VLOOKUP($F11,'Raw Data'!$A:$M,11,0)),"",VLOOKUP($F11,'Raw Data'!$A:$M,11,0))</f>
        <v/>
      </c>
      <c r="L11" t="str">
        <f>IF(ISNA(VLOOKUP($F11,'Raw Data'!$A:$M,12,0)),"",VLOOKUP($F11,'Raw Data'!$A:$M,12,0))</f>
        <v/>
      </c>
      <c r="M11" t="str">
        <f>IF(ISNA(VLOOKUP($F11,'Raw Data'!$A:$M,13,0)),"",VLOOKUP($F11,'Raw Data'!$A:$M,13,0))</f>
        <v/>
      </c>
    </row>
    <row r="12" spans="1:13" x14ac:dyDescent="0.25">
      <c r="A12" t="s">
        <v>37</v>
      </c>
      <c r="B12">
        <v>2012</v>
      </c>
      <c r="C12">
        <v>3.5</v>
      </c>
      <c r="D12" s="3">
        <v>640</v>
      </c>
      <c r="E12" s="3">
        <v>85</v>
      </c>
      <c r="F12" s="3" t="str">
        <f t="shared" si="0"/>
        <v>FGU620123.564085</v>
      </c>
      <c r="G12" t="str">
        <f>IF(ISNA(VLOOKUP($F12,'Raw Data'!$A:$M,7,0)),"",VLOOKUP($F12,'Raw Data'!$A:$M,7,0))</f>
        <v/>
      </c>
      <c r="H12" t="str">
        <f>IF(ISNA(VLOOKUP($F12,'Raw Data'!$A:$M,8,0)),"",VLOOKUP($F12,'Raw Data'!$A:$M,8,0))</f>
        <v/>
      </c>
      <c r="I12" t="str">
        <f>IF(ISNA(VLOOKUP($F12,'Raw Data'!$A:$M,9,0)),"",VLOOKUP($F12,'Raw Data'!$A:$M,9,0))</f>
        <v/>
      </c>
      <c r="J12" t="str">
        <f>IF(ISNA(VLOOKUP($F12,'Raw Data'!$A:$M,10,0)),"",VLOOKUP($F12,'Raw Data'!$A:$M,10,0))</f>
        <v/>
      </c>
      <c r="K12" t="str">
        <f>IF(ISNA(VLOOKUP($F12,'Raw Data'!$A:$M,11,0)),"",VLOOKUP($F12,'Raw Data'!$A:$M,11,0))</f>
        <v/>
      </c>
      <c r="L12" t="str">
        <f>IF(ISNA(VLOOKUP($F12,'Raw Data'!$A:$M,12,0)),"",VLOOKUP($F12,'Raw Data'!$A:$M,12,0))</f>
        <v/>
      </c>
      <c r="M12" t="str">
        <f>IF(ISNA(VLOOKUP($F12,'Raw Data'!$A:$M,13,0)),"",VLOOKUP($F12,'Raw Data'!$A:$M,13,0))</f>
        <v/>
      </c>
    </row>
    <row r="13" spans="1:13" x14ac:dyDescent="0.25">
      <c r="A13" t="s">
        <v>37</v>
      </c>
      <c r="B13">
        <v>2012</v>
      </c>
      <c r="C13">
        <v>3.5</v>
      </c>
      <c r="D13" s="3">
        <v>660</v>
      </c>
      <c r="E13" s="3">
        <v>85</v>
      </c>
      <c r="F13" s="3" t="str">
        <f t="shared" si="0"/>
        <v>FGU620123.566085</v>
      </c>
      <c r="G13" t="str">
        <f>IF(ISNA(VLOOKUP($F13,'Raw Data'!$A:$M,7,0)),"",VLOOKUP($F13,'Raw Data'!$A:$M,7,0))</f>
        <v/>
      </c>
      <c r="H13" t="str">
        <f>IF(ISNA(VLOOKUP($F13,'Raw Data'!$A:$M,8,0)),"",VLOOKUP($F13,'Raw Data'!$A:$M,8,0))</f>
        <v/>
      </c>
      <c r="I13" t="str">
        <f>IF(ISNA(VLOOKUP($F13,'Raw Data'!$A:$M,9,0)),"",VLOOKUP($F13,'Raw Data'!$A:$M,9,0))</f>
        <v/>
      </c>
      <c r="J13" t="str">
        <f>IF(ISNA(VLOOKUP($F13,'Raw Data'!$A:$M,10,0)),"",VLOOKUP($F13,'Raw Data'!$A:$M,10,0))</f>
        <v/>
      </c>
      <c r="K13" t="str">
        <f>IF(ISNA(VLOOKUP($F13,'Raw Data'!$A:$M,11,0)),"",VLOOKUP($F13,'Raw Data'!$A:$M,11,0))</f>
        <v/>
      </c>
      <c r="L13" t="str">
        <f>IF(ISNA(VLOOKUP($F13,'Raw Data'!$A:$M,12,0)),"",VLOOKUP($F13,'Raw Data'!$A:$M,12,0))</f>
        <v/>
      </c>
      <c r="M13" t="str">
        <f>IF(ISNA(VLOOKUP($F13,'Raw Data'!$A:$M,13,0)),"",VLOOKUP($F13,'Raw Data'!$A:$M,13,0))</f>
        <v/>
      </c>
    </row>
    <row r="14" spans="1:13" x14ac:dyDescent="0.25">
      <c r="A14" t="s">
        <v>37</v>
      </c>
      <c r="B14">
        <v>2012</v>
      </c>
      <c r="C14">
        <v>3.5</v>
      </c>
      <c r="D14" s="3">
        <v>680</v>
      </c>
      <c r="E14" s="3">
        <v>85</v>
      </c>
      <c r="F14" s="3" t="str">
        <f t="shared" si="0"/>
        <v>FGU620123.568085</v>
      </c>
      <c r="G14" t="str">
        <f>IF(ISNA(VLOOKUP($F14,'Raw Data'!$A:$M,7,0)),"",VLOOKUP($F14,'Raw Data'!$A:$M,7,0))</f>
        <v/>
      </c>
      <c r="H14" t="str">
        <f>IF(ISNA(VLOOKUP($F14,'Raw Data'!$A:$M,8,0)),"",VLOOKUP($F14,'Raw Data'!$A:$M,8,0))</f>
        <v/>
      </c>
      <c r="I14" t="str">
        <f>IF(ISNA(VLOOKUP($F14,'Raw Data'!$A:$M,9,0)),"",VLOOKUP($F14,'Raw Data'!$A:$M,9,0))</f>
        <v/>
      </c>
      <c r="J14" t="str">
        <f>IF(ISNA(VLOOKUP($F14,'Raw Data'!$A:$M,10,0)),"",VLOOKUP($F14,'Raw Data'!$A:$M,10,0))</f>
        <v/>
      </c>
      <c r="K14" t="str">
        <f>IF(ISNA(VLOOKUP($F14,'Raw Data'!$A:$M,11,0)),"",VLOOKUP($F14,'Raw Data'!$A:$M,11,0))</f>
        <v/>
      </c>
      <c r="L14" t="str">
        <f>IF(ISNA(VLOOKUP($F14,'Raw Data'!$A:$M,12,0)),"",VLOOKUP($F14,'Raw Data'!$A:$M,12,0))</f>
        <v/>
      </c>
      <c r="M14" t="str">
        <f>IF(ISNA(VLOOKUP($F14,'Raw Data'!$A:$M,13,0)),"",VLOOKUP($F14,'Raw Data'!$A:$M,13,0))</f>
        <v/>
      </c>
    </row>
    <row r="15" spans="1:13" x14ac:dyDescent="0.25">
      <c r="A15" t="s">
        <v>37</v>
      </c>
      <c r="B15">
        <v>2012</v>
      </c>
      <c r="C15">
        <v>3.5</v>
      </c>
      <c r="D15" s="3">
        <v>700</v>
      </c>
      <c r="E15" s="3">
        <v>85</v>
      </c>
      <c r="F15" s="3" t="str">
        <f t="shared" si="0"/>
        <v>FGU620123.570085</v>
      </c>
      <c r="G15" t="str">
        <f>IF(ISNA(VLOOKUP($F15,'Raw Data'!$A:$M,7,0)),"",VLOOKUP($F15,'Raw Data'!$A:$M,7,0))</f>
        <v/>
      </c>
      <c r="H15" t="str">
        <f>IF(ISNA(VLOOKUP($F15,'Raw Data'!$A:$M,8,0)),"",VLOOKUP($F15,'Raw Data'!$A:$M,8,0))</f>
        <v/>
      </c>
      <c r="I15" t="str">
        <f>IF(ISNA(VLOOKUP($F15,'Raw Data'!$A:$M,9,0)),"",VLOOKUP($F15,'Raw Data'!$A:$M,9,0))</f>
        <v/>
      </c>
      <c r="J15" t="str">
        <f>IF(ISNA(VLOOKUP($F15,'Raw Data'!$A:$M,10,0)),"",VLOOKUP($F15,'Raw Data'!$A:$M,10,0))</f>
        <v/>
      </c>
      <c r="K15" t="str">
        <f>IF(ISNA(VLOOKUP($F15,'Raw Data'!$A:$M,11,0)),"",VLOOKUP($F15,'Raw Data'!$A:$M,11,0))</f>
        <v/>
      </c>
      <c r="L15" t="str">
        <f>IF(ISNA(VLOOKUP($F15,'Raw Data'!$A:$M,12,0)),"",VLOOKUP($F15,'Raw Data'!$A:$M,12,0))</f>
        <v/>
      </c>
      <c r="M15" t="str">
        <f>IF(ISNA(VLOOKUP($F15,'Raw Data'!$A:$M,13,0)),"",VLOOKUP($F15,'Raw Data'!$A:$M,13,0))</f>
        <v/>
      </c>
    </row>
    <row r="16" spans="1:13" x14ac:dyDescent="0.25">
      <c r="A16" t="s">
        <v>37</v>
      </c>
      <c r="B16">
        <v>2012</v>
      </c>
      <c r="C16">
        <v>3.5</v>
      </c>
      <c r="D16" s="3">
        <v>720</v>
      </c>
      <c r="E16" s="3">
        <v>85</v>
      </c>
      <c r="F16" s="3" t="str">
        <f t="shared" si="0"/>
        <v>FGU620123.572085</v>
      </c>
      <c r="G16" t="str">
        <f>IF(ISNA(VLOOKUP($F16,'Raw Data'!$A:$M,7,0)),"",VLOOKUP($F16,'Raw Data'!$A:$M,7,0))</f>
        <v/>
      </c>
      <c r="H16" t="str">
        <f>IF(ISNA(VLOOKUP($F16,'Raw Data'!$A:$M,8,0)),"",VLOOKUP($F16,'Raw Data'!$A:$M,8,0))</f>
        <v/>
      </c>
      <c r="I16" t="str">
        <f>IF(ISNA(VLOOKUP($F16,'Raw Data'!$A:$M,9,0)),"",VLOOKUP($F16,'Raw Data'!$A:$M,9,0))</f>
        <v/>
      </c>
      <c r="J16" t="str">
        <f>IF(ISNA(VLOOKUP($F16,'Raw Data'!$A:$M,10,0)),"",VLOOKUP($F16,'Raw Data'!$A:$M,10,0))</f>
        <v/>
      </c>
      <c r="K16" t="str">
        <f>IF(ISNA(VLOOKUP($F16,'Raw Data'!$A:$M,11,0)),"",VLOOKUP($F16,'Raw Data'!$A:$M,11,0))</f>
        <v/>
      </c>
      <c r="L16" t="str">
        <f>IF(ISNA(VLOOKUP($F16,'Raw Data'!$A:$M,12,0)),"",VLOOKUP($F16,'Raw Data'!$A:$M,12,0))</f>
        <v/>
      </c>
      <c r="M16" t="str">
        <f>IF(ISNA(VLOOKUP($F16,'Raw Data'!$A:$M,13,0)),"",VLOOKUP($F16,'Raw Data'!$A:$M,13,0))</f>
        <v/>
      </c>
    </row>
    <row r="17" spans="1:13" x14ac:dyDescent="0.25">
      <c r="A17" t="s">
        <v>37</v>
      </c>
      <c r="B17">
        <v>2012</v>
      </c>
      <c r="C17">
        <v>3.5</v>
      </c>
      <c r="D17" s="3">
        <v>740</v>
      </c>
      <c r="E17" s="3">
        <v>85</v>
      </c>
      <c r="F17" s="3" t="str">
        <f t="shared" si="0"/>
        <v>FGU620123.574085</v>
      </c>
      <c r="G17" t="str">
        <f>IF(ISNA(VLOOKUP($F17,'Raw Data'!$A:$M,7,0)),"",VLOOKUP($F17,'Raw Data'!$A:$M,7,0))</f>
        <v/>
      </c>
      <c r="H17" t="str">
        <f>IF(ISNA(VLOOKUP($F17,'Raw Data'!$A:$M,8,0)),"",VLOOKUP($F17,'Raw Data'!$A:$M,8,0))</f>
        <v/>
      </c>
      <c r="I17" t="str">
        <f>IF(ISNA(VLOOKUP($F17,'Raw Data'!$A:$M,9,0)),"",VLOOKUP($F17,'Raw Data'!$A:$M,9,0))</f>
        <v/>
      </c>
      <c r="J17" t="str">
        <f>IF(ISNA(VLOOKUP($F17,'Raw Data'!$A:$M,10,0)),"",VLOOKUP($F17,'Raw Data'!$A:$M,10,0))</f>
        <v/>
      </c>
      <c r="K17" t="str">
        <f>IF(ISNA(VLOOKUP($F17,'Raw Data'!$A:$M,11,0)),"",VLOOKUP($F17,'Raw Data'!$A:$M,11,0))</f>
        <v/>
      </c>
      <c r="L17" t="str">
        <f>IF(ISNA(VLOOKUP($F17,'Raw Data'!$A:$M,12,0)),"",VLOOKUP($F17,'Raw Data'!$A:$M,12,0))</f>
        <v/>
      </c>
      <c r="M17" t="str">
        <f>IF(ISNA(VLOOKUP($F17,'Raw Data'!$A:$M,13,0)),"",VLOOKUP($F17,'Raw Data'!$A:$M,13,0))</f>
        <v/>
      </c>
    </row>
    <row r="18" spans="1:13" x14ac:dyDescent="0.25">
      <c r="A18" t="s">
        <v>37</v>
      </c>
      <c r="B18">
        <v>2012</v>
      </c>
      <c r="C18">
        <v>3.5</v>
      </c>
      <c r="D18" s="3">
        <v>760</v>
      </c>
      <c r="E18" s="3">
        <v>85</v>
      </c>
      <c r="F18" s="3" t="str">
        <f t="shared" si="0"/>
        <v>FGU620123.576085</v>
      </c>
      <c r="G18">
        <f>IF(ISNA(VLOOKUP($F18,'Raw Data'!$A:$M,7,0)),"",VLOOKUP($F18,'Raw Data'!$A:$M,7,0))</f>
        <v>1397120.96</v>
      </c>
      <c r="H18">
        <f>IF(ISNA(VLOOKUP($F18,'Raw Data'!$A:$M,8,0)),"",VLOOKUP($F18,'Raw Data'!$A:$M,8,0))</f>
        <v>-90.667400000000001</v>
      </c>
      <c r="I18">
        <f>IF(ISNA(VLOOKUP($F18,'Raw Data'!$A:$M,9,0)),"",VLOOKUP($F18,'Raw Data'!$A:$M,9,0))</f>
        <v>-65.667400000000001</v>
      </c>
      <c r="J18">
        <f>IF(ISNA(VLOOKUP($F18,'Raw Data'!$A:$M,10,0)),"",VLOOKUP($F18,'Raw Data'!$A:$M,10,0))</f>
        <v>25</v>
      </c>
      <c r="K18">
        <f>IF(ISNA(VLOOKUP($F18,'Raw Data'!$A:$M,11,0)),"",VLOOKUP($F18,'Raw Data'!$A:$M,11,0))</f>
        <v>-37.890799999999999</v>
      </c>
      <c r="L18">
        <f>IF(ISNA(VLOOKUP($F18,'Raw Data'!$A:$M,12,0)),"",VLOOKUP($F18,'Raw Data'!$A:$M,12,0))</f>
        <v>-35.6175</v>
      </c>
      <c r="M18">
        <f>IF(ISNA(VLOOKUP($F18,'Raw Data'!$A:$M,13,0)),"",VLOOKUP($F18,'Raw Data'!$A:$M,13,0))</f>
        <v>2.2732999999999999</v>
      </c>
    </row>
    <row r="19" spans="1:13" x14ac:dyDescent="0.25">
      <c r="A19" t="s">
        <v>37</v>
      </c>
      <c r="B19">
        <v>2012</v>
      </c>
      <c r="C19">
        <v>3.5</v>
      </c>
      <c r="D19" s="3">
        <v>780</v>
      </c>
      <c r="E19" s="3">
        <v>85</v>
      </c>
      <c r="F19" s="3" t="str">
        <f t="shared" si="0"/>
        <v>FGU620123.578085</v>
      </c>
      <c r="G19" t="str">
        <f>IF(ISNA(VLOOKUP($F19,'Raw Data'!$A:$M,7,0)),"",VLOOKUP($F19,'Raw Data'!$A:$M,7,0))</f>
        <v/>
      </c>
      <c r="H19" t="str">
        <f>IF(ISNA(VLOOKUP($F19,'Raw Data'!$A:$M,8,0)),"",VLOOKUP($F19,'Raw Data'!$A:$M,8,0))</f>
        <v/>
      </c>
      <c r="I19" t="str">
        <f>IF(ISNA(VLOOKUP($F19,'Raw Data'!$A:$M,9,0)),"",VLOOKUP($F19,'Raw Data'!$A:$M,9,0))</f>
        <v/>
      </c>
      <c r="J19" t="str">
        <f>IF(ISNA(VLOOKUP($F19,'Raw Data'!$A:$M,10,0)),"",VLOOKUP($F19,'Raw Data'!$A:$M,10,0))</f>
        <v/>
      </c>
      <c r="K19" t="str">
        <f>IF(ISNA(VLOOKUP($F19,'Raw Data'!$A:$M,11,0)),"",VLOOKUP($F19,'Raw Data'!$A:$M,11,0))</f>
        <v/>
      </c>
      <c r="L19" t="str">
        <f>IF(ISNA(VLOOKUP($F19,'Raw Data'!$A:$M,12,0)),"",VLOOKUP($F19,'Raw Data'!$A:$M,12,0))</f>
        <v/>
      </c>
      <c r="M19" t="str">
        <f>IF(ISNA(VLOOKUP($F19,'Raw Data'!$A:$M,13,0)),"",VLOOKUP($F19,'Raw Data'!$A:$M,13,0))</f>
        <v/>
      </c>
    </row>
    <row r="20" spans="1:13" x14ac:dyDescent="0.25">
      <c r="A20" t="s">
        <v>37</v>
      </c>
      <c r="B20">
        <v>2012</v>
      </c>
      <c r="C20">
        <v>3.5</v>
      </c>
      <c r="D20" s="3">
        <v>620</v>
      </c>
      <c r="E20" s="3">
        <v>90</v>
      </c>
      <c r="F20" s="3" t="str">
        <f t="shared" si="0"/>
        <v>FGU620123.562090</v>
      </c>
      <c r="G20" t="str">
        <f>IF(ISNA(VLOOKUP($F20,'Raw Data'!$A:$M,7,0)),"",VLOOKUP($F20,'Raw Data'!$A:$M,7,0))</f>
        <v/>
      </c>
      <c r="H20" t="str">
        <f>IF(ISNA(VLOOKUP($F20,'Raw Data'!$A:$M,8,0)),"",VLOOKUP($F20,'Raw Data'!$A:$M,8,0))</f>
        <v/>
      </c>
      <c r="I20" t="str">
        <f>IF(ISNA(VLOOKUP($F20,'Raw Data'!$A:$M,9,0)),"",VLOOKUP($F20,'Raw Data'!$A:$M,9,0))</f>
        <v/>
      </c>
      <c r="J20" t="str">
        <f>IF(ISNA(VLOOKUP($F20,'Raw Data'!$A:$M,10,0)),"",VLOOKUP($F20,'Raw Data'!$A:$M,10,0))</f>
        <v/>
      </c>
      <c r="K20" t="str">
        <f>IF(ISNA(VLOOKUP($F20,'Raw Data'!$A:$M,11,0)),"",VLOOKUP($F20,'Raw Data'!$A:$M,11,0))</f>
        <v/>
      </c>
      <c r="L20" t="str">
        <f>IF(ISNA(VLOOKUP($F20,'Raw Data'!$A:$M,12,0)),"",VLOOKUP($F20,'Raw Data'!$A:$M,12,0))</f>
        <v/>
      </c>
      <c r="M20" t="str">
        <f>IF(ISNA(VLOOKUP($F20,'Raw Data'!$A:$M,13,0)),"",VLOOKUP($F20,'Raw Data'!$A:$M,13,0))</f>
        <v/>
      </c>
    </row>
    <row r="21" spans="1:13" x14ac:dyDescent="0.25">
      <c r="A21" t="s">
        <v>37</v>
      </c>
      <c r="B21">
        <v>2012</v>
      </c>
      <c r="C21">
        <v>3.5</v>
      </c>
      <c r="D21" s="3">
        <v>640</v>
      </c>
      <c r="E21" s="3">
        <v>90</v>
      </c>
      <c r="F21" s="3" t="str">
        <f t="shared" si="0"/>
        <v>FGU620123.564090</v>
      </c>
      <c r="G21" t="str">
        <f>IF(ISNA(VLOOKUP($F21,'Raw Data'!$A:$M,7,0)),"",VLOOKUP($F21,'Raw Data'!$A:$M,7,0))</f>
        <v/>
      </c>
      <c r="H21" t="str">
        <f>IF(ISNA(VLOOKUP($F21,'Raw Data'!$A:$M,8,0)),"",VLOOKUP($F21,'Raw Data'!$A:$M,8,0))</f>
        <v/>
      </c>
      <c r="I21" t="str">
        <f>IF(ISNA(VLOOKUP($F21,'Raw Data'!$A:$M,9,0)),"",VLOOKUP($F21,'Raw Data'!$A:$M,9,0))</f>
        <v/>
      </c>
      <c r="J21" t="str">
        <f>IF(ISNA(VLOOKUP($F21,'Raw Data'!$A:$M,10,0)),"",VLOOKUP($F21,'Raw Data'!$A:$M,10,0))</f>
        <v/>
      </c>
      <c r="K21" t="str">
        <f>IF(ISNA(VLOOKUP($F21,'Raw Data'!$A:$M,11,0)),"",VLOOKUP($F21,'Raw Data'!$A:$M,11,0))</f>
        <v/>
      </c>
      <c r="L21" t="str">
        <f>IF(ISNA(VLOOKUP($F21,'Raw Data'!$A:$M,12,0)),"",VLOOKUP($F21,'Raw Data'!$A:$M,12,0))</f>
        <v/>
      </c>
      <c r="M21" t="str">
        <f>IF(ISNA(VLOOKUP($F21,'Raw Data'!$A:$M,13,0)),"",VLOOKUP($F21,'Raw Data'!$A:$M,13,0))</f>
        <v/>
      </c>
    </row>
    <row r="22" spans="1:13" x14ac:dyDescent="0.25">
      <c r="A22" t="s">
        <v>37</v>
      </c>
      <c r="B22">
        <v>2012</v>
      </c>
      <c r="C22">
        <v>3.5</v>
      </c>
      <c r="D22" s="3">
        <v>660</v>
      </c>
      <c r="E22" s="3">
        <v>90</v>
      </c>
      <c r="F22" s="3" t="str">
        <f t="shared" si="0"/>
        <v>FGU620123.566090</v>
      </c>
      <c r="G22" t="str">
        <f>IF(ISNA(VLOOKUP($F22,'Raw Data'!$A:$M,7,0)),"",VLOOKUP($F22,'Raw Data'!$A:$M,7,0))</f>
        <v/>
      </c>
      <c r="H22" t="str">
        <f>IF(ISNA(VLOOKUP($F22,'Raw Data'!$A:$M,8,0)),"",VLOOKUP($F22,'Raw Data'!$A:$M,8,0))</f>
        <v/>
      </c>
      <c r="I22" t="str">
        <f>IF(ISNA(VLOOKUP($F22,'Raw Data'!$A:$M,9,0)),"",VLOOKUP($F22,'Raw Data'!$A:$M,9,0))</f>
        <v/>
      </c>
      <c r="J22" t="str">
        <f>IF(ISNA(VLOOKUP($F22,'Raw Data'!$A:$M,10,0)),"",VLOOKUP($F22,'Raw Data'!$A:$M,10,0))</f>
        <v/>
      </c>
      <c r="K22" t="str">
        <f>IF(ISNA(VLOOKUP($F22,'Raw Data'!$A:$M,11,0)),"",VLOOKUP($F22,'Raw Data'!$A:$M,11,0))</f>
        <v/>
      </c>
      <c r="L22" t="str">
        <f>IF(ISNA(VLOOKUP($F22,'Raw Data'!$A:$M,12,0)),"",VLOOKUP($F22,'Raw Data'!$A:$M,12,0))</f>
        <v/>
      </c>
      <c r="M22" t="str">
        <f>IF(ISNA(VLOOKUP($F22,'Raw Data'!$A:$M,13,0)),"",VLOOKUP($F22,'Raw Data'!$A:$M,13,0))</f>
        <v/>
      </c>
    </row>
    <row r="23" spans="1:13" x14ac:dyDescent="0.25">
      <c r="A23" t="s">
        <v>37</v>
      </c>
      <c r="B23">
        <v>2012</v>
      </c>
      <c r="C23">
        <v>3.5</v>
      </c>
      <c r="D23" s="3">
        <v>680</v>
      </c>
      <c r="E23" s="3">
        <v>90</v>
      </c>
      <c r="F23" s="3" t="str">
        <f t="shared" si="0"/>
        <v>FGU620123.568090</v>
      </c>
      <c r="G23" t="str">
        <f>IF(ISNA(VLOOKUP($F23,'Raw Data'!$A:$M,7,0)),"",VLOOKUP($F23,'Raw Data'!$A:$M,7,0))</f>
        <v/>
      </c>
      <c r="H23" t="str">
        <f>IF(ISNA(VLOOKUP($F23,'Raw Data'!$A:$M,8,0)),"",VLOOKUP($F23,'Raw Data'!$A:$M,8,0))</f>
        <v/>
      </c>
      <c r="I23" t="str">
        <f>IF(ISNA(VLOOKUP($F23,'Raw Data'!$A:$M,9,0)),"",VLOOKUP($F23,'Raw Data'!$A:$M,9,0))</f>
        <v/>
      </c>
      <c r="J23" t="str">
        <f>IF(ISNA(VLOOKUP($F23,'Raw Data'!$A:$M,10,0)),"",VLOOKUP($F23,'Raw Data'!$A:$M,10,0))</f>
        <v/>
      </c>
      <c r="K23" t="str">
        <f>IF(ISNA(VLOOKUP($F23,'Raw Data'!$A:$M,11,0)),"",VLOOKUP($F23,'Raw Data'!$A:$M,11,0))</f>
        <v/>
      </c>
      <c r="L23" t="str">
        <f>IF(ISNA(VLOOKUP($F23,'Raw Data'!$A:$M,12,0)),"",VLOOKUP($F23,'Raw Data'!$A:$M,12,0))</f>
        <v/>
      </c>
      <c r="M23" t="str">
        <f>IF(ISNA(VLOOKUP($F23,'Raw Data'!$A:$M,13,0)),"",VLOOKUP($F23,'Raw Data'!$A:$M,13,0))</f>
        <v/>
      </c>
    </row>
    <row r="24" spans="1:13" x14ac:dyDescent="0.25">
      <c r="A24" t="s">
        <v>37</v>
      </c>
      <c r="B24">
        <v>2012</v>
      </c>
      <c r="C24">
        <v>3.5</v>
      </c>
      <c r="D24" s="3">
        <v>700</v>
      </c>
      <c r="E24" s="3">
        <v>90</v>
      </c>
      <c r="F24" s="3" t="str">
        <f t="shared" si="0"/>
        <v>FGU620123.570090</v>
      </c>
      <c r="G24" t="str">
        <f>IF(ISNA(VLOOKUP($F24,'Raw Data'!$A:$M,7,0)),"",VLOOKUP($F24,'Raw Data'!$A:$M,7,0))</f>
        <v/>
      </c>
      <c r="H24" t="str">
        <f>IF(ISNA(VLOOKUP($F24,'Raw Data'!$A:$M,8,0)),"",VLOOKUP($F24,'Raw Data'!$A:$M,8,0))</f>
        <v/>
      </c>
      <c r="I24" t="str">
        <f>IF(ISNA(VLOOKUP($F24,'Raw Data'!$A:$M,9,0)),"",VLOOKUP($F24,'Raw Data'!$A:$M,9,0))</f>
        <v/>
      </c>
      <c r="J24" t="str">
        <f>IF(ISNA(VLOOKUP($F24,'Raw Data'!$A:$M,10,0)),"",VLOOKUP($F24,'Raw Data'!$A:$M,10,0))</f>
        <v/>
      </c>
      <c r="K24" t="str">
        <f>IF(ISNA(VLOOKUP($F24,'Raw Data'!$A:$M,11,0)),"",VLOOKUP($F24,'Raw Data'!$A:$M,11,0))</f>
        <v/>
      </c>
      <c r="L24" t="str">
        <f>IF(ISNA(VLOOKUP($F24,'Raw Data'!$A:$M,12,0)),"",VLOOKUP($F24,'Raw Data'!$A:$M,12,0))</f>
        <v/>
      </c>
      <c r="M24" t="str">
        <f>IF(ISNA(VLOOKUP($F24,'Raw Data'!$A:$M,13,0)),"",VLOOKUP($F24,'Raw Data'!$A:$M,13,0))</f>
        <v/>
      </c>
    </row>
    <row r="25" spans="1:13" x14ac:dyDescent="0.25">
      <c r="A25" t="s">
        <v>37</v>
      </c>
      <c r="B25">
        <v>2012</v>
      </c>
      <c r="C25">
        <v>3.5</v>
      </c>
      <c r="D25" s="3">
        <v>720</v>
      </c>
      <c r="E25" s="3">
        <v>90</v>
      </c>
      <c r="F25" s="3" t="str">
        <f t="shared" si="0"/>
        <v>FGU620123.572090</v>
      </c>
      <c r="G25" t="str">
        <f>IF(ISNA(VLOOKUP($F25,'Raw Data'!$A:$M,7,0)),"",VLOOKUP($F25,'Raw Data'!$A:$M,7,0))</f>
        <v/>
      </c>
      <c r="H25" t="str">
        <f>IF(ISNA(VLOOKUP($F25,'Raw Data'!$A:$M,8,0)),"",VLOOKUP($F25,'Raw Data'!$A:$M,8,0))</f>
        <v/>
      </c>
      <c r="I25" t="str">
        <f>IF(ISNA(VLOOKUP($F25,'Raw Data'!$A:$M,9,0)),"",VLOOKUP($F25,'Raw Data'!$A:$M,9,0))</f>
        <v/>
      </c>
      <c r="J25" t="str">
        <f>IF(ISNA(VLOOKUP($F25,'Raw Data'!$A:$M,10,0)),"",VLOOKUP($F25,'Raw Data'!$A:$M,10,0))</f>
        <v/>
      </c>
      <c r="K25" t="str">
        <f>IF(ISNA(VLOOKUP($F25,'Raw Data'!$A:$M,11,0)),"",VLOOKUP($F25,'Raw Data'!$A:$M,11,0))</f>
        <v/>
      </c>
      <c r="L25" t="str">
        <f>IF(ISNA(VLOOKUP($F25,'Raw Data'!$A:$M,12,0)),"",VLOOKUP($F25,'Raw Data'!$A:$M,12,0))</f>
        <v/>
      </c>
      <c r="M25" t="str">
        <f>IF(ISNA(VLOOKUP($F25,'Raw Data'!$A:$M,13,0)),"",VLOOKUP($F25,'Raw Data'!$A:$M,13,0))</f>
        <v/>
      </c>
    </row>
    <row r="26" spans="1:13" x14ac:dyDescent="0.25">
      <c r="A26" t="s">
        <v>37</v>
      </c>
      <c r="B26">
        <v>2012</v>
      </c>
      <c r="C26">
        <v>3.5</v>
      </c>
      <c r="D26" s="3">
        <v>740</v>
      </c>
      <c r="E26" s="3">
        <v>90</v>
      </c>
      <c r="F26" s="3" t="str">
        <f t="shared" si="0"/>
        <v>FGU620123.574090</v>
      </c>
      <c r="G26" t="str">
        <f>IF(ISNA(VLOOKUP($F26,'Raw Data'!$A:$M,7,0)),"",VLOOKUP($F26,'Raw Data'!$A:$M,7,0))</f>
        <v/>
      </c>
      <c r="H26" t="str">
        <f>IF(ISNA(VLOOKUP($F26,'Raw Data'!$A:$M,8,0)),"",VLOOKUP($F26,'Raw Data'!$A:$M,8,0))</f>
        <v/>
      </c>
      <c r="I26" t="str">
        <f>IF(ISNA(VLOOKUP($F26,'Raw Data'!$A:$M,9,0)),"",VLOOKUP($F26,'Raw Data'!$A:$M,9,0))</f>
        <v/>
      </c>
      <c r="J26" t="str">
        <f>IF(ISNA(VLOOKUP($F26,'Raw Data'!$A:$M,10,0)),"",VLOOKUP($F26,'Raw Data'!$A:$M,10,0))</f>
        <v/>
      </c>
      <c r="K26" t="str">
        <f>IF(ISNA(VLOOKUP($F26,'Raw Data'!$A:$M,11,0)),"",VLOOKUP($F26,'Raw Data'!$A:$M,11,0))</f>
        <v/>
      </c>
      <c r="L26" t="str">
        <f>IF(ISNA(VLOOKUP($F26,'Raw Data'!$A:$M,12,0)),"",VLOOKUP($F26,'Raw Data'!$A:$M,12,0))</f>
        <v/>
      </c>
      <c r="M26" t="str">
        <f>IF(ISNA(VLOOKUP($F26,'Raw Data'!$A:$M,13,0)),"",VLOOKUP($F26,'Raw Data'!$A:$M,13,0))</f>
        <v/>
      </c>
    </row>
    <row r="27" spans="1:13" x14ac:dyDescent="0.25">
      <c r="A27" t="s">
        <v>37</v>
      </c>
      <c r="B27">
        <v>2012</v>
      </c>
      <c r="C27">
        <v>3.5</v>
      </c>
      <c r="D27" s="3">
        <v>760</v>
      </c>
      <c r="E27" s="3">
        <v>90</v>
      </c>
      <c r="F27" s="3" t="str">
        <f t="shared" si="0"/>
        <v>FGU620123.576090</v>
      </c>
      <c r="G27" t="str">
        <f>IF(ISNA(VLOOKUP($F27,'Raw Data'!$A:$M,7,0)),"",VLOOKUP($F27,'Raw Data'!$A:$M,7,0))</f>
        <v/>
      </c>
      <c r="H27" t="str">
        <f>IF(ISNA(VLOOKUP($F27,'Raw Data'!$A:$M,8,0)),"",VLOOKUP($F27,'Raw Data'!$A:$M,8,0))</f>
        <v/>
      </c>
      <c r="I27" t="str">
        <f>IF(ISNA(VLOOKUP($F27,'Raw Data'!$A:$M,9,0)),"",VLOOKUP($F27,'Raw Data'!$A:$M,9,0))</f>
        <v/>
      </c>
      <c r="J27" t="str">
        <f>IF(ISNA(VLOOKUP($F27,'Raw Data'!$A:$M,10,0)),"",VLOOKUP($F27,'Raw Data'!$A:$M,10,0))</f>
        <v/>
      </c>
      <c r="K27" t="str">
        <f>IF(ISNA(VLOOKUP($F27,'Raw Data'!$A:$M,11,0)),"",VLOOKUP($F27,'Raw Data'!$A:$M,11,0))</f>
        <v/>
      </c>
      <c r="L27" t="str">
        <f>IF(ISNA(VLOOKUP($F27,'Raw Data'!$A:$M,12,0)),"",VLOOKUP($F27,'Raw Data'!$A:$M,12,0))</f>
        <v/>
      </c>
      <c r="M27" t="str">
        <f>IF(ISNA(VLOOKUP($F27,'Raw Data'!$A:$M,13,0)),"",VLOOKUP($F27,'Raw Data'!$A:$M,13,0))</f>
        <v/>
      </c>
    </row>
    <row r="28" spans="1:13" x14ac:dyDescent="0.25">
      <c r="A28" t="s">
        <v>37</v>
      </c>
      <c r="B28">
        <v>2012</v>
      </c>
      <c r="C28">
        <v>3.5</v>
      </c>
      <c r="D28" s="3">
        <v>780</v>
      </c>
      <c r="E28" s="3">
        <v>90</v>
      </c>
      <c r="F28" s="3" t="str">
        <f t="shared" si="0"/>
        <v>FGU620123.578090</v>
      </c>
      <c r="G28" t="str">
        <f>IF(ISNA(VLOOKUP($F28,'Raw Data'!$A:$M,7,0)),"",VLOOKUP($F28,'Raw Data'!$A:$M,7,0))</f>
        <v/>
      </c>
      <c r="H28" t="str">
        <f>IF(ISNA(VLOOKUP($F28,'Raw Data'!$A:$M,8,0)),"",VLOOKUP($F28,'Raw Data'!$A:$M,8,0))</f>
        <v/>
      </c>
      <c r="I28" t="str">
        <f>IF(ISNA(VLOOKUP($F28,'Raw Data'!$A:$M,9,0)),"",VLOOKUP($F28,'Raw Data'!$A:$M,9,0))</f>
        <v/>
      </c>
      <c r="J28" t="str">
        <f>IF(ISNA(VLOOKUP($F28,'Raw Data'!$A:$M,10,0)),"",VLOOKUP($F28,'Raw Data'!$A:$M,10,0))</f>
        <v/>
      </c>
      <c r="K28" t="str">
        <f>IF(ISNA(VLOOKUP($F28,'Raw Data'!$A:$M,11,0)),"",VLOOKUP($F28,'Raw Data'!$A:$M,11,0))</f>
        <v/>
      </c>
      <c r="L28" t="str">
        <f>IF(ISNA(VLOOKUP($F28,'Raw Data'!$A:$M,12,0)),"",VLOOKUP($F28,'Raw Data'!$A:$M,12,0))</f>
        <v/>
      </c>
      <c r="M28" t="str">
        <f>IF(ISNA(VLOOKUP($F28,'Raw Data'!$A:$M,13,0)),"",VLOOKUP($F28,'Raw Data'!$A:$M,13,0))</f>
        <v/>
      </c>
    </row>
    <row r="29" spans="1:13" x14ac:dyDescent="0.25">
      <c r="A29" t="s">
        <v>37</v>
      </c>
      <c r="B29">
        <v>2012</v>
      </c>
      <c r="C29">
        <v>3.5</v>
      </c>
      <c r="D29" s="3">
        <v>620</v>
      </c>
      <c r="E29" s="3">
        <v>95</v>
      </c>
      <c r="F29" s="3" t="str">
        <f t="shared" si="0"/>
        <v>FGU620123.562095</v>
      </c>
      <c r="G29" t="str">
        <f>IF(ISNA(VLOOKUP($F29,'Raw Data'!$A:$M,7,0)),"",VLOOKUP($F29,'Raw Data'!$A:$M,7,0))</f>
        <v/>
      </c>
      <c r="H29" t="str">
        <f>IF(ISNA(VLOOKUP($F29,'Raw Data'!$A:$M,8,0)),"",VLOOKUP($F29,'Raw Data'!$A:$M,8,0))</f>
        <v/>
      </c>
      <c r="I29" t="str">
        <f>IF(ISNA(VLOOKUP($F29,'Raw Data'!$A:$M,9,0)),"",VLOOKUP($F29,'Raw Data'!$A:$M,9,0))</f>
        <v/>
      </c>
      <c r="J29" t="str">
        <f>IF(ISNA(VLOOKUP($F29,'Raw Data'!$A:$M,10,0)),"",VLOOKUP($F29,'Raw Data'!$A:$M,10,0))</f>
        <v/>
      </c>
      <c r="K29" t="str">
        <f>IF(ISNA(VLOOKUP($F29,'Raw Data'!$A:$M,11,0)),"",VLOOKUP($F29,'Raw Data'!$A:$M,11,0))</f>
        <v/>
      </c>
      <c r="L29" t="str">
        <f>IF(ISNA(VLOOKUP($F29,'Raw Data'!$A:$M,12,0)),"",VLOOKUP($F29,'Raw Data'!$A:$M,12,0))</f>
        <v/>
      </c>
      <c r="M29" t="str">
        <f>IF(ISNA(VLOOKUP($F29,'Raw Data'!$A:$M,13,0)),"",VLOOKUP($F29,'Raw Data'!$A:$M,13,0))</f>
        <v/>
      </c>
    </row>
    <row r="30" spans="1:13" x14ac:dyDescent="0.25">
      <c r="A30" t="s">
        <v>37</v>
      </c>
      <c r="B30">
        <v>2012</v>
      </c>
      <c r="C30">
        <v>3.5</v>
      </c>
      <c r="D30" s="3">
        <v>640</v>
      </c>
      <c r="E30" s="3">
        <v>95</v>
      </c>
      <c r="F30" s="3" t="str">
        <f t="shared" si="0"/>
        <v>FGU620123.564095</v>
      </c>
      <c r="G30" t="str">
        <f>IF(ISNA(VLOOKUP($F30,'Raw Data'!$A:$M,7,0)),"",VLOOKUP($F30,'Raw Data'!$A:$M,7,0))</f>
        <v/>
      </c>
      <c r="H30" t="str">
        <f>IF(ISNA(VLOOKUP($F30,'Raw Data'!$A:$M,8,0)),"",VLOOKUP($F30,'Raw Data'!$A:$M,8,0))</f>
        <v/>
      </c>
      <c r="I30" t="str">
        <f>IF(ISNA(VLOOKUP($F30,'Raw Data'!$A:$M,9,0)),"",VLOOKUP($F30,'Raw Data'!$A:$M,9,0))</f>
        <v/>
      </c>
      <c r="J30" t="str">
        <f>IF(ISNA(VLOOKUP($F30,'Raw Data'!$A:$M,10,0)),"",VLOOKUP($F30,'Raw Data'!$A:$M,10,0))</f>
        <v/>
      </c>
      <c r="K30" t="str">
        <f>IF(ISNA(VLOOKUP($F30,'Raw Data'!$A:$M,11,0)),"",VLOOKUP($F30,'Raw Data'!$A:$M,11,0))</f>
        <v/>
      </c>
      <c r="L30" t="str">
        <f>IF(ISNA(VLOOKUP($F30,'Raw Data'!$A:$M,12,0)),"",VLOOKUP($F30,'Raw Data'!$A:$M,12,0))</f>
        <v/>
      </c>
      <c r="M30" t="str">
        <f>IF(ISNA(VLOOKUP($F30,'Raw Data'!$A:$M,13,0)),"",VLOOKUP($F30,'Raw Data'!$A:$M,13,0))</f>
        <v/>
      </c>
    </row>
    <row r="31" spans="1:13" x14ac:dyDescent="0.25">
      <c r="A31" t="s">
        <v>37</v>
      </c>
      <c r="B31">
        <v>2012</v>
      </c>
      <c r="C31">
        <v>3.5</v>
      </c>
      <c r="D31" s="3">
        <v>660</v>
      </c>
      <c r="E31" s="3">
        <v>95</v>
      </c>
      <c r="F31" s="3" t="str">
        <f t="shared" si="0"/>
        <v>FGU620123.566095</v>
      </c>
      <c r="G31" t="str">
        <f>IF(ISNA(VLOOKUP($F31,'Raw Data'!$A:$M,7,0)),"",VLOOKUP($F31,'Raw Data'!$A:$M,7,0))</f>
        <v/>
      </c>
      <c r="H31" t="str">
        <f>IF(ISNA(VLOOKUP($F31,'Raw Data'!$A:$M,8,0)),"",VLOOKUP($F31,'Raw Data'!$A:$M,8,0))</f>
        <v/>
      </c>
      <c r="I31" t="str">
        <f>IF(ISNA(VLOOKUP($F31,'Raw Data'!$A:$M,9,0)),"",VLOOKUP($F31,'Raw Data'!$A:$M,9,0))</f>
        <v/>
      </c>
      <c r="J31" t="str">
        <f>IF(ISNA(VLOOKUP($F31,'Raw Data'!$A:$M,10,0)),"",VLOOKUP($F31,'Raw Data'!$A:$M,10,0))</f>
        <v/>
      </c>
      <c r="K31" t="str">
        <f>IF(ISNA(VLOOKUP($F31,'Raw Data'!$A:$M,11,0)),"",VLOOKUP($F31,'Raw Data'!$A:$M,11,0))</f>
        <v/>
      </c>
      <c r="L31" t="str">
        <f>IF(ISNA(VLOOKUP($F31,'Raw Data'!$A:$M,12,0)),"",VLOOKUP($F31,'Raw Data'!$A:$M,12,0))</f>
        <v/>
      </c>
      <c r="M31" t="str">
        <f>IF(ISNA(VLOOKUP($F31,'Raw Data'!$A:$M,13,0)),"",VLOOKUP($F31,'Raw Data'!$A:$M,13,0))</f>
        <v/>
      </c>
    </row>
    <row r="32" spans="1:13" x14ac:dyDescent="0.25">
      <c r="A32" t="s">
        <v>37</v>
      </c>
      <c r="B32">
        <v>2012</v>
      </c>
      <c r="C32">
        <v>3.5</v>
      </c>
      <c r="D32" s="3">
        <v>680</v>
      </c>
      <c r="E32" s="3">
        <v>95</v>
      </c>
      <c r="F32" s="3" t="str">
        <f t="shared" si="0"/>
        <v>FGU620123.568095</v>
      </c>
      <c r="G32" t="str">
        <f>IF(ISNA(VLOOKUP($F32,'Raw Data'!$A:$M,7,0)),"",VLOOKUP($F32,'Raw Data'!$A:$M,7,0))</f>
        <v/>
      </c>
      <c r="H32" t="str">
        <f>IF(ISNA(VLOOKUP($F32,'Raw Data'!$A:$M,8,0)),"",VLOOKUP($F32,'Raw Data'!$A:$M,8,0))</f>
        <v/>
      </c>
      <c r="I32" t="str">
        <f>IF(ISNA(VLOOKUP($F32,'Raw Data'!$A:$M,9,0)),"",VLOOKUP($F32,'Raw Data'!$A:$M,9,0))</f>
        <v/>
      </c>
      <c r="J32" t="str">
        <f>IF(ISNA(VLOOKUP($F32,'Raw Data'!$A:$M,10,0)),"",VLOOKUP($F32,'Raw Data'!$A:$M,10,0))</f>
        <v/>
      </c>
      <c r="K32" t="str">
        <f>IF(ISNA(VLOOKUP($F32,'Raw Data'!$A:$M,11,0)),"",VLOOKUP($F32,'Raw Data'!$A:$M,11,0))</f>
        <v/>
      </c>
      <c r="L32" t="str">
        <f>IF(ISNA(VLOOKUP($F32,'Raw Data'!$A:$M,12,0)),"",VLOOKUP($F32,'Raw Data'!$A:$M,12,0))</f>
        <v/>
      </c>
      <c r="M32" t="str">
        <f>IF(ISNA(VLOOKUP($F32,'Raw Data'!$A:$M,13,0)),"",VLOOKUP($F32,'Raw Data'!$A:$M,13,0))</f>
        <v/>
      </c>
    </row>
    <row r="33" spans="1:13" x14ac:dyDescent="0.25">
      <c r="A33" t="s">
        <v>37</v>
      </c>
      <c r="B33">
        <v>2012</v>
      </c>
      <c r="C33">
        <v>3.5</v>
      </c>
      <c r="D33" s="3">
        <v>700</v>
      </c>
      <c r="E33" s="3">
        <v>95</v>
      </c>
      <c r="F33" s="3" t="str">
        <f t="shared" si="0"/>
        <v>FGU620123.570095</v>
      </c>
      <c r="G33" t="str">
        <f>IF(ISNA(VLOOKUP($F33,'Raw Data'!$A:$M,7,0)),"",VLOOKUP($F33,'Raw Data'!$A:$M,7,0))</f>
        <v/>
      </c>
      <c r="H33" t="str">
        <f>IF(ISNA(VLOOKUP($F33,'Raw Data'!$A:$M,8,0)),"",VLOOKUP($F33,'Raw Data'!$A:$M,8,0))</f>
        <v/>
      </c>
      <c r="I33" t="str">
        <f>IF(ISNA(VLOOKUP($F33,'Raw Data'!$A:$M,9,0)),"",VLOOKUP($F33,'Raw Data'!$A:$M,9,0))</f>
        <v/>
      </c>
      <c r="J33" t="str">
        <f>IF(ISNA(VLOOKUP($F33,'Raw Data'!$A:$M,10,0)),"",VLOOKUP($F33,'Raw Data'!$A:$M,10,0))</f>
        <v/>
      </c>
      <c r="K33" t="str">
        <f>IF(ISNA(VLOOKUP($F33,'Raw Data'!$A:$M,11,0)),"",VLOOKUP($F33,'Raw Data'!$A:$M,11,0))</f>
        <v/>
      </c>
      <c r="L33" t="str">
        <f>IF(ISNA(VLOOKUP($F33,'Raw Data'!$A:$M,12,0)),"",VLOOKUP($F33,'Raw Data'!$A:$M,12,0))</f>
        <v/>
      </c>
      <c r="M33" t="str">
        <f>IF(ISNA(VLOOKUP($F33,'Raw Data'!$A:$M,13,0)),"",VLOOKUP($F33,'Raw Data'!$A:$M,13,0))</f>
        <v/>
      </c>
    </row>
    <row r="34" spans="1:13" x14ac:dyDescent="0.25">
      <c r="A34" t="s">
        <v>37</v>
      </c>
      <c r="B34">
        <v>2012</v>
      </c>
      <c r="C34">
        <v>3.5</v>
      </c>
      <c r="D34" s="3">
        <v>720</v>
      </c>
      <c r="E34" s="3">
        <v>95</v>
      </c>
      <c r="F34" s="3" t="str">
        <f t="shared" si="0"/>
        <v>FGU620123.572095</v>
      </c>
      <c r="G34" t="str">
        <f>IF(ISNA(VLOOKUP($F34,'Raw Data'!$A:$M,7,0)),"",VLOOKUP($F34,'Raw Data'!$A:$M,7,0))</f>
        <v/>
      </c>
      <c r="H34" t="str">
        <f>IF(ISNA(VLOOKUP($F34,'Raw Data'!$A:$M,8,0)),"",VLOOKUP($F34,'Raw Data'!$A:$M,8,0))</f>
        <v/>
      </c>
      <c r="I34" t="str">
        <f>IF(ISNA(VLOOKUP($F34,'Raw Data'!$A:$M,9,0)),"",VLOOKUP($F34,'Raw Data'!$A:$M,9,0))</f>
        <v/>
      </c>
      <c r="J34" t="str">
        <f>IF(ISNA(VLOOKUP($F34,'Raw Data'!$A:$M,10,0)),"",VLOOKUP($F34,'Raw Data'!$A:$M,10,0))</f>
        <v/>
      </c>
      <c r="K34" t="str">
        <f>IF(ISNA(VLOOKUP($F34,'Raw Data'!$A:$M,11,0)),"",VLOOKUP($F34,'Raw Data'!$A:$M,11,0))</f>
        <v/>
      </c>
      <c r="L34" t="str">
        <f>IF(ISNA(VLOOKUP($F34,'Raw Data'!$A:$M,12,0)),"",VLOOKUP($F34,'Raw Data'!$A:$M,12,0))</f>
        <v/>
      </c>
      <c r="M34" t="str">
        <f>IF(ISNA(VLOOKUP($F34,'Raw Data'!$A:$M,13,0)),"",VLOOKUP($F34,'Raw Data'!$A:$M,13,0))</f>
        <v/>
      </c>
    </row>
    <row r="35" spans="1:13" x14ac:dyDescent="0.25">
      <c r="A35" t="s">
        <v>37</v>
      </c>
      <c r="B35">
        <v>2012</v>
      </c>
      <c r="C35">
        <v>3.5</v>
      </c>
      <c r="D35" s="3">
        <v>740</v>
      </c>
      <c r="E35" s="3">
        <v>95</v>
      </c>
      <c r="F35" s="3" t="str">
        <f t="shared" si="0"/>
        <v>FGU620123.574095</v>
      </c>
      <c r="G35" t="str">
        <f>IF(ISNA(VLOOKUP($F35,'Raw Data'!$A:$M,7,0)),"",VLOOKUP($F35,'Raw Data'!$A:$M,7,0))</f>
        <v/>
      </c>
      <c r="H35" t="str">
        <f>IF(ISNA(VLOOKUP($F35,'Raw Data'!$A:$M,8,0)),"",VLOOKUP($F35,'Raw Data'!$A:$M,8,0))</f>
        <v/>
      </c>
      <c r="I35" t="str">
        <f>IF(ISNA(VLOOKUP($F35,'Raw Data'!$A:$M,9,0)),"",VLOOKUP($F35,'Raw Data'!$A:$M,9,0))</f>
        <v/>
      </c>
      <c r="J35" t="str">
        <f>IF(ISNA(VLOOKUP($F35,'Raw Data'!$A:$M,10,0)),"",VLOOKUP($F35,'Raw Data'!$A:$M,10,0))</f>
        <v/>
      </c>
      <c r="K35" t="str">
        <f>IF(ISNA(VLOOKUP($F35,'Raw Data'!$A:$M,11,0)),"",VLOOKUP($F35,'Raw Data'!$A:$M,11,0))</f>
        <v/>
      </c>
      <c r="L35" t="str">
        <f>IF(ISNA(VLOOKUP($F35,'Raw Data'!$A:$M,12,0)),"",VLOOKUP($F35,'Raw Data'!$A:$M,12,0))</f>
        <v/>
      </c>
      <c r="M35" t="str">
        <f>IF(ISNA(VLOOKUP($F35,'Raw Data'!$A:$M,13,0)),"",VLOOKUP($F35,'Raw Data'!$A:$M,13,0))</f>
        <v/>
      </c>
    </row>
    <row r="36" spans="1:13" x14ac:dyDescent="0.25">
      <c r="A36" t="s">
        <v>37</v>
      </c>
      <c r="B36">
        <v>2012</v>
      </c>
      <c r="C36">
        <v>3.5</v>
      </c>
      <c r="D36" s="3">
        <v>760</v>
      </c>
      <c r="E36" s="3">
        <v>95</v>
      </c>
      <c r="F36" s="3" t="str">
        <f t="shared" si="0"/>
        <v>FGU620123.576095</v>
      </c>
      <c r="G36" t="str">
        <f>IF(ISNA(VLOOKUP($F36,'Raw Data'!$A:$M,7,0)),"",VLOOKUP($F36,'Raw Data'!$A:$M,7,0))</f>
        <v/>
      </c>
      <c r="H36" t="str">
        <f>IF(ISNA(VLOOKUP($F36,'Raw Data'!$A:$M,8,0)),"",VLOOKUP($F36,'Raw Data'!$A:$M,8,0))</f>
        <v/>
      </c>
      <c r="I36" t="str">
        <f>IF(ISNA(VLOOKUP($F36,'Raw Data'!$A:$M,9,0)),"",VLOOKUP($F36,'Raw Data'!$A:$M,9,0))</f>
        <v/>
      </c>
      <c r="J36" t="str">
        <f>IF(ISNA(VLOOKUP($F36,'Raw Data'!$A:$M,10,0)),"",VLOOKUP($F36,'Raw Data'!$A:$M,10,0))</f>
        <v/>
      </c>
      <c r="K36" t="str">
        <f>IF(ISNA(VLOOKUP($F36,'Raw Data'!$A:$M,11,0)),"",VLOOKUP($F36,'Raw Data'!$A:$M,11,0))</f>
        <v/>
      </c>
      <c r="L36" t="str">
        <f>IF(ISNA(VLOOKUP($F36,'Raw Data'!$A:$M,12,0)),"",VLOOKUP($F36,'Raw Data'!$A:$M,12,0))</f>
        <v/>
      </c>
      <c r="M36" t="str">
        <f>IF(ISNA(VLOOKUP($F36,'Raw Data'!$A:$M,13,0)),"",VLOOKUP($F36,'Raw Data'!$A:$M,13,0))</f>
        <v/>
      </c>
    </row>
    <row r="37" spans="1:13" x14ac:dyDescent="0.25">
      <c r="A37" t="s">
        <v>37</v>
      </c>
      <c r="B37">
        <v>2012</v>
      </c>
      <c r="C37">
        <v>3.5</v>
      </c>
      <c r="D37" s="3">
        <v>780</v>
      </c>
      <c r="E37" s="3">
        <v>95</v>
      </c>
      <c r="F37" s="3" t="str">
        <f t="shared" si="0"/>
        <v>FGU620123.578095</v>
      </c>
      <c r="G37" t="str">
        <f>IF(ISNA(VLOOKUP($F37,'Raw Data'!$A:$M,7,0)),"",VLOOKUP($F37,'Raw Data'!$A:$M,7,0))</f>
        <v/>
      </c>
      <c r="H37" t="str">
        <f>IF(ISNA(VLOOKUP($F37,'Raw Data'!$A:$M,8,0)),"",VLOOKUP($F37,'Raw Data'!$A:$M,8,0))</f>
        <v/>
      </c>
      <c r="I37" t="str">
        <f>IF(ISNA(VLOOKUP($F37,'Raw Data'!$A:$M,9,0)),"",VLOOKUP($F37,'Raw Data'!$A:$M,9,0))</f>
        <v/>
      </c>
      <c r="J37" t="str">
        <f>IF(ISNA(VLOOKUP($F37,'Raw Data'!$A:$M,10,0)),"",VLOOKUP($F37,'Raw Data'!$A:$M,10,0))</f>
        <v/>
      </c>
      <c r="K37" t="str">
        <f>IF(ISNA(VLOOKUP($F37,'Raw Data'!$A:$M,11,0)),"",VLOOKUP($F37,'Raw Data'!$A:$M,11,0))</f>
        <v/>
      </c>
      <c r="L37" t="str">
        <f>IF(ISNA(VLOOKUP($F37,'Raw Data'!$A:$M,12,0)),"",VLOOKUP($F37,'Raw Data'!$A:$M,12,0))</f>
        <v/>
      </c>
      <c r="M37" t="str">
        <f>IF(ISNA(VLOOKUP($F37,'Raw Data'!$A:$M,13,0)),"",VLOOKUP($F37,'Raw Data'!$A:$M,13,0))</f>
        <v/>
      </c>
    </row>
    <row r="38" spans="1:13" x14ac:dyDescent="0.25">
      <c r="A38" t="s">
        <v>37</v>
      </c>
      <c r="B38">
        <v>2012</v>
      </c>
      <c r="C38">
        <v>3.5</v>
      </c>
      <c r="D38" s="3">
        <v>620</v>
      </c>
      <c r="E38" s="3">
        <v>97</v>
      </c>
      <c r="F38" s="3" t="str">
        <f t="shared" si="0"/>
        <v>FGU620123.562097</v>
      </c>
      <c r="G38" t="str">
        <f>IF(ISNA(VLOOKUP($F38,'Raw Data'!$A:$M,7,0)),"",VLOOKUP($F38,'Raw Data'!$A:$M,7,0))</f>
        <v/>
      </c>
      <c r="H38" t="str">
        <f>IF(ISNA(VLOOKUP($F38,'Raw Data'!$A:$M,8,0)),"",VLOOKUP($F38,'Raw Data'!$A:$M,8,0))</f>
        <v/>
      </c>
      <c r="I38" t="str">
        <f>IF(ISNA(VLOOKUP($F38,'Raw Data'!$A:$M,9,0)),"",VLOOKUP($F38,'Raw Data'!$A:$M,9,0))</f>
        <v/>
      </c>
      <c r="J38" t="str">
        <f>IF(ISNA(VLOOKUP($F38,'Raw Data'!$A:$M,10,0)),"",VLOOKUP($F38,'Raw Data'!$A:$M,10,0))</f>
        <v/>
      </c>
      <c r="K38" t="str">
        <f>IF(ISNA(VLOOKUP($F38,'Raw Data'!$A:$M,11,0)),"",VLOOKUP($F38,'Raw Data'!$A:$M,11,0))</f>
        <v/>
      </c>
      <c r="L38" t="str">
        <f>IF(ISNA(VLOOKUP($F38,'Raw Data'!$A:$M,12,0)),"",VLOOKUP($F38,'Raw Data'!$A:$M,12,0))</f>
        <v/>
      </c>
      <c r="M38" t="str">
        <f>IF(ISNA(VLOOKUP($F38,'Raw Data'!$A:$M,13,0)),"",VLOOKUP($F38,'Raw Data'!$A:$M,13,0))</f>
        <v/>
      </c>
    </row>
    <row r="39" spans="1:13" x14ac:dyDescent="0.25">
      <c r="A39" t="s">
        <v>37</v>
      </c>
      <c r="B39">
        <v>2012</v>
      </c>
      <c r="C39">
        <v>3.5</v>
      </c>
      <c r="D39" s="3">
        <v>640</v>
      </c>
      <c r="E39" s="3">
        <v>97</v>
      </c>
      <c r="F39" s="3" t="str">
        <f t="shared" si="0"/>
        <v>FGU620123.564097</v>
      </c>
      <c r="G39" t="str">
        <f>IF(ISNA(VLOOKUP($F39,'Raw Data'!$A:$M,7,0)),"",VLOOKUP($F39,'Raw Data'!$A:$M,7,0))</f>
        <v/>
      </c>
      <c r="H39" t="str">
        <f>IF(ISNA(VLOOKUP($F39,'Raw Data'!$A:$M,8,0)),"",VLOOKUP($F39,'Raw Data'!$A:$M,8,0))</f>
        <v/>
      </c>
      <c r="I39" t="str">
        <f>IF(ISNA(VLOOKUP($F39,'Raw Data'!$A:$M,9,0)),"",VLOOKUP($F39,'Raw Data'!$A:$M,9,0))</f>
        <v/>
      </c>
      <c r="J39" t="str">
        <f>IF(ISNA(VLOOKUP($F39,'Raw Data'!$A:$M,10,0)),"",VLOOKUP($F39,'Raw Data'!$A:$M,10,0))</f>
        <v/>
      </c>
      <c r="K39" t="str">
        <f>IF(ISNA(VLOOKUP($F39,'Raw Data'!$A:$M,11,0)),"",VLOOKUP($F39,'Raw Data'!$A:$M,11,0))</f>
        <v/>
      </c>
      <c r="L39" t="str">
        <f>IF(ISNA(VLOOKUP($F39,'Raw Data'!$A:$M,12,0)),"",VLOOKUP($F39,'Raw Data'!$A:$M,12,0))</f>
        <v/>
      </c>
      <c r="M39" t="str">
        <f>IF(ISNA(VLOOKUP($F39,'Raw Data'!$A:$M,13,0)),"",VLOOKUP($F39,'Raw Data'!$A:$M,13,0))</f>
        <v/>
      </c>
    </row>
    <row r="40" spans="1:13" x14ac:dyDescent="0.25">
      <c r="A40" t="s">
        <v>37</v>
      </c>
      <c r="B40">
        <v>2012</v>
      </c>
      <c r="C40">
        <v>3.5</v>
      </c>
      <c r="D40" s="3">
        <v>660</v>
      </c>
      <c r="E40" s="3">
        <v>97</v>
      </c>
      <c r="F40" s="3" t="str">
        <f t="shared" si="0"/>
        <v>FGU620123.566097</v>
      </c>
      <c r="G40" t="str">
        <f>IF(ISNA(VLOOKUP($F40,'Raw Data'!$A:$M,7,0)),"",VLOOKUP($F40,'Raw Data'!$A:$M,7,0))</f>
        <v/>
      </c>
      <c r="H40" t="str">
        <f>IF(ISNA(VLOOKUP($F40,'Raw Data'!$A:$M,8,0)),"",VLOOKUP($F40,'Raw Data'!$A:$M,8,0))</f>
        <v/>
      </c>
      <c r="I40" t="str">
        <f>IF(ISNA(VLOOKUP($F40,'Raw Data'!$A:$M,9,0)),"",VLOOKUP($F40,'Raw Data'!$A:$M,9,0))</f>
        <v/>
      </c>
      <c r="J40" t="str">
        <f>IF(ISNA(VLOOKUP($F40,'Raw Data'!$A:$M,10,0)),"",VLOOKUP($F40,'Raw Data'!$A:$M,10,0))</f>
        <v/>
      </c>
      <c r="K40" t="str">
        <f>IF(ISNA(VLOOKUP($F40,'Raw Data'!$A:$M,11,0)),"",VLOOKUP($F40,'Raw Data'!$A:$M,11,0))</f>
        <v/>
      </c>
      <c r="L40" t="str">
        <f>IF(ISNA(VLOOKUP($F40,'Raw Data'!$A:$M,12,0)),"",VLOOKUP($F40,'Raw Data'!$A:$M,12,0))</f>
        <v/>
      </c>
      <c r="M40" t="str">
        <f>IF(ISNA(VLOOKUP($F40,'Raw Data'!$A:$M,13,0)),"",VLOOKUP($F40,'Raw Data'!$A:$M,13,0))</f>
        <v/>
      </c>
    </row>
    <row r="41" spans="1:13" x14ac:dyDescent="0.25">
      <c r="A41" t="s">
        <v>37</v>
      </c>
      <c r="B41">
        <v>2012</v>
      </c>
      <c r="C41">
        <v>3.5</v>
      </c>
      <c r="D41" s="3">
        <v>680</v>
      </c>
      <c r="E41" s="3">
        <v>97</v>
      </c>
      <c r="F41" s="3" t="str">
        <f t="shared" si="0"/>
        <v>FGU620123.568097</v>
      </c>
      <c r="G41" t="str">
        <f>IF(ISNA(VLOOKUP($F41,'Raw Data'!$A:$M,7,0)),"",VLOOKUP($F41,'Raw Data'!$A:$M,7,0))</f>
        <v/>
      </c>
      <c r="H41" t="str">
        <f>IF(ISNA(VLOOKUP($F41,'Raw Data'!$A:$M,8,0)),"",VLOOKUP($F41,'Raw Data'!$A:$M,8,0))</f>
        <v/>
      </c>
      <c r="I41" t="str">
        <f>IF(ISNA(VLOOKUP($F41,'Raw Data'!$A:$M,9,0)),"",VLOOKUP($F41,'Raw Data'!$A:$M,9,0))</f>
        <v/>
      </c>
      <c r="J41" t="str">
        <f>IF(ISNA(VLOOKUP($F41,'Raw Data'!$A:$M,10,0)),"",VLOOKUP($F41,'Raw Data'!$A:$M,10,0))</f>
        <v/>
      </c>
      <c r="K41" t="str">
        <f>IF(ISNA(VLOOKUP($F41,'Raw Data'!$A:$M,11,0)),"",VLOOKUP($F41,'Raw Data'!$A:$M,11,0))</f>
        <v/>
      </c>
      <c r="L41" t="str">
        <f>IF(ISNA(VLOOKUP($F41,'Raw Data'!$A:$M,12,0)),"",VLOOKUP($F41,'Raw Data'!$A:$M,12,0))</f>
        <v/>
      </c>
      <c r="M41" t="str">
        <f>IF(ISNA(VLOOKUP($F41,'Raw Data'!$A:$M,13,0)),"",VLOOKUP($F41,'Raw Data'!$A:$M,13,0))</f>
        <v/>
      </c>
    </row>
    <row r="42" spans="1:13" x14ac:dyDescent="0.25">
      <c r="A42" t="s">
        <v>37</v>
      </c>
      <c r="B42">
        <v>2012</v>
      </c>
      <c r="C42">
        <v>3.5</v>
      </c>
      <c r="D42" s="3">
        <v>700</v>
      </c>
      <c r="E42" s="3">
        <v>97</v>
      </c>
      <c r="F42" s="3" t="str">
        <f t="shared" si="0"/>
        <v>FGU620123.570097</v>
      </c>
      <c r="G42" t="str">
        <f>IF(ISNA(VLOOKUP($F42,'Raw Data'!$A:$M,7,0)),"",VLOOKUP($F42,'Raw Data'!$A:$M,7,0))</f>
        <v/>
      </c>
      <c r="H42" t="str">
        <f>IF(ISNA(VLOOKUP($F42,'Raw Data'!$A:$M,8,0)),"",VLOOKUP($F42,'Raw Data'!$A:$M,8,0))</f>
        <v/>
      </c>
      <c r="I42" t="str">
        <f>IF(ISNA(VLOOKUP($F42,'Raw Data'!$A:$M,9,0)),"",VLOOKUP($F42,'Raw Data'!$A:$M,9,0))</f>
        <v/>
      </c>
      <c r="J42" t="str">
        <f>IF(ISNA(VLOOKUP($F42,'Raw Data'!$A:$M,10,0)),"",VLOOKUP($F42,'Raw Data'!$A:$M,10,0))</f>
        <v/>
      </c>
      <c r="K42" t="str">
        <f>IF(ISNA(VLOOKUP($F42,'Raw Data'!$A:$M,11,0)),"",VLOOKUP($F42,'Raw Data'!$A:$M,11,0))</f>
        <v/>
      </c>
      <c r="L42" t="str">
        <f>IF(ISNA(VLOOKUP($F42,'Raw Data'!$A:$M,12,0)),"",VLOOKUP($F42,'Raw Data'!$A:$M,12,0))</f>
        <v/>
      </c>
      <c r="M42" t="str">
        <f>IF(ISNA(VLOOKUP($F42,'Raw Data'!$A:$M,13,0)),"",VLOOKUP($F42,'Raw Data'!$A:$M,13,0))</f>
        <v/>
      </c>
    </row>
    <row r="43" spans="1:13" x14ac:dyDescent="0.25">
      <c r="A43" t="s">
        <v>37</v>
      </c>
      <c r="B43">
        <v>2012</v>
      </c>
      <c r="C43">
        <v>3.5</v>
      </c>
      <c r="D43" s="3">
        <v>720</v>
      </c>
      <c r="E43" s="3">
        <v>97</v>
      </c>
      <c r="F43" s="3" t="str">
        <f t="shared" si="0"/>
        <v>FGU620123.572097</v>
      </c>
      <c r="G43" t="str">
        <f>IF(ISNA(VLOOKUP($F43,'Raw Data'!$A:$M,7,0)),"",VLOOKUP($F43,'Raw Data'!$A:$M,7,0))</f>
        <v/>
      </c>
      <c r="H43" t="str">
        <f>IF(ISNA(VLOOKUP($F43,'Raw Data'!$A:$M,8,0)),"",VLOOKUP($F43,'Raw Data'!$A:$M,8,0))</f>
        <v/>
      </c>
      <c r="I43" t="str">
        <f>IF(ISNA(VLOOKUP($F43,'Raw Data'!$A:$M,9,0)),"",VLOOKUP($F43,'Raw Data'!$A:$M,9,0))</f>
        <v/>
      </c>
      <c r="J43" t="str">
        <f>IF(ISNA(VLOOKUP($F43,'Raw Data'!$A:$M,10,0)),"",VLOOKUP($F43,'Raw Data'!$A:$M,10,0))</f>
        <v/>
      </c>
      <c r="K43" t="str">
        <f>IF(ISNA(VLOOKUP($F43,'Raw Data'!$A:$M,11,0)),"",VLOOKUP($F43,'Raw Data'!$A:$M,11,0))</f>
        <v/>
      </c>
      <c r="L43" t="str">
        <f>IF(ISNA(VLOOKUP($F43,'Raw Data'!$A:$M,12,0)),"",VLOOKUP($F43,'Raw Data'!$A:$M,12,0))</f>
        <v/>
      </c>
      <c r="M43" t="str">
        <f>IF(ISNA(VLOOKUP($F43,'Raw Data'!$A:$M,13,0)),"",VLOOKUP($F43,'Raw Data'!$A:$M,13,0))</f>
        <v/>
      </c>
    </row>
    <row r="44" spans="1:13" x14ac:dyDescent="0.25">
      <c r="A44" t="s">
        <v>37</v>
      </c>
      <c r="B44">
        <v>2012</v>
      </c>
      <c r="C44">
        <v>3.5</v>
      </c>
      <c r="D44" s="3">
        <v>740</v>
      </c>
      <c r="E44" s="3">
        <v>97</v>
      </c>
      <c r="F44" s="3" t="str">
        <f t="shared" si="0"/>
        <v>FGU620123.574097</v>
      </c>
      <c r="G44" t="str">
        <f>IF(ISNA(VLOOKUP($F44,'Raw Data'!$A:$M,7,0)),"",VLOOKUP($F44,'Raw Data'!$A:$M,7,0))</f>
        <v/>
      </c>
      <c r="H44" t="str">
        <f>IF(ISNA(VLOOKUP($F44,'Raw Data'!$A:$M,8,0)),"",VLOOKUP($F44,'Raw Data'!$A:$M,8,0))</f>
        <v/>
      </c>
      <c r="I44" t="str">
        <f>IF(ISNA(VLOOKUP($F44,'Raw Data'!$A:$M,9,0)),"",VLOOKUP($F44,'Raw Data'!$A:$M,9,0))</f>
        <v/>
      </c>
      <c r="J44" t="str">
        <f>IF(ISNA(VLOOKUP($F44,'Raw Data'!$A:$M,10,0)),"",VLOOKUP($F44,'Raw Data'!$A:$M,10,0))</f>
        <v/>
      </c>
      <c r="K44" t="str">
        <f>IF(ISNA(VLOOKUP($F44,'Raw Data'!$A:$M,11,0)),"",VLOOKUP($F44,'Raw Data'!$A:$M,11,0))</f>
        <v/>
      </c>
      <c r="L44" t="str">
        <f>IF(ISNA(VLOOKUP($F44,'Raw Data'!$A:$M,12,0)),"",VLOOKUP($F44,'Raw Data'!$A:$M,12,0))</f>
        <v/>
      </c>
      <c r="M44" t="str">
        <f>IF(ISNA(VLOOKUP($F44,'Raw Data'!$A:$M,13,0)),"",VLOOKUP($F44,'Raw Data'!$A:$M,13,0))</f>
        <v/>
      </c>
    </row>
    <row r="45" spans="1:13" x14ac:dyDescent="0.25">
      <c r="A45" t="s">
        <v>37</v>
      </c>
      <c r="B45">
        <v>2012</v>
      </c>
      <c r="C45">
        <v>3.5</v>
      </c>
      <c r="D45" s="3">
        <v>760</v>
      </c>
      <c r="E45" s="3">
        <v>97</v>
      </c>
      <c r="F45" s="3" t="str">
        <f t="shared" si="0"/>
        <v>FGU620123.576097</v>
      </c>
      <c r="G45" t="str">
        <f>IF(ISNA(VLOOKUP($F45,'Raw Data'!$A:$M,7,0)),"",VLOOKUP($F45,'Raw Data'!$A:$M,7,0))</f>
        <v/>
      </c>
      <c r="H45" t="str">
        <f>IF(ISNA(VLOOKUP($F45,'Raw Data'!$A:$M,8,0)),"",VLOOKUP($F45,'Raw Data'!$A:$M,8,0))</f>
        <v/>
      </c>
      <c r="I45" t="str">
        <f>IF(ISNA(VLOOKUP($F45,'Raw Data'!$A:$M,9,0)),"",VLOOKUP($F45,'Raw Data'!$A:$M,9,0))</f>
        <v/>
      </c>
      <c r="J45" t="str">
        <f>IF(ISNA(VLOOKUP($F45,'Raw Data'!$A:$M,10,0)),"",VLOOKUP($F45,'Raw Data'!$A:$M,10,0))</f>
        <v/>
      </c>
      <c r="K45" t="str">
        <f>IF(ISNA(VLOOKUP($F45,'Raw Data'!$A:$M,11,0)),"",VLOOKUP($F45,'Raw Data'!$A:$M,11,0))</f>
        <v/>
      </c>
      <c r="L45" t="str">
        <f>IF(ISNA(VLOOKUP($F45,'Raw Data'!$A:$M,12,0)),"",VLOOKUP($F45,'Raw Data'!$A:$M,12,0))</f>
        <v/>
      </c>
      <c r="M45" t="str">
        <f>IF(ISNA(VLOOKUP($F45,'Raw Data'!$A:$M,13,0)),"",VLOOKUP($F45,'Raw Data'!$A:$M,13,0))</f>
        <v/>
      </c>
    </row>
    <row r="46" spans="1:13" x14ac:dyDescent="0.25">
      <c r="A46" t="s">
        <v>37</v>
      </c>
      <c r="B46">
        <v>2012</v>
      </c>
      <c r="C46">
        <v>3.5</v>
      </c>
      <c r="D46" s="3">
        <v>780</v>
      </c>
      <c r="E46" s="3">
        <v>97</v>
      </c>
      <c r="F46" s="3" t="str">
        <f t="shared" si="0"/>
        <v>FGU620123.578097</v>
      </c>
      <c r="G46" t="str">
        <f>IF(ISNA(VLOOKUP($F46,'Raw Data'!$A:$M,7,0)),"",VLOOKUP($F46,'Raw Data'!$A:$M,7,0))</f>
        <v/>
      </c>
      <c r="H46" t="str">
        <f>IF(ISNA(VLOOKUP($F46,'Raw Data'!$A:$M,8,0)),"",VLOOKUP($F46,'Raw Data'!$A:$M,8,0))</f>
        <v/>
      </c>
      <c r="I46" t="str">
        <f>IF(ISNA(VLOOKUP($F46,'Raw Data'!$A:$M,9,0)),"",VLOOKUP($F46,'Raw Data'!$A:$M,9,0))</f>
        <v/>
      </c>
      <c r="J46" t="str">
        <f>IF(ISNA(VLOOKUP($F46,'Raw Data'!$A:$M,10,0)),"",VLOOKUP($F46,'Raw Data'!$A:$M,10,0))</f>
        <v/>
      </c>
      <c r="K46" t="str">
        <f>IF(ISNA(VLOOKUP($F46,'Raw Data'!$A:$M,11,0)),"",VLOOKUP($F46,'Raw Data'!$A:$M,11,0))</f>
        <v/>
      </c>
      <c r="L46" t="str">
        <f>IF(ISNA(VLOOKUP($F46,'Raw Data'!$A:$M,12,0)),"",VLOOKUP($F46,'Raw Data'!$A:$M,12,0))</f>
        <v/>
      </c>
      <c r="M46" t="str">
        <f>IF(ISNA(VLOOKUP($F46,'Raw Data'!$A:$M,13,0)),"",VLOOKUP($F46,'Raw Data'!$A:$M,13,0))</f>
        <v/>
      </c>
    </row>
    <row r="47" spans="1:13" x14ac:dyDescent="0.25">
      <c r="A47" t="s">
        <v>37</v>
      </c>
      <c r="B47">
        <v>2012</v>
      </c>
      <c r="C47">
        <v>3.5</v>
      </c>
      <c r="D47" s="3">
        <v>620</v>
      </c>
      <c r="E47" s="3">
        <v>100</v>
      </c>
      <c r="F47" s="3" t="str">
        <f t="shared" si="0"/>
        <v>FGU620123.5620100</v>
      </c>
      <c r="G47" t="str">
        <f>IF(ISNA(VLOOKUP($F47,'Raw Data'!$A:$M,7,0)),"",VLOOKUP($F47,'Raw Data'!$A:$M,7,0))</f>
        <v/>
      </c>
      <c r="H47" t="str">
        <f>IF(ISNA(VLOOKUP($F47,'Raw Data'!$A:$M,8,0)),"",VLOOKUP($F47,'Raw Data'!$A:$M,8,0))</f>
        <v/>
      </c>
      <c r="I47" t="str">
        <f>IF(ISNA(VLOOKUP($F47,'Raw Data'!$A:$M,9,0)),"",VLOOKUP($F47,'Raw Data'!$A:$M,9,0))</f>
        <v/>
      </c>
      <c r="J47" t="str">
        <f>IF(ISNA(VLOOKUP($F47,'Raw Data'!$A:$M,10,0)),"",VLOOKUP($F47,'Raw Data'!$A:$M,10,0))</f>
        <v/>
      </c>
      <c r="K47" t="str">
        <f>IF(ISNA(VLOOKUP($F47,'Raw Data'!$A:$M,11,0)),"",VLOOKUP($F47,'Raw Data'!$A:$M,11,0))</f>
        <v/>
      </c>
      <c r="L47" t="str">
        <f>IF(ISNA(VLOOKUP($F47,'Raw Data'!$A:$M,12,0)),"",VLOOKUP($F47,'Raw Data'!$A:$M,12,0))</f>
        <v/>
      </c>
      <c r="M47" t="str">
        <f>IF(ISNA(VLOOKUP($F47,'Raw Data'!$A:$M,13,0)),"",VLOOKUP($F47,'Raw Data'!$A:$M,13,0))</f>
        <v/>
      </c>
    </row>
    <row r="48" spans="1:13" x14ac:dyDescent="0.25">
      <c r="A48" t="s">
        <v>37</v>
      </c>
      <c r="B48">
        <v>2012</v>
      </c>
      <c r="C48">
        <v>3.5</v>
      </c>
      <c r="D48" s="3">
        <v>640</v>
      </c>
      <c r="E48" s="3">
        <v>100</v>
      </c>
      <c r="F48" s="3" t="str">
        <f t="shared" si="0"/>
        <v>FGU620123.5640100</v>
      </c>
      <c r="G48" t="str">
        <f>IF(ISNA(VLOOKUP($F48,'Raw Data'!$A:$M,7,0)),"",VLOOKUP($F48,'Raw Data'!$A:$M,7,0))</f>
        <v/>
      </c>
      <c r="H48" t="str">
        <f>IF(ISNA(VLOOKUP($F48,'Raw Data'!$A:$M,8,0)),"",VLOOKUP($F48,'Raw Data'!$A:$M,8,0))</f>
        <v/>
      </c>
      <c r="I48" t="str">
        <f>IF(ISNA(VLOOKUP($F48,'Raw Data'!$A:$M,9,0)),"",VLOOKUP($F48,'Raw Data'!$A:$M,9,0))</f>
        <v/>
      </c>
      <c r="J48" t="str">
        <f>IF(ISNA(VLOOKUP($F48,'Raw Data'!$A:$M,10,0)),"",VLOOKUP($F48,'Raw Data'!$A:$M,10,0))</f>
        <v/>
      </c>
      <c r="K48" t="str">
        <f>IF(ISNA(VLOOKUP($F48,'Raw Data'!$A:$M,11,0)),"",VLOOKUP($F48,'Raw Data'!$A:$M,11,0))</f>
        <v/>
      </c>
      <c r="L48" t="str">
        <f>IF(ISNA(VLOOKUP($F48,'Raw Data'!$A:$M,12,0)),"",VLOOKUP($F48,'Raw Data'!$A:$M,12,0))</f>
        <v/>
      </c>
      <c r="M48" t="str">
        <f>IF(ISNA(VLOOKUP($F48,'Raw Data'!$A:$M,13,0)),"",VLOOKUP($F48,'Raw Data'!$A:$M,13,0))</f>
        <v/>
      </c>
    </row>
    <row r="49" spans="1:13" x14ac:dyDescent="0.25">
      <c r="A49" t="s">
        <v>37</v>
      </c>
      <c r="B49">
        <v>2012</v>
      </c>
      <c r="C49">
        <v>3.5</v>
      </c>
      <c r="D49" s="3">
        <v>660</v>
      </c>
      <c r="E49" s="3">
        <v>100</v>
      </c>
      <c r="F49" s="3" t="str">
        <f t="shared" si="0"/>
        <v>FGU620123.5660100</v>
      </c>
      <c r="G49" t="str">
        <f>IF(ISNA(VLOOKUP($F49,'Raw Data'!$A:$M,7,0)),"",VLOOKUP($F49,'Raw Data'!$A:$M,7,0))</f>
        <v/>
      </c>
      <c r="H49" t="str">
        <f>IF(ISNA(VLOOKUP($F49,'Raw Data'!$A:$M,8,0)),"",VLOOKUP($F49,'Raw Data'!$A:$M,8,0))</f>
        <v/>
      </c>
      <c r="I49" t="str">
        <f>IF(ISNA(VLOOKUP($F49,'Raw Data'!$A:$M,9,0)),"",VLOOKUP($F49,'Raw Data'!$A:$M,9,0))</f>
        <v/>
      </c>
      <c r="J49" t="str">
        <f>IF(ISNA(VLOOKUP($F49,'Raw Data'!$A:$M,10,0)),"",VLOOKUP($F49,'Raw Data'!$A:$M,10,0))</f>
        <v/>
      </c>
      <c r="K49" t="str">
        <f>IF(ISNA(VLOOKUP($F49,'Raw Data'!$A:$M,11,0)),"",VLOOKUP($F49,'Raw Data'!$A:$M,11,0))</f>
        <v/>
      </c>
      <c r="L49" t="str">
        <f>IF(ISNA(VLOOKUP($F49,'Raw Data'!$A:$M,12,0)),"",VLOOKUP($F49,'Raw Data'!$A:$M,12,0))</f>
        <v/>
      </c>
      <c r="M49" t="str">
        <f>IF(ISNA(VLOOKUP($F49,'Raw Data'!$A:$M,13,0)),"",VLOOKUP($F49,'Raw Data'!$A:$M,13,0))</f>
        <v/>
      </c>
    </row>
    <row r="50" spans="1:13" x14ac:dyDescent="0.25">
      <c r="A50" t="s">
        <v>37</v>
      </c>
      <c r="B50">
        <v>2012</v>
      </c>
      <c r="C50">
        <v>3.5</v>
      </c>
      <c r="D50" s="3">
        <v>680</v>
      </c>
      <c r="E50" s="3">
        <v>100</v>
      </c>
      <c r="F50" s="3" t="str">
        <f t="shared" si="0"/>
        <v>FGU620123.5680100</v>
      </c>
      <c r="G50" t="str">
        <f>IF(ISNA(VLOOKUP($F50,'Raw Data'!$A:$M,7,0)),"",VLOOKUP($F50,'Raw Data'!$A:$M,7,0))</f>
        <v/>
      </c>
      <c r="H50" t="str">
        <f>IF(ISNA(VLOOKUP($F50,'Raw Data'!$A:$M,8,0)),"",VLOOKUP($F50,'Raw Data'!$A:$M,8,0))</f>
        <v/>
      </c>
      <c r="I50" t="str">
        <f>IF(ISNA(VLOOKUP($F50,'Raw Data'!$A:$M,9,0)),"",VLOOKUP($F50,'Raw Data'!$A:$M,9,0))</f>
        <v/>
      </c>
      <c r="J50" t="str">
        <f>IF(ISNA(VLOOKUP($F50,'Raw Data'!$A:$M,10,0)),"",VLOOKUP($F50,'Raw Data'!$A:$M,10,0))</f>
        <v/>
      </c>
      <c r="K50" t="str">
        <f>IF(ISNA(VLOOKUP($F50,'Raw Data'!$A:$M,11,0)),"",VLOOKUP($F50,'Raw Data'!$A:$M,11,0))</f>
        <v/>
      </c>
      <c r="L50" t="str">
        <f>IF(ISNA(VLOOKUP($F50,'Raw Data'!$A:$M,12,0)),"",VLOOKUP($F50,'Raw Data'!$A:$M,12,0))</f>
        <v/>
      </c>
      <c r="M50" t="str">
        <f>IF(ISNA(VLOOKUP($F50,'Raw Data'!$A:$M,13,0)),"",VLOOKUP($F50,'Raw Data'!$A:$M,13,0))</f>
        <v/>
      </c>
    </row>
    <row r="51" spans="1:13" x14ac:dyDescent="0.25">
      <c r="A51" t="s">
        <v>37</v>
      </c>
      <c r="B51">
        <v>2012</v>
      </c>
      <c r="C51">
        <v>3.5</v>
      </c>
      <c r="D51" s="3">
        <v>700</v>
      </c>
      <c r="E51" s="3">
        <v>100</v>
      </c>
      <c r="F51" s="3" t="str">
        <f t="shared" si="0"/>
        <v>FGU620123.5700100</v>
      </c>
      <c r="G51" t="str">
        <f>IF(ISNA(VLOOKUP($F51,'Raw Data'!$A:$M,7,0)),"",VLOOKUP($F51,'Raw Data'!$A:$M,7,0))</f>
        <v/>
      </c>
      <c r="H51" t="str">
        <f>IF(ISNA(VLOOKUP($F51,'Raw Data'!$A:$M,8,0)),"",VLOOKUP($F51,'Raw Data'!$A:$M,8,0))</f>
        <v/>
      </c>
      <c r="I51" t="str">
        <f>IF(ISNA(VLOOKUP($F51,'Raw Data'!$A:$M,9,0)),"",VLOOKUP($F51,'Raw Data'!$A:$M,9,0))</f>
        <v/>
      </c>
      <c r="J51" t="str">
        <f>IF(ISNA(VLOOKUP($F51,'Raw Data'!$A:$M,10,0)),"",VLOOKUP($F51,'Raw Data'!$A:$M,10,0))</f>
        <v/>
      </c>
      <c r="K51" t="str">
        <f>IF(ISNA(VLOOKUP($F51,'Raw Data'!$A:$M,11,0)),"",VLOOKUP($F51,'Raw Data'!$A:$M,11,0))</f>
        <v/>
      </c>
      <c r="L51" t="str">
        <f>IF(ISNA(VLOOKUP($F51,'Raw Data'!$A:$M,12,0)),"",VLOOKUP($F51,'Raw Data'!$A:$M,12,0))</f>
        <v/>
      </c>
      <c r="M51" t="str">
        <f>IF(ISNA(VLOOKUP($F51,'Raw Data'!$A:$M,13,0)),"",VLOOKUP($F51,'Raw Data'!$A:$M,13,0))</f>
        <v/>
      </c>
    </row>
    <row r="52" spans="1:13" x14ac:dyDescent="0.25">
      <c r="A52" t="s">
        <v>37</v>
      </c>
      <c r="B52">
        <v>2012</v>
      </c>
      <c r="C52">
        <v>3.5</v>
      </c>
      <c r="D52" s="3">
        <v>720</v>
      </c>
      <c r="E52" s="3">
        <v>100</v>
      </c>
      <c r="F52" s="3" t="str">
        <f t="shared" si="0"/>
        <v>FGU620123.5720100</v>
      </c>
      <c r="G52" t="str">
        <f>IF(ISNA(VLOOKUP($F52,'Raw Data'!$A:$M,7,0)),"",VLOOKUP($F52,'Raw Data'!$A:$M,7,0))</f>
        <v/>
      </c>
      <c r="H52" t="str">
        <f>IF(ISNA(VLOOKUP($F52,'Raw Data'!$A:$M,8,0)),"",VLOOKUP($F52,'Raw Data'!$A:$M,8,0))</f>
        <v/>
      </c>
      <c r="I52" t="str">
        <f>IF(ISNA(VLOOKUP($F52,'Raw Data'!$A:$M,9,0)),"",VLOOKUP($F52,'Raw Data'!$A:$M,9,0))</f>
        <v/>
      </c>
      <c r="J52" t="str">
        <f>IF(ISNA(VLOOKUP($F52,'Raw Data'!$A:$M,10,0)),"",VLOOKUP($F52,'Raw Data'!$A:$M,10,0))</f>
        <v/>
      </c>
      <c r="K52" t="str">
        <f>IF(ISNA(VLOOKUP($F52,'Raw Data'!$A:$M,11,0)),"",VLOOKUP($F52,'Raw Data'!$A:$M,11,0))</f>
        <v/>
      </c>
      <c r="L52" t="str">
        <f>IF(ISNA(VLOOKUP($F52,'Raw Data'!$A:$M,12,0)),"",VLOOKUP($F52,'Raw Data'!$A:$M,12,0))</f>
        <v/>
      </c>
      <c r="M52" t="str">
        <f>IF(ISNA(VLOOKUP($F52,'Raw Data'!$A:$M,13,0)),"",VLOOKUP($F52,'Raw Data'!$A:$M,13,0))</f>
        <v/>
      </c>
    </row>
    <row r="53" spans="1:13" x14ac:dyDescent="0.25">
      <c r="A53" t="s">
        <v>37</v>
      </c>
      <c r="B53">
        <v>2012</v>
      </c>
      <c r="C53">
        <v>3.5</v>
      </c>
      <c r="D53" s="3">
        <v>740</v>
      </c>
      <c r="E53" s="3">
        <v>100</v>
      </c>
      <c r="F53" s="3" t="str">
        <f t="shared" si="0"/>
        <v>FGU620123.5740100</v>
      </c>
      <c r="G53" t="str">
        <f>IF(ISNA(VLOOKUP($F53,'Raw Data'!$A:$M,7,0)),"",VLOOKUP($F53,'Raw Data'!$A:$M,7,0))</f>
        <v/>
      </c>
      <c r="H53" t="str">
        <f>IF(ISNA(VLOOKUP($F53,'Raw Data'!$A:$M,8,0)),"",VLOOKUP($F53,'Raw Data'!$A:$M,8,0))</f>
        <v/>
      </c>
      <c r="I53" t="str">
        <f>IF(ISNA(VLOOKUP($F53,'Raw Data'!$A:$M,9,0)),"",VLOOKUP($F53,'Raw Data'!$A:$M,9,0))</f>
        <v/>
      </c>
      <c r="J53" t="str">
        <f>IF(ISNA(VLOOKUP($F53,'Raw Data'!$A:$M,10,0)),"",VLOOKUP($F53,'Raw Data'!$A:$M,10,0))</f>
        <v/>
      </c>
      <c r="K53" t="str">
        <f>IF(ISNA(VLOOKUP($F53,'Raw Data'!$A:$M,11,0)),"",VLOOKUP($F53,'Raw Data'!$A:$M,11,0))</f>
        <v/>
      </c>
      <c r="L53" t="str">
        <f>IF(ISNA(VLOOKUP($F53,'Raw Data'!$A:$M,12,0)),"",VLOOKUP($F53,'Raw Data'!$A:$M,12,0))</f>
        <v/>
      </c>
      <c r="M53" t="str">
        <f>IF(ISNA(VLOOKUP($F53,'Raw Data'!$A:$M,13,0)),"",VLOOKUP($F53,'Raw Data'!$A:$M,13,0))</f>
        <v/>
      </c>
    </row>
    <row r="54" spans="1:13" x14ac:dyDescent="0.25">
      <c r="A54" t="s">
        <v>37</v>
      </c>
      <c r="B54">
        <v>2012</v>
      </c>
      <c r="C54">
        <v>3.5</v>
      </c>
      <c r="D54" s="3">
        <v>760</v>
      </c>
      <c r="E54" s="3">
        <v>100</v>
      </c>
      <c r="F54" s="3" t="str">
        <f t="shared" si="0"/>
        <v>FGU620123.5760100</v>
      </c>
      <c r="G54" t="str">
        <f>IF(ISNA(VLOOKUP($F54,'Raw Data'!$A:$M,7,0)),"",VLOOKUP($F54,'Raw Data'!$A:$M,7,0))</f>
        <v/>
      </c>
      <c r="H54" t="str">
        <f>IF(ISNA(VLOOKUP($F54,'Raw Data'!$A:$M,8,0)),"",VLOOKUP($F54,'Raw Data'!$A:$M,8,0))</f>
        <v/>
      </c>
      <c r="I54" t="str">
        <f>IF(ISNA(VLOOKUP($F54,'Raw Data'!$A:$M,9,0)),"",VLOOKUP($F54,'Raw Data'!$A:$M,9,0))</f>
        <v/>
      </c>
      <c r="J54" t="str">
        <f>IF(ISNA(VLOOKUP($F54,'Raw Data'!$A:$M,10,0)),"",VLOOKUP($F54,'Raw Data'!$A:$M,10,0))</f>
        <v/>
      </c>
      <c r="K54" t="str">
        <f>IF(ISNA(VLOOKUP($F54,'Raw Data'!$A:$M,11,0)),"",VLOOKUP($F54,'Raw Data'!$A:$M,11,0))</f>
        <v/>
      </c>
      <c r="L54" t="str">
        <f>IF(ISNA(VLOOKUP($F54,'Raw Data'!$A:$M,12,0)),"",VLOOKUP($F54,'Raw Data'!$A:$M,12,0))</f>
        <v/>
      </c>
      <c r="M54" t="str">
        <f>IF(ISNA(VLOOKUP($F54,'Raw Data'!$A:$M,13,0)),"",VLOOKUP($F54,'Raw Data'!$A:$M,13,0))</f>
        <v/>
      </c>
    </row>
    <row r="55" spans="1:13" x14ac:dyDescent="0.25">
      <c r="A55" t="s">
        <v>37</v>
      </c>
      <c r="B55">
        <v>2012</v>
      </c>
      <c r="C55">
        <v>3.5</v>
      </c>
      <c r="D55" s="3">
        <v>780</v>
      </c>
      <c r="E55" s="3">
        <v>100</v>
      </c>
      <c r="F55" s="3" t="str">
        <f t="shared" si="0"/>
        <v>FGU620123.5780100</v>
      </c>
      <c r="G55" t="str">
        <f>IF(ISNA(VLOOKUP($F55,'Raw Data'!$A:$M,7,0)),"",VLOOKUP($F55,'Raw Data'!$A:$M,7,0))</f>
        <v/>
      </c>
      <c r="H55" t="str">
        <f>IF(ISNA(VLOOKUP($F55,'Raw Data'!$A:$M,8,0)),"",VLOOKUP($F55,'Raw Data'!$A:$M,8,0))</f>
        <v/>
      </c>
      <c r="I55" t="str">
        <f>IF(ISNA(VLOOKUP($F55,'Raw Data'!$A:$M,9,0)),"",VLOOKUP($F55,'Raw Data'!$A:$M,9,0))</f>
        <v/>
      </c>
      <c r="J55" t="str">
        <f>IF(ISNA(VLOOKUP($F55,'Raw Data'!$A:$M,10,0)),"",VLOOKUP($F55,'Raw Data'!$A:$M,10,0))</f>
        <v/>
      </c>
      <c r="K55" t="str">
        <f>IF(ISNA(VLOOKUP($F55,'Raw Data'!$A:$M,11,0)),"",VLOOKUP($F55,'Raw Data'!$A:$M,11,0))</f>
        <v/>
      </c>
      <c r="L55" t="str">
        <f>IF(ISNA(VLOOKUP($F55,'Raw Data'!$A:$M,12,0)),"",VLOOKUP($F55,'Raw Data'!$A:$M,12,0))</f>
        <v/>
      </c>
      <c r="M55" t="str">
        <f>IF(ISNA(VLOOKUP($F55,'Raw Data'!$A:$M,13,0)),"",VLOOKUP($F55,'Raw Data'!$A:$M,13,0))</f>
        <v/>
      </c>
    </row>
    <row r="56" spans="1:13" x14ac:dyDescent="0.25">
      <c r="A56" t="s">
        <v>37</v>
      </c>
      <c r="B56">
        <v>2012</v>
      </c>
      <c r="C56">
        <v>3.5</v>
      </c>
      <c r="D56" s="3">
        <v>620</v>
      </c>
      <c r="E56" s="3" t="s">
        <v>9</v>
      </c>
      <c r="F56" s="3" t="str">
        <f t="shared" si="0"/>
        <v>FGU620123.5620100+</v>
      </c>
      <c r="G56" t="str">
        <f>IF(ISNA(VLOOKUP($F56,'Raw Data'!$A:$M,7,0)),"",VLOOKUP($F56,'Raw Data'!$A:$M,7,0))</f>
        <v/>
      </c>
      <c r="H56" t="str">
        <f>IF(ISNA(VLOOKUP($F56,'Raw Data'!$A:$M,8,0)),"",VLOOKUP($F56,'Raw Data'!$A:$M,8,0))</f>
        <v/>
      </c>
      <c r="I56" t="str">
        <f>IF(ISNA(VLOOKUP($F56,'Raw Data'!$A:$M,9,0)),"",VLOOKUP($F56,'Raw Data'!$A:$M,9,0))</f>
        <v/>
      </c>
      <c r="J56" t="str">
        <f>IF(ISNA(VLOOKUP($F56,'Raw Data'!$A:$M,10,0)),"",VLOOKUP($F56,'Raw Data'!$A:$M,10,0))</f>
        <v/>
      </c>
      <c r="K56" t="str">
        <f>IF(ISNA(VLOOKUP($F56,'Raw Data'!$A:$M,11,0)),"",VLOOKUP($F56,'Raw Data'!$A:$M,11,0))</f>
        <v/>
      </c>
      <c r="L56" t="str">
        <f>IF(ISNA(VLOOKUP($F56,'Raw Data'!$A:$M,12,0)),"",VLOOKUP($F56,'Raw Data'!$A:$M,12,0))</f>
        <v/>
      </c>
      <c r="M56" t="str">
        <f>IF(ISNA(VLOOKUP($F56,'Raw Data'!$A:$M,13,0)),"",VLOOKUP($F56,'Raw Data'!$A:$M,13,0))</f>
        <v/>
      </c>
    </row>
    <row r="57" spans="1:13" x14ac:dyDescent="0.25">
      <c r="A57" t="s">
        <v>37</v>
      </c>
      <c r="B57">
        <v>2012</v>
      </c>
      <c r="C57">
        <v>3.5</v>
      </c>
      <c r="D57" s="3">
        <v>640</v>
      </c>
      <c r="E57" s="3" t="s">
        <v>9</v>
      </c>
      <c r="F57" s="3" t="str">
        <f t="shared" si="0"/>
        <v>FGU620123.5640100+</v>
      </c>
      <c r="G57" t="str">
        <f>IF(ISNA(VLOOKUP($F57,'Raw Data'!$A:$M,7,0)),"",VLOOKUP($F57,'Raw Data'!$A:$M,7,0))</f>
        <v/>
      </c>
      <c r="H57" t="str">
        <f>IF(ISNA(VLOOKUP($F57,'Raw Data'!$A:$M,8,0)),"",VLOOKUP($F57,'Raw Data'!$A:$M,8,0))</f>
        <v/>
      </c>
      <c r="I57" t="str">
        <f>IF(ISNA(VLOOKUP($F57,'Raw Data'!$A:$M,9,0)),"",VLOOKUP($F57,'Raw Data'!$A:$M,9,0))</f>
        <v/>
      </c>
      <c r="J57" t="str">
        <f>IF(ISNA(VLOOKUP($F57,'Raw Data'!$A:$M,10,0)),"",VLOOKUP($F57,'Raw Data'!$A:$M,10,0))</f>
        <v/>
      </c>
      <c r="K57" t="str">
        <f>IF(ISNA(VLOOKUP($F57,'Raw Data'!$A:$M,11,0)),"",VLOOKUP($F57,'Raw Data'!$A:$M,11,0))</f>
        <v/>
      </c>
      <c r="L57" t="str">
        <f>IF(ISNA(VLOOKUP($F57,'Raw Data'!$A:$M,12,0)),"",VLOOKUP($F57,'Raw Data'!$A:$M,12,0))</f>
        <v/>
      </c>
      <c r="M57" t="str">
        <f>IF(ISNA(VLOOKUP($F57,'Raw Data'!$A:$M,13,0)),"",VLOOKUP($F57,'Raw Data'!$A:$M,13,0))</f>
        <v/>
      </c>
    </row>
    <row r="58" spans="1:13" x14ac:dyDescent="0.25">
      <c r="A58" t="s">
        <v>37</v>
      </c>
      <c r="B58">
        <v>2012</v>
      </c>
      <c r="C58">
        <v>3.5</v>
      </c>
      <c r="D58" s="3">
        <v>660</v>
      </c>
      <c r="E58" s="3" t="s">
        <v>9</v>
      </c>
      <c r="F58" s="3" t="str">
        <f t="shared" si="0"/>
        <v>FGU620123.5660100+</v>
      </c>
      <c r="G58" t="str">
        <f>IF(ISNA(VLOOKUP($F58,'Raw Data'!$A:$M,7,0)),"",VLOOKUP($F58,'Raw Data'!$A:$M,7,0))</f>
        <v/>
      </c>
      <c r="H58" t="str">
        <f>IF(ISNA(VLOOKUP($F58,'Raw Data'!$A:$M,8,0)),"",VLOOKUP($F58,'Raw Data'!$A:$M,8,0))</f>
        <v/>
      </c>
      <c r="I58" t="str">
        <f>IF(ISNA(VLOOKUP($F58,'Raw Data'!$A:$M,9,0)),"",VLOOKUP($F58,'Raw Data'!$A:$M,9,0))</f>
        <v/>
      </c>
      <c r="J58" t="str">
        <f>IF(ISNA(VLOOKUP($F58,'Raw Data'!$A:$M,10,0)),"",VLOOKUP($F58,'Raw Data'!$A:$M,10,0))</f>
        <v/>
      </c>
      <c r="K58" t="str">
        <f>IF(ISNA(VLOOKUP($F58,'Raw Data'!$A:$M,11,0)),"",VLOOKUP($F58,'Raw Data'!$A:$M,11,0))</f>
        <v/>
      </c>
      <c r="L58" t="str">
        <f>IF(ISNA(VLOOKUP($F58,'Raw Data'!$A:$M,12,0)),"",VLOOKUP($F58,'Raw Data'!$A:$M,12,0))</f>
        <v/>
      </c>
      <c r="M58" t="str">
        <f>IF(ISNA(VLOOKUP($F58,'Raw Data'!$A:$M,13,0)),"",VLOOKUP($F58,'Raw Data'!$A:$M,13,0))</f>
        <v/>
      </c>
    </row>
    <row r="59" spans="1:13" x14ac:dyDescent="0.25">
      <c r="A59" t="s">
        <v>37</v>
      </c>
      <c r="B59">
        <v>2012</v>
      </c>
      <c r="C59">
        <v>3.5</v>
      </c>
      <c r="D59" s="3">
        <v>680</v>
      </c>
      <c r="E59" s="3" t="s">
        <v>9</v>
      </c>
      <c r="F59" s="3" t="str">
        <f t="shared" si="0"/>
        <v>FGU620123.5680100+</v>
      </c>
      <c r="G59" t="str">
        <f>IF(ISNA(VLOOKUP($F59,'Raw Data'!$A:$M,7,0)),"",VLOOKUP($F59,'Raw Data'!$A:$M,7,0))</f>
        <v/>
      </c>
      <c r="H59" t="str">
        <f>IF(ISNA(VLOOKUP($F59,'Raw Data'!$A:$M,8,0)),"",VLOOKUP($F59,'Raw Data'!$A:$M,8,0))</f>
        <v/>
      </c>
      <c r="I59" t="str">
        <f>IF(ISNA(VLOOKUP($F59,'Raw Data'!$A:$M,9,0)),"",VLOOKUP($F59,'Raw Data'!$A:$M,9,0))</f>
        <v/>
      </c>
      <c r="J59" t="str">
        <f>IF(ISNA(VLOOKUP($F59,'Raw Data'!$A:$M,10,0)),"",VLOOKUP($F59,'Raw Data'!$A:$M,10,0))</f>
        <v/>
      </c>
      <c r="K59" t="str">
        <f>IF(ISNA(VLOOKUP($F59,'Raw Data'!$A:$M,11,0)),"",VLOOKUP($F59,'Raw Data'!$A:$M,11,0))</f>
        <v/>
      </c>
      <c r="L59" t="str">
        <f>IF(ISNA(VLOOKUP($F59,'Raw Data'!$A:$M,12,0)),"",VLOOKUP($F59,'Raw Data'!$A:$M,12,0))</f>
        <v/>
      </c>
      <c r="M59" t="str">
        <f>IF(ISNA(VLOOKUP($F59,'Raw Data'!$A:$M,13,0)),"",VLOOKUP($F59,'Raw Data'!$A:$M,13,0))</f>
        <v/>
      </c>
    </row>
    <row r="60" spans="1:13" x14ac:dyDescent="0.25">
      <c r="A60" t="s">
        <v>37</v>
      </c>
      <c r="B60">
        <v>2012</v>
      </c>
      <c r="C60">
        <v>3.5</v>
      </c>
      <c r="D60" s="3">
        <v>700</v>
      </c>
      <c r="E60" s="3" t="s">
        <v>9</v>
      </c>
      <c r="F60" s="3" t="str">
        <f t="shared" si="0"/>
        <v>FGU620123.5700100+</v>
      </c>
      <c r="G60" t="str">
        <f>IF(ISNA(VLOOKUP($F60,'Raw Data'!$A:$M,7,0)),"",VLOOKUP($F60,'Raw Data'!$A:$M,7,0))</f>
        <v/>
      </c>
      <c r="H60" t="str">
        <f>IF(ISNA(VLOOKUP($F60,'Raw Data'!$A:$M,8,0)),"",VLOOKUP($F60,'Raw Data'!$A:$M,8,0))</f>
        <v/>
      </c>
      <c r="I60" t="str">
        <f>IF(ISNA(VLOOKUP($F60,'Raw Data'!$A:$M,9,0)),"",VLOOKUP($F60,'Raw Data'!$A:$M,9,0))</f>
        <v/>
      </c>
      <c r="J60" t="str">
        <f>IF(ISNA(VLOOKUP($F60,'Raw Data'!$A:$M,10,0)),"",VLOOKUP($F60,'Raw Data'!$A:$M,10,0))</f>
        <v/>
      </c>
      <c r="K60" t="str">
        <f>IF(ISNA(VLOOKUP($F60,'Raw Data'!$A:$M,11,0)),"",VLOOKUP($F60,'Raw Data'!$A:$M,11,0))</f>
        <v/>
      </c>
      <c r="L60" t="str">
        <f>IF(ISNA(VLOOKUP($F60,'Raw Data'!$A:$M,12,0)),"",VLOOKUP($F60,'Raw Data'!$A:$M,12,0))</f>
        <v/>
      </c>
      <c r="M60" t="str">
        <f>IF(ISNA(VLOOKUP($F60,'Raw Data'!$A:$M,13,0)),"",VLOOKUP($F60,'Raw Data'!$A:$M,13,0))</f>
        <v/>
      </c>
    </row>
    <row r="61" spans="1:13" x14ac:dyDescent="0.25">
      <c r="A61" t="s">
        <v>37</v>
      </c>
      <c r="B61">
        <v>2012</v>
      </c>
      <c r="C61">
        <v>3.5</v>
      </c>
      <c r="D61" s="3">
        <v>720</v>
      </c>
      <c r="E61" s="3" t="s">
        <v>9</v>
      </c>
      <c r="F61" s="3" t="str">
        <f t="shared" si="0"/>
        <v>FGU620123.5720100+</v>
      </c>
      <c r="G61" t="str">
        <f>IF(ISNA(VLOOKUP($F61,'Raw Data'!$A:$M,7,0)),"",VLOOKUP($F61,'Raw Data'!$A:$M,7,0))</f>
        <v/>
      </c>
      <c r="H61" t="str">
        <f>IF(ISNA(VLOOKUP($F61,'Raw Data'!$A:$M,8,0)),"",VLOOKUP($F61,'Raw Data'!$A:$M,8,0))</f>
        <v/>
      </c>
      <c r="I61" t="str">
        <f>IF(ISNA(VLOOKUP($F61,'Raw Data'!$A:$M,9,0)),"",VLOOKUP($F61,'Raw Data'!$A:$M,9,0))</f>
        <v/>
      </c>
      <c r="J61" t="str">
        <f>IF(ISNA(VLOOKUP($F61,'Raw Data'!$A:$M,10,0)),"",VLOOKUP($F61,'Raw Data'!$A:$M,10,0))</f>
        <v/>
      </c>
      <c r="K61" t="str">
        <f>IF(ISNA(VLOOKUP($F61,'Raw Data'!$A:$M,11,0)),"",VLOOKUP($F61,'Raw Data'!$A:$M,11,0))</f>
        <v/>
      </c>
      <c r="L61" t="str">
        <f>IF(ISNA(VLOOKUP($F61,'Raw Data'!$A:$M,12,0)),"",VLOOKUP($F61,'Raw Data'!$A:$M,12,0))</f>
        <v/>
      </c>
      <c r="M61" t="str">
        <f>IF(ISNA(VLOOKUP($F61,'Raw Data'!$A:$M,13,0)),"",VLOOKUP($F61,'Raw Data'!$A:$M,13,0))</f>
        <v/>
      </c>
    </row>
    <row r="62" spans="1:13" x14ac:dyDescent="0.25">
      <c r="A62" t="s">
        <v>37</v>
      </c>
      <c r="B62">
        <v>2012</v>
      </c>
      <c r="C62">
        <v>3.5</v>
      </c>
      <c r="D62" s="3">
        <v>740</v>
      </c>
      <c r="E62" s="3" t="s">
        <v>9</v>
      </c>
      <c r="F62" s="3" t="str">
        <f t="shared" si="0"/>
        <v>FGU620123.5740100+</v>
      </c>
      <c r="G62" t="str">
        <f>IF(ISNA(VLOOKUP($F62,'Raw Data'!$A:$M,7,0)),"",VLOOKUP($F62,'Raw Data'!$A:$M,7,0))</f>
        <v/>
      </c>
      <c r="H62" t="str">
        <f>IF(ISNA(VLOOKUP($F62,'Raw Data'!$A:$M,8,0)),"",VLOOKUP($F62,'Raw Data'!$A:$M,8,0))</f>
        <v/>
      </c>
      <c r="I62" t="str">
        <f>IF(ISNA(VLOOKUP($F62,'Raw Data'!$A:$M,9,0)),"",VLOOKUP($F62,'Raw Data'!$A:$M,9,0))</f>
        <v/>
      </c>
      <c r="J62" t="str">
        <f>IF(ISNA(VLOOKUP($F62,'Raw Data'!$A:$M,10,0)),"",VLOOKUP($F62,'Raw Data'!$A:$M,10,0))</f>
        <v/>
      </c>
      <c r="K62" t="str">
        <f>IF(ISNA(VLOOKUP($F62,'Raw Data'!$A:$M,11,0)),"",VLOOKUP($F62,'Raw Data'!$A:$M,11,0))</f>
        <v/>
      </c>
      <c r="L62" t="str">
        <f>IF(ISNA(VLOOKUP($F62,'Raw Data'!$A:$M,12,0)),"",VLOOKUP($F62,'Raw Data'!$A:$M,12,0))</f>
        <v/>
      </c>
      <c r="M62" t="str">
        <f>IF(ISNA(VLOOKUP($F62,'Raw Data'!$A:$M,13,0)),"",VLOOKUP($F62,'Raw Data'!$A:$M,13,0))</f>
        <v/>
      </c>
    </row>
    <row r="63" spans="1:13" x14ac:dyDescent="0.25">
      <c r="A63" t="s">
        <v>37</v>
      </c>
      <c r="B63">
        <v>2012</v>
      </c>
      <c r="C63">
        <v>3.5</v>
      </c>
      <c r="D63" s="3">
        <v>760</v>
      </c>
      <c r="E63" s="3" t="s">
        <v>9</v>
      </c>
      <c r="F63" s="3" t="str">
        <f t="shared" si="0"/>
        <v>FGU620123.5760100+</v>
      </c>
      <c r="G63" t="str">
        <f>IF(ISNA(VLOOKUP($F63,'Raw Data'!$A:$M,7,0)),"",VLOOKUP($F63,'Raw Data'!$A:$M,7,0))</f>
        <v/>
      </c>
      <c r="H63" t="str">
        <f>IF(ISNA(VLOOKUP($F63,'Raw Data'!$A:$M,8,0)),"",VLOOKUP($F63,'Raw Data'!$A:$M,8,0))</f>
        <v/>
      </c>
      <c r="I63" t="str">
        <f>IF(ISNA(VLOOKUP($F63,'Raw Data'!$A:$M,9,0)),"",VLOOKUP($F63,'Raw Data'!$A:$M,9,0))</f>
        <v/>
      </c>
      <c r="J63" t="str">
        <f>IF(ISNA(VLOOKUP($F63,'Raw Data'!$A:$M,10,0)),"",VLOOKUP($F63,'Raw Data'!$A:$M,10,0))</f>
        <v/>
      </c>
      <c r="K63" t="str">
        <f>IF(ISNA(VLOOKUP($F63,'Raw Data'!$A:$M,11,0)),"",VLOOKUP($F63,'Raw Data'!$A:$M,11,0))</f>
        <v/>
      </c>
      <c r="L63" t="str">
        <f>IF(ISNA(VLOOKUP($F63,'Raw Data'!$A:$M,12,0)),"",VLOOKUP($F63,'Raw Data'!$A:$M,12,0))</f>
        <v/>
      </c>
      <c r="M63" t="str">
        <f>IF(ISNA(VLOOKUP($F63,'Raw Data'!$A:$M,13,0)),"",VLOOKUP($F63,'Raw Data'!$A:$M,13,0))</f>
        <v/>
      </c>
    </row>
    <row r="64" spans="1:13" x14ac:dyDescent="0.25">
      <c r="A64" t="s">
        <v>37</v>
      </c>
      <c r="B64">
        <v>2012</v>
      </c>
      <c r="C64">
        <v>3.5</v>
      </c>
      <c r="D64" s="3">
        <v>780</v>
      </c>
      <c r="E64" s="3" t="s">
        <v>9</v>
      </c>
      <c r="F64" s="3" t="str">
        <f t="shared" si="0"/>
        <v>FGU620123.5780100+</v>
      </c>
      <c r="G64" t="str">
        <f>IF(ISNA(VLOOKUP($F64,'Raw Data'!$A:$M,7,0)),"",VLOOKUP($F64,'Raw Data'!$A:$M,7,0))</f>
        <v/>
      </c>
      <c r="H64" t="str">
        <f>IF(ISNA(VLOOKUP($F64,'Raw Data'!$A:$M,8,0)),"",VLOOKUP($F64,'Raw Data'!$A:$M,8,0))</f>
        <v/>
      </c>
      <c r="I64" t="str">
        <f>IF(ISNA(VLOOKUP($F64,'Raw Data'!$A:$M,9,0)),"",VLOOKUP($F64,'Raw Data'!$A:$M,9,0))</f>
        <v/>
      </c>
      <c r="J64" t="str">
        <f>IF(ISNA(VLOOKUP($F64,'Raw Data'!$A:$M,10,0)),"",VLOOKUP($F64,'Raw Data'!$A:$M,10,0))</f>
        <v/>
      </c>
      <c r="K64" t="str">
        <f>IF(ISNA(VLOOKUP($F64,'Raw Data'!$A:$M,11,0)),"",VLOOKUP($F64,'Raw Data'!$A:$M,11,0))</f>
        <v/>
      </c>
      <c r="L64" t="str">
        <f>IF(ISNA(VLOOKUP($F64,'Raw Data'!$A:$M,12,0)),"",VLOOKUP($F64,'Raw Data'!$A:$M,12,0))</f>
        <v/>
      </c>
      <c r="M64" t="str">
        <f>IF(ISNA(VLOOKUP($F64,'Raw Data'!$A:$M,13,0)),"",VLOOKUP($F64,'Raw Data'!$A:$M,13,0))</f>
        <v/>
      </c>
    </row>
    <row r="65" spans="1:13" x14ac:dyDescent="0.25">
      <c r="A65" t="s">
        <v>37</v>
      </c>
      <c r="B65">
        <v>2013</v>
      </c>
      <c r="C65">
        <v>3.5</v>
      </c>
      <c r="D65" s="3">
        <v>620</v>
      </c>
      <c r="E65" s="3">
        <v>80</v>
      </c>
      <c r="F65" s="3" t="str">
        <f t="shared" si="0"/>
        <v>FGU620133.562080</v>
      </c>
      <c r="G65" t="str">
        <f>IF(ISNA(VLOOKUP($F65,'Raw Data'!$A:$M,7,0)),"",VLOOKUP($F65,'Raw Data'!$A:$M,7,0))</f>
        <v/>
      </c>
      <c r="H65" t="str">
        <f>IF(ISNA(VLOOKUP($F65,'Raw Data'!$A:$M,8,0)),"",VLOOKUP($F65,'Raw Data'!$A:$M,8,0))</f>
        <v/>
      </c>
      <c r="I65" t="str">
        <f>IF(ISNA(VLOOKUP($F65,'Raw Data'!$A:$M,9,0)),"",VLOOKUP($F65,'Raw Data'!$A:$M,9,0))</f>
        <v/>
      </c>
      <c r="J65" t="str">
        <f>IF(ISNA(VLOOKUP($F65,'Raw Data'!$A:$M,10,0)),"",VLOOKUP($F65,'Raw Data'!$A:$M,10,0))</f>
        <v/>
      </c>
      <c r="K65" t="str">
        <f>IF(ISNA(VLOOKUP($F65,'Raw Data'!$A:$M,11,0)),"",VLOOKUP($F65,'Raw Data'!$A:$M,11,0))</f>
        <v/>
      </c>
      <c r="L65" t="str">
        <f>IF(ISNA(VLOOKUP($F65,'Raw Data'!$A:$M,12,0)),"",VLOOKUP($F65,'Raw Data'!$A:$M,12,0))</f>
        <v/>
      </c>
      <c r="M65" t="str">
        <f>IF(ISNA(VLOOKUP($F65,'Raw Data'!$A:$M,13,0)),"",VLOOKUP($F65,'Raw Data'!$A:$M,13,0))</f>
        <v/>
      </c>
    </row>
    <row r="66" spans="1:13" x14ac:dyDescent="0.25">
      <c r="A66" t="s">
        <v>37</v>
      </c>
      <c r="B66">
        <v>2013</v>
      </c>
      <c r="C66">
        <v>3.5</v>
      </c>
      <c r="D66" s="3">
        <v>640</v>
      </c>
      <c r="E66" s="3">
        <v>80</v>
      </c>
      <c r="F66" s="3" t="str">
        <f t="shared" si="0"/>
        <v>FGU620133.564080</v>
      </c>
      <c r="G66" t="str">
        <f>IF(ISNA(VLOOKUP($F66,'Raw Data'!$A:$M,7,0)),"",VLOOKUP($F66,'Raw Data'!$A:$M,7,0))</f>
        <v/>
      </c>
      <c r="H66" t="str">
        <f>IF(ISNA(VLOOKUP($F66,'Raw Data'!$A:$M,8,0)),"",VLOOKUP($F66,'Raw Data'!$A:$M,8,0))</f>
        <v/>
      </c>
      <c r="I66" t="str">
        <f>IF(ISNA(VLOOKUP($F66,'Raw Data'!$A:$M,9,0)),"",VLOOKUP($F66,'Raw Data'!$A:$M,9,0))</f>
        <v/>
      </c>
      <c r="J66" t="str">
        <f>IF(ISNA(VLOOKUP($F66,'Raw Data'!$A:$M,10,0)),"",VLOOKUP($F66,'Raw Data'!$A:$M,10,0))</f>
        <v/>
      </c>
      <c r="K66" t="str">
        <f>IF(ISNA(VLOOKUP($F66,'Raw Data'!$A:$M,11,0)),"",VLOOKUP($F66,'Raw Data'!$A:$M,11,0))</f>
        <v/>
      </c>
      <c r="L66" t="str">
        <f>IF(ISNA(VLOOKUP($F66,'Raw Data'!$A:$M,12,0)),"",VLOOKUP($F66,'Raw Data'!$A:$M,12,0))</f>
        <v/>
      </c>
      <c r="M66" t="str">
        <f>IF(ISNA(VLOOKUP($F66,'Raw Data'!$A:$M,13,0)),"",VLOOKUP($F66,'Raw Data'!$A:$M,13,0))</f>
        <v/>
      </c>
    </row>
    <row r="67" spans="1:13" x14ac:dyDescent="0.25">
      <c r="A67" t="s">
        <v>37</v>
      </c>
      <c r="B67">
        <v>2013</v>
      </c>
      <c r="C67">
        <v>3.5</v>
      </c>
      <c r="D67" s="3">
        <v>660</v>
      </c>
      <c r="E67" s="3">
        <v>80</v>
      </c>
      <c r="F67" s="3" t="str">
        <f t="shared" si="0"/>
        <v>FGU620133.566080</v>
      </c>
      <c r="G67" t="str">
        <f>IF(ISNA(VLOOKUP($F67,'Raw Data'!$A:$M,7,0)),"",VLOOKUP($F67,'Raw Data'!$A:$M,7,0))</f>
        <v/>
      </c>
      <c r="H67" t="str">
        <f>IF(ISNA(VLOOKUP($F67,'Raw Data'!$A:$M,8,0)),"",VLOOKUP($F67,'Raw Data'!$A:$M,8,0))</f>
        <v/>
      </c>
      <c r="I67" t="str">
        <f>IF(ISNA(VLOOKUP($F67,'Raw Data'!$A:$M,9,0)),"",VLOOKUP($F67,'Raw Data'!$A:$M,9,0))</f>
        <v/>
      </c>
      <c r="J67" t="str">
        <f>IF(ISNA(VLOOKUP($F67,'Raw Data'!$A:$M,10,0)),"",VLOOKUP($F67,'Raw Data'!$A:$M,10,0))</f>
        <v/>
      </c>
      <c r="K67" t="str">
        <f>IF(ISNA(VLOOKUP($F67,'Raw Data'!$A:$M,11,0)),"",VLOOKUP($F67,'Raw Data'!$A:$M,11,0))</f>
        <v/>
      </c>
      <c r="L67" t="str">
        <f>IF(ISNA(VLOOKUP($F67,'Raw Data'!$A:$M,12,0)),"",VLOOKUP($F67,'Raw Data'!$A:$M,12,0))</f>
        <v/>
      </c>
      <c r="M67" t="str">
        <f>IF(ISNA(VLOOKUP($F67,'Raw Data'!$A:$M,13,0)),"",VLOOKUP($F67,'Raw Data'!$A:$M,13,0))</f>
        <v/>
      </c>
    </row>
    <row r="68" spans="1:13" x14ac:dyDescent="0.25">
      <c r="A68" t="s">
        <v>37</v>
      </c>
      <c r="B68">
        <v>2013</v>
      </c>
      <c r="C68">
        <v>3.5</v>
      </c>
      <c r="D68" s="3">
        <v>680</v>
      </c>
      <c r="E68" s="3">
        <v>80</v>
      </c>
      <c r="F68" s="3" t="str">
        <f t="shared" ref="F68:F131" si="1">A68&amp;B68&amp;C68&amp;D68&amp;E68</f>
        <v>FGU620133.568080</v>
      </c>
      <c r="G68" t="str">
        <f>IF(ISNA(VLOOKUP($F68,'Raw Data'!$A:$M,7,0)),"",VLOOKUP($F68,'Raw Data'!$A:$M,7,0))</f>
        <v/>
      </c>
      <c r="H68" t="str">
        <f>IF(ISNA(VLOOKUP($F68,'Raw Data'!$A:$M,8,0)),"",VLOOKUP($F68,'Raw Data'!$A:$M,8,0))</f>
        <v/>
      </c>
      <c r="I68" t="str">
        <f>IF(ISNA(VLOOKUP($F68,'Raw Data'!$A:$M,9,0)),"",VLOOKUP($F68,'Raw Data'!$A:$M,9,0))</f>
        <v/>
      </c>
      <c r="J68" t="str">
        <f>IF(ISNA(VLOOKUP($F68,'Raw Data'!$A:$M,10,0)),"",VLOOKUP($F68,'Raw Data'!$A:$M,10,0))</f>
        <v/>
      </c>
      <c r="K68" t="str">
        <f>IF(ISNA(VLOOKUP($F68,'Raw Data'!$A:$M,11,0)),"",VLOOKUP($F68,'Raw Data'!$A:$M,11,0))</f>
        <v/>
      </c>
      <c r="L68" t="str">
        <f>IF(ISNA(VLOOKUP($F68,'Raw Data'!$A:$M,12,0)),"",VLOOKUP($F68,'Raw Data'!$A:$M,12,0))</f>
        <v/>
      </c>
      <c r="M68" t="str">
        <f>IF(ISNA(VLOOKUP($F68,'Raw Data'!$A:$M,13,0)),"",VLOOKUP($F68,'Raw Data'!$A:$M,13,0))</f>
        <v/>
      </c>
    </row>
    <row r="69" spans="1:13" x14ac:dyDescent="0.25">
      <c r="A69" t="s">
        <v>37</v>
      </c>
      <c r="B69">
        <v>2013</v>
      </c>
      <c r="C69">
        <v>3.5</v>
      </c>
      <c r="D69" s="3">
        <v>700</v>
      </c>
      <c r="E69" s="3">
        <v>80</v>
      </c>
      <c r="F69" s="3" t="str">
        <f t="shared" si="1"/>
        <v>FGU620133.570080</v>
      </c>
      <c r="G69" t="str">
        <f>IF(ISNA(VLOOKUP($F69,'Raw Data'!$A:$M,7,0)),"",VLOOKUP($F69,'Raw Data'!$A:$M,7,0))</f>
        <v/>
      </c>
      <c r="H69" t="str">
        <f>IF(ISNA(VLOOKUP($F69,'Raw Data'!$A:$M,8,0)),"",VLOOKUP($F69,'Raw Data'!$A:$M,8,0))</f>
        <v/>
      </c>
      <c r="I69" t="str">
        <f>IF(ISNA(VLOOKUP($F69,'Raw Data'!$A:$M,9,0)),"",VLOOKUP($F69,'Raw Data'!$A:$M,9,0))</f>
        <v/>
      </c>
      <c r="J69" t="str">
        <f>IF(ISNA(VLOOKUP($F69,'Raw Data'!$A:$M,10,0)),"",VLOOKUP($F69,'Raw Data'!$A:$M,10,0))</f>
        <v/>
      </c>
      <c r="K69" t="str">
        <f>IF(ISNA(VLOOKUP($F69,'Raw Data'!$A:$M,11,0)),"",VLOOKUP($F69,'Raw Data'!$A:$M,11,0))</f>
        <v/>
      </c>
      <c r="L69" t="str">
        <f>IF(ISNA(VLOOKUP($F69,'Raw Data'!$A:$M,12,0)),"",VLOOKUP($F69,'Raw Data'!$A:$M,12,0))</f>
        <v/>
      </c>
      <c r="M69" t="str">
        <f>IF(ISNA(VLOOKUP($F69,'Raw Data'!$A:$M,13,0)),"",VLOOKUP($F69,'Raw Data'!$A:$M,13,0))</f>
        <v/>
      </c>
    </row>
    <row r="70" spans="1:13" x14ac:dyDescent="0.25">
      <c r="A70" t="s">
        <v>37</v>
      </c>
      <c r="B70">
        <v>2013</v>
      </c>
      <c r="C70">
        <v>3.5</v>
      </c>
      <c r="D70" s="3">
        <v>720</v>
      </c>
      <c r="E70" s="3">
        <v>80</v>
      </c>
      <c r="F70" s="3" t="str">
        <f t="shared" si="1"/>
        <v>FGU620133.572080</v>
      </c>
      <c r="G70" t="str">
        <f>IF(ISNA(VLOOKUP($F70,'Raw Data'!$A:$M,7,0)),"",VLOOKUP($F70,'Raw Data'!$A:$M,7,0))</f>
        <v/>
      </c>
      <c r="H70" t="str">
        <f>IF(ISNA(VLOOKUP($F70,'Raw Data'!$A:$M,8,0)),"",VLOOKUP($F70,'Raw Data'!$A:$M,8,0))</f>
        <v/>
      </c>
      <c r="I70" t="str">
        <f>IF(ISNA(VLOOKUP($F70,'Raw Data'!$A:$M,9,0)),"",VLOOKUP($F70,'Raw Data'!$A:$M,9,0))</f>
        <v/>
      </c>
      <c r="J70" t="str">
        <f>IF(ISNA(VLOOKUP($F70,'Raw Data'!$A:$M,10,0)),"",VLOOKUP($F70,'Raw Data'!$A:$M,10,0))</f>
        <v/>
      </c>
      <c r="K70" t="str">
        <f>IF(ISNA(VLOOKUP($F70,'Raw Data'!$A:$M,11,0)),"",VLOOKUP($F70,'Raw Data'!$A:$M,11,0))</f>
        <v/>
      </c>
      <c r="L70" t="str">
        <f>IF(ISNA(VLOOKUP($F70,'Raw Data'!$A:$M,12,0)),"",VLOOKUP($F70,'Raw Data'!$A:$M,12,0))</f>
        <v/>
      </c>
      <c r="M70" t="str">
        <f>IF(ISNA(VLOOKUP($F70,'Raw Data'!$A:$M,13,0)),"",VLOOKUP($F70,'Raw Data'!$A:$M,13,0))</f>
        <v/>
      </c>
    </row>
    <row r="71" spans="1:13" x14ac:dyDescent="0.25">
      <c r="A71" t="s">
        <v>37</v>
      </c>
      <c r="B71">
        <v>2013</v>
      </c>
      <c r="C71">
        <v>3.5</v>
      </c>
      <c r="D71" s="3">
        <v>740</v>
      </c>
      <c r="E71" s="3">
        <v>80</v>
      </c>
      <c r="F71" s="3" t="str">
        <f t="shared" si="1"/>
        <v>FGU620133.574080</v>
      </c>
      <c r="G71" t="str">
        <f>IF(ISNA(VLOOKUP($F71,'Raw Data'!$A:$M,7,0)),"",VLOOKUP($F71,'Raw Data'!$A:$M,7,0))</f>
        <v/>
      </c>
      <c r="H71" t="str">
        <f>IF(ISNA(VLOOKUP($F71,'Raw Data'!$A:$M,8,0)),"",VLOOKUP($F71,'Raw Data'!$A:$M,8,0))</f>
        <v/>
      </c>
      <c r="I71" t="str">
        <f>IF(ISNA(VLOOKUP($F71,'Raw Data'!$A:$M,9,0)),"",VLOOKUP($F71,'Raw Data'!$A:$M,9,0))</f>
        <v/>
      </c>
      <c r="J71" t="str">
        <f>IF(ISNA(VLOOKUP($F71,'Raw Data'!$A:$M,10,0)),"",VLOOKUP($F71,'Raw Data'!$A:$M,10,0))</f>
        <v/>
      </c>
      <c r="K71" t="str">
        <f>IF(ISNA(VLOOKUP($F71,'Raw Data'!$A:$M,11,0)),"",VLOOKUP($F71,'Raw Data'!$A:$M,11,0))</f>
        <v/>
      </c>
      <c r="L71" t="str">
        <f>IF(ISNA(VLOOKUP($F71,'Raw Data'!$A:$M,12,0)),"",VLOOKUP($F71,'Raw Data'!$A:$M,12,0))</f>
        <v/>
      </c>
      <c r="M71" t="str">
        <f>IF(ISNA(VLOOKUP($F71,'Raw Data'!$A:$M,13,0)),"",VLOOKUP($F71,'Raw Data'!$A:$M,13,0))</f>
        <v/>
      </c>
    </row>
    <row r="72" spans="1:13" x14ac:dyDescent="0.25">
      <c r="A72" t="s">
        <v>37</v>
      </c>
      <c r="B72">
        <v>2013</v>
      </c>
      <c r="C72">
        <v>3.5</v>
      </c>
      <c r="D72" s="3">
        <v>760</v>
      </c>
      <c r="E72" s="3">
        <v>80</v>
      </c>
      <c r="F72" s="3" t="str">
        <f t="shared" si="1"/>
        <v>FGU620133.576080</v>
      </c>
      <c r="G72" t="str">
        <f>IF(ISNA(VLOOKUP($F72,'Raw Data'!$A:$M,7,0)),"",VLOOKUP($F72,'Raw Data'!$A:$M,7,0))</f>
        <v/>
      </c>
      <c r="H72" t="str">
        <f>IF(ISNA(VLOOKUP($F72,'Raw Data'!$A:$M,8,0)),"",VLOOKUP($F72,'Raw Data'!$A:$M,8,0))</f>
        <v/>
      </c>
      <c r="I72" t="str">
        <f>IF(ISNA(VLOOKUP($F72,'Raw Data'!$A:$M,9,0)),"",VLOOKUP($F72,'Raw Data'!$A:$M,9,0))</f>
        <v/>
      </c>
      <c r="J72" t="str">
        <f>IF(ISNA(VLOOKUP($F72,'Raw Data'!$A:$M,10,0)),"",VLOOKUP($F72,'Raw Data'!$A:$M,10,0))</f>
        <v/>
      </c>
      <c r="K72" t="str">
        <f>IF(ISNA(VLOOKUP($F72,'Raw Data'!$A:$M,11,0)),"",VLOOKUP($F72,'Raw Data'!$A:$M,11,0))</f>
        <v/>
      </c>
      <c r="L72" t="str">
        <f>IF(ISNA(VLOOKUP($F72,'Raw Data'!$A:$M,12,0)),"",VLOOKUP($F72,'Raw Data'!$A:$M,12,0))</f>
        <v/>
      </c>
      <c r="M72" t="str">
        <f>IF(ISNA(VLOOKUP($F72,'Raw Data'!$A:$M,13,0)),"",VLOOKUP($F72,'Raw Data'!$A:$M,13,0))</f>
        <v/>
      </c>
    </row>
    <row r="73" spans="1:13" x14ac:dyDescent="0.25">
      <c r="A73" t="s">
        <v>37</v>
      </c>
      <c r="B73">
        <v>2013</v>
      </c>
      <c r="C73">
        <v>3.5</v>
      </c>
      <c r="D73" s="3">
        <v>780</v>
      </c>
      <c r="E73" s="3">
        <v>80</v>
      </c>
      <c r="F73" s="3" t="str">
        <f t="shared" si="1"/>
        <v>FGU620133.578080</v>
      </c>
      <c r="G73" t="str">
        <f>IF(ISNA(VLOOKUP($F73,'Raw Data'!$A:$M,7,0)),"",VLOOKUP($F73,'Raw Data'!$A:$M,7,0))</f>
        <v/>
      </c>
      <c r="H73" t="str">
        <f>IF(ISNA(VLOOKUP($F73,'Raw Data'!$A:$M,8,0)),"",VLOOKUP($F73,'Raw Data'!$A:$M,8,0))</f>
        <v/>
      </c>
      <c r="I73" t="str">
        <f>IF(ISNA(VLOOKUP($F73,'Raw Data'!$A:$M,9,0)),"",VLOOKUP($F73,'Raw Data'!$A:$M,9,0))</f>
        <v/>
      </c>
      <c r="J73" t="str">
        <f>IF(ISNA(VLOOKUP($F73,'Raw Data'!$A:$M,10,0)),"",VLOOKUP($F73,'Raw Data'!$A:$M,10,0))</f>
        <v/>
      </c>
      <c r="K73" t="str">
        <f>IF(ISNA(VLOOKUP($F73,'Raw Data'!$A:$M,11,0)),"",VLOOKUP($F73,'Raw Data'!$A:$M,11,0))</f>
        <v/>
      </c>
      <c r="L73" t="str">
        <f>IF(ISNA(VLOOKUP($F73,'Raw Data'!$A:$M,12,0)),"",VLOOKUP($F73,'Raw Data'!$A:$M,12,0))</f>
        <v/>
      </c>
      <c r="M73" t="str">
        <f>IF(ISNA(VLOOKUP($F73,'Raw Data'!$A:$M,13,0)),"",VLOOKUP($F73,'Raw Data'!$A:$M,13,0))</f>
        <v/>
      </c>
    </row>
    <row r="74" spans="1:13" x14ac:dyDescent="0.25">
      <c r="A74" t="s">
        <v>37</v>
      </c>
      <c r="B74">
        <v>2013</v>
      </c>
      <c r="C74">
        <v>3.5</v>
      </c>
      <c r="D74" s="3">
        <v>620</v>
      </c>
      <c r="E74" s="3">
        <v>85</v>
      </c>
      <c r="F74" s="3" t="str">
        <f t="shared" si="1"/>
        <v>FGU620133.562085</v>
      </c>
      <c r="G74" t="str">
        <f>IF(ISNA(VLOOKUP($F74,'Raw Data'!$A:$M,7,0)),"",VLOOKUP($F74,'Raw Data'!$A:$M,7,0))</f>
        <v/>
      </c>
      <c r="H74" t="str">
        <f>IF(ISNA(VLOOKUP($F74,'Raw Data'!$A:$M,8,0)),"",VLOOKUP($F74,'Raw Data'!$A:$M,8,0))</f>
        <v/>
      </c>
      <c r="I74" t="str">
        <f>IF(ISNA(VLOOKUP($F74,'Raw Data'!$A:$M,9,0)),"",VLOOKUP($F74,'Raw Data'!$A:$M,9,0))</f>
        <v/>
      </c>
      <c r="J74" t="str">
        <f>IF(ISNA(VLOOKUP($F74,'Raw Data'!$A:$M,10,0)),"",VLOOKUP($F74,'Raw Data'!$A:$M,10,0))</f>
        <v/>
      </c>
      <c r="K74" t="str">
        <f>IF(ISNA(VLOOKUP($F74,'Raw Data'!$A:$M,11,0)),"",VLOOKUP($F74,'Raw Data'!$A:$M,11,0))</f>
        <v/>
      </c>
      <c r="L74" t="str">
        <f>IF(ISNA(VLOOKUP($F74,'Raw Data'!$A:$M,12,0)),"",VLOOKUP($F74,'Raw Data'!$A:$M,12,0))</f>
        <v/>
      </c>
      <c r="M74" t="str">
        <f>IF(ISNA(VLOOKUP($F74,'Raw Data'!$A:$M,13,0)),"",VLOOKUP($F74,'Raw Data'!$A:$M,13,0))</f>
        <v/>
      </c>
    </row>
    <row r="75" spans="1:13" x14ac:dyDescent="0.25">
      <c r="A75" t="s">
        <v>37</v>
      </c>
      <c r="B75">
        <v>2013</v>
      </c>
      <c r="C75">
        <v>3.5</v>
      </c>
      <c r="D75" s="3">
        <v>640</v>
      </c>
      <c r="E75" s="3">
        <v>85</v>
      </c>
      <c r="F75" s="3" t="str">
        <f t="shared" si="1"/>
        <v>FGU620133.564085</v>
      </c>
      <c r="G75" t="str">
        <f>IF(ISNA(VLOOKUP($F75,'Raw Data'!$A:$M,7,0)),"",VLOOKUP($F75,'Raw Data'!$A:$M,7,0))</f>
        <v/>
      </c>
      <c r="H75" t="str">
        <f>IF(ISNA(VLOOKUP($F75,'Raw Data'!$A:$M,8,0)),"",VLOOKUP($F75,'Raw Data'!$A:$M,8,0))</f>
        <v/>
      </c>
      <c r="I75" t="str">
        <f>IF(ISNA(VLOOKUP($F75,'Raw Data'!$A:$M,9,0)),"",VLOOKUP($F75,'Raw Data'!$A:$M,9,0))</f>
        <v/>
      </c>
      <c r="J75" t="str">
        <f>IF(ISNA(VLOOKUP($F75,'Raw Data'!$A:$M,10,0)),"",VLOOKUP($F75,'Raw Data'!$A:$M,10,0))</f>
        <v/>
      </c>
      <c r="K75" t="str">
        <f>IF(ISNA(VLOOKUP($F75,'Raw Data'!$A:$M,11,0)),"",VLOOKUP($F75,'Raw Data'!$A:$M,11,0))</f>
        <v/>
      </c>
      <c r="L75" t="str">
        <f>IF(ISNA(VLOOKUP($F75,'Raw Data'!$A:$M,12,0)),"",VLOOKUP($F75,'Raw Data'!$A:$M,12,0))</f>
        <v/>
      </c>
      <c r="M75" t="str">
        <f>IF(ISNA(VLOOKUP($F75,'Raw Data'!$A:$M,13,0)),"",VLOOKUP($F75,'Raw Data'!$A:$M,13,0))</f>
        <v/>
      </c>
    </row>
    <row r="76" spans="1:13" x14ac:dyDescent="0.25">
      <c r="A76" t="s">
        <v>37</v>
      </c>
      <c r="B76">
        <v>2013</v>
      </c>
      <c r="C76">
        <v>3.5</v>
      </c>
      <c r="D76" s="3">
        <v>660</v>
      </c>
      <c r="E76" s="3">
        <v>85</v>
      </c>
      <c r="F76" s="3" t="str">
        <f t="shared" si="1"/>
        <v>FGU620133.566085</v>
      </c>
      <c r="G76" t="str">
        <f>IF(ISNA(VLOOKUP($F76,'Raw Data'!$A:$M,7,0)),"",VLOOKUP($F76,'Raw Data'!$A:$M,7,0))</f>
        <v/>
      </c>
      <c r="H76" t="str">
        <f>IF(ISNA(VLOOKUP($F76,'Raw Data'!$A:$M,8,0)),"",VLOOKUP($F76,'Raw Data'!$A:$M,8,0))</f>
        <v/>
      </c>
      <c r="I76" t="str">
        <f>IF(ISNA(VLOOKUP($F76,'Raw Data'!$A:$M,9,0)),"",VLOOKUP($F76,'Raw Data'!$A:$M,9,0))</f>
        <v/>
      </c>
      <c r="J76" t="str">
        <f>IF(ISNA(VLOOKUP($F76,'Raw Data'!$A:$M,10,0)),"",VLOOKUP($F76,'Raw Data'!$A:$M,10,0))</f>
        <v/>
      </c>
      <c r="K76" t="str">
        <f>IF(ISNA(VLOOKUP($F76,'Raw Data'!$A:$M,11,0)),"",VLOOKUP($F76,'Raw Data'!$A:$M,11,0))</f>
        <v/>
      </c>
      <c r="L76" t="str">
        <f>IF(ISNA(VLOOKUP($F76,'Raw Data'!$A:$M,12,0)),"",VLOOKUP($F76,'Raw Data'!$A:$M,12,0))</f>
        <v/>
      </c>
      <c r="M76" t="str">
        <f>IF(ISNA(VLOOKUP($F76,'Raw Data'!$A:$M,13,0)),"",VLOOKUP($F76,'Raw Data'!$A:$M,13,0))</f>
        <v/>
      </c>
    </row>
    <row r="77" spans="1:13" x14ac:dyDescent="0.25">
      <c r="A77" t="s">
        <v>37</v>
      </c>
      <c r="B77">
        <v>2013</v>
      </c>
      <c r="C77">
        <v>3.5</v>
      </c>
      <c r="D77" s="3">
        <v>680</v>
      </c>
      <c r="E77" s="3">
        <v>85</v>
      </c>
      <c r="F77" s="3" t="str">
        <f t="shared" si="1"/>
        <v>FGU620133.568085</v>
      </c>
      <c r="G77" t="str">
        <f>IF(ISNA(VLOOKUP($F77,'Raw Data'!$A:$M,7,0)),"",VLOOKUP($F77,'Raw Data'!$A:$M,7,0))</f>
        <v/>
      </c>
      <c r="H77" t="str">
        <f>IF(ISNA(VLOOKUP($F77,'Raw Data'!$A:$M,8,0)),"",VLOOKUP($F77,'Raw Data'!$A:$M,8,0))</f>
        <v/>
      </c>
      <c r="I77" t="str">
        <f>IF(ISNA(VLOOKUP($F77,'Raw Data'!$A:$M,9,0)),"",VLOOKUP($F77,'Raw Data'!$A:$M,9,0))</f>
        <v/>
      </c>
      <c r="J77" t="str">
        <f>IF(ISNA(VLOOKUP($F77,'Raw Data'!$A:$M,10,0)),"",VLOOKUP($F77,'Raw Data'!$A:$M,10,0))</f>
        <v/>
      </c>
      <c r="K77" t="str">
        <f>IF(ISNA(VLOOKUP($F77,'Raw Data'!$A:$M,11,0)),"",VLOOKUP($F77,'Raw Data'!$A:$M,11,0))</f>
        <v/>
      </c>
      <c r="L77" t="str">
        <f>IF(ISNA(VLOOKUP($F77,'Raw Data'!$A:$M,12,0)),"",VLOOKUP($F77,'Raw Data'!$A:$M,12,0))</f>
        <v/>
      </c>
      <c r="M77" t="str">
        <f>IF(ISNA(VLOOKUP($F77,'Raw Data'!$A:$M,13,0)),"",VLOOKUP($F77,'Raw Data'!$A:$M,13,0))</f>
        <v/>
      </c>
    </row>
    <row r="78" spans="1:13" x14ac:dyDescent="0.25">
      <c r="A78" t="s">
        <v>37</v>
      </c>
      <c r="B78">
        <v>2013</v>
      </c>
      <c r="C78">
        <v>3.5</v>
      </c>
      <c r="D78" s="3">
        <v>700</v>
      </c>
      <c r="E78" s="3">
        <v>85</v>
      </c>
      <c r="F78" s="3" t="str">
        <f t="shared" si="1"/>
        <v>FGU620133.570085</v>
      </c>
      <c r="G78" t="str">
        <f>IF(ISNA(VLOOKUP($F78,'Raw Data'!$A:$M,7,0)),"",VLOOKUP($F78,'Raw Data'!$A:$M,7,0))</f>
        <v/>
      </c>
      <c r="H78" t="str">
        <f>IF(ISNA(VLOOKUP($F78,'Raw Data'!$A:$M,8,0)),"",VLOOKUP($F78,'Raw Data'!$A:$M,8,0))</f>
        <v/>
      </c>
      <c r="I78" t="str">
        <f>IF(ISNA(VLOOKUP($F78,'Raw Data'!$A:$M,9,0)),"",VLOOKUP($F78,'Raw Data'!$A:$M,9,0))</f>
        <v/>
      </c>
      <c r="J78" t="str">
        <f>IF(ISNA(VLOOKUP($F78,'Raw Data'!$A:$M,10,0)),"",VLOOKUP($F78,'Raw Data'!$A:$M,10,0))</f>
        <v/>
      </c>
      <c r="K78" t="str">
        <f>IF(ISNA(VLOOKUP($F78,'Raw Data'!$A:$M,11,0)),"",VLOOKUP($F78,'Raw Data'!$A:$M,11,0))</f>
        <v/>
      </c>
      <c r="L78" t="str">
        <f>IF(ISNA(VLOOKUP($F78,'Raw Data'!$A:$M,12,0)),"",VLOOKUP($F78,'Raw Data'!$A:$M,12,0))</f>
        <v/>
      </c>
      <c r="M78" t="str">
        <f>IF(ISNA(VLOOKUP($F78,'Raw Data'!$A:$M,13,0)),"",VLOOKUP($F78,'Raw Data'!$A:$M,13,0))</f>
        <v/>
      </c>
    </row>
    <row r="79" spans="1:13" x14ac:dyDescent="0.25">
      <c r="A79" t="s">
        <v>37</v>
      </c>
      <c r="B79">
        <v>2013</v>
      </c>
      <c r="C79">
        <v>3.5</v>
      </c>
      <c r="D79" s="3">
        <v>720</v>
      </c>
      <c r="E79" s="3">
        <v>85</v>
      </c>
      <c r="F79" s="3" t="str">
        <f t="shared" si="1"/>
        <v>FGU620133.572085</v>
      </c>
      <c r="G79" t="str">
        <f>IF(ISNA(VLOOKUP($F79,'Raw Data'!$A:$M,7,0)),"",VLOOKUP($F79,'Raw Data'!$A:$M,7,0))</f>
        <v/>
      </c>
      <c r="H79" t="str">
        <f>IF(ISNA(VLOOKUP($F79,'Raw Data'!$A:$M,8,0)),"",VLOOKUP($F79,'Raw Data'!$A:$M,8,0))</f>
        <v/>
      </c>
      <c r="I79" t="str">
        <f>IF(ISNA(VLOOKUP($F79,'Raw Data'!$A:$M,9,0)),"",VLOOKUP($F79,'Raw Data'!$A:$M,9,0))</f>
        <v/>
      </c>
      <c r="J79" t="str">
        <f>IF(ISNA(VLOOKUP($F79,'Raw Data'!$A:$M,10,0)),"",VLOOKUP($F79,'Raw Data'!$A:$M,10,0))</f>
        <v/>
      </c>
      <c r="K79" t="str">
        <f>IF(ISNA(VLOOKUP($F79,'Raw Data'!$A:$M,11,0)),"",VLOOKUP($F79,'Raw Data'!$A:$M,11,0))</f>
        <v/>
      </c>
      <c r="L79" t="str">
        <f>IF(ISNA(VLOOKUP($F79,'Raw Data'!$A:$M,12,0)),"",VLOOKUP($F79,'Raw Data'!$A:$M,12,0))</f>
        <v/>
      </c>
      <c r="M79" t="str">
        <f>IF(ISNA(VLOOKUP($F79,'Raw Data'!$A:$M,13,0)),"",VLOOKUP($F79,'Raw Data'!$A:$M,13,0))</f>
        <v/>
      </c>
    </row>
    <row r="80" spans="1:13" x14ac:dyDescent="0.25">
      <c r="A80" t="s">
        <v>37</v>
      </c>
      <c r="B80">
        <v>2013</v>
      </c>
      <c r="C80">
        <v>3.5</v>
      </c>
      <c r="D80" s="3">
        <v>740</v>
      </c>
      <c r="E80" s="3">
        <v>85</v>
      </c>
      <c r="F80" s="3" t="str">
        <f t="shared" si="1"/>
        <v>FGU620133.574085</v>
      </c>
      <c r="G80">
        <f>IF(ISNA(VLOOKUP($F80,'Raw Data'!$A:$M,7,0)),"",VLOOKUP($F80,'Raw Data'!$A:$M,7,0))</f>
        <v>1626495.34</v>
      </c>
      <c r="H80">
        <f>IF(ISNA(VLOOKUP($F80,'Raw Data'!$A:$M,8,0)),"",VLOOKUP($F80,'Raw Data'!$A:$M,8,0))</f>
        <v>-102.95780000000001</v>
      </c>
      <c r="I80">
        <f>IF(ISNA(VLOOKUP($F80,'Raw Data'!$A:$M,9,0)),"",VLOOKUP($F80,'Raw Data'!$A:$M,9,0))</f>
        <v>-77.957800000000006</v>
      </c>
      <c r="J80">
        <f>IF(ISNA(VLOOKUP($F80,'Raw Data'!$A:$M,10,0)),"",VLOOKUP($F80,'Raw Data'!$A:$M,10,0))</f>
        <v>25</v>
      </c>
      <c r="K80">
        <f>IF(ISNA(VLOOKUP($F80,'Raw Data'!$A:$M,11,0)),"",VLOOKUP($F80,'Raw Data'!$A:$M,11,0))</f>
        <v>-55.417200000000001</v>
      </c>
      <c r="L80">
        <f>IF(ISNA(VLOOKUP($F80,'Raw Data'!$A:$M,12,0)),"",VLOOKUP($F80,'Raw Data'!$A:$M,12,0))</f>
        <v>-49.816600000000001</v>
      </c>
      <c r="M80">
        <f>IF(ISNA(VLOOKUP($F80,'Raw Data'!$A:$M,13,0)),"",VLOOKUP($F80,'Raw Data'!$A:$M,13,0))</f>
        <v>5.6006</v>
      </c>
    </row>
    <row r="81" spans="1:13" x14ac:dyDescent="0.25">
      <c r="A81" t="s">
        <v>37</v>
      </c>
      <c r="B81">
        <v>2013</v>
      </c>
      <c r="C81">
        <v>3.5</v>
      </c>
      <c r="D81" s="3">
        <v>760</v>
      </c>
      <c r="E81" s="3">
        <v>85</v>
      </c>
      <c r="F81" s="3" t="str">
        <f t="shared" si="1"/>
        <v>FGU620133.576085</v>
      </c>
      <c r="G81">
        <f>IF(ISNA(VLOOKUP($F81,'Raw Data'!$A:$M,7,0)),"",VLOOKUP($F81,'Raw Data'!$A:$M,7,0))</f>
        <v>29115659.109999999</v>
      </c>
      <c r="H81">
        <f>IF(ISNA(VLOOKUP($F81,'Raw Data'!$A:$M,8,0)),"",VLOOKUP($F81,'Raw Data'!$A:$M,8,0))</f>
        <v>-100.9115</v>
      </c>
      <c r="I81">
        <f>IF(ISNA(VLOOKUP($F81,'Raw Data'!$A:$M,9,0)),"",VLOOKUP($F81,'Raw Data'!$A:$M,9,0))</f>
        <v>-75.912099999999995</v>
      </c>
      <c r="J81">
        <f>IF(ISNA(VLOOKUP($F81,'Raw Data'!$A:$M,10,0)),"",VLOOKUP($F81,'Raw Data'!$A:$M,10,0))</f>
        <v>24.999400000000001</v>
      </c>
      <c r="K81">
        <f>IF(ISNA(VLOOKUP($F81,'Raw Data'!$A:$M,11,0)),"",VLOOKUP($F81,'Raw Data'!$A:$M,11,0))</f>
        <v>-49.026200000000003</v>
      </c>
      <c r="L81">
        <f>IF(ISNA(VLOOKUP($F81,'Raw Data'!$A:$M,12,0)),"",VLOOKUP($F81,'Raw Data'!$A:$M,12,0))</f>
        <v>-42.406700000000001</v>
      </c>
      <c r="M81">
        <f>IF(ISNA(VLOOKUP($F81,'Raw Data'!$A:$M,13,0)),"",VLOOKUP($F81,'Raw Data'!$A:$M,13,0))</f>
        <v>6.6195000000000004</v>
      </c>
    </row>
    <row r="82" spans="1:13" x14ac:dyDescent="0.25">
      <c r="A82" t="s">
        <v>37</v>
      </c>
      <c r="B82">
        <v>2013</v>
      </c>
      <c r="C82">
        <v>3.5</v>
      </c>
      <c r="D82" s="3">
        <v>780</v>
      </c>
      <c r="E82" s="3">
        <v>85</v>
      </c>
      <c r="F82" s="3" t="str">
        <f t="shared" si="1"/>
        <v>FGU620133.578085</v>
      </c>
      <c r="G82" t="str">
        <f>IF(ISNA(VLOOKUP($F82,'Raw Data'!$A:$M,7,0)),"",VLOOKUP($F82,'Raw Data'!$A:$M,7,0))</f>
        <v/>
      </c>
      <c r="H82" t="str">
        <f>IF(ISNA(VLOOKUP($F82,'Raw Data'!$A:$M,8,0)),"",VLOOKUP($F82,'Raw Data'!$A:$M,8,0))</f>
        <v/>
      </c>
      <c r="I82" t="str">
        <f>IF(ISNA(VLOOKUP($F82,'Raw Data'!$A:$M,9,0)),"",VLOOKUP($F82,'Raw Data'!$A:$M,9,0))</f>
        <v/>
      </c>
      <c r="J82" t="str">
        <f>IF(ISNA(VLOOKUP($F82,'Raw Data'!$A:$M,10,0)),"",VLOOKUP($F82,'Raw Data'!$A:$M,10,0))</f>
        <v/>
      </c>
      <c r="K82" t="str">
        <f>IF(ISNA(VLOOKUP($F82,'Raw Data'!$A:$M,11,0)),"",VLOOKUP($F82,'Raw Data'!$A:$M,11,0))</f>
        <v/>
      </c>
      <c r="L82" t="str">
        <f>IF(ISNA(VLOOKUP($F82,'Raw Data'!$A:$M,12,0)),"",VLOOKUP($F82,'Raw Data'!$A:$M,12,0))</f>
        <v/>
      </c>
      <c r="M82" t="str">
        <f>IF(ISNA(VLOOKUP($F82,'Raw Data'!$A:$M,13,0)),"",VLOOKUP($F82,'Raw Data'!$A:$M,13,0))</f>
        <v/>
      </c>
    </row>
    <row r="83" spans="1:13" x14ac:dyDescent="0.25">
      <c r="A83" t="s">
        <v>37</v>
      </c>
      <c r="B83">
        <v>2013</v>
      </c>
      <c r="C83">
        <v>3.5</v>
      </c>
      <c r="D83" s="3">
        <v>620</v>
      </c>
      <c r="E83" s="3">
        <v>90</v>
      </c>
      <c r="F83" s="3" t="str">
        <f t="shared" si="1"/>
        <v>FGU620133.562090</v>
      </c>
      <c r="G83" t="str">
        <f>IF(ISNA(VLOOKUP($F83,'Raw Data'!$A:$M,7,0)),"",VLOOKUP($F83,'Raw Data'!$A:$M,7,0))</f>
        <v/>
      </c>
      <c r="H83" t="str">
        <f>IF(ISNA(VLOOKUP($F83,'Raw Data'!$A:$M,8,0)),"",VLOOKUP($F83,'Raw Data'!$A:$M,8,0))</f>
        <v/>
      </c>
      <c r="I83" t="str">
        <f>IF(ISNA(VLOOKUP($F83,'Raw Data'!$A:$M,9,0)),"",VLOOKUP($F83,'Raw Data'!$A:$M,9,0))</f>
        <v/>
      </c>
      <c r="J83" t="str">
        <f>IF(ISNA(VLOOKUP($F83,'Raw Data'!$A:$M,10,0)),"",VLOOKUP($F83,'Raw Data'!$A:$M,10,0))</f>
        <v/>
      </c>
      <c r="K83" t="str">
        <f>IF(ISNA(VLOOKUP($F83,'Raw Data'!$A:$M,11,0)),"",VLOOKUP($F83,'Raw Data'!$A:$M,11,0))</f>
        <v/>
      </c>
      <c r="L83" t="str">
        <f>IF(ISNA(VLOOKUP($F83,'Raw Data'!$A:$M,12,0)),"",VLOOKUP($F83,'Raw Data'!$A:$M,12,0))</f>
        <v/>
      </c>
      <c r="M83" t="str">
        <f>IF(ISNA(VLOOKUP($F83,'Raw Data'!$A:$M,13,0)),"",VLOOKUP($F83,'Raw Data'!$A:$M,13,0))</f>
        <v/>
      </c>
    </row>
    <row r="84" spans="1:13" x14ac:dyDescent="0.25">
      <c r="A84" t="s">
        <v>37</v>
      </c>
      <c r="B84">
        <v>2013</v>
      </c>
      <c r="C84">
        <v>3.5</v>
      </c>
      <c r="D84" s="3">
        <v>640</v>
      </c>
      <c r="E84" s="3">
        <v>90</v>
      </c>
      <c r="F84" s="3" t="str">
        <f t="shared" si="1"/>
        <v>FGU620133.564090</v>
      </c>
      <c r="G84" t="str">
        <f>IF(ISNA(VLOOKUP($F84,'Raw Data'!$A:$M,7,0)),"",VLOOKUP($F84,'Raw Data'!$A:$M,7,0))</f>
        <v/>
      </c>
      <c r="H84" t="str">
        <f>IF(ISNA(VLOOKUP($F84,'Raw Data'!$A:$M,8,0)),"",VLOOKUP($F84,'Raw Data'!$A:$M,8,0))</f>
        <v/>
      </c>
      <c r="I84" t="str">
        <f>IF(ISNA(VLOOKUP($F84,'Raw Data'!$A:$M,9,0)),"",VLOOKUP($F84,'Raw Data'!$A:$M,9,0))</f>
        <v/>
      </c>
      <c r="J84" t="str">
        <f>IF(ISNA(VLOOKUP($F84,'Raw Data'!$A:$M,10,0)),"",VLOOKUP($F84,'Raw Data'!$A:$M,10,0))</f>
        <v/>
      </c>
      <c r="K84" t="str">
        <f>IF(ISNA(VLOOKUP($F84,'Raw Data'!$A:$M,11,0)),"",VLOOKUP($F84,'Raw Data'!$A:$M,11,0))</f>
        <v/>
      </c>
      <c r="L84" t="str">
        <f>IF(ISNA(VLOOKUP($F84,'Raw Data'!$A:$M,12,0)),"",VLOOKUP($F84,'Raw Data'!$A:$M,12,0))</f>
        <v/>
      </c>
      <c r="M84" t="str">
        <f>IF(ISNA(VLOOKUP($F84,'Raw Data'!$A:$M,13,0)),"",VLOOKUP($F84,'Raw Data'!$A:$M,13,0))</f>
        <v/>
      </c>
    </row>
    <row r="85" spans="1:13" x14ac:dyDescent="0.25">
      <c r="A85" t="s">
        <v>37</v>
      </c>
      <c r="B85">
        <v>2013</v>
      </c>
      <c r="C85">
        <v>3.5</v>
      </c>
      <c r="D85" s="3">
        <v>660</v>
      </c>
      <c r="E85" s="3">
        <v>90</v>
      </c>
      <c r="F85" s="3" t="str">
        <f t="shared" si="1"/>
        <v>FGU620133.566090</v>
      </c>
      <c r="G85" t="str">
        <f>IF(ISNA(VLOOKUP($F85,'Raw Data'!$A:$M,7,0)),"",VLOOKUP($F85,'Raw Data'!$A:$M,7,0))</f>
        <v/>
      </c>
      <c r="H85" t="str">
        <f>IF(ISNA(VLOOKUP($F85,'Raw Data'!$A:$M,8,0)),"",VLOOKUP($F85,'Raw Data'!$A:$M,8,0))</f>
        <v/>
      </c>
      <c r="I85" t="str">
        <f>IF(ISNA(VLOOKUP($F85,'Raw Data'!$A:$M,9,0)),"",VLOOKUP($F85,'Raw Data'!$A:$M,9,0))</f>
        <v/>
      </c>
      <c r="J85" t="str">
        <f>IF(ISNA(VLOOKUP($F85,'Raw Data'!$A:$M,10,0)),"",VLOOKUP($F85,'Raw Data'!$A:$M,10,0))</f>
        <v/>
      </c>
      <c r="K85" t="str">
        <f>IF(ISNA(VLOOKUP($F85,'Raw Data'!$A:$M,11,0)),"",VLOOKUP($F85,'Raw Data'!$A:$M,11,0))</f>
        <v/>
      </c>
      <c r="L85" t="str">
        <f>IF(ISNA(VLOOKUP($F85,'Raw Data'!$A:$M,12,0)),"",VLOOKUP($F85,'Raw Data'!$A:$M,12,0))</f>
        <v/>
      </c>
      <c r="M85" t="str">
        <f>IF(ISNA(VLOOKUP($F85,'Raw Data'!$A:$M,13,0)),"",VLOOKUP($F85,'Raw Data'!$A:$M,13,0))</f>
        <v/>
      </c>
    </row>
    <row r="86" spans="1:13" x14ac:dyDescent="0.25">
      <c r="A86" t="s">
        <v>37</v>
      </c>
      <c r="B86">
        <v>2013</v>
      </c>
      <c r="C86">
        <v>3.5</v>
      </c>
      <c r="D86" s="3">
        <v>680</v>
      </c>
      <c r="E86" s="3">
        <v>90</v>
      </c>
      <c r="F86" s="3" t="str">
        <f t="shared" si="1"/>
        <v>FGU620133.568090</v>
      </c>
      <c r="G86" t="str">
        <f>IF(ISNA(VLOOKUP($F86,'Raw Data'!$A:$M,7,0)),"",VLOOKUP($F86,'Raw Data'!$A:$M,7,0))</f>
        <v/>
      </c>
      <c r="H86" t="str">
        <f>IF(ISNA(VLOOKUP($F86,'Raw Data'!$A:$M,8,0)),"",VLOOKUP($F86,'Raw Data'!$A:$M,8,0))</f>
        <v/>
      </c>
      <c r="I86" t="str">
        <f>IF(ISNA(VLOOKUP($F86,'Raw Data'!$A:$M,9,0)),"",VLOOKUP($F86,'Raw Data'!$A:$M,9,0))</f>
        <v/>
      </c>
      <c r="J86" t="str">
        <f>IF(ISNA(VLOOKUP($F86,'Raw Data'!$A:$M,10,0)),"",VLOOKUP($F86,'Raw Data'!$A:$M,10,0))</f>
        <v/>
      </c>
      <c r="K86" t="str">
        <f>IF(ISNA(VLOOKUP($F86,'Raw Data'!$A:$M,11,0)),"",VLOOKUP($F86,'Raw Data'!$A:$M,11,0))</f>
        <v/>
      </c>
      <c r="L86" t="str">
        <f>IF(ISNA(VLOOKUP($F86,'Raw Data'!$A:$M,12,0)),"",VLOOKUP($F86,'Raw Data'!$A:$M,12,0))</f>
        <v/>
      </c>
      <c r="M86" t="str">
        <f>IF(ISNA(VLOOKUP($F86,'Raw Data'!$A:$M,13,0)),"",VLOOKUP($F86,'Raw Data'!$A:$M,13,0))</f>
        <v/>
      </c>
    </row>
    <row r="87" spans="1:13" x14ac:dyDescent="0.25">
      <c r="A87" t="s">
        <v>37</v>
      </c>
      <c r="B87">
        <v>2013</v>
      </c>
      <c r="C87">
        <v>3.5</v>
      </c>
      <c r="D87" s="3">
        <v>700</v>
      </c>
      <c r="E87" s="3">
        <v>90</v>
      </c>
      <c r="F87" s="3" t="str">
        <f t="shared" si="1"/>
        <v>FGU620133.570090</v>
      </c>
      <c r="G87" t="str">
        <f>IF(ISNA(VLOOKUP($F87,'Raw Data'!$A:$M,7,0)),"",VLOOKUP($F87,'Raw Data'!$A:$M,7,0))</f>
        <v/>
      </c>
      <c r="H87" t="str">
        <f>IF(ISNA(VLOOKUP($F87,'Raw Data'!$A:$M,8,0)),"",VLOOKUP($F87,'Raw Data'!$A:$M,8,0))</f>
        <v/>
      </c>
      <c r="I87" t="str">
        <f>IF(ISNA(VLOOKUP($F87,'Raw Data'!$A:$M,9,0)),"",VLOOKUP($F87,'Raw Data'!$A:$M,9,0))</f>
        <v/>
      </c>
      <c r="J87" t="str">
        <f>IF(ISNA(VLOOKUP($F87,'Raw Data'!$A:$M,10,0)),"",VLOOKUP($F87,'Raw Data'!$A:$M,10,0))</f>
        <v/>
      </c>
      <c r="K87" t="str">
        <f>IF(ISNA(VLOOKUP($F87,'Raw Data'!$A:$M,11,0)),"",VLOOKUP($F87,'Raw Data'!$A:$M,11,0))</f>
        <v/>
      </c>
      <c r="L87" t="str">
        <f>IF(ISNA(VLOOKUP($F87,'Raw Data'!$A:$M,12,0)),"",VLOOKUP($F87,'Raw Data'!$A:$M,12,0))</f>
        <v/>
      </c>
      <c r="M87" t="str">
        <f>IF(ISNA(VLOOKUP($F87,'Raw Data'!$A:$M,13,0)),"",VLOOKUP($F87,'Raw Data'!$A:$M,13,0))</f>
        <v/>
      </c>
    </row>
    <row r="88" spans="1:13" x14ac:dyDescent="0.25">
      <c r="A88" t="s">
        <v>37</v>
      </c>
      <c r="B88">
        <v>2013</v>
      </c>
      <c r="C88">
        <v>3.5</v>
      </c>
      <c r="D88" s="3">
        <v>720</v>
      </c>
      <c r="E88" s="3">
        <v>90</v>
      </c>
      <c r="F88" s="3" t="str">
        <f t="shared" si="1"/>
        <v>FGU620133.572090</v>
      </c>
      <c r="G88" t="str">
        <f>IF(ISNA(VLOOKUP($F88,'Raw Data'!$A:$M,7,0)),"",VLOOKUP($F88,'Raw Data'!$A:$M,7,0))</f>
        <v/>
      </c>
      <c r="H88" t="str">
        <f>IF(ISNA(VLOOKUP($F88,'Raw Data'!$A:$M,8,0)),"",VLOOKUP($F88,'Raw Data'!$A:$M,8,0))</f>
        <v/>
      </c>
      <c r="I88" t="str">
        <f>IF(ISNA(VLOOKUP($F88,'Raw Data'!$A:$M,9,0)),"",VLOOKUP($F88,'Raw Data'!$A:$M,9,0))</f>
        <v/>
      </c>
      <c r="J88" t="str">
        <f>IF(ISNA(VLOOKUP($F88,'Raw Data'!$A:$M,10,0)),"",VLOOKUP($F88,'Raw Data'!$A:$M,10,0))</f>
        <v/>
      </c>
      <c r="K88" t="str">
        <f>IF(ISNA(VLOOKUP($F88,'Raw Data'!$A:$M,11,0)),"",VLOOKUP($F88,'Raw Data'!$A:$M,11,0))</f>
        <v/>
      </c>
      <c r="L88" t="str">
        <f>IF(ISNA(VLOOKUP($F88,'Raw Data'!$A:$M,12,0)),"",VLOOKUP($F88,'Raw Data'!$A:$M,12,0))</f>
        <v/>
      </c>
      <c r="M88" t="str">
        <f>IF(ISNA(VLOOKUP($F88,'Raw Data'!$A:$M,13,0)),"",VLOOKUP($F88,'Raw Data'!$A:$M,13,0))</f>
        <v/>
      </c>
    </row>
    <row r="89" spans="1:13" x14ac:dyDescent="0.25">
      <c r="A89" t="s">
        <v>37</v>
      </c>
      <c r="B89">
        <v>2013</v>
      </c>
      <c r="C89">
        <v>3.5</v>
      </c>
      <c r="D89" s="3">
        <v>740</v>
      </c>
      <c r="E89" s="3">
        <v>90</v>
      </c>
      <c r="F89" s="3" t="str">
        <f t="shared" si="1"/>
        <v>FGU620133.574090</v>
      </c>
      <c r="G89">
        <f>IF(ISNA(VLOOKUP($F89,'Raw Data'!$A:$M,7,0)),"",VLOOKUP($F89,'Raw Data'!$A:$M,7,0))</f>
        <v>1082444.3999999999</v>
      </c>
      <c r="H89">
        <f>IF(ISNA(VLOOKUP($F89,'Raw Data'!$A:$M,8,0)),"",VLOOKUP($F89,'Raw Data'!$A:$M,8,0))</f>
        <v>-106.6858</v>
      </c>
      <c r="I89">
        <f>IF(ISNA(VLOOKUP($F89,'Raw Data'!$A:$M,9,0)),"",VLOOKUP($F89,'Raw Data'!$A:$M,9,0))</f>
        <v>-81.6858</v>
      </c>
      <c r="J89">
        <f>IF(ISNA(VLOOKUP($F89,'Raw Data'!$A:$M,10,0)),"",VLOOKUP($F89,'Raw Data'!$A:$M,10,0))</f>
        <v>25</v>
      </c>
      <c r="K89">
        <f>IF(ISNA(VLOOKUP($F89,'Raw Data'!$A:$M,11,0)),"",VLOOKUP($F89,'Raw Data'!$A:$M,11,0))</f>
        <v>-72.392899999999997</v>
      </c>
      <c r="L89">
        <f>IF(ISNA(VLOOKUP($F89,'Raw Data'!$A:$M,12,0)),"",VLOOKUP($F89,'Raw Data'!$A:$M,12,0))</f>
        <v>-64.872799999999998</v>
      </c>
      <c r="M89">
        <f>IF(ISNA(VLOOKUP($F89,'Raw Data'!$A:$M,13,0)),"",VLOOKUP($F89,'Raw Data'!$A:$M,13,0))</f>
        <v>7.5201000000000002</v>
      </c>
    </row>
    <row r="90" spans="1:13" x14ac:dyDescent="0.25">
      <c r="A90" t="s">
        <v>37</v>
      </c>
      <c r="B90">
        <v>2013</v>
      </c>
      <c r="C90">
        <v>3.5</v>
      </c>
      <c r="D90" s="3">
        <v>760</v>
      </c>
      <c r="E90" s="3">
        <v>90</v>
      </c>
      <c r="F90" s="3" t="str">
        <f t="shared" si="1"/>
        <v>FGU620133.576090</v>
      </c>
      <c r="G90" t="str">
        <f>IF(ISNA(VLOOKUP($F90,'Raw Data'!$A:$M,7,0)),"",VLOOKUP($F90,'Raw Data'!$A:$M,7,0))</f>
        <v/>
      </c>
      <c r="H90" t="str">
        <f>IF(ISNA(VLOOKUP($F90,'Raw Data'!$A:$M,8,0)),"",VLOOKUP($F90,'Raw Data'!$A:$M,8,0))</f>
        <v/>
      </c>
      <c r="I90" t="str">
        <f>IF(ISNA(VLOOKUP($F90,'Raw Data'!$A:$M,9,0)),"",VLOOKUP($F90,'Raw Data'!$A:$M,9,0))</f>
        <v/>
      </c>
      <c r="J90" t="str">
        <f>IF(ISNA(VLOOKUP($F90,'Raw Data'!$A:$M,10,0)),"",VLOOKUP($F90,'Raw Data'!$A:$M,10,0))</f>
        <v/>
      </c>
      <c r="K90" t="str">
        <f>IF(ISNA(VLOOKUP($F90,'Raw Data'!$A:$M,11,0)),"",VLOOKUP($F90,'Raw Data'!$A:$M,11,0))</f>
        <v/>
      </c>
      <c r="L90" t="str">
        <f>IF(ISNA(VLOOKUP($F90,'Raw Data'!$A:$M,12,0)),"",VLOOKUP($F90,'Raw Data'!$A:$M,12,0))</f>
        <v/>
      </c>
      <c r="M90" t="str">
        <f>IF(ISNA(VLOOKUP($F90,'Raw Data'!$A:$M,13,0)),"",VLOOKUP($F90,'Raw Data'!$A:$M,13,0))</f>
        <v/>
      </c>
    </row>
    <row r="91" spans="1:13" x14ac:dyDescent="0.25">
      <c r="A91" t="s">
        <v>37</v>
      </c>
      <c r="B91">
        <v>2013</v>
      </c>
      <c r="C91">
        <v>3.5</v>
      </c>
      <c r="D91" s="3">
        <v>780</v>
      </c>
      <c r="E91" s="3">
        <v>90</v>
      </c>
      <c r="F91" s="3" t="str">
        <f t="shared" si="1"/>
        <v>FGU620133.578090</v>
      </c>
      <c r="G91" t="str">
        <f>IF(ISNA(VLOOKUP($F91,'Raw Data'!$A:$M,7,0)),"",VLOOKUP($F91,'Raw Data'!$A:$M,7,0))</f>
        <v/>
      </c>
      <c r="H91" t="str">
        <f>IF(ISNA(VLOOKUP($F91,'Raw Data'!$A:$M,8,0)),"",VLOOKUP($F91,'Raw Data'!$A:$M,8,0))</f>
        <v/>
      </c>
      <c r="I91" t="str">
        <f>IF(ISNA(VLOOKUP($F91,'Raw Data'!$A:$M,9,0)),"",VLOOKUP($F91,'Raw Data'!$A:$M,9,0))</f>
        <v/>
      </c>
      <c r="J91" t="str">
        <f>IF(ISNA(VLOOKUP($F91,'Raw Data'!$A:$M,10,0)),"",VLOOKUP($F91,'Raw Data'!$A:$M,10,0))</f>
        <v/>
      </c>
      <c r="K91" t="str">
        <f>IF(ISNA(VLOOKUP($F91,'Raw Data'!$A:$M,11,0)),"",VLOOKUP($F91,'Raw Data'!$A:$M,11,0))</f>
        <v/>
      </c>
      <c r="L91" t="str">
        <f>IF(ISNA(VLOOKUP($F91,'Raw Data'!$A:$M,12,0)),"",VLOOKUP($F91,'Raw Data'!$A:$M,12,0))</f>
        <v/>
      </c>
      <c r="M91" t="str">
        <f>IF(ISNA(VLOOKUP($F91,'Raw Data'!$A:$M,13,0)),"",VLOOKUP($F91,'Raw Data'!$A:$M,13,0))</f>
        <v/>
      </c>
    </row>
    <row r="92" spans="1:13" x14ac:dyDescent="0.25">
      <c r="A92" t="s">
        <v>37</v>
      </c>
      <c r="B92">
        <v>2013</v>
      </c>
      <c r="C92">
        <v>3.5</v>
      </c>
      <c r="D92" s="3">
        <v>620</v>
      </c>
      <c r="E92" s="3">
        <v>95</v>
      </c>
      <c r="F92" s="3" t="str">
        <f t="shared" si="1"/>
        <v>FGU620133.562095</v>
      </c>
      <c r="G92" t="str">
        <f>IF(ISNA(VLOOKUP($F92,'Raw Data'!$A:$M,7,0)),"",VLOOKUP($F92,'Raw Data'!$A:$M,7,0))</f>
        <v/>
      </c>
      <c r="H92" t="str">
        <f>IF(ISNA(VLOOKUP($F92,'Raw Data'!$A:$M,8,0)),"",VLOOKUP($F92,'Raw Data'!$A:$M,8,0))</f>
        <v/>
      </c>
      <c r="I92" t="str">
        <f>IF(ISNA(VLOOKUP($F92,'Raw Data'!$A:$M,9,0)),"",VLOOKUP($F92,'Raw Data'!$A:$M,9,0))</f>
        <v/>
      </c>
      <c r="J92" t="str">
        <f>IF(ISNA(VLOOKUP($F92,'Raw Data'!$A:$M,10,0)),"",VLOOKUP($F92,'Raw Data'!$A:$M,10,0))</f>
        <v/>
      </c>
      <c r="K92" t="str">
        <f>IF(ISNA(VLOOKUP($F92,'Raw Data'!$A:$M,11,0)),"",VLOOKUP($F92,'Raw Data'!$A:$M,11,0))</f>
        <v/>
      </c>
      <c r="L92" t="str">
        <f>IF(ISNA(VLOOKUP($F92,'Raw Data'!$A:$M,12,0)),"",VLOOKUP($F92,'Raw Data'!$A:$M,12,0))</f>
        <v/>
      </c>
      <c r="M92" t="str">
        <f>IF(ISNA(VLOOKUP($F92,'Raw Data'!$A:$M,13,0)),"",VLOOKUP($F92,'Raw Data'!$A:$M,13,0))</f>
        <v/>
      </c>
    </row>
    <row r="93" spans="1:13" x14ac:dyDescent="0.25">
      <c r="A93" t="s">
        <v>37</v>
      </c>
      <c r="B93">
        <v>2013</v>
      </c>
      <c r="C93">
        <v>3.5</v>
      </c>
      <c r="D93" s="3">
        <v>640</v>
      </c>
      <c r="E93" s="3">
        <v>95</v>
      </c>
      <c r="F93" s="3" t="str">
        <f t="shared" si="1"/>
        <v>FGU620133.564095</v>
      </c>
      <c r="G93" t="str">
        <f>IF(ISNA(VLOOKUP($F93,'Raw Data'!$A:$M,7,0)),"",VLOOKUP($F93,'Raw Data'!$A:$M,7,0))</f>
        <v/>
      </c>
      <c r="H93" t="str">
        <f>IF(ISNA(VLOOKUP($F93,'Raw Data'!$A:$M,8,0)),"",VLOOKUP($F93,'Raw Data'!$A:$M,8,0))</f>
        <v/>
      </c>
      <c r="I93" t="str">
        <f>IF(ISNA(VLOOKUP($F93,'Raw Data'!$A:$M,9,0)),"",VLOOKUP($F93,'Raw Data'!$A:$M,9,0))</f>
        <v/>
      </c>
      <c r="J93" t="str">
        <f>IF(ISNA(VLOOKUP($F93,'Raw Data'!$A:$M,10,0)),"",VLOOKUP($F93,'Raw Data'!$A:$M,10,0))</f>
        <v/>
      </c>
      <c r="K93" t="str">
        <f>IF(ISNA(VLOOKUP($F93,'Raw Data'!$A:$M,11,0)),"",VLOOKUP($F93,'Raw Data'!$A:$M,11,0))</f>
        <v/>
      </c>
      <c r="L93" t="str">
        <f>IF(ISNA(VLOOKUP($F93,'Raw Data'!$A:$M,12,0)),"",VLOOKUP($F93,'Raw Data'!$A:$M,12,0))</f>
        <v/>
      </c>
      <c r="M93" t="str">
        <f>IF(ISNA(VLOOKUP($F93,'Raw Data'!$A:$M,13,0)),"",VLOOKUP($F93,'Raw Data'!$A:$M,13,0))</f>
        <v/>
      </c>
    </row>
    <row r="94" spans="1:13" x14ac:dyDescent="0.25">
      <c r="A94" t="s">
        <v>37</v>
      </c>
      <c r="B94">
        <v>2013</v>
      </c>
      <c r="C94">
        <v>3.5</v>
      </c>
      <c r="D94" s="3">
        <v>660</v>
      </c>
      <c r="E94" s="3">
        <v>95</v>
      </c>
      <c r="F94" s="3" t="str">
        <f t="shared" si="1"/>
        <v>FGU620133.566095</v>
      </c>
      <c r="G94" t="str">
        <f>IF(ISNA(VLOOKUP($F94,'Raw Data'!$A:$M,7,0)),"",VLOOKUP($F94,'Raw Data'!$A:$M,7,0))</f>
        <v/>
      </c>
      <c r="H94" t="str">
        <f>IF(ISNA(VLOOKUP($F94,'Raw Data'!$A:$M,8,0)),"",VLOOKUP($F94,'Raw Data'!$A:$M,8,0))</f>
        <v/>
      </c>
      <c r="I94" t="str">
        <f>IF(ISNA(VLOOKUP($F94,'Raw Data'!$A:$M,9,0)),"",VLOOKUP($F94,'Raw Data'!$A:$M,9,0))</f>
        <v/>
      </c>
      <c r="J94" t="str">
        <f>IF(ISNA(VLOOKUP($F94,'Raw Data'!$A:$M,10,0)),"",VLOOKUP($F94,'Raw Data'!$A:$M,10,0))</f>
        <v/>
      </c>
      <c r="K94" t="str">
        <f>IF(ISNA(VLOOKUP($F94,'Raw Data'!$A:$M,11,0)),"",VLOOKUP($F94,'Raw Data'!$A:$M,11,0))</f>
        <v/>
      </c>
      <c r="L94" t="str">
        <f>IF(ISNA(VLOOKUP($F94,'Raw Data'!$A:$M,12,0)),"",VLOOKUP($F94,'Raw Data'!$A:$M,12,0))</f>
        <v/>
      </c>
      <c r="M94" t="str">
        <f>IF(ISNA(VLOOKUP($F94,'Raw Data'!$A:$M,13,0)),"",VLOOKUP($F94,'Raw Data'!$A:$M,13,0))</f>
        <v/>
      </c>
    </row>
    <row r="95" spans="1:13" x14ac:dyDescent="0.25">
      <c r="A95" t="s">
        <v>37</v>
      </c>
      <c r="B95">
        <v>2013</v>
      </c>
      <c r="C95">
        <v>3.5</v>
      </c>
      <c r="D95" s="3">
        <v>680</v>
      </c>
      <c r="E95" s="3">
        <v>95</v>
      </c>
      <c r="F95" s="3" t="str">
        <f t="shared" si="1"/>
        <v>FGU620133.568095</v>
      </c>
      <c r="G95" t="str">
        <f>IF(ISNA(VLOOKUP($F95,'Raw Data'!$A:$M,7,0)),"",VLOOKUP($F95,'Raw Data'!$A:$M,7,0))</f>
        <v/>
      </c>
      <c r="H95" t="str">
        <f>IF(ISNA(VLOOKUP($F95,'Raw Data'!$A:$M,8,0)),"",VLOOKUP($F95,'Raw Data'!$A:$M,8,0))</f>
        <v/>
      </c>
      <c r="I95" t="str">
        <f>IF(ISNA(VLOOKUP($F95,'Raw Data'!$A:$M,9,0)),"",VLOOKUP($F95,'Raw Data'!$A:$M,9,0))</f>
        <v/>
      </c>
      <c r="J95" t="str">
        <f>IF(ISNA(VLOOKUP($F95,'Raw Data'!$A:$M,10,0)),"",VLOOKUP($F95,'Raw Data'!$A:$M,10,0))</f>
        <v/>
      </c>
      <c r="K95" t="str">
        <f>IF(ISNA(VLOOKUP($F95,'Raw Data'!$A:$M,11,0)),"",VLOOKUP($F95,'Raw Data'!$A:$M,11,0))</f>
        <v/>
      </c>
      <c r="L95" t="str">
        <f>IF(ISNA(VLOOKUP($F95,'Raw Data'!$A:$M,12,0)),"",VLOOKUP($F95,'Raw Data'!$A:$M,12,0))</f>
        <v/>
      </c>
      <c r="M95" t="str">
        <f>IF(ISNA(VLOOKUP($F95,'Raw Data'!$A:$M,13,0)),"",VLOOKUP($F95,'Raw Data'!$A:$M,13,0))</f>
        <v/>
      </c>
    </row>
    <row r="96" spans="1:13" x14ac:dyDescent="0.25">
      <c r="A96" t="s">
        <v>37</v>
      </c>
      <c r="B96">
        <v>2013</v>
      </c>
      <c r="C96">
        <v>3.5</v>
      </c>
      <c r="D96" s="3">
        <v>700</v>
      </c>
      <c r="E96" s="3">
        <v>95</v>
      </c>
      <c r="F96" s="3" t="str">
        <f t="shared" si="1"/>
        <v>FGU620133.570095</v>
      </c>
      <c r="G96" t="str">
        <f>IF(ISNA(VLOOKUP($F96,'Raw Data'!$A:$M,7,0)),"",VLOOKUP($F96,'Raw Data'!$A:$M,7,0))</f>
        <v/>
      </c>
      <c r="H96" t="str">
        <f>IF(ISNA(VLOOKUP($F96,'Raw Data'!$A:$M,8,0)),"",VLOOKUP($F96,'Raw Data'!$A:$M,8,0))</f>
        <v/>
      </c>
      <c r="I96" t="str">
        <f>IF(ISNA(VLOOKUP($F96,'Raw Data'!$A:$M,9,0)),"",VLOOKUP($F96,'Raw Data'!$A:$M,9,0))</f>
        <v/>
      </c>
      <c r="J96" t="str">
        <f>IF(ISNA(VLOOKUP($F96,'Raw Data'!$A:$M,10,0)),"",VLOOKUP($F96,'Raw Data'!$A:$M,10,0))</f>
        <v/>
      </c>
      <c r="K96" t="str">
        <f>IF(ISNA(VLOOKUP($F96,'Raw Data'!$A:$M,11,0)),"",VLOOKUP($F96,'Raw Data'!$A:$M,11,0))</f>
        <v/>
      </c>
      <c r="L96" t="str">
        <f>IF(ISNA(VLOOKUP($F96,'Raw Data'!$A:$M,12,0)),"",VLOOKUP($F96,'Raw Data'!$A:$M,12,0))</f>
        <v/>
      </c>
      <c r="M96" t="str">
        <f>IF(ISNA(VLOOKUP($F96,'Raw Data'!$A:$M,13,0)),"",VLOOKUP($F96,'Raw Data'!$A:$M,13,0))</f>
        <v/>
      </c>
    </row>
    <row r="97" spans="1:13" x14ac:dyDescent="0.25">
      <c r="A97" t="s">
        <v>37</v>
      </c>
      <c r="B97">
        <v>2013</v>
      </c>
      <c r="C97">
        <v>3.5</v>
      </c>
      <c r="D97" s="3">
        <v>720</v>
      </c>
      <c r="E97" s="3">
        <v>95</v>
      </c>
      <c r="F97" s="3" t="str">
        <f t="shared" si="1"/>
        <v>FGU620133.572095</v>
      </c>
      <c r="G97" t="str">
        <f>IF(ISNA(VLOOKUP($F97,'Raw Data'!$A:$M,7,0)),"",VLOOKUP($F97,'Raw Data'!$A:$M,7,0))</f>
        <v/>
      </c>
      <c r="H97" t="str">
        <f>IF(ISNA(VLOOKUP($F97,'Raw Data'!$A:$M,8,0)),"",VLOOKUP($F97,'Raw Data'!$A:$M,8,0))</f>
        <v/>
      </c>
      <c r="I97" t="str">
        <f>IF(ISNA(VLOOKUP($F97,'Raw Data'!$A:$M,9,0)),"",VLOOKUP($F97,'Raw Data'!$A:$M,9,0))</f>
        <v/>
      </c>
      <c r="J97" t="str">
        <f>IF(ISNA(VLOOKUP($F97,'Raw Data'!$A:$M,10,0)),"",VLOOKUP($F97,'Raw Data'!$A:$M,10,0))</f>
        <v/>
      </c>
      <c r="K97" t="str">
        <f>IF(ISNA(VLOOKUP($F97,'Raw Data'!$A:$M,11,0)),"",VLOOKUP($F97,'Raw Data'!$A:$M,11,0))</f>
        <v/>
      </c>
      <c r="L97" t="str">
        <f>IF(ISNA(VLOOKUP($F97,'Raw Data'!$A:$M,12,0)),"",VLOOKUP($F97,'Raw Data'!$A:$M,12,0))</f>
        <v/>
      </c>
      <c r="M97" t="str">
        <f>IF(ISNA(VLOOKUP($F97,'Raw Data'!$A:$M,13,0)),"",VLOOKUP($F97,'Raw Data'!$A:$M,13,0))</f>
        <v/>
      </c>
    </row>
    <row r="98" spans="1:13" x14ac:dyDescent="0.25">
      <c r="A98" t="s">
        <v>37</v>
      </c>
      <c r="B98">
        <v>2013</v>
      </c>
      <c r="C98">
        <v>3.5</v>
      </c>
      <c r="D98" s="3">
        <v>740</v>
      </c>
      <c r="E98" s="3">
        <v>95</v>
      </c>
      <c r="F98" s="3" t="str">
        <f t="shared" si="1"/>
        <v>FGU620133.574095</v>
      </c>
      <c r="G98" t="str">
        <f>IF(ISNA(VLOOKUP($F98,'Raw Data'!$A:$M,7,0)),"",VLOOKUP($F98,'Raw Data'!$A:$M,7,0))</f>
        <v/>
      </c>
      <c r="H98" t="str">
        <f>IF(ISNA(VLOOKUP($F98,'Raw Data'!$A:$M,8,0)),"",VLOOKUP($F98,'Raw Data'!$A:$M,8,0))</f>
        <v/>
      </c>
      <c r="I98" t="str">
        <f>IF(ISNA(VLOOKUP($F98,'Raw Data'!$A:$M,9,0)),"",VLOOKUP($F98,'Raw Data'!$A:$M,9,0))</f>
        <v/>
      </c>
      <c r="J98" t="str">
        <f>IF(ISNA(VLOOKUP($F98,'Raw Data'!$A:$M,10,0)),"",VLOOKUP($F98,'Raw Data'!$A:$M,10,0))</f>
        <v/>
      </c>
      <c r="K98" t="str">
        <f>IF(ISNA(VLOOKUP($F98,'Raw Data'!$A:$M,11,0)),"",VLOOKUP($F98,'Raw Data'!$A:$M,11,0))</f>
        <v/>
      </c>
      <c r="L98" t="str">
        <f>IF(ISNA(VLOOKUP($F98,'Raw Data'!$A:$M,12,0)),"",VLOOKUP($F98,'Raw Data'!$A:$M,12,0))</f>
        <v/>
      </c>
      <c r="M98" t="str">
        <f>IF(ISNA(VLOOKUP($F98,'Raw Data'!$A:$M,13,0)),"",VLOOKUP($F98,'Raw Data'!$A:$M,13,0))</f>
        <v/>
      </c>
    </row>
    <row r="99" spans="1:13" x14ac:dyDescent="0.25">
      <c r="A99" t="s">
        <v>37</v>
      </c>
      <c r="B99">
        <v>2013</v>
      </c>
      <c r="C99">
        <v>3.5</v>
      </c>
      <c r="D99" s="3">
        <v>760</v>
      </c>
      <c r="E99" s="3">
        <v>95</v>
      </c>
      <c r="F99" s="3" t="str">
        <f t="shared" si="1"/>
        <v>FGU620133.576095</v>
      </c>
      <c r="G99" t="str">
        <f>IF(ISNA(VLOOKUP($F99,'Raw Data'!$A:$M,7,0)),"",VLOOKUP($F99,'Raw Data'!$A:$M,7,0))</f>
        <v/>
      </c>
      <c r="H99" t="str">
        <f>IF(ISNA(VLOOKUP($F99,'Raw Data'!$A:$M,8,0)),"",VLOOKUP($F99,'Raw Data'!$A:$M,8,0))</f>
        <v/>
      </c>
      <c r="I99" t="str">
        <f>IF(ISNA(VLOOKUP($F99,'Raw Data'!$A:$M,9,0)),"",VLOOKUP($F99,'Raw Data'!$A:$M,9,0))</f>
        <v/>
      </c>
      <c r="J99" t="str">
        <f>IF(ISNA(VLOOKUP($F99,'Raw Data'!$A:$M,10,0)),"",VLOOKUP($F99,'Raw Data'!$A:$M,10,0))</f>
        <v/>
      </c>
      <c r="K99" t="str">
        <f>IF(ISNA(VLOOKUP($F99,'Raw Data'!$A:$M,11,0)),"",VLOOKUP($F99,'Raw Data'!$A:$M,11,0))</f>
        <v/>
      </c>
      <c r="L99" t="str">
        <f>IF(ISNA(VLOOKUP($F99,'Raw Data'!$A:$M,12,0)),"",VLOOKUP($F99,'Raw Data'!$A:$M,12,0))</f>
        <v/>
      </c>
      <c r="M99" t="str">
        <f>IF(ISNA(VLOOKUP($F99,'Raw Data'!$A:$M,13,0)),"",VLOOKUP($F99,'Raw Data'!$A:$M,13,0))</f>
        <v/>
      </c>
    </row>
    <row r="100" spans="1:13" x14ac:dyDescent="0.25">
      <c r="A100" t="s">
        <v>37</v>
      </c>
      <c r="B100">
        <v>2013</v>
      </c>
      <c r="C100">
        <v>3.5</v>
      </c>
      <c r="D100" s="3">
        <v>780</v>
      </c>
      <c r="E100" s="3">
        <v>95</v>
      </c>
      <c r="F100" s="3" t="str">
        <f t="shared" si="1"/>
        <v>FGU620133.578095</v>
      </c>
      <c r="G100" t="str">
        <f>IF(ISNA(VLOOKUP($F100,'Raw Data'!$A:$M,7,0)),"",VLOOKUP($F100,'Raw Data'!$A:$M,7,0))</f>
        <v/>
      </c>
      <c r="H100" t="str">
        <f>IF(ISNA(VLOOKUP($F100,'Raw Data'!$A:$M,8,0)),"",VLOOKUP($F100,'Raw Data'!$A:$M,8,0))</f>
        <v/>
      </c>
      <c r="I100" t="str">
        <f>IF(ISNA(VLOOKUP($F100,'Raw Data'!$A:$M,9,0)),"",VLOOKUP($F100,'Raw Data'!$A:$M,9,0))</f>
        <v/>
      </c>
      <c r="J100" t="str">
        <f>IF(ISNA(VLOOKUP($F100,'Raw Data'!$A:$M,10,0)),"",VLOOKUP($F100,'Raw Data'!$A:$M,10,0))</f>
        <v/>
      </c>
      <c r="K100" t="str">
        <f>IF(ISNA(VLOOKUP($F100,'Raw Data'!$A:$M,11,0)),"",VLOOKUP($F100,'Raw Data'!$A:$M,11,0))</f>
        <v/>
      </c>
      <c r="L100" t="str">
        <f>IF(ISNA(VLOOKUP($F100,'Raw Data'!$A:$M,12,0)),"",VLOOKUP($F100,'Raw Data'!$A:$M,12,0))</f>
        <v/>
      </c>
      <c r="M100" t="str">
        <f>IF(ISNA(VLOOKUP($F100,'Raw Data'!$A:$M,13,0)),"",VLOOKUP($F100,'Raw Data'!$A:$M,13,0))</f>
        <v/>
      </c>
    </row>
    <row r="101" spans="1:13" x14ac:dyDescent="0.25">
      <c r="A101" t="s">
        <v>37</v>
      </c>
      <c r="B101">
        <v>2013</v>
      </c>
      <c r="C101">
        <v>3.5</v>
      </c>
      <c r="D101" s="3">
        <v>620</v>
      </c>
      <c r="E101" s="3">
        <v>97</v>
      </c>
      <c r="F101" s="3" t="str">
        <f t="shared" si="1"/>
        <v>FGU620133.562097</v>
      </c>
      <c r="G101" t="str">
        <f>IF(ISNA(VLOOKUP($F101,'Raw Data'!$A:$M,7,0)),"",VLOOKUP($F101,'Raw Data'!$A:$M,7,0))</f>
        <v/>
      </c>
      <c r="H101" t="str">
        <f>IF(ISNA(VLOOKUP($F101,'Raw Data'!$A:$M,8,0)),"",VLOOKUP($F101,'Raw Data'!$A:$M,8,0))</f>
        <v/>
      </c>
      <c r="I101" t="str">
        <f>IF(ISNA(VLOOKUP($F101,'Raw Data'!$A:$M,9,0)),"",VLOOKUP($F101,'Raw Data'!$A:$M,9,0))</f>
        <v/>
      </c>
      <c r="J101" t="str">
        <f>IF(ISNA(VLOOKUP($F101,'Raw Data'!$A:$M,10,0)),"",VLOOKUP($F101,'Raw Data'!$A:$M,10,0))</f>
        <v/>
      </c>
      <c r="K101" t="str">
        <f>IF(ISNA(VLOOKUP($F101,'Raw Data'!$A:$M,11,0)),"",VLOOKUP($F101,'Raw Data'!$A:$M,11,0))</f>
        <v/>
      </c>
      <c r="L101" t="str">
        <f>IF(ISNA(VLOOKUP($F101,'Raw Data'!$A:$M,12,0)),"",VLOOKUP($F101,'Raw Data'!$A:$M,12,0))</f>
        <v/>
      </c>
      <c r="M101" t="str">
        <f>IF(ISNA(VLOOKUP($F101,'Raw Data'!$A:$M,13,0)),"",VLOOKUP($F101,'Raw Data'!$A:$M,13,0))</f>
        <v/>
      </c>
    </row>
    <row r="102" spans="1:13" x14ac:dyDescent="0.25">
      <c r="A102" t="s">
        <v>37</v>
      </c>
      <c r="B102">
        <v>2013</v>
      </c>
      <c r="C102">
        <v>3.5</v>
      </c>
      <c r="D102" s="3">
        <v>640</v>
      </c>
      <c r="E102" s="3">
        <v>97</v>
      </c>
      <c r="F102" s="3" t="str">
        <f t="shared" si="1"/>
        <v>FGU620133.564097</v>
      </c>
      <c r="G102" t="str">
        <f>IF(ISNA(VLOOKUP($F102,'Raw Data'!$A:$M,7,0)),"",VLOOKUP($F102,'Raw Data'!$A:$M,7,0))</f>
        <v/>
      </c>
      <c r="H102" t="str">
        <f>IF(ISNA(VLOOKUP($F102,'Raw Data'!$A:$M,8,0)),"",VLOOKUP($F102,'Raw Data'!$A:$M,8,0))</f>
        <v/>
      </c>
      <c r="I102" t="str">
        <f>IF(ISNA(VLOOKUP($F102,'Raw Data'!$A:$M,9,0)),"",VLOOKUP($F102,'Raw Data'!$A:$M,9,0))</f>
        <v/>
      </c>
      <c r="J102" t="str">
        <f>IF(ISNA(VLOOKUP($F102,'Raw Data'!$A:$M,10,0)),"",VLOOKUP($F102,'Raw Data'!$A:$M,10,0))</f>
        <v/>
      </c>
      <c r="K102" t="str">
        <f>IF(ISNA(VLOOKUP($F102,'Raw Data'!$A:$M,11,0)),"",VLOOKUP($F102,'Raw Data'!$A:$M,11,0))</f>
        <v/>
      </c>
      <c r="L102" t="str">
        <f>IF(ISNA(VLOOKUP($F102,'Raw Data'!$A:$M,12,0)),"",VLOOKUP($F102,'Raw Data'!$A:$M,12,0))</f>
        <v/>
      </c>
      <c r="M102" t="str">
        <f>IF(ISNA(VLOOKUP($F102,'Raw Data'!$A:$M,13,0)),"",VLOOKUP($F102,'Raw Data'!$A:$M,13,0))</f>
        <v/>
      </c>
    </row>
    <row r="103" spans="1:13" x14ac:dyDescent="0.25">
      <c r="A103" t="s">
        <v>37</v>
      </c>
      <c r="B103">
        <v>2013</v>
      </c>
      <c r="C103">
        <v>3.5</v>
      </c>
      <c r="D103" s="3">
        <v>660</v>
      </c>
      <c r="E103" s="3">
        <v>97</v>
      </c>
      <c r="F103" s="3" t="str">
        <f t="shared" si="1"/>
        <v>FGU620133.566097</v>
      </c>
      <c r="G103" t="str">
        <f>IF(ISNA(VLOOKUP($F103,'Raw Data'!$A:$M,7,0)),"",VLOOKUP($F103,'Raw Data'!$A:$M,7,0))</f>
        <v/>
      </c>
      <c r="H103" t="str">
        <f>IF(ISNA(VLOOKUP($F103,'Raw Data'!$A:$M,8,0)),"",VLOOKUP($F103,'Raw Data'!$A:$M,8,0))</f>
        <v/>
      </c>
      <c r="I103" t="str">
        <f>IF(ISNA(VLOOKUP($F103,'Raw Data'!$A:$M,9,0)),"",VLOOKUP($F103,'Raw Data'!$A:$M,9,0))</f>
        <v/>
      </c>
      <c r="J103" t="str">
        <f>IF(ISNA(VLOOKUP($F103,'Raw Data'!$A:$M,10,0)),"",VLOOKUP($F103,'Raw Data'!$A:$M,10,0))</f>
        <v/>
      </c>
      <c r="K103" t="str">
        <f>IF(ISNA(VLOOKUP($F103,'Raw Data'!$A:$M,11,0)),"",VLOOKUP($F103,'Raw Data'!$A:$M,11,0))</f>
        <v/>
      </c>
      <c r="L103" t="str">
        <f>IF(ISNA(VLOOKUP($F103,'Raw Data'!$A:$M,12,0)),"",VLOOKUP($F103,'Raw Data'!$A:$M,12,0))</f>
        <v/>
      </c>
      <c r="M103" t="str">
        <f>IF(ISNA(VLOOKUP($F103,'Raw Data'!$A:$M,13,0)),"",VLOOKUP($F103,'Raw Data'!$A:$M,13,0))</f>
        <v/>
      </c>
    </row>
    <row r="104" spans="1:13" x14ac:dyDescent="0.25">
      <c r="A104" t="s">
        <v>37</v>
      </c>
      <c r="B104">
        <v>2013</v>
      </c>
      <c r="C104">
        <v>3.5</v>
      </c>
      <c r="D104" s="3">
        <v>680</v>
      </c>
      <c r="E104" s="3">
        <v>97</v>
      </c>
      <c r="F104" s="3" t="str">
        <f t="shared" si="1"/>
        <v>FGU620133.568097</v>
      </c>
      <c r="G104" t="str">
        <f>IF(ISNA(VLOOKUP($F104,'Raw Data'!$A:$M,7,0)),"",VLOOKUP($F104,'Raw Data'!$A:$M,7,0))</f>
        <v/>
      </c>
      <c r="H104" t="str">
        <f>IF(ISNA(VLOOKUP($F104,'Raw Data'!$A:$M,8,0)),"",VLOOKUP($F104,'Raw Data'!$A:$M,8,0))</f>
        <v/>
      </c>
      <c r="I104" t="str">
        <f>IF(ISNA(VLOOKUP($F104,'Raw Data'!$A:$M,9,0)),"",VLOOKUP($F104,'Raw Data'!$A:$M,9,0))</f>
        <v/>
      </c>
      <c r="J104" t="str">
        <f>IF(ISNA(VLOOKUP($F104,'Raw Data'!$A:$M,10,0)),"",VLOOKUP($F104,'Raw Data'!$A:$M,10,0))</f>
        <v/>
      </c>
      <c r="K104" t="str">
        <f>IF(ISNA(VLOOKUP($F104,'Raw Data'!$A:$M,11,0)),"",VLOOKUP($F104,'Raw Data'!$A:$M,11,0))</f>
        <v/>
      </c>
      <c r="L104" t="str">
        <f>IF(ISNA(VLOOKUP($F104,'Raw Data'!$A:$M,12,0)),"",VLOOKUP($F104,'Raw Data'!$A:$M,12,0))</f>
        <v/>
      </c>
      <c r="M104" t="str">
        <f>IF(ISNA(VLOOKUP($F104,'Raw Data'!$A:$M,13,0)),"",VLOOKUP($F104,'Raw Data'!$A:$M,13,0))</f>
        <v/>
      </c>
    </row>
    <row r="105" spans="1:13" x14ac:dyDescent="0.25">
      <c r="A105" t="s">
        <v>37</v>
      </c>
      <c r="B105">
        <v>2013</v>
      </c>
      <c r="C105">
        <v>3.5</v>
      </c>
      <c r="D105" s="3">
        <v>700</v>
      </c>
      <c r="E105" s="3">
        <v>97</v>
      </c>
      <c r="F105" s="3" t="str">
        <f t="shared" si="1"/>
        <v>FGU620133.570097</v>
      </c>
      <c r="G105" t="str">
        <f>IF(ISNA(VLOOKUP($F105,'Raw Data'!$A:$M,7,0)),"",VLOOKUP($F105,'Raw Data'!$A:$M,7,0))</f>
        <v/>
      </c>
      <c r="H105" t="str">
        <f>IF(ISNA(VLOOKUP($F105,'Raw Data'!$A:$M,8,0)),"",VLOOKUP($F105,'Raw Data'!$A:$M,8,0))</f>
        <v/>
      </c>
      <c r="I105" t="str">
        <f>IF(ISNA(VLOOKUP($F105,'Raw Data'!$A:$M,9,0)),"",VLOOKUP($F105,'Raw Data'!$A:$M,9,0))</f>
        <v/>
      </c>
      <c r="J105" t="str">
        <f>IF(ISNA(VLOOKUP($F105,'Raw Data'!$A:$M,10,0)),"",VLOOKUP($F105,'Raw Data'!$A:$M,10,0))</f>
        <v/>
      </c>
      <c r="K105" t="str">
        <f>IF(ISNA(VLOOKUP($F105,'Raw Data'!$A:$M,11,0)),"",VLOOKUP($F105,'Raw Data'!$A:$M,11,0))</f>
        <v/>
      </c>
      <c r="L105" t="str">
        <f>IF(ISNA(VLOOKUP($F105,'Raw Data'!$A:$M,12,0)),"",VLOOKUP($F105,'Raw Data'!$A:$M,12,0))</f>
        <v/>
      </c>
      <c r="M105" t="str">
        <f>IF(ISNA(VLOOKUP($F105,'Raw Data'!$A:$M,13,0)),"",VLOOKUP($F105,'Raw Data'!$A:$M,13,0))</f>
        <v/>
      </c>
    </row>
    <row r="106" spans="1:13" x14ac:dyDescent="0.25">
      <c r="A106" t="s">
        <v>37</v>
      </c>
      <c r="B106">
        <v>2013</v>
      </c>
      <c r="C106">
        <v>3.5</v>
      </c>
      <c r="D106" s="3">
        <v>720</v>
      </c>
      <c r="E106" s="3">
        <v>97</v>
      </c>
      <c r="F106" s="3" t="str">
        <f t="shared" si="1"/>
        <v>FGU620133.572097</v>
      </c>
      <c r="G106" t="str">
        <f>IF(ISNA(VLOOKUP($F106,'Raw Data'!$A:$M,7,0)),"",VLOOKUP($F106,'Raw Data'!$A:$M,7,0))</f>
        <v/>
      </c>
      <c r="H106" t="str">
        <f>IF(ISNA(VLOOKUP($F106,'Raw Data'!$A:$M,8,0)),"",VLOOKUP($F106,'Raw Data'!$A:$M,8,0))</f>
        <v/>
      </c>
      <c r="I106" t="str">
        <f>IF(ISNA(VLOOKUP($F106,'Raw Data'!$A:$M,9,0)),"",VLOOKUP($F106,'Raw Data'!$A:$M,9,0))</f>
        <v/>
      </c>
      <c r="J106" t="str">
        <f>IF(ISNA(VLOOKUP($F106,'Raw Data'!$A:$M,10,0)),"",VLOOKUP($F106,'Raw Data'!$A:$M,10,0))</f>
        <v/>
      </c>
      <c r="K106" t="str">
        <f>IF(ISNA(VLOOKUP($F106,'Raw Data'!$A:$M,11,0)),"",VLOOKUP($F106,'Raw Data'!$A:$M,11,0))</f>
        <v/>
      </c>
      <c r="L106" t="str">
        <f>IF(ISNA(VLOOKUP($F106,'Raw Data'!$A:$M,12,0)),"",VLOOKUP($F106,'Raw Data'!$A:$M,12,0))</f>
        <v/>
      </c>
      <c r="M106" t="str">
        <f>IF(ISNA(VLOOKUP($F106,'Raw Data'!$A:$M,13,0)),"",VLOOKUP($F106,'Raw Data'!$A:$M,13,0))</f>
        <v/>
      </c>
    </row>
    <row r="107" spans="1:13" x14ac:dyDescent="0.25">
      <c r="A107" t="s">
        <v>37</v>
      </c>
      <c r="B107">
        <v>2013</v>
      </c>
      <c r="C107">
        <v>3.5</v>
      </c>
      <c r="D107" s="3">
        <v>740</v>
      </c>
      <c r="E107" s="3">
        <v>97</v>
      </c>
      <c r="F107" s="3" t="str">
        <f t="shared" si="1"/>
        <v>FGU620133.574097</v>
      </c>
      <c r="G107" t="str">
        <f>IF(ISNA(VLOOKUP($F107,'Raw Data'!$A:$M,7,0)),"",VLOOKUP($F107,'Raw Data'!$A:$M,7,0))</f>
        <v/>
      </c>
      <c r="H107" t="str">
        <f>IF(ISNA(VLOOKUP($F107,'Raw Data'!$A:$M,8,0)),"",VLOOKUP($F107,'Raw Data'!$A:$M,8,0))</f>
        <v/>
      </c>
      <c r="I107" t="str">
        <f>IF(ISNA(VLOOKUP($F107,'Raw Data'!$A:$M,9,0)),"",VLOOKUP($F107,'Raw Data'!$A:$M,9,0))</f>
        <v/>
      </c>
      <c r="J107" t="str">
        <f>IF(ISNA(VLOOKUP($F107,'Raw Data'!$A:$M,10,0)),"",VLOOKUP($F107,'Raw Data'!$A:$M,10,0))</f>
        <v/>
      </c>
      <c r="K107" t="str">
        <f>IF(ISNA(VLOOKUP($F107,'Raw Data'!$A:$M,11,0)),"",VLOOKUP($F107,'Raw Data'!$A:$M,11,0))</f>
        <v/>
      </c>
      <c r="L107" t="str">
        <f>IF(ISNA(VLOOKUP($F107,'Raw Data'!$A:$M,12,0)),"",VLOOKUP($F107,'Raw Data'!$A:$M,12,0))</f>
        <v/>
      </c>
      <c r="M107" t="str">
        <f>IF(ISNA(VLOOKUP($F107,'Raw Data'!$A:$M,13,0)),"",VLOOKUP($F107,'Raw Data'!$A:$M,13,0))</f>
        <v/>
      </c>
    </row>
    <row r="108" spans="1:13" x14ac:dyDescent="0.25">
      <c r="A108" t="s">
        <v>37</v>
      </c>
      <c r="B108">
        <v>2013</v>
      </c>
      <c r="C108">
        <v>3.5</v>
      </c>
      <c r="D108" s="3">
        <v>760</v>
      </c>
      <c r="E108" s="3">
        <v>97</v>
      </c>
      <c r="F108" s="3" t="str">
        <f t="shared" si="1"/>
        <v>FGU620133.576097</v>
      </c>
      <c r="G108" t="str">
        <f>IF(ISNA(VLOOKUP($F108,'Raw Data'!$A:$M,7,0)),"",VLOOKUP($F108,'Raw Data'!$A:$M,7,0))</f>
        <v/>
      </c>
      <c r="H108" t="str">
        <f>IF(ISNA(VLOOKUP($F108,'Raw Data'!$A:$M,8,0)),"",VLOOKUP($F108,'Raw Data'!$A:$M,8,0))</f>
        <v/>
      </c>
      <c r="I108" t="str">
        <f>IF(ISNA(VLOOKUP($F108,'Raw Data'!$A:$M,9,0)),"",VLOOKUP($F108,'Raw Data'!$A:$M,9,0))</f>
        <v/>
      </c>
      <c r="J108" t="str">
        <f>IF(ISNA(VLOOKUP($F108,'Raw Data'!$A:$M,10,0)),"",VLOOKUP($F108,'Raw Data'!$A:$M,10,0))</f>
        <v/>
      </c>
      <c r="K108" t="str">
        <f>IF(ISNA(VLOOKUP($F108,'Raw Data'!$A:$M,11,0)),"",VLOOKUP($F108,'Raw Data'!$A:$M,11,0))</f>
        <v/>
      </c>
      <c r="L108" t="str">
        <f>IF(ISNA(VLOOKUP($F108,'Raw Data'!$A:$M,12,0)),"",VLOOKUP($F108,'Raw Data'!$A:$M,12,0))</f>
        <v/>
      </c>
      <c r="M108" t="str">
        <f>IF(ISNA(VLOOKUP($F108,'Raw Data'!$A:$M,13,0)),"",VLOOKUP($F108,'Raw Data'!$A:$M,13,0))</f>
        <v/>
      </c>
    </row>
    <row r="109" spans="1:13" x14ac:dyDescent="0.25">
      <c r="A109" t="s">
        <v>37</v>
      </c>
      <c r="B109">
        <v>2013</v>
      </c>
      <c r="C109">
        <v>3.5</v>
      </c>
      <c r="D109" s="3">
        <v>780</v>
      </c>
      <c r="E109" s="3">
        <v>97</v>
      </c>
      <c r="F109" s="3" t="str">
        <f t="shared" si="1"/>
        <v>FGU620133.578097</v>
      </c>
      <c r="G109" t="str">
        <f>IF(ISNA(VLOOKUP($F109,'Raw Data'!$A:$M,7,0)),"",VLOOKUP($F109,'Raw Data'!$A:$M,7,0))</f>
        <v/>
      </c>
      <c r="H109" t="str">
        <f>IF(ISNA(VLOOKUP($F109,'Raw Data'!$A:$M,8,0)),"",VLOOKUP($F109,'Raw Data'!$A:$M,8,0))</f>
        <v/>
      </c>
      <c r="I109" t="str">
        <f>IF(ISNA(VLOOKUP($F109,'Raw Data'!$A:$M,9,0)),"",VLOOKUP($F109,'Raw Data'!$A:$M,9,0))</f>
        <v/>
      </c>
      <c r="J109" t="str">
        <f>IF(ISNA(VLOOKUP($F109,'Raw Data'!$A:$M,10,0)),"",VLOOKUP($F109,'Raw Data'!$A:$M,10,0))</f>
        <v/>
      </c>
      <c r="K109" t="str">
        <f>IF(ISNA(VLOOKUP($F109,'Raw Data'!$A:$M,11,0)),"",VLOOKUP($F109,'Raw Data'!$A:$M,11,0))</f>
        <v/>
      </c>
      <c r="L109" t="str">
        <f>IF(ISNA(VLOOKUP($F109,'Raw Data'!$A:$M,12,0)),"",VLOOKUP($F109,'Raw Data'!$A:$M,12,0))</f>
        <v/>
      </c>
      <c r="M109" t="str">
        <f>IF(ISNA(VLOOKUP($F109,'Raw Data'!$A:$M,13,0)),"",VLOOKUP($F109,'Raw Data'!$A:$M,13,0))</f>
        <v/>
      </c>
    </row>
    <row r="110" spans="1:13" x14ac:dyDescent="0.25">
      <c r="A110" t="s">
        <v>37</v>
      </c>
      <c r="B110">
        <v>2013</v>
      </c>
      <c r="C110">
        <v>3.5</v>
      </c>
      <c r="D110" s="3">
        <v>620</v>
      </c>
      <c r="E110" s="3">
        <v>100</v>
      </c>
      <c r="F110" s="3" t="str">
        <f t="shared" si="1"/>
        <v>FGU620133.5620100</v>
      </c>
      <c r="G110" t="str">
        <f>IF(ISNA(VLOOKUP($F110,'Raw Data'!$A:$M,7,0)),"",VLOOKUP($F110,'Raw Data'!$A:$M,7,0))</f>
        <v/>
      </c>
      <c r="H110" t="str">
        <f>IF(ISNA(VLOOKUP($F110,'Raw Data'!$A:$M,8,0)),"",VLOOKUP($F110,'Raw Data'!$A:$M,8,0))</f>
        <v/>
      </c>
      <c r="I110" t="str">
        <f>IF(ISNA(VLOOKUP($F110,'Raw Data'!$A:$M,9,0)),"",VLOOKUP($F110,'Raw Data'!$A:$M,9,0))</f>
        <v/>
      </c>
      <c r="J110" t="str">
        <f>IF(ISNA(VLOOKUP($F110,'Raw Data'!$A:$M,10,0)),"",VLOOKUP($F110,'Raw Data'!$A:$M,10,0))</f>
        <v/>
      </c>
      <c r="K110" t="str">
        <f>IF(ISNA(VLOOKUP($F110,'Raw Data'!$A:$M,11,0)),"",VLOOKUP($F110,'Raw Data'!$A:$M,11,0))</f>
        <v/>
      </c>
      <c r="L110" t="str">
        <f>IF(ISNA(VLOOKUP($F110,'Raw Data'!$A:$M,12,0)),"",VLOOKUP($F110,'Raw Data'!$A:$M,12,0))</f>
        <v/>
      </c>
      <c r="M110" t="str">
        <f>IF(ISNA(VLOOKUP($F110,'Raw Data'!$A:$M,13,0)),"",VLOOKUP($F110,'Raw Data'!$A:$M,13,0))</f>
        <v/>
      </c>
    </row>
    <row r="111" spans="1:13" x14ac:dyDescent="0.25">
      <c r="A111" t="s">
        <v>37</v>
      </c>
      <c r="B111">
        <v>2013</v>
      </c>
      <c r="C111">
        <v>3.5</v>
      </c>
      <c r="D111" s="3">
        <v>640</v>
      </c>
      <c r="E111" s="3">
        <v>100</v>
      </c>
      <c r="F111" s="3" t="str">
        <f t="shared" si="1"/>
        <v>FGU620133.5640100</v>
      </c>
      <c r="G111" t="str">
        <f>IF(ISNA(VLOOKUP($F111,'Raw Data'!$A:$M,7,0)),"",VLOOKUP($F111,'Raw Data'!$A:$M,7,0))</f>
        <v/>
      </c>
      <c r="H111" t="str">
        <f>IF(ISNA(VLOOKUP($F111,'Raw Data'!$A:$M,8,0)),"",VLOOKUP($F111,'Raw Data'!$A:$M,8,0))</f>
        <v/>
      </c>
      <c r="I111" t="str">
        <f>IF(ISNA(VLOOKUP($F111,'Raw Data'!$A:$M,9,0)),"",VLOOKUP($F111,'Raw Data'!$A:$M,9,0))</f>
        <v/>
      </c>
      <c r="J111" t="str">
        <f>IF(ISNA(VLOOKUP($F111,'Raw Data'!$A:$M,10,0)),"",VLOOKUP($F111,'Raw Data'!$A:$M,10,0))</f>
        <v/>
      </c>
      <c r="K111" t="str">
        <f>IF(ISNA(VLOOKUP($F111,'Raw Data'!$A:$M,11,0)),"",VLOOKUP($F111,'Raw Data'!$A:$M,11,0))</f>
        <v/>
      </c>
      <c r="L111" t="str">
        <f>IF(ISNA(VLOOKUP($F111,'Raw Data'!$A:$M,12,0)),"",VLOOKUP($F111,'Raw Data'!$A:$M,12,0))</f>
        <v/>
      </c>
      <c r="M111" t="str">
        <f>IF(ISNA(VLOOKUP($F111,'Raw Data'!$A:$M,13,0)),"",VLOOKUP($F111,'Raw Data'!$A:$M,13,0))</f>
        <v/>
      </c>
    </row>
    <row r="112" spans="1:13" x14ac:dyDescent="0.25">
      <c r="A112" t="s">
        <v>37</v>
      </c>
      <c r="B112">
        <v>2013</v>
      </c>
      <c r="C112">
        <v>3.5</v>
      </c>
      <c r="D112" s="3">
        <v>660</v>
      </c>
      <c r="E112" s="3">
        <v>100</v>
      </c>
      <c r="F112" s="3" t="str">
        <f t="shared" si="1"/>
        <v>FGU620133.5660100</v>
      </c>
      <c r="G112" t="str">
        <f>IF(ISNA(VLOOKUP($F112,'Raw Data'!$A:$M,7,0)),"",VLOOKUP($F112,'Raw Data'!$A:$M,7,0))</f>
        <v/>
      </c>
      <c r="H112" t="str">
        <f>IF(ISNA(VLOOKUP($F112,'Raw Data'!$A:$M,8,0)),"",VLOOKUP($F112,'Raw Data'!$A:$M,8,0))</f>
        <v/>
      </c>
      <c r="I112" t="str">
        <f>IF(ISNA(VLOOKUP($F112,'Raw Data'!$A:$M,9,0)),"",VLOOKUP($F112,'Raw Data'!$A:$M,9,0))</f>
        <v/>
      </c>
      <c r="J112" t="str">
        <f>IF(ISNA(VLOOKUP($F112,'Raw Data'!$A:$M,10,0)),"",VLOOKUP($F112,'Raw Data'!$A:$M,10,0))</f>
        <v/>
      </c>
      <c r="K112" t="str">
        <f>IF(ISNA(VLOOKUP($F112,'Raw Data'!$A:$M,11,0)),"",VLOOKUP($F112,'Raw Data'!$A:$M,11,0))</f>
        <v/>
      </c>
      <c r="L112" t="str">
        <f>IF(ISNA(VLOOKUP($F112,'Raw Data'!$A:$M,12,0)),"",VLOOKUP($F112,'Raw Data'!$A:$M,12,0))</f>
        <v/>
      </c>
      <c r="M112" t="str">
        <f>IF(ISNA(VLOOKUP($F112,'Raw Data'!$A:$M,13,0)),"",VLOOKUP($F112,'Raw Data'!$A:$M,13,0))</f>
        <v/>
      </c>
    </row>
    <row r="113" spans="1:13" x14ac:dyDescent="0.25">
      <c r="A113" t="s">
        <v>37</v>
      </c>
      <c r="B113">
        <v>2013</v>
      </c>
      <c r="C113">
        <v>3.5</v>
      </c>
      <c r="D113" s="3">
        <v>680</v>
      </c>
      <c r="E113" s="3">
        <v>100</v>
      </c>
      <c r="F113" s="3" t="str">
        <f t="shared" si="1"/>
        <v>FGU620133.5680100</v>
      </c>
      <c r="G113" t="str">
        <f>IF(ISNA(VLOOKUP($F113,'Raw Data'!$A:$M,7,0)),"",VLOOKUP($F113,'Raw Data'!$A:$M,7,0))</f>
        <v/>
      </c>
      <c r="H113" t="str">
        <f>IF(ISNA(VLOOKUP($F113,'Raw Data'!$A:$M,8,0)),"",VLOOKUP($F113,'Raw Data'!$A:$M,8,0))</f>
        <v/>
      </c>
      <c r="I113" t="str">
        <f>IF(ISNA(VLOOKUP($F113,'Raw Data'!$A:$M,9,0)),"",VLOOKUP($F113,'Raw Data'!$A:$M,9,0))</f>
        <v/>
      </c>
      <c r="J113" t="str">
        <f>IF(ISNA(VLOOKUP($F113,'Raw Data'!$A:$M,10,0)),"",VLOOKUP($F113,'Raw Data'!$A:$M,10,0))</f>
        <v/>
      </c>
      <c r="K113" t="str">
        <f>IF(ISNA(VLOOKUP($F113,'Raw Data'!$A:$M,11,0)),"",VLOOKUP($F113,'Raw Data'!$A:$M,11,0))</f>
        <v/>
      </c>
      <c r="L113" t="str">
        <f>IF(ISNA(VLOOKUP($F113,'Raw Data'!$A:$M,12,0)),"",VLOOKUP($F113,'Raw Data'!$A:$M,12,0))</f>
        <v/>
      </c>
      <c r="M113" t="str">
        <f>IF(ISNA(VLOOKUP($F113,'Raw Data'!$A:$M,13,0)),"",VLOOKUP($F113,'Raw Data'!$A:$M,13,0))</f>
        <v/>
      </c>
    </row>
    <row r="114" spans="1:13" x14ac:dyDescent="0.25">
      <c r="A114" t="s">
        <v>37</v>
      </c>
      <c r="B114">
        <v>2013</v>
      </c>
      <c r="C114">
        <v>3.5</v>
      </c>
      <c r="D114" s="3">
        <v>700</v>
      </c>
      <c r="E114" s="3">
        <v>100</v>
      </c>
      <c r="F114" s="3" t="str">
        <f t="shared" si="1"/>
        <v>FGU620133.5700100</v>
      </c>
      <c r="G114" t="str">
        <f>IF(ISNA(VLOOKUP($F114,'Raw Data'!$A:$M,7,0)),"",VLOOKUP($F114,'Raw Data'!$A:$M,7,0))</f>
        <v/>
      </c>
      <c r="H114" t="str">
        <f>IF(ISNA(VLOOKUP($F114,'Raw Data'!$A:$M,8,0)),"",VLOOKUP($F114,'Raw Data'!$A:$M,8,0))</f>
        <v/>
      </c>
      <c r="I114" t="str">
        <f>IF(ISNA(VLOOKUP($F114,'Raw Data'!$A:$M,9,0)),"",VLOOKUP($F114,'Raw Data'!$A:$M,9,0))</f>
        <v/>
      </c>
      <c r="J114" t="str">
        <f>IF(ISNA(VLOOKUP($F114,'Raw Data'!$A:$M,10,0)),"",VLOOKUP($F114,'Raw Data'!$A:$M,10,0))</f>
        <v/>
      </c>
      <c r="K114" t="str">
        <f>IF(ISNA(VLOOKUP($F114,'Raw Data'!$A:$M,11,0)),"",VLOOKUP($F114,'Raw Data'!$A:$M,11,0))</f>
        <v/>
      </c>
      <c r="L114" t="str">
        <f>IF(ISNA(VLOOKUP($F114,'Raw Data'!$A:$M,12,0)),"",VLOOKUP($F114,'Raw Data'!$A:$M,12,0))</f>
        <v/>
      </c>
      <c r="M114" t="str">
        <f>IF(ISNA(VLOOKUP($F114,'Raw Data'!$A:$M,13,0)),"",VLOOKUP($F114,'Raw Data'!$A:$M,13,0))</f>
        <v/>
      </c>
    </row>
    <row r="115" spans="1:13" x14ac:dyDescent="0.25">
      <c r="A115" t="s">
        <v>37</v>
      </c>
      <c r="B115">
        <v>2013</v>
      </c>
      <c r="C115">
        <v>3.5</v>
      </c>
      <c r="D115" s="3">
        <v>720</v>
      </c>
      <c r="E115" s="3">
        <v>100</v>
      </c>
      <c r="F115" s="3" t="str">
        <f t="shared" si="1"/>
        <v>FGU620133.5720100</v>
      </c>
      <c r="G115" t="str">
        <f>IF(ISNA(VLOOKUP($F115,'Raw Data'!$A:$M,7,0)),"",VLOOKUP($F115,'Raw Data'!$A:$M,7,0))</f>
        <v/>
      </c>
      <c r="H115" t="str">
        <f>IF(ISNA(VLOOKUP($F115,'Raw Data'!$A:$M,8,0)),"",VLOOKUP($F115,'Raw Data'!$A:$M,8,0))</f>
        <v/>
      </c>
      <c r="I115" t="str">
        <f>IF(ISNA(VLOOKUP($F115,'Raw Data'!$A:$M,9,0)),"",VLOOKUP($F115,'Raw Data'!$A:$M,9,0))</f>
        <v/>
      </c>
      <c r="J115" t="str">
        <f>IF(ISNA(VLOOKUP($F115,'Raw Data'!$A:$M,10,0)),"",VLOOKUP($F115,'Raw Data'!$A:$M,10,0))</f>
        <v/>
      </c>
      <c r="K115" t="str">
        <f>IF(ISNA(VLOOKUP($F115,'Raw Data'!$A:$M,11,0)),"",VLOOKUP($F115,'Raw Data'!$A:$M,11,0))</f>
        <v/>
      </c>
      <c r="L115" t="str">
        <f>IF(ISNA(VLOOKUP($F115,'Raw Data'!$A:$M,12,0)),"",VLOOKUP($F115,'Raw Data'!$A:$M,12,0))</f>
        <v/>
      </c>
      <c r="M115" t="str">
        <f>IF(ISNA(VLOOKUP($F115,'Raw Data'!$A:$M,13,0)),"",VLOOKUP($F115,'Raw Data'!$A:$M,13,0))</f>
        <v/>
      </c>
    </row>
    <row r="116" spans="1:13" x14ac:dyDescent="0.25">
      <c r="A116" t="s">
        <v>37</v>
      </c>
      <c r="B116">
        <v>2013</v>
      </c>
      <c r="C116">
        <v>3.5</v>
      </c>
      <c r="D116" s="3">
        <v>740</v>
      </c>
      <c r="E116" s="3">
        <v>100</v>
      </c>
      <c r="F116" s="3" t="str">
        <f t="shared" si="1"/>
        <v>FGU620133.5740100</v>
      </c>
      <c r="G116" t="str">
        <f>IF(ISNA(VLOOKUP($F116,'Raw Data'!$A:$M,7,0)),"",VLOOKUP($F116,'Raw Data'!$A:$M,7,0))</f>
        <v/>
      </c>
      <c r="H116" t="str">
        <f>IF(ISNA(VLOOKUP($F116,'Raw Data'!$A:$M,8,0)),"",VLOOKUP($F116,'Raw Data'!$A:$M,8,0))</f>
        <v/>
      </c>
      <c r="I116" t="str">
        <f>IF(ISNA(VLOOKUP($F116,'Raw Data'!$A:$M,9,0)),"",VLOOKUP($F116,'Raw Data'!$A:$M,9,0))</f>
        <v/>
      </c>
      <c r="J116" t="str">
        <f>IF(ISNA(VLOOKUP($F116,'Raw Data'!$A:$M,10,0)),"",VLOOKUP($F116,'Raw Data'!$A:$M,10,0))</f>
        <v/>
      </c>
      <c r="K116" t="str">
        <f>IF(ISNA(VLOOKUP($F116,'Raw Data'!$A:$M,11,0)),"",VLOOKUP($F116,'Raw Data'!$A:$M,11,0))</f>
        <v/>
      </c>
      <c r="L116" t="str">
        <f>IF(ISNA(VLOOKUP($F116,'Raw Data'!$A:$M,12,0)),"",VLOOKUP($F116,'Raw Data'!$A:$M,12,0))</f>
        <v/>
      </c>
      <c r="M116" t="str">
        <f>IF(ISNA(VLOOKUP($F116,'Raw Data'!$A:$M,13,0)),"",VLOOKUP($F116,'Raw Data'!$A:$M,13,0))</f>
        <v/>
      </c>
    </row>
    <row r="117" spans="1:13" x14ac:dyDescent="0.25">
      <c r="A117" t="s">
        <v>37</v>
      </c>
      <c r="B117">
        <v>2013</v>
      </c>
      <c r="C117">
        <v>3.5</v>
      </c>
      <c r="D117" s="3">
        <v>760</v>
      </c>
      <c r="E117" s="3">
        <v>100</v>
      </c>
      <c r="F117" s="3" t="str">
        <f t="shared" si="1"/>
        <v>FGU620133.5760100</v>
      </c>
      <c r="G117" t="str">
        <f>IF(ISNA(VLOOKUP($F117,'Raw Data'!$A:$M,7,0)),"",VLOOKUP($F117,'Raw Data'!$A:$M,7,0))</f>
        <v/>
      </c>
      <c r="H117" t="str">
        <f>IF(ISNA(VLOOKUP($F117,'Raw Data'!$A:$M,8,0)),"",VLOOKUP($F117,'Raw Data'!$A:$M,8,0))</f>
        <v/>
      </c>
      <c r="I117" t="str">
        <f>IF(ISNA(VLOOKUP($F117,'Raw Data'!$A:$M,9,0)),"",VLOOKUP($F117,'Raw Data'!$A:$M,9,0))</f>
        <v/>
      </c>
      <c r="J117" t="str">
        <f>IF(ISNA(VLOOKUP($F117,'Raw Data'!$A:$M,10,0)),"",VLOOKUP($F117,'Raw Data'!$A:$M,10,0))</f>
        <v/>
      </c>
      <c r="K117" t="str">
        <f>IF(ISNA(VLOOKUP($F117,'Raw Data'!$A:$M,11,0)),"",VLOOKUP($F117,'Raw Data'!$A:$M,11,0))</f>
        <v/>
      </c>
      <c r="L117" t="str">
        <f>IF(ISNA(VLOOKUP($F117,'Raw Data'!$A:$M,12,0)),"",VLOOKUP($F117,'Raw Data'!$A:$M,12,0))</f>
        <v/>
      </c>
      <c r="M117" t="str">
        <f>IF(ISNA(VLOOKUP($F117,'Raw Data'!$A:$M,13,0)),"",VLOOKUP($F117,'Raw Data'!$A:$M,13,0))</f>
        <v/>
      </c>
    </row>
    <row r="118" spans="1:13" x14ac:dyDescent="0.25">
      <c r="A118" t="s">
        <v>37</v>
      </c>
      <c r="B118">
        <v>2013</v>
      </c>
      <c r="C118">
        <v>3.5</v>
      </c>
      <c r="D118" s="3">
        <v>780</v>
      </c>
      <c r="E118" s="3">
        <v>100</v>
      </c>
      <c r="F118" s="3" t="str">
        <f t="shared" si="1"/>
        <v>FGU620133.5780100</v>
      </c>
      <c r="G118" t="str">
        <f>IF(ISNA(VLOOKUP($F118,'Raw Data'!$A:$M,7,0)),"",VLOOKUP($F118,'Raw Data'!$A:$M,7,0))</f>
        <v/>
      </c>
      <c r="H118" t="str">
        <f>IF(ISNA(VLOOKUP($F118,'Raw Data'!$A:$M,8,0)),"",VLOOKUP($F118,'Raw Data'!$A:$M,8,0))</f>
        <v/>
      </c>
      <c r="I118" t="str">
        <f>IF(ISNA(VLOOKUP($F118,'Raw Data'!$A:$M,9,0)),"",VLOOKUP($F118,'Raw Data'!$A:$M,9,0))</f>
        <v/>
      </c>
      <c r="J118" t="str">
        <f>IF(ISNA(VLOOKUP($F118,'Raw Data'!$A:$M,10,0)),"",VLOOKUP($F118,'Raw Data'!$A:$M,10,0))</f>
        <v/>
      </c>
      <c r="K118" t="str">
        <f>IF(ISNA(VLOOKUP($F118,'Raw Data'!$A:$M,11,0)),"",VLOOKUP($F118,'Raw Data'!$A:$M,11,0))</f>
        <v/>
      </c>
      <c r="L118" t="str">
        <f>IF(ISNA(VLOOKUP($F118,'Raw Data'!$A:$M,12,0)),"",VLOOKUP($F118,'Raw Data'!$A:$M,12,0))</f>
        <v/>
      </c>
      <c r="M118" t="str">
        <f>IF(ISNA(VLOOKUP($F118,'Raw Data'!$A:$M,13,0)),"",VLOOKUP($F118,'Raw Data'!$A:$M,13,0))</f>
        <v/>
      </c>
    </row>
    <row r="119" spans="1:13" x14ac:dyDescent="0.25">
      <c r="A119" t="s">
        <v>37</v>
      </c>
      <c r="B119">
        <v>2013</v>
      </c>
      <c r="C119">
        <v>3.5</v>
      </c>
      <c r="D119" s="3">
        <v>620</v>
      </c>
      <c r="E119" s="3" t="s">
        <v>9</v>
      </c>
      <c r="F119" s="3" t="str">
        <f t="shared" si="1"/>
        <v>FGU620133.5620100+</v>
      </c>
      <c r="G119" t="str">
        <f>IF(ISNA(VLOOKUP($F119,'Raw Data'!$A:$M,7,0)),"",VLOOKUP($F119,'Raw Data'!$A:$M,7,0))</f>
        <v/>
      </c>
      <c r="H119" t="str">
        <f>IF(ISNA(VLOOKUP($F119,'Raw Data'!$A:$M,8,0)),"",VLOOKUP($F119,'Raw Data'!$A:$M,8,0))</f>
        <v/>
      </c>
      <c r="I119" t="str">
        <f>IF(ISNA(VLOOKUP($F119,'Raw Data'!$A:$M,9,0)),"",VLOOKUP($F119,'Raw Data'!$A:$M,9,0))</f>
        <v/>
      </c>
      <c r="J119" t="str">
        <f>IF(ISNA(VLOOKUP($F119,'Raw Data'!$A:$M,10,0)),"",VLOOKUP($F119,'Raw Data'!$A:$M,10,0))</f>
        <v/>
      </c>
      <c r="K119" t="str">
        <f>IF(ISNA(VLOOKUP($F119,'Raw Data'!$A:$M,11,0)),"",VLOOKUP($F119,'Raw Data'!$A:$M,11,0))</f>
        <v/>
      </c>
      <c r="L119" t="str">
        <f>IF(ISNA(VLOOKUP($F119,'Raw Data'!$A:$M,12,0)),"",VLOOKUP($F119,'Raw Data'!$A:$M,12,0))</f>
        <v/>
      </c>
      <c r="M119" t="str">
        <f>IF(ISNA(VLOOKUP($F119,'Raw Data'!$A:$M,13,0)),"",VLOOKUP($F119,'Raw Data'!$A:$M,13,0))</f>
        <v/>
      </c>
    </row>
    <row r="120" spans="1:13" x14ac:dyDescent="0.25">
      <c r="A120" t="s">
        <v>37</v>
      </c>
      <c r="B120">
        <v>2013</v>
      </c>
      <c r="C120">
        <v>3.5</v>
      </c>
      <c r="D120" s="3">
        <v>640</v>
      </c>
      <c r="E120" s="3" t="s">
        <v>9</v>
      </c>
      <c r="F120" s="3" t="str">
        <f t="shared" si="1"/>
        <v>FGU620133.5640100+</v>
      </c>
      <c r="G120" t="str">
        <f>IF(ISNA(VLOOKUP($F120,'Raw Data'!$A:$M,7,0)),"",VLOOKUP($F120,'Raw Data'!$A:$M,7,0))</f>
        <v/>
      </c>
      <c r="H120" t="str">
        <f>IF(ISNA(VLOOKUP($F120,'Raw Data'!$A:$M,8,0)),"",VLOOKUP($F120,'Raw Data'!$A:$M,8,0))</f>
        <v/>
      </c>
      <c r="I120" t="str">
        <f>IF(ISNA(VLOOKUP($F120,'Raw Data'!$A:$M,9,0)),"",VLOOKUP($F120,'Raw Data'!$A:$M,9,0))</f>
        <v/>
      </c>
      <c r="J120" t="str">
        <f>IF(ISNA(VLOOKUP($F120,'Raw Data'!$A:$M,10,0)),"",VLOOKUP($F120,'Raw Data'!$A:$M,10,0))</f>
        <v/>
      </c>
      <c r="K120" t="str">
        <f>IF(ISNA(VLOOKUP($F120,'Raw Data'!$A:$M,11,0)),"",VLOOKUP($F120,'Raw Data'!$A:$M,11,0))</f>
        <v/>
      </c>
      <c r="L120" t="str">
        <f>IF(ISNA(VLOOKUP($F120,'Raw Data'!$A:$M,12,0)),"",VLOOKUP($F120,'Raw Data'!$A:$M,12,0))</f>
        <v/>
      </c>
      <c r="M120" t="str">
        <f>IF(ISNA(VLOOKUP($F120,'Raw Data'!$A:$M,13,0)),"",VLOOKUP($F120,'Raw Data'!$A:$M,13,0))</f>
        <v/>
      </c>
    </row>
    <row r="121" spans="1:13" x14ac:dyDescent="0.25">
      <c r="A121" t="s">
        <v>37</v>
      </c>
      <c r="B121">
        <v>2013</v>
      </c>
      <c r="C121">
        <v>3.5</v>
      </c>
      <c r="D121" s="3">
        <v>660</v>
      </c>
      <c r="E121" s="3" t="s">
        <v>9</v>
      </c>
      <c r="F121" s="3" t="str">
        <f t="shared" si="1"/>
        <v>FGU620133.5660100+</v>
      </c>
      <c r="G121" t="str">
        <f>IF(ISNA(VLOOKUP($F121,'Raw Data'!$A:$M,7,0)),"",VLOOKUP($F121,'Raw Data'!$A:$M,7,0))</f>
        <v/>
      </c>
      <c r="H121" t="str">
        <f>IF(ISNA(VLOOKUP($F121,'Raw Data'!$A:$M,8,0)),"",VLOOKUP($F121,'Raw Data'!$A:$M,8,0))</f>
        <v/>
      </c>
      <c r="I121" t="str">
        <f>IF(ISNA(VLOOKUP($F121,'Raw Data'!$A:$M,9,0)),"",VLOOKUP($F121,'Raw Data'!$A:$M,9,0))</f>
        <v/>
      </c>
      <c r="J121" t="str">
        <f>IF(ISNA(VLOOKUP($F121,'Raw Data'!$A:$M,10,0)),"",VLOOKUP($F121,'Raw Data'!$A:$M,10,0))</f>
        <v/>
      </c>
      <c r="K121" t="str">
        <f>IF(ISNA(VLOOKUP($F121,'Raw Data'!$A:$M,11,0)),"",VLOOKUP($F121,'Raw Data'!$A:$M,11,0))</f>
        <v/>
      </c>
      <c r="L121" t="str">
        <f>IF(ISNA(VLOOKUP($F121,'Raw Data'!$A:$M,12,0)),"",VLOOKUP($F121,'Raw Data'!$A:$M,12,0))</f>
        <v/>
      </c>
      <c r="M121" t="str">
        <f>IF(ISNA(VLOOKUP($F121,'Raw Data'!$A:$M,13,0)),"",VLOOKUP($F121,'Raw Data'!$A:$M,13,0))</f>
        <v/>
      </c>
    </row>
    <row r="122" spans="1:13" x14ac:dyDescent="0.25">
      <c r="A122" t="s">
        <v>37</v>
      </c>
      <c r="B122">
        <v>2013</v>
      </c>
      <c r="C122">
        <v>3.5</v>
      </c>
      <c r="D122" s="3">
        <v>680</v>
      </c>
      <c r="E122" s="3" t="s">
        <v>9</v>
      </c>
      <c r="F122" s="3" t="str">
        <f t="shared" si="1"/>
        <v>FGU620133.5680100+</v>
      </c>
      <c r="G122" t="str">
        <f>IF(ISNA(VLOOKUP($F122,'Raw Data'!$A:$M,7,0)),"",VLOOKUP($F122,'Raw Data'!$A:$M,7,0))</f>
        <v/>
      </c>
      <c r="H122" t="str">
        <f>IF(ISNA(VLOOKUP($F122,'Raw Data'!$A:$M,8,0)),"",VLOOKUP($F122,'Raw Data'!$A:$M,8,0))</f>
        <v/>
      </c>
      <c r="I122" t="str">
        <f>IF(ISNA(VLOOKUP($F122,'Raw Data'!$A:$M,9,0)),"",VLOOKUP($F122,'Raw Data'!$A:$M,9,0))</f>
        <v/>
      </c>
      <c r="J122" t="str">
        <f>IF(ISNA(VLOOKUP($F122,'Raw Data'!$A:$M,10,0)),"",VLOOKUP($F122,'Raw Data'!$A:$M,10,0))</f>
        <v/>
      </c>
      <c r="K122" t="str">
        <f>IF(ISNA(VLOOKUP($F122,'Raw Data'!$A:$M,11,0)),"",VLOOKUP($F122,'Raw Data'!$A:$M,11,0))</f>
        <v/>
      </c>
      <c r="L122" t="str">
        <f>IF(ISNA(VLOOKUP($F122,'Raw Data'!$A:$M,12,0)),"",VLOOKUP($F122,'Raw Data'!$A:$M,12,0))</f>
        <v/>
      </c>
      <c r="M122" t="str">
        <f>IF(ISNA(VLOOKUP($F122,'Raw Data'!$A:$M,13,0)),"",VLOOKUP($F122,'Raw Data'!$A:$M,13,0))</f>
        <v/>
      </c>
    </row>
    <row r="123" spans="1:13" x14ac:dyDescent="0.25">
      <c r="A123" t="s">
        <v>37</v>
      </c>
      <c r="B123">
        <v>2013</v>
      </c>
      <c r="C123">
        <v>3.5</v>
      </c>
      <c r="D123" s="3">
        <v>700</v>
      </c>
      <c r="E123" s="3" t="s">
        <v>9</v>
      </c>
      <c r="F123" s="3" t="str">
        <f t="shared" si="1"/>
        <v>FGU620133.5700100+</v>
      </c>
      <c r="G123" t="str">
        <f>IF(ISNA(VLOOKUP($F123,'Raw Data'!$A:$M,7,0)),"",VLOOKUP($F123,'Raw Data'!$A:$M,7,0))</f>
        <v/>
      </c>
      <c r="H123" t="str">
        <f>IF(ISNA(VLOOKUP($F123,'Raw Data'!$A:$M,8,0)),"",VLOOKUP($F123,'Raw Data'!$A:$M,8,0))</f>
        <v/>
      </c>
      <c r="I123" t="str">
        <f>IF(ISNA(VLOOKUP($F123,'Raw Data'!$A:$M,9,0)),"",VLOOKUP($F123,'Raw Data'!$A:$M,9,0))</f>
        <v/>
      </c>
      <c r="J123" t="str">
        <f>IF(ISNA(VLOOKUP($F123,'Raw Data'!$A:$M,10,0)),"",VLOOKUP($F123,'Raw Data'!$A:$M,10,0))</f>
        <v/>
      </c>
      <c r="K123" t="str">
        <f>IF(ISNA(VLOOKUP($F123,'Raw Data'!$A:$M,11,0)),"",VLOOKUP($F123,'Raw Data'!$A:$M,11,0))</f>
        <v/>
      </c>
      <c r="L123" t="str">
        <f>IF(ISNA(VLOOKUP($F123,'Raw Data'!$A:$M,12,0)),"",VLOOKUP($F123,'Raw Data'!$A:$M,12,0))</f>
        <v/>
      </c>
      <c r="M123" t="str">
        <f>IF(ISNA(VLOOKUP($F123,'Raw Data'!$A:$M,13,0)),"",VLOOKUP($F123,'Raw Data'!$A:$M,13,0))</f>
        <v/>
      </c>
    </row>
    <row r="124" spans="1:13" x14ac:dyDescent="0.25">
      <c r="A124" t="s">
        <v>37</v>
      </c>
      <c r="B124">
        <v>2013</v>
      </c>
      <c r="C124">
        <v>3.5</v>
      </c>
      <c r="D124" s="3">
        <v>720</v>
      </c>
      <c r="E124" s="3" t="s">
        <v>9</v>
      </c>
      <c r="F124" s="3" t="str">
        <f t="shared" si="1"/>
        <v>FGU620133.5720100+</v>
      </c>
      <c r="G124" t="str">
        <f>IF(ISNA(VLOOKUP($F124,'Raw Data'!$A:$M,7,0)),"",VLOOKUP($F124,'Raw Data'!$A:$M,7,0))</f>
        <v/>
      </c>
      <c r="H124" t="str">
        <f>IF(ISNA(VLOOKUP($F124,'Raw Data'!$A:$M,8,0)),"",VLOOKUP($F124,'Raw Data'!$A:$M,8,0))</f>
        <v/>
      </c>
      <c r="I124" t="str">
        <f>IF(ISNA(VLOOKUP($F124,'Raw Data'!$A:$M,9,0)),"",VLOOKUP($F124,'Raw Data'!$A:$M,9,0))</f>
        <v/>
      </c>
      <c r="J124" t="str">
        <f>IF(ISNA(VLOOKUP($F124,'Raw Data'!$A:$M,10,0)),"",VLOOKUP($F124,'Raw Data'!$A:$M,10,0))</f>
        <v/>
      </c>
      <c r="K124" t="str">
        <f>IF(ISNA(VLOOKUP($F124,'Raw Data'!$A:$M,11,0)),"",VLOOKUP($F124,'Raw Data'!$A:$M,11,0))</f>
        <v/>
      </c>
      <c r="L124" t="str">
        <f>IF(ISNA(VLOOKUP($F124,'Raw Data'!$A:$M,12,0)),"",VLOOKUP($F124,'Raw Data'!$A:$M,12,0))</f>
        <v/>
      </c>
      <c r="M124" t="str">
        <f>IF(ISNA(VLOOKUP($F124,'Raw Data'!$A:$M,13,0)),"",VLOOKUP($F124,'Raw Data'!$A:$M,13,0))</f>
        <v/>
      </c>
    </row>
    <row r="125" spans="1:13" x14ac:dyDescent="0.25">
      <c r="A125" t="s">
        <v>37</v>
      </c>
      <c r="B125">
        <v>2013</v>
      </c>
      <c r="C125">
        <v>3.5</v>
      </c>
      <c r="D125" s="3">
        <v>740</v>
      </c>
      <c r="E125" s="3" t="s">
        <v>9</v>
      </c>
      <c r="F125" s="3" t="str">
        <f t="shared" si="1"/>
        <v>FGU620133.5740100+</v>
      </c>
      <c r="G125" t="str">
        <f>IF(ISNA(VLOOKUP($F125,'Raw Data'!$A:$M,7,0)),"",VLOOKUP($F125,'Raw Data'!$A:$M,7,0))</f>
        <v/>
      </c>
      <c r="H125" t="str">
        <f>IF(ISNA(VLOOKUP($F125,'Raw Data'!$A:$M,8,0)),"",VLOOKUP($F125,'Raw Data'!$A:$M,8,0))</f>
        <v/>
      </c>
      <c r="I125" t="str">
        <f>IF(ISNA(VLOOKUP($F125,'Raw Data'!$A:$M,9,0)),"",VLOOKUP($F125,'Raw Data'!$A:$M,9,0))</f>
        <v/>
      </c>
      <c r="J125" t="str">
        <f>IF(ISNA(VLOOKUP($F125,'Raw Data'!$A:$M,10,0)),"",VLOOKUP($F125,'Raw Data'!$A:$M,10,0))</f>
        <v/>
      </c>
      <c r="K125" t="str">
        <f>IF(ISNA(VLOOKUP($F125,'Raw Data'!$A:$M,11,0)),"",VLOOKUP($F125,'Raw Data'!$A:$M,11,0))</f>
        <v/>
      </c>
      <c r="L125" t="str">
        <f>IF(ISNA(VLOOKUP($F125,'Raw Data'!$A:$M,12,0)),"",VLOOKUP($F125,'Raw Data'!$A:$M,12,0))</f>
        <v/>
      </c>
      <c r="M125" t="str">
        <f>IF(ISNA(VLOOKUP($F125,'Raw Data'!$A:$M,13,0)),"",VLOOKUP($F125,'Raw Data'!$A:$M,13,0))</f>
        <v/>
      </c>
    </row>
    <row r="126" spans="1:13" x14ac:dyDescent="0.25">
      <c r="A126" t="s">
        <v>37</v>
      </c>
      <c r="B126">
        <v>2013</v>
      </c>
      <c r="C126">
        <v>3.5</v>
      </c>
      <c r="D126" s="3">
        <v>760</v>
      </c>
      <c r="E126" s="3" t="s">
        <v>9</v>
      </c>
      <c r="F126" s="3" t="str">
        <f t="shared" si="1"/>
        <v>FGU620133.5760100+</v>
      </c>
      <c r="G126" t="str">
        <f>IF(ISNA(VLOOKUP($F126,'Raw Data'!$A:$M,7,0)),"",VLOOKUP($F126,'Raw Data'!$A:$M,7,0))</f>
        <v/>
      </c>
      <c r="H126" t="str">
        <f>IF(ISNA(VLOOKUP($F126,'Raw Data'!$A:$M,8,0)),"",VLOOKUP($F126,'Raw Data'!$A:$M,8,0))</f>
        <v/>
      </c>
      <c r="I126" t="str">
        <f>IF(ISNA(VLOOKUP($F126,'Raw Data'!$A:$M,9,0)),"",VLOOKUP($F126,'Raw Data'!$A:$M,9,0))</f>
        <v/>
      </c>
      <c r="J126" t="str">
        <f>IF(ISNA(VLOOKUP($F126,'Raw Data'!$A:$M,10,0)),"",VLOOKUP($F126,'Raw Data'!$A:$M,10,0))</f>
        <v/>
      </c>
      <c r="K126" t="str">
        <f>IF(ISNA(VLOOKUP($F126,'Raw Data'!$A:$M,11,0)),"",VLOOKUP($F126,'Raw Data'!$A:$M,11,0))</f>
        <v/>
      </c>
      <c r="L126" t="str">
        <f>IF(ISNA(VLOOKUP($F126,'Raw Data'!$A:$M,12,0)),"",VLOOKUP($F126,'Raw Data'!$A:$M,12,0))</f>
        <v/>
      </c>
      <c r="M126" t="str">
        <f>IF(ISNA(VLOOKUP($F126,'Raw Data'!$A:$M,13,0)),"",VLOOKUP($F126,'Raw Data'!$A:$M,13,0))</f>
        <v/>
      </c>
    </row>
    <row r="127" spans="1:13" x14ac:dyDescent="0.25">
      <c r="A127" t="s">
        <v>37</v>
      </c>
      <c r="B127">
        <v>2013</v>
      </c>
      <c r="C127">
        <v>3.5</v>
      </c>
      <c r="D127" s="3">
        <v>780</v>
      </c>
      <c r="E127" s="3" t="s">
        <v>9</v>
      </c>
      <c r="F127" s="3" t="str">
        <f t="shared" si="1"/>
        <v>FGU620133.5780100+</v>
      </c>
      <c r="G127" t="str">
        <f>IF(ISNA(VLOOKUP($F127,'Raw Data'!$A:$M,7,0)),"",VLOOKUP($F127,'Raw Data'!$A:$M,7,0))</f>
        <v/>
      </c>
      <c r="H127" t="str">
        <f>IF(ISNA(VLOOKUP($F127,'Raw Data'!$A:$M,8,0)),"",VLOOKUP($F127,'Raw Data'!$A:$M,8,0))</f>
        <v/>
      </c>
      <c r="I127" t="str">
        <f>IF(ISNA(VLOOKUP($F127,'Raw Data'!$A:$M,9,0)),"",VLOOKUP($F127,'Raw Data'!$A:$M,9,0))</f>
        <v/>
      </c>
      <c r="J127" t="str">
        <f>IF(ISNA(VLOOKUP($F127,'Raw Data'!$A:$M,10,0)),"",VLOOKUP($F127,'Raw Data'!$A:$M,10,0))</f>
        <v/>
      </c>
      <c r="K127" t="str">
        <f>IF(ISNA(VLOOKUP($F127,'Raw Data'!$A:$M,11,0)),"",VLOOKUP($F127,'Raw Data'!$A:$M,11,0))</f>
        <v/>
      </c>
      <c r="L127" t="str">
        <f>IF(ISNA(VLOOKUP($F127,'Raw Data'!$A:$M,12,0)),"",VLOOKUP($F127,'Raw Data'!$A:$M,12,0))</f>
        <v/>
      </c>
      <c r="M127" t="str">
        <f>IF(ISNA(VLOOKUP($F127,'Raw Data'!$A:$M,13,0)),"",VLOOKUP($F127,'Raw Data'!$A:$M,13,0))</f>
        <v/>
      </c>
    </row>
    <row r="128" spans="1:13" x14ac:dyDescent="0.25">
      <c r="A128" t="s">
        <v>37</v>
      </c>
      <c r="B128">
        <v>2012</v>
      </c>
      <c r="C128">
        <v>4</v>
      </c>
      <c r="D128" s="3">
        <v>620</v>
      </c>
      <c r="E128" s="3">
        <v>80</v>
      </c>
      <c r="F128" s="3" t="str">
        <f t="shared" si="1"/>
        <v>FGU62012462080</v>
      </c>
      <c r="G128" t="str">
        <f>IF(ISNA(VLOOKUP($F128,'Raw Data'!$A:$M,7,0)),"",VLOOKUP($F128,'Raw Data'!$A:$M,7,0))</f>
        <v/>
      </c>
      <c r="H128" t="str">
        <f>IF(ISNA(VLOOKUP($F128,'Raw Data'!$A:$M,8,0)),"",VLOOKUP($F128,'Raw Data'!$A:$M,8,0))</f>
        <v/>
      </c>
      <c r="I128" t="str">
        <f>IF(ISNA(VLOOKUP($F128,'Raw Data'!$A:$M,9,0)),"",VLOOKUP($F128,'Raw Data'!$A:$M,9,0))</f>
        <v/>
      </c>
      <c r="J128" t="str">
        <f>IF(ISNA(VLOOKUP($F128,'Raw Data'!$A:$M,10,0)),"",VLOOKUP($F128,'Raw Data'!$A:$M,10,0))</f>
        <v/>
      </c>
      <c r="K128" t="str">
        <f>IF(ISNA(VLOOKUP($F128,'Raw Data'!$A:$M,11,0)),"",VLOOKUP($F128,'Raw Data'!$A:$M,11,0))</f>
        <v/>
      </c>
      <c r="L128" t="str">
        <f>IF(ISNA(VLOOKUP($F128,'Raw Data'!$A:$M,12,0)),"",VLOOKUP($F128,'Raw Data'!$A:$M,12,0))</f>
        <v/>
      </c>
      <c r="M128" t="str">
        <f>IF(ISNA(VLOOKUP($F128,'Raw Data'!$A:$M,13,0)),"",VLOOKUP($F128,'Raw Data'!$A:$M,13,0))</f>
        <v/>
      </c>
    </row>
    <row r="129" spans="1:13" x14ac:dyDescent="0.25">
      <c r="A129" t="s">
        <v>37</v>
      </c>
      <c r="B129">
        <v>2012</v>
      </c>
      <c r="C129">
        <v>4</v>
      </c>
      <c r="D129" s="3">
        <v>640</v>
      </c>
      <c r="E129" s="3">
        <v>80</v>
      </c>
      <c r="F129" s="3" t="str">
        <f t="shared" si="1"/>
        <v>FGU62012464080</v>
      </c>
      <c r="G129" t="str">
        <f>IF(ISNA(VLOOKUP($F129,'Raw Data'!$A:$M,7,0)),"",VLOOKUP($F129,'Raw Data'!$A:$M,7,0))</f>
        <v/>
      </c>
      <c r="H129" t="str">
        <f>IF(ISNA(VLOOKUP($F129,'Raw Data'!$A:$M,8,0)),"",VLOOKUP($F129,'Raw Data'!$A:$M,8,0))</f>
        <v/>
      </c>
      <c r="I129" t="str">
        <f>IF(ISNA(VLOOKUP($F129,'Raw Data'!$A:$M,9,0)),"",VLOOKUP($F129,'Raw Data'!$A:$M,9,0))</f>
        <v/>
      </c>
      <c r="J129" t="str">
        <f>IF(ISNA(VLOOKUP($F129,'Raw Data'!$A:$M,10,0)),"",VLOOKUP($F129,'Raw Data'!$A:$M,10,0))</f>
        <v/>
      </c>
      <c r="K129" t="str">
        <f>IF(ISNA(VLOOKUP($F129,'Raw Data'!$A:$M,11,0)),"",VLOOKUP($F129,'Raw Data'!$A:$M,11,0))</f>
        <v/>
      </c>
      <c r="L129" t="str">
        <f>IF(ISNA(VLOOKUP($F129,'Raw Data'!$A:$M,12,0)),"",VLOOKUP($F129,'Raw Data'!$A:$M,12,0))</f>
        <v/>
      </c>
      <c r="M129" t="str">
        <f>IF(ISNA(VLOOKUP($F129,'Raw Data'!$A:$M,13,0)),"",VLOOKUP($F129,'Raw Data'!$A:$M,13,0))</f>
        <v/>
      </c>
    </row>
    <row r="130" spans="1:13" x14ac:dyDescent="0.25">
      <c r="A130" t="s">
        <v>37</v>
      </c>
      <c r="B130">
        <v>2012</v>
      </c>
      <c r="C130">
        <v>4</v>
      </c>
      <c r="D130" s="3">
        <v>660</v>
      </c>
      <c r="E130" s="3">
        <v>80</v>
      </c>
      <c r="F130" s="3" t="str">
        <f t="shared" si="1"/>
        <v>FGU62012466080</v>
      </c>
      <c r="G130" t="str">
        <f>IF(ISNA(VLOOKUP($F130,'Raw Data'!$A:$M,7,0)),"",VLOOKUP($F130,'Raw Data'!$A:$M,7,0))</f>
        <v/>
      </c>
      <c r="H130" t="str">
        <f>IF(ISNA(VLOOKUP($F130,'Raw Data'!$A:$M,8,0)),"",VLOOKUP($F130,'Raw Data'!$A:$M,8,0))</f>
        <v/>
      </c>
      <c r="I130" t="str">
        <f>IF(ISNA(VLOOKUP($F130,'Raw Data'!$A:$M,9,0)),"",VLOOKUP($F130,'Raw Data'!$A:$M,9,0))</f>
        <v/>
      </c>
      <c r="J130" t="str">
        <f>IF(ISNA(VLOOKUP($F130,'Raw Data'!$A:$M,10,0)),"",VLOOKUP($F130,'Raw Data'!$A:$M,10,0))</f>
        <v/>
      </c>
      <c r="K130" t="str">
        <f>IF(ISNA(VLOOKUP($F130,'Raw Data'!$A:$M,11,0)),"",VLOOKUP($F130,'Raw Data'!$A:$M,11,0))</f>
        <v/>
      </c>
      <c r="L130" t="str">
        <f>IF(ISNA(VLOOKUP($F130,'Raw Data'!$A:$M,12,0)),"",VLOOKUP($F130,'Raw Data'!$A:$M,12,0))</f>
        <v/>
      </c>
      <c r="M130" t="str">
        <f>IF(ISNA(VLOOKUP($F130,'Raw Data'!$A:$M,13,0)),"",VLOOKUP($F130,'Raw Data'!$A:$M,13,0))</f>
        <v/>
      </c>
    </row>
    <row r="131" spans="1:13" x14ac:dyDescent="0.25">
      <c r="A131" t="s">
        <v>37</v>
      </c>
      <c r="B131">
        <v>2012</v>
      </c>
      <c r="C131">
        <v>4</v>
      </c>
      <c r="D131" s="3">
        <v>680</v>
      </c>
      <c r="E131" s="3">
        <v>80</v>
      </c>
      <c r="F131" s="3" t="str">
        <f t="shared" si="1"/>
        <v>FGU62012468080</v>
      </c>
      <c r="G131" t="str">
        <f>IF(ISNA(VLOOKUP($F131,'Raw Data'!$A:$M,7,0)),"",VLOOKUP($F131,'Raw Data'!$A:$M,7,0))</f>
        <v/>
      </c>
      <c r="H131" t="str">
        <f>IF(ISNA(VLOOKUP($F131,'Raw Data'!$A:$M,8,0)),"",VLOOKUP($F131,'Raw Data'!$A:$M,8,0))</f>
        <v/>
      </c>
      <c r="I131" t="str">
        <f>IF(ISNA(VLOOKUP($F131,'Raw Data'!$A:$M,9,0)),"",VLOOKUP($F131,'Raw Data'!$A:$M,9,0))</f>
        <v/>
      </c>
      <c r="J131" t="str">
        <f>IF(ISNA(VLOOKUP($F131,'Raw Data'!$A:$M,10,0)),"",VLOOKUP($F131,'Raw Data'!$A:$M,10,0))</f>
        <v/>
      </c>
      <c r="K131" t="str">
        <f>IF(ISNA(VLOOKUP($F131,'Raw Data'!$A:$M,11,0)),"",VLOOKUP($F131,'Raw Data'!$A:$M,11,0))</f>
        <v/>
      </c>
      <c r="L131" t="str">
        <f>IF(ISNA(VLOOKUP($F131,'Raw Data'!$A:$M,12,0)),"",VLOOKUP($F131,'Raw Data'!$A:$M,12,0))</f>
        <v/>
      </c>
      <c r="M131" t="str">
        <f>IF(ISNA(VLOOKUP($F131,'Raw Data'!$A:$M,13,0)),"",VLOOKUP($F131,'Raw Data'!$A:$M,13,0))</f>
        <v/>
      </c>
    </row>
    <row r="132" spans="1:13" x14ac:dyDescent="0.25">
      <c r="A132" t="s">
        <v>37</v>
      </c>
      <c r="B132">
        <v>2012</v>
      </c>
      <c r="C132">
        <v>4</v>
      </c>
      <c r="D132" s="3">
        <v>700</v>
      </c>
      <c r="E132" s="3">
        <v>80</v>
      </c>
      <c r="F132" s="3" t="str">
        <f t="shared" ref="F132:F195" si="2">A132&amp;B132&amp;C132&amp;D132&amp;E132</f>
        <v>FGU62012470080</v>
      </c>
      <c r="G132" t="str">
        <f>IF(ISNA(VLOOKUP($F132,'Raw Data'!$A:$M,7,0)),"",VLOOKUP($F132,'Raw Data'!$A:$M,7,0))</f>
        <v/>
      </c>
      <c r="H132" t="str">
        <f>IF(ISNA(VLOOKUP($F132,'Raw Data'!$A:$M,8,0)),"",VLOOKUP($F132,'Raw Data'!$A:$M,8,0))</f>
        <v/>
      </c>
      <c r="I132" t="str">
        <f>IF(ISNA(VLOOKUP($F132,'Raw Data'!$A:$M,9,0)),"",VLOOKUP($F132,'Raw Data'!$A:$M,9,0))</f>
        <v/>
      </c>
      <c r="J132" t="str">
        <f>IF(ISNA(VLOOKUP($F132,'Raw Data'!$A:$M,10,0)),"",VLOOKUP($F132,'Raw Data'!$A:$M,10,0))</f>
        <v/>
      </c>
      <c r="K132" t="str">
        <f>IF(ISNA(VLOOKUP($F132,'Raw Data'!$A:$M,11,0)),"",VLOOKUP($F132,'Raw Data'!$A:$M,11,0))</f>
        <v/>
      </c>
      <c r="L132" t="str">
        <f>IF(ISNA(VLOOKUP($F132,'Raw Data'!$A:$M,12,0)),"",VLOOKUP($F132,'Raw Data'!$A:$M,12,0))</f>
        <v/>
      </c>
      <c r="M132" t="str">
        <f>IF(ISNA(VLOOKUP($F132,'Raw Data'!$A:$M,13,0)),"",VLOOKUP($F132,'Raw Data'!$A:$M,13,0))</f>
        <v/>
      </c>
    </row>
    <row r="133" spans="1:13" x14ac:dyDescent="0.25">
      <c r="A133" t="s">
        <v>37</v>
      </c>
      <c r="B133">
        <v>2012</v>
      </c>
      <c r="C133">
        <v>4</v>
      </c>
      <c r="D133" s="3">
        <v>720</v>
      </c>
      <c r="E133" s="3">
        <v>80</v>
      </c>
      <c r="F133" s="3" t="str">
        <f t="shared" si="2"/>
        <v>FGU62012472080</v>
      </c>
      <c r="G133">
        <f>IF(ISNA(VLOOKUP($F133,'Raw Data'!$A:$M,7,0)),"",VLOOKUP($F133,'Raw Data'!$A:$M,7,0))</f>
        <v>18262792</v>
      </c>
      <c r="H133">
        <f>IF(ISNA(VLOOKUP($F133,'Raw Data'!$A:$M,8,0)),"",VLOOKUP($F133,'Raw Data'!$A:$M,8,0))</f>
        <v>-43.237833057404401</v>
      </c>
      <c r="I133">
        <f>IF(ISNA(VLOOKUP($F133,'Raw Data'!$A:$M,9,0)),"",VLOOKUP($F133,'Raw Data'!$A:$M,9,0))</f>
        <v>-18.238252984974402</v>
      </c>
      <c r="J133">
        <f>IF(ISNA(VLOOKUP($F133,'Raw Data'!$A:$M,10,0)),"",VLOOKUP($F133,'Raw Data'!$A:$M,10,0))</f>
        <v>24.9995800724299</v>
      </c>
      <c r="K133">
        <f>IF(ISNA(VLOOKUP($F133,'Raw Data'!$A:$M,11,0)),"",VLOOKUP($F133,'Raw Data'!$A:$M,11,0))</f>
        <v>1.87024700722989</v>
      </c>
      <c r="L133">
        <f>IF(ISNA(VLOOKUP($F133,'Raw Data'!$A:$M,12,0)),"",VLOOKUP($F133,'Raw Data'!$A:$M,12,0))</f>
        <v>8.1382572624684606</v>
      </c>
      <c r="M133">
        <f>IF(ISNA(VLOOKUP($F133,'Raw Data'!$A:$M,13,0)),"",VLOOKUP($F133,'Raw Data'!$A:$M,13,0))</f>
        <v>6.2680102552385701</v>
      </c>
    </row>
    <row r="134" spans="1:13" x14ac:dyDescent="0.25">
      <c r="A134" t="s">
        <v>37</v>
      </c>
      <c r="B134">
        <v>2012</v>
      </c>
      <c r="C134">
        <v>4</v>
      </c>
      <c r="D134" s="3">
        <v>740</v>
      </c>
      <c r="E134" s="3">
        <v>80</v>
      </c>
      <c r="F134" s="3" t="str">
        <f t="shared" si="2"/>
        <v>FGU62012474080</v>
      </c>
      <c r="G134">
        <f>IF(ISNA(VLOOKUP($F134,'Raw Data'!$A:$M,7,0)),"",VLOOKUP($F134,'Raw Data'!$A:$M,7,0))</f>
        <v>179629932.69999999</v>
      </c>
      <c r="H134">
        <f>IF(ISNA(VLOOKUP($F134,'Raw Data'!$A:$M,8,0)),"",VLOOKUP($F134,'Raw Data'!$A:$M,8,0))</f>
        <v>-49.636223125408101</v>
      </c>
      <c r="I134">
        <f>IF(ISNA(VLOOKUP($F134,'Raw Data'!$A:$M,9,0)),"",VLOOKUP($F134,'Raw Data'!$A:$M,9,0))</f>
        <v>-24.6364603258003</v>
      </c>
      <c r="J134">
        <f>IF(ISNA(VLOOKUP($F134,'Raw Data'!$A:$M,10,0)),"",VLOOKUP($F134,'Raw Data'!$A:$M,10,0))</f>
        <v>24.999762799607801</v>
      </c>
      <c r="K134">
        <f>IF(ISNA(VLOOKUP($F134,'Raw Data'!$A:$M,11,0)),"",VLOOKUP($F134,'Raw Data'!$A:$M,11,0))</f>
        <v>0.37924917534785602</v>
      </c>
      <c r="L134">
        <f>IF(ISNA(VLOOKUP($F134,'Raw Data'!$A:$M,12,0)),"",VLOOKUP($F134,'Raw Data'!$A:$M,12,0))</f>
        <v>6.5202591989662499</v>
      </c>
      <c r="M134">
        <f>IF(ISNA(VLOOKUP($F134,'Raw Data'!$A:$M,13,0)),"",VLOOKUP($F134,'Raw Data'!$A:$M,13,0))</f>
        <v>6.1410100236183904</v>
      </c>
    </row>
    <row r="135" spans="1:13" x14ac:dyDescent="0.25">
      <c r="A135" t="s">
        <v>37</v>
      </c>
      <c r="B135">
        <v>2012</v>
      </c>
      <c r="C135">
        <v>4</v>
      </c>
      <c r="D135" s="3">
        <v>760</v>
      </c>
      <c r="E135" s="3">
        <v>80</v>
      </c>
      <c r="F135" s="3" t="str">
        <f t="shared" si="2"/>
        <v>FGU62012476080</v>
      </c>
      <c r="G135">
        <f>IF(ISNA(VLOOKUP($F135,'Raw Data'!$A:$M,7,0)),"",VLOOKUP($F135,'Raw Data'!$A:$M,7,0))</f>
        <v>2415954.25</v>
      </c>
      <c r="H135">
        <f>IF(ISNA(VLOOKUP($F135,'Raw Data'!$A:$M,8,0)),"",VLOOKUP($F135,'Raw Data'!$A:$M,8,0))</f>
        <v>-59.454146580913097</v>
      </c>
      <c r="I135">
        <f>IF(ISNA(VLOOKUP($F135,'Raw Data'!$A:$M,9,0)),"",VLOOKUP($F135,'Raw Data'!$A:$M,9,0))</f>
        <v>-34.454146580913097</v>
      </c>
      <c r="J135">
        <f>IF(ISNA(VLOOKUP($F135,'Raw Data'!$A:$M,10,0)),"",VLOOKUP($F135,'Raw Data'!$A:$M,10,0))</f>
        <v>25</v>
      </c>
      <c r="K135">
        <f>IF(ISNA(VLOOKUP($F135,'Raw Data'!$A:$M,11,0)),"",VLOOKUP($F135,'Raw Data'!$A:$M,11,0))</f>
        <v>3.90071614909471</v>
      </c>
      <c r="L135">
        <f>IF(ISNA(VLOOKUP($F135,'Raw Data'!$A:$M,12,0)),"",VLOOKUP($F135,'Raw Data'!$A:$M,12,0))</f>
        <v>9.09841860461637</v>
      </c>
      <c r="M135">
        <f>IF(ISNA(VLOOKUP($F135,'Raw Data'!$A:$M,13,0)),"",VLOOKUP($F135,'Raw Data'!$A:$M,13,0))</f>
        <v>5.19770245552166</v>
      </c>
    </row>
    <row r="136" spans="1:13" x14ac:dyDescent="0.25">
      <c r="A136" t="s">
        <v>37</v>
      </c>
      <c r="B136">
        <v>2012</v>
      </c>
      <c r="C136">
        <v>4</v>
      </c>
      <c r="D136" s="3">
        <v>780</v>
      </c>
      <c r="E136" s="3">
        <v>80</v>
      </c>
      <c r="F136" s="3" t="str">
        <f t="shared" si="2"/>
        <v>FGU62012478080</v>
      </c>
      <c r="G136">
        <f>IF(ISNA(VLOOKUP($F136,'Raw Data'!$A:$M,7,0)),"",VLOOKUP($F136,'Raw Data'!$A:$M,7,0))</f>
        <v>35036122.659999996</v>
      </c>
      <c r="H136">
        <f>IF(ISNA(VLOOKUP($F136,'Raw Data'!$A:$M,8,0)),"",VLOOKUP($F136,'Raw Data'!$A:$M,8,0))</f>
        <v>-60.120022382871397</v>
      </c>
      <c r="I136">
        <f>IF(ISNA(VLOOKUP($F136,'Raw Data'!$A:$M,9,0)),"",VLOOKUP($F136,'Raw Data'!$A:$M,9,0))</f>
        <v>-35.1200237103942</v>
      </c>
      <c r="J136">
        <f>IF(ISNA(VLOOKUP($F136,'Raw Data'!$A:$M,10,0)),"",VLOOKUP($F136,'Raw Data'!$A:$M,10,0))</f>
        <v>24.999998672477201</v>
      </c>
      <c r="K136">
        <f>IF(ISNA(VLOOKUP($F136,'Raw Data'!$A:$M,11,0)),"",VLOOKUP($F136,'Raw Data'!$A:$M,11,0))</f>
        <v>11.8753152485647</v>
      </c>
      <c r="L136">
        <f>IF(ISNA(VLOOKUP($F136,'Raw Data'!$A:$M,12,0)),"",VLOOKUP($F136,'Raw Data'!$A:$M,12,0))</f>
        <v>13.894598811829599</v>
      </c>
      <c r="M136">
        <f>IF(ISNA(VLOOKUP($F136,'Raw Data'!$A:$M,13,0)),"",VLOOKUP($F136,'Raw Data'!$A:$M,13,0))</f>
        <v>2.01928356326493</v>
      </c>
    </row>
    <row r="137" spans="1:13" x14ac:dyDescent="0.25">
      <c r="A137" t="s">
        <v>37</v>
      </c>
      <c r="B137">
        <v>2012</v>
      </c>
      <c r="C137">
        <v>4</v>
      </c>
      <c r="D137" s="3">
        <v>620</v>
      </c>
      <c r="E137" s="3">
        <v>85</v>
      </c>
      <c r="F137" s="3" t="str">
        <f t="shared" si="2"/>
        <v>FGU62012462085</v>
      </c>
      <c r="G137" t="str">
        <f>IF(ISNA(VLOOKUP($F137,'Raw Data'!$A:$M,7,0)),"",VLOOKUP($F137,'Raw Data'!$A:$M,7,0))</f>
        <v/>
      </c>
      <c r="H137" t="str">
        <f>IF(ISNA(VLOOKUP($F137,'Raw Data'!$A:$M,8,0)),"",VLOOKUP($F137,'Raw Data'!$A:$M,8,0))</f>
        <v/>
      </c>
      <c r="I137" t="str">
        <f>IF(ISNA(VLOOKUP($F137,'Raw Data'!$A:$M,9,0)),"",VLOOKUP($F137,'Raw Data'!$A:$M,9,0))</f>
        <v/>
      </c>
      <c r="J137" t="str">
        <f>IF(ISNA(VLOOKUP($F137,'Raw Data'!$A:$M,10,0)),"",VLOOKUP($F137,'Raw Data'!$A:$M,10,0))</f>
        <v/>
      </c>
      <c r="K137" t="str">
        <f>IF(ISNA(VLOOKUP($F137,'Raw Data'!$A:$M,11,0)),"",VLOOKUP($F137,'Raw Data'!$A:$M,11,0))</f>
        <v/>
      </c>
      <c r="L137" t="str">
        <f>IF(ISNA(VLOOKUP($F137,'Raw Data'!$A:$M,12,0)),"",VLOOKUP($F137,'Raw Data'!$A:$M,12,0))</f>
        <v/>
      </c>
      <c r="M137" t="str">
        <f>IF(ISNA(VLOOKUP($F137,'Raw Data'!$A:$M,13,0)),"",VLOOKUP($F137,'Raw Data'!$A:$M,13,0))</f>
        <v/>
      </c>
    </row>
    <row r="138" spans="1:13" x14ac:dyDescent="0.25">
      <c r="A138" t="s">
        <v>37</v>
      </c>
      <c r="B138">
        <v>2012</v>
      </c>
      <c r="C138">
        <v>4</v>
      </c>
      <c r="D138" s="3">
        <v>640</v>
      </c>
      <c r="E138" s="3">
        <v>85</v>
      </c>
      <c r="F138" s="3" t="str">
        <f t="shared" si="2"/>
        <v>FGU62012464085</v>
      </c>
      <c r="G138" t="str">
        <f>IF(ISNA(VLOOKUP($F138,'Raw Data'!$A:$M,7,0)),"",VLOOKUP($F138,'Raw Data'!$A:$M,7,0))</f>
        <v/>
      </c>
      <c r="H138" t="str">
        <f>IF(ISNA(VLOOKUP($F138,'Raw Data'!$A:$M,8,0)),"",VLOOKUP($F138,'Raw Data'!$A:$M,8,0))</f>
        <v/>
      </c>
      <c r="I138" t="str">
        <f>IF(ISNA(VLOOKUP($F138,'Raw Data'!$A:$M,9,0)),"",VLOOKUP($F138,'Raw Data'!$A:$M,9,0))</f>
        <v/>
      </c>
      <c r="J138" t="str">
        <f>IF(ISNA(VLOOKUP($F138,'Raw Data'!$A:$M,10,0)),"",VLOOKUP($F138,'Raw Data'!$A:$M,10,0))</f>
        <v/>
      </c>
      <c r="K138" t="str">
        <f>IF(ISNA(VLOOKUP($F138,'Raw Data'!$A:$M,11,0)),"",VLOOKUP($F138,'Raw Data'!$A:$M,11,0))</f>
        <v/>
      </c>
      <c r="L138" t="str">
        <f>IF(ISNA(VLOOKUP($F138,'Raw Data'!$A:$M,12,0)),"",VLOOKUP($F138,'Raw Data'!$A:$M,12,0))</f>
        <v/>
      </c>
      <c r="M138" t="str">
        <f>IF(ISNA(VLOOKUP($F138,'Raw Data'!$A:$M,13,0)),"",VLOOKUP($F138,'Raw Data'!$A:$M,13,0))</f>
        <v/>
      </c>
    </row>
    <row r="139" spans="1:13" x14ac:dyDescent="0.25">
      <c r="A139" t="s">
        <v>37</v>
      </c>
      <c r="B139">
        <v>2012</v>
      </c>
      <c r="C139">
        <v>4</v>
      </c>
      <c r="D139" s="3">
        <v>660</v>
      </c>
      <c r="E139" s="3">
        <v>85</v>
      </c>
      <c r="F139" s="3" t="str">
        <f t="shared" si="2"/>
        <v>FGU62012466085</v>
      </c>
      <c r="G139" t="str">
        <f>IF(ISNA(VLOOKUP($F139,'Raw Data'!$A:$M,7,0)),"",VLOOKUP($F139,'Raw Data'!$A:$M,7,0))</f>
        <v/>
      </c>
      <c r="H139" t="str">
        <f>IF(ISNA(VLOOKUP($F139,'Raw Data'!$A:$M,8,0)),"",VLOOKUP($F139,'Raw Data'!$A:$M,8,0))</f>
        <v/>
      </c>
      <c r="I139" t="str">
        <f>IF(ISNA(VLOOKUP($F139,'Raw Data'!$A:$M,9,0)),"",VLOOKUP($F139,'Raw Data'!$A:$M,9,0))</f>
        <v/>
      </c>
      <c r="J139" t="str">
        <f>IF(ISNA(VLOOKUP($F139,'Raw Data'!$A:$M,10,0)),"",VLOOKUP($F139,'Raw Data'!$A:$M,10,0))</f>
        <v/>
      </c>
      <c r="K139" t="str">
        <f>IF(ISNA(VLOOKUP($F139,'Raw Data'!$A:$M,11,0)),"",VLOOKUP($F139,'Raw Data'!$A:$M,11,0))</f>
        <v/>
      </c>
      <c r="L139" t="str">
        <f>IF(ISNA(VLOOKUP($F139,'Raw Data'!$A:$M,12,0)),"",VLOOKUP($F139,'Raw Data'!$A:$M,12,0))</f>
        <v/>
      </c>
      <c r="M139" t="str">
        <f>IF(ISNA(VLOOKUP($F139,'Raw Data'!$A:$M,13,0)),"",VLOOKUP($F139,'Raw Data'!$A:$M,13,0))</f>
        <v/>
      </c>
    </row>
    <row r="140" spans="1:13" x14ac:dyDescent="0.25">
      <c r="A140" t="s">
        <v>37</v>
      </c>
      <c r="B140">
        <v>2012</v>
      </c>
      <c r="C140">
        <v>4</v>
      </c>
      <c r="D140" s="3">
        <v>680</v>
      </c>
      <c r="E140" s="3">
        <v>85</v>
      </c>
      <c r="F140" s="3" t="str">
        <f t="shared" si="2"/>
        <v>FGU62012468085</v>
      </c>
      <c r="G140" t="str">
        <f>IF(ISNA(VLOOKUP($F140,'Raw Data'!$A:$M,7,0)),"",VLOOKUP($F140,'Raw Data'!$A:$M,7,0))</f>
        <v/>
      </c>
      <c r="H140" t="str">
        <f>IF(ISNA(VLOOKUP($F140,'Raw Data'!$A:$M,8,0)),"",VLOOKUP($F140,'Raw Data'!$A:$M,8,0))</f>
        <v/>
      </c>
      <c r="I140" t="str">
        <f>IF(ISNA(VLOOKUP($F140,'Raw Data'!$A:$M,9,0)),"",VLOOKUP($F140,'Raw Data'!$A:$M,9,0))</f>
        <v/>
      </c>
      <c r="J140" t="str">
        <f>IF(ISNA(VLOOKUP($F140,'Raw Data'!$A:$M,10,0)),"",VLOOKUP($F140,'Raw Data'!$A:$M,10,0))</f>
        <v/>
      </c>
      <c r="K140" t="str">
        <f>IF(ISNA(VLOOKUP($F140,'Raw Data'!$A:$M,11,0)),"",VLOOKUP($F140,'Raw Data'!$A:$M,11,0))</f>
        <v/>
      </c>
      <c r="L140" t="str">
        <f>IF(ISNA(VLOOKUP($F140,'Raw Data'!$A:$M,12,0)),"",VLOOKUP($F140,'Raw Data'!$A:$M,12,0))</f>
        <v/>
      </c>
      <c r="M140" t="str">
        <f>IF(ISNA(VLOOKUP($F140,'Raw Data'!$A:$M,13,0)),"",VLOOKUP($F140,'Raw Data'!$A:$M,13,0))</f>
        <v/>
      </c>
    </row>
    <row r="141" spans="1:13" x14ac:dyDescent="0.25">
      <c r="A141" t="s">
        <v>37</v>
      </c>
      <c r="B141">
        <v>2012</v>
      </c>
      <c r="C141">
        <v>4</v>
      </c>
      <c r="D141" s="3">
        <v>700</v>
      </c>
      <c r="E141" s="3">
        <v>85</v>
      </c>
      <c r="F141" s="3" t="str">
        <f t="shared" si="2"/>
        <v>FGU62012470085</v>
      </c>
      <c r="G141" t="str">
        <f>IF(ISNA(VLOOKUP($F141,'Raw Data'!$A:$M,7,0)),"",VLOOKUP($F141,'Raw Data'!$A:$M,7,0))</f>
        <v/>
      </c>
      <c r="H141" t="str">
        <f>IF(ISNA(VLOOKUP($F141,'Raw Data'!$A:$M,8,0)),"",VLOOKUP($F141,'Raw Data'!$A:$M,8,0))</f>
        <v/>
      </c>
      <c r="I141" t="str">
        <f>IF(ISNA(VLOOKUP($F141,'Raw Data'!$A:$M,9,0)),"",VLOOKUP($F141,'Raw Data'!$A:$M,9,0))</f>
        <v/>
      </c>
      <c r="J141" t="str">
        <f>IF(ISNA(VLOOKUP($F141,'Raw Data'!$A:$M,10,0)),"",VLOOKUP($F141,'Raw Data'!$A:$M,10,0))</f>
        <v/>
      </c>
      <c r="K141" t="str">
        <f>IF(ISNA(VLOOKUP($F141,'Raw Data'!$A:$M,11,0)),"",VLOOKUP($F141,'Raw Data'!$A:$M,11,0))</f>
        <v/>
      </c>
      <c r="L141" t="str">
        <f>IF(ISNA(VLOOKUP($F141,'Raw Data'!$A:$M,12,0)),"",VLOOKUP($F141,'Raw Data'!$A:$M,12,0))</f>
        <v/>
      </c>
      <c r="M141" t="str">
        <f>IF(ISNA(VLOOKUP($F141,'Raw Data'!$A:$M,13,0)),"",VLOOKUP($F141,'Raw Data'!$A:$M,13,0))</f>
        <v/>
      </c>
    </row>
    <row r="142" spans="1:13" x14ac:dyDescent="0.25">
      <c r="A142" t="s">
        <v>37</v>
      </c>
      <c r="B142">
        <v>2012</v>
      </c>
      <c r="C142">
        <v>4</v>
      </c>
      <c r="D142" s="3">
        <v>720</v>
      </c>
      <c r="E142" s="3">
        <v>85</v>
      </c>
      <c r="F142" s="3" t="str">
        <f t="shared" si="2"/>
        <v>FGU62012472085</v>
      </c>
      <c r="G142">
        <f>IF(ISNA(VLOOKUP($F142,'Raw Data'!$A:$M,7,0)),"",VLOOKUP($F142,'Raw Data'!$A:$M,7,0))</f>
        <v>2256668.85</v>
      </c>
      <c r="H142">
        <f>IF(ISNA(VLOOKUP($F142,'Raw Data'!$A:$M,8,0)),"",VLOOKUP($F142,'Raw Data'!$A:$M,8,0))</f>
        <v>-34.592799999999997</v>
      </c>
      <c r="I142">
        <f>IF(ISNA(VLOOKUP($F142,'Raw Data'!$A:$M,9,0)),"",VLOOKUP($F142,'Raw Data'!$A:$M,9,0))</f>
        <v>-9.5928000000000004</v>
      </c>
      <c r="J142">
        <f>IF(ISNA(VLOOKUP($F142,'Raw Data'!$A:$M,10,0)),"",VLOOKUP($F142,'Raw Data'!$A:$M,10,0))</f>
        <v>25</v>
      </c>
      <c r="K142">
        <f>IF(ISNA(VLOOKUP($F142,'Raw Data'!$A:$M,11,0)),"",VLOOKUP($F142,'Raw Data'!$A:$M,11,0))</f>
        <v>6.6280000000000001</v>
      </c>
      <c r="L142">
        <f>IF(ISNA(VLOOKUP($F142,'Raw Data'!$A:$M,12,0)),"",VLOOKUP($F142,'Raw Data'!$A:$M,12,0))</f>
        <v>15.004300000000001</v>
      </c>
      <c r="M142">
        <f>IF(ISNA(VLOOKUP($F142,'Raw Data'!$A:$M,13,0)),"",VLOOKUP($F142,'Raw Data'!$A:$M,13,0))</f>
        <v>8.3763000000000005</v>
      </c>
    </row>
    <row r="143" spans="1:13" x14ac:dyDescent="0.25">
      <c r="A143" t="s">
        <v>37</v>
      </c>
      <c r="B143">
        <v>2012</v>
      </c>
      <c r="C143">
        <v>4</v>
      </c>
      <c r="D143" s="3">
        <v>740</v>
      </c>
      <c r="E143" s="3">
        <v>85</v>
      </c>
      <c r="F143" s="3" t="str">
        <f t="shared" si="2"/>
        <v>FGU62012474085</v>
      </c>
      <c r="G143">
        <f>IF(ISNA(VLOOKUP($F143,'Raw Data'!$A:$M,7,0)),"",VLOOKUP($F143,'Raw Data'!$A:$M,7,0))</f>
        <v>39989905.450000003</v>
      </c>
      <c r="H143">
        <f>IF(ISNA(VLOOKUP($F143,'Raw Data'!$A:$M,8,0)),"",VLOOKUP($F143,'Raw Data'!$A:$M,8,0))</f>
        <v>-43.531756777355596</v>
      </c>
      <c r="I143">
        <f>IF(ISNA(VLOOKUP($F143,'Raw Data'!$A:$M,9,0)),"",VLOOKUP($F143,'Raw Data'!$A:$M,9,0))</f>
        <v>-18.531892765591198</v>
      </c>
      <c r="J143">
        <f>IF(ISNA(VLOOKUP($F143,'Raw Data'!$A:$M,10,0)),"",VLOOKUP($F143,'Raw Data'!$A:$M,10,0))</f>
        <v>24.999864011764402</v>
      </c>
      <c r="K143">
        <f>IF(ISNA(VLOOKUP($F143,'Raw Data'!$A:$M,11,0)),"",VLOOKUP($F143,'Raw Data'!$A:$M,11,0))</f>
        <v>3.6174777424769</v>
      </c>
      <c r="L143">
        <f>IF(ISNA(VLOOKUP($F143,'Raw Data'!$A:$M,12,0)),"",VLOOKUP($F143,'Raw Data'!$A:$M,12,0))</f>
        <v>10.117683138540199</v>
      </c>
      <c r="M143">
        <f>IF(ISNA(VLOOKUP($F143,'Raw Data'!$A:$M,13,0)),"",VLOOKUP($F143,'Raw Data'!$A:$M,13,0))</f>
        <v>6.50020539606329</v>
      </c>
    </row>
    <row r="144" spans="1:13" x14ac:dyDescent="0.25">
      <c r="A144" t="s">
        <v>37</v>
      </c>
      <c r="B144">
        <v>2012</v>
      </c>
      <c r="C144">
        <v>4</v>
      </c>
      <c r="D144" s="3">
        <v>760</v>
      </c>
      <c r="E144" s="3">
        <v>85</v>
      </c>
      <c r="F144" s="3" t="str">
        <f t="shared" si="2"/>
        <v>FGU62012476085</v>
      </c>
      <c r="G144">
        <f>IF(ISNA(VLOOKUP($F144,'Raw Data'!$A:$M,7,0)),"",VLOOKUP($F144,'Raw Data'!$A:$M,7,0))</f>
        <v>103826795.15000001</v>
      </c>
      <c r="H144">
        <f>IF(ISNA(VLOOKUP($F144,'Raw Data'!$A:$M,8,0)),"",VLOOKUP($F144,'Raw Data'!$A:$M,8,0))</f>
        <v>-45.837701082293201</v>
      </c>
      <c r="I144">
        <f>IF(ISNA(VLOOKUP($F144,'Raw Data'!$A:$M,9,0)),"",VLOOKUP($F144,'Raw Data'!$A:$M,9,0))</f>
        <v>-20.838259293884001</v>
      </c>
      <c r="J144">
        <f>IF(ISNA(VLOOKUP($F144,'Raw Data'!$A:$M,10,0)),"",VLOOKUP($F144,'Raw Data'!$A:$M,10,0))</f>
        <v>24.999441788409101</v>
      </c>
      <c r="K144">
        <f>IF(ISNA(VLOOKUP($F144,'Raw Data'!$A:$M,11,0)),"",VLOOKUP($F144,'Raw Data'!$A:$M,11,0))</f>
        <v>6.47281711641077</v>
      </c>
      <c r="L144">
        <f>IF(ISNA(VLOOKUP($F144,'Raw Data'!$A:$M,12,0)),"",VLOOKUP($F144,'Raw Data'!$A:$M,12,0))</f>
        <v>12.3128087883911</v>
      </c>
      <c r="M144">
        <f>IF(ISNA(VLOOKUP($F144,'Raw Data'!$A:$M,13,0)),"",VLOOKUP($F144,'Raw Data'!$A:$M,13,0))</f>
        <v>5.8399916719804104</v>
      </c>
    </row>
    <row r="145" spans="1:13" x14ac:dyDescent="0.25">
      <c r="A145" t="s">
        <v>37</v>
      </c>
      <c r="B145">
        <v>2012</v>
      </c>
      <c r="C145">
        <v>4</v>
      </c>
      <c r="D145" s="3">
        <v>780</v>
      </c>
      <c r="E145" s="3">
        <v>85</v>
      </c>
      <c r="F145" s="3" t="str">
        <f t="shared" si="2"/>
        <v>FGU62012478085</v>
      </c>
      <c r="G145">
        <f>IF(ISNA(VLOOKUP($F145,'Raw Data'!$A:$M,7,0)),"",VLOOKUP($F145,'Raw Data'!$A:$M,7,0))</f>
        <v>2323496.79</v>
      </c>
      <c r="H145">
        <f>IF(ISNA(VLOOKUP($F145,'Raw Data'!$A:$M,8,0)),"",VLOOKUP($F145,'Raw Data'!$A:$M,8,0))</f>
        <v>-53.283900000000003</v>
      </c>
      <c r="I145">
        <f>IF(ISNA(VLOOKUP($F145,'Raw Data'!$A:$M,9,0)),"",VLOOKUP($F145,'Raw Data'!$A:$M,9,0))</f>
        <v>-28.283899999999999</v>
      </c>
      <c r="J145">
        <f>IF(ISNA(VLOOKUP($F145,'Raw Data'!$A:$M,10,0)),"",VLOOKUP($F145,'Raw Data'!$A:$M,10,0))</f>
        <v>25</v>
      </c>
      <c r="K145">
        <f>IF(ISNA(VLOOKUP($F145,'Raw Data'!$A:$M,11,0)),"",VLOOKUP($F145,'Raw Data'!$A:$M,11,0))</f>
        <v>4.5119999999999996</v>
      </c>
      <c r="L145">
        <f>IF(ISNA(VLOOKUP($F145,'Raw Data'!$A:$M,12,0)),"",VLOOKUP($F145,'Raw Data'!$A:$M,12,0))</f>
        <v>8.1224000000000007</v>
      </c>
      <c r="M145">
        <f>IF(ISNA(VLOOKUP($F145,'Raw Data'!$A:$M,13,0)),"",VLOOKUP($F145,'Raw Data'!$A:$M,13,0))</f>
        <v>3.6103999999999998</v>
      </c>
    </row>
    <row r="146" spans="1:13" x14ac:dyDescent="0.25">
      <c r="A146" t="s">
        <v>37</v>
      </c>
      <c r="B146">
        <v>2012</v>
      </c>
      <c r="C146">
        <v>4</v>
      </c>
      <c r="D146" s="3">
        <v>620</v>
      </c>
      <c r="E146" s="3">
        <v>90</v>
      </c>
      <c r="F146" s="3" t="str">
        <f t="shared" si="2"/>
        <v>FGU62012462090</v>
      </c>
      <c r="G146" t="str">
        <f>IF(ISNA(VLOOKUP($F146,'Raw Data'!$A:$M,7,0)),"",VLOOKUP($F146,'Raw Data'!$A:$M,7,0))</f>
        <v/>
      </c>
      <c r="H146" t="str">
        <f>IF(ISNA(VLOOKUP($F146,'Raw Data'!$A:$M,8,0)),"",VLOOKUP($F146,'Raw Data'!$A:$M,8,0))</f>
        <v/>
      </c>
      <c r="I146" t="str">
        <f>IF(ISNA(VLOOKUP($F146,'Raw Data'!$A:$M,9,0)),"",VLOOKUP($F146,'Raw Data'!$A:$M,9,0))</f>
        <v/>
      </c>
      <c r="J146" t="str">
        <f>IF(ISNA(VLOOKUP($F146,'Raw Data'!$A:$M,10,0)),"",VLOOKUP($F146,'Raw Data'!$A:$M,10,0))</f>
        <v/>
      </c>
      <c r="K146" t="str">
        <f>IF(ISNA(VLOOKUP($F146,'Raw Data'!$A:$M,11,0)),"",VLOOKUP($F146,'Raw Data'!$A:$M,11,0))</f>
        <v/>
      </c>
      <c r="L146" t="str">
        <f>IF(ISNA(VLOOKUP($F146,'Raw Data'!$A:$M,12,0)),"",VLOOKUP($F146,'Raw Data'!$A:$M,12,0))</f>
        <v/>
      </c>
      <c r="M146" t="str">
        <f>IF(ISNA(VLOOKUP($F146,'Raw Data'!$A:$M,13,0)),"",VLOOKUP($F146,'Raw Data'!$A:$M,13,0))</f>
        <v/>
      </c>
    </row>
    <row r="147" spans="1:13" x14ac:dyDescent="0.25">
      <c r="A147" t="s">
        <v>37</v>
      </c>
      <c r="B147">
        <v>2012</v>
      </c>
      <c r="C147">
        <v>4</v>
      </c>
      <c r="D147" s="3">
        <v>640</v>
      </c>
      <c r="E147" s="3">
        <v>90</v>
      </c>
      <c r="F147" s="3" t="str">
        <f t="shared" si="2"/>
        <v>FGU62012464090</v>
      </c>
      <c r="G147" t="str">
        <f>IF(ISNA(VLOOKUP($F147,'Raw Data'!$A:$M,7,0)),"",VLOOKUP($F147,'Raw Data'!$A:$M,7,0))</f>
        <v/>
      </c>
      <c r="H147" t="str">
        <f>IF(ISNA(VLOOKUP($F147,'Raw Data'!$A:$M,8,0)),"",VLOOKUP($F147,'Raw Data'!$A:$M,8,0))</f>
        <v/>
      </c>
      <c r="I147" t="str">
        <f>IF(ISNA(VLOOKUP($F147,'Raw Data'!$A:$M,9,0)),"",VLOOKUP($F147,'Raw Data'!$A:$M,9,0))</f>
        <v/>
      </c>
      <c r="J147" t="str">
        <f>IF(ISNA(VLOOKUP($F147,'Raw Data'!$A:$M,10,0)),"",VLOOKUP($F147,'Raw Data'!$A:$M,10,0))</f>
        <v/>
      </c>
      <c r="K147" t="str">
        <f>IF(ISNA(VLOOKUP($F147,'Raw Data'!$A:$M,11,0)),"",VLOOKUP($F147,'Raw Data'!$A:$M,11,0))</f>
        <v/>
      </c>
      <c r="L147" t="str">
        <f>IF(ISNA(VLOOKUP($F147,'Raw Data'!$A:$M,12,0)),"",VLOOKUP($F147,'Raw Data'!$A:$M,12,0))</f>
        <v/>
      </c>
      <c r="M147" t="str">
        <f>IF(ISNA(VLOOKUP($F147,'Raw Data'!$A:$M,13,0)),"",VLOOKUP($F147,'Raw Data'!$A:$M,13,0))</f>
        <v/>
      </c>
    </row>
    <row r="148" spans="1:13" x14ac:dyDescent="0.25">
      <c r="A148" t="s">
        <v>37</v>
      </c>
      <c r="B148">
        <v>2012</v>
      </c>
      <c r="C148">
        <v>4</v>
      </c>
      <c r="D148" s="3">
        <v>660</v>
      </c>
      <c r="E148" s="3">
        <v>90</v>
      </c>
      <c r="F148" s="3" t="str">
        <f t="shared" si="2"/>
        <v>FGU62012466090</v>
      </c>
      <c r="G148" t="str">
        <f>IF(ISNA(VLOOKUP($F148,'Raw Data'!$A:$M,7,0)),"",VLOOKUP($F148,'Raw Data'!$A:$M,7,0))</f>
        <v/>
      </c>
      <c r="H148" t="str">
        <f>IF(ISNA(VLOOKUP($F148,'Raw Data'!$A:$M,8,0)),"",VLOOKUP($F148,'Raw Data'!$A:$M,8,0))</f>
        <v/>
      </c>
      <c r="I148" t="str">
        <f>IF(ISNA(VLOOKUP($F148,'Raw Data'!$A:$M,9,0)),"",VLOOKUP($F148,'Raw Data'!$A:$M,9,0))</f>
        <v/>
      </c>
      <c r="J148" t="str">
        <f>IF(ISNA(VLOOKUP($F148,'Raw Data'!$A:$M,10,0)),"",VLOOKUP($F148,'Raw Data'!$A:$M,10,0))</f>
        <v/>
      </c>
      <c r="K148" t="str">
        <f>IF(ISNA(VLOOKUP($F148,'Raw Data'!$A:$M,11,0)),"",VLOOKUP($F148,'Raw Data'!$A:$M,11,0))</f>
        <v/>
      </c>
      <c r="L148" t="str">
        <f>IF(ISNA(VLOOKUP($F148,'Raw Data'!$A:$M,12,0)),"",VLOOKUP($F148,'Raw Data'!$A:$M,12,0))</f>
        <v/>
      </c>
      <c r="M148" t="str">
        <f>IF(ISNA(VLOOKUP($F148,'Raw Data'!$A:$M,13,0)),"",VLOOKUP($F148,'Raw Data'!$A:$M,13,0))</f>
        <v/>
      </c>
    </row>
    <row r="149" spans="1:13" x14ac:dyDescent="0.25">
      <c r="A149" t="s">
        <v>37</v>
      </c>
      <c r="B149">
        <v>2012</v>
      </c>
      <c r="C149">
        <v>4</v>
      </c>
      <c r="D149" s="3">
        <v>680</v>
      </c>
      <c r="E149" s="3">
        <v>90</v>
      </c>
      <c r="F149" s="3" t="str">
        <f t="shared" si="2"/>
        <v>FGU62012468090</v>
      </c>
      <c r="G149" t="str">
        <f>IF(ISNA(VLOOKUP($F149,'Raw Data'!$A:$M,7,0)),"",VLOOKUP($F149,'Raw Data'!$A:$M,7,0))</f>
        <v/>
      </c>
      <c r="H149" t="str">
        <f>IF(ISNA(VLOOKUP($F149,'Raw Data'!$A:$M,8,0)),"",VLOOKUP($F149,'Raw Data'!$A:$M,8,0))</f>
        <v/>
      </c>
      <c r="I149" t="str">
        <f>IF(ISNA(VLOOKUP($F149,'Raw Data'!$A:$M,9,0)),"",VLOOKUP($F149,'Raw Data'!$A:$M,9,0))</f>
        <v/>
      </c>
      <c r="J149" t="str">
        <f>IF(ISNA(VLOOKUP($F149,'Raw Data'!$A:$M,10,0)),"",VLOOKUP($F149,'Raw Data'!$A:$M,10,0))</f>
        <v/>
      </c>
      <c r="K149" t="str">
        <f>IF(ISNA(VLOOKUP($F149,'Raw Data'!$A:$M,11,0)),"",VLOOKUP($F149,'Raw Data'!$A:$M,11,0))</f>
        <v/>
      </c>
      <c r="L149" t="str">
        <f>IF(ISNA(VLOOKUP($F149,'Raw Data'!$A:$M,12,0)),"",VLOOKUP($F149,'Raw Data'!$A:$M,12,0))</f>
        <v/>
      </c>
      <c r="M149" t="str">
        <f>IF(ISNA(VLOOKUP($F149,'Raw Data'!$A:$M,13,0)),"",VLOOKUP($F149,'Raw Data'!$A:$M,13,0))</f>
        <v/>
      </c>
    </row>
    <row r="150" spans="1:13" x14ac:dyDescent="0.25">
      <c r="A150" t="s">
        <v>37</v>
      </c>
      <c r="B150">
        <v>2012</v>
      </c>
      <c r="C150">
        <v>4</v>
      </c>
      <c r="D150" s="3">
        <v>700</v>
      </c>
      <c r="E150" s="3">
        <v>90</v>
      </c>
      <c r="F150" s="3" t="str">
        <f t="shared" si="2"/>
        <v>FGU62012470090</v>
      </c>
      <c r="G150" t="str">
        <f>IF(ISNA(VLOOKUP($F150,'Raw Data'!$A:$M,7,0)),"",VLOOKUP($F150,'Raw Data'!$A:$M,7,0))</f>
        <v/>
      </c>
      <c r="H150" t="str">
        <f>IF(ISNA(VLOOKUP($F150,'Raw Data'!$A:$M,8,0)),"",VLOOKUP($F150,'Raw Data'!$A:$M,8,0))</f>
        <v/>
      </c>
      <c r="I150" t="str">
        <f>IF(ISNA(VLOOKUP($F150,'Raw Data'!$A:$M,9,0)),"",VLOOKUP($F150,'Raw Data'!$A:$M,9,0))</f>
        <v/>
      </c>
      <c r="J150" t="str">
        <f>IF(ISNA(VLOOKUP($F150,'Raw Data'!$A:$M,10,0)),"",VLOOKUP($F150,'Raw Data'!$A:$M,10,0))</f>
        <v/>
      </c>
      <c r="K150" t="str">
        <f>IF(ISNA(VLOOKUP($F150,'Raw Data'!$A:$M,11,0)),"",VLOOKUP($F150,'Raw Data'!$A:$M,11,0))</f>
        <v/>
      </c>
      <c r="L150" t="str">
        <f>IF(ISNA(VLOOKUP($F150,'Raw Data'!$A:$M,12,0)),"",VLOOKUP($F150,'Raw Data'!$A:$M,12,0))</f>
        <v/>
      </c>
      <c r="M150" t="str">
        <f>IF(ISNA(VLOOKUP($F150,'Raw Data'!$A:$M,13,0)),"",VLOOKUP($F150,'Raw Data'!$A:$M,13,0))</f>
        <v/>
      </c>
    </row>
    <row r="151" spans="1:13" x14ac:dyDescent="0.25">
      <c r="A151" t="s">
        <v>37</v>
      </c>
      <c r="B151">
        <v>2012</v>
      </c>
      <c r="C151">
        <v>4</v>
      </c>
      <c r="D151" s="3">
        <v>720</v>
      </c>
      <c r="E151" s="3">
        <v>90</v>
      </c>
      <c r="F151" s="3" t="str">
        <f t="shared" si="2"/>
        <v>FGU62012472090</v>
      </c>
      <c r="G151" t="str">
        <f>IF(ISNA(VLOOKUP($F151,'Raw Data'!$A:$M,7,0)),"",VLOOKUP($F151,'Raw Data'!$A:$M,7,0))</f>
        <v/>
      </c>
      <c r="H151" t="str">
        <f>IF(ISNA(VLOOKUP($F151,'Raw Data'!$A:$M,8,0)),"",VLOOKUP($F151,'Raw Data'!$A:$M,8,0))</f>
        <v/>
      </c>
      <c r="I151" t="str">
        <f>IF(ISNA(VLOOKUP($F151,'Raw Data'!$A:$M,9,0)),"",VLOOKUP($F151,'Raw Data'!$A:$M,9,0))</f>
        <v/>
      </c>
      <c r="J151" t="str">
        <f>IF(ISNA(VLOOKUP($F151,'Raw Data'!$A:$M,10,0)),"",VLOOKUP($F151,'Raw Data'!$A:$M,10,0))</f>
        <v/>
      </c>
      <c r="K151" t="str">
        <f>IF(ISNA(VLOOKUP($F151,'Raw Data'!$A:$M,11,0)),"",VLOOKUP($F151,'Raw Data'!$A:$M,11,0))</f>
        <v/>
      </c>
      <c r="L151" t="str">
        <f>IF(ISNA(VLOOKUP($F151,'Raw Data'!$A:$M,12,0)),"",VLOOKUP($F151,'Raw Data'!$A:$M,12,0))</f>
        <v/>
      </c>
      <c r="M151" t="str">
        <f>IF(ISNA(VLOOKUP($F151,'Raw Data'!$A:$M,13,0)),"",VLOOKUP($F151,'Raw Data'!$A:$M,13,0))</f>
        <v/>
      </c>
    </row>
    <row r="152" spans="1:13" x14ac:dyDescent="0.25">
      <c r="A152" t="s">
        <v>37</v>
      </c>
      <c r="B152">
        <v>2012</v>
      </c>
      <c r="C152">
        <v>4</v>
      </c>
      <c r="D152" s="3">
        <v>740</v>
      </c>
      <c r="E152" s="3">
        <v>90</v>
      </c>
      <c r="F152" s="3" t="str">
        <f t="shared" si="2"/>
        <v>FGU62012474090</v>
      </c>
      <c r="G152">
        <f>IF(ISNA(VLOOKUP($F152,'Raw Data'!$A:$M,7,0)),"",VLOOKUP($F152,'Raw Data'!$A:$M,7,0))</f>
        <v>2476179.17</v>
      </c>
      <c r="H152">
        <f>IF(ISNA(VLOOKUP($F152,'Raw Data'!$A:$M,8,0)),"",VLOOKUP($F152,'Raw Data'!$A:$M,8,0))</f>
        <v>-43.6008</v>
      </c>
      <c r="I152">
        <f>IF(ISNA(VLOOKUP($F152,'Raw Data'!$A:$M,9,0)),"",VLOOKUP($F152,'Raw Data'!$A:$M,9,0))</f>
        <v>-18.602</v>
      </c>
      <c r="J152">
        <f>IF(ISNA(VLOOKUP($F152,'Raw Data'!$A:$M,10,0)),"",VLOOKUP($F152,'Raw Data'!$A:$M,10,0))</f>
        <v>24.998799999999999</v>
      </c>
      <c r="K152">
        <f>IF(ISNA(VLOOKUP($F152,'Raw Data'!$A:$M,11,0)),"",VLOOKUP($F152,'Raw Data'!$A:$M,11,0))</f>
        <v>-1.5551999999999999</v>
      </c>
      <c r="L152">
        <f>IF(ISNA(VLOOKUP($F152,'Raw Data'!$A:$M,12,0)),"",VLOOKUP($F152,'Raw Data'!$A:$M,12,0))</f>
        <v>7.4878999999999998</v>
      </c>
      <c r="M152">
        <f>IF(ISNA(VLOOKUP($F152,'Raw Data'!$A:$M,13,0)),"",VLOOKUP($F152,'Raw Data'!$A:$M,13,0))</f>
        <v>9.0431000000000008</v>
      </c>
    </row>
    <row r="153" spans="1:13" x14ac:dyDescent="0.25">
      <c r="A153" t="s">
        <v>37</v>
      </c>
      <c r="B153">
        <v>2012</v>
      </c>
      <c r="C153">
        <v>4</v>
      </c>
      <c r="D153" s="3">
        <v>760</v>
      </c>
      <c r="E153" s="3">
        <v>90</v>
      </c>
      <c r="F153" s="3" t="str">
        <f t="shared" si="2"/>
        <v>FGU62012476090</v>
      </c>
      <c r="G153">
        <f>IF(ISNA(VLOOKUP($F153,'Raw Data'!$A:$M,7,0)),"",VLOOKUP($F153,'Raw Data'!$A:$M,7,0))</f>
        <v>607829.24</v>
      </c>
      <c r="H153">
        <f>IF(ISNA(VLOOKUP($F153,'Raw Data'!$A:$M,8,0)),"",VLOOKUP($F153,'Raw Data'!$A:$M,8,0))</f>
        <v>10.395300000000001</v>
      </c>
      <c r="I153">
        <f>IF(ISNA(VLOOKUP($F153,'Raw Data'!$A:$M,9,0)),"",VLOOKUP($F153,'Raw Data'!$A:$M,9,0))</f>
        <v>35.392499999999998</v>
      </c>
      <c r="J153">
        <f>IF(ISNA(VLOOKUP($F153,'Raw Data'!$A:$M,10,0)),"",VLOOKUP($F153,'Raw Data'!$A:$M,10,0))</f>
        <v>24.997199999999999</v>
      </c>
      <c r="K153">
        <f>IF(ISNA(VLOOKUP($F153,'Raw Data'!$A:$M,11,0)),"",VLOOKUP($F153,'Raw Data'!$A:$M,11,0))</f>
        <v>60.643099999999997</v>
      </c>
      <c r="L153">
        <f>IF(ISNA(VLOOKUP($F153,'Raw Data'!$A:$M,12,0)),"",VLOOKUP($F153,'Raw Data'!$A:$M,12,0))</f>
        <v>60.643099999999997</v>
      </c>
      <c r="M153">
        <f>IF(ISNA(VLOOKUP($F153,'Raw Data'!$A:$M,13,0)),"",VLOOKUP($F153,'Raw Data'!$A:$M,13,0))</f>
        <v>0</v>
      </c>
    </row>
    <row r="154" spans="1:13" x14ac:dyDescent="0.25">
      <c r="A154" t="s">
        <v>37</v>
      </c>
      <c r="B154">
        <v>2012</v>
      </c>
      <c r="C154">
        <v>4</v>
      </c>
      <c r="D154" s="3">
        <v>780</v>
      </c>
      <c r="E154" s="3">
        <v>90</v>
      </c>
      <c r="F154" s="3" t="str">
        <f t="shared" si="2"/>
        <v>FGU62012478090</v>
      </c>
      <c r="G154" t="str">
        <f>IF(ISNA(VLOOKUP($F154,'Raw Data'!$A:$M,7,0)),"",VLOOKUP($F154,'Raw Data'!$A:$M,7,0))</f>
        <v/>
      </c>
      <c r="H154" t="str">
        <f>IF(ISNA(VLOOKUP($F154,'Raw Data'!$A:$M,8,0)),"",VLOOKUP($F154,'Raw Data'!$A:$M,8,0))</f>
        <v/>
      </c>
      <c r="I154" t="str">
        <f>IF(ISNA(VLOOKUP($F154,'Raw Data'!$A:$M,9,0)),"",VLOOKUP($F154,'Raw Data'!$A:$M,9,0))</f>
        <v/>
      </c>
      <c r="J154" t="str">
        <f>IF(ISNA(VLOOKUP($F154,'Raw Data'!$A:$M,10,0)),"",VLOOKUP($F154,'Raw Data'!$A:$M,10,0))</f>
        <v/>
      </c>
      <c r="K154" t="str">
        <f>IF(ISNA(VLOOKUP($F154,'Raw Data'!$A:$M,11,0)),"",VLOOKUP($F154,'Raw Data'!$A:$M,11,0))</f>
        <v/>
      </c>
      <c r="L154" t="str">
        <f>IF(ISNA(VLOOKUP($F154,'Raw Data'!$A:$M,12,0)),"",VLOOKUP($F154,'Raw Data'!$A:$M,12,0))</f>
        <v/>
      </c>
      <c r="M154" t="str">
        <f>IF(ISNA(VLOOKUP($F154,'Raw Data'!$A:$M,13,0)),"",VLOOKUP($F154,'Raw Data'!$A:$M,13,0))</f>
        <v/>
      </c>
    </row>
    <row r="155" spans="1:13" x14ac:dyDescent="0.25">
      <c r="A155" t="s">
        <v>37</v>
      </c>
      <c r="B155">
        <v>2012</v>
      </c>
      <c r="C155">
        <v>4</v>
      </c>
      <c r="D155" s="3">
        <v>620</v>
      </c>
      <c r="E155" s="3">
        <v>95</v>
      </c>
      <c r="F155" s="3" t="str">
        <f t="shared" si="2"/>
        <v>FGU62012462095</v>
      </c>
      <c r="G155" t="str">
        <f>IF(ISNA(VLOOKUP($F155,'Raw Data'!$A:$M,7,0)),"",VLOOKUP($F155,'Raw Data'!$A:$M,7,0))</f>
        <v/>
      </c>
      <c r="H155" t="str">
        <f>IF(ISNA(VLOOKUP($F155,'Raw Data'!$A:$M,8,0)),"",VLOOKUP($F155,'Raw Data'!$A:$M,8,0))</f>
        <v/>
      </c>
      <c r="I155" t="str">
        <f>IF(ISNA(VLOOKUP($F155,'Raw Data'!$A:$M,9,0)),"",VLOOKUP($F155,'Raw Data'!$A:$M,9,0))</f>
        <v/>
      </c>
      <c r="J155" t="str">
        <f>IF(ISNA(VLOOKUP($F155,'Raw Data'!$A:$M,10,0)),"",VLOOKUP($F155,'Raw Data'!$A:$M,10,0))</f>
        <v/>
      </c>
      <c r="K155" t="str">
        <f>IF(ISNA(VLOOKUP($F155,'Raw Data'!$A:$M,11,0)),"",VLOOKUP($F155,'Raw Data'!$A:$M,11,0))</f>
        <v/>
      </c>
      <c r="L155" t="str">
        <f>IF(ISNA(VLOOKUP($F155,'Raw Data'!$A:$M,12,0)),"",VLOOKUP($F155,'Raw Data'!$A:$M,12,0))</f>
        <v/>
      </c>
      <c r="M155" t="str">
        <f>IF(ISNA(VLOOKUP($F155,'Raw Data'!$A:$M,13,0)),"",VLOOKUP($F155,'Raw Data'!$A:$M,13,0))</f>
        <v/>
      </c>
    </row>
    <row r="156" spans="1:13" x14ac:dyDescent="0.25">
      <c r="A156" t="s">
        <v>37</v>
      </c>
      <c r="B156">
        <v>2012</v>
      </c>
      <c r="C156">
        <v>4</v>
      </c>
      <c r="D156" s="3">
        <v>640</v>
      </c>
      <c r="E156" s="3">
        <v>95</v>
      </c>
      <c r="F156" s="3" t="str">
        <f t="shared" si="2"/>
        <v>FGU62012464095</v>
      </c>
      <c r="G156" t="str">
        <f>IF(ISNA(VLOOKUP($F156,'Raw Data'!$A:$M,7,0)),"",VLOOKUP($F156,'Raw Data'!$A:$M,7,0))</f>
        <v/>
      </c>
      <c r="H156" t="str">
        <f>IF(ISNA(VLOOKUP($F156,'Raw Data'!$A:$M,8,0)),"",VLOOKUP($F156,'Raw Data'!$A:$M,8,0))</f>
        <v/>
      </c>
      <c r="I156" t="str">
        <f>IF(ISNA(VLOOKUP($F156,'Raw Data'!$A:$M,9,0)),"",VLOOKUP($F156,'Raw Data'!$A:$M,9,0))</f>
        <v/>
      </c>
      <c r="J156" t="str">
        <f>IF(ISNA(VLOOKUP($F156,'Raw Data'!$A:$M,10,0)),"",VLOOKUP($F156,'Raw Data'!$A:$M,10,0))</f>
        <v/>
      </c>
      <c r="K156" t="str">
        <f>IF(ISNA(VLOOKUP($F156,'Raw Data'!$A:$M,11,0)),"",VLOOKUP($F156,'Raw Data'!$A:$M,11,0))</f>
        <v/>
      </c>
      <c r="L156" t="str">
        <f>IF(ISNA(VLOOKUP($F156,'Raw Data'!$A:$M,12,0)),"",VLOOKUP($F156,'Raw Data'!$A:$M,12,0))</f>
        <v/>
      </c>
      <c r="M156" t="str">
        <f>IF(ISNA(VLOOKUP($F156,'Raw Data'!$A:$M,13,0)),"",VLOOKUP($F156,'Raw Data'!$A:$M,13,0))</f>
        <v/>
      </c>
    </row>
    <row r="157" spans="1:13" x14ac:dyDescent="0.25">
      <c r="A157" t="s">
        <v>37</v>
      </c>
      <c r="B157">
        <v>2012</v>
      </c>
      <c r="C157">
        <v>4</v>
      </c>
      <c r="D157" s="3">
        <v>660</v>
      </c>
      <c r="E157" s="3">
        <v>95</v>
      </c>
      <c r="F157" s="3" t="str">
        <f t="shared" si="2"/>
        <v>FGU62012466095</v>
      </c>
      <c r="G157" t="str">
        <f>IF(ISNA(VLOOKUP($F157,'Raw Data'!$A:$M,7,0)),"",VLOOKUP($F157,'Raw Data'!$A:$M,7,0))</f>
        <v/>
      </c>
      <c r="H157" t="str">
        <f>IF(ISNA(VLOOKUP($F157,'Raw Data'!$A:$M,8,0)),"",VLOOKUP($F157,'Raw Data'!$A:$M,8,0))</f>
        <v/>
      </c>
      <c r="I157" t="str">
        <f>IF(ISNA(VLOOKUP($F157,'Raw Data'!$A:$M,9,0)),"",VLOOKUP($F157,'Raw Data'!$A:$M,9,0))</f>
        <v/>
      </c>
      <c r="J157" t="str">
        <f>IF(ISNA(VLOOKUP($F157,'Raw Data'!$A:$M,10,0)),"",VLOOKUP($F157,'Raw Data'!$A:$M,10,0))</f>
        <v/>
      </c>
      <c r="K157" t="str">
        <f>IF(ISNA(VLOOKUP($F157,'Raw Data'!$A:$M,11,0)),"",VLOOKUP($F157,'Raw Data'!$A:$M,11,0))</f>
        <v/>
      </c>
      <c r="L157" t="str">
        <f>IF(ISNA(VLOOKUP($F157,'Raw Data'!$A:$M,12,0)),"",VLOOKUP($F157,'Raw Data'!$A:$M,12,0))</f>
        <v/>
      </c>
      <c r="M157" t="str">
        <f>IF(ISNA(VLOOKUP($F157,'Raw Data'!$A:$M,13,0)),"",VLOOKUP($F157,'Raw Data'!$A:$M,13,0))</f>
        <v/>
      </c>
    </row>
    <row r="158" spans="1:13" x14ac:dyDescent="0.25">
      <c r="A158" t="s">
        <v>37</v>
      </c>
      <c r="B158">
        <v>2012</v>
      </c>
      <c r="C158">
        <v>4</v>
      </c>
      <c r="D158" s="3">
        <v>680</v>
      </c>
      <c r="E158" s="3">
        <v>95</v>
      </c>
      <c r="F158" s="3" t="str">
        <f t="shared" si="2"/>
        <v>FGU62012468095</v>
      </c>
      <c r="G158" t="str">
        <f>IF(ISNA(VLOOKUP($F158,'Raw Data'!$A:$M,7,0)),"",VLOOKUP($F158,'Raw Data'!$A:$M,7,0))</f>
        <v/>
      </c>
      <c r="H158" t="str">
        <f>IF(ISNA(VLOOKUP($F158,'Raw Data'!$A:$M,8,0)),"",VLOOKUP($F158,'Raw Data'!$A:$M,8,0))</f>
        <v/>
      </c>
      <c r="I158" t="str">
        <f>IF(ISNA(VLOOKUP($F158,'Raw Data'!$A:$M,9,0)),"",VLOOKUP($F158,'Raw Data'!$A:$M,9,0))</f>
        <v/>
      </c>
      <c r="J158" t="str">
        <f>IF(ISNA(VLOOKUP($F158,'Raw Data'!$A:$M,10,0)),"",VLOOKUP($F158,'Raw Data'!$A:$M,10,0))</f>
        <v/>
      </c>
      <c r="K158" t="str">
        <f>IF(ISNA(VLOOKUP($F158,'Raw Data'!$A:$M,11,0)),"",VLOOKUP($F158,'Raw Data'!$A:$M,11,0))</f>
        <v/>
      </c>
      <c r="L158" t="str">
        <f>IF(ISNA(VLOOKUP($F158,'Raw Data'!$A:$M,12,0)),"",VLOOKUP($F158,'Raw Data'!$A:$M,12,0))</f>
        <v/>
      </c>
      <c r="M158" t="str">
        <f>IF(ISNA(VLOOKUP($F158,'Raw Data'!$A:$M,13,0)),"",VLOOKUP($F158,'Raw Data'!$A:$M,13,0))</f>
        <v/>
      </c>
    </row>
    <row r="159" spans="1:13" x14ac:dyDescent="0.25">
      <c r="A159" t="s">
        <v>37</v>
      </c>
      <c r="B159">
        <v>2012</v>
      </c>
      <c r="C159">
        <v>4</v>
      </c>
      <c r="D159" s="3">
        <v>700</v>
      </c>
      <c r="E159" s="3">
        <v>95</v>
      </c>
      <c r="F159" s="3" t="str">
        <f t="shared" si="2"/>
        <v>FGU62012470095</v>
      </c>
      <c r="G159" t="str">
        <f>IF(ISNA(VLOOKUP($F159,'Raw Data'!$A:$M,7,0)),"",VLOOKUP($F159,'Raw Data'!$A:$M,7,0))</f>
        <v/>
      </c>
      <c r="H159" t="str">
        <f>IF(ISNA(VLOOKUP($F159,'Raw Data'!$A:$M,8,0)),"",VLOOKUP($F159,'Raw Data'!$A:$M,8,0))</f>
        <v/>
      </c>
      <c r="I159" t="str">
        <f>IF(ISNA(VLOOKUP($F159,'Raw Data'!$A:$M,9,0)),"",VLOOKUP($F159,'Raw Data'!$A:$M,9,0))</f>
        <v/>
      </c>
      <c r="J159" t="str">
        <f>IF(ISNA(VLOOKUP($F159,'Raw Data'!$A:$M,10,0)),"",VLOOKUP($F159,'Raw Data'!$A:$M,10,0))</f>
        <v/>
      </c>
      <c r="K159" t="str">
        <f>IF(ISNA(VLOOKUP($F159,'Raw Data'!$A:$M,11,0)),"",VLOOKUP($F159,'Raw Data'!$A:$M,11,0))</f>
        <v/>
      </c>
      <c r="L159" t="str">
        <f>IF(ISNA(VLOOKUP($F159,'Raw Data'!$A:$M,12,0)),"",VLOOKUP($F159,'Raw Data'!$A:$M,12,0))</f>
        <v/>
      </c>
      <c r="M159" t="str">
        <f>IF(ISNA(VLOOKUP($F159,'Raw Data'!$A:$M,13,0)),"",VLOOKUP($F159,'Raw Data'!$A:$M,13,0))</f>
        <v/>
      </c>
    </row>
    <row r="160" spans="1:13" x14ac:dyDescent="0.25">
      <c r="A160" t="s">
        <v>37</v>
      </c>
      <c r="B160">
        <v>2012</v>
      </c>
      <c r="C160">
        <v>4</v>
      </c>
      <c r="D160" s="3">
        <v>720</v>
      </c>
      <c r="E160" s="3">
        <v>95</v>
      </c>
      <c r="F160" s="3" t="str">
        <f t="shared" si="2"/>
        <v>FGU62012472095</v>
      </c>
      <c r="G160" t="str">
        <f>IF(ISNA(VLOOKUP($F160,'Raw Data'!$A:$M,7,0)),"",VLOOKUP($F160,'Raw Data'!$A:$M,7,0))</f>
        <v/>
      </c>
      <c r="H160" t="str">
        <f>IF(ISNA(VLOOKUP($F160,'Raw Data'!$A:$M,8,0)),"",VLOOKUP($F160,'Raw Data'!$A:$M,8,0))</f>
        <v/>
      </c>
      <c r="I160" t="str">
        <f>IF(ISNA(VLOOKUP($F160,'Raw Data'!$A:$M,9,0)),"",VLOOKUP($F160,'Raw Data'!$A:$M,9,0))</f>
        <v/>
      </c>
      <c r="J160" t="str">
        <f>IF(ISNA(VLOOKUP($F160,'Raw Data'!$A:$M,10,0)),"",VLOOKUP($F160,'Raw Data'!$A:$M,10,0))</f>
        <v/>
      </c>
      <c r="K160" t="str">
        <f>IF(ISNA(VLOOKUP($F160,'Raw Data'!$A:$M,11,0)),"",VLOOKUP($F160,'Raw Data'!$A:$M,11,0))</f>
        <v/>
      </c>
      <c r="L160" t="str">
        <f>IF(ISNA(VLOOKUP($F160,'Raw Data'!$A:$M,12,0)),"",VLOOKUP($F160,'Raw Data'!$A:$M,12,0))</f>
        <v/>
      </c>
      <c r="M160" t="str">
        <f>IF(ISNA(VLOOKUP($F160,'Raw Data'!$A:$M,13,0)),"",VLOOKUP($F160,'Raw Data'!$A:$M,13,0))</f>
        <v/>
      </c>
    </row>
    <row r="161" spans="1:13" x14ac:dyDescent="0.25">
      <c r="A161" t="s">
        <v>37</v>
      </c>
      <c r="B161">
        <v>2012</v>
      </c>
      <c r="C161">
        <v>4</v>
      </c>
      <c r="D161" s="3">
        <v>740</v>
      </c>
      <c r="E161" s="3">
        <v>95</v>
      </c>
      <c r="F161" s="3" t="str">
        <f t="shared" si="2"/>
        <v>FGU62012474095</v>
      </c>
      <c r="G161" t="str">
        <f>IF(ISNA(VLOOKUP($F161,'Raw Data'!$A:$M,7,0)),"",VLOOKUP($F161,'Raw Data'!$A:$M,7,0))</f>
        <v/>
      </c>
      <c r="H161" t="str">
        <f>IF(ISNA(VLOOKUP($F161,'Raw Data'!$A:$M,8,0)),"",VLOOKUP($F161,'Raw Data'!$A:$M,8,0))</f>
        <v/>
      </c>
      <c r="I161" t="str">
        <f>IF(ISNA(VLOOKUP($F161,'Raw Data'!$A:$M,9,0)),"",VLOOKUP($F161,'Raw Data'!$A:$M,9,0))</f>
        <v/>
      </c>
      <c r="J161" t="str">
        <f>IF(ISNA(VLOOKUP($F161,'Raw Data'!$A:$M,10,0)),"",VLOOKUP($F161,'Raw Data'!$A:$M,10,0))</f>
        <v/>
      </c>
      <c r="K161" t="str">
        <f>IF(ISNA(VLOOKUP($F161,'Raw Data'!$A:$M,11,0)),"",VLOOKUP($F161,'Raw Data'!$A:$M,11,0))</f>
        <v/>
      </c>
      <c r="L161" t="str">
        <f>IF(ISNA(VLOOKUP($F161,'Raw Data'!$A:$M,12,0)),"",VLOOKUP($F161,'Raw Data'!$A:$M,12,0))</f>
        <v/>
      </c>
      <c r="M161" t="str">
        <f>IF(ISNA(VLOOKUP($F161,'Raw Data'!$A:$M,13,0)),"",VLOOKUP($F161,'Raw Data'!$A:$M,13,0))</f>
        <v/>
      </c>
    </row>
    <row r="162" spans="1:13" x14ac:dyDescent="0.25">
      <c r="A162" t="s">
        <v>37</v>
      </c>
      <c r="B162">
        <v>2012</v>
      </c>
      <c r="C162">
        <v>4</v>
      </c>
      <c r="D162" s="3">
        <v>760</v>
      </c>
      <c r="E162" s="3">
        <v>95</v>
      </c>
      <c r="F162" s="3" t="str">
        <f t="shared" si="2"/>
        <v>FGU62012476095</v>
      </c>
      <c r="G162" t="str">
        <f>IF(ISNA(VLOOKUP($F162,'Raw Data'!$A:$M,7,0)),"",VLOOKUP($F162,'Raw Data'!$A:$M,7,0))</f>
        <v/>
      </c>
      <c r="H162" t="str">
        <f>IF(ISNA(VLOOKUP($F162,'Raw Data'!$A:$M,8,0)),"",VLOOKUP($F162,'Raw Data'!$A:$M,8,0))</f>
        <v/>
      </c>
      <c r="I162" t="str">
        <f>IF(ISNA(VLOOKUP($F162,'Raw Data'!$A:$M,9,0)),"",VLOOKUP($F162,'Raw Data'!$A:$M,9,0))</f>
        <v/>
      </c>
      <c r="J162" t="str">
        <f>IF(ISNA(VLOOKUP($F162,'Raw Data'!$A:$M,10,0)),"",VLOOKUP($F162,'Raw Data'!$A:$M,10,0))</f>
        <v/>
      </c>
      <c r="K162" t="str">
        <f>IF(ISNA(VLOOKUP($F162,'Raw Data'!$A:$M,11,0)),"",VLOOKUP($F162,'Raw Data'!$A:$M,11,0))</f>
        <v/>
      </c>
      <c r="L162" t="str">
        <f>IF(ISNA(VLOOKUP($F162,'Raw Data'!$A:$M,12,0)),"",VLOOKUP($F162,'Raw Data'!$A:$M,12,0))</f>
        <v/>
      </c>
      <c r="M162" t="str">
        <f>IF(ISNA(VLOOKUP($F162,'Raw Data'!$A:$M,13,0)),"",VLOOKUP($F162,'Raw Data'!$A:$M,13,0))</f>
        <v/>
      </c>
    </row>
    <row r="163" spans="1:13" x14ac:dyDescent="0.25">
      <c r="A163" t="s">
        <v>37</v>
      </c>
      <c r="B163">
        <v>2012</v>
      </c>
      <c r="C163">
        <v>4</v>
      </c>
      <c r="D163" s="3">
        <v>780</v>
      </c>
      <c r="E163" s="3">
        <v>95</v>
      </c>
      <c r="F163" s="3" t="str">
        <f t="shared" si="2"/>
        <v>FGU62012478095</v>
      </c>
      <c r="G163" t="str">
        <f>IF(ISNA(VLOOKUP($F163,'Raw Data'!$A:$M,7,0)),"",VLOOKUP($F163,'Raw Data'!$A:$M,7,0))</f>
        <v/>
      </c>
      <c r="H163" t="str">
        <f>IF(ISNA(VLOOKUP($F163,'Raw Data'!$A:$M,8,0)),"",VLOOKUP($F163,'Raw Data'!$A:$M,8,0))</f>
        <v/>
      </c>
      <c r="I163" t="str">
        <f>IF(ISNA(VLOOKUP($F163,'Raw Data'!$A:$M,9,0)),"",VLOOKUP($F163,'Raw Data'!$A:$M,9,0))</f>
        <v/>
      </c>
      <c r="J163" t="str">
        <f>IF(ISNA(VLOOKUP($F163,'Raw Data'!$A:$M,10,0)),"",VLOOKUP($F163,'Raw Data'!$A:$M,10,0))</f>
        <v/>
      </c>
      <c r="K163" t="str">
        <f>IF(ISNA(VLOOKUP($F163,'Raw Data'!$A:$M,11,0)),"",VLOOKUP($F163,'Raw Data'!$A:$M,11,0))</f>
        <v/>
      </c>
      <c r="L163" t="str">
        <f>IF(ISNA(VLOOKUP($F163,'Raw Data'!$A:$M,12,0)),"",VLOOKUP($F163,'Raw Data'!$A:$M,12,0))</f>
        <v/>
      </c>
      <c r="M163" t="str">
        <f>IF(ISNA(VLOOKUP($F163,'Raw Data'!$A:$M,13,0)),"",VLOOKUP($F163,'Raw Data'!$A:$M,13,0))</f>
        <v/>
      </c>
    </row>
    <row r="164" spans="1:13" x14ac:dyDescent="0.25">
      <c r="A164" t="s">
        <v>37</v>
      </c>
      <c r="B164">
        <v>2012</v>
      </c>
      <c r="C164">
        <v>4</v>
      </c>
      <c r="D164" s="3">
        <v>620</v>
      </c>
      <c r="E164" s="3">
        <v>97</v>
      </c>
      <c r="F164" s="3" t="str">
        <f t="shared" si="2"/>
        <v>FGU62012462097</v>
      </c>
      <c r="G164" t="str">
        <f>IF(ISNA(VLOOKUP($F164,'Raw Data'!$A:$M,7,0)),"",VLOOKUP($F164,'Raw Data'!$A:$M,7,0))</f>
        <v/>
      </c>
      <c r="H164" t="str">
        <f>IF(ISNA(VLOOKUP($F164,'Raw Data'!$A:$M,8,0)),"",VLOOKUP($F164,'Raw Data'!$A:$M,8,0))</f>
        <v/>
      </c>
      <c r="I164" t="str">
        <f>IF(ISNA(VLOOKUP($F164,'Raw Data'!$A:$M,9,0)),"",VLOOKUP($F164,'Raw Data'!$A:$M,9,0))</f>
        <v/>
      </c>
      <c r="J164" t="str">
        <f>IF(ISNA(VLOOKUP($F164,'Raw Data'!$A:$M,10,0)),"",VLOOKUP($F164,'Raw Data'!$A:$M,10,0))</f>
        <v/>
      </c>
      <c r="K164" t="str">
        <f>IF(ISNA(VLOOKUP($F164,'Raw Data'!$A:$M,11,0)),"",VLOOKUP($F164,'Raw Data'!$A:$M,11,0))</f>
        <v/>
      </c>
      <c r="L164" t="str">
        <f>IF(ISNA(VLOOKUP($F164,'Raw Data'!$A:$M,12,0)),"",VLOOKUP($F164,'Raw Data'!$A:$M,12,0))</f>
        <v/>
      </c>
      <c r="M164" t="str">
        <f>IF(ISNA(VLOOKUP($F164,'Raw Data'!$A:$M,13,0)),"",VLOOKUP($F164,'Raw Data'!$A:$M,13,0))</f>
        <v/>
      </c>
    </row>
    <row r="165" spans="1:13" x14ac:dyDescent="0.25">
      <c r="A165" t="s">
        <v>37</v>
      </c>
      <c r="B165">
        <v>2012</v>
      </c>
      <c r="C165">
        <v>4</v>
      </c>
      <c r="D165" s="3">
        <v>640</v>
      </c>
      <c r="E165" s="3">
        <v>97</v>
      </c>
      <c r="F165" s="3" t="str">
        <f t="shared" si="2"/>
        <v>FGU62012464097</v>
      </c>
      <c r="G165" t="str">
        <f>IF(ISNA(VLOOKUP($F165,'Raw Data'!$A:$M,7,0)),"",VLOOKUP($F165,'Raw Data'!$A:$M,7,0))</f>
        <v/>
      </c>
      <c r="H165" t="str">
        <f>IF(ISNA(VLOOKUP($F165,'Raw Data'!$A:$M,8,0)),"",VLOOKUP($F165,'Raw Data'!$A:$M,8,0))</f>
        <v/>
      </c>
      <c r="I165" t="str">
        <f>IF(ISNA(VLOOKUP($F165,'Raw Data'!$A:$M,9,0)),"",VLOOKUP($F165,'Raw Data'!$A:$M,9,0))</f>
        <v/>
      </c>
      <c r="J165" t="str">
        <f>IF(ISNA(VLOOKUP($F165,'Raw Data'!$A:$M,10,0)),"",VLOOKUP($F165,'Raw Data'!$A:$M,10,0))</f>
        <v/>
      </c>
      <c r="K165" t="str">
        <f>IF(ISNA(VLOOKUP($F165,'Raw Data'!$A:$M,11,0)),"",VLOOKUP($F165,'Raw Data'!$A:$M,11,0))</f>
        <v/>
      </c>
      <c r="L165" t="str">
        <f>IF(ISNA(VLOOKUP($F165,'Raw Data'!$A:$M,12,0)),"",VLOOKUP($F165,'Raw Data'!$A:$M,12,0))</f>
        <v/>
      </c>
      <c r="M165" t="str">
        <f>IF(ISNA(VLOOKUP($F165,'Raw Data'!$A:$M,13,0)),"",VLOOKUP($F165,'Raw Data'!$A:$M,13,0))</f>
        <v/>
      </c>
    </row>
    <row r="166" spans="1:13" x14ac:dyDescent="0.25">
      <c r="A166" t="s">
        <v>37</v>
      </c>
      <c r="B166">
        <v>2012</v>
      </c>
      <c r="C166">
        <v>4</v>
      </c>
      <c r="D166" s="3">
        <v>660</v>
      </c>
      <c r="E166" s="3">
        <v>97</v>
      </c>
      <c r="F166" s="3" t="str">
        <f t="shared" si="2"/>
        <v>FGU62012466097</v>
      </c>
      <c r="G166" t="str">
        <f>IF(ISNA(VLOOKUP($F166,'Raw Data'!$A:$M,7,0)),"",VLOOKUP($F166,'Raw Data'!$A:$M,7,0))</f>
        <v/>
      </c>
      <c r="H166" t="str">
        <f>IF(ISNA(VLOOKUP($F166,'Raw Data'!$A:$M,8,0)),"",VLOOKUP($F166,'Raw Data'!$A:$M,8,0))</f>
        <v/>
      </c>
      <c r="I166" t="str">
        <f>IF(ISNA(VLOOKUP($F166,'Raw Data'!$A:$M,9,0)),"",VLOOKUP($F166,'Raw Data'!$A:$M,9,0))</f>
        <v/>
      </c>
      <c r="J166" t="str">
        <f>IF(ISNA(VLOOKUP($F166,'Raw Data'!$A:$M,10,0)),"",VLOOKUP($F166,'Raw Data'!$A:$M,10,0))</f>
        <v/>
      </c>
      <c r="K166" t="str">
        <f>IF(ISNA(VLOOKUP($F166,'Raw Data'!$A:$M,11,0)),"",VLOOKUP($F166,'Raw Data'!$A:$M,11,0))</f>
        <v/>
      </c>
      <c r="L166" t="str">
        <f>IF(ISNA(VLOOKUP($F166,'Raw Data'!$A:$M,12,0)),"",VLOOKUP($F166,'Raw Data'!$A:$M,12,0))</f>
        <v/>
      </c>
      <c r="M166" t="str">
        <f>IF(ISNA(VLOOKUP($F166,'Raw Data'!$A:$M,13,0)),"",VLOOKUP($F166,'Raw Data'!$A:$M,13,0))</f>
        <v/>
      </c>
    </row>
    <row r="167" spans="1:13" x14ac:dyDescent="0.25">
      <c r="A167" t="s">
        <v>37</v>
      </c>
      <c r="B167">
        <v>2012</v>
      </c>
      <c r="C167">
        <v>4</v>
      </c>
      <c r="D167" s="3">
        <v>680</v>
      </c>
      <c r="E167" s="3">
        <v>97</v>
      </c>
      <c r="F167" s="3" t="str">
        <f t="shared" si="2"/>
        <v>FGU62012468097</v>
      </c>
      <c r="G167" t="str">
        <f>IF(ISNA(VLOOKUP($F167,'Raw Data'!$A:$M,7,0)),"",VLOOKUP($F167,'Raw Data'!$A:$M,7,0))</f>
        <v/>
      </c>
      <c r="H167" t="str">
        <f>IF(ISNA(VLOOKUP($F167,'Raw Data'!$A:$M,8,0)),"",VLOOKUP($F167,'Raw Data'!$A:$M,8,0))</f>
        <v/>
      </c>
      <c r="I167" t="str">
        <f>IF(ISNA(VLOOKUP($F167,'Raw Data'!$A:$M,9,0)),"",VLOOKUP($F167,'Raw Data'!$A:$M,9,0))</f>
        <v/>
      </c>
      <c r="J167" t="str">
        <f>IF(ISNA(VLOOKUP($F167,'Raw Data'!$A:$M,10,0)),"",VLOOKUP($F167,'Raw Data'!$A:$M,10,0))</f>
        <v/>
      </c>
      <c r="K167" t="str">
        <f>IF(ISNA(VLOOKUP($F167,'Raw Data'!$A:$M,11,0)),"",VLOOKUP($F167,'Raw Data'!$A:$M,11,0))</f>
        <v/>
      </c>
      <c r="L167" t="str">
        <f>IF(ISNA(VLOOKUP($F167,'Raw Data'!$A:$M,12,0)),"",VLOOKUP($F167,'Raw Data'!$A:$M,12,0))</f>
        <v/>
      </c>
      <c r="M167" t="str">
        <f>IF(ISNA(VLOOKUP($F167,'Raw Data'!$A:$M,13,0)),"",VLOOKUP($F167,'Raw Data'!$A:$M,13,0))</f>
        <v/>
      </c>
    </row>
    <row r="168" spans="1:13" x14ac:dyDescent="0.25">
      <c r="A168" t="s">
        <v>37</v>
      </c>
      <c r="B168">
        <v>2012</v>
      </c>
      <c r="C168">
        <v>4</v>
      </c>
      <c r="D168" s="3">
        <v>700</v>
      </c>
      <c r="E168" s="3">
        <v>97</v>
      </c>
      <c r="F168" s="3" t="str">
        <f t="shared" si="2"/>
        <v>FGU62012470097</v>
      </c>
      <c r="G168" t="str">
        <f>IF(ISNA(VLOOKUP($F168,'Raw Data'!$A:$M,7,0)),"",VLOOKUP($F168,'Raw Data'!$A:$M,7,0))</f>
        <v/>
      </c>
      <c r="H168" t="str">
        <f>IF(ISNA(VLOOKUP($F168,'Raw Data'!$A:$M,8,0)),"",VLOOKUP($F168,'Raw Data'!$A:$M,8,0))</f>
        <v/>
      </c>
      <c r="I168" t="str">
        <f>IF(ISNA(VLOOKUP($F168,'Raw Data'!$A:$M,9,0)),"",VLOOKUP($F168,'Raw Data'!$A:$M,9,0))</f>
        <v/>
      </c>
      <c r="J168" t="str">
        <f>IF(ISNA(VLOOKUP($F168,'Raw Data'!$A:$M,10,0)),"",VLOOKUP($F168,'Raw Data'!$A:$M,10,0))</f>
        <v/>
      </c>
      <c r="K168" t="str">
        <f>IF(ISNA(VLOOKUP($F168,'Raw Data'!$A:$M,11,0)),"",VLOOKUP($F168,'Raw Data'!$A:$M,11,0))</f>
        <v/>
      </c>
      <c r="L168" t="str">
        <f>IF(ISNA(VLOOKUP($F168,'Raw Data'!$A:$M,12,0)),"",VLOOKUP($F168,'Raw Data'!$A:$M,12,0))</f>
        <v/>
      </c>
      <c r="M168" t="str">
        <f>IF(ISNA(VLOOKUP($F168,'Raw Data'!$A:$M,13,0)),"",VLOOKUP($F168,'Raw Data'!$A:$M,13,0))</f>
        <v/>
      </c>
    </row>
    <row r="169" spans="1:13" x14ac:dyDescent="0.25">
      <c r="A169" t="s">
        <v>37</v>
      </c>
      <c r="B169">
        <v>2012</v>
      </c>
      <c r="C169">
        <v>4</v>
      </c>
      <c r="D169" s="3">
        <v>720</v>
      </c>
      <c r="E169" s="3">
        <v>97</v>
      </c>
      <c r="F169" s="3" t="str">
        <f t="shared" si="2"/>
        <v>FGU62012472097</v>
      </c>
      <c r="G169" t="str">
        <f>IF(ISNA(VLOOKUP($F169,'Raw Data'!$A:$M,7,0)),"",VLOOKUP($F169,'Raw Data'!$A:$M,7,0))</f>
        <v/>
      </c>
      <c r="H169" t="str">
        <f>IF(ISNA(VLOOKUP($F169,'Raw Data'!$A:$M,8,0)),"",VLOOKUP($F169,'Raw Data'!$A:$M,8,0))</f>
        <v/>
      </c>
      <c r="I169" t="str">
        <f>IF(ISNA(VLOOKUP($F169,'Raw Data'!$A:$M,9,0)),"",VLOOKUP($F169,'Raw Data'!$A:$M,9,0))</f>
        <v/>
      </c>
      <c r="J169" t="str">
        <f>IF(ISNA(VLOOKUP($F169,'Raw Data'!$A:$M,10,0)),"",VLOOKUP($F169,'Raw Data'!$A:$M,10,0))</f>
        <v/>
      </c>
      <c r="K169" t="str">
        <f>IF(ISNA(VLOOKUP($F169,'Raw Data'!$A:$M,11,0)),"",VLOOKUP($F169,'Raw Data'!$A:$M,11,0))</f>
        <v/>
      </c>
      <c r="L169" t="str">
        <f>IF(ISNA(VLOOKUP($F169,'Raw Data'!$A:$M,12,0)),"",VLOOKUP($F169,'Raw Data'!$A:$M,12,0))</f>
        <v/>
      </c>
      <c r="M169" t="str">
        <f>IF(ISNA(VLOOKUP($F169,'Raw Data'!$A:$M,13,0)),"",VLOOKUP($F169,'Raw Data'!$A:$M,13,0))</f>
        <v/>
      </c>
    </row>
    <row r="170" spans="1:13" x14ac:dyDescent="0.25">
      <c r="A170" t="s">
        <v>37</v>
      </c>
      <c r="B170">
        <v>2012</v>
      </c>
      <c r="C170">
        <v>4</v>
      </c>
      <c r="D170" s="3">
        <v>740</v>
      </c>
      <c r="E170" s="3">
        <v>97</v>
      </c>
      <c r="F170" s="3" t="str">
        <f t="shared" si="2"/>
        <v>FGU62012474097</v>
      </c>
      <c r="G170" t="str">
        <f>IF(ISNA(VLOOKUP($F170,'Raw Data'!$A:$M,7,0)),"",VLOOKUP($F170,'Raw Data'!$A:$M,7,0))</f>
        <v/>
      </c>
      <c r="H170" t="str">
        <f>IF(ISNA(VLOOKUP($F170,'Raw Data'!$A:$M,8,0)),"",VLOOKUP($F170,'Raw Data'!$A:$M,8,0))</f>
        <v/>
      </c>
      <c r="I170" t="str">
        <f>IF(ISNA(VLOOKUP($F170,'Raw Data'!$A:$M,9,0)),"",VLOOKUP($F170,'Raw Data'!$A:$M,9,0))</f>
        <v/>
      </c>
      <c r="J170" t="str">
        <f>IF(ISNA(VLOOKUP($F170,'Raw Data'!$A:$M,10,0)),"",VLOOKUP($F170,'Raw Data'!$A:$M,10,0))</f>
        <v/>
      </c>
      <c r="K170" t="str">
        <f>IF(ISNA(VLOOKUP($F170,'Raw Data'!$A:$M,11,0)),"",VLOOKUP($F170,'Raw Data'!$A:$M,11,0))</f>
        <v/>
      </c>
      <c r="L170" t="str">
        <f>IF(ISNA(VLOOKUP($F170,'Raw Data'!$A:$M,12,0)),"",VLOOKUP($F170,'Raw Data'!$A:$M,12,0))</f>
        <v/>
      </c>
      <c r="M170" t="str">
        <f>IF(ISNA(VLOOKUP($F170,'Raw Data'!$A:$M,13,0)),"",VLOOKUP($F170,'Raw Data'!$A:$M,13,0))</f>
        <v/>
      </c>
    </row>
    <row r="171" spans="1:13" x14ac:dyDescent="0.25">
      <c r="A171" t="s">
        <v>37</v>
      </c>
      <c r="B171">
        <v>2012</v>
      </c>
      <c r="C171">
        <v>4</v>
      </c>
      <c r="D171" s="3">
        <v>760</v>
      </c>
      <c r="E171" s="3">
        <v>97</v>
      </c>
      <c r="F171" s="3" t="str">
        <f t="shared" si="2"/>
        <v>FGU62012476097</v>
      </c>
      <c r="G171" t="str">
        <f>IF(ISNA(VLOOKUP($F171,'Raw Data'!$A:$M,7,0)),"",VLOOKUP($F171,'Raw Data'!$A:$M,7,0))</f>
        <v/>
      </c>
      <c r="H171" t="str">
        <f>IF(ISNA(VLOOKUP($F171,'Raw Data'!$A:$M,8,0)),"",VLOOKUP($F171,'Raw Data'!$A:$M,8,0))</f>
        <v/>
      </c>
      <c r="I171" t="str">
        <f>IF(ISNA(VLOOKUP($F171,'Raw Data'!$A:$M,9,0)),"",VLOOKUP($F171,'Raw Data'!$A:$M,9,0))</f>
        <v/>
      </c>
      <c r="J171" t="str">
        <f>IF(ISNA(VLOOKUP($F171,'Raw Data'!$A:$M,10,0)),"",VLOOKUP($F171,'Raw Data'!$A:$M,10,0))</f>
        <v/>
      </c>
      <c r="K171" t="str">
        <f>IF(ISNA(VLOOKUP($F171,'Raw Data'!$A:$M,11,0)),"",VLOOKUP($F171,'Raw Data'!$A:$M,11,0))</f>
        <v/>
      </c>
      <c r="L171" t="str">
        <f>IF(ISNA(VLOOKUP($F171,'Raw Data'!$A:$M,12,0)),"",VLOOKUP($F171,'Raw Data'!$A:$M,12,0))</f>
        <v/>
      </c>
      <c r="M171" t="str">
        <f>IF(ISNA(VLOOKUP($F171,'Raw Data'!$A:$M,13,0)),"",VLOOKUP($F171,'Raw Data'!$A:$M,13,0))</f>
        <v/>
      </c>
    </row>
    <row r="172" spans="1:13" x14ac:dyDescent="0.25">
      <c r="A172" t="s">
        <v>37</v>
      </c>
      <c r="B172">
        <v>2012</v>
      </c>
      <c r="C172">
        <v>4</v>
      </c>
      <c r="D172" s="3">
        <v>780</v>
      </c>
      <c r="E172" s="3">
        <v>97</v>
      </c>
      <c r="F172" s="3" t="str">
        <f t="shared" si="2"/>
        <v>FGU62012478097</v>
      </c>
      <c r="G172" t="str">
        <f>IF(ISNA(VLOOKUP($F172,'Raw Data'!$A:$M,7,0)),"",VLOOKUP($F172,'Raw Data'!$A:$M,7,0))</f>
        <v/>
      </c>
      <c r="H172" t="str">
        <f>IF(ISNA(VLOOKUP($F172,'Raw Data'!$A:$M,8,0)),"",VLOOKUP($F172,'Raw Data'!$A:$M,8,0))</f>
        <v/>
      </c>
      <c r="I172" t="str">
        <f>IF(ISNA(VLOOKUP($F172,'Raw Data'!$A:$M,9,0)),"",VLOOKUP($F172,'Raw Data'!$A:$M,9,0))</f>
        <v/>
      </c>
      <c r="J172" t="str">
        <f>IF(ISNA(VLOOKUP($F172,'Raw Data'!$A:$M,10,0)),"",VLOOKUP($F172,'Raw Data'!$A:$M,10,0))</f>
        <v/>
      </c>
      <c r="K172" t="str">
        <f>IF(ISNA(VLOOKUP($F172,'Raw Data'!$A:$M,11,0)),"",VLOOKUP($F172,'Raw Data'!$A:$M,11,0))</f>
        <v/>
      </c>
      <c r="L172" t="str">
        <f>IF(ISNA(VLOOKUP($F172,'Raw Data'!$A:$M,12,0)),"",VLOOKUP($F172,'Raw Data'!$A:$M,12,0))</f>
        <v/>
      </c>
      <c r="M172" t="str">
        <f>IF(ISNA(VLOOKUP($F172,'Raw Data'!$A:$M,13,0)),"",VLOOKUP($F172,'Raw Data'!$A:$M,13,0))</f>
        <v/>
      </c>
    </row>
    <row r="173" spans="1:13" x14ac:dyDescent="0.25">
      <c r="A173" t="s">
        <v>37</v>
      </c>
      <c r="B173">
        <v>2012</v>
      </c>
      <c r="C173">
        <v>4</v>
      </c>
      <c r="D173" s="3">
        <v>620</v>
      </c>
      <c r="E173" s="3">
        <v>100</v>
      </c>
      <c r="F173" s="3" t="str">
        <f t="shared" si="2"/>
        <v>FGU620124620100</v>
      </c>
      <c r="G173" t="str">
        <f>IF(ISNA(VLOOKUP($F173,'Raw Data'!$A:$M,7,0)),"",VLOOKUP($F173,'Raw Data'!$A:$M,7,0))</f>
        <v/>
      </c>
      <c r="H173" t="str">
        <f>IF(ISNA(VLOOKUP($F173,'Raw Data'!$A:$M,8,0)),"",VLOOKUP($F173,'Raw Data'!$A:$M,8,0))</f>
        <v/>
      </c>
      <c r="I173" t="str">
        <f>IF(ISNA(VLOOKUP($F173,'Raw Data'!$A:$M,9,0)),"",VLOOKUP($F173,'Raw Data'!$A:$M,9,0))</f>
        <v/>
      </c>
      <c r="J173" t="str">
        <f>IF(ISNA(VLOOKUP($F173,'Raw Data'!$A:$M,10,0)),"",VLOOKUP($F173,'Raw Data'!$A:$M,10,0))</f>
        <v/>
      </c>
      <c r="K173" t="str">
        <f>IF(ISNA(VLOOKUP($F173,'Raw Data'!$A:$M,11,0)),"",VLOOKUP($F173,'Raw Data'!$A:$M,11,0))</f>
        <v/>
      </c>
      <c r="L173" t="str">
        <f>IF(ISNA(VLOOKUP($F173,'Raw Data'!$A:$M,12,0)),"",VLOOKUP($F173,'Raw Data'!$A:$M,12,0))</f>
        <v/>
      </c>
      <c r="M173" t="str">
        <f>IF(ISNA(VLOOKUP($F173,'Raw Data'!$A:$M,13,0)),"",VLOOKUP($F173,'Raw Data'!$A:$M,13,0))</f>
        <v/>
      </c>
    </row>
    <row r="174" spans="1:13" x14ac:dyDescent="0.25">
      <c r="A174" t="s">
        <v>37</v>
      </c>
      <c r="B174">
        <v>2012</v>
      </c>
      <c r="C174">
        <v>4</v>
      </c>
      <c r="D174" s="3">
        <v>640</v>
      </c>
      <c r="E174" s="3">
        <v>100</v>
      </c>
      <c r="F174" s="3" t="str">
        <f t="shared" si="2"/>
        <v>FGU620124640100</v>
      </c>
      <c r="G174" t="str">
        <f>IF(ISNA(VLOOKUP($F174,'Raw Data'!$A:$M,7,0)),"",VLOOKUP($F174,'Raw Data'!$A:$M,7,0))</f>
        <v/>
      </c>
      <c r="H174" t="str">
        <f>IF(ISNA(VLOOKUP($F174,'Raw Data'!$A:$M,8,0)),"",VLOOKUP($F174,'Raw Data'!$A:$M,8,0))</f>
        <v/>
      </c>
      <c r="I174" t="str">
        <f>IF(ISNA(VLOOKUP($F174,'Raw Data'!$A:$M,9,0)),"",VLOOKUP($F174,'Raw Data'!$A:$M,9,0))</f>
        <v/>
      </c>
      <c r="J174" t="str">
        <f>IF(ISNA(VLOOKUP($F174,'Raw Data'!$A:$M,10,0)),"",VLOOKUP($F174,'Raw Data'!$A:$M,10,0))</f>
        <v/>
      </c>
      <c r="K174" t="str">
        <f>IF(ISNA(VLOOKUP($F174,'Raw Data'!$A:$M,11,0)),"",VLOOKUP($F174,'Raw Data'!$A:$M,11,0))</f>
        <v/>
      </c>
      <c r="L174" t="str">
        <f>IF(ISNA(VLOOKUP($F174,'Raw Data'!$A:$M,12,0)),"",VLOOKUP($F174,'Raw Data'!$A:$M,12,0))</f>
        <v/>
      </c>
      <c r="M174" t="str">
        <f>IF(ISNA(VLOOKUP($F174,'Raw Data'!$A:$M,13,0)),"",VLOOKUP($F174,'Raw Data'!$A:$M,13,0))</f>
        <v/>
      </c>
    </row>
    <row r="175" spans="1:13" x14ac:dyDescent="0.25">
      <c r="A175" t="s">
        <v>37</v>
      </c>
      <c r="B175">
        <v>2012</v>
      </c>
      <c r="C175">
        <v>4</v>
      </c>
      <c r="D175" s="3">
        <v>660</v>
      </c>
      <c r="E175" s="3">
        <v>100</v>
      </c>
      <c r="F175" s="3" t="str">
        <f t="shared" si="2"/>
        <v>FGU620124660100</v>
      </c>
      <c r="G175" t="str">
        <f>IF(ISNA(VLOOKUP($F175,'Raw Data'!$A:$M,7,0)),"",VLOOKUP($F175,'Raw Data'!$A:$M,7,0))</f>
        <v/>
      </c>
      <c r="H175" t="str">
        <f>IF(ISNA(VLOOKUP($F175,'Raw Data'!$A:$M,8,0)),"",VLOOKUP($F175,'Raw Data'!$A:$M,8,0))</f>
        <v/>
      </c>
      <c r="I175" t="str">
        <f>IF(ISNA(VLOOKUP($F175,'Raw Data'!$A:$M,9,0)),"",VLOOKUP($F175,'Raw Data'!$A:$M,9,0))</f>
        <v/>
      </c>
      <c r="J175" t="str">
        <f>IF(ISNA(VLOOKUP($F175,'Raw Data'!$A:$M,10,0)),"",VLOOKUP($F175,'Raw Data'!$A:$M,10,0))</f>
        <v/>
      </c>
      <c r="K175" t="str">
        <f>IF(ISNA(VLOOKUP($F175,'Raw Data'!$A:$M,11,0)),"",VLOOKUP($F175,'Raw Data'!$A:$M,11,0))</f>
        <v/>
      </c>
      <c r="L175" t="str">
        <f>IF(ISNA(VLOOKUP($F175,'Raw Data'!$A:$M,12,0)),"",VLOOKUP($F175,'Raw Data'!$A:$M,12,0))</f>
        <v/>
      </c>
      <c r="M175" t="str">
        <f>IF(ISNA(VLOOKUP($F175,'Raw Data'!$A:$M,13,0)),"",VLOOKUP($F175,'Raw Data'!$A:$M,13,0))</f>
        <v/>
      </c>
    </row>
    <row r="176" spans="1:13" x14ac:dyDescent="0.25">
      <c r="A176" t="s">
        <v>37</v>
      </c>
      <c r="B176">
        <v>2012</v>
      </c>
      <c r="C176">
        <v>4</v>
      </c>
      <c r="D176" s="3">
        <v>680</v>
      </c>
      <c r="E176" s="3">
        <v>100</v>
      </c>
      <c r="F176" s="3" t="str">
        <f t="shared" si="2"/>
        <v>FGU620124680100</v>
      </c>
      <c r="G176" t="str">
        <f>IF(ISNA(VLOOKUP($F176,'Raw Data'!$A:$M,7,0)),"",VLOOKUP($F176,'Raw Data'!$A:$M,7,0))</f>
        <v/>
      </c>
      <c r="H176" t="str">
        <f>IF(ISNA(VLOOKUP($F176,'Raw Data'!$A:$M,8,0)),"",VLOOKUP($F176,'Raw Data'!$A:$M,8,0))</f>
        <v/>
      </c>
      <c r="I176" t="str">
        <f>IF(ISNA(VLOOKUP($F176,'Raw Data'!$A:$M,9,0)),"",VLOOKUP($F176,'Raw Data'!$A:$M,9,0))</f>
        <v/>
      </c>
      <c r="J176" t="str">
        <f>IF(ISNA(VLOOKUP($F176,'Raw Data'!$A:$M,10,0)),"",VLOOKUP($F176,'Raw Data'!$A:$M,10,0))</f>
        <v/>
      </c>
      <c r="K176" t="str">
        <f>IF(ISNA(VLOOKUP($F176,'Raw Data'!$A:$M,11,0)),"",VLOOKUP($F176,'Raw Data'!$A:$M,11,0))</f>
        <v/>
      </c>
      <c r="L176" t="str">
        <f>IF(ISNA(VLOOKUP($F176,'Raw Data'!$A:$M,12,0)),"",VLOOKUP($F176,'Raw Data'!$A:$M,12,0))</f>
        <v/>
      </c>
      <c r="M176" t="str">
        <f>IF(ISNA(VLOOKUP($F176,'Raw Data'!$A:$M,13,0)),"",VLOOKUP($F176,'Raw Data'!$A:$M,13,0))</f>
        <v/>
      </c>
    </row>
    <row r="177" spans="1:13" x14ac:dyDescent="0.25">
      <c r="A177" t="s">
        <v>37</v>
      </c>
      <c r="B177">
        <v>2012</v>
      </c>
      <c r="C177">
        <v>4</v>
      </c>
      <c r="D177" s="3">
        <v>700</v>
      </c>
      <c r="E177" s="3">
        <v>100</v>
      </c>
      <c r="F177" s="3" t="str">
        <f t="shared" si="2"/>
        <v>FGU620124700100</v>
      </c>
      <c r="G177" t="str">
        <f>IF(ISNA(VLOOKUP($F177,'Raw Data'!$A:$M,7,0)),"",VLOOKUP($F177,'Raw Data'!$A:$M,7,0))</f>
        <v/>
      </c>
      <c r="H177" t="str">
        <f>IF(ISNA(VLOOKUP($F177,'Raw Data'!$A:$M,8,0)),"",VLOOKUP($F177,'Raw Data'!$A:$M,8,0))</f>
        <v/>
      </c>
      <c r="I177" t="str">
        <f>IF(ISNA(VLOOKUP($F177,'Raw Data'!$A:$M,9,0)),"",VLOOKUP($F177,'Raw Data'!$A:$M,9,0))</f>
        <v/>
      </c>
      <c r="J177" t="str">
        <f>IF(ISNA(VLOOKUP($F177,'Raw Data'!$A:$M,10,0)),"",VLOOKUP($F177,'Raw Data'!$A:$M,10,0))</f>
        <v/>
      </c>
      <c r="K177" t="str">
        <f>IF(ISNA(VLOOKUP($F177,'Raw Data'!$A:$M,11,0)),"",VLOOKUP($F177,'Raw Data'!$A:$M,11,0))</f>
        <v/>
      </c>
      <c r="L177" t="str">
        <f>IF(ISNA(VLOOKUP($F177,'Raw Data'!$A:$M,12,0)),"",VLOOKUP($F177,'Raw Data'!$A:$M,12,0))</f>
        <v/>
      </c>
      <c r="M177" t="str">
        <f>IF(ISNA(VLOOKUP($F177,'Raw Data'!$A:$M,13,0)),"",VLOOKUP($F177,'Raw Data'!$A:$M,13,0))</f>
        <v/>
      </c>
    </row>
    <row r="178" spans="1:13" x14ac:dyDescent="0.25">
      <c r="A178" t="s">
        <v>37</v>
      </c>
      <c r="B178">
        <v>2012</v>
      </c>
      <c r="C178">
        <v>4</v>
      </c>
      <c r="D178" s="3">
        <v>720</v>
      </c>
      <c r="E178" s="3">
        <v>100</v>
      </c>
      <c r="F178" s="3" t="str">
        <f t="shared" si="2"/>
        <v>FGU620124720100</v>
      </c>
      <c r="G178" t="str">
        <f>IF(ISNA(VLOOKUP($F178,'Raw Data'!$A:$M,7,0)),"",VLOOKUP($F178,'Raw Data'!$A:$M,7,0))</f>
        <v/>
      </c>
      <c r="H178" t="str">
        <f>IF(ISNA(VLOOKUP($F178,'Raw Data'!$A:$M,8,0)),"",VLOOKUP($F178,'Raw Data'!$A:$M,8,0))</f>
        <v/>
      </c>
      <c r="I178" t="str">
        <f>IF(ISNA(VLOOKUP($F178,'Raw Data'!$A:$M,9,0)),"",VLOOKUP($F178,'Raw Data'!$A:$M,9,0))</f>
        <v/>
      </c>
      <c r="J178" t="str">
        <f>IF(ISNA(VLOOKUP($F178,'Raw Data'!$A:$M,10,0)),"",VLOOKUP($F178,'Raw Data'!$A:$M,10,0))</f>
        <v/>
      </c>
      <c r="K178" t="str">
        <f>IF(ISNA(VLOOKUP($F178,'Raw Data'!$A:$M,11,0)),"",VLOOKUP($F178,'Raw Data'!$A:$M,11,0))</f>
        <v/>
      </c>
      <c r="L178" t="str">
        <f>IF(ISNA(VLOOKUP($F178,'Raw Data'!$A:$M,12,0)),"",VLOOKUP($F178,'Raw Data'!$A:$M,12,0))</f>
        <v/>
      </c>
      <c r="M178" t="str">
        <f>IF(ISNA(VLOOKUP($F178,'Raw Data'!$A:$M,13,0)),"",VLOOKUP($F178,'Raw Data'!$A:$M,13,0))</f>
        <v/>
      </c>
    </row>
    <row r="179" spans="1:13" x14ac:dyDescent="0.25">
      <c r="A179" t="s">
        <v>37</v>
      </c>
      <c r="B179">
        <v>2012</v>
      </c>
      <c r="C179">
        <v>4</v>
      </c>
      <c r="D179" s="3">
        <v>740</v>
      </c>
      <c r="E179" s="3">
        <v>100</v>
      </c>
      <c r="F179" s="3" t="str">
        <f t="shared" si="2"/>
        <v>FGU620124740100</v>
      </c>
      <c r="G179" t="str">
        <f>IF(ISNA(VLOOKUP($F179,'Raw Data'!$A:$M,7,0)),"",VLOOKUP($F179,'Raw Data'!$A:$M,7,0))</f>
        <v/>
      </c>
      <c r="H179" t="str">
        <f>IF(ISNA(VLOOKUP($F179,'Raw Data'!$A:$M,8,0)),"",VLOOKUP($F179,'Raw Data'!$A:$M,8,0))</f>
        <v/>
      </c>
      <c r="I179" t="str">
        <f>IF(ISNA(VLOOKUP($F179,'Raw Data'!$A:$M,9,0)),"",VLOOKUP($F179,'Raw Data'!$A:$M,9,0))</f>
        <v/>
      </c>
      <c r="J179" t="str">
        <f>IF(ISNA(VLOOKUP($F179,'Raw Data'!$A:$M,10,0)),"",VLOOKUP($F179,'Raw Data'!$A:$M,10,0))</f>
        <v/>
      </c>
      <c r="K179" t="str">
        <f>IF(ISNA(VLOOKUP($F179,'Raw Data'!$A:$M,11,0)),"",VLOOKUP($F179,'Raw Data'!$A:$M,11,0))</f>
        <v/>
      </c>
      <c r="L179" t="str">
        <f>IF(ISNA(VLOOKUP($F179,'Raw Data'!$A:$M,12,0)),"",VLOOKUP($F179,'Raw Data'!$A:$M,12,0))</f>
        <v/>
      </c>
      <c r="M179" t="str">
        <f>IF(ISNA(VLOOKUP($F179,'Raw Data'!$A:$M,13,0)),"",VLOOKUP($F179,'Raw Data'!$A:$M,13,0))</f>
        <v/>
      </c>
    </row>
    <row r="180" spans="1:13" x14ac:dyDescent="0.25">
      <c r="A180" t="s">
        <v>37</v>
      </c>
      <c r="B180">
        <v>2012</v>
      </c>
      <c r="C180">
        <v>4</v>
      </c>
      <c r="D180" s="3">
        <v>760</v>
      </c>
      <c r="E180" s="3">
        <v>100</v>
      </c>
      <c r="F180" s="3" t="str">
        <f t="shared" si="2"/>
        <v>FGU620124760100</v>
      </c>
      <c r="G180" t="str">
        <f>IF(ISNA(VLOOKUP($F180,'Raw Data'!$A:$M,7,0)),"",VLOOKUP($F180,'Raw Data'!$A:$M,7,0))</f>
        <v/>
      </c>
      <c r="H180" t="str">
        <f>IF(ISNA(VLOOKUP($F180,'Raw Data'!$A:$M,8,0)),"",VLOOKUP($F180,'Raw Data'!$A:$M,8,0))</f>
        <v/>
      </c>
      <c r="I180" t="str">
        <f>IF(ISNA(VLOOKUP($F180,'Raw Data'!$A:$M,9,0)),"",VLOOKUP($F180,'Raw Data'!$A:$M,9,0))</f>
        <v/>
      </c>
      <c r="J180" t="str">
        <f>IF(ISNA(VLOOKUP($F180,'Raw Data'!$A:$M,10,0)),"",VLOOKUP($F180,'Raw Data'!$A:$M,10,0))</f>
        <v/>
      </c>
      <c r="K180" t="str">
        <f>IF(ISNA(VLOOKUP($F180,'Raw Data'!$A:$M,11,0)),"",VLOOKUP($F180,'Raw Data'!$A:$M,11,0))</f>
        <v/>
      </c>
      <c r="L180" t="str">
        <f>IF(ISNA(VLOOKUP($F180,'Raw Data'!$A:$M,12,0)),"",VLOOKUP($F180,'Raw Data'!$A:$M,12,0))</f>
        <v/>
      </c>
      <c r="M180" t="str">
        <f>IF(ISNA(VLOOKUP($F180,'Raw Data'!$A:$M,13,0)),"",VLOOKUP($F180,'Raw Data'!$A:$M,13,0))</f>
        <v/>
      </c>
    </row>
    <row r="181" spans="1:13" x14ac:dyDescent="0.25">
      <c r="A181" t="s">
        <v>37</v>
      </c>
      <c r="B181">
        <v>2012</v>
      </c>
      <c r="C181">
        <v>4</v>
      </c>
      <c r="D181" s="3">
        <v>780</v>
      </c>
      <c r="E181" s="3">
        <v>100</v>
      </c>
      <c r="F181" s="3" t="str">
        <f t="shared" si="2"/>
        <v>FGU620124780100</v>
      </c>
      <c r="G181" t="str">
        <f>IF(ISNA(VLOOKUP($F181,'Raw Data'!$A:$M,7,0)),"",VLOOKUP($F181,'Raw Data'!$A:$M,7,0))</f>
        <v/>
      </c>
      <c r="H181" t="str">
        <f>IF(ISNA(VLOOKUP($F181,'Raw Data'!$A:$M,8,0)),"",VLOOKUP($F181,'Raw Data'!$A:$M,8,0))</f>
        <v/>
      </c>
      <c r="I181" t="str">
        <f>IF(ISNA(VLOOKUP($F181,'Raw Data'!$A:$M,9,0)),"",VLOOKUP($F181,'Raw Data'!$A:$M,9,0))</f>
        <v/>
      </c>
      <c r="J181" t="str">
        <f>IF(ISNA(VLOOKUP($F181,'Raw Data'!$A:$M,10,0)),"",VLOOKUP($F181,'Raw Data'!$A:$M,10,0))</f>
        <v/>
      </c>
      <c r="K181" t="str">
        <f>IF(ISNA(VLOOKUP($F181,'Raw Data'!$A:$M,11,0)),"",VLOOKUP($F181,'Raw Data'!$A:$M,11,0))</f>
        <v/>
      </c>
      <c r="L181" t="str">
        <f>IF(ISNA(VLOOKUP($F181,'Raw Data'!$A:$M,12,0)),"",VLOOKUP($F181,'Raw Data'!$A:$M,12,0))</f>
        <v/>
      </c>
      <c r="M181" t="str">
        <f>IF(ISNA(VLOOKUP($F181,'Raw Data'!$A:$M,13,0)),"",VLOOKUP($F181,'Raw Data'!$A:$M,13,0))</f>
        <v/>
      </c>
    </row>
    <row r="182" spans="1:13" x14ac:dyDescent="0.25">
      <c r="A182" t="s">
        <v>37</v>
      </c>
      <c r="B182">
        <v>2012</v>
      </c>
      <c r="C182">
        <v>4</v>
      </c>
      <c r="D182" s="3">
        <v>620</v>
      </c>
      <c r="E182" s="3" t="s">
        <v>9</v>
      </c>
      <c r="F182" s="3" t="str">
        <f t="shared" si="2"/>
        <v>FGU620124620100+</v>
      </c>
      <c r="G182" t="str">
        <f>IF(ISNA(VLOOKUP($F182,'Raw Data'!$A:$M,7,0)),"",VLOOKUP($F182,'Raw Data'!$A:$M,7,0))</f>
        <v/>
      </c>
      <c r="H182" t="str">
        <f>IF(ISNA(VLOOKUP($F182,'Raw Data'!$A:$M,8,0)),"",VLOOKUP($F182,'Raw Data'!$A:$M,8,0))</f>
        <v/>
      </c>
      <c r="I182" t="str">
        <f>IF(ISNA(VLOOKUP($F182,'Raw Data'!$A:$M,9,0)),"",VLOOKUP($F182,'Raw Data'!$A:$M,9,0))</f>
        <v/>
      </c>
      <c r="J182" t="str">
        <f>IF(ISNA(VLOOKUP($F182,'Raw Data'!$A:$M,10,0)),"",VLOOKUP($F182,'Raw Data'!$A:$M,10,0))</f>
        <v/>
      </c>
      <c r="K182" t="str">
        <f>IF(ISNA(VLOOKUP($F182,'Raw Data'!$A:$M,11,0)),"",VLOOKUP($F182,'Raw Data'!$A:$M,11,0))</f>
        <v/>
      </c>
      <c r="L182" t="str">
        <f>IF(ISNA(VLOOKUP($F182,'Raw Data'!$A:$M,12,0)),"",VLOOKUP($F182,'Raw Data'!$A:$M,12,0))</f>
        <v/>
      </c>
      <c r="M182" t="str">
        <f>IF(ISNA(VLOOKUP($F182,'Raw Data'!$A:$M,13,0)),"",VLOOKUP($F182,'Raw Data'!$A:$M,13,0))</f>
        <v/>
      </c>
    </row>
    <row r="183" spans="1:13" x14ac:dyDescent="0.25">
      <c r="A183" t="s">
        <v>37</v>
      </c>
      <c r="B183">
        <v>2012</v>
      </c>
      <c r="C183">
        <v>4</v>
      </c>
      <c r="D183" s="3">
        <v>640</v>
      </c>
      <c r="E183" s="3" t="s">
        <v>9</v>
      </c>
      <c r="F183" s="3" t="str">
        <f t="shared" si="2"/>
        <v>FGU620124640100+</v>
      </c>
      <c r="G183" t="str">
        <f>IF(ISNA(VLOOKUP($F183,'Raw Data'!$A:$M,7,0)),"",VLOOKUP($F183,'Raw Data'!$A:$M,7,0))</f>
        <v/>
      </c>
      <c r="H183" t="str">
        <f>IF(ISNA(VLOOKUP($F183,'Raw Data'!$A:$M,8,0)),"",VLOOKUP($F183,'Raw Data'!$A:$M,8,0))</f>
        <v/>
      </c>
      <c r="I183" t="str">
        <f>IF(ISNA(VLOOKUP($F183,'Raw Data'!$A:$M,9,0)),"",VLOOKUP($F183,'Raw Data'!$A:$M,9,0))</f>
        <v/>
      </c>
      <c r="J183" t="str">
        <f>IF(ISNA(VLOOKUP($F183,'Raw Data'!$A:$M,10,0)),"",VLOOKUP($F183,'Raw Data'!$A:$M,10,0))</f>
        <v/>
      </c>
      <c r="K183" t="str">
        <f>IF(ISNA(VLOOKUP($F183,'Raw Data'!$A:$M,11,0)),"",VLOOKUP($F183,'Raw Data'!$A:$M,11,0))</f>
        <v/>
      </c>
      <c r="L183" t="str">
        <f>IF(ISNA(VLOOKUP($F183,'Raw Data'!$A:$M,12,0)),"",VLOOKUP($F183,'Raw Data'!$A:$M,12,0))</f>
        <v/>
      </c>
      <c r="M183" t="str">
        <f>IF(ISNA(VLOOKUP($F183,'Raw Data'!$A:$M,13,0)),"",VLOOKUP($F183,'Raw Data'!$A:$M,13,0))</f>
        <v/>
      </c>
    </row>
    <row r="184" spans="1:13" x14ac:dyDescent="0.25">
      <c r="A184" t="s">
        <v>37</v>
      </c>
      <c r="B184">
        <v>2012</v>
      </c>
      <c r="C184">
        <v>4</v>
      </c>
      <c r="D184" s="3">
        <v>660</v>
      </c>
      <c r="E184" s="3" t="s">
        <v>9</v>
      </c>
      <c r="F184" s="3" t="str">
        <f t="shared" si="2"/>
        <v>FGU620124660100+</v>
      </c>
      <c r="G184" t="str">
        <f>IF(ISNA(VLOOKUP($F184,'Raw Data'!$A:$M,7,0)),"",VLOOKUP($F184,'Raw Data'!$A:$M,7,0))</f>
        <v/>
      </c>
      <c r="H184" t="str">
        <f>IF(ISNA(VLOOKUP($F184,'Raw Data'!$A:$M,8,0)),"",VLOOKUP($F184,'Raw Data'!$A:$M,8,0))</f>
        <v/>
      </c>
      <c r="I184" t="str">
        <f>IF(ISNA(VLOOKUP($F184,'Raw Data'!$A:$M,9,0)),"",VLOOKUP($F184,'Raw Data'!$A:$M,9,0))</f>
        <v/>
      </c>
      <c r="J184" t="str">
        <f>IF(ISNA(VLOOKUP($F184,'Raw Data'!$A:$M,10,0)),"",VLOOKUP($F184,'Raw Data'!$A:$M,10,0))</f>
        <v/>
      </c>
      <c r="K184" t="str">
        <f>IF(ISNA(VLOOKUP($F184,'Raw Data'!$A:$M,11,0)),"",VLOOKUP($F184,'Raw Data'!$A:$M,11,0))</f>
        <v/>
      </c>
      <c r="L184" t="str">
        <f>IF(ISNA(VLOOKUP($F184,'Raw Data'!$A:$M,12,0)),"",VLOOKUP($F184,'Raw Data'!$A:$M,12,0))</f>
        <v/>
      </c>
      <c r="M184" t="str">
        <f>IF(ISNA(VLOOKUP($F184,'Raw Data'!$A:$M,13,0)),"",VLOOKUP($F184,'Raw Data'!$A:$M,13,0))</f>
        <v/>
      </c>
    </row>
    <row r="185" spans="1:13" x14ac:dyDescent="0.25">
      <c r="A185" t="s">
        <v>37</v>
      </c>
      <c r="B185">
        <v>2012</v>
      </c>
      <c r="C185">
        <v>4</v>
      </c>
      <c r="D185" s="3">
        <v>680</v>
      </c>
      <c r="E185" s="3" t="s">
        <v>9</v>
      </c>
      <c r="F185" s="3" t="str">
        <f t="shared" si="2"/>
        <v>FGU620124680100+</v>
      </c>
      <c r="G185" t="str">
        <f>IF(ISNA(VLOOKUP($F185,'Raw Data'!$A:$M,7,0)),"",VLOOKUP($F185,'Raw Data'!$A:$M,7,0))</f>
        <v/>
      </c>
      <c r="H185" t="str">
        <f>IF(ISNA(VLOOKUP($F185,'Raw Data'!$A:$M,8,0)),"",VLOOKUP($F185,'Raw Data'!$A:$M,8,0))</f>
        <v/>
      </c>
      <c r="I185" t="str">
        <f>IF(ISNA(VLOOKUP($F185,'Raw Data'!$A:$M,9,0)),"",VLOOKUP($F185,'Raw Data'!$A:$M,9,0))</f>
        <v/>
      </c>
      <c r="J185" t="str">
        <f>IF(ISNA(VLOOKUP($F185,'Raw Data'!$A:$M,10,0)),"",VLOOKUP($F185,'Raw Data'!$A:$M,10,0))</f>
        <v/>
      </c>
      <c r="K185" t="str">
        <f>IF(ISNA(VLOOKUP($F185,'Raw Data'!$A:$M,11,0)),"",VLOOKUP($F185,'Raw Data'!$A:$M,11,0))</f>
        <v/>
      </c>
      <c r="L185" t="str">
        <f>IF(ISNA(VLOOKUP($F185,'Raw Data'!$A:$M,12,0)),"",VLOOKUP($F185,'Raw Data'!$A:$M,12,0))</f>
        <v/>
      </c>
      <c r="M185" t="str">
        <f>IF(ISNA(VLOOKUP($F185,'Raw Data'!$A:$M,13,0)),"",VLOOKUP($F185,'Raw Data'!$A:$M,13,0))</f>
        <v/>
      </c>
    </row>
    <row r="186" spans="1:13" x14ac:dyDescent="0.25">
      <c r="A186" t="s">
        <v>37</v>
      </c>
      <c r="B186">
        <v>2012</v>
      </c>
      <c r="C186">
        <v>4</v>
      </c>
      <c r="D186" s="3">
        <v>700</v>
      </c>
      <c r="E186" s="3" t="s">
        <v>9</v>
      </c>
      <c r="F186" s="3" t="str">
        <f t="shared" si="2"/>
        <v>FGU620124700100+</v>
      </c>
      <c r="G186" t="str">
        <f>IF(ISNA(VLOOKUP($F186,'Raw Data'!$A:$M,7,0)),"",VLOOKUP($F186,'Raw Data'!$A:$M,7,0))</f>
        <v/>
      </c>
      <c r="H186" t="str">
        <f>IF(ISNA(VLOOKUP($F186,'Raw Data'!$A:$M,8,0)),"",VLOOKUP($F186,'Raw Data'!$A:$M,8,0))</f>
        <v/>
      </c>
      <c r="I186" t="str">
        <f>IF(ISNA(VLOOKUP($F186,'Raw Data'!$A:$M,9,0)),"",VLOOKUP($F186,'Raw Data'!$A:$M,9,0))</f>
        <v/>
      </c>
      <c r="J186" t="str">
        <f>IF(ISNA(VLOOKUP($F186,'Raw Data'!$A:$M,10,0)),"",VLOOKUP($F186,'Raw Data'!$A:$M,10,0))</f>
        <v/>
      </c>
      <c r="K186" t="str">
        <f>IF(ISNA(VLOOKUP($F186,'Raw Data'!$A:$M,11,0)),"",VLOOKUP($F186,'Raw Data'!$A:$M,11,0))</f>
        <v/>
      </c>
      <c r="L186" t="str">
        <f>IF(ISNA(VLOOKUP($F186,'Raw Data'!$A:$M,12,0)),"",VLOOKUP($F186,'Raw Data'!$A:$M,12,0))</f>
        <v/>
      </c>
      <c r="M186" t="str">
        <f>IF(ISNA(VLOOKUP($F186,'Raw Data'!$A:$M,13,0)),"",VLOOKUP($F186,'Raw Data'!$A:$M,13,0))</f>
        <v/>
      </c>
    </row>
    <row r="187" spans="1:13" x14ac:dyDescent="0.25">
      <c r="A187" t="s">
        <v>37</v>
      </c>
      <c r="B187">
        <v>2012</v>
      </c>
      <c r="C187">
        <v>4</v>
      </c>
      <c r="D187" s="3">
        <v>720</v>
      </c>
      <c r="E187" s="3" t="s">
        <v>9</v>
      </c>
      <c r="F187" s="3" t="str">
        <f t="shared" si="2"/>
        <v>FGU620124720100+</v>
      </c>
      <c r="G187" t="str">
        <f>IF(ISNA(VLOOKUP($F187,'Raw Data'!$A:$M,7,0)),"",VLOOKUP($F187,'Raw Data'!$A:$M,7,0))</f>
        <v/>
      </c>
      <c r="H187" t="str">
        <f>IF(ISNA(VLOOKUP($F187,'Raw Data'!$A:$M,8,0)),"",VLOOKUP($F187,'Raw Data'!$A:$M,8,0))</f>
        <v/>
      </c>
      <c r="I187" t="str">
        <f>IF(ISNA(VLOOKUP($F187,'Raw Data'!$A:$M,9,0)),"",VLOOKUP($F187,'Raw Data'!$A:$M,9,0))</f>
        <v/>
      </c>
      <c r="J187" t="str">
        <f>IF(ISNA(VLOOKUP($F187,'Raw Data'!$A:$M,10,0)),"",VLOOKUP($F187,'Raw Data'!$A:$M,10,0))</f>
        <v/>
      </c>
      <c r="K187" t="str">
        <f>IF(ISNA(VLOOKUP($F187,'Raw Data'!$A:$M,11,0)),"",VLOOKUP($F187,'Raw Data'!$A:$M,11,0))</f>
        <v/>
      </c>
      <c r="L187" t="str">
        <f>IF(ISNA(VLOOKUP($F187,'Raw Data'!$A:$M,12,0)),"",VLOOKUP($F187,'Raw Data'!$A:$M,12,0))</f>
        <v/>
      </c>
      <c r="M187" t="str">
        <f>IF(ISNA(VLOOKUP($F187,'Raw Data'!$A:$M,13,0)),"",VLOOKUP($F187,'Raw Data'!$A:$M,13,0))</f>
        <v/>
      </c>
    </row>
    <row r="188" spans="1:13" x14ac:dyDescent="0.25">
      <c r="A188" t="s">
        <v>37</v>
      </c>
      <c r="B188">
        <v>2012</v>
      </c>
      <c r="C188">
        <v>4</v>
      </c>
      <c r="D188" s="3">
        <v>740</v>
      </c>
      <c r="E188" s="3" t="s">
        <v>9</v>
      </c>
      <c r="F188" s="3" t="str">
        <f t="shared" si="2"/>
        <v>FGU620124740100+</v>
      </c>
      <c r="G188" t="str">
        <f>IF(ISNA(VLOOKUP($F188,'Raw Data'!$A:$M,7,0)),"",VLOOKUP($F188,'Raw Data'!$A:$M,7,0))</f>
        <v/>
      </c>
      <c r="H188" t="str">
        <f>IF(ISNA(VLOOKUP($F188,'Raw Data'!$A:$M,8,0)),"",VLOOKUP($F188,'Raw Data'!$A:$M,8,0))</f>
        <v/>
      </c>
      <c r="I188" t="str">
        <f>IF(ISNA(VLOOKUP($F188,'Raw Data'!$A:$M,9,0)),"",VLOOKUP($F188,'Raw Data'!$A:$M,9,0))</f>
        <v/>
      </c>
      <c r="J188" t="str">
        <f>IF(ISNA(VLOOKUP($F188,'Raw Data'!$A:$M,10,0)),"",VLOOKUP($F188,'Raw Data'!$A:$M,10,0))</f>
        <v/>
      </c>
      <c r="K188" t="str">
        <f>IF(ISNA(VLOOKUP($F188,'Raw Data'!$A:$M,11,0)),"",VLOOKUP($F188,'Raw Data'!$A:$M,11,0))</f>
        <v/>
      </c>
      <c r="L188" t="str">
        <f>IF(ISNA(VLOOKUP($F188,'Raw Data'!$A:$M,12,0)),"",VLOOKUP($F188,'Raw Data'!$A:$M,12,0))</f>
        <v/>
      </c>
      <c r="M188" t="str">
        <f>IF(ISNA(VLOOKUP($F188,'Raw Data'!$A:$M,13,0)),"",VLOOKUP($F188,'Raw Data'!$A:$M,13,0))</f>
        <v/>
      </c>
    </row>
    <row r="189" spans="1:13" x14ac:dyDescent="0.25">
      <c r="A189" t="s">
        <v>37</v>
      </c>
      <c r="B189">
        <v>2012</v>
      </c>
      <c r="C189">
        <v>4</v>
      </c>
      <c r="D189" s="3">
        <v>760</v>
      </c>
      <c r="E189" s="3" t="s">
        <v>9</v>
      </c>
      <c r="F189" s="3" t="str">
        <f t="shared" si="2"/>
        <v>FGU620124760100+</v>
      </c>
      <c r="G189" t="str">
        <f>IF(ISNA(VLOOKUP($F189,'Raw Data'!$A:$M,7,0)),"",VLOOKUP($F189,'Raw Data'!$A:$M,7,0))</f>
        <v/>
      </c>
      <c r="H189" t="str">
        <f>IF(ISNA(VLOOKUP($F189,'Raw Data'!$A:$M,8,0)),"",VLOOKUP($F189,'Raw Data'!$A:$M,8,0))</f>
        <v/>
      </c>
      <c r="I189" t="str">
        <f>IF(ISNA(VLOOKUP($F189,'Raw Data'!$A:$M,9,0)),"",VLOOKUP($F189,'Raw Data'!$A:$M,9,0))</f>
        <v/>
      </c>
      <c r="J189" t="str">
        <f>IF(ISNA(VLOOKUP($F189,'Raw Data'!$A:$M,10,0)),"",VLOOKUP($F189,'Raw Data'!$A:$M,10,0))</f>
        <v/>
      </c>
      <c r="K189" t="str">
        <f>IF(ISNA(VLOOKUP($F189,'Raw Data'!$A:$M,11,0)),"",VLOOKUP($F189,'Raw Data'!$A:$M,11,0))</f>
        <v/>
      </c>
      <c r="L189" t="str">
        <f>IF(ISNA(VLOOKUP($F189,'Raw Data'!$A:$M,12,0)),"",VLOOKUP($F189,'Raw Data'!$A:$M,12,0))</f>
        <v/>
      </c>
      <c r="M189" t="str">
        <f>IF(ISNA(VLOOKUP($F189,'Raw Data'!$A:$M,13,0)),"",VLOOKUP($F189,'Raw Data'!$A:$M,13,0))</f>
        <v/>
      </c>
    </row>
    <row r="190" spans="1:13" x14ac:dyDescent="0.25">
      <c r="A190" t="s">
        <v>37</v>
      </c>
      <c r="B190">
        <v>2012</v>
      </c>
      <c r="C190">
        <v>4</v>
      </c>
      <c r="D190" s="3">
        <v>780</v>
      </c>
      <c r="E190" s="3" t="s">
        <v>9</v>
      </c>
      <c r="F190" s="3" t="str">
        <f t="shared" si="2"/>
        <v>FGU620124780100+</v>
      </c>
      <c r="G190" t="str">
        <f>IF(ISNA(VLOOKUP($F190,'Raw Data'!$A:$M,7,0)),"",VLOOKUP($F190,'Raw Data'!$A:$M,7,0))</f>
        <v/>
      </c>
      <c r="H190" t="str">
        <f>IF(ISNA(VLOOKUP($F190,'Raw Data'!$A:$M,8,0)),"",VLOOKUP($F190,'Raw Data'!$A:$M,8,0))</f>
        <v/>
      </c>
      <c r="I190" t="str">
        <f>IF(ISNA(VLOOKUP($F190,'Raw Data'!$A:$M,9,0)),"",VLOOKUP($F190,'Raw Data'!$A:$M,9,0))</f>
        <v/>
      </c>
      <c r="J190" t="str">
        <f>IF(ISNA(VLOOKUP($F190,'Raw Data'!$A:$M,10,0)),"",VLOOKUP($F190,'Raw Data'!$A:$M,10,0))</f>
        <v/>
      </c>
      <c r="K190" t="str">
        <f>IF(ISNA(VLOOKUP($F190,'Raw Data'!$A:$M,11,0)),"",VLOOKUP($F190,'Raw Data'!$A:$M,11,0))</f>
        <v/>
      </c>
      <c r="L190" t="str">
        <f>IF(ISNA(VLOOKUP($F190,'Raw Data'!$A:$M,12,0)),"",VLOOKUP($F190,'Raw Data'!$A:$M,12,0))</f>
        <v/>
      </c>
      <c r="M190" t="str">
        <f>IF(ISNA(VLOOKUP($F190,'Raw Data'!$A:$M,13,0)),"",VLOOKUP($F190,'Raw Data'!$A:$M,13,0))</f>
        <v/>
      </c>
    </row>
    <row r="191" spans="1:13" x14ac:dyDescent="0.25">
      <c r="A191" t="s">
        <v>37</v>
      </c>
      <c r="B191">
        <v>2013</v>
      </c>
      <c r="C191">
        <v>4</v>
      </c>
      <c r="D191" s="3">
        <v>620</v>
      </c>
      <c r="E191" s="3">
        <v>80</v>
      </c>
      <c r="F191" s="3" t="str">
        <f t="shared" si="2"/>
        <v>FGU62013462080</v>
      </c>
      <c r="G191" t="str">
        <f>IF(ISNA(VLOOKUP($F191,'Raw Data'!$A:$M,7,0)),"",VLOOKUP($F191,'Raw Data'!$A:$M,7,0))</f>
        <v/>
      </c>
      <c r="H191" t="str">
        <f>IF(ISNA(VLOOKUP($F191,'Raw Data'!$A:$M,8,0)),"",VLOOKUP($F191,'Raw Data'!$A:$M,8,0))</f>
        <v/>
      </c>
      <c r="I191" t="str">
        <f>IF(ISNA(VLOOKUP($F191,'Raw Data'!$A:$M,9,0)),"",VLOOKUP($F191,'Raw Data'!$A:$M,9,0))</f>
        <v/>
      </c>
      <c r="J191" t="str">
        <f>IF(ISNA(VLOOKUP($F191,'Raw Data'!$A:$M,10,0)),"",VLOOKUP($F191,'Raw Data'!$A:$M,10,0))</f>
        <v/>
      </c>
      <c r="K191" t="str">
        <f>IF(ISNA(VLOOKUP($F191,'Raw Data'!$A:$M,11,0)),"",VLOOKUP($F191,'Raw Data'!$A:$M,11,0))</f>
        <v/>
      </c>
      <c r="L191" t="str">
        <f>IF(ISNA(VLOOKUP($F191,'Raw Data'!$A:$M,12,0)),"",VLOOKUP($F191,'Raw Data'!$A:$M,12,0))</f>
        <v/>
      </c>
      <c r="M191" t="str">
        <f>IF(ISNA(VLOOKUP($F191,'Raw Data'!$A:$M,13,0)),"",VLOOKUP($F191,'Raw Data'!$A:$M,13,0))</f>
        <v/>
      </c>
    </row>
    <row r="192" spans="1:13" x14ac:dyDescent="0.25">
      <c r="A192" t="s">
        <v>37</v>
      </c>
      <c r="B192">
        <v>2013</v>
      </c>
      <c r="C192">
        <v>4</v>
      </c>
      <c r="D192" s="3">
        <v>640</v>
      </c>
      <c r="E192" s="3">
        <v>80</v>
      </c>
      <c r="F192" s="3" t="str">
        <f t="shared" si="2"/>
        <v>FGU62013464080</v>
      </c>
      <c r="G192" t="str">
        <f>IF(ISNA(VLOOKUP($F192,'Raw Data'!$A:$M,7,0)),"",VLOOKUP($F192,'Raw Data'!$A:$M,7,0))</f>
        <v/>
      </c>
      <c r="H192" t="str">
        <f>IF(ISNA(VLOOKUP($F192,'Raw Data'!$A:$M,8,0)),"",VLOOKUP($F192,'Raw Data'!$A:$M,8,0))</f>
        <v/>
      </c>
      <c r="I192" t="str">
        <f>IF(ISNA(VLOOKUP($F192,'Raw Data'!$A:$M,9,0)),"",VLOOKUP($F192,'Raw Data'!$A:$M,9,0))</f>
        <v/>
      </c>
      <c r="J192" t="str">
        <f>IF(ISNA(VLOOKUP($F192,'Raw Data'!$A:$M,10,0)),"",VLOOKUP($F192,'Raw Data'!$A:$M,10,0))</f>
        <v/>
      </c>
      <c r="K192" t="str">
        <f>IF(ISNA(VLOOKUP($F192,'Raw Data'!$A:$M,11,0)),"",VLOOKUP($F192,'Raw Data'!$A:$M,11,0))</f>
        <v/>
      </c>
      <c r="L192" t="str">
        <f>IF(ISNA(VLOOKUP($F192,'Raw Data'!$A:$M,12,0)),"",VLOOKUP($F192,'Raw Data'!$A:$M,12,0))</f>
        <v/>
      </c>
      <c r="M192" t="str">
        <f>IF(ISNA(VLOOKUP($F192,'Raw Data'!$A:$M,13,0)),"",VLOOKUP($F192,'Raw Data'!$A:$M,13,0))</f>
        <v/>
      </c>
    </row>
    <row r="193" spans="1:13" x14ac:dyDescent="0.25">
      <c r="A193" t="s">
        <v>37</v>
      </c>
      <c r="B193">
        <v>2013</v>
      </c>
      <c r="C193">
        <v>4</v>
      </c>
      <c r="D193" s="3">
        <v>660</v>
      </c>
      <c r="E193" s="3">
        <v>80</v>
      </c>
      <c r="F193" s="3" t="str">
        <f t="shared" si="2"/>
        <v>FGU62013466080</v>
      </c>
      <c r="G193" t="str">
        <f>IF(ISNA(VLOOKUP($F193,'Raw Data'!$A:$M,7,0)),"",VLOOKUP($F193,'Raw Data'!$A:$M,7,0))</f>
        <v/>
      </c>
      <c r="H193" t="str">
        <f>IF(ISNA(VLOOKUP($F193,'Raw Data'!$A:$M,8,0)),"",VLOOKUP($F193,'Raw Data'!$A:$M,8,0))</f>
        <v/>
      </c>
      <c r="I193" t="str">
        <f>IF(ISNA(VLOOKUP($F193,'Raw Data'!$A:$M,9,0)),"",VLOOKUP($F193,'Raw Data'!$A:$M,9,0))</f>
        <v/>
      </c>
      <c r="J193" t="str">
        <f>IF(ISNA(VLOOKUP($F193,'Raw Data'!$A:$M,10,0)),"",VLOOKUP($F193,'Raw Data'!$A:$M,10,0))</f>
        <v/>
      </c>
      <c r="K193" t="str">
        <f>IF(ISNA(VLOOKUP($F193,'Raw Data'!$A:$M,11,0)),"",VLOOKUP($F193,'Raw Data'!$A:$M,11,0))</f>
        <v/>
      </c>
      <c r="L193" t="str">
        <f>IF(ISNA(VLOOKUP($F193,'Raw Data'!$A:$M,12,0)),"",VLOOKUP($F193,'Raw Data'!$A:$M,12,0))</f>
        <v/>
      </c>
      <c r="M193" t="str">
        <f>IF(ISNA(VLOOKUP($F193,'Raw Data'!$A:$M,13,0)),"",VLOOKUP($F193,'Raw Data'!$A:$M,13,0))</f>
        <v/>
      </c>
    </row>
    <row r="194" spans="1:13" x14ac:dyDescent="0.25">
      <c r="A194" t="s">
        <v>37</v>
      </c>
      <c r="B194">
        <v>2013</v>
      </c>
      <c r="C194">
        <v>4</v>
      </c>
      <c r="D194" s="3">
        <v>680</v>
      </c>
      <c r="E194" s="3">
        <v>80</v>
      </c>
      <c r="F194" s="3" t="str">
        <f t="shared" si="2"/>
        <v>FGU62013468080</v>
      </c>
      <c r="G194" t="str">
        <f>IF(ISNA(VLOOKUP($F194,'Raw Data'!$A:$M,7,0)),"",VLOOKUP($F194,'Raw Data'!$A:$M,7,0))</f>
        <v/>
      </c>
      <c r="H194" t="str">
        <f>IF(ISNA(VLOOKUP($F194,'Raw Data'!$A:$M,8,0)),"",VLOOKUP($F194,'Raw Data'!$A:$M,8,0))</f>
        <v/>
      </c>
      <c r="I194" t="str">
        <f>IF(ISNA(VLOOKUP($F194,'Raw Data'!$A:$M,9,0)),"",VLOOKUP($F194,'Raw Data'!$A:$M,9,0))</f>
        <v/>
      </c>
      <c r="J194" t="str">
        <f>IF(ISNA(VLOOKUP($F194,'Raw Data'!$A:$M,10,0)),"",VLOOKUP($F194,'Raw Data'!$A:$M,10,0))</f>
        <v/>
      </c>
      <c r="K194" t="str">
        <f>IF(ISNA(VLOOKUP($F194,'Raw Data'!$A:$M,11,0)),"",VLOOKUP($F194,'Raw Data'!$A:$M,11,0))</f>
        <v/>
      </c>
      <c r="L194" t="str">
        <f>IF(ISNA(VLOOKUP($F194,'Raw Data'!$A:$M,12,0)),"",VLOOKUP($F194,'Raw Data'!$A:$M,12,0))</f>
        <v/>
      </c>
      <c r="M194" t="str">
        <f>IF(ISNA(VLOOKUP($F194,'Raw Data'!$A:$M,13,0)),"",VLOOKUP($F194,'Raw Data'!$A:$M,13,0))</f>
        <v/>
      </c>
    </row>
    <row r="195" spans="1:13" x14ac:dyDescent="0.25">
      <c r="A195" t="s">
        <v>37</v>
      </c>
      <c r="B195">
        <v>2013</v>
      </c>
      <c r="C195">
        <v>4</v>
      </c>
      <c r="D195" s="3">
        <v>700</v>
      </c>
      <c r="E195" s="3">
        <v>80</v>
      </c>
      <c r="F195" s="3" t="str">
        <f t="shared" si="2"/>
        <v>FGU62013470080</v>
      </c>
      <c r="G195" t="str">
        <f>IF(ISNA(VLOOKUP($F195,'Raw Data'!$A:$M,7,0)),"",VLOOKUP($F195,'Raw Data'!$A:$M,7,0))</f>
        <v/>
      </c>
      <c r="H195" t="str">
        <f>IF(ISNA(VLOOKUP($F195,'Raw Data'!$A:$M,8,0)),"",VLOOKUP($F195,'Raw Data'!$A:$M,8,0))</f>
        <v/>
      </c>
      <c r="I195" t="str">
        <f>IF(ISNA(VLOOKUP($F195,'Raw Data'!$A:$M,9,0)),"",VLOOKUP($F195,'Raw Data'!$A:$M,9,0))</f>
        <v/>
      </c>
      <c r="J195" t="str">
        <f>IF(ISNA(VLOOKUP($F195,'Raw Data'!$A:$M,10,0)),"",VLOOKUP($F195,'Raw Data'!$A:$M,10,0))</f>
        <v/>
      </c>
      <c r="K195" t="str">
        <f>IF(ISNA(VLOOKUP($F195,'Raw Data'!$A:$M,11,0)),"",VLOOKUP($F195,'Raw Data'!$A:$M,11,0))</f>
        <v/>
      </c>
      <c r="L195" t="str">
        <f>IF(ISNA(VLOOKUP($F195,'Raw Data'!$A:$M,12,0)),"",VLOOKUP($F195,'Raw Data'!$A:$M,12,0))</f>
        <v/>
      </c>
      <c r="M195" t="str">
        <f>IF(ISNA(VLOOKUP($F195,'Raw Data'!$A:$M,13,0)),"",VLOOKUP($F195,'Raw Data'!$A:$M,13,0))</f>
        <v/>
      </c>
    </row>
    <row r="196" spans="1:13" x14ac:dyDescent="0.25">
      <c r="A196" t="s">
        <v>37</v>
      </c>
      <c r="B196">
        <v>2013</v>
      </c>
      <c r="C196">
        <v>4</v>
      </c>
      <c r="D196" s="3">
        <v>720</v>
      </c>
      <c r="E196" s="3">
        <v>80</v>
      </c>
      <c r="F196" s="3" t="str">
        <f t="shared" ref="F196:F259" si="3">A196&amp;B196&amp;C196&amp;D196&amp;E196</f>
        <v>FGU62013472080</v>
      </c>
      <c r="G196" t="str">
        <f>IF(ISNA(VLOOKUP($F196,'Raw Data'!$A:$M,7,0)),"",VLOOKUP($F196,'Raw Data'!$A:$M,7,0))</f>
        <v/>
      </c>
      <c r="H196" t="str">
        <f>IF(ISNA(VLOOKUP($F196,'Raw Data'!$A:$M,8,0)),"",VLOOKUP($F196,'Raw Data'!$A:$M,8,0))</f>
        <v/>
      </c>
      <c r="I196" t="str">
        <f>IF(ISNA(VLOOKUP($F196,'Raw Data'!$A:$M,9,0)),"",VLOOKUP($F196,'Raw Data'!$A:$M,9,0))</f>
        <v/>
      </c>
      <c r="J196" t="str">
        <f>IF(ISNA(VLOOKUP($F196,'Raw Data'!$A:$M,10,0)),"",VLOOKUP($F196,'Raw Data'!$A:$M,10,0))</f>
        <v/>
      </c>
      <c r="K196" t="str">
        <f>IF(ISNA(VLOOKUP($F196,'Raw Data'!$A:$M,11,0)),"",VLOOKUP($F196,'Raw Data'!$A:$M,11,0))</f>
        <v/>
      </c>
      <c r="L196" t="str">
        <f>IF(ISNA(VLOOKUP($F196,'Raw Data'!$A:$M,12,0)),"",VLOOKUP($F196,'Raw Data'!$A:$M,12,0))</f>
        <v/>
      </c>
      <c r="M196" t="str">
        <f>IF(ISNA(VLOOKUP($F196,'Raw Data'!$A:$M,13,0)),"",VLOOKUP($F196,'Raw Data'!$A:$M,13,0))</f>
        <v/>
      </c>
    </row>
    <row r="197" spans="1:13" x14ac:dyDescent="0.25">
      <c r="A197" t="s">
        <v>37</v>
      </c>
      <c r="B197">
        <v>2013</v>
      </c>
      <c r="C197">
        <v>4</v>
      </c>
      <c r="D197" s="3">
        <v>740</v>
      </c>
      <c r="E197" s="3">
        <v>80</v>
      </c>
      <c r="F197" s="3" t="str">
        <f t="shared" si="3"/>
        <v>FGU62013474080</v>
      </c>
      <c r="G197" t="str">
        <f>IF(ISNA(VLOOKUP($F197,'Raw Data'!$A:$M,7,0)),"",VLOOKUP($F197,'Raw Data'!$A:$M,7,0))</f>
        <v/>
      </c>
      <c r="H197" t="str">
        <f>IF(ISNA(VLOOKUP($F197,'Raw Data'!$A:$M,8,0)),"",VLOOKUP($F197,'Raw Data'!$A:$M,8,0))</f>
        <v/>
      </c>
      <c r="I197" t="str">
        <f>IF(ISNA(VLOOKUP($F197,'Raw Data'!$A:$M,9,0)),"",VLOOKUP($F197,'Raw Data'!$A:$M,9,0))</f>
        <v/>
      </c>
      <c r="J197" t="str">
        <f>IF(ISNA(VLOOKUP($F197,'Raw Data'!$A:$M,10,0)),"",VLOOKUP($F197,'Raw Data'!$A:$M,10,0))</f>
        <v/>
      </c>
      <c r="K197" t="str">
        <f>IF(ISNA(VLOOKUP($F197,'Raw Data'!$A:$M,11,0)),"",VLOOKUP($F197,'Raw Data'!$A:$M,11,0))</f>
        <v/>
      </c>
      <c r="L197" t="str">
        <f>IF(ISNA(VLOOKUP($F197,'Raw Data'!$A:$M,12,0)),"",VLOOKUP($F197,'Raw Data'!$A:$M,12,0))</f>
        <v/>
      </c>
      <c r="M197" t="str">
        <f>IF(ISNA(VLOOKUP($F197,'Raw Data'!$A:$M,13,0)),"",VLOOKUP($F197,'Raw Data'!$A:$M,13,0))</f>
        <v/>
      </c>
    </row>
    <row r="198" spans="1:13" x14ac:dyDescent="0.25">
      <c r="A198" t="s">
        <v>37</v>
      </c>
      <c r="B198">
        <v>2013</v>
      </c>
      <c r="C198">
        <v>4</v>
      </c>
      <c r="D198" s="3">
        <v>760</v>
      </c>
      <c r="E198" s="3">
        <v>80</v>
      </c>
      <c r="F198" s="3" t="str">
        <f t="shared" si="3"/>
        <v>FGU62013476080</v>
      </c>
      <c r="G198" t="str">
        <f>IF(ISNA(VLOOKUP($F198,'Raw Data'!$A:$M,7,0)),"",VLOOKUP($F198,'Raw Data'!$A:$M,7,0))</f>
        <v/>
      </c>
      <c r="H198" t="str">
        <f>IF(ISNA(VLOOKUP($F198,'Raw Data'!$A:$M,8,0)),"",VLOOKUP($F198,'Raw Data'!$A:$M,8,0))</f>
        <v/>
      </c>
      <c r="I198" t="str">
        <f>IF(ISNA(VLOOKUP($F198,'Raw Data'!$A:$M,9,0)),"",VLOOKUP($F198,'Raw Data'!$A:$M,9,0))</f>
        <v/>
      </c>
      <c r="J198" t="str">
        <f>IF(ISNA(VLOOKUP($F198,'Raw Data'!$A:$M,10,0)),"",VLOOKUP($F198,'Raw Data'!$A:$M,10,0))</f>
        <v/>
      </c>
      <c r="K198" t="str">
        <f>IF(ISNA(VLOOKUP($F198,'Raw Data'!$A:$M,11,0)),"",VLOOKUP($F198,'Raw Data'!$A:$M,11,0))</f>
        <v/>
      </c>
      <c r="L198" t="str">
        <f>IF(ISNA(VLOOKUP($F198,'Raw Data'!$A:$M,12,0)),"",VLOOKUP($F198,'Raw Data'!$A:$M,12,0))</f>
        <v/>
      </c>
      <c r="M198" t="str">
        <f>IF(ISNA(VLOOKUP($F198,'Raw Data'!$A:$M,13,0)),"",VLOOKUP($F198,'Raw Data'!$A:$M,13,0))</f>
        <v/>
      </c>
    </row>
    <row r="199" spans="1:13" x14ac:dyDescent="0.25">
      <c r="A199" t="s">
        <v>37</v>
      </c>
      <c r="B199">
        <v>2013</v>
      </c>
      <c r="C199">
        <v>4</v>
      </c>
      <c r="D199" s="3">
        <v>780</v>
      </c>
      <c r="E199" s="3">
        <v>80</v>
      </c>
      <c r="F199" s="3" t="str">
        <f t="shared" si="3"/>
        <v>FGU62013478080</v>
      </c>
      <c r="G199">
        <f>IF(ISNA(VLOOKUP($F199,'Raw Data'!$A:$M,7,0)),"",VLOOKUP($F199,'Raw Data'!$A:$M,7,0))</f>
        <v>957901.84</v>
      </c>
      <c r="H199">
        <f>IF(ISNA(VLOOKUP($F199,'Raw Data'!$A:$M,8,0)),"",VLOOKUP($F199,'Raw Data'!$A:$M,8,0))</f>
        <v>-51.97</v>
      </c>
      <c r="I199">
        <f>IF(ISNA(VLOOKUP($F199,'Raw Data'!$A:$M,9,0)),"",VLOOKUP($F199,'Raw Data'!$A:$M,9,0))</f>
        <v>-26.97</v>
      </c>
      <c r="J199">
        <f>IF(ISNA(VLOOKUP($F199,'Raw Data'!$A:$M,10,0)),"",VLOOKUP($F199,'Raw Data'!$A:$M,10,0))</f>
        <v>25</v>
      </c>
      <c r="K199">
        <f>IF(ISNA(VLOOKUP($F199,'Raw Data'!$A:$M,11,0)),"",VLOOKUP($F199,'Raw Data'!$A:$M,11,0))</f>
        <v>24.688099999999999</v>
      </c>
      <c r="L199">
        <f>IF(ISNA(VLOOKUP($F199,'Raw Data'!$A:$M,12,0)),"",VLOOKUP($F199,'Raw Data'!$A:$M,12,0))</f>
        <v>24.688099999999999</v>
      </c>
      <c r="M199">
        <f>IF(ISNA(VLOOKUP($F199,'Raw Data'!$A:$M,13,0)),"",VLOOKUP($F199,'Raw Data'!$A:$M,13,0))</f>
        <v>0</v>
      </c>
    </row>
    <row r="200" spans="1:13" x14ac:dyDescent="0.25">
      <c r="A200" t="s">
        <v>37</v>
      </c>
      <c r="B200">
        <v>2013</v>
      </c>
      <c r="C200">
        <v>4</v>
      </c>
      <c r="D200" s="3">
        <v>620</v>
      </c>
      <c r="E200" s="3">
        <v>85</v>
      </c>
      <c r="F200" s="3" t="str">
        <f t="shared" si="3"/>
        <v>FGU62013462085</v>
      </c>
      <c r="G200" t="str">
        <f>IF(ISNA(VLOOKUP($F200,'Raw Data'!$A:$M,7,0)),"",VLOOKUP($F200,'Raw Data'!$A:$M,7,0))</f>
        <v/>
      </c>
      <c r="H200" t="str">
        <f>IF(ISNA(VLOOKUP($F200,'Raw Data'!$A:$M,8,0)),"",VLOOKUP($F200,'Raw Data'!$A:$M,8,0))</f>
        <v/>
      </c>
      <c r="I200" t="str">
        <f>IF(ISNA(VLOOKUP($F200,'Raw Data'!$A:$M,9,0)),"",VLOOKUP($F200,'Raw Data'!$A:$M,9,0))</f>
        <v/>
      </c>
      <c r="J200" t="str">
        <f>IF(ISNA(VLOOKUP($F200,'Raw Data'!$A:$M,10,0)),"",VLOOKUP($F200,'Raw Data'!$A:$M,10,0))</f>
        <v/>
      </c>
      <c r="K200" t="str">
        <f>IF(ISNA(VLOOKUP($F200,'Raw Data'!$A:$M,11,0)),"",VLOOKUP($F200,'Raw Data'!$A:$M,11,0))</f>
        <v/>
      </c>
      <c r="L200" t="str">
        <f>IF(ISNA(VLOOKUP($F200,'Raw Data'!$A:$M,12,0)),"",VLOOKUP($F200,'Raw Data'!$A:$M,12,0))</f>
        <v/>
      </c>
      <c r="M200" t="str">
        <f>IF(ISNA(VLOOKUP($F200,'Raw Data'!$A:$M,13,0)),"",VLOOKUP($F200,'Raw Data'!$A:$M,13,0))</f>
        <v/>
      </c>
    </row>
    <row r="201" spans="1:13" x14ac:dyDescent="0.25">
      <c r="A201" t="s">
        <v>37</v>
      </c>
      <c r="B201">
        <v>2013</v>
      </c>
      <c r="C201">
        <v>4</v>
      </c>
      <c r="D201" s="3">
        <v>640</v>
      </c>
      <c r="E201" s="3">
        <v>85</v>
      </c>
      <c r="F201" s="3" t="str">
        <f t="shared" si="3"/>
        <v>FGU62013464085</v>
      </c>
      <c r="G201" t="str">
        <f>IF(ISNA(VLOOKUP($F201,'Raw Data'!$A:$M,7,0)),"",VLOOKUP($F201,'Raw Data'!$A:$M,7,0))</f>
        <v/>
      </c>
      <c r="H201" t="str">
        <f>IF(ISNA(VLOOKUP($F201,'Raw Data'!$A:$M,8,0)),"",VLOOKUP($F201,'Raw Data'!$A:$M,8,0))</f>
        <v/>
      </c>
      <c r="I201" t="str">
        <f>IF(ISNA(VLOOKUP($F201,'Raw Data'!$A:$M,9,0)),"",VLOOKUP($F201,'Raw Data'!$A:$M,9,0))</f>
        <v/>
      </c>
      <c r="J201" t="str">
        <f>IF(ISNA(VLOOKUP($F201,'Raw Data'!$A:$M,10,0)),"",VLOOKUP($F201,'Raw Data'!$A:$M,10,0))</f>
        <v/>
      </c>
      <c r="K201" t="str">
        <f>IF(ISNA(VLOOKUP($F201,'Raw Data'!$A:$M,11,0)),"",VLOOKUP($F201,'Raw Data'!$A:$M,11,0))</f>
        <v/>
      </c>
      <c r="L201" t="str">
        <f>IF(ISNA(VLOOKUP($F201,'Raw Data'!$A:$M,12,0)),"",VLOOKUP($F201,'Raw Data'!$A:$M,12,0))</f>
        <v/>
      </c>
      <c r="M201" t="str">
        <f>IF(ISNA(VLOOKUP($F201,'Raw Data'!$A:$M,13,0)),"",VLOOKUP($F201,'Raw Data'!$A:$M,13,0))</f>
        <v/>
      </c>
    </row>
    <row r="202" spans="1:13" x14ac:dyDescent="0.25">
      <c r="A202" t="s">
        <v>37</v>
      </c>
      <c r="B202">
        <v>2013</v>
      </c>
      <c r="C202">
        <v>4</v>
      </c>
      <c r="D202" s="3">
        <v>660</v>
      </c>
      <c r="E202" s="3">
        <v>85</v>
      </c>
      <c r="F202" s="3" t="str">
        <f t="shared" si="3"/>
        <v>FGU62013466085</v>
      </c>
      <c r="G202" t="str">
        <f>IF(ISNA(VLOOKUP($F202,'Raw Data'!$A:$M,7,0)),"",VLOOKUP($F202,'Raw Data'!$A:$M,7,0))</f>
        <v/>
      </c>
      <c r="H202" t="str">
        <f>IF(ISNA(VLOOKUP($F202,'Raw Data'!$A:$M,8,0)),"",VLOOKUP($F202,'Raw Data'!$A:$M,8,0))</f>
        <v/>
      </c>
      <c r="I202" t="str">
        <f>IF(ISNA(VLOOKUP($F202,'Raw Data'!$A:$M,9,0)),"",VLOOKUP($F202,'Raw Data'!$A:$M,9,0))</f>
        <v/>
      </c>
      <c r="J202" t="str">
        <f>IF(ISNA(VLOOKUP($F202,'Raw Data'!$A:$M,10,0)),"",VLOOKUP($F202,'Raw Data'!$A:$M,10,0))</f>
        <v/>
      </c>
      <c r="K202" t="str">
        <f>IF(ISNA(VLOOKUP($F202,'Raw Data'!$A:$M,11,0)),"",VLOOKUP($F202,'Raw Data'!$A:$M,11,0))</f>
        <v/>
      </c>
      <c r="L202" t="str">
        <f>IF(ISNA(VLOOKUP($F202,'Raw Data'!$A:$M,12,0)),"",VLOOKUP($F202,'Raw Data'!$A:$M,12,0))</f>
        <v/>
      </c>
      <c r="M202" t="str">
        <f>IF(ISNA(VLOOKUP($F202,'Raw Data'!$A:$M,13,0)),"",VLOOKUP($F202,'Raw Data'!$A:$M,13,0))</f>
        <v/>
      </c>
    </row>
    <row r="203" spans="1:13" x14ac:dyDescent="0.25">
      <c r="A203" t="s">
        <v>37</v>
      </c>
      <c r="B203">
        <v>2013</v>
      </c>
      <c r="C203">
        <v>4</v>
      </c>
      <c r="D203" s="3">
        <v>680</v>
      </c>
      <c r="E203" s="3">
        <v>85</v>
      </c>
      <c r="F203" s="3" t="str">
        <f t="shared" si="3"/>
        <v>FGU62013468085</v>
      </c>
      <c r="G203" t="str">
        <f>IF(ISNA(VLOOKUP($F203,'Raw Data'!$A:$M,7,0)),"",VLOOKUP($F203,'Raw Data'!$A:$M,7,0))</f>
        <v/>
      </c>
      <c r="H203" t="str">
        <f>IF(ISNA(VLOOKUP($F203,'Raw Data'!$A:$M,8,0)),"",VLOOKUP($F203,'Raw Data'!$A:$M,8,0))</f>
        <v/>
      </c>
      <c r="I203" t="str">
        <f>IF(ISNA(VLOOKUP($F203,'Raw Data'!$A:$M,9,0)),"",VLOOKUP($F203,'Raw Data'!$A:$M,9,0))</f>
        <v/>
      </c>
      <c r="J203" t="str">
        <f>IF(ISNA(VLOOKUP($F203,'Raw Data'!$A:$M,10,0)),"",VLOOKUP($F203,'Raw Data'!$A:$M,10,0))</f>
        <v/>
      </c>
      <c r="K203" t="str">
        <f>IF(ISNA(VLOOKUP($F203,'Raw Data'!$A:$M,11,0)),"",VLOOKUP($F203,'Raw Data'!$A:$M,11,0))</f>
        <v/>
      </c>
      <c r="L203" t="str">
        <f>IF(ISNA(VLOOKUP($F203,'Raw Data'!$A:$M,12,0)),"",VLOOKUP($F203,'Raw Data'!$A:$M,12,0))</f>
        <v/>
      </c>
      <c r="M203" t="str">
        <f>IF(ISNA(VLOOKUP($F203,'Raw Data'!$A:$M,13,0)),"",VLOOKUP($F203,'Raw Data'!$A:$M,13,0))</f>
        <v/>
      </c>
    </row>
    <row r="204" spans="1:13" x14ac:dyDescent="0.25">
      <c r="A204" t="s">
        <v>37</v>
      </c>
      <c r="B204">
        <v>2013</v>
      </c>
      <c r="C204">
        <v>4</v>
      </c>
      <c r="D204" s="3">
        <v>700</v>
      </c>
      <c r="E204" s="3">
        <v>85</v>
      </c>
      <c r="F204" s="3" t="str">
        <f t="shared" si="3"/>
        <v>FGU62013470085</v>
      </c>
      <c r="G204" t="str">
        <f>IF(ISNA(VLOOKUP($F204,'Raw Data'!$A:$M,7,0)),"",VLOOKUP($F204,'Raw Data'!$A:$M,7,0))</f>
        <v/>
      </c>
      <c r="H204" t="str">
        <f>IF(ISNA(VLOOKUP($F204,'Raw Data'!$A:$M,8,0)),"",VLOOKUP($F204,'Raw Data'!$A:$M,8,0))</f>
        <v/>
      </c>
      <c r="I204" t="str">
        <f>IF(ISNA(VLOOKUP($F204,'Raw Data'!$A:$M,9,0)),"",VLOOKUP($F204,'Raw Data'!$A:$M,9,0))</f>
        <v/>
      </c>
      <c r="J204" t="str">
        <f>IF(ISNA(VLOOKUP($F204,'Raw Data'!$A:$M,10,0)),"",VLOOKUP($F204,'Raw Data'!$A:$M,10,0))</f>
        <v/>
      </c>
      <c r="K204" t="str">
        <f>IF(ISNA(VLOOKUP($F204,'Raw Data'!$A:$M,11,0)),"",VLOOKUP($F204,'Raw Data'!$A:$M,11,0))</f>
        <v/>
      </c>
      <c r="L204" t="str">
        <f>IF(ISNA(VLOOKUP($F204,'Raw Data'!$A:$M,12,0)),"",VLOOKUP($F204,'Raw Data'!$A:$M,12,0))</f>
        <v/>
      </c>
      <c r="M204" t="str">
        <f>IF(ISNA(VLOOKUP($F204,'Raw Data'!$A:$M,13,0)),"",VLOOKUP($F204,'Raw Data'!$A:$M,13,0))</f>
        <v/>
      </c>
    </row>
    <row r="205" spans="1:13" x14ac:dyDescent="0.25">
      <c r="A205" t="s">
        <v>37</v>
      </c>
      <c r="B205">
        <v>2013</v>
      </c>
      <c r="C205">
        <v>4</v>
      </c>
      <c r="D205" s="3">
        <v>720</v>
      </c>
      <c r="E205" s="3">
        <v>85</v>
      </c>
      <c r="F205" s="3" t="str">
        <f t="shared" si="3"/>
        <v>FGU62013472085</v>
      </c>
      <c r="G205">
        <f>IF(ISNA(VLOOKUP($F205,'Raw Data'!$A:$M,7,0)),"",VLOOKUP($F205,'Raw Data'!$A:$M,7,0))</f>
        <v>23546582.530000001</v>
      </c>
      <c r="H205">
        <f>IF(ISNA(VLOOKUP($F205,'Raw Data'!$A:$M,8,0)),"",VLOOKUP($F205,'Raw Data'!$A:$M,8,0))</f>
        <v>-51.248699999999999</v>
      </c>
      <c r="I205">
        <f>IF(ISNA(VLOOKUP($F205,'Raw Data'!$A:$M,9,0)),"",VLOOKUP($F205,'Raw Data'!$A:$M,9,0))</f>
        <v>-26.249300000000002</v>
      </c>
      <c r="J205">
        <f>IF(ISNA(VLOOKUP($F205,'Raw Data'!$A:$M,10,0)),"",VLOOKUP($F205,'Raw Data'!$A:$M,10,0))</f>
        <v>24.999400000000001</v>
      </c>
      <c r="K205">
        <f>IF(ISNA(VLOOKUP($F205,'Raw Data'!$A:$M,11,0)),"",VLOOKUP($F205,'Raw Data'!$A:$M,11,0))</f>
        <v>-10.9476</v>
      </c>
      <c r="L205">
        <f>IF(ISNA(VLOOKUP($F205,'Raw Data'!$A:$M,12,0)),"",VLOOKUP($F205,'Raw Data'!$A:$M,12,0))</f>
        <v>-2.9624999999999999</v>
      </c>
      <c r="M205">
        <f>IF(ISNA(VLOOKUP($F205,'Raw Data'!$A:$M,13,0)),"",VLOOKUP($F205,'Raw Data'!$A:$M,13,0))</f>
        <v>7.9851000000000001</v>
      </c>
    </row>
    <row r="206" spans="1:13" x14ac:dyDescent="0.25">
      <c r="A206" t="s">
        <v>37</v>
      </c>
      <c r="B206">
        <v>2013</v>
      </c>
      <c r="C206">
        <v>4</v>
      </c>
      <c r="D206" s="3">
        <v>740</v>
      </c>
      <c r="E206" s="3">
        <v>85</v>
      </c>
      <c r="F206" s="3" t="str">
        <f t="shared" si="3"/>
        <v>FGU62013474085</v>
      </c>
      <c r="G206">
        <f>IF(ISNA(VLOOKUP($F206,'Raw Data'!$A:$M,7,0)),"",VLOOKUP($F206,'Raw Data'!$A:$M,7,0))</f>
        <v>14320526.880000001</v>
      </c>
      <c r="H206">
        <f>IF(ISNA(VLOOKUP($F206,'Raw Data'!$A:$M,8,0)),"",VLOOKUP($F206,'Raw Data'!$A:$M,8,0))</f>
        <v>-39.320700000000002</v>
      </c>
      <c r="I206">
        <f>IF(ISNA(VLOOKUP($F206,'Raw Data'!$A:$M,9,0)),"",VLOOKUP($F206,'Raw Data'!$A:$M,9,0))</f>
        <v>-14.3215</v>
      </c>
      <c r="J206">
        <f>IF(ISNA(VLOOKUP($F206,'Raw Data'!$A:$M,10,0)),"",VLOOKUP($F206,'Raw Data'!$A:$M,10,0))</f>
        <v>24.999199999999998</v>
      </c>
      <c r="K206">
        <f>IF(ISNA(VLOOKUP($F206,'Raw Data'!$A:$M,11,0)),"",VLOOKUP($F206,'Raw Data'!$A:$M,11,0))</f>
        <v>11.622999999999999</v>
      </c>
      <c r="L206">
        <f>IF(ISNA(VLOOKUP($F206,'Raw Data'!$A:$M,12,0)),"",VLOOKUP($F206,'Raw Data'!$A:$M,12,0))</f>
        <v>18.172699999999999</v>
      </c>
      <c r="M206">
        <f>IF(ISNA(VLOOKUP($F206,'Raw Data'!$A:$M,13,0)),"",VLOOKUP($F206,'Raw Data'!$A:$M,13,0))</f>
        <v>6.5496999999999996</v>
      </c>
    </row>
    <row r="207" spans="1:13" x14ac:dyDescent="0.25">
      <c r="A207" t="s">
        <v>37</v>
      </c>
      <c r="B207">
        <v>2013</v>
      </c>
      <c r="C207">
        <v>4</v>
      </c>
      <c r="D207" s="3">
        <v>760</v>
      </c>
      <c r="E207" s="3">
        <v>85</v>
      </c>
      <c r="F207" s="3" t="str">
        <f t="shared" si="3"/>
        <v>FGU62013476085</v>
      </c>
      <c r="G207">
        <f>IF(ISNA(VLOOKUP($F207,'Raw Data'!$A:$M,7,0)),"",VLOOKUP($F207,'Raw Data'!$A:$M,7,0))</f>
        <v>79114520.859999999</v>
      </c>
      <c r="H207">
        <f>IF(ISNA(VLOOKUP($F207,'Raw Data'!$A:$M,8,0)),"",VLOOKUP($F207,'Raw Data'!$A:$M,8,0))</f>
        <v>-32.6509</v>
      </c>
      <c r="I207">
        <f>IF(ISNA(VLOOKUP($F207,'Raw Data'!$A:$M,9,0)),"",VLOOKUP($F207,'Raw Data'!$A:$M,9,0))</f>
        <v>-7.6513999999999998</v>
      </c>
      <c r="J207">
        <f>IF(ISNA(VLOOKUP($F207,'Raw Data'!$A:$M,10,0)),"",VLOOKUP($F207,'Raw Data'!$A:$M,10,0))</f>
        <v>24.999500000000001</v>
      </c>
      <c r="K207">
        <f>IF(ISNA(VLOOKUP($F207,'Raw Data'!$A:$M,11,0)),"",VLOOKUP($F207,'Raw Data'!$A:$M,11,0))</f>
        <v>13.3742</v>
      </c>
      <c r="L207">
        <f>IF(ISNA(VLOOKUP($F207,'Raw Data'!$A:$M,12,0)),"",VLOOKUP($F207,'Raw Data'!$A:$M,12,0))</f>
        <v>19.9072</v>
      </c>
      <c r="M207">
        <f>IF(ISNA(VLOOKUP($F207,'Raw Data'!$A:$M,13,0)),"",VLOOKUP($F207,'Raw Data'!$A:$M,13,0))</f>
        <v>6.5330000000000004</v>
      </c>
    </row>
    <row r="208" spans="1:13" x14ac:dyDescent="0.25">
      <c r="A208" t="s">
        <v>37</v>
      </c>
      <c r="B208">
        <v>2013</v>
      </c>
      <c r="C208">
        <v>4</v>
      </c>
      <c r="D208" s="3">
        <v>780</v>
      </c>
      <c r="E208" s="3">
        <v>85</v>
      </c>
      <c r="F208" s="3" t="str">
        <f t="shared" si="3"/>
        <v>FGU62013478085</v>
      </c>
      <c r="G208">
        <f>IF(ISNA(VLOOKUP($F208,'Raw Data'!$A:$M,7,0)),"",VLOOKUP($F208,'Raw Data'!$A:$M,7,0))</f>
        <v>711095.08</v>
      </c>
      <c r="H208">
        <f>IF(ISNA(VLOOKUP($F208,'Raw Data'!$A:$M,8,0)),"",VLOOKUP($F208,'Raw Data'!$A:$M,8,0))</f>
        <v>-65.427599999999998</v>
      </c>
      <c r="I208">
        <f>IF(ISNA(VLOOKUP($F208,'Raw Data'!$A:$M,9,0)),"",VLOOKUP($F208,'Raw Data'!$A:$M,9,0))</f>
        <v>-40.427599999999998</v>
      </c>
      <c r="J208">
        <f>IF(ISNA(VLOOKUP($F208,'Raw Data'!$A:$M,10,0)),"",VLOOKUP($F208,'Raw Data'!$A:$M,10,0))</f>
        <v>25</v>
      </c>
      <c r="K208">
        <f>IF(ISNA(VLOOKUP($F208,'Raw Data'!$A:$M,11,0)),"",VLOOKUP($F208,'Raw Data'!$A:$M,11,0))</f>
        <v>3.3835000000000002</v>
      </c>
      <c r="L208">
        <f>IF(ISNA(VLOOKUP($F208,'Raw Data'!$A:$M,12,0)),"",VLOOKUP($F208,'Raw Data'!$A:$M,12,0))</f>
        <v>3.3835000000000002</v>
      </c>
      <c r="M208">
        <f>IF(ISNA(VLOOKUP($F208,'Raw Data'!$A:$M,13,0)),"",VLOOKUP($F208,'Raw Data'!$A:$M,13,0))</f>
        <v>0</v>
      </c>
    </row>
    <row r="209" spans="1:13" x14ac:dyDescent="0.25">
      <c r="A209" t="s">
        <v>37</v>
      </c>
      <c r="B209">
        <v>2013</v>
      </c>
      <c r="C209">
        <v>4</v>
      </c>
      <c r="D209" s="3">
        <v>620</v>
      </c>
      <c r="E209" s="3">
        <v>90</v>
      </c>
      <c r="F209" s="3" t="str">
        <f t="shared" si="3"/>
        <v>FGU62013462090</v>
      </c>
      <c r="G209" t="str">
        <f>IF(ISNA(VLOOKUP($F209,'Raw Data'!$A:$M,7,0)),"",VLOOKUP($F209,'Raw Data'!$A:$M,7,0))</f>
        <v/>
      </c>
      <c r="H209" t="str">
        <f>IF(ISNA(VLOOKUP($F209,'Raw Data'!$A:$M,8,0)),"",VLOOKUP($F209,'Raw Data'!$A:$M,8,0))</f>
        <v/>
      </c>
      <c r="I209" t="str">
        <f>IF(ISNA(VLOOKUP($F209,'Raw Data'!$A:$M,9,0)),"",VLOOKUP($F209,'Raw Data'!$A:$M,9,0))</f>
        <v/>
      </c>
      <c r="J209" t="str">
        <f>IF(ISNA(VLOOKUP($F209,'Raw Data'!$A:$M,10,0)),"",VLOOKUP($F209,'Raw Data'!$A:$M,10,0))</f>
        <v/>
      </c>
      <c r="K209" t="str">
        <f>IF(ISNA(VLOOKUP($F209,'Raw Data'!$A:$M,11,0)),"",VLOOKUP($F209,'Raw Data'!$A:$M,11,0))</f>
        <v/>
      </c>
      <c r="L209" t="str">
        <f>IF(ISNA(VLOOKUP($F209,'Raw Data'!$A:$M,12,0)),"",VLOOKUP($F209,'Raw Data'!$A:$M,12,0))</f>
        <v/>
      </c>
      <c r="M209" t="str">
        <f>IF(ISNA(VLOOKUP($F209,'Raw Data'!$A:$M,13,0)),"",VLOOKUP($F209,'Raw Data'!$A:$M,13,0))</f>
        <v/>
      </c>
    </row>
    <row r="210" spans="1:13" x14ac:dyDescent="0.25">
      <c r="A210" t="s">
        <v>37</v>
      </c>
      <c r="B210">
        <v>2013</v>
      </c>
      <c r="C210">
        <v>4</v>
      </c>
      <c r="D210" s="3">
        <v>640</v>
      </c>
      <c r="E210" s="3">
        <v>90</v>
      </c>
      <c r="F210" s="3" t="str">
        <f t="shared" si="3"/>
        <v>FGU62013464090</v>
      </c>
      <c r="G210" t="str">
        <f>IF(ISNA(VLOOKUP($F210,'Raw Data'!$A:$M,7,0)),"",VLOOKUP($F210,'Raw Data'!$A:$M,7,0))</f>
        <v/>
      </c>
      <c r="H210" t="str">
        <f>IF(ISNA(VLOOKUP($F210,'Raw Data'!$A:$M,8,0)),"",VLOOKUP($F210,'Raw Data'!$A:$M,8,0))</f>
        <v/>
      </c>
      <c r="I210" t="str">
        <f>IF(ISNA(VLOOKUP($F210,'Raw Data'!$A:$M,9,0)),"",VLOOKUP($F210,'Raw Data'!$A:$M,9,0))</f>
        <v/>
      </c>
      <c r="J210" t="str">
        <f>IF(ISNA(VLOOKUP($F210,'Raw Data'!$A:$M,10,0)),"",VLOOKUP($F210,'Raw Data'!$A:$M,10,0))</f>
        <v/>
      </c>
      <c r="K210" t="str">
        <f>IF(ISNA(VLOOKUP($F210,'Raw Data'!$A:$M,11,0)),"",VLOOKUP($F210,'Raw Data'!$A:$M,11,0))</f>
        <v/>
      </c>
      <c r="L210" t="str">
        <f>IF(ISNA(VLOOKUP($F210,'Raw Data'!$A:$M,12,0)),"",VLOOKUP($F210,'Raw Data'!$A:$M,12,0))</f>
        <v/>
      </c>
      <c r="M210" t="str">
        <f>IF(ISNA(VLOOKUP($F210,'Raw Data'!$A:$M,13,0)),"",VLOOKUP($F210,'Raw Data'!$A:$M,13,0))</f>
        <v/>
      </c>
    </row>
    <row r="211" spans="1:13" x14ac:dyDescent="0.25">
      <c r="A211" t="s">
        <v>37</v>
      </c>
      <c r="B211">
        <v>2013</v>
      </c>
      <c r="C211">
        <v>4</v>
      </c>
      <c r="D211" s="3">
        <v>660</v>
      </c>
      <c r="E211" s="3">
        <v>90</v>
      </c>
      <c r="F211" s="3" t="str">
        <f t="shared" si="3"/>
        <v>FGU62013466090</v>
      </c>
      <c r="G211" t="str">
        <f>IF(ISNA(VLOOKUP($F211,'Raw Data'!$A:$M,7,0)),"",VLOOKUP($F211,'Raw Data'!$A:$M,7,0))</f>
        <v/>
      </c>
      <c r="H211" t="str">
        <f>IF(ISNA(VLOOKUP($F211,'Raw Data'!$A:$M,8,0)),"",VLOOKUP($F211,'Raw Data'!$A:$M,8,0))</f>
        <v/>
      </c>
      <c r="I211" t="str">
        <f>IF(ISNA(VLOOKUP($F211,'Raw Data'!$A:$M,9,0)),"",VLOOKUP($F211,'Raw Data'!$A:$M,9,0))</f>
        <v/>
      </c>
      <c r="J211" t="str">
        <f>IF(ISNA(VLOOKUP($F211,'Raw Data'!$A:$M,10,0)),"",VLOOKUP($F211,'Raw Data'!$A:$M,10,0))</f>
        <v/>
      </c>
      <c r="K211" t="str">
        <f>IF(ISNA(VLOOKUP($F211,'Raw Data'!$A:$M,11,0)),"",VLOOKUP($F211,'Raw Data'!$A:$M,11,0))</f>
        <v/>
      </c>
      <c r="L211" t="str">
        <f>IF(ISNA(VLOOKUP($F211,'Raw Data'!$A:$M,12,0)),"",VLOOKUP($F211,'Raw Data'!$A:$M,12,0))</f>
        <v/>
      </c>
      <c r="M211" t="str">
        <f>IF(ISNA(VLOOKUP($F211,'Raw Data'!$A:$M,13,0)),"",VLOOKUP($F211,'Raw Data'!$A:$M,13,0))</f>
        <v/>
      </c>
    </row>
    <row r="212" spans="1:13" x14ac:dyDescent="0.25">
      <c r="A212" t="s">
        <v>37</v>
      </c>
      <c r="B212">
        <v>2013</v>
      </c>
      <c r="C212">
        <v>4</v>
      </c>
      <c r="D212" s="3">
        <v>680</v>
      </c>
      <c r="E212" s="3">
        <v>90</v>
      </c>
      <c r="F212" s="3" t="str">
        <f t="shared" si="3"/>
        <v>FGU62013468090</v>
      </c>
      <c r="G212" t="str">
        <f>IF(ISNA(VLOOKUP($F212,'Raw Data'!$A:$M,7,0)),"",VLOOKUP($F212,'Raw Data'!$A:$M,7,0))</f>
        <v/>
      </c>
      <c r="H212" t="str">
        <f>IF(ISNA(VLOOKUP($F212,'Raw Data'!$A:$M,8,0)),"",VLOOKUP($F212,'Raw Data'!$A:$M,8,0))</f>
        <v/>
      </c>
      <c r="I212" t="str">
        <f>IF(ISNA(VLOOKUP($F212,'Raw Data'!$A:$M,9,0)),"",VLOOKUP($F212,'Raw Data'!$A:$M,9,0))</f>
        <v/>
      </c>
      <c r="J212" t="str">
        <f>IF(ISNA(VLOOKUP($F212,'Raw Data'!$A:$M,10,0)),"",VLOOKUP($F212,'Raw Data'!$A:$M,10,0))</f>
        <v/>
      </c>
      <c r="K212" t="str">
        <f>IF(ISNA(VLOOKUP($F212,'Raw Data'!$A:$M,11,0)),"",VLOOKUP($F212,'Raw Data'!$A:$M,11,0))</f>
        <v/>
      </c>
      <c r="L212" t="str">
        <f>IF(ISNA(VLOOKUP($F212,'Raw Data'!$A:$M,12,0)),"",VLOOKUP($F212,'Raw Data'!$A:$M,12,0))</f>
        <v/>
      </c>
      <c r="M212" t="str">
        <f>IF(ISNA(VLOOKUP($F212,'Raw Data'!$A:$M,13,0)),"",VLOOKUP($F212,'Raw Data'!$A:$M,13,0))</f>
        <v/>
      </c>
    </row>
    <row r="213" spans="1:13" x14ac:dyDescent="0.25">
      <c r="A213" t="s">
        <v>37</v>
      </c>
      <c r="B213">
        <v>2013</v>
      </c>
      <c r="C213">
        <v>4</v>
      </c>
      <c r="D213" s="3">
        <v>700</v>
      </c>
      <c r="E213" s="3">
        <v>90</v>
      </c>
      <c r="F213" s="3" t="str">
        <f t="shared" si="3"/>
        <v>FGU62013470090</v>
      </c>
      <c r="G213" t="str">
        <f>IF(ISNA(VLOOKUP($F213,'Raw Data'!$A:$M,7,0)),"",VLOOKUP($F213,'Raw Data'!$A:$M,7,0))</f>
        <v/>
      </c>
      <c r="H213" t="str">
        <f>IF(ISNA(VLOOKUP($F213,'Raw Data'!$A:$M,8,0)),"",VLOOKUP($F213,'Raw Data'!$A:$M,8,0))</f>
        <v/>
      </c>
      <c r="I213" t="str">
        <f>IF(ISNA(VLOOKUP($F213,'Raw Data'!$A:$M,9,0)),"",VLOOKUP($F213,'Raw Data'!$A:$M,9,0))</f>
        <v/>
      </c>
      <c r="J213" t="str">
        <f>IF(ISNA(VLOOKUP($F213,'Raw Data'!$A:$M,10,0)),"",VLOOKUP($F213,'Raw Data'!$A:$M,10,0))</f>
        <v/>
      </c>
      <c r="K213" t="str">
        <f>IF(ISNA(VLOOKUP($F213,'Raw Data'!$A:$M,11,0)),"",VLOOKUP($F213,'Raw Data'!$A:$M,11,0))</f>
        <v/>
      </c>
      <c r="L213" t="str">
        <f>IF(ISNA(VLOOKUP($F213,'Raw Data'!$A:$M,12,0)),"",VLOOKUP($F213,'Raw Data'!$A:$M,12,0))</f>
        <v/>
      </c>
      <c r="M213" t="str">
        <f>IF(ISNA(VLOOKUP($F213,'Raw Data'!$A:$M,13,0)),"",VLOOKUP($F213,'Raw Data'!$A:$M,13,0))</f>
        <v/>
      </c>
    </row>
    <row r="214" spans="1:13" x14ac:dyDescent="0.25">
      <c r="A214" t="s">
        <v>37</v>
      </c>
      <c r="B214">
        <v>2013</v>
      </c>
      <c r="C214">
        <v>4</v>
      </c>
      <c r="D214" s="3">
        <v>720</v>
      </c>
      <c r="E214" s="3">
        <v>90</v>
      </c>
      <c r="F214" s="3" t="str">
        <f t="shared" si="3"/>
        <v>FGU62013472090</v>
      </c>
      <c r="G214">
        <f>IF(ISNA(VLOOKUP($F214,'Raw Data'!$A:$M,7,0)),"",VLOOKUP($F214,'Raw Data'!$A:$M,7,0))</f>
        <v>2056564.87</v>
      </c>
      <c r="H214">
        <f>IF(ISNA(VLOOKUP($F214,'Raw Data'!$A:$M,8,0)),"",VLOOKUP($F214,'Raw Data'!$A:$M,8,0))</f>
        <v>-36.610399999999998</v>
      </c>
      <c r="I214">
        <f>IF(ISNA(VLOOKUP($F214,'Raw Data'!$A:$M,9,0)),"",VLOOKUP($F214,'Raw Data'!$A:$M,9,0))</f>
        <v>-11.611000000000001</v>
      </c>
      <c r="J214">
        <f>IF(ISNA(VLOOKUP($F214,'Raw Data'!$A:$M,10,0)),"",VLOOKUP($F214,'Raw Data'!$A:$M,10,0))</f>
        <v>24.999400000000001</v>
      </c>
      <c r="K214">
        <f>IF(ISNA(VLOOKUP($F214,'Raw Data'!$A:$M,11,0)),"",VLOOKUP($F214,'Raw Data'!$A:$M,11,0))</f>
        <v>-18.9603</v>
      </c>
      <c r="L214">
        <f>IF(ISNA(VLOOKUP($F214,'Raw Data'!$A:$M,12,0)),"",VLOOKUP($F214,'Raw Data'!$A:$M,12,0))</f>
        <v>-2.8589000000000002</v>
      </c>
      <c r="M214">
        <f>IF(ISNA(VLOOKUP($F214,'Raw Data'!$A:$M,13,0)),"",VLOOKUP($F214,'Raw Data'!$A:$M,13,0))</f>
        <v>16.101400000000002</v>
      </c>
    </row>
    <row r="215" spans="1:13" x14ac:dyDescent="0.25">
      <c r="A215" t="s">
        <v>37</v>
      </c>
      <c r="B215">
        <v>2013</v>
      </c>
      <c r="C215">
        <v>4</v>
      </c>
      <c r="D215" s="3">
        <v>740</v>
      </c>
      <c r="E215" s="3">
        <v>90</v>
      </c>
      <c r="F215" s="3" t="str">
        <f t="shared" si="3"/>
        <v>FGU62013474090</v>
      </c>
      <c r="G215">
        <f>IF(ISNA(VLOOKUP($F215,'Raw Data'!$A:$M,7,0)),"",VLOOKUP($F215,'Raw Data'!$A:$M,7,0))</f>
        <v>42300192.369999997</v>
      </c>
      <c r="H215">
        <f>IF(ISNA(VLOOKUP($F215,'Raw Data'!$A:$M,8,0)),"",VLOOKUP($F215,'Raw Data'!$A:$M,8,0))</f>
        <v>-37.1541764743492</v>
      </c>
      <c r="I215">
        <f>IF(ISNA(VLOOKUP($F215,'Raw Data'!$A:$M,9,0)),"",VLOOKUP($F215,'Raw Data'!$A:$M,9,0))</f>
        <v>-12.154570604004901</v>
      </c>
      <c r="J215">
        <f>IF(ISNA(VLOOKUP($F215,'Raw Data'!$A:$M,10,0)),"",VLOOKUP($F215,'Raw Data'!$A:$M,10,0))</f>
        <v>24.999605870344201</v>
      </c>
      <c r="K215">
        <f>IF(ISNA(VLOOKUP($F215,'Raw Data'!$A:$M,11,0)),"",VLOOKUP($F215,'Raw Data'!$A:$M,11,0))</f>
        <v>-2.4800524747224899</v>
      </c>
      <c r="L215">
        <f>IF(ISNA(VLOOKUP($F215,'Raw Data'!$A:$M,12,0)),"",VLOOKUP($F215,'Raw Data'!$A:$M,12,0))</f>
        <v>7.5475647089445301</v>
      </c>
      <c r="M215">
        <f>IF(ISNA(VLOOKUP($F215,'Raw Data'!$A:$M,13,0)),"",VLOOKUP($F215,'Raw Data'!$A:$M,13,0))</f>
        <v>10.027617183666999</v>
      </c>
    </row>
    <row r="216" spans="1:13" x14ac:dyDescent="0.25">
      <c r="A216" t="s">
        <v>37</v>
      </c>
      <c r="B216">
        <v>2013</v>
      </c>
      <c r="C216">
        <v>4</v>
      </c>
      <c r="D216" s="3">
        <v>760</v>
      </c>
      <c r="E216" s="3">
        <v>90</v>
      </c>
      <c r="F216" s="3" t="str">
        <f t="shared" si="3"/>
        <v>FGU62013476090</v>
      </c>
      <c r="G216">
        <f>IF(ISNA(VLOOKUP($F216,'Raw Data'!$A:$M,7,0)),"",VLOOKUP($F216,'Raw Data'!$A:$M,7,0))</f>
        <v>722449.27</v>
      </c>
      <c r="H216">
        <f>IF(ISNA(VLOOKUP($F216,'Raw Data'!$A:$M,8,0)),"",VLOOKUP($F216,'Raw Data'!$A:$M,8,0))</f>
        <v>-66.363200000000006</v>
      </c>
      <c r="I216">
        <f>IF(ISNA(VLOOKUP($F216,'Raw Data'!$A:$M,9,0)),"",VLOOKUP($F216,'Raw Data'!$A:$M,9,0))</f>
        <v>-41.363199999999999</v>
      </c>
      <c r="J216">
        <f>IF(ISNA(VLOOKUP($F216,'Raw Data'!$A:$M,10,0)),"",VLOOKUP($F216,'Raw Data'!$A:$M,10,0))</f>
        <v>25</v>
      </c>
      <c r="K216">
        <f>IF(ISNA(VLOOKUP($F216,'Raw Data'!$A:$M,11,0)),"",VLOOKUP($F216,'Raw Data'!$A:$M,11,0))</f>
        <v>-19.7805</v>
      </c>
      <c r="L216">
        <f>IF(ISNA(VLOOKUP($F216,'Raw Data'!$A:$M,12,0)),"",VLOOKUP($F216,'Raw Data'!$A:$M,12,0))</f>
        <v>-10.922599999999999</v>
      </c>
      <c r="M216">
        <f>IF(ISNA(VLOOKUP($F216,'Raw Data'!$A:$M,13,0)),"",VLOOKUP($F216,'Raw Data'!$A:$M,13,0))</f>
        <v>8.8579000000000008</v>
      </c>
    </row>
    <row r="217" spans="1:13" x14ac:dyDescent="0.25">
      <c r="A217" t="s">
        <v>37</v>
      </c>
      <c r="B217">
        <v>2013</v>
      </c>
      <c r="C217">
        <v>4</v>
      </c>
      <c r="D217" s="3">
        <v>780</v>
      </c>
      <c r="E217" s="3">
        <v>90</v>
      </c>
      <c r="F217" s="3" t="str">
        <f t="shared" si="3"/>
        <v>FGU62013478090</v>
      </c>
      <c r="G217" t="str">
        <f>IF(ISNA(VLOOKUP($F217,'Raw Data'!$A:$M,7,0)),"",VLOOKUP($F217,'Raw Data'!$A:$M,7,0))</f>
        <v/>
      </c>
      <c r="H217" t="str">
        <f>IF(ISNA(VLOOKUP($F217,'Raw Data'!$A:$M,8,0)),"",VLOOKUP($F217,'Raw Data'!$A:$M,8,0))</f>
        <v/>
      </c>
      <c r="I217" t="str">
        <f>IF(ISNA(VLOOKUP($F217,'Raw Data'!$A:$M,9,0)),"",VLOOKUP($F217,'Raw Data'!$A:$M,9,0))</f>
        <v/>
      </c>
      <c r="J217" t="str">
        <f>IF(ISNA(VLOOKUP($F217,'Raw Data'!$A:$M,10,0)),"",VLOOKUP($F217,'Raw Data'!$A:$M,10,0))</f>
        <v/>
      </c>
      <c r="K217" t="str">
        <f>IF(ISNA(VLOOKUP($F217,'Raw Data'!$A:$M,11,0)),"",VLOOKUP($F217,'Raw Data'!$A:$M,11,0))</f>
        <v/>
      </c>
      <c r="L217" t="str">
        <f>IF(ISNA(VLOOKUP($F217,'Raw Data'!$A:$M,12,0)),"",VLOOKUP($F217,'Raw Data'!$A:$M,12,0))</f>
        <v/>
      </c>
      <c r="M217" t="str">
        <f>IF(ISNA(VLOOKUP($F217,'Raw Data'!$A:$M,13,0)),"",VLOOKUP($F217,'Raw Data'!$A:$M,13,0))</f>
        <v/>
      </c>
    </row>
    <row r="218" spans="1:13" x14ac:dyDescent="0.25">
      <c r="A218" t="s">
        <v>37</v>
      </c>
      <c r="B218">
        <v>2013</v>
      </c>
      <c r="C218">
        <v>4</v>
      </c>
      <c r="D218" s="3">
        <v>620</v>
      </c>
      <c r="E218" s="3">
        <v>95</v>
      </c>
      <c r="F218" s="3" t="str">
        <f t="shared" si="3"/>
        <v>FGU62013462095</v>
      </c>
      <c r="G218" t="str">
        <f>IF(ISNA(VLOOKUP($F218,'Raw Data'!$A:$M,7,0)),"",VLOOKUP($F218,'Raw Data'!$A:$M,7,0))</f>
        <v/>
      </c>
      <c r="H218" t="str">
        <f>IF(ISNA(VLOOKUP($F218,'Raw Data'!$A:$M,8,0)),"",VLOOKUP($F218,'Raw Data'!$A:$M,8,0))</f>
        <v/>
      </c>
      <c r="I218" t="str">
        <f>IF(ISNA(VLOOKUP($F218,'Raw Data'!$A:$M,9,0)),"",VLOOKUP($F218,'Raw Data'!$A:$M,9,0))</f>
        <v/>
      </c>
      <c r="J218" t="str">
        <f>IF(ISNA(VLOOKUP($F218,'Raw Data'!$A:$M,10,0)),"",VLOOKUP($F218,'Raw Data'!$A:$M,10,0))</f>
        <v/>
      </c>
      <c r="K218" t="str">
        <f>IF(ISNA(VLOOKUP($F218,'Raw Data'!$A:$M,11,0)),"",VLOOKUP($F218,'Raw Data'!$A:$M,11,0))</f>
        <v/>
      </c>
      <c r="L218" t="str">
        <f>IF(ISNA(VLOOKUP($F218,'Raw Data'!$A:$M,12,0)),"",VLOOKUP($F218,'Raw Data'!$A:$M,12,0))</f>
        <v/>
      </c>
      <c r="M218" t="str">
        <f>IF(ISNA(VLOOKUP($F218,'Raw Data'!$A:$M,13,0)),"",VLOOKUP($F218,'Raw Data'!$A:$M,13,0))</f>
        <v/>
      </c>
    </row>
    <row r="219" spans="1:13" x14ac:dyDescent="0.25">
      <c r="A219" t="s">
        <v>37</v>
      </c>
      <c r="B219">
        <v>2013</v>
      </c>
      <c r="C219">
        <v>4</v>
      </c>
      <c r="D219" s="3">
        <v>640</v>
      </c>
      <c r="E219" s="3">
        <v>95</v>
      </c>
      <c r="F219" s="3" t="str">
        <f t="shared" si="3"/>
        <v>FGU62013464095</v>
      </c>
      <c r="G219" t="str">
        <f>IF(ISNA(VLOOKUP($F219,'Raw Data'!$A:$M,7,0)),"",VLOOKUP($F219,'Raw Data'!$A:$M,7,0))</f>
        <v/>
      </c>
      <c r="H219" t="str">
        <f>IF(ISNA(VLOOKUP($F219,'Raw Data'!$A:$M,8,0)),"",VLOOKUP($F219,'Raw Data'!$A:$M,8,0))</f>
        <v/>
      </c>
      <c r="I219" t="str">
        <f>IF(ISNA(VLOOKUP($F219,'Raw Data'!$A:$M,9,0)),"",VLOOKUP($F219,'Raw Data'!$A:$M,9,0))</f>
        <v/>
      </c>
      <c r="J219" t="str">
        <f>IF(ISNA(VLOOKUP($F219,'Raw Data'!$A:$M,10,0)),"",VLOOKUP($F219,'Raw Data'!$A:$M,10,0))</f>
        <v/>
      </c>
      <c r="K219" t="str">
        <f>IF(ISNA(VLOOKUP($F219,'Raw Data'!$A:$M,11,0)),"",VLOOKUP($F219,'Raw Data'!$A:$M,11,0))</f>
        <v/>
      </c>
      <c r="L219" t="str">
        <f>IF(ISNA(VLOOKUP($F219,'Raw Data'!$A:$M,12,0)),"",VLOOKUP($F219,'Raw Data'!$A:$M,12,0))</f>
        <v/>
      </c>
      <c r="M219" t="str">
        <f>IF(ISNA(VLOOKUP($F219,'Raw Data'!$A:$M,13,0)),"",VLOOKUP($F219,'Raw Data'!$A:$M,13,0))</f>
        <v/>
      </c>
    </row>
    <row r="220" spans="1:13" x14ac:dyDescent="0.25">
      <c r="A220" t="s">
        <v>37</v>
      </c>
      <c r="B220">
        <v>2013</v>
      </c>
      <c r="C220">
        <v>4</v>
      </c>
      <c r="D220" s="3">
        <v>660</v>
      </c>
      <c r="E220" s="3">
        <v>95</v>
      </c>
      <c r="F220" s="3" t="str">
        <f t="shared" si="3"/>
        <v>FGU62013466095</v>
      </c>
      <c r="G220" t="str">
        <f>IF(ISNA(VLOOKUP($F220,'Raw Data'!$A:$M,7,0)),"",VLOOKUP($F220,'Raw Data'!$A:$M,7,0))</f>
        <v/>
      </c>
      <c r="H220" t="str">
        <f>IF(ISNA(VLOOKUP($F220,'Raw Data'!$A:$M,8,0)),"",VLOOKUP($F220,'Raw Data'!$A:$M,8,0))</f>
        <v/>
      </c>
      <c r="I220" t="str">
        <f>IF(ISNA(VLOOKUP($F220,'Raw Data'!$A:$M,9,0)),"",VLOOKUP($F220,'Raw Data'!$A:$M,9,0))</f>
        <v/>
      </c>
      <c r="J220" t="str">
        <f>IF(ISNA(VLOOKUP($F220,'Raw Data'!$A:$M,10,0)),"",VLOOKUP($F220,'Raw Data'!$A:$M,10,0))</f>
        <v/>
      </c>
      <c r="K220" t="str">
        <f>IF(ISNA(VLOOKUP($F220,'Raw Data'!$A:$M,11,0)),"",VLOOKUP($F220,'Raw Data'!$A:$M,11,0))</f>
        <v/>
      </c>
      <c r="L220" t="str">
        <f>IF(ISNA(VLOOKUP($F220,'Raw Data'!$A:$M,12,0)),"",VLOOKUP($F220,'Raw Data'!$A:$M,12,0))</f>
        <v/>
      </c>
      <c r="M220" t="str">
        <f>IF(ISNA(VLOOKUP($F220,'Raw Data'!$A:$M,13,0)),"",VLOOKUP($F220,'Raw Data'!$A:$M,13,0))</f>
        <v/>
      </c>
    </row>
    <row r="221" spans="1:13" x14ac:dyDescent="0.25">
      <c r="A221" t="s">
        <v>37</v>
      </c>
      <c r="B221">
        <v>2013</v>
      </c>
      <c r="C221">
        <v>4</v>
      </c>
      <c r="D221" s="3">
        <v>680</v>
      </c>
      <c r="E221" s="3">
        <v>95</v>
      </c>
      <c r="F221" s="3" t="str">
        <f t="shared" si="3"/>
        <v>FGU62013468095</v>
      </c>
      <c r="G221" t="str">
        <f>IF(ISNA(VLOOKUP($F221,'Raw Data'!$A:$M,7,0)),"",VLOOKUP($F221,'Raw Data'!$A:$M,7,0))</f>
        <v/>
      </c>
      <c r="H221" t="str">
        <f>IF(ISNA(VLOOKUP($F221,'Raw Data'!$A:$M,8,0)),"",VLOOKUP($F221,'Raw Data'!$A:$M,8,0))</f>
        <v/>
      </c>
      <c r="I221" t="str">
        <f>IF(ISNA(VLOOKUP($F221,'Raw Data'!$A:$M,9,0)),"",VLOOKUP($F221,'Raw Data'!$A:$M,9,0))</f>
        <v/>
      </c>
      <c r="J221" t="str">
        <f>IF(ISNA(VLOOKUP($F221,'Raw Data'!$A:$M,10,0)),"",VLOOKUP($F221,'Raw Data'!$A:$M,10,0))</f>
        <v/>
      </c>
      <c r="K221" t="str">
        <f>IF(ISNA(VLOOKUP($F221,'Raw Data'!$A:$M,11,0)),"",VLOOKUP($F221,'Raw Data'!$A:$M,11,0))</f>
        <v/>
      </c>
      <c r="L221" t="str">
        <f>IF(ISNA(VLOOKUP($F221,'Raw Data'!$A:$M,12,0)),"",VLOOKUP($F221,'Raw Data'!$A:$M,12,0))</f>
        <v/>
      </c>
      <c r="M221" t="str">
        <f>IF(ISNA(VLOOKUP($F221,'Raw Data'!$A:$M,13,0)),"",VLOOKUP($F221,'Raw Data'!$A:$M,13,0))</f>
        <v/>
      </c>
    </row>
    <row r="222" spans="1:13" x14ac:dyDescent="0.25">
      <c r="A222" t="s">
        <v>37</v>
      </c>
      <c r="B222">
        <v>2013</v>
      </c>
      <c r="C222">
        <v>4</v>
      </c>
      <c r="D222" s="3">
        <v>700</v>
      </c>
      <c r="E222" s="3">
        <v>95</v>
      </c>
      <c r="F222" s="3" t="str">
        <f t="shared" si="3"/>
        <v>FGU62013470095</v>
      </c>
      <c r="G222" t="str">
        <f>IF(ISNA(VLOOKUP($F222,'Raw Data'!$A:$M,7,0)),"",VLOOKUP($F222,'Raw Data'!$A:$M,7,0))</f>
        <v/>
      </c>
      <c r="H222" t="str">
        <f>IF(ISNA(VLOOKUP($F222,'Raw Data'!$A:$M,8,0)),"",VLOOKUP($F222,'Raw Data'!$A:$M,8,0))</f>
        <v/>
      </c>
      <c r="I222" t="str">
        <f>IF(ISNA(VLOOKUP($F222,'Raw Data'!$A:$M,9,0)),"",VLOOKUP($F222,'Raw Data'!$A:$M,9,0))</f>
        <v/>
      </c>
      <c r="J222" t="str">
        <f>IF(ISNA(VLOOKUP($F222,'Raw Data'!$A:$M,10,0)),"",VLOOKUP($F222,'Raw Data'!$A:$M,10,0))</f>
        <v/>
      </c>
      <c r="K222" t="str">
        <f>IF(ISNA(VLOOKUP($F222,'Raw Data'!$A:$M,11,0)),"",VLOOKUP($F222,'Raw Data'!$A:$M,11,0))</f>
        <v/>
      </c>
      <c r="L222" t="str">
        <f>IF(ISNA(VLOOKUP($F222,'Raw Data'!$A:$M,12,0)),"",VLOOKUP($F222,'Raw Data'!$A:$M,12,0))</f>
        <v/>
      </c>
      <c r="M222" t="str">
        <f>IF(ISNA(VLOOKUP($F222,'Raw Data'!$A:$M,13,0)),"",VLOOKUP($F222,'Raw Data'!$A:$M,13,0))</f>
        <v/>
      </c>
    </row>
    <row r="223" spans="1:13" x14ac:dyDescent="0.25">
      <c r="A223" t="s">
        <v>37</v>
      </c>
      <c r="B223">
        <v>2013</v>
      </c>
      <c r="C223">
        <v>4</v>
      </c>
      <c r="D223" s="3">
        <v>720</v>
      </c>
      <c r="E223" s="3">
        <v>95</v>
      </c>
      <c r="F223" s="3" t="str">
        <f t="shared" si="3"/>
        <v>FGU62013472095</v>
      </c>
      <c r="G223">
        <f>IF(ISNA(VLOOKUP($F223,'Raw Data'!$A:$M,7,0)),"",VLOOKUP($F223,'Raw Data'!$A:$M,7,0))</f>
        <v>23794598.149999999</v>
      </c>
      <c r="H223">
        <f>IF(ISNA(VLOOKUP($F223,'Raw Data'!$A:$M,8,0)),"",VLOOKUP($F223,'Raw Data'!$A:$M,8,0))</f>
        <v>-42.071309384820303</v>
      </c>
      <c r="I223">
        <f>IF(ISNA(VLOOKUP($F223,'Raw Data'!$A:$M,9,0)),"",VLOOKUP($F223,'Raw Data'!$A:$M,9,0))</f>
        <v>-17.0716861598533</v>
      </c>
      <c r="J223">
        <f>IF(ISNA(VLOOKUP($F223,'Raw Data'!$A:$M,10,0)),"",VLOOKUP($F223,'Raw Data'!$A:$M,10,0))</f>
        <v>24.9996232249669</v>
      </c>
      <c r="K223">
        <f>IF(ISNA(VLOOKUP($F223,'Raw Data'!$A:$M,11,0)),"",VLOOKUP($F223,'Raw Data'!$A:$M,11,0))</f>
        <v>-20.284240154777599</v>
      </c>
      <c r="L223">
        <f>IF(ISNA(VLOOKUP($F223,'Raw Data'!$A:$M,12,0)),"",VLOOKUP($F223,'Raw Data'!$A:$M,12,0))</f>
        <v>-5.8577629449972797</v>
      </c>
      <c r="M223">
        <f>IF(ISNA(VLOOKUP($F223,'Raw Data'!$A:$M,13,0)),"",VLOOKUP($F223,'Raw Data'!$A:$M,13,0))</f>
        <v>14.426477209780399</v>
      </c>
    </row>
    <row r="224" spans="1:13" x14ac:dyDescent="0.25">
      <c r="A224" t="s">
        <v>37</v>
      </c>
      <c r="B224">
        <v>2013</v>
      </c>
      <c r="C224">
        <v>4</v>
      </c>
      <c r="D224" s="3">
        <v>740</v>
      </c>
      <c r="E224" s="3">
        <v>95</v>
      </c>
      <c r="F224" s="3" t="str">
        <f t="shared" si="3"/>
        <v>FGU62013474095</v>
      </c>
      <c r="G224" t="str">
        <f>IF(ISNA(VLOOKUP($F224,'Raw Data'!$A:$M,7,0)),"",VLOOKUP($F224,'Raw Data'!$A:$M,7,0))</f>
        <v/>
      </c>
      <c r="H224" t="str">
        <f>IF(ISNA(VLOOKUP($F224,'Raw Data'!$A:$M,8,0)),"",VLOOKUP($F224,'Raw Data'!$A:$M,8,0))</f>
        <v/>
      </c>
      <c r="I224" t="str">
        <f>IF(ISNA(VLOOKUP($F224,'Raw Data'!$A:$M,9,0)),"",VLOOKUP($F224,'Raw Data'!$A:$M,9,0))</f>
        <v/>
      </c>
      <c r="J224" t="str">
        <f>IF(ISNA(VLOOKUP($F224,'Raw Data'!$A:$M,10,0)),"",VLOOKUP($F224,'Raw Data'!$A:$M,10,0))</f>
        <v/>
      </c>
      <c r="K224" t="str">
        <f>IF(ISNA(VLOOKUP($F224,'Raw Data'!$A:$M,11,0)),"",VLOOKUP($F224,'Raw Data'!$A:$M,11,0))</f>
        <v/>
      </c>
      <c r="L224" t="str">
        <f>IF(ISNA(VLOOKUP($F224,'Raw Data'!$A:$M,12,0)),"",VLOOKUP($F224,'Raw Data'!$A:$M,12,0))</f>
        <v/>
      </c>
      <c r="M224" t="str">
        <f>IF(ISNA(VLOOKUP($F224,'Raw Data'!$A:$M,13,0)),"",VLOOKUP($F224,'Raw Data'!$A:$M,13,0))</f>
        <v/>
      </c>
    </row>
    <row r="225" spans="1:13" x14ac:dyDescent="0.25">
      <c r="A225" t="s">
        <v>37</v>
      </c>
      <c r="B225">
        <v>2013</v>
      </c>
      <c r="C225">
        <v>4</v>
      </c>
      <c r="D225" s="3">
        <v>760</v>
      </c>
      <c r="E225" s="3">
        <v>95</v>
      </c>
      <c r="F225" s="3" t="str">
        <f t="shared" si="3"/>
        <v>FGU62013476095</v>
      </c>
      <c r="G225" t="str">
        <f>IF(ISNA(VLOOKUP($F225,'Raw Data'!$A:$M,7,0)),"",VLOOKUP($F225,'Raw Data'!$A:$M,7,0))</f>
        <v/>
      </c>
      <c r="H225" t="str">
        <f>IF(ISNA(VLOOKUP($F225,'Raw Data'!$A:$M,8,0)),"",VLOOKUP($F225,'Raw Data'!$A:$M,8,0))</f>
        <v/>
      </c>
      <c r="I225" t="str">
        <f>IF(ISNA(VLOOKUP($F225,'Raw Data'!$A:$M,9,0)),"",VLOOKUP($F225,'Raw Data'!$A:$M,9,0))</f>
        <v/>
      </c>
      <c r="J225" t="str">
        <f>IF(ISNA(VLOOKUP($F225,'Raw Data'!$A:$M,10,0)),"",VLOOKUP($F225,'Raw Data'!$A:$M,10,0))</f>
        <v/>
      </c>
      <c r="K225" t="str">
        <f>IF(ISNA(VLOOKUP($F225,'Raw Data'!$A:$M,11,0)),"",VLOOKUP($F225,'Raw Data'!$A:$M,11,0))</f>
        <v/>
      </c>
      <c r="L225" t="str">
        <f>IF(ISNA(VLOOKUP($F225,'Raw Data'!$A:$M,12,0)),"",VLOOKUP($F225,'Raw Data'!$A:$M,12,0))</f>
        <v/>
      </c>
      <c r="M225" t="str">
        <f>IF(ISNA(VLOOKUP($F225,'Raw Data'!$A:$M,13,0)),"",VLOOKUP($F225,'Raw Data'!$A:$M,13,0))</f>
        <v/>
      </c>
    </row>
    <row r="226" spans="1:13" x14ac:dyDescent="0.25">
      <c r="A226" t="s">
        <v>37</v>
      </c>
      <c r="B226">
        <v>2013</v>
      </c>
      <c r="C226">
        <v>4</v>
      </c>
      <c r="D226" s="3">
        <v>780</v>
      </c>
      <c r="E226" s="3">
        <v>95</v>
      </c>
      <c r="F226" s="3" t="str">
        <f t="shared" si="3"/>
        <v>FGU62013478095</v>
      </c>
      <c r="G226" t="str">
        <f>IF(ISNA(VLOOKUP($F226,'Raw Data'!$A:$M,7,0)),"",VLOOKUP($F226,'Raw Data'!$A:$M,7,0))</f>
        <v/>
      </c>
      <c r="H226" t="str">
        <f>IF(ISNA(VLOOKUP($F226,'Raw Data'!$A:$M,8,0)),"",VLOOKUP($F226,'Raw Data'!$A:$M,8,0))</f>
        <v/>
      </c>
      <c r="I226" t="str">
        <f>IF(ISNA(VLOOKUP($F226,'Raw Data'!$A:$M,9,0)),"",VLOOKUP($F226,'Raw Data'!$A:$M,9,0))</f>
        <v/>
      </c>
      <c r="J226" t="str">
        <f>IF(ISNA(VLOOKUP($F226,'Raw Data'!$A:$M,10,0)),"",VLOOKUP($F226,'Raw Data'!$A:$M,10,0))</f>
        <v/>
      </c>
      <c r="K226" t="str">
        <f>IF(ISNA(VLOOKUP($F226,'Raw Data'!$A:$M,11,0)),"",VLOOKUP($F226,'Raw Data'!$A:$M,11,0))</f>
        <v/>
      </c>
      <c r="L226" t="str">
        <f>IF(ISNA(VLOOKUP($F226,'Raw Data'!$A:$M,12,0)),"",VLOOKUP($F226,'Raw Data'!$A:$M,12,0))</f>
        <v/>
      </c>
      <c r="M226" t="str">
        <f>IF(ISNA(VLOOKUP($F226,'Raw Data'!$A:$M,13,0)),"",VLOOKUP($F226,'Raw Data'!$A:$M,13,0))</f>
        <v/>
      </c>
    </row>
    <row r="227" spans="1:13" x14ac:dyDescent="0.25">
      <c r="A227" t="s">
        <v>37</v>
      </c>
      <c r="B227">
        <v>2013</v>
      </c>
      <c r="C227">
        <v>4</v>
      </c>
      <c r="D227" s="3">
        <v>620</v>
      </c>
      <c r="E227" s="3">
        <v>97</v>
      </c>
      <c r="F227" s="3" t="str">
        <f t="shared" si="3"/>
        <v>FGU62013462097</v>
      </c>
      <c r="G227" t="str">
        <f>IF(ISNA(VLOOKUP($F227,'Raw Data'!$A:$M,7,0)),"",VLOOKUP($F227,'Raw Data'!$A:$M,7,0))</f>
        <v/>
      </c>
      <c r="H227" t="str">
        <f>IF(ISNA(VLOOKUP($F227,'Raw Data'!$A:$M,8,0)),"",VLOOKUP($F227,'Raw Data'!$A:$M,8,0))</f>
        <v/>
      </c>
      <c r="I227" t="str">
        <f>IF(ISNA(VLOOKUP($F227,'Raw Data'!$A:$M,9,0)),"",VLOOKUP($F227,'Raw Data'!$A:$M,9,0))</f>
        <v/>
      </c>
      <c r="J227" t="str">
        <f>IF(ISNA(VLOOKUP($F227,'Raw Data'!$A:$M,10,0)),"",VLOOKUP($F227,'Raw Data'!$A:$M,10,0))</f>
        <v/>
      </c>
      <c r="K227" t="str">
        <f>IF(ISNA(VLOOKUP($F227,'Raw Data'!$A:$M,11,0)),"",VLOOKUP($F227,'Raw Data'!$A:$M,11,0))</f>
        <v/>
      </c>
      <c r="L227" t="str">
        <f>IF(ISNA(VLOOKUP($F227,'Raw Data'!$A:$M,12,0)),"",VLOOKUP($F227,'Raw Data'!$A:$M,12,0))</f>
        <v/>
      </c>
      <c r="M227" t="str">
        <f>IF(ISNA(VLOOKUP($F227,'Raw Data'!$A:$M,13,0)),"",VLOOKUP($F227,'Raw Data'!$A:$M,13,0))</f>
        <v/>
      </c>
    </row>
    <row r="228" spans="1:13" x14ac:dyDescent="0.25">
      <c r="A228" t="s">
        <v>37</v>
      </c>
      <c r="B228">
        <v>2013</v>
      </c>
      <c r="C228">
        <v>4</v>
      </c>
      <c r="D228" s="3">
        <v>640</v>
      </c>
      <c r="E228" s="3">
        <v>97</v>
      </c>
      <c r="F228" s="3" t="str">
        <f t="shared" si="3"/>
        <v>FGU62013464097</v>
      </c>
      <c r="G228" t="str">
        <f>IF(ISNA(VLOOKUP($F228,'Raw Data'!$A:$M,7,0)),"",VLOOKUP($F228,'Raw Data'!$A:$M,7,0))</f>
        <v/>
      </c>
      <c r="H228" t="str">
        <f>IF(ISNA(VLOOKUP($F228,'Raw Data'!$A:$M,8,0)),"",VLOOKUP($F228,'Raw Data'!$A:$M,8,0))</f>
        <v/>
      </c>
      <c r="I228" t="str">
        <f>IF(ISNA(VLOOKUP($F228,'Raw Data'!$A:$M,9,0)),"",VLOOKUP($F228,'Raw Data'!$A:$M,9,0))</f>
        <v/>
      </c>
      <c r="J228" t="str">
        <f>IF(ISNA(VLOOKUP($F228,'Raw Data'!$A:$M,10,0)),"",VLOOKUP($F228,'Raw Data'!$A:$M,10,0))</f>
        <v/>
      </c>
      <c r="K228" t="str">
        <f>IF(ISNA(VLOOKUP($F228,'Raw Data'!$A:$M,11,0)),"",VLOOKUP($F228,'Raw Data'!$A:$M,11,0))</f>
        <v/>
      </c>
      <c r="L228" t="str">
        <f>IF(ISNA(VLOOKUP($F228,'Raw Data'!$A:$M,12,0)),"",VLOOKUP($F228,'Raw Data'!$A:$M,12,0))</f>
        <v/>
      </c>
      <c r="M228" t="str">
        <f>IF(ISNA(VLOOKUP($F228,'Raw Data'!$A:$M,13,0)),"",VLOOKUP($F228,'Raw Data'!$A:$M,13,0))</f>
        <v/>
      </c>
    </row>
    <row r="229" spans="1:13" x14ac:dyDescent="0.25">
      <c r="A229" t="s">
        <v>37</v>
      </c>
      <c r="B229">
        <v>2013</v>
      </c>
      <c r="C229">
        <v>4</v>
      </c>
      <c r="D229" s="3">
        <v>660</v>
      </c>
      <c r="E229" s="3">
        <v>97</v>
      </c>
      <c r="F229" s="3" t="str">
        <f t="shared" si="3"/>
        <v>FGU62013466097</v>
      </c>
      <c r="G229" t="str">
        <f>IF(ISNA(VLOOKUP($F229,'Raw Data'!$A:$M,7,0)),"",VLOOKUP($F229,'Raw Data'!$A:$M,7,0))</f>
        <v/>
      </c>
      <c r="H229" t="str">
        <f>IF(ISNA(VLOOKUP($F229,'Raw Data'!$A:$M,8,0)),"",VLOOKUP($F229,'Raw Data'!$A:$M,8,0))</f>
        <v/>
      </c>
      <c r="I229" t="str">
        <f>IF(ISNA(VLOOKUP($F229,'Raw Data'!$A:$M,9,0)),"",VLOOKUP($F229,'Raw Data'!$A:$M,9,0))</f>
        <v/>
      </c>
      <c r="J229" t="str">
        <f>IF(ISNA(VLOOKUP($F229,'Raw Data'!$A:$M,10,0)),"",VLOOKUP($F229,'Raw Data'!$A:$M,10,0))</f>
        <v/>
      </c>
      <c r="K229" t="str">
        <f>IF(ISNA(VLOOKUP($F229,'Raw Data'!$A:$M,11,0)),"",VLOOKUP($F229,'Raw Data'!$A:$M,11,0))</f>
        <v/>
      </c>
      <c r="L229" t="str">
        <f>IF(ISNA(VLOOKUP($F229,'Raw Data'!$A:$M,12,0)),"",VLOOKUP($F229,'Raw Data'!$A:$M,12,0))</f>
        <v/>
      </c>
      <c r="M229" t="str">
        <f>IF(ISNA(VLOOKUP($F229,'Raw Data'!$A:$M,13,0)),"",VLOOKUP($F229,'Raw Data'!$A:$M,13,0))</f>
        <v/>
      </c>
    </row>
    <row r="230" spans="1:13" x14ac:dyDescent="0.25">
      <c r="A230" t="s">
        <v>37</v>
      </c>
      <c r="B230">
        <v>2013</v>
      </c>
      <c r="C230">
        <v>4</v>
      </c>
      <c r="D230" s="3">
        <v>680</v>
      </c>
      <c r="E230" s="3">
        <v>97</v>
      </c>
      <c r="F230" s="3" t="str">
        <f t="shared" si="3"/>
        <v>FGU62013468097</v>
      </c>
      <c r="G230" t="str">
        <f>IF(ISNA(VLOOKUP($F230,'Raw Data'!$A:$M,7,0)),"",VLOOKUP($F230,'Raw Data'!$A:$M,7,0))</f>
        <v/>
      </c>
      <c r="H230" t="str">
        <f>IF(ISNA(VLOOKUP($F230,'Raw Data'!$A:$M,8,0)),"",VLOOKUP($F230,'Raw Data'!$A:$M,8,0))</f>
        <v/>
      </c>
      <c r="I230" t="str">
        <f>IF(ISNA(VLOOKUP($F230,'Raw Data'!$A:$M,9,0)),"",VLOOKUP($F230,'Raw Data'!$A:$M,9,0))</f>
        <v/>
      </c>
      <c r="J230" t="str">
        <f>IF(ISNA(VLOOKUP($F230,'Raw Data'!$A:$M,10,0)),"",VLOOKUP($F230,'Raw Data'!$A:$M,10,0))</f>
        <v/>
      </c>
      <c r="K230" t="str">
        <f>IF(ISNA(VLOOKUP($F230,'Raw Data'!$A:$M,11,0)),"",VLOOKUP($F230,'Raw Data'!$A:$M,11,0))</f>
        <v/>
      </c>
      <c r="L230" t="str">
        <f>IF(ISNA(VLOOKUP($F230,'Raw Data'!$A:$M,12,0)),"",VLOOKUP($F230,'Raw Data'!$A:$M,12,0))</f>
        <v/>
      </c>
      <c r="M230" t="str">
        <f>IF(ISNA(VLOOKUP($F230,'Raw Data'!$A:$M,13,0)),"",VLOOKUP($F230,'Raw Data'!$A:$M,13,0))</f>
        <v/>
      </c>
    </row>
    <row r="231" spans="1:13" x14ac:dyDescent="0.25">
      <c r="A231" t="s">
        <v>37</v>
      </c>
      <c r="B231">
        <v>2013</v>
      </c>
      <c r="C231">
        <v>4</v>
      </c>
      <c r="D231" s="3">
        <v>700</v>
      </c>
      <c r="E231" s="3">
        <v>97</v>
      </c>
      <c r="F231" s="3" t="str">
        <f t="shared" si="3"/>
        <v>FGU62013470097</v>
      </c>
      <c r="G231" t="str">
        <f>IF(ISNA(VLOOKUP($F231,'Raw Data'!$A:$M,7,0)),"",VLOOKUP($F231,'Raw Data'!$A:$M,7,0))</f>
        <v/>
      </c>
      <c r="H231" t="str">
        <f>IF(ISNA(VLOOKUP($F231,'Raw Data'!$A:$M,8,0)),"",VLOOKUP($F231,'Raw Data'!$A:$M,8,0))</f>
        <v/>
      </c>
      <c r="I231" t="str">
        <f>IF(ISNA(VLOOKUP($F231,'Raw Data'!$A:$M,9,0)),"",VLOOKUP($F231,'Raw Data'!$A:$M,9,0))</f>
        <v/>
      </c>
      <c r="J231" t="str">
        <f>IF(ISNA(VLOOKUP($F231,'Raw Data'!$A:$M,10,0)),"",VLOOKUP($F231,'Raw Data'!$A:$M,10,0))</f>
        <v/>
      </c>
      <c r="K231" t="str">
        <f>IF(ISNA(VLOOKUP($F231,'Raw Data'!$A:$M,11,0)),"",VLOOKUP($F231,'Raw Data'!$A:$M,11,0))</f>
        <v/>
      </c>
      <c r="L231" t="str">
        <f>IF(ISNA(VLOOKUP($F231,'Raw Data'!$A:$M,12,0)),"",VLOOKUP($F231,'Raw Data'!$A:$M,12,0))</f>
        <v/>
      </c>
      <c r="M231" t="str">
        <f>IF(ISNA(VLOOKUP($F231,'Raw Data'!$A:$M,13,0)),"",VLOOKUP($F231,'Raw Data'!$A:$M,13,0))</f>
        <v/>
      </c>
    </row>
    <row r="232" spans="1:13" x14ac:dyDescent="0.25">
      <c r="A232" t="s">
        <v>37</v>
      </c>
      <c r="B232">
        <v>2013</v>
      </c>
      <c r="C232">
        <v>4</v>
      </c>
      <c r="D232" s="3">
        <v>720</v>
      </c>
      <c r="E232" s="3">
        <v>97</v>
      </c>
      <c r="F232" s="3" t="str">
        <f t="shared" si="3"/>
        <v>FGU62013472097</v>
      </c>
      <c r="G232" t="str">
        <f>IF(ISNA(VLOOKUP($F232,'Raw Data'!$A:$M,7,0)),"",VLOOKUP($F232,'Raw Data'!$A:$M,7,0))</f>
        <v/>
      </c>
      <c r="H232" t="str">
        <f>IF(ISNA(VLOOKUP($F232,'Raw Data'!$A:$M,8,0)),"",VLOOKUP($F232,'Raw Data'!$A:$M,8,0))</f>
        <v/>
      </c>
      <c r="I232" t="str">
        <f>IF(ISNA(VLOOKUP($F232,'Raw Data'!$A:$M,9,0)),"",VLOOKUP($F232,'Raw Data'!$A:$M,9,0))</f>
        <v/>
      </c>
      <c r="J232" t="str">
        <f>IF(ISNA(VLOOKUP($F232,'Raw Data'!$A:$M,10,0)),"",VLOOKUP($F232,'Raw Data'!$A:$M,10,0))</f>
        <v/>
      </c>
      <c r="K232" t="str">
        <f>IF(ISNA(VLOOKUP($F232,'Raw Data'!$A:$M,11,0)),"",VLOOKUP($F232,'Raw Data'!$A:$M,11,0))</f>
        <v/>
      </c>
      <c r="L232" t="str">
        <f>IF(ISNA(VLOOKUP($F232,'Raw Data'!$A:$M,12,0)),"",VLOOKUP($F232,'Raw Data'!$A:$M,12,0))</f>
        <v/>
      </c>
      <c r="M232" t="str">
        <f>IF(ISNA(VLOOKUP($F232,'Raw Data'!$A:$M,13,0)),"",VLOOKUP($F232,'Raw Data'!$A:$M,13,0))</f>
        <v/>
      </c>
    </row>
    <row r="233" spans="1:13" x14ac:dyDescent="0.25">
      <c r="A233" t="s">
        <v>37</v>
      </c>
      <c r="B233">
        <v>2013</v>
      </c>
      <c r="C233">
        <v>4</v>
      </c>
      <c r="D233" s="3">
        <v>740</v>
      </c>
      <c r="E233" s="3">
        <v>97</v>
      </c>
      <c r="F233" s="3" t="str">
        <f t="shared" si="3"/>
        <v>FGU62013474097</v>
      </c>
      <c r="G233" t="str">
        <f>IF(ISNA(VLOOKUP($F233,'Raw Data'!$A:$M,7,0)),"",VLOOKUP($F233,'Raw Data'!$A:$M,7,0))</f>
        <v/>
      </c>
      <c r="H233" t="str">
        <f>IF(ISNA(VLOOKUP($F233,'Raw Data'!$A:$M,8,0)),"",VLOOKUP($F233,'Raw Data'!$A:$M,8,0))</f>
        <v/>
      </c>
      <c r="I233" t="str">
        <f>IF(ISNA(VLOOKUP($F233,'Raw Data'!$A:$M,9,0)),"",VLOOKUP($F233,'Raw Data'!$A:$M,9,0))</f>
        <v/>
      </c>
      <c r="J233" t="str">
        <f>IF(ISNA(VLOOKUP($F233,'Raw Data'!$A:$M,10,0)),"",VLOOKUP($F233,'Raw Data'!$A:$M,10,0))</f>
        <v/>
      </c>
      <c r="K233" t="str">
        <f>IF(ISNA(VLOOKUP($F233,'Raw Data'!$A:$M,11,0)),"",VLOOKUP($F233,'Raw Data'!$A:$M,11,0))</f>
        <v/>
      </c>
      <c r="L233" t="str">
        <f>IF(ISNA(VLOOKUP($F233,'Raw Data'!$A:$M,12,0)),"",VLOOKUP($F233,'Raw Data'!$A:$M,12,0))</f>
        <v/>
      </c>
      <c r="M233" t="str">
        <f>IF(ISNA(VLOOKUP($F233,'Raw Data'!$A:$M,13,0)),"",VLOOKUP($F233,'Raw Data'!$A:$M,13,0))</f>
        <v/>
      </c>
    </row>
    <row r="234" spans="1:13" x14ac:dyDescent="0.25">
      <c r="A234" t="s">
        <v>37</v>
      </c>
      <c r="B234">
        <v>2013</v>
      </c>
      <c r="C234">
        <v>4</v>
      </c>
      <c r="D234" s="3">
        <v>760</v>
      </c>
      <c r="E234" s="3">
        <v>97</v>
      </c>
      <c r="F234" s="3" t="str">
        <f t="shared" si="3"/>
        <v>FGU62013476097</v>
      </c>
      <c r="G234" t="str">
        <f>IF(ISNA(VLOOKUP($F234,'Raw Data'!$A:$M,7,0)),"",VLOOKUP($F234,'Raw Data'!$A:$M,7,0))</f>
        <v/>
      </c>
      <c r="H234" t="str">
        <f>IF(ISNA(VLOOKUP($F234,'Raw Data'!$A:$M,8,0)),"",VLOOKUP($F234,'Raw Data'!$A:$M,8,0))</f>
        <v/>
      </c>
      <c r="I234" t="str">
        <f>IF(ISNA(VLOOKUP($F234,'Raw Data'!$A:$M,9,0)),"",VLOOKUP($F234,'Raw Data'!$A:$M,9,0))</f>
        <v/>
      </c>
      <c r="J234" t="str">
        <f>IF(ISNA(VLOOKUP($F234,'Raw Data'!$A:$M,10,0)),"",VLOOKUP($F234,'Raw Data'!$A:$M,10,0))</f>
        <v/>
      </c>
      <c r="K234" t="str">
        <f>IF(ISNA(VLOOKUP($F234,'Raw Data'!$A:$M,11,0)),"",VLOOKUP($F234,'Raw Data'!$A:$M,11,0))</f>
        <v/>
      </c>
      <c r="L234" t="str">
        <f>IF(ISNA(VLOOKUP($F234,'Raw Data'!$A:$M,12,0)),"",VLOOKUP($F234,'Raw Data'!$A:$M,12,0))</f>
        <v/>
      </c>
      <c r="M234" t="str">
        <f>IF(ISNA(VLOOKUP($F234,'Raw Data'!$A:$M,13,0)),"",VLOOKUP($F234,'Raw Data'!$A:$M,13,0))</f>
        <v/>
      </c>
    </row>
    <row r="235" spans="1:13" x14ac:dyDescent="0.25">
      <c r="A235" t="s">
        <v>37</v>
      </c>
      <c r="B235">
        <v>2013</v>
      </c>
      <c r="C235">
        <v>4</v>
      </c>
      <c r="D235" s="3">
        <v>780</v>
      </c>
      <c r="E235" s="3">
        <v>97</v>
      </c>
      <c r="F235" s="3" t="str">
        <f t="shared" si="3"/>
        <v>FGU62013478097</v>
      </c>
      <c r="G235" t="str">
        <f>IF(ISNA(VLOOKUP($F235,'Raw Data'!$A:$M,7,0)),"",VLOOKUP($F235,'Raw Data'!$A:$M,7,0))</f>
        <v/>
      </c>
      <c r="H235" t="str">
        <f>IF(ISNA(VLOOKUP($F235,'Raw Data'!$A:$M,8,0)),"",VLOOKUP($F235,'Raw Data'!$A:$M,8,0))</f>
        <v/>
      </c>
      <c r="I235" t="str">
        <f>IF(ISNA(VLOOKUP($F235,'Raw Data'!$A:$M,9,0)),"",VLOOKUP($F235,'Raw Data'!$A:$M,9,0))</f>
        <v/>
      </c>
      <c r="J235" t="str">
        <f>IF(ISNA(VLOOKUP($F235,'Raw Data'!$A:$M,10,0)),"",VLOOKUP($F235,'Raw Data'!$A:$M,10,0))</f>
        <v/>
      </c>
      <c r="K235" t="str">
        <f>IF(ISNA(VLOOKUP($F235,'Raw Data'!$A:$M,11,0)),"",VLOOKUP($F235,'Raw Data'!$A:$M,11,0))</f>
        <v/>
      </c>
      <c r="L235" t="str">
        <f>IF(ISNA(VLOOKUP($F235,'Raw Data'!$A:$M,12,0)),"",VLOOKUP($F235,'Raw Data'!$A:$M,12,0))</f>
        <v/>
      </c>
      <c r="M235" t="str">
        <f>IF(ISNA(VLOOKUP($F235,'Raw Data'!$A:$M,13,0)),"",VLOOKUP($F235,'Raw Data'!$A:$M,13,0))</f>
        <v/>
      </c>
    </row>
    <row r="236" spans="1:13" x14ac:dyDescent="0.25">
      <c r="A236" t="s">
        <v>37</v>
      </c>
      <c r="B236">
        <v>2013</v>
      </c>
      <c r="C236">
        <v>4</v>
      </c>
      <c r="D236" s="3">
        <v>620</v>
      </c>
      <c r="E236" s="3">
        <v>100</v>
      </c>
      <c r="F236" s="3" t="str">
        <f t="shared" si="3"/>
        <v>FGU620134620100</v>
      </c>
      <c r="G236" t="str">
        <f>IF(ISNA(VLOOKUP($F236,'Raw Data'!$A:$M,7,0)),"",VLOOKUP($F236,'Raw Data'!$A:$M,7,0))</f>
        <v/>
      </c>
      <c r="H236" t="str">
        <f>IF(ISNA(VLOOKUP($F236,'Raw Data'!$A:$M,8,0)),"",VLOOKUP($F236,'Raw Data'!$A:$M,8,0))</f>
        <v/>
      </c>
      <c r="I236" t="str">
        <f>IF(ISNA(VLOOKUP($F236,'Raw Data'!$A:$M,9,0)),"",VLOOKUP($F236,'Raw Data'!$A:$M,9,0))</f>
        <v/>
      </c>
      <c r="J236" t="str">
        <f>IF(ISNA(VLOOKUP($F236,'Raw Data'!$A:$M,10,0)),"",VLOOKUP($F236,'Raw Data'!$A:$M,10,0))</f>
        <v/>
      </c>
      <c r="K236" t="str">
        <f>IF(ISNA(VLOOKUP($F236,'Raw Data'!$A:$M,11,0)),"",VLOOKUP($F236,'Raw Data'!$A:$M,11,0))</f>
        <v/>
      </c>
      <c r="L236" t="str">
        <f>IF(ISNA(VLOOKUP($F236,'Raw Data'!$A:$M,12,0)),"",VLOOKUP($F236,'Raw Data'!$A:$M,12,0))</f>
        <v/>
      </c>
      <c r="M236" t="str">
        <f>IF(ISNA(VLOOKUP($F236,'Raw Data'!$A:$M,13,0)),"",VLOOKUP($F236,'Raw Data'!$A:$M,13,0))</f>
        <v/>
      </c>
    </row>
    <row r="237" spans="1:13" x14ac:dyDescent="0.25">
      <c r="A237" t="s">
        <v>37</v>
      </c>
      <c r="B237">
        <v>2013</v>
      </c>
      <c r="C237">
        <v>4</v>
      </c>
      <c r="D237" s="3">
        <v>640</v>
      </c>
      <c r="E237" s="3">
        <v>100</v>
      </c>
      <c r="F237" s="3" t="str">
        <f t="shared" si="3"/>
        <v>FGU620134640100</v>
      </c>
      <c r="G237" t="str">
        <f>IF(ISNA(VLOOKUP($F237,'Raw Data'!$A:$M,7,0)),"",VLOOKUP($F237,'Raw Data'!$A:$M,7,0))</f>
        <v/>
      </c>
      <c r="H237" t="str">
        <f>IF(ISNA(VLOOKUP($F237,'Raw Data'!$A:$M,8,0)),"",VLOOKUP($F237,'Raw Data'!$A:$M,8,0))</f>
        <v/>
      </c>
      <c r="I237" t="str">
        <f>IF(ISNA(VLOOKUP($F237,'Raw Data'!$A:$M,9,0)),"",VLOOKUP($F237,'Raw Data'!$A:$M,9,0))</f>
        <v/>
      </c>
      <c r="J237" t="str">
        <f>IF(ISNA(VLOOKUP($F237,'Raw Data'!$A:$M,10,0)),"",VLOOKUP($F237,'Raw Data'!$A:$M,10,0))</f>
        <v/>
      </c>
      <c r="K237" t="str">
        <f>IF(ISNA(VLOOKUP($F237,'Raw Data'!$A:$M,11,0)),"",VLOOKUP($F237,'Raw Data'!$A:$M,11,0))</f>
        <v/>
      </c>
      <c r="L237" t="str">
        <f>IF(ISNA(VLOOKUP($F237,'Raw Data'!$A:$M,12,0)),"",VLOOKUP($F237,'Raw Data'!$A:$M,12,0))</f>
        <v/>
      </c>
      <c r="M237" t="str">
        <f>IF(ISNA(VLOOKUP($F237,'Raw Data'!$A:$M,13,0)),"",VLOOKUP($F237,'Raw Data'!$A:$M,13,0))</f>
        <v/>
      </c>
    </row>
    <row r="238" spans="1:13" x14ac:dyDescent="0.25">
      <c r="A238" t="s">
        <v>37</v>
      </c>
      <c r="B238">
        <v>2013</v>
      </c>
      <c r="C238">
        <v>4</v>
      </c>
      <c r="D238" s="3">
        <v>660</v>
      </c>
      <c r="E238" s="3">
        <v>100</v>
      </c>
      <c r="F238" s="3" t="str">
        <f t="shared" si="3"/>
        <v>FGU620134660100</v>
      </c>
      <c r="G238" t="str">
        <f>IF(ISNA(VLOOKUP($F238,'Raw Data'!$A:$M,7,0)),"",VLOOKUP($F238,'Raw Data'!$A:$M,7,0))</f>
        <v/>
      </c>
      <c r="H238" t="str">
        <f>IF(ISNA(VLOOKUP($F238,'Raw Data'!$A:$M,8,0)),"",VLOOKUP($F238,'Raw Data'!$A:$M,8,0))</f>
        <v/>
      </c>
      <c r="I238" t="str">
        <f>IF(ISNA(VLOOKUP($F238,'Raw Data'!$A:$M,9,0)),"",VLOOKUP($F238,'Raw Data'!$A:$M,9,0))</f>
        <v/>
      </c>
      <c r="J238" t="str">
        <f>IF(ISNA(VLOOKUP($F238,'Raw Data'!$A:$M,10,0)),"",VLOOKUP($F238,'Raw Data'!$A:$M,10,0))</f>
        <v/>
      </c>
      <c r="K238" t="str">
        <f>IF(ISNA(VLOOKUP($F238,'Raw Data'!$A:$M,11,0)),"",VLOOKUP($F238,'Raw Data'!$A:$M,11,0))</f>
        <v/>
      </c>
      <c r="L238" t="str">
        <f>IF(ISNA(VLOOKUP($F238,'Raw Data'!$A:$M,12,0)),"",VLOOKUP($F238,'Raw Data'!$A:$M,12,0))</f>
        <v/>
      </c>
      <c r="M238" t="str">
        <f>IF(ISNA(VLOOKUP($F238,'Raw Data'!$A:$M,13,0)),"",VLOOKUP($F238,'Raw Data'!$A:$M,13,0))</f>
        <v/>
      </c>
    </row>
    <row r="239" spans="1:13" x14ac:dyDescent="0.25">
      <c r="A239" t="s">
        <v>37</v>
      </c>
      <c r="B239">
        <v>2013</v>
      </c>
      <c r="C239">
        <v>4</v>
      </c>
      <c r="D239" s="3">
        <v>680</v>
      </c>
      <c r="E239" s="3">
        <v>100</v>
      </c>
      <c r="F239" s="3" t="str">
        <f t="shared" si="3"/>
        <v>FGU620134680100</v>
      </c>
      <c r="G239" t="str">
        <f>IF(ISNA(VLOOKUP($F239,'Raw Data'!$A:$M,7,0)),"",VLOOKUP($F239,'Raw Data'!$A:$M,7,0))</f>
        <v/>
      </c>
      <c r="H239" t="str">
        <f>IF(ISNA(VLOOKUP($F239,'Raw Data'!$A:$M,8,0)),"",VLOOKUP($F239,'Raw Data'!$A:$M,8,0))</f>
        <v/>
      </c>
      <c r="I239" t="str">
        <f>IF(ISNA(VLOOKUP($F239,'Raw Data'!$A:$M,9,0)),"",VLOOKUP($F239,'Raw Data'!$A:$M,9,0))</f>
        <v/>
      </c>
      <c r="J239" t="str">
        <f>IF(ISNA(VLOOKUP($F239,'Raw Data'!$A:$M,10,0)),"",VLOOKUP($F239,'Raw Data'!$A:$M,10,0))</f>
        <v/>
      </c>
      <c r="K239" t="str">
        <f>IF(ISNA(VLOOKUP($F239,'Raw Data'!$A:$M,11,0)),"",VLOOKUP($F239,'Raw Data'!$A:$M,11,0))</f>
        <v/>
      </c>
      <c r="L239" t="str">
        <f>IF(ISNA(VLOOKUP($F239,'Raw Data'!$A:$M,12,0)),"",VLOOKUP($F239,'Raw Data'!$A:$M,12,0))</f>
        <v/>
      </c>
      <c r="M239" t="str">
        <f>IF(ISNA(VLOOKUP($F239,'Raw Data'!$A:$M,13,0)),"",VLOOKUP($F239,'Raw Data'!$A:$M,13,0))</f>
        <v/>
      </c>
    </row>
    <row r="240" spans="1:13" x14ac:dyDescent="0.25">
      <c r="A240" t="s">
        <v>37</v>
      </c>
      <c r="B240">
        <v>2013</v>
      </c>
      <c r="C240">
        <v>4</v>
      </c>
      <c r="D240" s="3">
        <v>700</v>
      </c>
      <c r="E240" s="3">
        <v>100</v>
      </c>
      <c r="F240" s="3" t="str">
        <f t="shared" si="3"/>
        <v>FGU620134700100</v>
      </c>
      <c r="G240" t="str">
        <f>IF(ISNA(VLOOKUP($F240,'Raw Data'!$A:$M,7,0)),"",VLOOKUP($F240,'Raw Data'!$A:$M,7,0))</f>
        <v/>
      </c>
      <c r="H240" t="str">
        <f>IF(ISNA(VLOOKUP($F240,'Raw Data'!$A:$M,8,0)),"",VLOOKUP($F240,'Raw Data'!$A:$M,8,0))</f>
        <v/>
      </c>
      <c r="I240" t="str">
        <f>IF(ISNA(VLOOKUP($F240,'Raw Data'!$A:$M,9,0)),"",VLOOKUP($F240,'Raw Data'!$A:$M,9,0))</f>
        <v/>
      </c>
      <c r="J240" t="str">
        <f>IF(ISNA(VLOOKUP($F240,'Raw Data'!$A:$M,10,0)),"",VLOOKUP($F240,'Raw Data'!$A:$M,10,0))</f>
        <v/>
      </c>
      <c r="K240" t="str">
        <f>IF(ISNA(VLOOKUP($F240,'Raw Data'!$A:$M,11,0)),"",VLOOKUP($F240,'Raw Data'!$A:$M,11,0))</f>
        <v/>
      </c>
      <c r="L240" t="str">
        <f>IF(ISNA(VLOOKUP($F240,'Raw Data'!$A:$M,12,0)),"",VLOOKUP($F240,'Raw Data'!$A:$M,12,0))</f>
        <v/>
      </c>
      <c r="M240" t="str">
        <f>IF(ISNA(VLOOKUP($F240,'Raw Data'!$A:$M,13,0)),"",VLOOKUP($F240,'Raw Data'!$A:$M,13,0))</f>
        <v/>
      </c>
    </row>
    <row r="241" spans="1:13" x14ac:dyDescent="0.25">
      <c r="A241" t="s">
        <v>37</v>
      </c>
      <c r="B241">
        <v>2013</v>
      </c>
      <c r="C241">
        <v>4</v>
      </c>
      <c r="D241" s="3">
        <v>720</v>
      </c>
      <c r="E241" s="3">
        <v>100</v>
      </c>
      <c r="F241" s="3" t="str">
        <f t="shared" si="3"/>
        <v>FGU620134720100</v>
      </c>
      <c r="G241" t="str">
        <f>IF(ISNA(VLOOKUP($F241,'Raw Data'!$A:$M,7,0)),"",VLOOKUP($F241,'Raw Data'!$A:$M,7,0))</f>
        <v/>
      </c>
      <c r="H241" t="str">
        <f>IF(ISNA(VLOOKUP($F241,'Raw Data'!$A:$M,8,0)),"",VLOOKUP($F241,'Raw Data'!$A:$M,8,0))</f>
        <v/>
      </c>
      <c r="I241" t="str">
        <f>IF(ISNA(VLOOKUP($F241,'Raw Data'!$A:$M,9,0)),"",VLOOKUP($F241,'Raw Data'!$A:$M,9,0))</f>
        <v/>
      </c>
      <c r="J241" t="str">
        <f>IF(ISNA(VLOOKUP($F241,'Raw Data'!$A:$M,10,0)),"",VLOOKUP($F241,'Raw Data'!$A:$M,10,0))</f>
        <v/>
      </c>
      <c r="K241" t="str">
        <f>IF(ISNA(VLOOKUP($F241,'Raw Data'!$A:$M,11,0)),"",VLOOKUP($F241,'Raw Data'!$A:$M,11,0))</f>
        <v/>
      </c>
      <c r="L241" t="str">
        <f>IF(ISNA(VLOOKUP($F241,'Raw Data'!$A:$M,12,0)),"",VLOOKUP($F241,'Raw Data'!$A:$M,12,0))</f>
        <v/>
      </c>
      <c r="M241" t="str">
        <f>IF(ISNA(VLOOKUP($F241,'Raw Data'!$A:$M,13,0)),"",VLOOKUP($F241,'Raw Data'!$A:$M,13,0))</f>
        <v/>
      </c>
    </row>
    <row r="242" spans="1:13" x14ac:dyDescent="0.25">
      <c r="A242" t="s">
        <v>37</v>
      </c>
      <c r="B242">
        <v>2013</v>
      </c>
      <c r="C242">
        <v>4</v>
      </c>
      <c r="D242" s="3">
        <v>740</v>
      </c>
      <c r="E242" s="3">
        <v>100</v>
      </c>
      <c r="F242" s="3" t="str">
        <f t="shared" si="3"/>
        <v>FGU620134740100</v>
      </c>
      <c r="G242" t="str">
        <f>IF(ISNA(VLOOKUP($F242,'Raw Data'!$A:$M,7,0)),"",VLOOKUP($F242,'Raw Data'!$A:$M,7,0))</f>
        <v/>
      </c>
      <c r="H242" t="str">
        <f>IF(ISNA(VLOOKUP($F242,'Raw Data'!$A:$M,8,0)),"",VLOOKUP($F242,'Raw Data'!$A:$M,8,0))</f>
        <v/>
      </c>
      <c r="I242" t="str">
        <f>IF(ISNA(VLOOKUP($F242,'Raw Data'!$A:$M,9,0)),"",VLOOKUP($F242,'Raw Data'!$A:$M,9,0))</f>
        <v/>
      </c>
      <c r="J242" t="str">
        <f>IF(ISNA(VLOOKUP($F242,'Raw Data'!$A:$M,10,0)),"",VLOOKUP($F242,'Raw Data'!$A:$M,10,0))</f>
        <v/>
      </c>
      <c r="K242" t="str">
        <f>IF(ISNA(VLOOKUP($F242,'Raw Data'!$A:$M,11,0)),"",VLOOKUP($F242,'Raw Data'!$A:$M,11,0))</f>
        <v/>
      </c>
      <c r="L242" t="str">
        <f>IF(ISNA(VLOOKUP($F242,'Raw Data'!$A:$M,12,0)),"",VLOOKUP($F242,'Raw Data'!$A:$M,12,0))</f>
        <v/>
      </c>
      <c r="M242" t="str">
        <f>IF(ISNA(VLOOKUP($F242,'Raw Data'!$A:$M,13,0)),"",VLOOKUP($F242,'Raw Data'!$A:$M,13,0))</f>
        <v/>
      </c>
    </row>
    <row r="243" spans="1:13" x14ac:dyDescent="0.25">
      <c r="A243" t="s">
        <v>37</v>
      </c>
      <c r="B243">
        <v>2013</v>
      </c>
      <c r="C243">
        <v>4</v>
      </c>
      <c r="D243" s="3">
        <v>760</v>
      </c>
      <c r="E243" s="3">
        <v>100</v>
      </c>
      <c r="F243" s="3" t="str">
        <f t="shared" si="3"/>
        <v>FGU620134760100</v>
      </c>
      <c r="G243" t="str">
        <f>IF(ISNA(VLOOKUP($F243,'Raw Data'!$A:$M,7,0)),"",VLOOKUP($F243,'Raw Data'!$A:$M,7,0))</f>
        <v/>
      </c>
      <c r="H243" t="str">
        <f>IF(ISNA(VLOOKUP($F243,'Raw Data'!$A:$M,8,0)),"",VLOOKUP($F243,'Raw Data'!$A:$M,8,0))</f>
        <v/>
      </c>
      <c r="I243" t="str">
        <f>IF(ISNA(VLOOKUP($F243,'Raw Data'!$A:$M,9,0)),"",VLOOKUP($F243,'Raw Data'!$A:$M,9,0))</f>
        <v/>
      </c>
      <c r="J243" t="str">
        <f>IF(ISNA(VLOOKUP($F243,'Raw Data'!$A:$M,10,0)),"",VLOOKUP($F243,'Raw Data'!$A:$M,10,0))</f>
        <v/>
      </c>
      <c r="K243" t="str">
        <f>IF(ISNA(VLOOKUP($F243,'Raw Data'!$A:$M,11,0)),"",VLOOKUP($F243,'Raw Data'!$A:$M,11,0))</f>
        <v/>
      </c>
      <c r="L243" t="str">
        <f>IF(ISNA(VLOOKUP($F243,'Raw Data'!$A:$M,12,0)),"",VLOOKUP($F243,'Raw Data'!$A:$M,12,0))</f>
        <v/>
      </c>
      <c r="M243" t="str">
        <f>IF(ISNA(VLOOKUP($F243,'Raw Data'!$A:$M,13,0)),"",VLOOKUP($F243,'Raw Data'!$A:$M,13,0))</f>
        <v/>
      </c>
    </row>
    <row r="244" spans="1:13" x14ac:dyDescent="0.25">
      <c r="A244" t="s">
        <v>37</v>
      </c>
      <c r="B244">
        <v>2013</v>
      </c>
      <c r="C244">
        <v>4</v>
      </c>
      <c r="D244" s="3">
        <v>780</v>
      </c>
      <c r="E244" s="3">
        <v>100</v>
      </c>
      <c r="F244" s="3" t="str">
        <f t="shared" si="3"/>
        <v>FGU620134780100</v>
      </c>
      <c r="G244" t="str">
        <f>IF(ISNA(VLOOKUP($F244,'Raw Data'!$A:$M,7,0)),"",VLOOKUP($F244,'Raw Data'!$A:$M,7,0))</f>
        <v/>
      </c>
      <c r="H244" t="str">
        <f>IF(ISNA(VLOOKUP($F244,'Raw Data'!$A:$M,8,0)),"",VLOOKUP($F244,'Raw Data'!$A:$M,8,0))</f>
        <v/>
      </c>
      <c r="I244" t="str">
        <f>IF(ISNA(VLOOKUP($F244,'Raw Data'!$A:$M,9,0)),"",VLOOKUP($F244,'Raw Data'!$A:$M,9,0))</f>
        <v/>
      </c>
      <c r="J244" t="str">
        <f>IF(ISNA(VLOOKUP($F244,'Raw Data'!$A:$M,10,0)),"",VLOOKUP($F244,'Raw Data'!$A:$M,10,0))</f>
        <v/>
      </c>
      <c r="K244" t="str">
        <f>IF(ISNA(VLOOKUP($F244,'Raw Data'!$A:$M,11,0)),"",VLOOKUP($F244,'Raw Data'!$A:$M,11,0))</f>
        <v/>
      </c>
      <c r="L244" t="str">
        <f>IF(ISNA(VLOOKUP($F244,'Raw Data'!$A:$M,12,0)),"",VLOOKUP($F244,'Raw Data'!$A:$M,12,0))</f>
        <v/>
      </c>
      <c r="M244" t="str">
        <f>IF(ISNA(VLOOKUP($F244,'Raw Data'!$A:$M,13,0)),"",VLOOKUP($F244,'Raw Data'!$A:$M,13,0))</f>
        <v/>
      </c>
    </row>
    <row r="245" spans="1:13" x14ac:dyDescent="0.25">
      <c r="A245" t="s">
        <v>37</v>
      </c>
      <c r="B245">
        <v>2013</v>
      </c>
      <c r="C245">
        <v>4</v>
      </c>
      <c r="D245" s="3">
        <v>620</v>
      </c>
      <c r="E245" s="3" t="s">
        <v>9</v>
      </c>
      <c r="F245" s="3" t="str">
        <f t="shared" si="3"/>
        <v>FGU620134620100+</v>
      </c>
      <c r="G245" t="str">
        <f>IF(ISNA(VLOOKUP($F245,'Raw Data'!$A:$M,7,0)),"",VLOOKUP($F245,'Raw Data'!$A:$M,7,0))</f>
        <v/>
      </c>
      <c r="H245" t="str">
        <f>IF(ISNA(VLOOKUP($F245,'Raw Data'!$A:$M,8,0)),"",VLOOKUP($F245,'Raw Data'!$A:$M,8,0))</f>
        <v/>
      </c>
      <c r="I245" t="str">
        <f>IF(ISNA(VLOOKUP($F245,'Raw Data'!$A:$M,9,0)),"",VLOOKUP($F245,'Raw Data'!$A:$M,9,0))</f>
        <v/>
      </c>
      <c r="J245" t="str">
        <f>IF(ISNA(VLOOKUP($F245,'Raw Data'!$A:$M,10,0)),"",VLOOKUP($F245,'Raw Data'!$A:$M,10,0))</f>
        <v/>
      </c>
      <c r="K245" t="str">
        <f>IF(ISNA(VLOOKUP($F245,'Raw Data'!$A:$M,11,0)),"",VLOOKUP($F245,'Raw Data'!$A:$M,11,0))</f>
        <v/>
      </c>
      <c r="L245" t="str">
        <f>IF(ISNA(VLOOKUP($F245,'Raw Data'!$A:$M,12,0)),"",VLOOKUP($F245,'Raw Data'!$A:$M,12,0))</f>
        <v/>
      </c>
      <c r="M245" t="str">
        <f>IF(ISNA(VLOOKUP($F245,'Raw Data'!$A:$M,13,0)),"",VLOOKUP($F245,'Raw Data'!$A:$M,13,0))</f>
        <v/>
      </c>
    </row>
    <row r="246" spans="1:13" x14ac:dyDescent="0.25">
      <c r="A246" t="s">
        <v>37</v>
      </c>
      <c r="B246">
        <v>2013</v>
      </c>
      <c r="C246">
        <v>4</v>
      </c>
      <c r="D246" s="3">
        <v>640</v>
      </c>
      <c r="E246" s="3" t="s">
        <v>9</v>
      </c>
      <c r="F246" s="3" t="str">
        <f t="shared" si="3"/>
        <v>FGU620134640100+</v>
      </c>
      <c r="G246" t="str">
        <f>IF(ISNA(VLOOKUP($F246,'Raw Data'!$A:$M,7,0)),"",VLOOKUP($F246,'Raw Data'!$A:$M,7,0))</f>
        <v/>
      </c>
      <c r="H246" t="str">
        <f>IF(ISNA(VLOOKUP($F246,'Raw Data'!$A:$M,8,0)),"",VLOOKUP($F246,'Raw Data'!$A:$M,8,0))</f>
        <v/>
      </c>
      <c r="I246" t="str">
        <f>IF(ISNA(VLOOKUP($F246,'Raw Data'!$A:$M,9,0)),"",VLOOKUP($F246,'Raw Data'!$A:$M,9,0))</f>
        <v/>
      </c>
      <c r="J246" t="str">
        <f>IF(ISNA(VLOOKUP($F246,'Raw Data'!$A:$M,10,0)),"",VLOOKUP($F246,'Raw Data'!$A:$M,10,0))</f>
        <v/>
      </c>
      <c r="K246" t="str">
        <f>IF(ISNA(VLOOKUP($F246,'Raw Data'!$A:$M,11,0)),"",VLOOKUP($F246,'Raw Data'!$A:$M,11,0))</f>
        <v/>
      </c>
      <c r="L246" t="str">
        <f>IF(ISNA(VLOOKUP($F246,'Raw Data'!$A:$M,12,0)),"",VLOOKUP($F246,'Raw Data'!$A:$M,12,0))</f>
        <v/>
      </c>
      <c r="M246" t="str">
        <f>IF(ISNA(VLOOKUP($F246,'Raw Data'!$A:$M,13,0)),"",VLOOKUP($F246,'Raw Data'!$A:$M,13,0))</f>
        <v/>
      </c>
    </row>
    <row r="247" spans="1:13" x14ac:dyDescent="0.25">
      <c r="A247" t="s">
        <v>37</v>
      </c>
      <c r="B247">
        <v>2013</v>
      </c>
      <c r="C247">
        <v>4</v>
      </c>
      <c r="D247" s="3">
        <v>660</v>
      </c>
      <c r="E247" s="3" t="s">
        <v>9</v>
      </c>
      <c r="F247" s="3" t="str">
        <f t="shared" si="3"/>
        <v>FGU620134660100+</v>
      </c>
      <c r="G247" t="str">
        <f>IF(ISNA(VLOOKUP($F247,'Raw Data'!$A:$M,7,0)),"",VLOOKUP($F247,'Raw Data'!$A:$M,7,0))</f>
        <v/>
      </c>
      <c r="H247" t="str">
        <f>IF(ISNA(VLOOKUP($F247,'Raw Data'!$A:$M,8,0)),"",VLOOKUP($F247,'Raw Data'!$A:$M,8,0))</f>
        <v/>
      </c>
      <c r="I247" t="str">
        <f>IF(ISNA(VLOOKUP($F247,'Raw Data'!$A:$M,9,0)),"",VLOOKUP($F247,'Raw Data'!$A:$M,9,0))</f>
        <v/>
      </c>
      <c r="J247" t="str">
        <f>IF(ISNA(VLOOKUP($F247,'Raw Data'!$A:$M,10,0)),"",VLOOKUP($F247,'Raw Data'!$A:$M,10,0))</f>
        <v/>
      </c>
      <c r="K247" t="str">
        <f>IF(ISNA(VLOOKUP($F247,'Raw Data'!$A:$M,11,0)),"",VLOOKUP($F247,'Raw Data'!$A:$M,11,0))</f>
        <v/>
      </c>
      <c r="L247" t="str">
        <f>IF(ISNA(VLOOKUP($F247,'Raw Data'!$A:$M,12,0)),"",VLOOKUP($F247,'Raw Data'!$A:$M,12,0))</f>
        <v/>
      </c>
      <c r="M247" t="str">
        <f>IF(ISNA(VLOOKUP($F247,'Raw Data'!$A:$M,13,0)),"",VLOOKUP($F247,'Raw Data'!$A:$M,13,0))</f>
        <v/>
      </c>
    </row>
    <row r="248" spans="1:13" x14ac:dyDescent="0.25">
      <c r="A248" t="s">
        <v>37</v>
      </c>
      <c r="B248">
        <v>2013</v>
      </c>
      <c r="C248">
        <v>4</v>
      </c>
      <c r="D248" s="3">
        <v>680</v>
      </c>
      <c r="E248" s="3" t="s">
        <v>9</v>
      </c>
      <c r="F248" s="3" t="str">
        <f t="shared" si="3"/>
        <v>FGU620134680100+</v>
      </c>
      <c r="G248" t="str">
        <f>IF(ISNA(VLOOKUP($F248,'Raw Data'!$A:$M,7,0)),"",VLOOKUP($F248,'Raw Data'!$A:$M,7,0))</f>
        <v/>
      </c>
      <c r="H248" t="str">
        <f>IF(ISNA(VLOOKUP($F248,'Raw Data'!$A:$M,8,0)),"",VLOOKUP($F248,'Raw Data'!$A:$M,8,0))</f>
        <v/>
      </c>
      <c r="I248" t="str">
        <f>IF(ISNA(VLOOKUP($F248,'Raw Data'!$A:$M,9,0)),"",VLOOKUP($F248,'Raw Data'!$A:$M,9,0))</f>
        <v/>
      </c>
      <c r="J248" t="str">
        <f>IF(ISNA(VLOOKUP($F248,'Raw Data'!$A:$M,10,0)),"",VLOOKUP($F248,'Raw Data'!$A:$M,10,0))</f>
        <v/>
      </c>
      <c r="K248" t="str">
        <f>IF(ISNA(VLOOKUP($F248,'Raw Data'!$A:$M,11,0)),"",VLOOKUP($F248,'Raw Data'!$A:$M,11,0))</f>
        <v/>
      </c>
      <c r="L248" t="str">
        <f>IF(ISNA(VLOOKUP($F248,'Raw Data'!$A:$M,12,0)),"",VLOOKUP($F248,'Raw Data'!$A:$M,12,0))</f>
        <v/>
      </c>
      <c r="M248" t="str">
        <f>IF(ISNA(VLOOKUP($F248,'Raw Data'!$A:$M,13,0)),"",VLOOKUP($F248,'Raw Data'!$A:$M,13,0))</f>
        <v/>
      </c>
    </row>
    <row r="249" spans="1:13" x14ac:dyDescent="0.25">
      <c r="A249" t="s">
        <v>37</v>
      </c>
      <c r="B249">
        <v>2013</v>
      </c>
      <c r="C249">
        <v>4</v>
      </c>
      <c r="D249" s="3">
        <v>700</v>
      </c>
      <c r="E249" s="3" t="s">
        <v>9</v>
      </c>
      <c r="F249" s="3" t="str">
        <f t="shared" si="3"/>
        <v>FGU620134700100+</v>
      </c>
      <c r="G249" t="str">
        <f>IF(ISNA(VLOOKUP($F249,'Raw Data'!$A:$M,7,0)),"",VLOOKUP($F249,'Raw Data'!$A:$M,7,0))</f>
        <v/>
      </c>
      <c r="H249" t="str">
        <f>IF(ISNA(VLOOKUP($F249,'Raw Data'!$A:$M,8,0)),"",VLOOKUP($F249,'Raw Data'!$A:$M,8,0))</f>
        <v/>
      </c>
      <c r="I249" t="str">
        <f>IF(ISNA(VLOOKUP($F249,'Raw Data'!$A:$M,9,0)),"",VLOOKUP($F249,'Raw Data'!$A:$M,9,0))</f>
        <v/>
      </c>
      <c r="J249" t="str">
        <f>IF(ISNA(VLOOKUP($F249,'Raw Data'!$A:$M,10,0)),"",VLOOKUP($F249,'Raw Data'!$A:$M,10,0))</f>
        <v/>
      </c>
      <c r="K249" t="str">
        <f>IF(ISNA(VLOOKUP($F249,'Raw Data'!$A:$M,11,0)),"",VLOOKUP($F249,'Raw Data'!$A:$M,11,0))</f>
        <v/>
      </c>
      <c r="L249" t="str">
        <f>IF(ISNA(VLOOKUP($F249,'Raw Data'!$A:$M,12,0)),"",VLOOKUP($F249,'Raw Data'!$A:$M,12,0))</f>
        <v/>
      </c>
      <c r="M249" t="str">
        <f>IF(ISNA(VLOOKUP($F249,'Raw Data'!$A:$M,13,0)),"",VLOOKUP($F249,'Raw Data'!$A:$M,13,0))</f>
        <v/>
      </c>
    </row>
    <row r="250" spans="1:13" x14ac:dyDescent="0.25">
      <c r="A250" t="s">
        <v>37</v>
      </c>
      <c r="B250">
        <v>2013</v>
      </c>
      <c r="C250">
        <v>4</v>
      </c>
      <c r="D250" s="3">
        <v>720</v>
      </c>
      <c r="E250" s="3" t="s">
        <v>9</v>
      </c>
      <c r="F250" s="3" t="str">
        <f t="shared" si="3"/>
        <v>FGU620134720100+</v>
      </c>
      <c r="G250" t="str">
        <f>IF(ISNA(VLOOKUP($F250,'Raw Data'!$A:$M,7,0)),"",VLOOKUP($F250,'Raw Data'!$A:$M,7,0))</f>
        <v/>
      </c>
      <c r="H250" t="str">
        <f>IF(ISNA(VLOOKUP($F250,'Raw Data'!$A:$M,8,0)),"",VLOOKUP($F250,'Raw Data'!$A:$M,8,0))</f>
        <v/>
      </c>
      <c r="I250" t="str">
        <f>IF(ISNA(VLOOKUP($F250,'Raw Data'!$A:$M,9,0)),"",VLOOKUP($F250,'Raw Data'!$A:$M,9,0))</f>
        <v/>
      </c>
      <c r="J250" t="str">
        <f>IF(ISNA(VLOOKUP($F250,'Raw Data'!$A:$M,10,0)),"",VLOOKUP($F250,'Raw Data'!$A:$M,10,0))</f>
        <v/>
      </c>
      <c r="K250" t="str">
        <f>IF(ISNA(VLOOKUP($F250,'Raw Data'!$A:$M,11,0)),"",VLOOKUP($F250,'Raw Data'!$A:$M,11,0))</f>
        <v/>
      </c>
      <c r="L250" t="str">
        <f>IF(ISNA(VLOOKUP($F250,'Raw Data'!$A:$M,12,0)),"",VLOOKUP($F250,'Raw Data'!$A:$M,12,0))</f>
        <v/>
      </c>
      <c r="M250" t="str">
        <f>IF(ISNA(VLOOKUP($F250,'Raw Data'!$A:$M,13,0)),"",VLOOKUP($F250,'Raw Data'!$A:$M,13,0))</f>
        <v/>
      </c>
    </row>
    <row r="251" spans="1:13" x14ac:dyDescent="0.25">
      <c r="A251" t="s">
        <v>37</v>
      </c>
      <c r="B251">
        <v>2013</v>
      </c>
      <c r="C251">
        <v>4</v>
      </c>
      <c r="D251" s="3">
        <v>740</v>
      </c>
      <c r="E251" s="3" t="s">
        <v>9</v>
      </c>
      <c r="F251" s="3" t="str">
        <f t="shared" si="3"/>
        <v>FGU620134740100+</v>
      </c>
      <c r="G251" t="str">
        <f>IF(ISNA(VLOOKUP($F251,'Raw Data'!$A:$M,7,0)),"",VLOOKUP($F251,'Raw Data'!$A:$M,7,0))</f>
        <v/>
      </c>
      <c r="H251" t="str">
        <f>IF(ISNA(VLOOKUP($F251,'Raw Data'!$A:$M,8,0)),"",VLOOKUP($F251,'Raw Data'!$A:$M,8,0))</f>
        <v/>
      </c>
      <c r="I251" t="str">
        <f>IF(ISNA(VLOOKUP($F251,'Raw Data'!$A:$M,9,0)),"",VLOOKUP($F251,'Raw Data'!$A:$M,9,0))</f>
        <v/>
      </c>
      <c r="J251" t="str">
        <f>IF(ISNA(VLOOKUP($F251,'Raw Data'!$A:$M,10,0)),"",VLOOKUP($F251,'Raw Data'!$A:$M,10,0))</f>
        <v/>
      </c>
      <c r="K251" t="str">
        <f>IF(ISNA(VLOOKUP($F251,'Raw Data'!$A:$M,11,0)),"",VLOOKUP($F251,'Raw Data'!$A:$M,11,0))</f>
        <v/>
      </c>
      <c r="L251" t="str">
        <f>IF(ISNA(VLOOKUP($F251,'Raw Data'!$A:$M,12,0)),"",VLOOKUP($F251,'Raw Data'!$A:$M,12,0))</f>
        <v/>
      </c>
      <c r="M251" t="str">
        <f>IF(ISNA(VLOOKUP($F251,'Raw Data'!$A:$M,13,0)),"",VLOOKUP($F251,'Raw Data'!$A:$M,13,0))</f>
        <v/>
      </c>
    </row>
    <row r="252" spans="1:13" x14ac:dyDescent="0.25">
      <c r="A252" t="s">
        <v>37</v>
      </c>
      <c r="B252">
        <v>2013</v>
      </c>
      <c r="C252">
        <v>4</v>
      </c>
      <c r="D252" s="3">
        <v>760</v>
      </c>
      <c r="E252" s="3" t="s">
        <v>9</v>
      </c>
      <c r="F252" s="3" t="str">
        <f t="shared" si="3"/>
        <v>FGU620134760100+</v>
      </c>
      <c r="G252" t="str">
        <f>IF(ISNA(VLOOKUP($F252,'Raw Data'!$A:$M,7,0)),"",VLOOKUP($F252,'Raw Data'!$A:$M,7,0))</f>
        <v/>
      </c>
      <c r="H252" t="str">
        <f>IF(ISNA(VLOOKUP($F252,'Raw Data'!$A:$M,8,0)),"",VLOOKUP($F252,'Raw Data'!$A:$M,8,0))</f>
        <v/>
      </c>
      <c r="I252" t="str">
        <f>IF(ISNA(VLOOKUP($F252,'Raw Data'!$A:$M,9,0)),"",VLOOKUP($F252,'Raw Data'!$A:$M,9,0))</f>
        <v/>
      </c>
      <c r="J252" t="str">
        <f>IF(ISNA(VLOOKUP($F252,'Raw Data'!$A:$M,10,0)),"",VLOOKUP($F252,'Raw Data'!$A:$M,10,0))</f>
        <v/>
      </c>
      <c r="K252" t="str">
        <f>IF(ISNA(VLOOKUP($F252,'Raw Data'!$A:$M,11,0)),"",VLOOKUP($F252,'Raw Data'!$A:$M,11,0))</f>
        <v/>
      </c>
      <c r="L252" t="str">
        <f>IF(ISNA(VLOOKUP($F252,'Raw Data'!$A:$M,12,0)),"",VLOOKUP($F252,'Raw Data'!$A:$M,12,0))</f>
        <v/>
      </c>
      <c r="M252" t="str">
        <f>IF(ISNA(VLOOKUP($F252,'Raw Data'!$A:$M,13,0)),"",VLOOKUP($F252,'Raw Data'!$A:$M,13,0))</f>
        <v/>
      </c>
    </row>
    <row r="253" spans="1:13" x14ac:dyDescent="0.25">
      <c r="A253" t="s">
        <v>37</v>
      </c>
      <c r="B253">
        <v>2013</v>
      </c>
      <c r="C253">
        <v>4</v>
      </c>
      <c r="D253" s="3">
        <v>780</v>
      </c>
      <c r="E253" s="3" t="s">
        <v>9</v>
      </c>
      <c r="F253" s="3" t="str">
        <f t="shared" si="3"/>
        <v>FGU620134780100+</v>
      </c>
      <c r="G253" t="str">
        <f>IF(ISNA(VLOOKUP($F253,'Raw Data'!$A:$M,7,0)),"",VLOOKUP($F253,'Raw Data'!$A:$M,7,0))</f>
        <v/>
      </c>
      <c r="H253" t="str">
        <f>IF(ISNA(VLOOKUP($F253,'Raw Data'!$A:$M,8,0)),"",VLOOKUP($F253,'Raw Data'!$A:$M,8,0))</f>
        <v/>
      </c>
      <c r="I253" t="str">
        <f>IF(ISNA(VLOOKUP($F253,'Raw Data'!$A:$M,9,0)),"",VLOOKUP($F253,'Raw Data'!$A:$M,9,0))</f>
        <v/>
      </c>
      <c r="J253" t="str">
        <f>IF(ISNA(VLOOKUP($F253,'Raw Data'!$A:$M,10,0)),"",VLOOKUP($F253,'Raw Data'!$A:$M,10,0))</f>
        <v/>
      </c>
      <c r="K253" t="str">
        <f>IF(ISNA(VLOOKUP($F253,'Raw Data'!$A:$M,11,0)),"",VLOOKUP($F253,'Raw Data'!$A:$M,11,0))</f>
        <v/>
      </c>
      <c r="L253" t="str">
        <f>IF(ISNA(VLOOKUP($F253,'Raw Data'!$A:$M,12,0)),"",VLOOKUP($F253,'Raw Data'!$A:$M,12,0))</f>
        <v/>
      </c>
      <c r="M253" t="str">
        <f>IF(ISNA(VLOOKUP($F253,'Raw Data'!$A:$M,13,0)),"",VLOOKUP($F253,'Raw Data'!$A:$M,13,0))</f>
        <v/>
      </c>
    </row>
    <row r="254" spans="1:13" x14ac:dyDescent="0.25">
      <c r="A254" t="s">
        <v>37</v>
      </c>
      <c r="B254">
        <v>2014</v>
      </c>
      <c r="C254">
        <v>4</v>
      </c>
      <c r="D254" s="3">
        <v>620</v>
      </c>
      <c r="E254" s="3">
        <v>80</v>
      </c>
      <c r="F254" s="3" t="str">
        <f t="shared" si="3"/>
        <v>FGU62014462080</v>
      </c>
      <c r="G254" t="str">
        <f>IF(ISNA(VLOOKUP($F254,'Raw Data'!$A:$M,7,0)),"",VLOOKUP($F254,'Raw Data'!$A:$M,7,0))</f>
        <v/>
      </c>
      <c r="H254" t="str">
        <f>IF(ISNA(VLOOKUP($F254,'Raw Data'!$A:$M,8,0)),"",VLOOKUP($F254,'Raw Data'!$A:$M,8,0))</f>
        <v/>
      </c>
      <c r="I254" t="str">
        <f>IF(ISNA(VLOOKUP($F254,'Raw Data'!$A:$M,9,0)),"",VLOOKUP($F254,'Raw Data'!$A:$M,9,0))</f>
        <v/>
      </c>
      <c r="J254" t="str">
        <f>IF(ISNA(VLOOKUP($F254,'Raw Data'!$A:$M,10,0)),"",VLOOKUP($F254,'Raw Data'!$A:$M,10,0))</f>
        <v/>
      </c>
      <c r="K254" t="str">
        <f>IF(ISNA(VLOOKUP($F254,'Raw Data'!$A:$M,11,0)),"",VLOOKUP($F254,'Raw Data'!$A:$M,11,0))</f>
        <v/>
      </c>
      <c r="L254" t="str">
        <f>IF(ISNA(VLOOKUP($F254,'Raw Data'!$A:$M,12,0)),"",VLOOKUP($F254,'Raw Data'!$A:$M,12,0))</f>
        <v/>
      </c>
      <c r="M254" t="str">
        <f>IF(ISNA(VLOOKUP($F254,'Raw Data'!$A:$M,13,0)),"",VLOOKUP($F254,'Raw Data'!$A:$M,13,0))</f>
        <v/>
      </c>
    </row>
    <row r="255" spans="1:13" x14ac:dyDescent="0.25">
      <c r="A255" t="s">
        <v>37</v>
      </c>
      <c r="B255">
        <v>2014</v>
      </c>
      <c r="C255">
        <v>4</v>
      </c>
      <c r="D255" s="3">
        <v>640</v>
      </c>
      <c r="E255" s="3">
        <v>80</v>
      </c>
      <c r="F255" s="3" t="str">
        <f t="shared" si="3"/>
        <v>FGU62014464080</v>
      </c>
      <c r="G255" t="str">
        <f>IF(ISNA(VLOOKUP($F255,'Raw Data'!$A:$M,7,0)),"",VLOOKUP($F255,'Raw Data'!$A:$M,7,0))</f>
        <v/>
      </c>
      <c r="H255" t="str">
        <f>IF(ISNA(VLOOKUP($F255,'Raw Data'!$A:$M,8,0)),"",VLOOKUP($F255,'Raw Data'!$A:$M,8,0))</f>
        <v/>
      </c>
      <c r="I255" t="str">
        <f>IF(ISNA(VLOOKUP($F255,'Raw Data'!$A:$M,9,0)),"",VLOOKUP($F255,'Raw Data'!$A:$M,9,0))</f>
        <v/>
      </c>
      <c r="J255" t="str">
        <f>IF(ISNA(VLOOKUP($F255,'Raw Data'!$A:$M,10,0)),"",VLOOKUP($F255,'Raw Data'!$A:$M,10,0))</f>
        <v/>
      </c>
      <c r="K255" t="str">
        <f>IF(ISNA(VLOOKUP($F255,'Raw Data'!$A:$M,11,0)),"",VLOOKUP($F255,'Raw Data'!$A:$M,11,0))</f>
        <v/>
      </c>
      <c r="L255" t="str">
        <f>IF(ISNA(VLOOKUP($F255,'Raw Data'!$A:$M,12,0)),"",VLOOKUP($F255,'Raw Data'!$A:$M,12,0))</f>
        <v/>
      </c>
      <c r="M255" t="str">
        <f>IF(ISNA(VLOOKUP($F255,'Raw Data'!$A:$M,13,0)),"",VLOOKUP($F255,'Raw Data'!$A:$M,13,0))</f>
        <v/>
      </c>
    </row>
    <row r="256" spans="1:13" x14ac:dyDescent="0.25">
      <c r="A256" t="s">
        <v>37</v>
      </c>
      <c r="B256">
        <v>2014</v>
      </c>
      <c r="C256">
        <v>4</v>
      </c>
      <c r="D256" s="3">
        <v>660</v>
      </c>
      <c r="E256" s="3">
        <v>80</v>
      </c>
      <c r="F256" s="3" t="str">
        <f t="shared" si="3"/>
        <v>FGU62014466080</v>
      </c>
      <c r="G256" t="str">
        <f>IF(ISNA(VLOOKUP($F256,'Raw Data'!$A:$M,7,0)),"",VLOOKUP($F256,'Raw Data'!$A:$M,7,0))</f>
        <v/>
      </c>
      <c r="H256" t="str">
        <f>IF(ISNA(VLOOKUP($F256,'Raw Data'!$A:$M,8,0)),"",VLOOKUP($F256,'Raw Data'!$A:$M,8,0))</f>
        <v/>
      </c>
      <c r="I256" t="str">
        <f>IF(ISNA(VLOOKUP($F256,'Raw Data'!$A:$M,9,0)),"",VLOOKUP($F256,'Raw Data'!$A:$M,9,0))</f>
        <v/>
      </c>
      <c r="J256" t="str">
        <f>IF(ISNA(VLOOKUP($F256,'Raw Data'!$A:$M,10,0)),"",VLOOKUP($F256,'Raw Data'!$A:$M,10,0))</f>
        <v/>
      </c>
      <c r="K256" t="str">
        <f>IF(ISNA(VLOOKUP($F256,'Raw Data'!$A:$M,11,0)),"",VLOOKUP($F256,'Raw Data'!$A:$M,11,0))</f>
        <v/>
      </c>
      <c r="L256" t="str">
        <f>IF(ISNA(VLOOKUP($F256,'Raw Data'!$A:$M,12,0)),"",VLOOKUP($F256,'Raw Data'!$A:$M,12,0))</f>
        <v/>
      </c>
      <c r="M256" t="str">
        <f>IF(ISNA(VLOOKUP($F256,'Raw Data'!$A:$M,13,0)),"",VLOOKUP($F256,'Raw Data'!$A:$M,13,0))</f>
        <v/>
      </c>
    </row>
    <row r="257" spans="1:13" x14ac:dyDescent="0.25">
      <c r="A257" t="s">
        <v>37</v>
      </c>
      <c r="B257">
        <v>2014</v>
      </c>
      <c r="C257">
        <v>4</v>
      </c>
      <c r="D257" s="3">
        <v>680</v>
      </c>
      <c r="E257" s="3">
        <v>80</v>
      </c>
      <c r="F257" s="3" t="str">
        <f t="shared" si="3"/>
        <v>FGU62014468080</v>
      </c>
      <c r="G257" t="str">
        <f>IF(ISNA(VLOOKUP($F257,'Raw Data'!$A:$M,7,0)),"",VLOOKUP($F257,'Raw Data'!$A:$M,7,0))</f>
        <v/>
      </c>
      <c r="H257" t="str">
        <f>IF(ISNA(VLOOKUP($F257,'Raw Data'!$A:$M,8,0)),"",VLOOKUP($F257,'Raw Data'!$A:$M,8,0))</f>
        <v/>
      </c>
      <c r="I257" t="str">
        <f>IF(ISNA(VLOOKUP($F257,'Raw Data'!$A:$M,9,0)),"",VLOOKUP($F257,'Raw Data'!$A:$M,9,0))</f>
        <v/>
      </c>
      <c r="J257" t="str">
        <f>IF(ISNA(VLOOKUP($F257,'Raw Data'!$A:$M,10,0)),"",VLOOKUP($F257,'Raw Data'!$A:$M,10,0))</f>
        <v/>
      </c>
      <c r="K257" t="str">
        <f>IF(ISNA(VLOOKUP($F257,'Raw Data'!$A:$M,11,0)),"",VLOOKUP($F257,'Raw Data'!$A:$M,11,0))</f>
        <v/>
      </c>
      <c r="L257" t="str">
        <f>IF(ISNA(VLOOKUP($F257,'Raw Data'!$A:$M,12,0)),"",VLOOKUP($F257,'Raw Data'!$A:$M,12,0))</f>
        <v/>
      </c>
      <c r="M257" t="str">
        <f>IF(ISNA(VLOOKUP($F257,'Raw Data'!$A:$M,13,0)),"",VLOOKUP($F257,'Raw Data'!$A:$M,13,0))</f>
        <v/>
      </c>
    </row>
    <row r="258" spans="1:13" x14ac:dyDescent="0.25">
      <c r="A258" t="s">
        <v>37</v>
      </c>
      <c r="B258">
        <v>2014</v>
      </c>
      <c r="C258">
        <v>4</v>
      </c>
      <c r="D258" s="3">
        <v>700</v>
      </c>
      <c r="E258" s="3">
        <v>80</v>
      </c>
      <c r="F258" s="3" t="str">
        <f t="shared" si="3"/>
        <v>FGU62014470080</v>
      </c>
      <c r="G258" t="str">
        <f>IF(ISNA(VLOOKUP($F258,'Raw Data'!$A:$M,7,0)),"",VLOOKUP($F258,'Raw Data'!$A:$M,7,0))</f>
        <v/>
      </c>
      <c r="H258" t="str">
        <f>IF(ISNA(VLOOKUP($F258,'Raw Data'!$A:$M,8,0)),"",VLOOKUP($F258,'Raw Data'!$A:$M,8,0))</f>
        <v/>
      </c>
      <c r="I258" t="str">
        <f>IF(ISNA(VLOOKUP($F258,'Raw Data'!$A:$M,9,0)),"",VLOOKUP($F258,'Raw Data'!$A:$M,9,0))</f>
        <v/>
      </c>
      <c r="J258" t="str">
        <f>IF(ISNA(VLOOKUP($F258,'Raw Data'!$A:$M,10,0)),"",VLOOKUP($F258,'Raw Data'!$A:$M,10,0))</f>
        <v/>
      </c>
      <c r="K258" t="str">
        <f>IF(ISNA(VLOOKUP($F258,'Raw Data'!$A:$M,11,0)),"",VLOOKUP($F258,'Raw Data'!$A:$M,11,0))</f>
        <v/>
      </c>
      <c r="L258" t="str">
        <f>IF(ISNA(VLOOKUP($F258,'Raw Data'!$A:$M,12,0)),"",VLOOKUP($F258,'Raw Data'!$A:$M,12,0))</f>
        <v/>
      </c>
      <c r="M258" t="str">
        <f>IF(ISNA(VLOOKUP($F258,'Raw Data'!$A:$M,13,0)),"",VLOOKUP($F258,'Raw Data'!$A:$M,13,0))</f>
        <v/>
      </c>
    </row>
    <row r="259" spans="1:13" x14ac:dyDescent="0.25">
      <c r="A259" t="s">
        <v>37</v>
      </c>
      <c r="B259">
        <v>2014</v>
      </c>
      <c r="C259">
        <v>4</v>
      </c>
      <c r="D259" s="3">
        <v>720</v>
      </c>
      <c r="E259" s="3">
        <v>80</v>
      </c>
      <c r="F259" s="3" t="str">
        <f t="shared" si="3"/>
        <v>FGU62014472080</v>
      </c>
      <c r="G259" t="str">
        <f>IF(ISNA(VLOOKUP($F259,'Raw Data'!$A:$M,7,0)),"",VLOOKUP($F259,'Raw Data'!$A:$M,7,0))</f>
        <v/>
      </c>
      <c r="H259" t="str">
        <f>IF(ISNA(VLOOKUP($F259,'Raw Data'!$A:$M,8,0)),"",VLOOKUP($F259,'Raw Data'!$A:$M,8,0))</f>
        <v/>
      </c>
      <c r="I259" t="str">
        <f>IF(ISNA(VLOOKUP($F259,'Raw Data'!$A:$M,9,0)),"",VLOOKUP($F259,'Raw Data'!$A:$M,9,0))</f>
        <v/>
      </c>
      <c r="J259" t="str">
        <f>IF(ISNA(VLOOKUP($F259,'Raw Data'!$A:$M,10,0)),"",VLOOKUP($F259,'Raw Data'!$A:$M,10,0))</f>
        <v/>
      </c>
      <c r="K259" t="str">
        <f>IF(ISNA(VLOOKUP($F259,'Raw Data'!$A:$M,11,0)),"",VLOOKUP($F259,'Raw Data'!$A:$M,11,0))</f>
        <v/>
      </c>
      <c r="L259" t="str">
        <f>IF(ISNA(VLOOKUP($F259,'Raw Data'!$A:$M,12,0)),"",VLOOKUP($F259,'Raw Data'!$A:$M,12,0))</f>
        <v/>
      </c>
      <c r="M259" t="str">
        <f>IF(ISNA(VLOOKUP($F259,'Raw Data'!$A:$M,13,0)),"",VLOOKUP($F259,'Raw Data'!$A:$M,13,0))</f>
        <v/>
      </c>
    </row>
    <row r="260" spans="1:13" x14ac:dyDescent="0.25">
      <c r="A260" t="s">
        <v>37</v>
      </c>
      <c r="B260">
        <v>2014</v>
      </c>
      <c r="C260">
        <v>4</v>
      </c>
      <c r="D260" s="3">
        <v>740</v>
      </c>
      <c r="E260" s="3">
        <v>80</v>
      </c>
      <c r="F260" s="3" t="str">
        <f t="shared" ref="F260:F323" si="4">A260&amp;B260&amp;C260&amp;D260&amp;E260</f>
        <v>FGU62014474080</v>
      </c>
      <c r="G260" t="str">
        <f>IF(ISNA(VLOOKUP($F260,'Raw Data'!$A:$M,7,0)),"",VLOOKUP($F260,'Raw Data'!$A:$M,7,0))</f>
        <v/>
      </c>
      <c r="H260" t="str">
        <f>IF(ISNA(VLOOKUP($F260,'Raw Data'!$A:$M,8,0)),"",VLOOKUP($F260,'Raw Data'!$A:$M,8,0))</f>
        <v/>
      </c>
      <c r="I260" t="str">
        <f>IF(ISNA(VLOOKUP($F260,'Raw Data'!$A:$M,9,0)),"",VLOOKUP($F260,'Raw Data'!$A:$M,9,0))</f>
        <v/>
      </c>
      <c r="J260" t="str">
        <f>IF(ISNA(VLOOKUP($F260,'Raw Data'!$A:$M,10,0)),"",VLOOKUP($F260,'Raw Data'!$A:$M,10,0))</f>
        <v/>
      </c>
      <c r="K260" t="str">
        <f>IF(ISNA(VLOOKUP($F260,'Raw Data'!$A:$M,11,0)),"",VLOOKUP($F260,'Raw Data'!$A:$M,11,0))</f>
        <v/>
      </c>
      <c r="L260" t="str">
        <f>IF(ISNA(VLOOKUP($F260,'Raw Data'!$A:$M,12,0)),"",VLOOKUP($F260,'Raw Data'!$A:$M,12,0))</f>
        <v/>
      </c>
      <c r="M260" t="str">
        <f>IF(ISNA(VLOOKUP($F260,'Raw Data'!$A:$M,13,0)),"",VLOOKUP($F260,'Raw Data'!$A:$M,13,0))</f>
        <v/>
      </c>
    </row>
    <row r="261" spans="1:13" x14ac:dyDescent="0.25">
      <c r="A261" t="s">
        <v>37</v>
      </c>
      <c r="B261">
        <v>2014</v>
      </c>
      <c r="C261">
        <v>4</v>
      </c>
      <c r="D261" s="3">
        <v>760</v>
      </c>
      <c r="E261" s="3">
        <v>80</v>
      </c>
      <c r="F261" s="3" t="str">
        <f t="shared" si="4"/>
        <v>FGU62014476080</v>
      </c>
      <c r="G261" t="str">
        <f>IF(ISNA(VLOOKUP($F261,'Raw Data'!$A:$M,7,0)),"",VLOOKUP($F261,'Raw Data'!$A:$M,7,0))</f>
        <v/>
      </c>
      <c r="H261" t="str">
        <f>IF(ISNA(VLOOKUP($F261,'Raw Data'!$A:$M,8,0)),"",VLOOKUP($F261,'Raw Data'!$A:$M,8,0))</f>
        <v/>
      </c>
      <c r="I261" t="str">
        <f>IF(ISNA(VLOOKUP($F261,'Raw Data'!$A:$M,9,0)),"",VLOOKUP($F261,'Raw Data'!$A:$M,9,0))</f>
        <v/>
      </c>
      <c r="J261" t="str">
        <f>IF(ISNA(VLOOKUP($F261,'Raw Data'!$A:$M,10,0)),"",VLOOKUP($F261,'Raw Data'!$A:$M,10,0))</f>
        <v/>
      </c>
      <c r="K261" t="str">
        <f>IF(ISNA(VLOOKUP($F261,'Raw Data'!$A:$M,11,0)),"",VLOOKUP($F261,'Raw Data'!$A:$M,11,0))</f>
        <v/>
      </c>
      <c r="L261" t="str">
        <f>IF(ISNA(VLOOKUP($F261,'Raw Data'!$A:$M,12,0)),"",VLOOKUP($F261,'Raw Data'!$A:$M,12,0))</f>
        <v/>
      </c>
      <c r="M261" t="str">
        <f>IF(ISNA(VLOOKUP($F261,'Raw Data'!$A:$M,13,0)),"",VLOOKUP($F261,'Raw Data'!$A:$M,13,0))</f>
        <v/>
      </c>
    </row>
    <row r="262" spans="1:13" x14ac:dyDescent="0.25">
      <c r="A262" t="s">
        <v>37</v>
      </c>
      <c r="B262">
        <v>2014</v>
      </c>
      <c r="C262">
        <v>4</v>
      </c>
      <c r="D262" s="3">
        <v>780</v>
      </c>
      <c r="E262" s="3">
        <v>80</v>
      </c>
      <c r="F262" s="3" t="str">
        <f t="shared" si="4"/>
        <v>FGU62014478080</v>
      </c>
      <c r="G262" t="str">
        <f>IF(ISNA(VLOOKUP($F262,'Raw Data'!$A:$M,7,0)),"",VLOOKUP($F262,'Raw Data'!$A:$M,7,0))</f>
        <v/>
      </c>
      <c r="H262" t="str">
        <f>IF(ISNA(VLOOKUP($F262,'Raw Data'!$A:$M,8,0)),"",VLOOKUP($F262,'Raw Data'!$A:$M,8,0))</f>
        <v/>
      </c>
      <c r="I262" t="str">
        <f>IF(ISNA(VLOOKUP($F262,'Raw Data'!$A:$M,9,0)),"",VLOOKUP($F262,'Raw Data'!$A:$M,9,0))</f>
        <v/>
      </c>
      <c r="J262" t="str">
        <f>IF(ISNA(VLOOKUP($F262,'Raw Data'!$A:$M,10,0)),"",VLOOKUP($F262,'Raw Data'!$A:$M,10,0))</f>
        <v/>
      </c>
      <c r="K262" t="str">
        <f>IF(ISNA(VLOOKUP($F262,'Raw Data'!$A:$M,11,0)),"",VLOOKUP($F262,'Raw Data'!$A:$M,11,0))</f>
        <v/>
      </c>
      <c r="L262" t="str">
        <f>IF(ISNA(VLOOKUP($F262,'Raw Data'!$A:$M,12,0)),"",VLOOKUP($F262,'Raw Data'!$A:$M,12,0))</f>
        <v/>
      </c>
      <c r="M262" t="str">
        <f>IF(ISNA(VLOOKUP($F262,'Raw Data'!$A:$M,13,0)),"",VLOOKUP($F262,'Raw Data'!$A:$M,13,0))</f>
        <v/>
      </c>
    </row>
    <row r="263" spans="1:13" x14ac:dyDescent="0.25">
      <c r="A263" t="s">
        <v>37</v>
      </c>
      <c r="B263">
        <v>2014</v>
      </c>
      <c r="C263">
        <v>4</v>
      </c>
      <c r="D263" s="3">
        <v>620</v>
      </c>
      <c r="E263" s="3">
        <v>85</v>
      </c>
      <c r="F263" s="3" t="str">
        <f t="shared" si="4"/>
        <v>FGU62014462085</v>
      </c>
      <c r="G263" t="str">
        <f>IF(ISNA(VLOOKUP($F263,'Raw Data'!$A:$M,7,0)),"",VLOOKUP($F263,'Raw Data'!$A:$M,7,0))</f>
        <v/>
      </c>
      <c r="H263" t="str">
        <f>IF(ISNA(VLOOKUP($F263,'Raw Data'!$A:$M,8,0)),"",VLOOKUP($F263,'Raw Data'!$A:$M,8,0))</f>
        <v/>
      </c>
      <c r="I263" t="str">
        <f>IF(ISNA(VLOOKUP($F263,'Raw Data'!$A:$M,9,0)),"",VLOOKUP($F263,'Raw Data'!$A:$M,9,0))</f>
        <v/>
      </c>
      <c r="J263" t="str">
        <f>IF(ISNA(VLOOKUP($F263,'Raw Data'!$A:$M,10,0)),"",VLOOKUP($F263,'Raw Data'!$A:$M,10,0))</f>
        <v/>
      </c>
      <c r="K263" t="str">
        <f>IF(ISNA(VLOOKUP($F263,'Raw Data'!$A:$M,11,0)),"",VLOOKUP($F263,'Raw Data'!$A:$M,11,0))</f>
        <v/>
      </c>
      <c r="L263" t="str">
        <f>IF(ISNA(VLOOKUP($F263,'Raw Data'!$A:$M,12,0)),"",VLOOKUP($F263,'Raw Data'!$A:$M,12,0))</f>
        <v/>
      </c>
      <c r="M263" t="str">
        <f>IF(ISNA(VLOOKUP($F263,'Raw Data'!$A:$M,13,0)),"",VLOOKUP($F263,'Raw Data'!$A:$M,13,0))</f>
        <v/>
      </c>
    </row>
    <row r="264" spans="1:13" x14ac:dyDescent="0.25">
      <c r="A264" t="s">
        <v>37</v>
      </c>
      <c r="B264">
        <v>2014</v>
      </c>
      <c r="C264">
        <v>4</v>
      </c>
      <c r="D264" s="3">
        <v>640</v>
      </c>
      <c r="E264" s="3">
        <v>85</v>
      </c>
      <c r="F264" s="3" t="str">
        <f t="shared" si="4"/>
        <v>FGU62014464085</v>
      </c>
      <c r="G264" t="str">
        <f>IF(ISNA(VLOOKUP($F264,'Raw Data'!$A:$M,7,0)),"",VLOOKUP($F264,'Raw Data'!$A:$M,7,0))</f>
        <v/>
      </c>
      <c r="H264" t="str">
        <f>IF(ISNA(VLOOKUP($F264,'Raw Data'!$A:$M,8,0)),"",VLOOKUP($F264,'Raw Data'!$A:$M,8,0))</f>
        <v/>
      </c>
      <c r="I264" t="str">
        <f>IF(ISNA(VLOOKUP($F264,'Raw Data'!$A:$M,9,0)),"",VLOOKUP($F264,'Raw Data'!$A:$M,9,0))</f>
        <v/>
      </c>
      <c r="J264" t="str">
        <f>IF(ISNA(VLOOKUP($F264,'Raw Data'!$A:$M,10,0)),"",VLOOKUP($F264,'Raw Data'!$A:$M,10,0))</f>
        <v/>
      </c>
      <c r="K264" t="str">
        <f>IF(ISNA(VLOOKUP($F264,'Raw Data'!$A:$M,11,0)),"",VLOOKUP($F264,'Raw Data'!$A:$M,11,0))</f>
        <v/>
      </c>
      <c r="L264" t="str">
        <f>IF(ISNA(VLOOKUP($F264,'Raw Data'!$A:$M,12,0)),"",VLOOKUP($F264,'Raw Data'!$A:$M,12,0))</f>
        <v/>
      </c>
      <c r="M264" t="str">
        <f>IF(ISNA(VLOOKUP($F264,'Raw Data'!$A:$M,13,0)),"",VLOOKUP($F264,'Raw Data'!$A:$M,13,0))</f>
        <v/>
      </c>
    </row>
    <row r="265" spans="1:13" x14ac:dyDescent="0.25">
      <c r="A265" t="s">
        <v>37</v>
      </c>
      <c r="B265">
        <v>2014</v>
      </c>
      <c r="C265">
        <v>4</v>
      </c>
      <c r="D265" s="3">
        <v>660</v>
      </c>
      <c r="E265" s="3">
        <v>85</v>
      </c>
      <c r="F265" s="3" t="str">
        <f t="shared" si="4"/>
        <v>FGU62014466085</v>
      </c>
      <c r="G265" t="str">
        <f>IF(ISNA(VLOOKUP($F265,'Raw Data'!$A:$M,7,0)),"",VLOOKUP($F265,'Raw Data'!$A:$M,7,0))</f>
        <v/>
      </c>
      <c r="H265" t="str">
        <f>IF(ISNA(VLOOKUP($F265,'Raw Data'!$A:$M,8,0)),"",VLOOKUP($F265,'Raw Data'!$A:$M,8,0))</f>
        <v/>
      </c>
      <c r="I265" t="str">
        <f>IF(ISNA(VLOOKUP($F265,'Raw Data'!$A:$M,9,0)),"",VLOOKUP($F265,'Raw Data'!$A:$M,9,0))</f>
        <v/>
      </c>
      <c r="J265" t="str">
        <f>IF(ISNA(VLOOKUP($F265,'Raw Data'!$A:$M,10,0)),"",VLOOKUP($F265,'Raw Data'!$A:$M,10,0))</f>
        <v/>
      </c>
      <c r="K265" t="str">
        <f>IF(ISNA(VLOOKUP($F265,'Raw Data'!$A:$M,11,0)),"",VLOOKUP($F265,'Raw Data'!$A:$M,11,0))</f>
        <v/>
      </c>
      <c r="L265" t="str">
        <f>IF(ISNA(VLOOKUP($F265,'Raw Data'!$A:$M,12,0)),"",VLOOKUP($F265,'Raw Data'!$A:$M,12,0))</f>
        <v/>
      </c>
      <c r="M265" t="str">
        <f>IF(ISNA(VLOOKUP($F265,'Raw Data'!$A:$M,13,0)),"",VLOOKUP($F265,'Raw Data'!$A:$M,13,0))</f>
        <v/>
      </c>
    </row>
    <row r="266" spans="1:13" x14ac:dyDescent="0.25">
      <c r="A266" t="s">
        <v>37</v>
      </c>
      <c r="B266">
        <v>2014</v>
      </c>
      <c r="C266">
        <v>4</v>
      </c>
      <c r="D266" s="3">
        <v>680</v>
      </c>
      <c r="E266" s="3">
        <v>85</v>
      </c>
      <c r="F266" s="3" t="str">
        <f t="shared" si="4"/>
        <v>FGU62014468085</v>
      </c>
      <c r="G266" t="str">
        <f>IF(ISNA(VLOOKUP($F266,'Raw Data'!$A:$M,7,0)),"",VLOOKUP($F266,'Raw Data'!$A:$M,7,0))</f>
        <v/>
      </c>
      <c r="H266" t="str">
        <f>IF(ISNA(VLOOKUP($F266,'Raw Data'!$A:$M,8,0)),"",VLOOKUP($F266,'Raw Data'!$A:$M,8,0))</f>
        <v/>
      </c>
      <c r="I266" t="str">
        <f>IF(ISNA(VLOOKUP($F266,'Raw Data'!$A:$M,9,0)),"",VLOOKUP($F266,'Raw Data'!$A:$M,9,0))</f>
        <v/>
      </c>
      <c r="J266" t="str">
        <f>IF(ISNA(VLOOKUP($F266,'Raw Data'!$A:$M,10,0)),"",VLOOKUP($F266,'Raw Data'!$A:$M,10,0))</f>
        <v/>
      </c>
      <c r="K266" t="str">
        <f>IF(ISNA(VLOOKUP($F266,'Raw Data'!$A:$M,11,0)),"",VLOOKUP($F266,'Raw Data'!$A:$M,11,0))</f>
        <v/>
      </c>
      <c r="L266" t="str">
        <f>IF(ISNA(VLOOKUP($F266,'Raw Data'!$A:$M,12,0)),"",VLOOKUP($F266,'Raw Data'!$A:$M,12,0))</f>
        <v/>
      </c>
      <c r="M266" t="str">
        <f>IF(ISNA(VLOOKUP($F266,'Raw Data'!$A:$M,13,0)),"",VLOOKUP($F266,'Raw Data'!$A:$M,13,0))</f>
        <v/>
      </c>
    </row>
    <row r="267" spans="1:13" x14ac:dyDescent="0.25">
      <c r="A267" t="s">
        <v>37</v>
      </c>
      <c r="B267">
        <v>2014</v>
      </c>
      <c r="C267">
        <v>4</v>
      </c>
      <c r="D267" s="3">
        <v>700</v>
      </c>
      <c r="E267" s="3">
        <v>85</v>
      </c>
      <c r="F267" s="3" t="str">
        <f t="shared" si="4"/>
        <v>FGU62014470085</v>
      </c>
      <c r="G267" t="str">
        <f>IF(ISNA(VLOOKUP($F267,'Raw Data'!$A:$M,7,0)),"",VLOOKUP($F267,'Raw Data'!$A:$M,7,0))</f>
        <v/>
      </c>
      <c r="H267" t="str">
        <f>IF(ISNA(VLOOKUP($F267,'Raw Data'!$A:$M,8,0)),"",VLOOKUP($F267,'Raw Data'!$A:$M,8,0))</f>
        <v/>
      </c>
      <c r="I267" t="str">
        <f>IF(ISNA(VLOOKUP($F267,'Raw Data'!$A:$M,9,0)),"",VLOOKUP($F267,'Raw Data'!$A:$M,9,0))</f>
        <v/>
      </c>
      <c r="J267" t="str">
        <f>IF(ISNA(VLOOKUP($F267,'Raw Data'!$A:$M,10,0)),"",VLOOKUP($F267,'Raw Data'!$A:$M,10,0))</f>
        <v/>
      </c>
      <c r="K267" t="str">
        <f>IF(ISNA(VLOOKUP($F267,'Raw Data'!$A:$M,11,0)),"",VLOOKUP($F267,'Raw Data'!$A:$M,11,0))</f>
        <v/>
      </c>
      <c r="L267" t="str">
        <f>IF(ISNA(VLOOKUP($F267,'Raw Data'!$A:$M,12,0)),"",VLOOKUP($F267,'Raw Data'!$A:$M,12,0))</f>
        <v/>
      </c>
      <c r="M267" t="str">
        <f>IF(ISNA(VLOOKUP($F267,'Raw Data'!$A:$M,13,0)),"",VLOOKUP($F267,'Raw Data'!$A:$M,13,0))</f>
        <v/>
      </c>
    </row>
    <row r="268" spans="1:13" x14ac:dyDescent="0.25">
      <c r="A268" t="s">
        <v>37</v>
      </c>
      <c r="B268">
        <v>2014</v>
      </c>
      <c r="C268">
        <v>4</v>
      </c>
      <c r="D268" s="3">
        <v>720</v>
      </c>
      <c r="E268" s="3">
        <v>85</v>
      </c>
      <c r="F268" s="3" t="str">
        <f t="shared" si="4"/>
        <v>FGU62014472085</v>
      </c>
      <c r="G268" t="str">
        <f>IF(ISNA(VLOOKUP($F268,'Raw Data'!$A:$M,7,0)),"",VLOOKUP($F268,'Raw Data'!$A:$M,7,0))</f>
        <v/>
      </c>
      <c r="H268" t="str">
        <f>IF(ISNA(VLOOKUP($F268,'Raw Data'!$A:$M,8,0)),"",VLOOKUP($F268,'Raw Data'!$A:$M,8,0))</f>
        <v/>
      </c>
      <c r="I268" t="str">
        <f>IF(ISNA(VLOOKUP($F268,'Raw Data'!$A:$M,9,0)),"",VLOOKUP($F268,'Raw Data'!$A:$M,9,0))</f>
        <v/>
      </c>
      <c r="J268" t="str">
        <f>IF(ISNA(VLOOKUP($F268,'Raw Data'!$A:$M,10,0)),"",VLOOKUP($F268,'Raw Data'!$A:$M,10,0))</f>
        <v/>
      </c>
      <c r="K268" t="str">
        <f>IF(ISNA(VLOOKUP($F268,'Raw Data'!$A:$M,11,0)),"",VLOOKUP($F268,'Raw Data'!$A:$M,11,0))</f>
        <v/>
      </c>
      <c r="L268" t="str">
        <f>IF(ISNA(VLOOKUP($F268,'Raw Data'!$A:$M,12,0)),"",VLOOKUP($F268,'Raw Data'!$A:$M,12,0))</f>
        <v/>
      </c>
      <c r="M268" t="str">
        <f>IF(ISNA(VLOOKUP($F268,'Raw Data'!$A:$M,13,0)),"",VLOOKUP($F268,'Raw Data'!$A:$M,13,0))</f>
        <v/>
      </c>
    </row>
    <row r="269" spans="1:13" x14ac:dyDescent="0.25">
      <c r="A269" t="s">
        <v>37</v>
      </c>
      <c r="B269">
        <v>2014</v>
      </c>
      <c r="C269">
        <v>4</v>
      </c>
      <c r="D269" s="3">
        <v>740</v>
      </c>
      <c r="E269" s="3">
        <v>85</v>
      </c>
      <c r="F269" s="3" t="str">
        <f t="shared" si="4"/>
        <v>FGU62014474085</v>
      </c>
      <c r="G269" t="str">
        <f>IF(ISNA(VLOOKUP($F269,'Raw Data'!$A:$M,7,0)),"",VLOOKUP($F269,'Raw Data'!$A:$M,7,0))</f>
        <v/>
      </c>
      <c r="H269" t="str">
        <f>IF(ISNA(VLOOKUP($F269,'Raw Data'!$A:$M,8,0)),"",VLOOKUP($F269,'Raw Data'!$A:$M,8,0))</f>
        <v/>
      </c>
      <c r="I269" t="str">
        <f>IF(ISNA(VLOOKUP($F269,'Raw Data'!$A:$M,9,0)),"",VLOOKUP($F269,'Raw Data'!$A:$M,9,0))</f>
        <v/>
      </c>
      <c r="J269" t="str">
        <f>IF(ISNA(VLOOKUP($F269,'Raw Data'!$A:$M,10,0)),"",VLOOKUP($F269,'Raw Data'!$A:$M,10,0))</f>
        <v/>
      </c>
      <c r="K269" t="str">
        <f>IF(ISNA(VLOOKUP($F269,'Raw Data'!$A:$M,11,0)),"",VLOOKUP($F269,'Raw Data'!$A:$M,11,0))</f>
        <v/>
      </c>
      <c r="L269" t="str">
        <f>IF(ISNA(VLOOKUP($F269,'Raw Data'!$A:$M,12,0)),"",VLOOKUP($F269,'Raw Data'!$A:$M,12,0))</f>
        <v/>
      </c>
      <c r="M269" t="str">
        <f>IF(ISNA(VLOOKUP($F269,'Raw Data'!$A:$M,13,0)),"",VLOOKUP($F269,'Raw Data'!$A:$M,13,0))</f>
        <v/>
      </c>
    </row>
    <row r="270" spans="1:13" x14ac:dyDescent="0.25">
      <c r="A270" t="s">
        <v>37</v>
      </c>
      <c r="B270">
        <v>2014</v>
      </c>
      <c r="C270">
        <v>4</v>
      </c>
      <c r="D270" s="3">
        <v>760</v>
      </c>
      <c r="E270" s="3">
        <v>85</v>
      </c>
      <c r="F270" s="3" t="str">
        <f t="shared" si="4"/>
        <v>FGU62014476085</v>
      </c>
      <c r="G270" t="str">
        <f>IF(ISNA(VLOOKUP($F270,'Raw Data'!$A:$M,7,0)),"",VLOOKUP($F270,'Raw Data'!$A:$M,7,0))</f>
        <v/>
      </c>
      <c r="H270" t="str">
        <f>IF(ISNA(VLOOKUP($F270,'Raw Data'!$A:$M,8,0)),"",VLOOKUP($F270,'Raw Data'!$A:$M,8,0))</f>
        <v/>
      </c>
      <c r="I270" t="str">
        <f>IF(ISNA(VLOOKUP($F270,'Raw Data'!$A:$M,9,0)),"",VLOOKUP($F270,'Raw Data'!$A:$M,9,0))</f>
        <v/>
      </c>
      <c r="J270" t="str">
        <f>IF(ISNA(VLOOKUP($F270,'Raw Data'!$A:$M,10,0)),"",VLOOKUP($F270,'Raw Data'!$A:$M,10,0))</f>
        <v/>
      </c>
      <c r="K270" t="str">
        <f>IF(ISNA(VLOOKUP($F270,'Raw Data'!$A:$M,11,0)),"",VLOOKUP($F270,'Raw Data'!$A:$M,11,0))</f>
        <v/>
      </c>
      <c r="L270" t="str">
        <f>IF(ISNA(VLOOKUP($F270,'Raw Data'!$A:$M,12,0)),"",VLOOKUP($F270,'Raw Data'!$A:$M,12,0))</f>
        <v/>
      </c>
      <c r="M270" t="str">
        <f>IF(ISNA(VLOOKUP($F270,'Raw Data'!$A:$M,13,0)),"",VLOOKUP($F270,'Raw Data'!$A:$M,13,0))</f>
        <v/>
      </c>
    </row>
    <row r="271" spans="1:13" x14ac:dyDescent="0.25">
      <c r="A271" t="s">
        <v>37</v>
      </c>
      <c r="B271">
        <v>2014</v>
      </c>
      <c r="C271">
        <v>4</v>
      </c>
      <c r="D271" s="3">
        <v>780</v>
      </c>
      <c r="E271" s="3">
        <v>85</v>
      </c>
      <c r="F271" s="3" t="str">
        <f t="shared" si="4"/>
        <v>FGU62014478085</v>
      </c>
      <c r="G271" t="str">
        <f>IF(ISNA(VLOOKUP($F271,'Raw Data'!$A:$M,7,0)),"",VLOOKUP($F271,'Raw Data'!$A:$M,7,0))</f>
        <v/>
      </c>
      <c r="H271" t="str">
        <f>IF(ISNA(VLOOKUP($F271,'Raw Data'!$A:$M,8,0)),"",VLOOKUP($F271,'Raw Data'!$A:$M,8,0))</f>
        <v/>
      </c>
      <c r="I271" t="str">
        <f>IF(ISNA(VLOOKUP($F271,'Raw Data'!$A:$M,9,0)),"",VLOOKUP($F271,'Raw Data'!$A:$M,9,0))</f>
        <v/>
      </c>
      <c r="J271" t="str">
        <f>IF(ISNA(VLOOKUP($F271,'Raw Data'!$A:$M,10,0)),"",VLOOKUP($F271,'Raw Data'!$A:$M,10,0))</f>
        <v/>
      </c>
      <c r="K271" t="str">
        <f>IF(ISNA(VLOOKUP($F271,'Raw Data'!$A:$M,11,0)),"",VLOOKUP($F271,'Raw Data'!$A:$M,11,0))</f>
        <v/>
      </c>
      <c r="L271" t="str">
        <f>IF(ISNA(VLOOKUP($F271,'Raw Data'!$A:$M,12,0)),"",VLOOKUP($F271,'Raw Data'!$A:$M,12,0))</f>
        <v/>
      </c>
      <c r="M271" t="str">
        <f>IF(ISNA(VLOOKUP($F271,'Raw Data'!$A:$M,13,0)),"",VLOOKUP($F271,'Raw Data'!$A:$M,13,0))</f>
        <v/>
      </c>
    </row>
    <row r="272" spans="1:13" x14ac:dyDescent="0.25">
      <c r="A272" t="s">
        <v>37</v>
      </c>
      <c r="B272">
        <v>2014</v>
      </c>
      <c r="C272">
        <v>4</v>
      </c>
      <c r="D272" s="3">
        <v>620</v>
      </c>
      <c r="E272" s="3">
        <v>90</v>
      </c>
      <c r="F272" s="3" t="str">
        <f t="shared" si="4"/>
        <v>FGU62014462090</v>
      </c>
      <c r="G272" t="str">
        <f>IF(ISNA(VLOOKUP($F272,'Raw Data'!$A:$M,7,0)),"",VLOOKUP($F272,'Raw Data'!$A:$M,7,0))</f>
        <v/>
      </c>
      <c r="H272" t="str">
        <f>IF(ISNA(VLOOKUP($F272,'Raw Data'!$A:$M,8,0)),"",VLOOKUP($F272,'Raw Data'!$A:$M,8,0))</f>
        <v/>
      </c>
      <c r="I272" t="str">
        <f>IF(ISNA(VLOOKUP($F272,'Raw Data'!$A:$M,9,0)),"",VLOOKUP($F272,'Raw Data'!$A:$M,9,0))</f>
        <v/>
      </c>
      <c r="J272" t="str">
        <f>IF(ISNA(VLOOKUP($F272,'Raw Data'!$A:$M,10,0)),"",VLOOKUP($F272,'Raw Data'!$A:$M,10,0))</f>
        <v/>
      </c>
      <c r="K272" t="str">
        <f>IF(ISNA(VLOOKUP($F272,'Raw Data'!$A:$M,11,0)),"",VLOOKUP($F272,'Raw Data'!$A:$M,11,0))</f>
        <v/>
      </c>
      <c r="L272" t="str">
        <f>IF(ISNA(VLOOKUP($F272,'Raw Data'!$A:$M,12,0)),"",VLOOKUP($F272,'Raw Data'!$A:$M,12,0))</f>
        <v/>
      </c>
      <c r="M272" t="str">
        <f>IF(ISNA(VLOOKUP($F272,'Raw Data'!$A:$M,13,0)),"",VLOOKUP($F272,'Raw Data'!$A:$M,13,0))</f>
        <v/>
      </c>
    </row>
    <row r="273" spans="1:13" x14ac:dyDescent="0.25">
      <c r="A273" t="s">
        <v>37</v>
      </c>
      <c r="B273">
        <v>2014</v>
      </c>
      <c r="C273">
        <v>4</v>
      </c>
      <c r="D273" s="3">
        <v>640</v>
      </c>
      <c r="E273" s="3">
        <v>90</v>
      </c>
      <c r="F273" s="3" t="str">
        <f t="shared" si="4"/>
        <v>FGU62014464090</v>
      </c>
      <c r="G273" t="str">
        <f>IF(ISNA(VLOOKUP($F273,'Raw Data'!$A:$M,7,0)),"",VLOOKUP($F273,'Raw Data'!$A:$M,7,0))</f>
        <v/>
      </c>
      <c r="H273" t="str">
        <f>IF(ISNA(VLOOKUP($F273,'Raw Data'!$A:$M,8,0)),"",VLOOKUP($F273,'Raw Data'!$A:$M,8,0))</f>
        <v/>
      </c>
      <c r="I273" t="str">
        <f>IF(ISNA(VLOOKUP($F273,'Raw Data'!$A:$M,9,0)),"",VLOOKUP($F273,'Raw Data'!$A:$M,9,0))</f>
        <v/>
      </c>
      <c r="J273" t="str">
        <f>IF(ISNA(VLOOKUP($F273,'Raw Data'!$A:$M,10,0)),"",VLOOKUP($F273,'Raw Data'!$A:$M,10,0))</f>
        <v/>
      </c>
      <c r="K273" t="str">
        <f>IF(ISNA(VLOOKUP($F273,'Raw Data'!$A:$M,11,0)),"",VLOOKUP($F273,'Raw Data'!$A:$M,11,0))</f>
        <v/>
      </c>
      <c r="L273" t="str">
        <f>IF(ISNA(VLOOKUP($F273,'Raw Data'!$A:$M,12,0)),"",VLOOKUP($F273,'Raw Data'!$A:$M,12,0))</f>
        <v/>
      </c>
      <c r="M273" t="str">
        <f>IF(ISNA(VLOOKUP($F273,'Raw Data'!$A:$M,13,0)),"",VLOOKUP($F273,'Raw Data'!$A:$M,13,0))</f>
        <v/>
      </c>
    </row>
    <row r="274" spans="1:13" x14ac:dyDescent="0.25">
      <c r="A274" t="s">
        <v>37</v>
      </c>
      <c r="B274">
        <v>2014</v>
      </c>
      <c r="C274">
        <v>4</v>
      </c>
      <c r="D274" s="3">
        <v>660</v>
      </c>
      <c r="E274" s="3">
        <v>90</v>
      </c>
      <c r="F274" s="3" t="str">
        <f t="shared" si="4"/>
        <v>FGU62014466090</v>
      </c>
      <c r="G274" t="str">
        <f>IF(ISNA(VLOOKUP($F274,'Raw Data'!$A:$M,7,0)),"",VLOOKUP($F274,'Raw Data'!$A:$M,7,0))</f>
        <v/>
      </c>
      <c r="H274" t="str">
        <f>IF(ISNA(VLOOKUP($F274,'Raw Data'!$A:$M,8,0)),"",VLOOKUP($F274,'Raw Data'!$A:$M,8,0))</f>
        <v/>
      </c>
      <c r="I274" t="str">
        <f>IF(ISNA(VLOOKUP($F274,'Raw Data'!$A:$M,9,0)),"",VLOOKUP($F274,'Raw Data'!$A:$M,9,0))</f>
        <v/>
      </c>
      <c r="J274" t="str">
        <f>IF(ISNA(VLOOKUP($F274,'Raw Data'!$A:$M,10,0)),"",VLOOKUP($F274,'Raw Data'!$A:$M,10,0))</f>
        <v/>
      </c>
      <c r="K274" t="str">
        <f>IF(ISNA(VLOOKUP($F274,'Raw Data'!$A:$M,11,0)),"",VLOOKUP($F274,'Raw Data'!$A:$M,11,0))</f>
        <v/>
      </c>
      <c r="L274" t="str">
        <f>IF(ISNA(VLOOKUP($F274,'Raw Data'!$A:$M,12,0)),"",VLOOKUP($F274,'Raw Data'!$A:$M,12,0))</f>
        <v/>
      </c>
      <c r="M274" t="str">
        <f>IF(ISNA(VLOOKUP($F274,'Raw Data'!$A:$M,13,0)),"",VLOOKUP($F274,'Raw Data'!$A:$M,13,0))</f>
        <v/>
      </c>
    </row>
    <row r="275" spans="1:13" x14ac:dyDescent="0.25">
      <c r="A275" t="s">
        <v>37</v>
      </c>
      <c r="B275">
        <v>2014</v>
      </c>
      <c r="C275">
        <v>4</v>
      </c>
      <c r="D275" s="3">
        <v>680</v>
      </c>
      <c r="E275" s="3">
        <v>90</v>
      </c>
      <c r="F275" s="3" t="str">
        <f t="shared" si="4"/>
        <v>FGU62014468090</v>
      </c>
      <c r="G275" t="str">
        <f>IF(ISNA(VLOOKUP($F275,'Raw Data'!$A:$M,7,0)),"",VLOOKUP($F275,'Raw Data'!$A:$M,7,0))</f>
        <v/>
      </c>
      <c r="H275" t="str">
        <f>IF(ISNA(VLOOKUP($F275,'Raw Data'!$A:$M,8,0)),"",VLOOKUP($F275,'Raw Data'!$A:$M,8,0))</f>
        <v/>
      </c>
      <c r="I275" t="str">
        <f>IF(ISNA(VLOOKUP($F275,'Raw Data'!$A:$M,9,0)),"",VLOOKUP($F275,'Raw Data'!$A:$M,9,0))</f>
        <v/>
      </c>
      <c r="J275" t="str">
        <f>IF(ISNA(VLOOKUP($F275,'Raw Data'!$A:$M,10,0)),"",VLOOKUP($F275,'Raw Data'!$A:$M,10,0))</f>
        <v/>
      </c>
      <c r="K275" t="str">
        <f>IF(ISNA(VLOOKUP($F275,'Raw Data'!$A:$M,11,0)),"",VLOOKUP($F275,'Raw Data'!$A:$M,11,0))</f>
        <v/>
      </c>
      <c r="L275" t="str">
        <f>IF(ISNA(VLOOKUP($F275,'Raw Data'!$A:$M,12,0)),"",VLOOKUP($F275,'Raw Data'!$A:$M,12,0))</f>
        <v/>
      </c>
      <c r="M275" t="str">
        <f>IF(ISNA(VLOOKUP($F275,'Raw Data'!$A:$M,13,0)),"",VLOOKUP($F275,'Raw Data'!$A:$M,13,0))</f>
        <v/>
      </c>
    </row>
    <row r="276" spans="1:13" x14ac:dyDescent="0.25">
      <c r="A276" t="s">
        <v>37</v>
      </c>
      <c r="B276">
        <v>2014</v>
      </c>
      <c r="C276">
        <v>4</v>
      </c>
      <c r="D276" s="3">
        <v>700</v>
      </c>
      <c r="E276" s="3">
        <v>90</v>
      </c>
      <c r="F276" s="3" t="str">
        <f t="shared" si="4"/>
        <v>FGU62014470090</v>
      </c>
      <c r="G276" t="str">
        <f>IF(ISNA(VLOOKUP($F276,'Raw Data'!$A:$M,7,0)),"",VLOOKUP($F276,'Raw Data'!$A:$M,7,0))</f>
        <v/>
      </c>
      <c r="H276" t="str">
        <f>IF(ISNA(VLOOKUP($F276,'Raw Data'!$A:$M,8,0)),"",VLOOKUP($F276,'Raw Data'!$A:$M,8,0))</f>
        <v/>
      </c>
      <c r="I276" t="str">
        <f>IF(ISNA(VLOOKUP($F276,'Raw Data'!$A:$M,9,0)),"",VLOOKUP($F276,'Raw Data'!$A:$M,9,0))</f>
        <v/>
      </c>
      <c r="J276" t="str">
        <f>IF(ISNA(VLOOKUP($F276,'Raw Data'!$A:$M,10,0)),"",VLOOKUP($F276,'Raw Data'!$A:$M,10,0))</f>
        <v/>
      </c>
      <c r="K276" t="str">
        <f>IF(ISNA(VLOOKUP($F276,'Raw Data'!$A:$M,11,0)),"",VLOOKUP($F276,'Raw Data'!$A:$M,11,0))</f>
        <v/>
      </c>
      <c r="L276" t="str">
        <f>IF(ISNA(VLOOKUP($F276,'Raw Data'!$A:$M,12,0)),"",VLOOKUP($F276,'Raw Data'!$A:$M,12,0))</f>
        <v/>
      </c>
      <c r="M276" t="str">
        <f>IF(ISNA(VLOOKUP($F276,'Raw Data'!$A:$M,13,0)),"",VLOOKUP($F276,'Raw Data'!$A:$M,13,0))</f>
        <v/>
      </c>
    </row>
    <row r="277" spans="1:13" x14ac:dyDescent="0.25">
      <c r="A277" t="s">
        <v>37</v>
      </c>
      <c r="B277">
        <v>2014</v>
      </c>
      <c r="C277">
        <v>4</v>
      </c>
      <c r="D277" s="3">
        <v>720</v>
      </c>
      <c r="E277" s="3">
        <v>90</v>
      </c>
      <c r="F277" s="3" t="str">
        <f t="shared" si="4"/>
        <v>FGU62014472090</v>
      </c>
      <c r="G277" t="str">
        <f>IF(ISNA(VLOOKUP($F277,'Raw Data'!$A:$M,7,0)),"",VLOOKUP($F277,'Raw Data'!$A:$M,7,0))</f>
        <v/>
      </c>
      <c r="H277" t="str">
        <f>IF(ISNA(VLOOKUP($F277,'Raw Data'!$A:$M,8,0)),"",VLOOKUP($F277,'Raw Data'!$A:$M,8,0))</f>
        <v/>
      </c>
      <c r="I277" t="str">
        <f>IF(ISNA(VLOOKUP($F277,'Raw Data'!$A:$M,9,0)),"",VLOOKUP($F277,'Raw Data'!$A:$M,9,0))</f>
        <v/>
      </c>
      <c r="J277" t="str">
        <f>IF(ISNA(VLOOKUP($F277,'Raw Data'!$A:$M,10,0)),"",VLOOKUP($F277,'Raw Data'!$A:$M,10,0))</f>
        <v/>
      </c>
      <c r="K277" t="str">
        <f>IF(ISNA(VLOOKUP($F277,'Raw Data'!$A:$M,11,0)),"",VLOOKUP($F277,'Raw Data'!$A:$M,11,0))</f>
        <v/>
      </c>
      <c r="L277" t="str">
        <f>IF(ISNA(VLOOKUP($F277,'Raw Data'!$A:$M,12,0)),"",VLOOKUP($F277,'Raw Data'!$A:$M,12,0))</f>
        <v/>
      </c>
      <c r="M277" t="str">
        <f>IF(ISNA(VLOOKUP($F277,'Raw Data'!$A:$M,13,0)),"",VLOOKUP($F277,'Raw Data'!$A:$M,13,0))</f>
        <v/>
      </c>
    </row>
    <row r="278" spans="1:13" x14ac:dyDescent="0.25">
      <c r="A278" t="s">
        <v>37</v>
      </c>
      <c r="B278">
        <v>2014</v>
      </c>
      <c r="C278">
        <v>4</v>
      </c>
      <c r="D278" s="3">
        <v>740</v>
      </c>
      <c r="E278" s="3">
        <v>90</v>
      </c>
      <c r="F278" s="3" t="str">
        <f t="shared" si="4"/>
        <v>FGU62014474090</v>
      </c>
      <c r="G278" t="str">
        <f>IF(ISNA(VLOOKUP($F278,'Raw Data'!$A:$M,7,0)),"",VLOOKUP($F278,'Raw Data'!$A:$M,7,0))</f>
        <v/>
      </c>
      <c r="H278" t="str">
        <f>IF(ISNA(VLOOKUP($F278,'Raw Data'!$A:$M,8,0)),"",VLOOKUP($F278,'Raw Data'!$A:$M,8,0))</f>
        <v/>
      </c>
      <c r="I278" t="str">
        <f>IF(ISNA(VLOOKUP($F278,'Raw Data'!$A:$M,9,0)),"",VLOOKUP($F278,'Raw Data'!$A:$M,9,0))</f>
        <v/>
      </c>
      <c r="J278" t="str">
        <f>IF(ISNA(VLOOKUP($F278,'Raw Data'!$A:$M,10,0)),"",VLOOKUP($F278,'Raw Data'!$A:$M,10,0))</f>
        <v/>
      </c>
      <c r="K278" t="str">
        <f>IF(ISNA(VLOOKUP($F278,'Raw Data'!$A:$M,11,0)),"",VLOOKUP($F278,'Raw Data'!$A:$M,11,0))</f>
        <v/>
      </c>
      <c r="L278" t="str">
        <f>IF(ISNA(VLOOKUP($F278,'Raw Data'!$A:$M,12,0)),"",VLOOKUP($F278,'Raw Data'!$A:$M,12,0))</f>
        <v/>
      </c>
      <c r="M278" t="str">
        <f>IF(ISNA(VLOOKUP($F278,'Raw Data'!$A:$M,13,0)),"",VLOOKUP($F278,'Raw Data'!$A:$M,13,0))</f>
        <v/>
      </c>
    </row>
    <row r="279" spans="1:13" x14ac:dyDescent="0.25">
      <c r="A279" t="s">
        <v>37</v>
      </c>
      <c r="B279">
        <v>2014</v>
      </c>
      <c r="C279">
        <v>4</v>
      </c>
      <c r="D279" s="3">
        <v>760</v>
      </c>
      <c r="E279" s="3">
        <v>90</v>
      </c>
      <c r="F279" s="3" t="str">
        <f t="shared" si="4"/>
        <v>FGU62014476090</v>
      </c>
      <c r="G279" t="str">
        <f>IF(ISNA(VLOOKUP($F279,'Raw Data'!$A:$M,7,0)),"",VLOOKUP($F279,'Raw Data'!$A:$M,7,0))</f>
        <v/>
      </c>
      <c r="H279" t="str">
        <f>IF(ISNA(VLOOKUP($F279,'Raw Data'!$A:$M,8,0)),"",VLOOKUP($F279,'Raw Data'!$A:$M,8,0))</f>
        <v/>
      </c>
      <c r="I279" t="str">
        <f>IF(ISNA(VLOOKUP($F279,'Raw Data'!$A:$M,9,0)),"",VLOOKUP($F279,'Raw Data'!$A:$M,9,0))</f>
        <v/>
      </c>
      <c r="J279" t="str">
        <f>IF(ISNA(VLOOKUP($F279,'Raw Data'!$A:$M,10,0)),"",VLOOKUP($F279,'Raw Data'!$A:$M,10,0))</f>
        <v/>
      </c>
      <c r="K279" t="str">
        <f>IF(ISNA(VLOOKUP($F279,'Raw Data'!$A:$M,11,0)),"",VLOOKUP($F279,'Raw Data'!$A:$M,11,0))</f>
        <v/>
      </c>
      <c r="L279" t="str">
        <f>IF(ISNA(VLOOKUP($F279,'Raw Data'!$A:$M,12,0)),"",VLOOKUP($F279,'Raw Data'!$A:$M,12,0))</f>
        <v/>
      </c>
      <c r="M279" t="str">
        <f>IF(ISNA(VLOOKUP($F279,'Raw Data'!$A:$M,13,0)),"",VLOOKUP($F279,'Raw Data'!$A:$M,13,0))</f>
        <v/>
      </c>
    </row>
    <row r="280" spans="1:13" x14ac:dyDescent="0.25">
      <c r="A280" t="s">
        <v>37</v>
      </c>
      <c r="B280">
        <v>2014</v>
      </c>
      <c r="C280">
        <v>4</v>
      </c>
      <c r="D280" s="3">
        <v>780</v>
      </c>
      <c r="E280" s="3">
        <v>90</v>
      </c>
      <c r="F280" s="3" t="str">
        <f t="shared" si="4"/>
        <v>FGU62014478090</v>
      </c>
      <c r="G280" t="str">
        <f>IF(ISNA(VLOOKUP($F280,'Raw Data'!$A:$M,7,0)),"",VLOOKUP($F280,'Raw Data'!$A:$M,7,0))</f>
        <v/>
      </c>
      <c r="H280" t="str">
        <f>IF(ISNA(VLOOKUP($F280,'Raw Data'!$A:$M,8,0)),"",VLOOKUP($F280,'Raw Data'!$A:$M,8,0))</f>
        <v/>
      </c>
      <c r="I280" t="str">
        <f>IF(ISNA(VLOOKUP($F280,'Raw Data'!$A:$M,9,0)),"",VLOOKUP($F280,'Raw Data'!$A:$M,9,0))</f>
        <v/>
      </c>
      <c r="J280" t="str">
        <f>IF(ISNA(VLOOKUP($F280,'Raw Data'!$A:$M,10,0)),"",VLOOKUP($F280,'Raw Data'!$A:$M,10,0))</f>
        <v/>
      </c>
      <c r="K280" t="str">
        <f>IF(ISNA(VLOOKUP($F280,'Raw Data'!$A:$M,11,0)),"",VLOOKUP($F280,'Raw Data'!$A:$M,11,0))</f>
        <v/>
      </c>
      <c r="L280" t="str">
        <f>IF(ISNA(VLOOKUP($F280,'Raw Data'!$A:$M,12,0)),"",VLOOKUP($F280,'Raw Data'!$A:$M,12,0))</f>
        <v/>
      </c>
      <c r="M280" t="str">
        <f>IF(ISNA(VLOOKUP($F280,'Raw Data'!$A:$M,13,0)),"",VLOOKUP($F280,'Raw Data'!$A:$M,13,0))</f>
        <v/>
      </c>
    </row>
    <row r="281" spans="1:13" x14ac:dyDescent="0.25">
      <c r="A281" t="s">
        <v>37</v>
      </c>
      <c r="B281">
        <v>2014</v>
      </c>
      <c r="C281">
        <v>4</v>
      </c>
      <c r="D281" s="3">
        <v>620</v>
      </c>
      <c r="E281" s="3">
        <v>95</v>
      </c>
      <c r="F281" s="3" t="str">
        <f t="shared" si="4"/>
        <v>FGU62014462095</v>
      </c>
      <c r="G281" t="str">
        <f>IF(ISNA(VLOOKUP($F281,'Raw Data'!$A:$M,7,0)),"",VLOOKUP($F281,'Raw Data'!$A:$M,7,0))</f>
        <v/>
      </c>
      <c r="H281" t="str">
        <f>IF(ISNA(VLOOKUP($F281,'Raw Data'!$A:$M,8,0)),"",VLOOKUP($F281,'Raw Data'!$A:$M,8,0))</f>
        <v/>
      </c>
      <c r="I281" t="str">
        <f>IF(ISNA(VLOOKUP($F281,'Raw Data'!$A:$M,9,0)),"",VLOOKUP($F281,'Raw Data'!$A:$M,9,0))</f>
        <v/>
      </c>
      <c r="J281" t="str">
        <f>IF(ISNA(VLOOKUP($F281,'Raw Data'!$A:$M,10,0)),"",VLOOKUP($F281,'Raw Data'!$A:$M,10,0))</f>
        <v/>
      </c>
      <c r="K281" t="str">
        <f>IF(ISNA(VLOOKUP($F281,'Raw Data'!$A:$M,11,0)),"",VLOOKUP($F281,'Raw Data'!$A:$M,11,0))</f>
        <v/>
      </c>
      <c r="L281" t="str">
        <f>IF(ISNA(VLOOKUP($F281,'Raw Data'!$A:$M,12,0)),"",VLOOKUP($F281,'Raw Data'!$A:$M,12,0))</f>
        <v/>
      </c>
      <c r="M281" t="str">
        <f>IF(ISNA(VLOOKUP($F281,'Raw Data'!$A:$M,13,0)),"",VLOOKUP($F281,'Raw Data'!$A:$M,13,0))</f>
        <v/>
      </c>
    </row>
    <row r="282" spans="1:13" x14ac:dyDescent="0.25">
      <c r="A282" t="s">
        <v>37</v>
      </c>
      <c r="B282">
        <v>2014</v>
      </c>
      <c r="C282">
        <v>4</v>
      </c>
      <c r="D282" s="3">
        <v>640</v>
      </c>
      <c r="E282" s="3">
        <v>95</v>
      </c>
      <c r="F282" s="3" t="str">
        <f t="shared" si="4"/>
        <v>FGU62014464095</v>
      </c>
      <c r="G282" t="str">
        <f>IF(ISNA(VLOOKUP($F282,'Raw Data'!$A:$M,7,0)),"",VLOOKUP($F282,'Raw Data'!$A:$M,7,0))</f>
        <v/>
      </c>
      <c r="H282" t="str">
        <f>IF(ISNA(VLOOKUP($F282,'Raw Data'!$A:$M,8,0)),"",VLOOKUP($F282,'Raw Data'!$A:$M,8,0))</f>
        <v/>
      </c>
      <c r="I282" t="str">
        <f>IF(ISNA(VLOOKUP($F282,'Raw Data'!$A:$M,9,0)),"",VLOOKUP($F282,'Raw Data'!$A:$M,9,0))</f>
        <v/>
      </c>
      <c r="J282" t="str">
        <f>IF(ISNA(VLOOKUP($F282,'Raw Data'!$A:$M,10,0)),"",VLOOKUP($F282,'Raw Data'!$A:$M,10,0))</f>
        <v/>
      </c>
      <c r="K282" t="str">
        <f>IF(ISNA(VLOOKUP($F282,'Raw Data'!$A:$M,11,0)),"",VLOOKUP($F282,'Raw Data'!$A:$M,11,0))</f>
        <v/>
      </c>
      <c r="L282" t="str">
        <f>IF(ISNA(VLOOKUP($F282,'Raw Data'!$A:$M,12,0)),"",VLOOKUP($F282,'Raw Data'!$A:$M,12,0))</f>
        <v/>
      </c>
      <c r="M282" t="str">
        <f>IF(ISNA(VLOOKUP($F282,'Raw Data'!$A:$M,13,0)),"",VLOOKUP($F282,'Raw Data'!$A:$M,13,0))</f>
        <v/>
      </c>
    </row>
    <row r="283" spans="1:13" x14ac:dyDescent="0.25">
      <c r="A283" t="s">
        <v>37</v>
      </c>
      <c r="B283">
        <v>2014</v>
      </c>
      <c r="C283">
        <v>4</v>
      </c>
      <c r="D283" s="3">
        <v>660</v>
      </c>
      <c r="E283" s="3">
        <v>95</v>
      </c>
      <c r="F283" s="3" t="str">
        <f t="shared" si="4"/>
        <v>FGU62014466095</v>
      </c>
      <c r="G283" t="str">
        <f>IF(ISNA(VLOOKUP($F283,'Raw Data'!$A:$M,7,0)),"",VLOOKUP($F283,'Raw Data'!$A:$M,7,0))</f>
        <v/>
      </c>
      <c r="H283" t="str">
        <f>IF(ISNA(VLOOKUP($F283,'Raw Data'!$A:$M,8,0)),"",VLOOKUP($F283,'Raw Data'!$A:$M,8,0))</f>
        <v/>
      </c>
      <c r="I283" t="str">
        <f>IF(ISNA(VLOOKUP($F283,'Raw Data'!$A:$M,9,0)),"",VLOOKUP($F283,'Raw Data'!$A:$M,9,0))</f>
        <v/>
      </c>
      <c r="J283" t="str">
        <f>IF(ISNA(VLOOKUP($F283,'Raw Data'!$A:$M,10,0)),"",VLOOKUP($F283,'Raw Data'!$A:$M,10,0))</f>
        <v/>
      </c>
      <c r="K283" t="str">
        <f>IF(ISNA(VLOOKUP($F283,'Raw Data'!$A:$M,11,0)),"",VLOOKUP($F283,'Raw Data'!$A:$M,11,0))</f>
        <v/>
      </c>
      <c r="L283" t="str">
        <f>IF(ISNA(VLOOKUP($F283,'Raw Data'!$A:$M,12,0)),"",VLOOKUP($F283,'Raw Data'!$A:$M,12,0))</f>
        <v/>
      </c>
      <c r="M283" t="str">
        <f>IF(ISNA(VLOOKUP($F283,'Raw Data'!$A:$M,13,0)),"",VLOOKUP($F283,'Raw Data'!$A:$M,13,0))</f>
        <v/>
      </c>
    </row>
    <row r="284" spans="1:13" x14ac:dyDescent="0.25">
      <c r="A284" t="s">
        <v>37</v>
      </c>
      <c r="B284">
        <v>2014</v>
      </c>
      <c r="C284">
        <v>4</v>
      </c>
      <c r="D284" s="3">
        <v>680</v>
      </c>
      <c r="E284" s="3">
        <v>95</v>
      </c>
      <c r="F284" s="3" t="str">
        <f t="shared" si="4"/>
        <v>FGU62014468095</v>
      </c>
      <c r="G284" t="str">
        <f>IF(ISNA(VLOOKUP($F284,'Raw Data'!$A:$M,7,0)),"",VLOOKUP($F284,'Raw Data'!$A:$M,7,0))</f>
        <v/>
      </c>
      <c r="H284" t="str">
        <f>IF(ISNA(VLOOKUP($F284,'Raw Data'!$A:$M,8,0)),"",VLOOKUP($F284,'Raw Data'!$A:$M,8,0))</f>
        <v/>
      </c>
      <c r="I284" t="str">
        <f>IF(ISNA(VLOOKUP($F284,'Raw Data'!$A:$M,9,0)),"",VLOOKUP($F284,'Raw Data'!$A:$M,9,0))</f>
        <v/>
      </c>
      <c r="J284" t="str">
        <f>IF(ISNA(VLOOKUP($F284,'Raw Data'!$A:$M,10,0)),"",VLOOKUP($F284,'Raw Data'!$A:$M,10,0))</f>
        <v/>
      </c>
      <c r="K284" t="str">
        <f>IF(ISNA(VLOOKUP($F284,'Raw Data'!$A:$M,11,0)),"",VLOOKUP($F284,'Raw Data'!$A:$M,11,0))</f>
        <v/>
      </c>
      <c r="L284" t="str">
        <f>IF(ISNA(VLOOKUP($F284,'Raw Data'!$A:$M,12,0)),"",VLOOKUP($F284,'Raw Data'!$A:$M,12,0))</f>
        <v/>
      </c>
      <c r="M284" t="str">
        <f>IF(ISNA(VLOOKUP($F284,'Raw Data'!$A:$M,13,0)),"",VLOOKUP($F284,'Raw Data'!$A:$M,13,0))</f>
        <v/>
      </c>
    </row>
    <row r="285" spans="1:13" x14ac:dyDescent="0.25">
      <c r="A285" t="s">
        <v>37</v>
      </c>
      <c r="B285">
        <v>2014</v>
      </c>
      <c r="C285">
        <v>4</v>
      </c>
      <c r="D285" s="3">
        <v>700</v>
      </c>
      <c r="E285" s="3">
        <v>95</v>
      </c>
      <c r="F285" s="3" t="str">
        <f t="shared" si="4"/>
        <v>FGU62014470095</v>
      </c>
      <c r="G285" t="str">
        <f>IF(ISNA(VLOOKUP($F285,'Raw Data'!$A:$M,7,0)),"",VLOOKUP($F285,'Raw Data'!$A:$M,7,0))</f>
        <v/>
      </c>
      <c r="H285" t="str">
        <f>IF(ISNA(VLOOKUP($F285,'Raw Data'!$A:$M,8,0)),"",VLOOKUP($F285,'Raw Data'!$A:$M,8,0))</f>
        <v/>
      </c>
      <c r="I285" t="str">
        <f>IF(ISNA(VLOOKUP($F285,'Raw Data'!$A:$M,9,0)),"",VLOOKUP($F285,'Raw Data'!$A:$M,9,0))</f>
        <v/>
      </c>
      <c r="J285" t="str">
        <f>IF(ISNA(VLOOKUP($F285,'Raw Data'!$A:$M,10,0)),"",VLOOKUP($F285,'Raw Data'!$A:$M,10,0))</f>
        <v/>
      </c>
      <c r="K285" t="str">
        <f>IF(ISNA(VLOOKUP($F285,'Raw Data'!$A:$M,11,0)),"",VLOOKUP($F285,'Raw Data'!$A:$M,11,0))</f>
        <v/>
      </c>
      <c r="L285" t="str">
        <f>IF(ISNA(VLOOKUP($F285,'Raw Data'!$A:$M,12,0)),"",VLOOKUP($F285,'Raw Data'!$A:$M,12,0))</f>
        <v/>
      </c>
      <c r="M285" t="str">
        <f>IF(ISNA(VLOOKUP($F285,'Raw Data'!$A:$M,13,0)),"",VLOOKUP($F285,'Raw Data'!$A:$M,13,0))</f>
        <v/>
      </c>
    </row>
    <row r="286" spans="1:13" x14ac:dyDescent="0.25">
      <c r="A286" t="s">
        <v>37</v>
      </c>
      <c r="B286">
        <v>2014</v>
      </c>
      <c r="C286">
        <v>4</v>
      </c>
      <c r="D286" s="3">
        <v>720</v>
      </c>
      <c r="E286" s="3">
        <v>95</v>
      </c>
      <c r="F286" s="3" t="str">
        <f t="shared" si="4"/>
        <v>FGU62014472095</v>
      </c>
      <c r="G286" t="str">
        <f>IF(ISNA(VLOOKUP($F286,'Raw Data'!$A:$M,7,0)),"",VLOOKUP($F286,'Raw Data'!$A:$M,7,0))</f>
        <v/>
      </c>
      <c r="H286" t="str">
        <f>IF(ISNA(VLOOKUP($F286,'Raw Data'!$A:$M,8,0)),"",VLOOKUP($F286,'Raw Data'!$A:$M,8,0))</f>
        <v/>
      </c>
      <c r="I286" t="str">
        <f>IF(ISNA(VLOOKUP($F286,'Raw Data'!$A:$M,9,0)),"",VLOOKUP($F286,'Raw Data'!$A:$M,9,0))</f>
        <v/>
      </c>
      <c r="J286" t="str">
        <f>IF(ISNA(VLOOKUP($F286,'Raw Data'!$A:$M,10,0)),"",VLOOKUP($F286,'Raw Data'!$A:$M,10,0))</f>
        <v/>
      </c>
      <c r="K286" t="str">
        <f>IF(ISNA(VLOOKUP($F286,'Raw Data'!$A:$M,11,0)),"",VLOOKUP($F286,'Raw Data'!$A:$M,11,0))</f>
        <v/>
      </c>
      <c r="L286" t="str">
        <f>IF(ISNA(VLOOKUP($F286,'Raw Data'!$A:$M,12,0)),"",VLOOKUP($F286,'Raw Data'!$A:$M,12,0))</f>
        <v/>
      </c>
      <c r="M286" t="str">
        <f>IF(ISNA(VLOOKUP($F286,'Raw Data'!$A:$M,13,0)),"",VLOOKUP($F286,'Raw Data'!$A:$M,13,0))</f>
        <v/>
      </c>
    </row>
    <row r="287" spans="1:13" x14ac:dyDescent="0.25">
      <c r="A287" t="s">
        <v>37</v>
      </c>
      <c r="B287">
        <v>2014</v>
      </c>
      <c r="C287">
        <v>4</v>
      </c>
      <c r="D287" s="3">
        <v>740</v>
      </c>
      <c r="E287" s="3">
        <v>95</v>
      </c>
      <c r="F287" s="3" t="str">
        <f t="shared" si="4"/>
        <v>FGU62014474095</v>
      </c>
      <c r="G287" t="str">
        <f>IF(ISNA(VLOOKUP($F287,'Raw Data'!$A:$M,7,0)),"",VLOOKUP($F287,'Raw Data'!$A:$M,7,0))</f>
        <v/>
      </c>
      <c r="H287" t="str">
        <f>IF(ISNA(VLOOKUP($F287,'Raw Data'!$A:$M,8,0)),"",VLOOKUP($F287,'Raw Data'!$A:$M,8,0))</f>
        <v/>
      </c>
      <c r="I287" t="str">
        <f>IF(ISNA(VLOOKUP($F287,'Raw Data'!$A:$M,9,0)),"",VLOOKUP($F287,'Raw Data'!$A:$M,9,0))</f>
        <v/>
      </c>
      <c r="J287" t="str">
        <f>IF(ISNA(VLOOKUP($F287,'Raw Data'!$A:$M,10,0)),"",VLOOKUP($F287,'Raw Data'!$A:$M,10,0))</f>
        <v/>
      </c>
      <c r="K287" t="str">
        <f>IF(ISNA(VLOOKUP($F287,'Raw Data'!$A:$M,11,0)),"",VLOOKUP($F287,'Raw Data'!$A:$M,11,0))</f>
        <v/>
      </c>
      <c r="L287" t="str">
        <f>IF(ISNA(VLOOKUP($F287,'Raw Data'!$A:$M,12,0)),"",VLOOKUP($F287,'Raw Data'!$A:$M,12,0))</f>
        <v/>
      </c>
      <c r="M287" t="str">
        <f>IF(ISNA(VLOOKUP($F287,'Raw Data'!$A:$M,13,0)),"",VLOOKUP($F287,'Raw Data'!$A:$M,13,0))</f>
        <v/>
      </c>
    </row>
    <row r="288" spans="1:13" x14ac:dyDescent="0.25">
      <c r="A288" t="s">
        <v>37</v>
      </c>
      <c r="B288">
        <v>2014</v>
      </c>
      <c r="C288">
        <v>4</v>
      </c>
      <c r="D288" s="3">
        <v>760</v>
      </c>
      <c r="E288" s="3">
        <v>95</v>
      </c>
      <c r="F288" s="3" t="str">
        <f t="shared" si="4"/>
        <v>FGU62014476095</v>
      </c>
      <c r="G288" t="str">
        <f>IF(ISNA(VLOOKUP($F288,'Raw Data'!$A:$M,7,0)),"",VLOOKUP($F288,'Raw Data'!$A:$M,7,0))</f>
        <v/>
      </c>
      <c r="H288" t="str">
        <f>IF(ISNA(VLOOKUP($F288,'Raw Data'!$A:$M,8,0)),"",VLOOKUP($F288,'Raw Data'!$A:$M,8,0))</f>
        <v/>
      </c>
      <c r="I288" t="str">
        <f>IF(ISNA(VLOOKUP($F288,'Raw Data'!$A:$M,9,0)),"",VLOOKUP($F288,'Raw Data'!$A:$M,9,0))</f>
        <v/>
      </c>
      <c r="J288" t="str">
        <f>IF(ISNA(VLOOKUP($F288,'Raw Data'!$A:$M,10,0)),"",VLOOKUP($F288,'Raw Data'!$A:$M,10,0))</f>
        <v/>
      </c>
      <c r="K288" t="str">
        <f>IF(ISNA(VLOOKUP($F288,'Raw Data'!$A:$M,11,0)),"",VLOOKUP($F288,'Raw Data'!$A:$M,11,0))</f>
        <v/>
      </c>
      <c r="L288" t="str">
        <f>IF(ISNA(VLOOKUP($F288,'Raw Data'!$A:$M,12,0)),"",VLOOKUP($F288,'Raw Data'!$A:$M,12,0))</f>
        <v/>
      </c>
      <c r="M288" t="str">
        <f>IF(ISNA(VLOOKUP($F288,'Raw Data'!$A:$M,13,0)),"",VLOOKUP($F288,'Raw Data'!$A:$M,13,0))</f>
        <v/>
      </c>
    </row>
    <row r="289" spans="1:13" x14ac:dyDescent="0.25">
      <c r="A289" t="s">
        <v>37</v>
      </c>
      <c r="B289">
        <v>2014</v>
      </c>
      <c r="C289">
        <v>4</v>
      </c>
      <c r="D289" s="3">
        <v>780</v>
      </c>
      <c r="E289" s="3">
        <v>95</v>
      </c>
      <c r="F289" s="3" t="str">
        <f t="shared" si="4"/>
        <v>FGU62014478095</v>
      </c>
      <c r="G289" t="str">
        <f>IF(ISNA(VLOOKUP($F289,'Raw Data'!$A:$M,7,0)),"",VLOOKUP($F289,'Raw Data'!$A:$M,7,0))</f>
        <v/>
      </c>
      <c r="H289" t="str">
        <f>IF(ISNA(VLOOKUP($F289,'Raw Data'!$A:$M,8,0)),"",VLOOKUP($F289,'Raw Data'!$A:$M,8,0))</f>
        <v/>
      </c>
      <c r="I289" t="str">
        <f>IF(ISNA(VLOOKUP($F289,'Raw Data'!$A:$M,9,0)),"",VLOOKUP($F289,'Raw Data'!$A:$M,9,0))</f>
        <v/>
      </c>
      <c r="J289" t="str">
        <f>IF(ISNA(VLOOKUP($F289,'Raw Data'!$A:$M,10,0)),"",VLOOKUP($F289,'Raw Data'!$A:$M,10,0))</f>
        <v/>
      </c>
      <c r="K289" t="str">
        <f>IF(ISNA(VLOOKUP($F289,'Raw Data'!$A:$M,11,0)),"",VLOOKUP($F289,'Raw Data'!$A:$M,11,0))</f>
        <v/>
      </c>
      <c r="L289" t="str">
        <f>IF(ISNA(VLOOKUP($F289,'Raw Data'!$A:$M,12,0)),"",VLOOKUP($F289,'Raw Data'!$A:$M,12,0))</f>
        <v/>
      </c>
      <c r="M289" t="str">
        <f>IF(ISNA(VLOOKUP($F289,'Raw Data'!$A:$M,13,0)),"",VLOOKUP($F289,'Raw Data'!$A:$M,13,0))</f>
        <v/>
      </c>
    </row>
    <row r="290" spans="1:13" x14ac:dyDescent="0.25">
      <c r="A290" t="s">
        <v>37</v>
      </c>
      <c r="B290">
        <v>2014</v>
      </c>
      <c r="C290">
        <v>4</v>
      </c>
      <c r="D290" s="3">
        <v>620</v>
      </c>
      <c r="E290" s="3">
        <v>97</v>
      </c>
      <c r="F290" s="3" t="str">
        <f t="shared" si="4"/>
        <v>FGU62014462097</v>
      </c>
      <c r="G290" t="str">
        <f>IF(ISNA(VLOOKUP($F290,'Raw Data'!$A:$M,7,0)),"",VLOOKUP($F290,'Raw Data'!$A:$M,7,0))</f>
        <v/>
      </c>
      <c r="H290" t="str">
        <f>IF(ISNA(VLOOKUP($F290,'Raw Data'!$A:$M,8,0)),"",VLOOKUP($F290,'Raw Data'!$A:$M,8,0))</f>
        <v/>
      </c>
      <c r="I290" t="str">
        <f>IF(ISNA(VLOOKUP($F290,'Raw Data'!$A:$M,9,0)),"",VLOOKUP($F290,'Raw Data'!$A:$M,9,0))</f>
        <v/>
      </c>
      <c r="J290" t="str">
        <f>IF(ISNA(VLOOKUP($F290,'Raw Data'!$A:$M,10,0)),"",VLOOKUP($F290,'Raw Data'!$A:$M,10,0))</f>
        <v/>
      </c>
      <c r="K290" t="str">
        <f>IF(ISNA(VLOOKUP($F290,'Raw Data'!$A:$M,11,0)),"",VLOOKUP($F290,'Raw Data'!$A:$M,11,0))</f>
        <v/>
      </c>
      <c r="L290" t="str">
        <f>IF(ISNA(VLOOKUP($F290,'Raw Data'!$A:$M,12,0)),"",VLOOKUP($F290,'Raw Data'!$A:$M,12,0))</f>
        <v/>
      </c>
      <c r="M290" t="str">
        <f>IF(ISNA(VLOOKUP($F290,'Raw Data'!$A:$M,13,0)),"",VLOOKUP($F290,'Raw Data'!$A:$M,13,0))</f>
        <v/>
      </c>
    </row>
    <row r="291" spans="1:13" x14ac:dyDescent="0.25">
      <c r="A291" t="s">
        <v>37</v>
      </c>
      <c r="B291">
        <v>2014</v>
      </c>
      <c r="C291">
        <v>4</v>
      </c>
      <c r="D291" s="3">
        <v>640</v>
      </c>
      <c r="E291" s="3">
        <v>97</v>
      </c>
      <c r="F291" s="3" t="str">
        <f t="shared" si="4"/>
        <v>FGU62014464097</v>
      </c>
      <c r="G291" t="str">
        <f>IF(ISNA(VLOOKUP($F291,'Raw Data'!$A:$M,7,0)),"",VLOOKUP($F291,'Raw Data'!$A:$M,7,0))</f>
        <v/>
      </c>
      <c r="H291" t="str">
        <f>IF(ISNA(VLOOKUP($F291,'Raw Data'!$A:$M,8,0)),"",VLOOKUP($F291,'Raw Data'!$A:$M,8,0))</f>
        <v/>
      </c>
      <c r="I291" t="str">
        <f>IF(ISNA(VLOOKUP($F291,'Raw Data'!$A:$M,9,0)),"",VLOOKUP($F291,'Raw Data'!$A:$M,9,0))</f>
        <v/>
      </c>
      <c r="J291" t="str">
        <f>IF(ISNA(VLOOKUP($F291,'Raw Data'!$A:$M,10,0)),"",VLOOKUP($F291,'Raw Data'!$A:$M,10,0))</f>
        <v/>
      </c>
      <c r="K291" t="str">
        <f>IF(ISNA(VLOOKUP($F291,'Raw Data'!$A:$M,11,0)),"",VLOOKUP($F291,'Raw Data'!$A:$M,11,0))</f>
        <v/>
      </c>
      <c r="L291" t="str">
        <f>IF(ISNA(VLOOKUP($F291,'Raw Data'!$A:$M,12,0)),"",VLOOKUP($F291,'Raw Data'!$A:$M,12,0))</f>
        <v/>
      </c>
      <c r="M291" t="str">
        <f>IF(ISNA(VLOOKUP($F291,'Raw Data'!$A:$M,13,0)),"",VLOOKUP($F291,'Raw Data'!$A:$M,13,0))</f>
        <v/>
      </c>
    </row>
    <row r="292" spans="1:13" x14ac:dyDescent="0.25">
      <c r="A292" t="s">
        <v>37</v>
      </c>
      <c r="B292">
        <v>2014</v>
      </c>
      <c r="C292">
        <v>4</v>
      </c>
      <c r="D292" s="3">
        <v>660</v>
      </c>
      <c r="E292" s="3">
        <v>97</v>
      </c>
      <c r="F292" s="3" t="str">
        <f t="shared" si="4"/>
        <v>FGU62014466097</v>
      </c>
      <c r="G292" t="str">
        <f>IF(ISNA(VLOOKUP($F292,'Raw Data'!$A:$M,7,0)),"",VLOOKUP($F292,'Raw Data'!$A:$M,7,0))</f>
        <v/>
      </c>
      <c r="H292" t="str">
        <f>IF(ISNA(VLOOKUP($F292,'Raw Data'!$A:$M,8,0)),"",VLOOKUP($F292,'Raw Data'!$A:$M,8,0))</f>
        <v/>
      </c>
      <c r="I292" t="str">
        <f>IF(ISNA(VLOOKUP($F292,'Raw Data'!$A:$M,9,0)),"",VLOOKUP($F292,'Raw Data'!$A:$M,9,0))</f>
        <v/>
      </c>
      <c r="J292" t="str">
        <f>IF(ISNA(VLOOKUP($F292,'Raw Data'!$A:$M,10,0)),"",VLOOKUP($F292,'Raw Data'!$A:$M,10,0))</f>
        <v/>
      </c>
      <c r="K292" t="str">
        <f>IF(ISNA(VLOOKUP($F292,'Raw Data'!$A:$M,11,0)),"",VLOOKUP($F292,'Raw Data'!$A:$M,11,0))</f>
        <v/>
      </c>
      <c r="L292" t="str">
        <f>IF(ISNA(VLOOKUP($F292,'Raw Data'!$A:$M,12,0)),"",VLOOKUP($F292,'Raw Data'!$A:$M,12,0))</f>
        <v/>
      </c>
      <c r="M292" t="str">
        <f>IF(ISNA(VLOOKUP($F292,'Raw Data'!$A:$M,13,0)),"",VLOOKUP($F292,'Raw Data'!$A:$M,13,0))</f>
        <v/>
      </c>
    </row>
    <row r="293" spans="1:13" x14ac:dyDescent="0.25">
      <c r="A293" t="s">
        <v>37</v>
      </c>
      <c r="B293">
        <v>2014</v>
      </c>
      <c r="C293">
        <v>4</v>
      </c>
      <c r="D293" s="3">
        <v>680</v>
      </c>
      <c r="E293" s="3">
        <v>97</v>
      </c>
      <c r="F293" s="3" t="str">
        <f t="shared" si="4"/>
        <v>FGU62014468097</v>
      </c>
      <c r="G293" t="str">
        <f>IF(ISNA(VLOOKUP($F293,'Raw Data'!$A:$M,7,0)),"",VLOOKUP($F293,'Raw Data'!$A:$M,7,0))</f>
        <v/>
      </c>
      <c r="H293" t="str">
        <f>IF(ISNA(VLOOKUP($F293,'Raw Data'!$A:$M,8,0)),"",VLOOKUP($F293,'Raw Data'!$A:$M,8,0))</f>
        <v/>
      </c>
      <c r="I293" t="str">
        <f>IF(ISNA(VLOOKUP($F293,'Raw Data'!$A:$M,9,0)),"",VLOOKUP($F293,'Raw Data'!$A:$M,9,0))</f>
        <v/>
      </c>
      <c r="J293" t="str">
        <f>IF(ISNA(VLOOKUP($F293,'Raw Data'!$A:$M,10,0)),"",VLOOKUP($F293,'Raw Data'!$A:$M,10,0))</f>
        <v/>
      </c>
      <c r="K293" t="str">
        <f>IF(ISNA(VLOOKUP($F293,'Raw Data'!$A:$M,11,0)),"",VLOOKUP($F293,'Raw Data'!$A:$M,11,0))</f>
        <v/>
      </c>
      <c r="L293" t="str">
        <f>IF(ISNA(VLOOKUP($F293,'Raw Data'!$A:$M,12,0)),"",VLOOKUP($F293,'Raw Data'!$A:$M,12,0))</f>
        <v/>
      </c>
      <c r="M293" t="str">
        <f>IF(ISNA(VLOOKUP($F293,'Raw Data'!$A:$M,13,0)),"",VLOOKUP($F293,'Raw Data'!$A:$M,13,0))</f>
        <v/>
      </c>
    </row>
    <row r="294" spans="1:13" x14ac:dyDescent="0.25">
      <c r="A294" t="s">
        <v>37</v>
      </c>
      <c r="B294">
        <v>2014</v>
      </c>
      <c r="C294">
        <v>4</v>
      </c>
      <c r="D294" s="3">
        <v>700</v>
      </c>
      <c r="E294" s="3">
        <v>97</v>
      </c>
      <c r="F294" s="3" t="str">
        <f t="shared" si="4"/>
        <v>FGU62014470097</v>
      </c>
      <c r="G294" t="str">
        <f>IF(ISNA(VLOOKUP($F294,'Raw Data'!$A:$M,7,0)),"",VLOOKUP($F294,'Raw Data'!$A:$M,7,0))</f>
        <v/>
      </c>
      <c r="H294" t="str">
        <f>IF(ISNA(VLOOKUP($F294,'Raw Data'!$A:$M,8,0)),"",VLOOKUP($F294,'Raw Data'!$A:$M,8,0))</f>
        <v/>
      </c>
      <c r="I294" t="str">
        <f>IF(ISNA(VLOOKUP($F294,'Raw Data'!$A:$M,9,0)),"",VLOOKUP($F294,'Raw Data'!$A:$M,9,0))</f>
        <v/>
      </c>
      <c r="J294" t="str">
        <f>IF(ISNA(VLOOKUP($F294,'Raw Data'!$A:$M,10,0)),"",VLOOKUP($F294,'Raw Data'!$A:$M,10,0))</f>
        <v/>
      </c>
      <c r="K294" t="str">
        <f>IF(ISNA(VLOOKUP($F294,'Raw Data'!$A:$M,11,0)),"",VLOOKUP($F294,'Raw Data'!$A:$M,11,0))</f>
        <v/>
      </c>
      <c r="L294" t="str">
        <f>IF(ISNA(VLOOKUP($F294,'Raw Data'!$A:$M,12,0)),"",VLOOKUP($F294,'Raw Data'!$A:$M,12,0))</f>
        <v/>
      </c>
      <c r="M294" t="str">
        <f>IF(ISNA(VLOOKUP($F294,'Raw Data'!$A:$M,13,0)),"",VLOOKUP($F294,'Raw Data'!$A:$M,13,0))</f>
        <v/>
      </c>
    </row>
    <row r="295" spans="1:13" x14ac:dyDescent="0.25">
      <c r="A295" t="s">
        <v>37</v>
      </c>
      <c r="B295">
        <v>2014</v>
      </c>
      <c r="C295">
        <v>4</v>
      </c>
      <c r="D295" s="3">
        <v>720</v>
      </c>
      <c r="E295" s="3">
        <v>97</v>
      </c>
      <c r="F295" s="3" t="str">
        <f t="shared" si="4"/>
        <v>FGU62014472097</v>
      </c>
      <c r="G295">
        <f>IF(ISNA(VLOOKUP($F295,'Raw Data'!$A:$M,7,0)),"",VLOOKUP($F295,'Raw Data'!$A:$M,7,0))</f>
        <v>1787058.48</v>
      </c>
      <c r="H295">
        <f>IF(ISNA(VLOOKUP($F295,'Raw Data'!$A:$M,8,0)),"",VLOOKUP($F295,'Raw Data'!$A:$M,8,0))</f>
        <v>-36.597799999999999</v>
      </c>
      <c r="I295">
        <f>IF(ISNA(VLOOKUP($F295,'Raw Data'!$A:$M,9,0)),"",VLOOKUP($F295,'Raw Data'!$A:$M,9,0))</f>
        <v>-11.597799999999999</v>
      </c>
      <c r="J295">
        <f>IF(ISNA(VLOOKUP($F295,'Raw Data'!$A:$M,10,0)),"",VLOOKUP($F295,'Raw Data'!$A:$M,10,0))</f>
        <v>25</v>
      </c>
      <c r="K295">
        <f>IF(ISNA(VLOOKUP($F295,'Raw Data'!$A:$M,11,0)),"",VLOOKUP($F295,'Raw Data'!$A:$M,11,0))</f>
        <v>-13.8414</v>
      </c>
      <c r="L295">
        <f>IF(ISNA(VLOOKUP($F295,'Raw Data'!$A:$M,12,0)),"",VLOOKUP($F295,'Raw Data'!$A:$M,12,0))</f>
        <v>1.3974</v>
      </c>
      <c r="M295">
        <f>IF(ISNA(VLOOKUP($F295,'Raw Data'!$A:$M,13,0)),"",VLOOKUP($F295,'Raw Data'!$A:$M,13,0))</f>
        <v>15.238799999999999</v>
      </c>
    </row>
    <row r="296" spans="1:13" x14ac:dyDescent="0.25">
      <c r="A296" t="s">
        <v>37</v>
      </c>
      <c r="B296">
        <v>2014</v>
      </c>
      <c r="C296">
        <v>4</v>
      </c>
      <c r="D296" s="3">
        <v>740</v>
      </c>
      <c r="E296" s="3">
        <v>97</v>
      </c>
      <c r="F296" s="3" t="str">
        <f t="shared" si="4"/>
        <v>FGU62014474097</v>
      </c>
      <c r="G296" t="str">
        <f>IF(ISNA(VLOOKUP($F296,'Raw Data'!$A:$M,7,0)),"",VLOOKUP($F296,'Raw Data'!$A:$M,7,0))</f>
        <v/>
      </c>
      <c r="H296" t="str">
        <f>IF(ISNA(VLOOKUP($F296,'Raw Data'!$A:$M,8,0)),"",VLOOKUP($F296,'Raw Data'!$A:$M,8,0))</f>
        <v/>
      </c>
      <c r="I296" t="str">
        <f>IF(ISNA(VLOOKUP($F296,'Raw Data'!$A:$M,9,0)),"",VLOOKUP($F296,'Raw Data'!$A:$M,9,0))</f>
        <v/>
      </c>
      <c r="J296" t="str">
        <f>IF(ISNA(VLOOKUP($F296,'Raw Data'!$A:$M,10,0)),"",VLOOKUP($F296,'Raw Data'!$A:$M,10,0))</f>
        <v/>
      </c>
      <c r="K296" t="str">
        <f>IF(ISNA(VLOOKUP($F296,'Raw Data'!$A:$M,11,0)),"",VLOOKUP($F296,'Raw Data'!$A:$M,11,0))</f>
        <v/>
      </c>
      <c r="L296" t="str">
        <f>IF(ISNA(VLOOKUP($F296,'Raw Data'!$A:$M,12,0)),"",VLOOKUP($F296,'Raw Data'!$A:$M,12,0))</f>
        <v/>
      </c>
      <c r="M296" t="str">
        <f>IF(ISNA(VLOOKUP($F296,'Raw Data'!$A:$M,13,0)),"",VLOOKUP($F296,'Raw Data'!$A:$M,13,0))</f>
        <v/>
      </c>
    </row>
    <row r="297" spans="1:13" x14ac:dyDescent="0.25">
      <c r="A297" t="s">
        <v>37</v>
      </c>
      <c r="B297">
        <v>2014</v>
      </c>
      <c r="C297">
        <v>4</v>
      </c>
      <c r="D297" s="3">
        <v>760</v>
      </c>
      <c r="E297" s="3">
        <v>97</v>
      </c>
      <c r="F297" s="3" t="str">
        <f t="shared" si="4"/>
        <v>FGU62014476097</v>
      </c>
      <c r="G297" t="str">
        <f>IF(ISNA(VLOOKUP($F297,'Raw Data'!$A:$M,7,0)),"",VLOOKUP($F297,'Raw Data'!$A:$M,7,0))</f>
        <v/>
      </c>
      <c r="H297" t="str">
        <f>IF(ISNA(VLOOKUP($F297,'Raw Data'!$A:$M,8,0)),"",VLOOKUP($F297,'Raw Data'!$A:$M,8,0))</f>
        <v/>
      </c>
      <c r="I297" t="str">
        <f>IF(ISNA(VLOOKUP($F297,'Raw Data'!$A:$M,9,0)),"",VLOOKUP($F297,'Raw Data'!$A:$M,9,0))</f>
        <v/>
      </c>
      <c r="J297" t="str">
        <f>IF(ISNA(VLOOKUP($F297,'Raw Data'!$A:$M,10,0)),"",VLOOKUP($F297,'Raw Data'!$A:$M,10,0))</f>
        <v/>
      </c>
      <c r="K297" t="str">
        <f>IF(ISNA(VLOOKUP($F297,'Raw Data'!$A:$M,11,0)),"",VLOOKUP($F297,'Raw Data'!$A:$M,11,0))</f>
        <v/>
      </c>
      <c r="L297" t="str">
        <f>IF(ISNA(VLOOKUP($F297,'Raw Data'!$A:$M,12,0)),"",VLOOKUP($F297,'Raw Data'!$A:$M,12,0))</f>
        <v/>
      </c>
      <c r="M297" t="str">
        <f>IF(ISNA(VLOOKUP($F297,'Raw Data'!$A:$M,13,0)),"",VLOOKUP($F297,'Raw Data'!$A:$M,13,0))</f>
        <v/>
      </c>
    </row>
    <row r="298" spans="1:13" x14ac:dyDescent="0.25">
      <c r="A298" t="s">
        <v>37</v>
      </c>
      <c r="B298">
        <v>2014</v>
      </c>
      <c r="C298">
        <v>4</v>
      </c>
      <c r="D298" s="3">
        <v>780</v>
      </c>
      <c r="E298" s="3">
        <v>97</v>
      </c>
      <c r="F298" s="3" t="str">
        <f t="shared" si="4"/>
        <v>FGU62014478097</v>
      </c>
      <c r="G298" t="str">
        <f>IF(ISNA(VLOOKUP($F298,'Raw Data'!$A:$M,7,0)),"",VLOOKUP($F298,'Raw Data'!$A:$M,7,0))</f>
        <v/>
      </c>
      <c r="H298" t="str">
        <f>IF(ISNA(VLOOKUP($F298,'Raw Data'!$A:$M,8,0)),"",VLOOKUP($F298,'Raw Data'!$A:$M,8,0))</f>
        <v/>
      </c>
      <c r="I298" t="str">
        <f>IF(ISNA(VLOOKUP($F298,'Raw Data'!$A:$M,9,0)),"",VLOOKUP($F298,'Raw Data'!$A:$M,9,0))</f>
        <v/>
      </c>
      <c r="J298" t="str">
        <f>IF(ISNA(VLOOKUP($F298,'Raw Data'!$A:$M,10,0)),"",VLOOKUP($F298,'Raw Data'!$A:$M,10,0))</f>
        <v/>
      </c>
      <c r="K298" t="str">
        <f>IF(ISNA(VLOOKUP($F298,'Raw Data'!$A:$M,11,0)),"",VLOOKUP($F298,'Raw Data'!$A:$M,11,0))</f>
        <v/>
      </c>
      <c r="L298" t="str">
        <f>IF(ISNA(VLOOKUP($F298,'Raw Data'!$A:$M,12,0)),"",VLOOKUP($F298,'Raw Data'!$A:$M,12,0))</f>
        <v/>
      </c>
      <c r="M298" t="str">
        <f>IF(ISNA(VLOOKUP($F298,'Raw Data'!$A:$M,13,0)),"",VLOOKUP($F298,'Raw Data'!$A:$M,13,0))</f>
        <v/>
      </c>
    </row>
    <row r="299" spans="1:13" x14ac:dyDescent="0.25">
      <c r="A299" t="s">
        <v>37</v>
      </c>
      <c r="B299">
        <v>2014</v>
      </c>
      <c r="C299">
        <v>4</v>
      </c>
      <c r="D299" s="3">
        <v>620</v>
      </c>
      <c r="E299" s="3">
        <v>100</v>
      </c>
      <c r="F299" s="3" t="str">
        <f t="shared" si="4"/>
        <v>FGU620144620100</v>
      </c>
      <c r="G299" t="str">
        <f>IF(ISNA(VLOOKUP($F299,'Raw Data'!$A:$M,7,0)),"",VLOOKUP($F299,'Raw Data'!$A:$M,7,0))</f>
        <v/>
      </c>
      <c r="H299" t="str">
        <f>IF(ISNA(VLOOKUP($F299,'Raw Data'!$A:$M,8,0)),"",VLOOKUP($F299,'Raw Data'!$A:$M,8,0))</f>
        <v/>
      </c>
      <c r="I299" t="str">
        <f>IF(ISNA(VLOOKUP($F299,'Raw Data'!$A:$M,9,0)),"",VLOOKUP($F299,'Raw Data'!$A:$M,9,0))</f>
        <v/>
      </c>
      <c r="J299" t="str">
        <f>IF(ISNA(VLOOKUP($F299,'Raw Data'!$A:$M,10,0)),"",VLOOKUP($F299,'Raw Data'!$A:$M,10,0))</f>
        <v/>
      </c>
      <c r="K299" t="str">
        <f>IF(ISNA(VLOOKUP($F299,'Raw Data'!$A:$M,11,0)),"",VLOOKUP($F299,'Raw Data'!$A:$M,11,0))</f>
        <v/>
      </c>
      <c r="L299" t="str">
        <f>IF(ISNA(VLOOKUP($F299,'Raw Data'!$A:$M,12,0)),"",VLOOKUP($F299,'Raw Data'!$A:$M,12,0))</f>
        <v/>
      </c>
      <c r="M299" t="str">
        <f>IF(ISNA(VLOOKUP($F299,'Raw Data'!$A:$M,13,0)),"",VLOOKUP($F299,'Raw Data'!$A:$M,13,0))</f>
        <v/>
      </c>
    </row>
    <row r="300" spans="1:13" x14ac:dyDescent="0.25">
      <c r="A300" t="s">
        <v>37</v>
      </c>
      <c r="B300">
        <v>2014</v>
      </c>
      <c r="C300">
        <v>4</v>
      </c>
      <c r="D300" s="3">
        <v>640</v>
      </c>
      <c r="E300" s="3">
        <v>100</v>
      </c>
      <c r="F300" s="3" t="str">
        <f t="shared" si="4"/>
        <v>FGU620144640100</v>
      </c>
      <c r="G300" t="str">
        <f>IF(ISNA(VLOOKUP($F300,'Raw Data'!$A:$M,7,0)),"",VLOOKUP($F300,'Raw Data'!$A:$M,7,0))</f>
        <v/>
      </c>
      <c r="H300" t="str">
        <f>IF(ISNA(VLOOKUP($F300,'Raw Data'!$A:$M,8,0)),"",VLOOKUP($F300,'Raw Data'!$A:$M,8,0))</f>
        <v/>
      </c>
      <c r="I300" t="str">
        <f>IF(ISNA(VLOOKUP($F300,'Raw Data'!$A:$M,9,0)),"",VLOOKUP($F300,'Raw Data'!$A:$M,9,0))</f>
        <v/>
      </c>
      <c r="J300" t="str">
        <f>IF(ISNA(VLOOKUP($F300,'Raw Data'!$A:$M,10,0)),"",VLOOKUP($F300,'Raw Data'!$A:$M,10,0))</f>
        <v/>
      </c>
      <c r="K300" t="str">
        <f>IF(ISNA(VLOOKUP($F300,'Raw Data'!$A:$M,11,0)),"",VLOOKUP($F300,'Raw Data'!$A:$M,11,0))</f>
        <v/>
      </c>
      <c r="L300" t="str">
        <f>IF(ISNA(VLOOKUP($F300,'Raw Data'!$A:$M,12,0)),"",VLOOKUP($F300,'Raw Data'!$A:$M,12,0))</f>
        <v/>
      </c>
      <c r="M300" t="str">
        <f>IF(ISNA(VLOOKUP($F300,'Raw Data'!$A:$M,13,0)),"",VLOOKUP($F300,'Raw Data'!$A:$M,13,0))</f>
        <v/>
      </c>
    </row>
    <row r="301" spans="1:13" x14ac:dyDescent="0.25">
      <c r="A301" t="s">
        <v>37</v>
      </c>
      <c r="B301">
        <v>2014</v>
      </c>
      <c r="C301">
        <v>4</v>
      </c>
      <c r="D301" s="3">
        <v>660</v>
      </c>
      <c r="E301" s="3">
        <v>100</v>
      </c>
      <c r="F301" s="3" t="str">
        <f t="shared" si="4"/>
        <v>FGU620144660100</v>
      </c>
      <c r="G301" t="str">
        <f>IF(ISNA(VLOOKUP($F301,'Raw Data'!$A:$M,7,0)),"",VLOOKUP($F301,'Raw Data'!$A:$M,7,0))</f>
        <v/>
      </c>
      <c r="H301" t="str">
        <f>IF(ISNA(VLOOKUP($F301,'Raw Data'!$A:$M,8,0)),"",VLOOKUP($F301,'Raw Data'!$A:$M,8,0))</f>
        <v/>
      </c>
      <c r="I301" t="str">
        <f>IF(ISNA(VLOOKUP($F301,'Raw Data'!$A:$M,9,0)),"",VLOOKUP($F301,'Raw Data'!$A:$M,9,0))</f>
        <v/>
      </c>
      <c r="J301" t="str">
        <f>IF(ISNA(VLOOKUP($F301,'Raw Data'!$A:$M,10,0)),"",VLOOKUP($F301,'Raw Data'!$A:$M,10,0))</f>
        <v/>
      </c>
      <c r="K301" t="str">
        <f>IF(ISNA(VLOOKUP($F301,'Raw Data'!$A:$M,11,0)),"",VLOOKUP($F301,'Raw Data'!$A:$M,11,0))</f>
        <v/>
      </c>
      <c r="L301" t="str">
        <f>IF(ISNA(VLOOKUP($F301,'Raw Data'!$A:$M,12,0)),"",VLOOKUP($F301,'Raw Data'!$A:$M,12,0))</f>
        <v/>
      </c>
      <c r="M301" t="str">
        <f>IF(ISNA(VLOOKUP($F301,'Raw Data'!$A:$M,13,0)),"",VLOOKUP($F301,'Raw Data'!$A:$M,13,0))</f>
        <v/>
      </c>
    </row>
    <row r="302" spans="1:13" x14ac:dyDescent="0.25">
      <c r="A302" t="s">
        <v>37</v>
      </c>
      <c r="B302">
        <v>2014</v>
      </c>
      <c r="C302">
        <v>4</v>
      </c>
      <c r="D302" s="3">
        <v>680</v>
      </c>
      <c r="E302" s="3">
        <v>100</v>
      </c>
      <c r="F302" s="3" t="str">
        <f t="shared" si="4"/>
        <v>FGU620144680100</v>
      </c>
      <c r="G302" t="str">
        <f>IF(ISNA(VLOOKUP($F302,'Raw Data'!$A:$M,7,0)),"",VLOOKUP($F302,'Raw Data'!$A:$M,7,0))</f>
        <v/>
      </c>
      <c r="H302" t="str">
        <f>IF(ISNA(VLOOKUP($F302,'Raw Data'!$A:$M,8,0)),"",VLOOKUP($F302,'Raw Data'!$A:$M,8,0))</f>
        <v/>
      </c>
      <c r="I302" t="str">
        <f>IF(ISNA(VLOOKUP($F302,'Raw Data'!$A:$M,9,0)),"",VLOOKUP($F302,'Raw Data'!$A:$M,9,0))</f>
        <v/>
      </c>
      <c r="J302" t="str">
        <f>IF(ISNA(VLOOKUP($F302,'Raw Data'!$A:$M,10,0)),"",VLOOKUP($F302,'Raw Data'!$A:$M,10,0))</f>
        <v/>
      </c>
      <c r="K302" t="str">
        <f>IF(ISNA(VLOOKUP($F302,'Raw Data'!$A:$M,11,0)),"",VLOOKUP($F302,'Raw Data'!$A:$M,11,0))</f>
        <v/>
      </c>
      <c r="L302" t="str">
        <f>IF(ISNA(VLOOKUP($F302,'Raw Data'!$A:$M,12,0)),"",VLOOKUP($F302,'Raw Data'!$A:$M,12,0))</f>
        <v/>
      </c>
      <c r="M302" t="str">
        <f>IF(ISNA(VLOOKUP($F302,'Raw Data'!$A:$M,13,0)),"",VLOOKUP($F302,'Raw Data'!$A:$M,13,0))</f>
        <v/>
      </c>
    </row>
    <row r="303" spans="1:13" x14ac:dyDescent="0.25">
      <c r="A303" t="s">
        <v>37</v>
      </c>
      <c r="B303">
        <v>2014</v>
      </c>
      <c r="C303">
        <v>4</v>
      </c>
      <c r="D303" s="3">
        <v>700</v>
      </c>
      <c r="E303" s="3">
        <v>100</v>
      </c>
      <c r="F303" s="3" t="str">
        <f t="shared" si="4"/>
        <v>FGU620144700100</v>
      </c>
      <c r="G303" t="str">
        <f>IF(ISNA(VLOOKUP($F303,'Raw Data'!$A:$M,7,0)),"",VLOOKUP($F303,'Raw Data'!$A:$M,7,0))</f>
        <v/>
      </c>
      <c r="H303" t="str">
        <f>IF(ISNA(VLOOKUP($F303,'Raw Data'!$A:$M,8,0)),"",VLOOKUP($F303,'Raw Data'!$A:$M,8,0))</f>
        <v/>
      </c>
      <c r="I303" t="str">
        <f>IF(ISNA(VLOOKUP($F303,'Raw Data'!$A:$M,9,0)),"",VLOOKUP($F303,'Raw Data'!$A:$M,9,0))</f>
        <v/>
      </c>
      <c r="J303" t="str">
        <f>IF(ISNA(VLOOKUP($F303,'Raw Data'!$A:$M,10,0)),"",VLOOKUP($F303,'Raw Data'!$A:$M,10,0))</f>
        <v/>
      </c>
      <c r="K303" t="str">
        <f>IF(ISNA(VLOOKUP($F303,'Raw Data'!$A:$M,11,0)),"",VLOOKUP($F303,'Raw Data'!$A:$M,11,0))</f>
        <v/>
      </c>
      <c r="L303" t="str">
        <f>IF(ISNA(VLOOKUP($F303,'Raw Data'!$A:$M,12,0)),"",VLOOKUP($F303,'Raw Data'!$A:$M,12,0))</f>
        <v/>
      </c>
      <c r="M303" t="str">
        <f>IF(ISNA(VLOOKUP($F303,'Raw Data'!$A:$M,13,0)),"",VLOOKUP($F303,'Raw Data'!$A:$M,13,0))</f>
        <v/>
      </c>
    </row>
    <row r="304" spans="1:13" x14ac:dyDescent="0.25">
      <c r="A304" t="s">
        <v>37</v>
      </c>
      <c r="B304">
        <v>2014</v>
      </c>
      <c r="C304">
        <v>4</v>
      </c>
      <c r="D304" s="3">
        <v>720</v>
      </c>
      <c r="E304" s="3">
        <v>100</v>
      </c>
      <c r="F304" s="3" t="str">
        <f t="shared" si="4"/>
        <v>FGU620144720100</v>
      </c>
      <c r="G304" t="str">
        <f>IF(ISNA(VLOOKUP($F304,'Raw Data'!$A:$M,7,0)),"",VLOOKUP($F304,'Raw Data'!$A:$M,7,0))</f>
        <v/>
      </c>
      <c r="H304" t="str">
        <f>IF(ISNA(VLOOKUP($F304,'Raw Data'!$A:$M,8,0)),"",VLOOKUP($F304,'Raw Data'!$A:$M,8,0))</f>
        <v/>
      </c>
      <c r="I304" t="str">
        <f>IF(ISNA(VLOOKUP($F304,'Raw Data'!$A:$M,9,0)),"",VLOOKUP($F304,'Raw Data'!$A:$M,9,0))</f>
        <v/>
      </c>
      <c r="J304" t="str">
        <f>IF(ISNA(VLOOKUP($F304,'Raw Data'!$A:$M,10,0)),"",VLOOKUP($F304,'Raw Data'!$A:$M,10,0))</f>
        <v/>
      </c>
      <c r="K304" t="str">
        <f>IF(ISNA(VLOOKUP($F304,'Raw Data'!$A:$M,11,0)),"",VLOOKUP($F304,'Raw Data'!$A:$M,11,0))</f>
        <v/>
      </c>
      <c r="L304" t="str">
        <f>IF(ISNA(VLOOKUP($F304,'Raw Data'!$A:$M,12,0)),"",VLOOKUP($F304,'Raw Data'!$A:$M,12,0))</f>
        <v/>
      </c>
      <c r="M304" t="str">
        <f>IF(ISNA(VLOOKUP($F304,'Raw Data'!$A:$M,13,0)),"",VLOOKUP($F304,'Raw Data'!$A:$M,13,0))</f>
        <v/>
      </c>
    </row>
    <row r="305" spans="1:13" x14ac:dyDescent="0.25">
      <c r="A305" t="s">
        <v>37</v>
      </c>
      <c r="B305">
        <v>2014</v>
      </c>
      <c r="C305">
        <v>4</v>
      </c>
      <c r="D305" s="3">
        <v>740</v>
      </c>
      <c r="E305" s="3">
        <v>100</v>
      </c>
      <c r="F305" s="3" t="str">
        <f t="shared" si="4"/>
        <v>FGU620144740100</v>
      </c>
      <c r="G305" t="str">
        <f>IF(ISNA(VLOOKUP($F305,'Raw Data'!$A:$M,7,0)),"",VLOOKUP($F305,'Raw Data'!$A:$M,7,0))</f>
        <v/>
      </c>
      <c r="H305" t="str">
        <f>IF(ISNA(VLOOKUP($F305,'Raw Data'!$A:$M,8,0)),"",VLOOKUP($F305,'Raw Data'!$A:$M,8,0))</f>
        <v/>
      </c>
      <c r="I305" t="str">
        <f>IF(ISNA(VLOOKUP($F305,'Raw Data'!$A:$M,9,0)),"",VLOOKUP($F305,'Raw Data'!$A:$M,9,0))</f>
        <v/>
      </c>
      <c r="J305" t="str">
        <f>IF(ISNA(VLOOKUP($F305,'Raw Data'!$A:$M,10,0)),"",VLOOKUP($F305,'Raw Data'!$A:$M,10,0))</f>
        <v/>
      </c>
      <c r="K305" t="str">
        <f>IF(ISNA(VLOOKUP($F305,'Raw Data'!$A:$M,11,0)),"",VLOOKUP($F305,'Raw Data'!$A:$M,11,0))</f>
        <v/>
      </c>
      <c r="L305" t="str">
        <f>IF(ISNA(VLOOKUP($F305,'Raw Data'!$A:$M,12,0)),"",VLOOKUP($F305,'Raw Data'!$A:$M,12,0))</f>
        <v/>
      </c>
      <c r="M305" t="str">
        <f>IF(ISNA(VLOOKUP($F305,'Raw Data'!$A:$M,13,0)),"",VLOOKUP($F305,'Raw Data'!$A:$M,13,0))</f>
        <v/>
      </c>
    </row>
    <row r="306" spans="1:13" x14ac:dyDescent="0.25">
      <c r="A306" t="s">
        <v>37</v>
      </c>
      <c r="B306">
        <v>2014</v>
      </c>
      <c r="C306">
        <v>4</v>
      </c>
      <c r="D306" s="3">
        <v>760</v>
      </c>
      <c r="E306" s="3">
        <v>100</v>
      </c>
      <c r="F306" s="3" t="str">
        <f t="shared" si="4"/>
        <v>FGU620144760100</v>
      </c>
      <c r="G306" t="str">
        <f>IF(ISNA(VLOOKUP($F306,'Raw Data'!$A:$M,7,0)),"",VLOOKUP($F306,'Raw Data'!$A:$M,7,0))</f>
        <v/>
      </c>
      <c r="H306" t="str">
        <f>IF(ISNA(VLOOKUP($F306,'Raw Data'!$A:$M,8,0)),"",VLOOKUP($F306,'Raw Data'!$A:$M,8,0))</f>
        <v/>
      </c>
      <c r="I306" t="str">
        <f>IF(ISNA(VLOOKUP($F306,'Raw Data'!$A:$M,9,0)),"",VLOOKUP($F306,'Raw Data'!$A:$M,9,0))</f>
        <v/>
      </c>
      <c r="J306" t="str">
        <f>IF(ISNA(VLOOKUP($F306,'Raw Data'!$A:$M,10,0)),"",VLOOKUP($F306,'Raw Data'!$A:$M,10,0))</f>
        <v/>
      </c>
      <c r="K306" t="str">
        <f>IF(ISNA(VLOOKUP($F306,'Raw Data'!$A:$M,11,0)),"",VLOOKUP($F306,'Raw Data'!$A:$M,11,0))</f>
        <v/>
      </c>
      <c r="L306" t="str">
        <f>IF(ISNA(VLOOKUP($F306,'Raw Data'!$A:$M,12,0)),"",VLOOKUP($F306,'Raw Data'!$A:$M,12,0))</f>
        <v/>
      </c>
      <c r="M306" t="str">
        <f>IF(ISNA(VLOOKUP($F306,'Raw Data'!$A:$M,13,0)),"",VLOOKUP($F306,'Raw Data'!$A:$M,13,0))</f>
        <v/>
      </c>
    </row>
    <row r="307" spans="1:13" x14ac:dyDescent="0.25">
      <c r="A307" t="s">
        <v>37</v>
      </c>
      <c r="B307">
        <v>2014</v>
      </c>
      <c r="C307">
        <v>4</v>
      </c>
      <c r="D307" s="3">
        <v>780</v>
      </c>
      <c r="E307" s="3">
        <v>100</v>
      </c>
      <c r="F307" s="3" t="str">
        <f t="shared" si="4"/>
        <v>FGU620144780100</v>
      </c>
      <c r="G307" t="str">
        <f>IF(ISNA(VLOOKUP($F307,'Raw Data'!$A:$M,7,0)),"",VLOOKUP($F307,'Raw Data'!$A:$M,7,0))</f>
        <v/>
      </c>
      <c r="H307" t="str">
        <f>IF(ISNA(VLOOKUP($F307,'Raw Data'!$A:$M,8,0)),"",VLOOKUP($F307,'Raw Data'!$A:$M,8,0))</f>
        <v/>
      </c>
      <c r="I307" t="str">
        <f>IF(ISNA(VLOOKUP($F307,'Raw Data'!$A:$M,9,0)),"",VLOOKUP($F307,'Raw Data'!$A:$M,9,0))</f>
        <v/>
      </c>
      <c r="J307" t="str">
        <f>IF(ISNA(VLOOKUP($F307,'Raw Data'!$A:$M,10,0)),"",VLOOKUP($F307,'Raw Data'!$A:$M,10,0))</f>
        <v/>
      </c>
      <c r="K307" t="str">
        <f>IF(ISNA(VLOOKUP($F307,'Raw Data'!$A:$M,11,0)),"",VLOOKUP($F307,'Raw Data'!$A:$M,11,0))</f>
        <v/>
      </c>
      <c r="L307" t="str">
        <f>IF(ISNA(VLOOKUP($F307,'Raw Data'!$A:$M,12,0)),"",VLOOKUP($F307,'Raw Data'!$A:$M,12,0))</f>
        <v/>
      </c>
      <c r="M307" t="str">
        <f>IF(ISNA(VLOOKUP($F307,'Raw Data'!$A:$M,13,0)),"",VLOOKUP($F307,'Raw Data'!$A:$M,13,0))</f>
        <v/>
      </c>
    </row>
    <row r="308" spans="1:13" x14ac:dyDescent="0.25">
      <c r="A308" t="s">
        <v>37</v>
      </c>
      <c r="B308">
        <v>2014</v>
      </c>
      <c r="C308">
        <v>4</v>
      </c>
      <c r="D308" s="3">
        <v>620</v>
      </c>
      <c r="E308" s="3" t="s">
        <v>9</v>
      </c>
      <c r="F308" s="3" t="str">
        <f t="shared" si="4"/>
        <v>FGU620144620100+</v>
      </c>
      <c r="G308" t="str">
        <f>IF(ISNA(VLOOKUP($F308,'Raw Data'!$A:$M,7,0)),"",VLOOKUP($F308,'Raw Data'!$A:$M,7,0))</f>
        <v/>
      </c>
      <c r="H308" t="str">
        <f>IF(ISNA(VLOOKUP($F308,'Raw Data'!$A:$M,8,0)),"",VLOOKUP($F308,'Raw Data'!$A:$M,8,0))</f>
        <v/>
      </c>
      <c r="I308" t="str">
        <f>IF(ISNA(VLOOKUP($F308,'Raw Data'!$A:$M,9,0)),"",VLOOKUP($F308,'Raw Data'!$A:$M,9,0))</f>
        <v/>
      </c>
      <c r="J308" t="str">
        <f>IF(ISNA(VLOOKUP($F308,'Raw Data'!$A:$M,10,0)),"",VLOOKUP($F308,'Raw Data'!$A:$M,10,0))</f>
        <v/>
      </c>
      <c r="K308" t="str">
        <f>IF(ISNA(VLOOKUP($F308,'Raw Data'!$A:$M,11,0)),"",VLOOKUP($F308,'Raw Data'!$A:$M,11,0))</f>
        <v/>
      </c>
      <c r="L308" t="str">
        <f>IF(ISNA(VLOOKUP($F308,'Raw Data'!$A:$M,12,0)),"",VLOOKUP($F308,'Raw Data'!$A:$M,12,0))</f>
        <v/>
      </c>
      <c r="M308" t="str">
        <f>IF(ISNA(VLOOKUP($F308,'Raw Data'!$A:$M,13,0)),"",VLOOKUP($F308,'Raw Data'!$A:$M,13,0))</f>
        <v/>
      </c>
    </row>
    <row r="309" spans="1:13" x14ac:dyDescent="0.25">
      <c r="A309" t="s">
        <v>37</v>
      </c>
      <c r="B309">
        <v>2014</v>
      </c>
      <c r="C309">
        <v>4</v>
      </c>
      <c r="D309" s="3">
        <v>640</v>
      </c>
      <c r="E309" s="3" t="s">
        <v>9</v>
      </c>
      <c r="F309" s="3" t="str">
        <f t="shared" si="4"/>
        <v>FGU620144640100+</v>
      </c>
      <c r="G309" t="str">
        <f>IF(ISNA(VLOOKUP($F309,'Raw Data'!$A:$M,7,0)),"",VLOOKUP($F309,'Raw Data'!$A:$M,7,0))</f>
        <v/>
      </c>
      <c r="H309" t="str">
        <f>IF(ISNA(VLOOKUP($F309,'Raw Data'!$A:$M,8,0)),"",VLOOKUP($F309,'Raw Data'!$A:$M,8,0))</f>
        <v/>
      </c>
      <c r="I309" t="str">
        <f>IF(ISNA(VLOOKUP($F309,'Raw Data'!$A:$M,9,0)),"",VLOOKUP($F309,'Raw Data'!$A:$M,9,0))</f>
        <v/>
      </c>
      <c r="J309" t="str">
        <f>IF(ISNA(VLOOKUP($F309,'Raw Data'!$A:$M,10,0)),"",VLOOKUP($F309,'Raw Data'!$A:$M,10,0))</f>
        <v/>
      </c>
      <c r="K309" t="str">
        <f>IF(ISNA(VLOOKUP($F309,'Raw Data'!$A:$M,11,0)),"",VLOOKUP($F309,'Raw Data'!$A:$M,11,0))</f>
        <v/>
      </c>
      <c r="L309" t="str">
        <f>IF(ISNA(VLOOKUP($F309,'Raw Data'!$A:$M,12,0)),"",VLOOKUP($F309,'Raw Data'!$A:$M,12,0))</f>
        <v/>
      </c>
      <c r="M309" t="str">
        <f>IF(ISNA(VLOOKUP($F309,'Raw Data'!$A:$M,13,0)),"",VLOOKUP($F309,'Raw Data'!$A:$M,13,0))</f>
        <v/>
      </c>
    </row>
    <row r="310" spans="1:13" x14ac:dyDescent="0.25">
      <c r="A310" t="s">
        <v>37</v>
      </c>
      <c r="B310">
        <v>2014</v>
      </c>
      <c r="C310">
        <v>4</v>
      </c>
      <c r="D310" s="3">
        <v>660</v>
      </c>
      <c r="E310" s="3" t="s">
        <v>9</v>
      </c>
      <c r="F310" s="3" t="str">
        <f t="shared" si="4"/>
        <v>FGU620144660100+</v>
      </c>
      <c r="G310" t="str">
        <f>IF(ISNA(VLOOKUP($F310,'Raw Data'!$A:$M,7,0)),"",VLOOKUP($F310,'Raw Data'!$A:$M,7,0))</f>
        <v/>
      </c>
      <c r="H310" t="str">
        <f>IF(ISNA(VLOOKUP($F310,'Raw Data'!$A:$M,8,0)),"",VLOOKUP($F310,'Raw Data'!$A:$M,8,0))</f>
        <v/>
      </c>
      <c r="I310" t="str">
        <f>IF(ISNA(VLOOKUP($F310,'Raw Data'!$A:$M,9,0)),"",VLOOKUP($F310,'Raw Data'!$A:$M,9,0))</f>
        <v/>
      </c>
      <c r="J310" t="str">
        <f>IF(ISNA(VLOOKUP($F310,'Raw Data'!$A:$M,10,0)),"",VLOOKUP($F310,'Raw Data'!$A:$M,10,0))</f>
        <v/>
      </c>
      <c r="K310" t="str">
        <f>IF(ISNA(VLOOKUP($F310,'Raw Data'!$A:$M,11,0)),"",VLOOKUP($F310,'Raw Data'!$A:$M,11,0))</f>
        <v/>
      </c>
      <c r="L310" t="str">
        <f>IF(ISNA(VLOOKUP($F310,'Raw Data'!$A:$M,12,0)),"",VLOOKUP($F310,'Raw Data'!$A:$M,12,0))</f>
        <v/>
      </c>
      <c r="M310" t="str">
        <f>IF(ISNA(VLOOKUP($F310,'Raw Data'!$A:$M,13,0)),"",VLOOKUP($F310,'Raw Data'!$A:$M,13,0))</f>
        <v/>
      </c>
    </row>
    <row r="311" spans="1:13" x14ac:dyDescent="0.25">
      <c r="A311" t="s">
        <v>37</v>
      </c>
      <c r="B311">
        <v>2014</v>
      </c>
      <c r="C311">
        <v>4</v>
      </c>
      <c r="D311" s="3">
        <v>680</v>
      </c>
      <c r="E311" s="3" t="s">
        <v>9</v>
      </c>
      <c r="F311" s="3" t="str">
        <f t="shared" si="4"/>
        <v>FGU620144680100+</v>
      </c>
      <c r="G311" t="str">
        <f>IF(ISNA(VLOOKUP($F311,'Raw Data'!$A:$M,7,0)),"",VLOOKUP($F311,'Raw Data'!$A:$M,7,0))</f>
        <v/>
      </c>
      <c r="H311" t="str">
        <f>IF(ISNA(VLOOKUP($F311,'Raw Data'!$A:$M,8,0)),"",VLOOKUP($F311,'Raw Data'!$A:$M,8,0))</f>
        <v/>
      </c>
      <c r="I311" t="str">
        <f>IF(ISNA(VLOOKUP($F311,'Raw Data'!$A:$M,9,0)),"",VLOOKUP($F311,'Raw Data'!$A:$M,9,0))</f>
        <v/>
      </c>
      <c r="J311" t="str">
        <f>IF(ISNA(VLOOKUP($F311,'Raw Data'!$A:$M,10,0)),"",VLOOKUP($F311,'Raw Data'!$A:$M,10,0))</f>
        <v/>
      </c>
      <c r="K311" t="str">
        <f>IF(ISNA(VLOOKUP($F311,'Raw Data'!$A:$M,11,0)),"",VLOOKUP($F311,'Raw Data'!$A:$M,11,0))</f>
        <v/>
      </c>
      <c r="L311" t="str">
        <f>IF(ISNA(VLOOKUP($F311,'Raw Data'!$A:$M,12,0)),"",VLOOKUP($F311,'Raw Data'!$A:$M,12,0))</f>
        <v/>
      </c>
      <c r="M311" t="str">
        <f>IF(ISNA(VLOOKUP($F311,'Raw Data'!$A:$M,13,0)),"",VLOOKUP($F311,'Raw Data'!$A:$M,13,0))</f>
        <v/>
      </c>
    </row>
    <row r="312" spans="1:13" x14ac:dyDescent="0.25">
      <c r="A312" t="s">
        <v>37</v>
      </c>
      <c r="B312">
        <v>2014</v>
      </c>
      <c r="C312">
        <v>4</v>
      </c>
      <c r="D312" s="3">
        <v>700</v>
      </c>
      <c r="E312" s="3" t="s">
        <v>9</v>
      </c>
      <c r="F312" s="3" t="str">
        <f t="shared" si="4"/>
        <v>FGU620144700100+</v>
      </c>
      <c r="G312" t="str">
        <f>IF(ISNA(VLOOKUP($F312,'Raw Data'!$A:$M,7,0)),"",VLOOKUP($F312,'Raw Data'!$A:$M,7,0))</f>
        <v/>
      </c>
      <c r="H312" t="str">
        <f>IF(ISNA(VLOOKUP($F312,'Raw Data'!$A:$M,8,0)),"",VLOOKUP($F312,'Raw Data'!$A:$M,8,0))</f>
        <v/>
      </c>
      <c r="I312" t="str">
        <f>IF(ISNA(VLOOKUP($F312,'Raw Data'!$A:$M,9,0)),"",VLOOKUP($F312,'Raw Data'!$A:$M,9,0))</f>
        <v/>
      </c>
      <c r="J312" t="str">
        <f>IF(ISNA(VLOOKUP($F312,'Raw Data'!$A:$M,10,0)),"",VLOOKUP($F312,'Raw Data'!$A:$M,10,0))</f>
        <v/>
      </c>
      <c r="K312" t="str">
        <f>IF(ISNA(VLOOKUP($F312,'Raw Data'!$A:$M,11,0)),"",VLOOKUP($F312,'Raw Data'!$A:$M,11,0))</f>
        <v/>
      </c>
      <c r="L312" t="str">
        <f>IF(ISNA(VLOOKUP($F312,'Raw Data'!$A:$M,12,0)),"",VLOOKUP($F312,'Raw Data'!$A:$M,12,0))</f>
        <v/>
      </c>
      <c r="M312" t="str">
        <f>IF(ISNA(VLOOKUP($F312,'Raw Data'!$A:$M,13,0)),"",VLOOKUP($F312,'Raw Data'!$A:$M,13,0))</f>
        <v/>
      </c>
    </row>
    <row r="313" spans="1:13" x14ac:dyDescent="0.25">
      <c r="A313" t="s">
        <v>37</v>
      </c>
      <c r="B313">
        <v>2014</v>
      </c>
      <c r="C313">
        <v>4</v>
      </c>
      <c r="D313" s="3">
        <v>720</v>
      </c>
      <c r="E313" s="3" t="s">
        <v>9</v>
      </c>
      <c r="F313" s="3" t="str">
        <f t="shared" si="4"/>
        <v>FGU620144720100+</v>
      </c>
      <c r="G313" t="str">
        <f>IF(ISNA(VLOOKUP($F313,'Raw Data'!$A:$M,7,0)),"",VLOOKUP($F313,'Raw Data'!$A:$M,7,0))</f>
        <v/>
      </c>
      <c r="H313" t="str">
        <f>IF(ISNA(VLOOKUP($F313,'Raw Data'!$A:$M,8,0)),"",VLOOKUP($F313,'Raw Data'!$A:$M,8,0))</f>
        <v/>
      </c>
      <c r="I313" t="str">
        <f>IF(ISNA(VLOOKUP($F313,'Raw Data'!$A:$M,9,0)),"",VLOOKUP($F313,'Raw Data'!$A:$M,9,0))</f>
        <v/>
      </c>
      <c r="J313" t="str">
        <f>IF(ISNA(VLOOKUP($F313,'Raw Data'!$A:$M,10,0)),"",VLOOKUP($F313,'Raw Data'!$A:$M,10,0))</f>
        <v/>
      </c>
      <c r="K313" t="str">
        <f>IF(ISNA(VLOOKUP($F313,'Raw Data'!$A:$M,11,0)),"",VLOOKUP($F313,'Raw Data'!$A:$M,11,0))</f>
        <v/>
      </c>
      <c r="L313" t="str">
        <f>IF(ISNA(VLOOKUP($F313,'Raw Data'!$A:$M,12,0)),"",VLOOKUP($F313,'Raw Data'!$A:$M,12,0))</f>
        <v/>
      </c>
      <c r="M313" t="str">
        <f>IF(ISNA(VLOOKUP($F313,'Raw Data'!$A:$M,13,0)),"",VLOOKUP($F313,'Raw Data'!$A:$M,13,0))</f>
        <v/>
      </c>
    </row>
    <row r="314" spans="1:13" x14ac:dyDescent="0.25">
      <c r="A314" t="s">
        <v>37</v>
      </c>
      <c r="B314">
        <v>2014</v>
      </c>
      <c r="C314">
        <v>4</v>
      </c>
      <c r="D314" s="3">
        <v>740</v>
      </c>
      <c r="E314" s="3" t="s">
        <v>9</v>
      </c>
      <c r="F314" s="3" t="str">
        <f t="shared" si="4"/>
        <v>FGU620144740100+</v>
      </c>
      <c r="G314" t="str">
        <f>IF(ISNA(VLOOKUP($F314,'Raw Data'!$A:$M,7,0)),"",VLOOKUP($F314,'Raw Data'!$A:$M,7,0))</f>
        <v/>
      </c>
      <c r="H314" t="str">
        <f>IF(ISNA(VLOOKUP($F314,'Raw Data'!$A:$M,8,0)),"",VLOOKUP($F314,'Raw Data'!$A:$M,8,0))</f>
        <v/>
      </c>
      <c r="I314" t="str">
        <f>IF(ISNA(VLOOKUP($F314,'Raw Data'!$A:$M,9,0)),"",VLOOKUP($F314,'Raw Data'!$A:$M,9,0))</f>
        <v/>
      </c>
      <c r="J314" t="str">
        <f>IF(ISNA(VLOOKUP($F314,'Raw Data'!$A:$M,10,0)),"",VLOOKUP($F314,'Raw Data'!$A:$M,10,0))</f>
        <v/>
      </c>
      <c r="K314" t="str">
        <f>IF(ISNA(VLOOKUP($F314,'Raw Data'!$A:$M,11,0)),"",VLOOKUP($F314,'Raw Data'!$A:$M,11,0))</f>
        <v/>
      </c>
      <c r="L314" t="str">
        <f>IF(ISNA(VLOOKUP($F314,'Raw Data'!$A:$M,12,0)),"",VLOOKUP($F314,'Raw Data'!$A:$M,12,0))</f>
        <v/>
      </c>
      <c r="M314" t="str">
        <f>IF(ISNA(VLOOKUP($F314,'Raw Data'!$A:$M,13,0)),"",VLOOKUP($F314,'Raw Data'!$A:$M,13,0))</f>
        <v/>
      </c>
    </row>
    <row r="315" spans="1:13" x14ac:dyDescent="0.25">
      <c r="A315" t="s">
        <v>37</v>
      </c>
      <c r="B315">
        <v>2014</v>
      </c>
      <c r="C315">
        <v>4</v>
      </c>
      <c r="D315" s="3">
        <v>760</v>
      </c>
      <c r="E315" s="3" t="s">
        <v>9</v>
      </c>
      <c r="F315" s="3" t="str">
        <f t="shared" si="4"/>
        <v>FGU620144760100+</v>
      </c>
      <c r="G315" t="str">
        <f>IF(ISNA(VLOOKUP($F315,'Raw Data'!$A:$M,7,0)),"",VLOOKUP($F315,'Raw Data'!$A:$M,7,0))</f>
        <v/>
      </c>
      <c r="H315" t="str">
        <f>IF(ISNA(VLOOKUP($F315,'Raw Data'!$A:$M,8,0)),"",VLOOKUP($F315,'Raw Data'!$A:$M,8,0))</f>
        <v/>
      </c>
      <c r="I315" t="str">
        <f>IF(ISNA(VLOOKUP($F315,'Raw Data'!$A:$M,9,0)),"",VLOOKUP($F315,'Raw Data'!$A:$M,9,0))</f>
        <v/>
      </c>
      <c r="J315" t="str">
        <f>IF(ISNA(VLOOKUP($F315,'Raw Data'!$A:$M,10,0)),"",VLOOKUP($F315,'Raw Data'!$A:$M,10,0))</f>
        <v/>
      </c>
      <c r="K315" t="str">
        <f>IF(ISNA(VLOOKUP($F315,'Raw Data'!$A:$M,11,0)),"",VLOOKUP($F315,'Raw Data'!$A:$M,11,0))</f>
        <v/>
      </c>
      <c r="L315" t="str">
        <f>IF(ISNA(VLOOKUP($F315,'Raw Data'!$A:$M,12,0)),"",VLOOKUP($F315,'Raw Data'!$A:$M,12,0))</f>
        <v/>
      </c>
      <c r="M315" t="str">
        <f>IF(ISNA(VLOOKUP($F315,'Raw Data'!$A:$M,13,0)),"",VLOOKUP($F315,'Raw Data'!$A:$M,13,0))</f>
        <v/>
      </c>
    </row>
    <row r="316" spans="1:13" x14ac:dyDescent="0.25">
      <c r="A316" t="s">
        <v>37</v>
      </c>
      <c r="B316">
        <v>2014</v>
      </c>
      <c r="C316">
        <v>4</v>
      </c>
      <c r="D316" s="3">
        <v>780</v>
      </c>
      <c r="E316" s="3" t="s">
        <v>9</v>
      </c>
      <c r="F316" s="3" t="str">
        <f t="shared" si="4"/>
        <v>FGU620144780100+</v>
      </c>
      <c r="G316" t="str">
        <f>IF(ISNA(VLOOKUP($F316,'Raw Data'!$A:$M,7,0)),"",VLOOKUP($F316,'Raw Data'!$A:$M,7,0))</f>
        <v/>
      </c>
      <c r="H316" t="str">
        <f>IF(ISNA(VLOOKUP($F316,'Raw Data'!$A:$M,8,0)),"",VLOOKUP($F316,'Raw Data'!$A:$M,8,0))</f>
        <v/>
      </c>
      <c r="I316" t="str">
        <f>IF(ISNA(VLOOKUP($F316,'Raw Data'!$A:$M,9,0)),"",VLOOKUP($F316,'Raw Data'!$A:$M,9,0))</f>
        <v/>
      </c>
      <c r="J316" t="str">
        <f>IF(ISNA(VLOOKUP($F316,'Raw Data'!$A:$M,10,0)),"",VLOOKUP($F316,'Raw Data'!$A:$M,10,0))</f>
        <v/>
      </c>
      <c r="K316" t="str">
        <f>IF(ISNA(VLOOKUP($F316,'Raw Data'!$A:$M,11,0)),"",VLOOKUP($F316,'Raw Data'!$A:$M,11,0))</f>
        <v/>
      </c>
      <c r="L316" t="str">
        <f>IF(ISNA(VLOOKUP($F316,'Raw Data'!$A:$M,12,0)),"",VLOOKUP($F316,'Raw Data'!$A:$M,12,0))</f>
        <v/>
      </c>
      <c r="M316" t="str">
        <f>IF(ISNA(VLOOKUP($F316,'Raw Data'!$A:$M,13,0)),"",VLOOKUP($F316,'Raw Data'!$A:$M,13,0))</f>
        <v/>
      </c>
    </row>
    <row r="317" spans="1:13" x14ac:dyDescent="0.25">
      <c r="A317" t="s">
        <v>37</v>
      </c>
      <c r="B317">
        <v>2012</v>
      </c>
      <c r="C317">
        <v>4.5</v>
      </c>
      <c r="D317" s="3">
        <v>620</v>
      </c>
      <c r="E317" s="3">
        <v>80</v>
      </c>
      <c r="F317" s="3" t="str">
        <f t="shared" si="4"/>
        <v>FGU620124.562080</v>
      </c>
      <c r="G317" t="str">
        <f>IF(ISNA(VLOOKUP($F317,'Raw Data'!$A:$M,7,0)),"",VLOOKUP($F317,'Raw Data'!$A:$M,7,0))</f>
        <v/>
      </c>
      <c r="H317" t="str">
        <f>IF(ISNA(VLOOKUP($F317,'Raw Data'!$A:$M,8,0)),"",VLOOKUP($F317,'Raw Data'!$A:$M,8,0))</f>
        <v/>
      </c>
      <c r="I317" t="str">
        <f>IF(ISNA(VLOOKUP($F317,'Raw Data'!$A:$M,9,0)),"",VLOOKUP($F317,'Raw Data'!$A:$M,9,0))</f>
        <v/>
      </c>
      <c r="J317" t="str">
        <f>IF(ISNA(VLOOKUP($F317,'Raw Data'!$A:$M,10,0)),"",VLOOKUP($F317,'Raw Data'!$A:$M,10,0))</f>
        <v/>
      </c>
      <c r="K317" t="str">
        <f>IF(ISNA(VLOOKUP($F317,'Raw Data'!$A:$M,11,0)),"",VLOOKUP($F317,'Raw Data'!$A:$M,11,0))</f>
        <v/>
      </c>
      <c r="L317" t="str">
        <f>IF(ISNA(VLOOKUP($F317,'Raw Data'!$A:$M,12,0)),"",VLOOKUP($F317,'Raw Data'!$A:$M,12,0))</f>
        <v/>
      </c>
      <c r="M317" t="str">
        <f>IF(ISNA(VLOOKUP($F317,'Raw Data'!$A:$M,13,0)),"",VLOOKUP($F317,'Raw Data'!$A:$M,13,0))</f>
        <v/>
      </c>
    </row>
    <row r="318" spans="1:13" x14ac:dyDescent="0.25">
      <c r="A318" t="s">
        <v>37</v>
      </c>
      <c r="B318">
        <v>2012</v>
      </c>
      <c r="C318">
        <v>4.5</v>
      </c>
      <c r="D318" s="3">
        <v>640</v>
      </c>
      <c r="E318" s="3">
        <v>80</v>
      </c>
      <c r="F318" s="3" t="str">
        <f t="shared" si="4"/>
        <v>FGU620124.564080</v>
      </c>
      <c r="G318" t="str">
        <f>IF(ISNA(VLOOKUP($F318,'Raw Data'!$A:$M,7,0)),"",VLOOKUP($F318,'Raw Data'!$A:$M,7,0))</f>
        <v/>
      </c>
      <c r="H318" t="str">
        <f>IF(ISNA(VLOOKUP($F318,'Raw Data'!$A:$M,8,0)),"",VLOOKUP($F318,'Raw Data'!$A:$M,8,0))</f>
        <v/>
      </c>
      <c r="I318" t="str">
        <f>IF(ISNA(VLOOKUP($F318,'Raw Data'!$A:$M,9,0)),"",VLOOKUP($F318,'Raw Data'!$A:$M,9,0))</f>
        <v/>
      </c>
      <c r="J318" t="str">
        <f>IF(ISNA(VLOOKUP($F318,'Raw Data'!$A:$M,10,0)),"",VLOOKUP($F318,'Raw Data'!$A:$M,10,0))</f>
        <v/>
      </c>
      <c r="K318" t="str">
        <f>IF(ISNA(VLOOKUP($F318,'Raw Data'!$A:$M,11,0)),"",VLOOKUP($F318,'Raw Data'!$A:$M,11,0))</f>
        <v/>
      </c>
      <c r="L318" t="str">
        <f>IF(ISNA(VLOOKUP($F318,'Raw Data'!$A:$M,12,0)),"",VLOOKUP($F318,'Raw Data'!$A:$M,12,0))</f>
        <v/>
      </c>
      <c r="M318" t="str">
        <f>IF(ISNA(VLOOKUP($F318,'Raw Data'!$A:$M,13,0)),"",VLOOKUP($F318,'Raw Data'!$A:$M,13,0))</f>
        <v/>
      </c>
    </row>
    <row r="319" spans="1:13" x14ac:dyDescent="0.25">
      <c r="A319" t="s">
        <v>37</v>
      </c>
      <c r="B319">
        <v>2012</v>
      </c>
      <c r="C319">
        <v>4.5</v>
      </c>
      <c r="D319" s="3">
        <v>660</v>
      </c>
      <c r="E319" s="3">
        <v>80</v>
      </c>
      <c r="F319" s="3" t="str">
        <f t="shared" si="4"/>
        <v>FGU620124.566080</v>
      </c>
      <c r="G319" t="str">
        <f>IF(ISNA(VLOOKUP($F319,'Raw Data'!$A:$M,7,0)),"",VLOOKUP($F319,'Raw Data'!$A:$M,7,0))</f>
        <v/>
      </c>
      <c r="H319" t="str">
        <f>IF(ISNA(VLOOKUP($F319,'Raw Data'!$A:$M,8,0)),"",VLOOKUP($F319,'Raw Data'!$A:$M,8,0))</f>
        <v/>
      </c>
      <c r="I319" t="str">
        <f>IF(ISNA(VLOOKUP($F319,'Raw Data'!$A:$M,9,0)),"",VLOOKUP($F319,'Raw Data'!$A:$M,9,0))</f>
        <v/>
      </c>
      <c r="J319" t="str">
        <f>IF(ISNA(VLOOKUP($F319,'Raw Data'!$A:$M,10,0)),"",VLOOKUP($F319,'Raw Data'!$A:$M,10,0))</f>
        <v/>
      </c>
      <c r="K319" t="str">
        <f>IF(ISNA(VLOOKUP($F319,'Raw Data'!$A:$M,11,0)),"",VLOOKUP($F319,'Raw Data'!$A:$M,11,0))</f>
        <v/>
      </c>
      <c r="L319" t="str">
        <f>IF(ISNA(VLOOKUP($F319,'Raw Data'!$A:$M,12,0)),"",VLOOKUP($F319,'Raw Data'!$A:$M,12,0))</f>
        <v/>
      </c>
      <c r="M319" t="str">
        <f>IF(ISNA(VLOOKUP($F319,'Raw Data'!$A:$M,13,0)),"",VLOOKUP($F319,'Raw Data'!$A:$M,13,0))</f>
        <v/>
      </c>
    </row>
    <row r="320" spans="1:13" x14ac:dyDescent="0.25">
      <c r="A320" t="s">
        <v>37</v>
      </c>
      <c r="B320">
        <v>2012</v>
      </c>
      <c r="C320">
        <v>4.5</v>
      </c>
      <c r="D320" s="3">
        <v>680</v>
      </c>
      <c r="E320" s="3">
        <v>80</v>
      </c>
      <c r="F320" s="3" t="str">
        <f t="shared" si="4"/>
        <v>FGU620124.568080</v>
      </c>
      <c r="G320" t="str">
        <f>IF(ISNA(VLOOKUP($F320,'Raw Data'!$A:$M,7,0)),"",VLOOKUP($F320,'Raw Data'!$A:$M,7,0))</f>
        <v/>
      </c>
      <c r="H320" t="str">
        <f>IF(ISNA(VLOOKUP($F320,'Raw Data'!$A:$M,8,0)),"",VLOOKUP($F320,'Raw Data'!$A:$M,8,0))</f>
        <v/>
      </c>
      <c r="I320" t="str">
        <f>IF(ISNA(VLOOKUP($F320,'Raw Data'!$A:$M,9,0)),"",VLOOKUP($F320,'Raw Data'!$A:$M,9,0))</f>
        <v/>
      </c>
      <c r="J320" t="str">
        <f>IF(ISNA(VLOOKUP($F320,'Raw Data'!$A:$M,10,0)),"",VLOOKUP($F320,'Raw Data'!$A:$M,10,0))</f>
        <v/>
      </c>
      <c r="K320" t="str">
        <f>IF(ISNA(VLOOKUP($F320,'Raw Data'!$A:$M,11,0)),"",VLOOKUP($F320,'Raw Data'!$A:$M,11,0))</f>
        <v/>
      </c>
      <c r="L320" t="str">
        <f>IF(ISNA(VLOOKUP($F320,'Raw Data'!$A:$M,12,0)),"",VLOOKUP($F320,'Raw Data'!$A:$M,12,0))</f>
        <v/>
      </c>
      <c r="M320" t="str">
        <f>IF(ISNA(VLOOKUP($F320,'Raw Data'!$A:$M,13,0)),"",VLOOKUP($F320,'Raw Data'!$A:$M,13,0))</f>
        <v/>
      </c>
    </row>
    <row r="321" spans="1:13" x14ac:dyDescent="0.25">
      <c r="A321" t="s">
        <v>37</v>
      </c>
      <c r="B321">
        <v>2012</v>
      </c>
      <c r="C321">
        <v>4.5</v>
      </c>
      <c r="D321" s="3">
        <v>700</v>
      </c>
      <c r="E321" s="3">
        <v>80</v>
      </c>
      <c r="F321" s="3" t="str">
        <f t="shared" si="4"/>
        <v>FGU620124.570080</v>
      </c>
      <c r="G321">
        <f>IF(ISNA(VLOOKUP($F321,'Raw Data'!$A:$M,7,0)),"",VLOOKUP($F321,'Raw Data'!$A:$M,7,0))</f>
        <v>1175507.94</v>
      </c>
      <c r="H321">
        <f>IF(ISNA(VLOOKUP($F321,'Raw Data'!$A:$M,8,0)),"",VLOOKUP($F321,'Raw Data'!$A:$M,8,0))</f>
        <v>-15.5036</v>
      </c>
      <c r="I321">
        <f>IF(ISNA(VLOOKUP($F321,'Raw Data'!$A:$M,9,0)),"",VLOOKUP($F321,'Raw Data'!$A:$M,9,0))</f>
        <v>9.4893000000000001</v>
      </c>
      <c r="J321">
        <f>IF(ISNA(VLOOKUP($F321,'Raw Data'!$A:$M,10,0)),"",VLOOKUP($F321,'Raw Data'!$A:$M,10,0))</f>
        <v>24.992899999999999</v>
      </c>
      <c r="K321">
        <f>IF(ISNA(VLOOKUP($F321,'Raw Data'!$A:$M,11,0)),"",VLOOKUP($F321,'Raw Data'!$A:$M,11,0))</f>
        <v>37.9146</v>
      </c>
      <c r="L321">
        <f>IF(ISNA(VLOOKUP($F321,'Raw Data'!$A:$M,12,0)),"",VLOOKUP($F321,'Raw Data'!$A:$M,12,0))</f>
        <v>47.098199999999999</v>
      </c>
      <c r="M321">
        <f>IF(ISNA(VLOOKUP($F321,'Raw Data'!$A:$M,13,0)),"",VLOOKUP($F321,'Raw Data'!$A:$M,13,0))</f>
        <v>9.1836000000000002</v>
      </c>
    </row>
    <row r="322" spans="1:13" x14ac:dyDescent="0.25">
      <c r="A322" t="s">
        <v>37</v>
      </c>
      <c r="B322">
        <v>2012</v>
      </c>
      <c r="C322">
        <v>4.5</v>
      </c>
      <c r="D322" s="3">
        <v>720</v>
      </c>
      <c r="E322" s="3">
        <v>80</v>
      </c>
      <c r="F322" s="3" t="str">
        <f t="shared" si="4"/>
        <v>FGU620124.572080</v>
      </c>
      <c r="G322">
        <f>IF(ISNA(VLOOKUP($F322,'Raw Data'!$A:$M,7,0)),"",VLOOKUP($F322,'Raw Data'!$A:$M,7,0))</f>
        <v>26009042.890000001</v>
      </c>
      <c r="H322">
        <f>IF(ISNA(VLOOKUP($F322,'Raw Data'!$A:$M,8,0)),"",VLOOKUP($F322,'Raw Data'!$A:$M,8,0))</f>
        <v>5.2352608182582703</v>
      </c>
      <c r="I322">
        <f>IF(ISNA(VLOOKUP($F322,'Raw Data'!$A:$M,9,0)),"",VLOOKUP($F322,'Raw Data'!$A:$M,9,0))</f>
        <v>30.230694552998099</v>
      </c>
      <c r="J322">
        <f>IF(ISNA(VLOOKUP($F322,'Raw Data'!$A:$M,10,0)),"",VLOOKUP($F322,'Raw Data'!$A:$M,10,0))</f>
        <v>24.995433734739802</v>
      </c>
      <c r="K322">
        <f>IF(ISNA(VLOOKUP($F322,'Raw Data'!$A:$M,11,0)),"",VLOOKUP($F322,'Raw Data'!$A:$M,11,0))</f>
        <v>54.520513333110202</v>
      </c>
      <c r="L322">
        <f>IF(ISNA(VLOOKUP($F322,'Raw Data'!$A:$M,12,0)),"",VLOOKUP($F322,'Raw Data'!$A:$M,12,0))</f>
        <v>60.812404588684402</v>
      </c>
      <c r="M322">
        <f>IF(ISNA(VLOOKUP($F322,'Raw Data'!$A:$M,13,0)),"",VLOOKUP($F322,'Raw Data'!$A:$M,13,0))</f>
        <v>6.2918912555741802</v>
      </c>
    </row>
    <row r="323" spans="1:13" x14ac:dyDescent="0.25">
      <c r="A323" t="s">
        <v>37</v>
      </c>
      <c r="B323">
        <v>2012</v>
      </c>
      <c r="C323">
        <v>4.5</v>
      </c>
      <c r="D323" s="3">
        <v>740</v>
      </c>
      <c r="E323" s="3">
        <v>80</v>
      </c>
      <c r="F323" s="3" t="str">
        <f t="shared" si="4"/>
        <v>FGU620124.574080</v>
      </c>
      <c r="G323">
        <f>IF(ISNA(VLOOKUP($F323,'Raw Data'!$A:$M,7,0)),"",VLOOKUP($F323,'Raw Data'!$A:$M,7,0))</f>
        <v>258000524.68000001</v>
      </c>
      <c r="H323">
        <f>IF(ISNA(VLOOKUP($F323,'Raw Data'!$A:$M,8,0)),"",VLOOKUP($F323,'Raw Data'!$A:$M,8,0))</f>
        <v>5.4908475493489002</v>
      </c>
      <c r="I323">
        <f>IF(ISNA(VLOOKUP($F323,'Raw Data'!$A:$M,9,0)),"",VLOOKUP($F323,'Raw Data'!$A:$M,9,0))</f>
        <v>30.486412786155501</v>
      </c>
      <c r="J323">
        <f>IF(ISNA(VLOOKUP($F323,'Raw Data'!$A:$M,10,0)),"",VLOOKUP($F323,'Raw Data'!$A:$M,10,0))</f>
        <v>24.995565236806598</v>
      </c>
      <c r="K323">
        <f>IF(ISNA(VLOOKUP($F323,'Raw Data'!$A:$M,11,0)),"",VLOOKUP($F323,'Raw Data'!$A:$M,11,0))</f>
        <v>57.590421274844999</v>
      </c>
      <c r="L323">
        <f>IF(ISNA(VLOOKUP($F323,'Raw Data'!$A:$M,12,0)),"",VLOOKUP($F323,'Raw Data'!$A:$M,12,0))</f>
        <v>63.603332930069897</v>
      </c>
      <c r="M323">
        <f>IF(ISNA(VLOOKUP($F323,'Raw Data'!$A:$M,13,0)),"",VLOOKUP($F323,'Raw Data'!$A:$M,13,0))</f>
        <v>6.0129116552249</v>
      </c>
    </row>
    <row r="324" spans="1:13" x14ac:dyDescent="0.25">
      <c r="A324" t="s">
        <v>37</v>
      </c>
      <c r="B324">
        <v>2012</v>
      </c>
      <c r="C324">
        <v>4.5</v>
      </c>
      <c r="D324" s="3">
        <v>760</v>
      </c>
      <c r="E324" s="3">
        <v>80</v>
      </c>
      <c r="F324" s="3" t="str">
        <f t="shared" ref="F324:F387" si="5">A324&amp;B324&amp;C324&amp;D324&amp;E324</f>
        <v>FGU620124.576080</v>
      </c>
      <c r="G324">
        <f>IF(ISNA(VLOOKUP($F324,'Raw Data'!$A:$M,7,0)),"",VLOOKUP($F324,'Raw Data'!$A:$M,7,0))</f>
        <v>31465167.23</v>
      </c>
      <c r="H324">
        <f>IF(ISNA(VLOOKUP($F324,'Raw Data'!$A:$M,8,0)),"",VLOOKUP($F324,'Raw Data'!$A:$M,8,0))</f>
        <v>1.1159958772488601</v>
      </c>
      <c r="I324">
        <f>IF(ISNA(VLOOKUP($F324,'Raw Data'!$A:$M,9,0)),"",VLOOKUP($F324,'Raw Data'!$A:$M,9,0))</f>
        <v>26.109122485700599</v>
      </c>
      <c r="J324">
        <f>IF(ISNA(VLOOKUP($F324,'Raw Data'!$A:$M,10,0)),"",VLOOKUP($F324,'Raw Data'!$A:$M,10,0))</f>
        <v>24.9931266084517</v>
      </c>
      <c r="K324">
        <f>IF(ISNA(VLOOKUP($F324,'Raw Data'!$A:$M,11,0)),"",VLOOKUP($F324,'Raw Data'!$A:$M,11,0))</f>
        <v>62.307705205956601</v>
      </c>
      <c r="L324">
        <f>IF(ISNA(VLOOKUP($F324,'Raw Data'!$A:$M,12,0)),"",VLOOKUP($F324,'Raw Data'!$A:$M,12,0))</f>
        <v>66.021590180723095</v>
      </c>
      <c r="M324">
        <f>IF(ISNA(VLOOKUP($F324,'Raw Data'!$A:$M,13,0)),"",VLOOKUP($F324,'Raw Data'!$A:$M,13,0))</f>
        <v>3.7138849747664202</v>
      </c>
    </row>
    <row r="325" spans="1:13" x14ac:dyDescent="0.25">
      <c r="A325" t="s">
        <v>37</v>
      </c>
      <c r="B325">
        <v>2012</v>
      </c>
      <c r="C325">
        <v>4.5</v>
      </c>
      <c r="D325" s="3">
        <v>780</v>
      </c>
      <c r="E325" s="3">
        <v>80</v>
      </c>
      <c r="F325" s="3" t="str">
        <f t="shared" si="5"/>
        <v>FGU620124.578080</v>
      </c>
      <c r="G325">
        <f>IF(ISNA(VLOOKUP($F325,'Raw Data'!$A:$M,7,0)),"",VLOOKUP($F325,'Raw Data'!$A:$M,7,0))</f>
        <v>1372585.95</v>
      </c>
      <c r="H325">
        <f>IF(ISNA(VLOOKUP($F325,'Raw Data'!$A:$M,8,0)),"",VLOOKUP($F325,'Raw Data'!$A:$M,8,0))</f>
        <v>30.285900000000002</v>
      </c>
      <c r="I325">
        <f>IF(ISNA(VLOOKUP($F325,'Raw Data'!$A:$M,9,0)),"",VLOOKUP($F325,'Raw Data'!$A:$M,9,0))</f>
        <v>55.2821</v>
      </c>
      <c r="J325">
        <f>IF(ISNA(VLOOKUP($F325,'Raw Data'!$A:$M,10,0)),"",VLOOKUP($F325,'Raw Data'!$A:$M,10,0))</f>
        <v>24.996200000000002</v>
      </c>
      <c r="K325">
        <f>IF(ISNA(VLOOKUP($F325,'Raw Data'!$A:$M,11,0)),"",VLOOKUP($F325,'Raw Data'!$A:$M,11,0))</f>
        <v>105.40730000000001</v>
      </c>
      <c r="L325">
        <f>IF(ISNA(VLOOKUP($F325,'Raw Data'!$A:$M,12,0)),"",VLOOKUP($F325,'Raw Data'!$A:$M,12,0))</f>
        <v>105.40730000000001</v>
      </c>
      <c r="M325">
        <f>IF(ISNA(VLOOKUP($F325,'Raw Data'!$A:$M,13,0)),"",VLOOKUP($F325,'Raw Data'!$A:$M,13,0))</f>
        <v>0</v>
      </c>
    </row>
    <row r="326" spans="1:13" x14ac:dyDescent="0.25">
      <c r="A326" t="s">
        <v>37</v>
      </c>
      <c r="B326">
        <v>2012</v>
      </c>
      <c r="C326">
        <v>4.5</v>
      </c>
      <c r="D326" s="3">
        <v>620</v>
      </c>
      <c r="E326" s="3">
        <v>85</v>
      </c>
      <c r="F326" s="3" t="str">
        <f t="shared" si="5"/>
        <v>FGU620124.562085</v>
      </c>
      <c r="G326" t="str">
        <f>IF(ISNA(VLOOKUP($F326,'Raw Data'!$A:$M,7,0)),"",VLOOKUP($F326,'Raw Data'!$A:$M,7,0))</f>
        <v/>
      </c>
      <c r="H326" t="str">
        <f>IF(ISNA(VLOOKUP($F326,'Raw Data'!$A:$M,8,0)),"",VLOOKUP($F326,'Raw Data'!$A:$M,8,0))</f>
        <v/>
      </c>
      <c r="I326" t="str">
        <f>IF(ISNA(VLOOKUP($F326,'Raw Data'!$A:$M,9,0)),"",VLOOKUP($F326,'Raw Data'!$A:$M,9,0))</f>
        <v/>
      </c>
      <c r="J326" t="str">
        <f>IF(ISNA(VLOOKUP($F326,'Raw Data'!$A:$M,10,0)),"",VLOOKUP($F326,'Raw Data'!$A:$M,10,0))</f>
        <v/>
      </c>
      <c r="K326" t="str">
        <f>IF(ISNA(VLOOKUP($F326,'Raw Data'!$A:$M,11,0)),"",VLOOKUP($F326,'Raw Data'!$A:$M,11,0))</f>
        <v/>
      </c>
      <c r="L326" t="str">
        <f>IF(ISNA(VLOOKUP($F326,'Raw Data'!$A:$M,12,0)),"",VLOOKUP($F326,'Raw Data'!$A:$M,12,0))</f>
        <v/>
      </c>
      <c r="M326" t="str">
        <f>IF(ISNA(VLOOKUP($F326,'Raw Data'!$A:$M,13,0)),"",VLOOKUP($F326,'Raw Data'!$A:$M,13,0))</f>
        <v/>
      </c>
    </row>
    <row r="327" spans="1:13" x14ac:dyDescent="0.25">
      <c r="A327" t="s">
        <v>37</v>
      </c>
      <c r="B327">
        <v>2012</v>
      </c>
      <c r="C327">
        <v>4.5</v>
      </c>
      <c r="D327" s="3">
        <v>640</v>
      </c>
      <c r="E327" s="3">
        <v>85</v>
      </c>
      <c r="F327" s="3" t="str">
        <f t="shared" si="5"/>
        <v>FGU620124.564085</v>
      </c>
      <c r="G327" t="str">
        <f>IF(ISNA(VLOOKUP($F327,'Raw Data'!$A:$M,7,0)),"",VLOOKUP($F327,'Raw Data'!$A:$M,7,0))</f>
        <v/>
      </c>
      <c r="H327" t="str">
        <f>IF(ISNA(VLOOKUP($F327,'Raw Data'!$A:$M,8,0)),"",VLOOKUP($F327,'Raw Data'!$A:$M,8,0))</f>
        <v/>
      </c>
      <c r="I327" t="str">
        <f>IF(ISNA(VLOOKUP($F327,'Raw Data'!$A:$M,9,0)),"",VLOOKUP($F327,'Raw Data'!$A:$M,9,0))</f>
        <v/>
      </c>
      <c r="J327" t="str">
        <f>IF(ISNA(VLOOKUP($F327,'Raw Data'!$A:$M,10,0)),"",VLOOKUP($F327,'Raw Data'!$A:$M,10,0))</f>
        <v/>
      </c>
      <c r="K327" t="str">
        <f>IF(ISNA(VLOOKUP($F327,'Raw Data'!$A:$M,11,0)),"",VLOOKUP($F327,'Raw Data'!$A:$M,11,0))</f>
        <v/>
      </c>
      <c r="L327" t="str">
        <f>IF(ISNA(VLOOKUP($F327,'Raw Data'!$A:$M,12,0)),"",VLOOKUP($F327,'Raw Data'!$A:$M,12,0))</f>
        <v/>
      </c>
      <c r="M327" t="str">
        <f>IF(ISNA(VLOOKUP($F327,'Raw Data'!$A:$M,13,0)),"",VLOOKUP($F327,'Raw Data'!$A:$M,13,0))</f>
        <v/>
      </c>
    </row>
    <row r="328" spans="1:13" x14ac:dyDescent="0.25">
      <c r="A328" t="s">
        <v>37</v>
      </c>
      <c r="B328">
        <v>2012</v>
      </c>
      <c r="C328">
        <v>4.5</v>
      </c>
      <c r="D328" s="3">
        <v>660</v>
      </c>
      <c r="E328" s="3">
        <v>85</v>
      </c>
      <c r="F328" s="3" t="str">
        <f t="shared" si="5"/>
        <v>FGU620124.566085</v>
      </c>
      <c r="G328" t="str">
        <f>IF(ISNA(VLOOKUP($F328,'Raw Data'!$A:$M,7,0)),"",VLOOKUP($F328,'Raw Data'!$A:$M,7,0))</f>
        <v/>
      </c>
      <c r="H328" t="str">
        <f>IF(ISNA(VLOOKUP($F328,'Raw Data'!$A:$M,8,0)),"",VLOOKUP($F328,'Raw Data'!$A:$M,8,0))</f>
        <v/>
      </c>
      <c r="I328" t="str">
        <f>IF(ISNA(VLOOKUP($F328,'Raw Data'!$A:$M,9,0)),"",VLOOKUP($F328,'Raw Data'!$A:$M,9,0))</f>
        <v/>
      </c>
      <c r="J328" t="str">
        <f>IF(ISNA(VLOOKUP($F328,'Raw Data'!$A:$M,10,0)),"",VLOOKUP($F328,'Raw Data'!$A:$M,10,0))</f>
        <v/>
      </c>
      <c r="K328" t="str">
        <f>IF(ISNA(VLOOKUP($F328,'Raw Data'!$A:$M,11,0)),"",VLOOKUP($F328,'Raw Data'!$A:$M,11,0))</f>
        <v/>
      </c>
      <c r="L328" t="str">
        <f>IF(ISNA(VLOOKUP($F328,'Raw Data'!$A:$M,12,0)),"",VLOOKUP($F328,'Raw Data'!$A:$M,12,0))</f>
        <v/>
      </c>
      <c r="M328" t="str">
        <f>IF(ISNA(VLOOKUP($F328,'Raw Data'!$A:$M,13,0)),"",VLOOKUP($F328,'Raw Data'!$A:$M,13,0))</f>
        <v/>
      </c>
    </row>
    <row r="329" spans="1:13" x14ac:dyDescent="0.25">
      <c r="A329" t="s">
        <v>37</v>
      </c>
      <c r="B329">
        <v>2012</v>
      </c>
      <c r="C329">
        <v>4.5</v>
      </c>
      <c r="D329" s="3">
        <v>680</v>
      </c>
      <c r="E329" s="3">
        <v>85</v>
      </c>
      <c r="F329" s="3" t="str">
        <f t="shared" si="5"/>
        <v>FGU620124.568085</v>
      </c>
      <c r="G329" t="str">
        <f>IF(ISNA(VLOOKUP($F329,'Raw Data'!$A:$M,7,0)),"",VLOOKUP($F329,'Raw Data'!$A:$M,7,0))</f>
        <v/>
      </c>
      <c r="H329" t="str">
        <f>IF(ISNA(VLOOKUP($F329,'Raw Data'!$A:$M,8,0)),"",VLOOKUP($F329,'Raw Data'!$A:$M,8,0))</f>
        <v/>
      </c>
      <c r="I329" t="str">
        <f>IF(ISNA(VLOOKUP($F329,'Raw Data'!$A:$M,9,0)),"",VLOOKUP($F329,'Raw Data'!$A:$M,9,0))</f>
        <v/>
      </c>
      <c r="J329" t="str">
        <f>IF(ISNA(VLOOKUP($F329,'Raw Data'!$A:$M,10,0)),"",VLOOKUP($F329,'Raw Data'!$A:$M,10,0))</f>
        <v/>
      </c>
      <c r="K329" t="str">
        <f>IF(ISNA(VLOOKUP($F329,'Raw Data'!$A:$M,11,0)),"",VLOOKUP($F329,'Raw Data'!$A:$M,11,0))</f>
        <v/>
      </c>
      <c r="L329" t="str">
        <f>IF(ISNA(VLOOKUP($F329,'Raw Data'!$A:$M,12,0)),"",VLOOKUP($F329,'Raw Data'!$A:$M,12,0))</f>
        <v/>
      </c>
      <c r="M329" t="str">
        <f>IF(ISNA(VLOOKUP($F329,'Raw Data'!$A:$M,13,0)),"",VLOOKUP($F329,'Raw Data'!$A:$M,13,0))</f>
        <v/>
      </c>
    </row>
    <row r="330" spans="1:13" x14ac:dyDescent="0.25">
      <c r="A330" t="s">
        <v>37</v>
      </c>
      <c r="B330">
        <v>2012</v>
      </c>
      <c r="C330">
        <v>4.5</v>
      </c>
      <c r="D330" s="3">
        <v>700</v>
      </c>
      <c r="E330" s="3">
        <v>85</v>
      </c>
      <c r="F330" s="3" t="str">
        <f t="shared" si="5"/>
        <v>FGU620124.570085</v>
      </c>
      <c r="G330" t="str">
        <f>IF(ISNA(VLOOKUP($F330,'Raw Data'!$A:$M,7,0)),"",VLOOKUP($F330,'Raw Data'!$A:$M,7,0))</f>
        <v/>
      </c>
      <c r="H330" t="str">
        <f>IF(ISNA(VLOOKUP($F330,'Raw Data'!$A:$M,8,0)),"",VLOOKUP($F330,'Raw Data'!$A:$M,8,0))</f>
        <v/>
      </c>
      <c r="I330" t="str">
        <f>IF(ISNA(VLOOKUP($F330,'Raw Data'!$A:$M,9,0)),"",VLOOKUP($F330,'Raw Data'!$A:$M,9,0))</f>
        <v/>
      </c>
      <c r="J330" t="str">
        <f>IF(ISNA(VLOOKUP($F330,'Raw Data'!$A:$M,10,0)),"",VLOOKUP($F330,'Raw Data'!$A:$M,10,0))</f>
        <v/>
      </c>
      <c r="K330" t="str">
        <f>IF(ISNA(VLOOKUP($F330,'Raw Data'!$A:$M,11,0)),"",VLOOKUP($F330,'Raw Data'!$A:$M,11,0))</f>
        <v/>
      </c>
      <c r="L330" t="str">
        <f>IF(ISNA(VLOOKUP($F330,'Raw Data'!$A:$M,12,0)),"",VLOOKUP($F330,'Raw Data'!$A:$M,12,0))</f>
        <v/>
      </c>
      <c r="M330" t="str">
        <f>IF(ISNA(VLOOKUP($F330,'Raw Data'!$A:$M,13,0)),"",VLOOKUP($F330,'Raw Data'!$A:$M,13,0))</f>
        <v/>
      </c>
    </row>
    <row r="331" spans="1:13" x14ac:dyDescent="0.25">
      <c r="A331" t="s">
        <v>37</v>
      </c>
      <c r="B331">
        <v>2012</v>
      </c>
      <c r="C331">
        <v>4.5</v>
      </c>
      <c r="D331" s="3">
        <v>720</v>
      </c>
      <c r="E331" s="3">
        <v>85</v>
      </c>
      <c r="F331" s="3" t="str">
        <f t="shared" si="5"/>
        <v>FGU620124.572085</v>
      </c>
      <c r="G331">
        <f>IF(ISNA(VLOOKUP($F331,'Raw Data'!$A:$M,7,0)),"",VLOOKUP($F331,'Raw Data'!$A:$M,7,0))</f>
        <v>559624.42000000004</v>
      </c>
      <c r="H331">
        <f>IF(ISNA(VLOOKUP($F331,'Raw Data'!$A:$M,8,0)),"",VLOOKUP($F331,'Raw Data'!$A:$M,8,0))</f>
        <v>8.6609999999999996</v>
      </c>
      <c r="I331">
        <f>IF(ISNA(VLOOKUP($F331,'Raw Data'!$A:$M,9,0)),"",VLOOKUP($F331,'Raw Data'!$A:$M,9,0))</f>
        <v>33.656199999999998</v>
      </c>
      <c r="J331">
        <f>IF(ISNA(VLOOKUP($F331,'Raw Data'!$A:$M,10,0)),"",VLOOKUP($F331,'Raw Data'!$A:$M,10,0))</f>
        <v>24.995200000000001</v>
      </c>
      <c r="K331">
        <f>IF(ISNA(VLOOKUP($F331,'Raw Data'!$A:$M,11,0)),"",VLOOKUP($F331,'Raw Data'!$A:$M,11,0))</f>
        <v>51.008699999999997</v>
      </c>
      <c r="L331">
        <f>IF(ISNA(VLOOKUP($F331,'Raw Data'!$A:$M,12,0)),"",VLOOKUP($F331,'Raw Data'!$A:$M,12,0))</f>
        <v>58.883699999999997</v>
      </c>
      <c r="M331">
        <f>IF(ISNA(VLOOKUP($F331,'Raw Data'!$A:$M,13,0)),"",VLOOKUP($F331,'Raw Data'!$A:$M,13,0))</f>
        <v>7.875</v>
      </c>
    </row>
    <row r="332" spans="1:13" x14ac:dyDescent="0.25">
      <c r="A332" t="s">
        <v>37</v>
      </c>
      <c r="B332">
        <v>2012</v>
      </c>
      <c r="C332">
        <v>4.5</v>
      </c>
      <c r="D332" s="3">
        <v>740</v>
      </c>
      <c r="E332" s="3">
        <v>85</v>
      </c>
      <c r="F332" s="3" t="str">
        <f t="shared" si="5"/>
        <v>FGU620124.574085</v>
      </c>
      <c r="G332">
        <f>IF(ISNA(VLOOKUP($F332,'Raw Data'!$A:$M,7,0)),"",VLOOKUP($F332,'Raw Data'!$A:$M,7,0))</f>
        <v>17380470.449999999</v>
      </c>
      <c r="H332">
        <f>IF(ISNA(VLOOKUP($F332,'Raw Data'!$A:$M,8,0)),"",VLOOKUP($F332,'Raw Data'!$A:$M,8,0))</f>
        <v>-2.39583196282894</v>
      </c>
      <c r="I332">
        <f>IF(ISNA(VLOOKUP($F332,'Raw Data'!$A:$M,9,0)),"",VLOOKUP($F332,'Raw Data'!$A:$M,9,0))</f>
        <v>22.597732791371801</v>
      </c>
      <c r="J332">
        <f>IF(ISNA(VLOOKUP($F332,'Raw Data'!$A:$M,10,0)),"",VLOOKUP($F332,'Raw Data'!$A:$M,10,0))</f>
        <v>24.993564754200701</v>
      </c>
      <c r="K332">
        <f>IF(ISNA(VLOOKUP($F332,'Raw Data'!$A:$M,11,0)),"",VLOOKUP($F332,'Raw Data'!$A:$M,11,0))</f>
        <v>39.635249304491303</v>
      </c>
      <c r="L332">
        <f>IF(ISNA(VLOOKUP($F332,'Raw Data'!$A:$M,12,0)),"",VLOOKUP($F332,'Raw Data'!$A:$M,12,0))</f>
        <v>48.083967974701203</v>
      </c>
      <c r="M332">
        <f>IF(ISNA(VLOOKUP($F332,'Raw Data'!$A:$M,13,0)),"",VLOOKUP($F332,'Raw Data'!$A:$M,13,0))</f>
        <v>8.4487186702098693</v>
      </c>
    </row>
    <row r="333" spans="1:13" x14ac:dyDescent="0.25">
      <c r="A333" t="s">
        <v>37</v>
      </c>
      <c r="B333">
        <v>2012</v>
      </c>
      <c r="C333">
        <v>4.5</v>
      </c>
      <c r="D333" s="3">
        <v>760</v>
      </c>
      <c r="E333" s="3">
        <v>85</v>
      </c>
      <c r="F333" s="3" t="str">
        <f t="shared" si="5"/>
        <v>FGU620124.576085</v>
      </c>
      <c r="G333" t="str">
        <f>IF(ISNA(VLOOKUP($F333,'Raw Data'!$A:$M,7,0)),"",VLOOKUP($F333,'Raw Data'!$A:$M,7,0))</f>
        <v/>
      </c>
      <c r="H333" t="str">
        <f>IF(ISNA(VLOOKUP($F333,'Raw Data'!$A:$M,8,0)),"",VLOOKUP($F333,'Raw Data'!$A:$M,8,0))</f>
        <v/>
      </c>
      <c r="I333" t="str">
        <f>IF(ISNA(VLOOKUP($F333,'Raw Data'!$A:$M,9,0)),"",VLOOKUP($F333,'Raw Data'!$A:$M,9,0))</f>
        <v/>
      </c>
      <c r="J333" t="str">
        <f>IF(ISNA(VLOOKUP($F333,'Raw Data'!$A:$M,10,0)),"",VLOOKUP($F333,'Raw Data'!$A:$M,10,0))</f>
        <v/>
      </c>
      <c r="K333" t="str">
        <f>IF(ISNA(VLOOKUP($F333,'Raw Data'!$A:$M,11,0)),"",VLOOKUP($F333,'Raw Data'!$A:$M,11,0))</f>
        <v/>
      </c>
      <c r="L333" t="str">
        <f>IF(ISNA(VLOOKUP($F333,'Raw Data'!$A:$M,12,0)),"",VLOOKUP($F333,'Raw Data'!$A:$M,12,0))</f>
        <v/>
      </c>
      <c r="M333" t="str">
        <f>IF(ISNA(VLOOKUP($F333,'Raw Data'!$A:$M,13,0)),"",VLOOKUP($F333,'Raw Data'!$A:$M,13,0))</f>
        <v/>
      </c>
    </row>
    <row r="334" spans="1:13" x14ac:dyDescent="0.25">
      <c r="A334" t="s">
        <v>37</v>
      </c>
      <c r="B334">
        <v>2012</v>
      </c>
      <c r="C334">
        <v>4.5</v>
      </c>
      <c r="D334" s="3">
        <v>780</v>
      </c>
      <c r="E334" s="3">
        <v>85</v>
      </c>
      <c r="F334" s="3" t="str">
        <f t="shared" si="5"/>
        <v>FGU620124.578085</v>
      </c>
      <c r="G334">
        <f>IF(ISNA(VLOOKUP($F334,'Raw Data'!$A:$M,7,0)),"",VLOOKUP($F334,'Raw Data'!$A:$M,7,0))</f>
        <v>1069943.46</v>
      </c>
      <c r="H334">
        <f>IF(ISNA(VLOOKUP($F334,'Raw Data'!$A:$M,8,0)),"",VLOOKUP($F334,'Raw Data'!$A:$M,8,0))</f>
        <v>-17.021999999999998</v>
      </c>
      <c r="I334">
        <f>IF(ISNA(VLOOKUP($F334,'Raw Data'!$A:$M,9,0)),"",VLOOKUP($F334,'Raw Data'!$A:$M,9,0))</f>
        <v>7.9679000000000002</v>
      </c>
      <c r="J334">
        <f>IF(ISNA(VLOOKUP($F334,'Raw Data'!$A:$M,10,0)),"",VLOOKUP($F334,'Raw Data'!$A:$M,10,0))</f>
        <v>24.989899999999999</v>
      </c>
      <c r="K334">
        <f>IF(ISNA(VLOOKUP($F334,'Raw Data'!$A:$M,11,0)),"",VLOOKUP($F334,'Raw Data'!$A:$M,11,0))</f>
        <v>15.184900000000001</v>
      </c>
      <c r="L334">
        <f>IF(ISNA(VLOOKUP($F334,'Raw Data'!$A:$M,12,0)),"",VLOOKUP($F334,'Raw Data'!$A:$M,12,0))</f>
        <v>29.894400000000001</v>
      </c>
      <c r="M334">
        <f>IF(ISNA(VLOOKUP($F334,'Raw Data'!$A:$M,13,0)),"",VLOOKUP($F334,'Raw Data'!$A:$M,13,0))</f>
        <v>14.7095</v>
      </c>
    </row>
    <row r="335" spans="1:13" x14ac:dyDescent="0.25">
      <c r="A335" t="s">
        <v>37</v>
      </c>
      <c r="B335">
        <v>2012</v>
      </c>
      <c r="C335">
        <v>4.5</v>
      </c>
      <c r="D335" s="3">
        <v>620</v>
      </c>
      <c r="E335" s="3">
        <v>90</v>
      </c>
      <c r="F335" s="3" t="str">
        <f t="shared" si="5"/>
        <v>FGU620124.562090</v>
      </c>
      <c r="G335" t="str">
        <f>IF(ISNA(VLOOKUP($F335,'Raw Data'!$A:$M,7,0)),"",VLOOKUP($F335,'Raw Data'!$A:$M,7,0))</f>
        <v/>
      </c>
      <c r="H335" t="str">
        <f>IF(ISNA(VLOOKUP($F335,'Raw Data'!$A:$M,8,0)),"",VLOOKUP($F335,'Raw Data'!$A:$M,8,0))</f>
        <v/>
      </c>
      <c r="I335" t="str">
        <f>IF(ISNA(VLOOKUP($F335,'Raw Data'!$A:$M,9,0)),"",VLOOKUP($F335,'Raw Data'!$A:$M,9,0))</f>
        <v/>
      </c>
      <c r="J335" t="str">
        <f>IF(ISNA(VLOOKUP($F335,'Raw Data'!$A:$M,10,0)),"",VLOOKUP($F335,'Raw Data'!$A:$M,10,0))</f>
        <v/>
      </c>
      <c r="K335" t="str">
        <f>IF(ISNA(VLOOKUP($F335,'Raw Data'!$A:$M,11,0)),"",VLOOKUP($F335,'Raw Data'!$A:$M,11,0))</f>
        <v/>
      </c>
      <c r="L335" t="str">
        <f>IF(ISNA(VLOOKUP($F335,'Raw Data'!$A:$M,12,0)),"",VLOOKUP($F335,'Raw Data'!$A:$M,12,0))</f>
        <v/>
      </c>
      <c r="M335" t="str">
        <f>IF(ISNA(VLOOKUP($F335,'Raw Data'!$A:$M,13,0)),"",VLOOKUP($F335,'Raw Data'!$A:$M,13,0))</f>
        <v/>
      </c>
    </row>
    <row r="336" spans="1:13" x14ac:dyDescent="0.25">
      <c r="A336" t="s">
        <v>37</v>
      </c>
      <c r="B336">
        <v>2012</v>
      </c>
      <c r="C336">
        <v>4.5</v>
      </c>
      <c r="D336" s="3">
        <v>640</v>
      </c>
      <c r="E336" s="3">
        <v>90</v>
      </c>
      <c r="F336" s="3" t="str">
        <f t="shared" si="5"/>
        <v>FGU620124.564090</v>
      </c>
      <c r="G336" t="str">
        <f>IF(ISNA(VLOOKUP($F336,'Raw Data'!$A:$M,7,0)),"",VLOOKUP($F336,'Raw Data'!$A:$M,7,0))</f>
        <v/>
      </c>
      <c r="H336" t="str">
        <f>IF(ISNA(VLOOKUP($F336,'Raw Data'!$A:$M,8,0)),"",VLOOKUP($F336,'Raw Data'!$A:$M,8,0))</f>
        <v/>
      </c>
      <c r="I336" t="str">
        <f>IF(ISNA(VLOOKUP($F336,'Raw Data'!$A:$M,9,0)),"",VLOOKUP($F336,'Raw Data'!$A:$M,9,0))</f>
        <v/>
      </c>
      <c r="J336" t="str">
        <f>IF(ISNA(VLOOKUP($F336,'Raw Data'!$A:$M,10,0)),"",VLOOKUP($F336,'Raw Data'!$A:$M,10,0))</f>
        <v/>
      </c>
      <c r="K336" t="str">
        <f>IF(ISNA(VLOOKUP($F336,'Raw Data'!$A:$M,11,0)),"",VLOOKUP($F336,'Raw Data'!$A:$M,11,0))</f>
        <v/>
      </c>
      <c r="L336" t="str">
        <f>IF(ISNA(VLOOKUP($F336,'Raw Data'!$A:$M,12,0)),"",VLOOKUP($F336,'Raw Data'!$A:$M,12,0))</f>
        <v/>
      </c>
      <c r="M336" t="str">
        <f>IF(ISNA(VLOOKUP($F336,'Raw Data'!$A:$M,13,0)),"",VLOOKUP($F336,'Raw Data'!$A:$M,13,0))</f>
        <v/>
      </c>
    </row>
    <row r="337" spans="1:13" x14ac:dyDescent="0.25">
      <c r="A337" t="s">
        <v>37</v>
      </c>
      <c r="B337">
        <v>2012</v>
      </c>
      <c r="C337">
        <v>4.5</v>
      </c>
      <c r="D337" s="3">
        <v>660</v>
      </c>
      <c r="E337" s="3">
        <v>90</v>
      </c>
      <c r="F337" s="3" t="str">
        <f t="shared" si="5"/>
        <v>FGU620124.566090</v>
      </c>
      <c r="G337" t="str">
        <f>IF(ISNA(VLOOKUP($F337,'Raw Data'!$A:$M,7,0)),"",VLOOKUP($F337,'Raw Data'!$A:$M,7,0))</f>
        <v/>
      </c>
      <c r="H337" t="str">
        <f>IF(ISNA(VLOOKUP($F337,'Raw Data'!$A:$M,8,0)),"",VLOOKUP($F337,'Raw Data'!$A:$M,8,0))</f>
        <v/>
      </c>
      <c r="I337" t="str">
        <f>IF(ISNA(VLOOKUP($F337,'Raw Data'!$A:$M,9,0)),"",VLOOKUP($F337,'Raw Data'!$A:$M,9,0))</f>
        <v/>
      </c>
      <c r="J337" t="str">
        <f>IF(ISNA(VLOOKUP($F337,'Raw Data'!$A:$M,10,0)),"",VLOOKUP($F337,'Raw Data'!$A:$M,10,0))</f>
        <v/>
      </c>
      <c r="K337" t="str">
        <f>IF(ISNA(VLOOKUP($F337,'Raw Data'!$A:$M,11,0)),"",VLOOKUP($F337,'Raw Data'!$A:$M,11,0))</f>
        <v/>
      </c>
      <c r="L337" t="str">
        <f>IF(ISNA(VLOOKUP($F337,'Raw Data'!$A:$M,12,0)),"",VLOOKUP($F337,'Raw Data'!$A:$M,12,0))</f>
        <v/>
      </c>
      <c r="M337" t="str">
        <f>IF(ISNA(VLOOKUP($F337,'Raw Data'!$A:$M,13,0)),"",VLOOKUP($F337,'Raw Data'!$A:$M,13,0))</f>
        <v/>
      </c>
    </row>
    <row r="338" spans="1:13" x14ac:dyDescent="0.25">
      <c r="A338" t="s">
        <v>37</v>
      </c>
      <c r="B338">
        <v>2012</v>
      </c>
      <c r="C338">
        <v>4.5</v>
      </c>
      <c r="D338" s="3">
        <v>680</v>
      </c>
      <c r="E338" s="3">
        <v>90</v>
      </c>
      <c r="F338" s="3" t="str">
        <f t="shared" si="5"/>
        <v>FGU620124.568090</v>
      </c>
      <c r="G338" t="str">
        <f>IF(ISNA(VLOOKUP($F338,'Raw Data'!$A:$M,7,0)),"",VLOOKUP($F338,'Raw Data'!$A:$M,7,0))</f>
        <v/>
      </c>
      <c r="H338" t="str">
        <f>IF(ISNA(VLOOKUP($F338,'Raw Data'!$A:$M,8,0)),"",VLOOKUP($F338,'Raw Data'!$A:$M,8,0))</f>
        <v/>
      </c>
      <c r="I338" t="str">
        <f>IF(ISNA(VLOOKUP($F338,'Raw Data'!$A:$M,9,0)),"",VLOOKUP($F338,'Raw Data'!$A:$M,9,0))</f>
        <v/>
      </c>
      <c r="J338" t="str">
        <f>IF(ISNA(VLOOKUP($F338,'Raw Data'!$A:$M,10,0)),"",VLOOKUP($F338,'Raw Data'!$A:$M,10,0))</f>
        <v/>
      </c>
      <c r="K338" t="str">
        <f>IF(ISNA(VLOOKUP($F338,'Raw Data'!$A:$M,11,0)),"",VLOOKUP($F338,'Raw Data'!$A:$M,11,0))</f>
        <v/>
      </c>
      <c r="L338" t="str">
        <f>IF(ISNA(VLOOKUP($F338,'Raw Data'!$A:$M,12,0)),"",VLOOKUP($F338,'Raw Data'!$A:$M,12,0))</f>
        <v/>
      </c>
      <c r="M338" t="str">
        <f>IF(ISNA(VLOOKUP($F338,'Raw Data'!$A:$M,13,0)),"",VLOOKUP($F338,'Raw Data'!$A:$M,13,0))</f>
        <v/>
      </c>
    </row>
    <row r="339" spans="1:13" x14ac:dyDescent="0.25">
      <c r="A339" t="s">
        <v>37</v>
      </c>
      <c r="B339">
        <v>2012</v>
      </c>
      <c r="C339">
        <v>4.5</v>
      </c>
      <c r="D339" s="3">
        <v>700</v>
      </c>
      <c r="E339" s="3">
        <v>90</v>
      </c>
      <c r="F339" s="3" t="str">
        <f t="shared" si="5"/>
        <v>FGU620124.570090</v>
      </c>
      <c r="G339" t="str">
        <f>IF(ISNA(VLOOKUP($F339,'Raw Data'!$A:$M,7,0)),"",VLOOKUP($F339,'Raw Data'!$A:$M,7,0))</f>
        <v/>
      </c>
      <c r="H339" t="str">
        <f>IF(ISNA(VLOOKUP($F339,'Raw Data'!$A:$M,8,0)),"",VLOOKUP($F339,'Raw Data'!$A:$M,8,0))</f>
        <v/>
      </c>
      <c r="I339" t="str">
        <f>IF(ISNA(VLOOKUP($F339,'Raw Data'!$A:$M,9,0)),"",VLOOKUP($F339,'Raw Data'!$A:$M,9,0))</f>
        <v/>
      </c>
      <c r="J339" t="str">
        <f>IF(ISNA(VLOOKUP($F339,'Raw Data'!$A:$M,10,0)),"",VLOOKUP($F339,'Raw Data'!$A:$M,10,0))</f>
        <v/>
      </c>
      <c r="K339" t="str">
        <f>IF(ISNA(VLOOKUP($F339,'Raw Data'!$A:$M,11,0)),"",VLOOKUP($F339,'Raw Data'!$A:$M,11,0))</f>
        <v/>
      </c>
      <c r="L339" t="str">
        <f>IF(ISNA(VLOOKUP($F339,'Raw Data'!$A:$M,12,0)),"",VLOOKUP($F339,'Raw Data'!$A:$M,12,0))</f>
        <v/>
      </c>
      <c r="M339" t="str">
        <f>IF(ISNA(VLOOKUP($F339,'Raw Data'!$A:$M,13,0)),"",VLOOKUP($F339,'Raw Data'!$A:$M,13,0))</f>
        <v/>
      </c>
    </row>
    <row r="340" spans="1:13" x14ac:dyDescent="0.25">
      <c r="A340" t="s">
        <v>37</v>
      </c>
      <c r="B340">
        <v>2012</v>
      </c>
      <c r="C340">
        <v>4.5</v>
      </c>
      <c r="D340" s="3">
        <v>720</v>
      </c>
      <c r="E340" s="3">
        <v>90</v>
      </c>
      <c r="F340" s="3" t="str">
        <f t="shared" si="5"/>
        <v>FGU620124.572090</v>
      </c>
      <c r="G340" t="str">
        <f>IF(ISNA(VLOOKUP($F340,'Raw Data'!$A:$M,7,0)),"",VLOOKUP($F340,'Raw Data'!$A:$M,7,0))</f>
        <v/>
      </c>
      <c r="H340" t="str">
        <f>IF(ISNA(VLOOKUP($F340,'Raw Data'!$A:$M,8,0)),"",VLOOKUP($F340,'Raw Data'!$A:$M,8,0))</f>
        <v/>
      </c>
      <c r="I340" t="str">
        <f>IF(ISNA(VLOOKUP($F340,'Raw Data'!$A:$M,9,0)),"",VLOOKUP($F340,'Raw Data'!$A:$M,9,0))</f>
        <v/>
      </c>
      <c r="J340" t="str">
        <f>IF(ISNA(VLOOKUP($F340,'Raw Data'!$A:$M,10,0)),"",VLOOKUP($F340,'Raw Data'!$A:$M,10,0))</f>
        <v/>
      </c>
      <c r="K340" t="str">
        <f>IF(ISNA(VLOOKUP($F340,'Raw Data'!$A:$M,11,0)),"",VLOOKUP($F340,'Raw Data'!$A:$M,11,0))</f>
        <v/>
      </c>
      <c r="L340" t="str">
        <f>IF(ISNA(VLOOKUP($F340,'Raw Data'!$A:$M,12,0)),"",VLOOKUP($F340,'Raw Data'!$A:$M,12,0))</f>
        <v/>
      </c>
      <c r="M340" t="str">
        <f>IF(ISNA(VLOOKUP($F340,'Raw Data'!$A:$M,13,0)),"",VLOOKUP($F340,'Raw Data'!$A:$M,13,0))</f>
        <v/>
      </c>
    </row>
    <row r="341" spans="1:13" x14ac:dyDescent="0.25">
      <c r="A341" t="s">
        <v>37</v>
      </c>
      <c r="B341">
        <v>2012</v>
      </c>
      <c r="C341">
        <v>4.5</v>
      </c>
      <c r="D341" s="3">
        <v>740</v>
      </c>
      <c r="E341" s="3">
        <v>90</v>
      </c>
      <c r="F341" s="3" t="str">
        <f t="shared" si="5"/>
        <v>FGU620124.574090</v>
      </c>
      <c r="G341">
        <f>IF(ISNA(VLOOKUP($F341,'Raw Data'!$A:$M,7,0)),"",VLOOKUP($F341,'Raw Data'!$A:$M,7,0))</f>
        <v>3248075.34</v>
      </c>
      <c r="H341">
        <f>IF(ISNA(VLOOKUP($F341,'Raw Data'!$A:$M,8,0)),"",VLOOKUP($F341,'Raw Data'!$A:$M,8,0))</f>
        <v>-3.7804000000000002</v>
      </c>
      <c r="I341">
        <f>IF(ISNA(VLOOKUP($F341,'Raw Data'!$A:$M,9,0)),"",VLOOKUP($F341,'Raw Data'!$A:$M,9,0))</f>
        <v>21.2149</v>
      </c>
      <c r="J341">
        <f>IF(ISNA(VLOOKUP($F341,'Raw Data'!$A:$M,10,0)),"",VLOOKUP($F341,'Raw Data'!$A:$M,10,0))</f>
        <v>24.9953</v>
      </c>
      <c r="K341">
        <f>IF(ISNA(VLOOKUP($F341,'Raw Data'!$A:$M,11,0)),"",VLOOKUP($F341,'Raw Data'!$A:$M,11,0))</f>
        <v>36.723500000000001</v>
      </c>
      <c r="L341">
        <f>IF(ISNA(VLOOKUP($F341,'Raw Data'!$A:$M,12,0)),"",VLOOKUP($F341,'Raw Data'!$A:$M,12,0))</f>
        <v>44.916600000000003</v>
      </c>
      <c r="M341">
        <f>IF(ISNA(VLOOKUP($F341,'Raw Data'!$A:$M,13,0)),"",VLOOKUP($F341,'Raw Data'!$A:$M,13,0))</f>
        <v>8.1930999999999994</v>
      </c>
    </row>
    <row r="342" spans="1:13" x14ac:dyDescent="0.25">
      <c r="A342" t="s">
        <v>37</v>
      </c>
      <c r="B342">
        <v>2012</v>
      </c>
      <c r="C342">
        <v>4.5</v>
      </c>
      <c r="D342" s="3">
        <v>760</v>
      </c>
      <c r="E342" s="3">
        <v>90</v>
      </c>
      <c r="F342" s="3" t="str">
        <f t="shared" si="5"/>
        <v>FGU620124.576090</v>
      </c>
      <c r="G342">
        <f>IF(ISNA(VLOOKUP($F342,'Raw Data'!$A:$M,7,0)),"",VLOOKUP($F342,'Raw Data'!$A:$M,7,0))</f>
        <v>1232498.57</v>
      </c>
      <c r="H342">
        <f>IF(ISNA(VLOOKUP($F342,'Raw Data'!$A:$M,8,0)),"",VLOOKUP($F342,'Raw Data'!$A:$M,8,0))</f>
        <v>11.8748</v>
      </c>
      <c r="I342">
        <f>IF(ISNA(VLOOKUP($F342,'Raw Data'!$A:$M,9,0)),"",VLOOKUP($F342,'Raw Data'!$A:$M,9,0))</f>
        <v>36.868099999999998</v>
      </c>
      <c r="J342">
        <f>IF(ISNA(VLOOKUP($F342,'Raw Data'!$A:$M,10,0)),"",VLOOKUP($F342,'Raw Data'!$A:$M,10,0))</f>
        <v>24.993300000000001</v>
      </c>
      <c r="K342">
        <f>IF(ISNA(VLOOKUP($F342,'Raw Data'!$A:$M,11,0)),"",VLOOKUP($F342,'Raw Data'!$A:$M,11,0))</f>
        <v>51.183999999999997</v>
      </c>
      <c r="L342">
        <f>IF(ISNA(VLOOKUP($F342,'Raw Data'!$A:$M,12,0)),"",VLOOKUP($F342,'Raw Data'!$A:$M,12,0))</f>
        <v>59.598100000000002</v>
      </c>
      <c r="M342">
        <f>IF(ISNA(VLOOKUP($F342,'Raw Data'!$A:$M,13,0)),"",VLOOKUP($F342,'Raw Data'!$A:$M,13,0))</f>
        <v>8.4140999999999995</v>
      </c>
    </row>
    <row r="343" spans="1:13" x14ac:dyDescent="0.25">
      <c r="A343" t="s">
        <v>37</v>
      </c>
      <c r="B343">
        <v>2012</v>
      </c>
      <c r="C343">
        <v>4.5</v>
      </c>
      <c r="D343" s="3">
        <v>780</v>
      </c>
      <c r="E343" s="3">
        <v>90</v>
      </c>
      <c r="F343" s="3" t="str">
        <f t="shared" si="5"/>
        <v>FGU620124.578090</v>
      </c>
      <c r="G343" t="str">
        <f>IF(ISNA(VLOOKUP($F343,'Raw Data'!$A:$M,7,0)),"",VLOOKUP($F343,'Raw Data'!$A:$M,7,0))</f>
        <v/>
      </c>
      <c r="H343" t="str">
        <f>IF(ISNA(VLOOKUP($F343,'Raw Data'!$A:$M,8,0)),"",VLOOKUP($F343,'Raw Data'!$A:$M,8,0))</f>
        <v/>
      </c>
      <c r="I343" t="str">
        <f>IF(ISNA(VLOOKUP($F343,'Raw Data'!$A:$M,9,0)),"",VLOOKUP($F343,'Raw Data'!$A:$M,9,0))</f>
        <v/>
      </c>
      <c r="J343" t="str">
        <f>IF(ISNA(VLOOKUP($F343,'Raw Data'!$A:$M,10,0)),"",VLOOKUP($F343,'Raw Data'!$A:$M,10,0))</f>
        <v/>
      </c>
      <c r="K343" t="str">
        <f>IF(ISNA(VLOOKUP($F343,'Raw Data'!$A:$M,11,0)),"",VLOOKUP($F343,'Raw Data'!$A:$M,11,0))</f>
        <v/>
      </c>
      <c r="L343" t="str">
        <f>IF(ISNA(VLOOKUP($F343,'Raw Data'!$A:$M,12,0)),"",VLOOKUP($F343,'Raw Data'!$A:$M,12,0))</f>
        <v/>
      </c>
      <c r="M343" t="str">
        <f>IF(ISNA(VLOOKUP($F343,'Raw Data'!$A:$M,13,0)),"",VLOOKUP($F343,'Raw Data'!$A:$M,13,0))</f>
        <v/>
      </c>
    </row>
    <row r="344" spans="1:13" x14ac:dyDescent="0.25">
      <c r="A344" t="s">
        <v>37</v>
      </c>
      <c r="B344">
        <v>2012</v>
      </c>
      <c r="C344">
        <v>4.5</v>
      </c>
      <c r="D344" s="3">
        <v>620</v>
      </c>
      <c r="E344" s="3">
        <v>95</v>
      </c>
      <c r="F344" s="3" t="str">
        <f t="shared" si="5"/>
        <v>FGU620124.562095</v>
      </c>
      <c r="G344" t="str">
        <f>IF(ISNA(VLOOKUP($F344,'Raw Data'!$A:$M,7,0)),"",VLOOKUP($F344,'Raw Data'!$A:$M,7,0))</f>
        <v/>
      </c>
      <c r="H344" t="str">
        <f>IF(ISNA(VLOOKUP($F344,'Raw Data'!$A:$M,8,0)),"",VLOOKUP($F344,'Raw Data'!$A:$M,8,0))</f>
        <v/>
      </c>
      <c r="I344" t="str">
        <f>IF(ISNA(VLOOKUP($F344,'Raw Data'!$A:$M,9,0)),"",VLOOKUP($F344,'Raw Data'!$A:$M,9,0))</f>
        <v/>
      </c>
      <c r="J344" t="str">
        <f>IF(ISNA(VLOOKUP($F344,'Raw Data'!$A:$M,10,0)),"",VLOOKUP($F344,'Raw Data'!$A:$M,10,0))</f>
        <v/>
      </c>
      <c r="K344" t="str">
        <f>IF(ISNA(VLOOKUP($F344,'Raw Data'!$A:$M,11,0)),"",VLOOKUP($F344,'Raw Data'!$A:$M,11,0))</f>
        <v/>
      </c>
      <c r="L344" t="str">
        <f>IF(ISNA(VLOOKUP($F344,'Raw Data'!$A:$M,12,0)),"",VLOOKUP($F344,'Raw Data'!$A:$M,12,0))</f>
        <v/>
      </c>
      <c r="M344" t="str">
        <f>IF(ISNA(VLOOKUP($F344,'Raw Data'!$A:$M,13,0)),"",VLOOKUP($F344,'Raw Data'!$A:$M,13,0))</f>
        <v/>
      </c>
    </row>
    <row r="345" spans="1:13" x14ac:dyDescent="0.25">
      <c r="A345" t="s">
        <v>37</v>
      </c>
      <c r="B345">
        <v>2012</v>
      </c>
      <c r="C345">
        <v>4.5</v>
      </c>
      <c r="D345" s="3">
        <v>640</v>
      </c>
      <c r="E345" s="3">
        <v>95</v>
      </c>
      <c r="F345" s="3" t="str">
        <f t="shared" si="5"/>
        <v>FGU620124.564095</v>
      </c>
      <c r="G345" t="str">
        <f>IF(ISNA(VLOOKUP($F345,'Raw Data'!$A:$M,7,0)),"",VLOOKUP($F345,'Raw Data'!$A:$M,7,0))</f>
        <v/>
      </c>
      <c r="H345" t="str">
        <f>IF(ISNA(VLOOKUP($F345,'Raw Data'!$A:$M,8,0)),"",VLOOKUP($F345,'Raw Data'!$A:$M,8,0))</f>
        <v/>
      </c>
      <c r="I345" t="str">
        <f>IF(ISNA(VLOOKUP($F345,'Raw Data'!$A:$M,9,0)),"",VLOOKUP($F345,'Raw Data'!$A:$M,9,0))</f>
        <v/>
      </c>
      <c r="J345" t="str">
        <f>IF(ISNA(VLOOKUP($F345,'Raw Data'!$A:$M,10,0)),"",VLOOKUP($F345,'Raw Data'!$A:$M,10,0))</f>
        <v/>
      </c>
      <c r="K345" t="str">
        <f>IF(ISNA(VLOOKUP($F345,'Raw Data'!$A:$M,11,0)),"",VLOOKUP($F345,'Raw Data'!$A:$M,11,0))</f>
        <v/>
      </c>
      <c r="L345" t="str">
        <f>IF(ISNA(VLOOKUP($F345,'Raw Data'!$A:$M,12,0)),"",VLOOKUP($F345,'Raw Data'!$A:$M,12,0))</f>
        <v/>
      </c>
      <c r="M345" t="str">
        <f>IF(ISNA(VLOOKUP($F345,'Raw Data'!$A:$M,13,0)),"",VLOOKUP($F345,'Raw Data'!$A:$M,13,0))</f>
        <v/>
      </c>
    </row>
    <row r="346" spans="1:13" x14ac:dyDescent="0.25">
      <c r="A346" t="s">
        <v>37</v>
      </c>
      <c r="B346">
        <v>2012</v>
      </c>
      <c r="C346">
        <v>4.5</v>
      </c>
      <c r="D346" s="3">
        <v>660</v>
      </c>
      <c r="E346" s="3">
        <v>95</v>
      </c>
      <c r="F346" s="3" t="str">
        <f t="shared" si="5"/>
        <v>FGU620124.566095</v>
      </c>
      <c r="G346" t="str">
        <f>IF(ISNA(VLOOKUP($F346,'Raw Data'!$A:$M,7,0)),"",VLOOKUP($F346,'Raw Data'!$A:$M,7,0))</f>
        <v/>
      </c>
      <c r="H346" t="str">
        <f>IF(ISNA(VLOOKUP($F346,'Raw Data'!$A:$M,8,0)),"",VLOOKUP($F346,'Raw Data'!$A:$M,8,0))</f>
        <v/>
      </c>
      <c r="I346" t="str">
        <f>IF(ISNA(VLOOKUP($F346,'Raw Data'!$A:$M,9,0)),"",VLOOKUP($F346,'Raw Data'!$A:$M,9,0))</f>
        <v/>
      </c>
      <c r="J346" t="str">
        <f>IF(ISNA(VLOOKUP($F346,'Raw Data'!$A:$M,10,0)),"",VLOOKUP($F346,'Raw Data'!$A:$M,10,0))</f>
        <v/>
      </c>
      <c r="K346" t="str">
        <f>IF(ISNA(VLOOKUP($F346,'Raw Data'!$A:$M,11,0)),"",VLOOKUP($F346,'Raw Data'!$A:$M,11,0))</f>
        <v/>
      </c>
      <c r="L346" t="str">
        <f>IF(ISNA(VLOOKUP($F346,'Raw Data'!$A:$M,12,0)),"",VLOOKUP($F346,'Raw Data'!$A:$M,12,0))</f>
        <v/>
      </c>
      <c r="M346" t="str">
        <f>IF(ISNA(VLOOKUP($F346,'Raw Data'!$A:$M,13,0)),"",VLOOKUP($F346,'Raw Data'!$A:$M,13,0))</f>
        <v/>
      </c>
    </row>
    <row r="347" spans="1:13" x14ac:dyDescent="0.25">
      <c r="A347" t="s">
        <v>37</v>
      </c>
      <c r="B347">
        <v>2012</v>
      </c>
      <c r="C347">
        <v>4.5</v>
      </c>
      <c r="D347" s="3">
        <v>680</v>
      </c>
      <c r="E347" s="3">
        <v>95</v>
      </c>
      <c r="F347" s="3" t="str">
        <f t="shared" si="5"/>
        <v>FGU620124.568095</v>
      </c>
      <c r="G347">
        <f>IF(ISNA(VLOOKUP($F347,'Raw Data'!$A:$M,7,0)),"",VLOOKUP($F347,'Raw Data'!$A:$M,7,0))</f>
        <v>483242.4</v>
      </c>
      <c r="H347">
        <f>IF(ISNA(VLOOKUP($F347,'Raw Data'!$A:$M,8,0)),"",VLOOKUP($F347,'Raw Data'!$A:$M,8,0))</f>
        <v>-15.27</v>
      </c>
      <c r="I347">
        <f>IF(ISNA(VLOOKUP($F347,'Raw Data'!$A:$M,9,0)),"",VLOOKUP($F347,'Raw Data'!$A:$M,9,0))</f>
        <v>9.7200000000000006</v>
      </c>
      <c r="J347">
        <f>IF(ISNA(VLOOKUP($F347,'Raw Data'!$A:$M,10,0)),"",VLOOKUP($F347,'Raw Data'!$A:$M,10,0))</f>
        <v>24.99</v>
      </c>
      <c r="K347">
        <f>IF(ISNA(VLOOKUP($F347,'Raw Data'!$A:$M,11,0)),"",VLOOKUP($F347,'Raw Data'!$A:$M,11,0))</f>
        <v>-2.9386000000000001</v>
      </c>
      <c r="L347">
        <f>IF(ISNA(VLOOKUP($F347,'Raw Data'!$A:$M,12,0)),"",VLOOKUP($F347,'Raw Data'!$A:$M,12,0))</f>
        <v>12.442299999999999</v>
      </c>
      <c r="M347">
        <f>IF(ISNA(VLOOKUP($F347,'Raw Data'!$A:$M,13,0)),"",VLOOKUP($F347,'Raw Data'!$A:$M,13,0))</f>
        <v>15.3809</v>
      </c>
    </row>
    <row r="348" spans="1:13" x14ac:dyDescent="0.25">
      <c r="A348" t="s">
        <v>37</v>
      </c>
      <c r="B348">
        <v>2012</v>
      </c>
      <c r="C348">
        <v>4.5</v>
      </c>
      <c r="D348" s="3">
        <v>700</v>
      </c>
      <c r="E348" s="3">
        <v>95</v>
      </c>
      <c r="F348" s="3" t="str">
        <f t="shared" si="5"/>
        <v>FGU620124.570095</v>
      </c>
      <c r="G348" t="str">
        <f>IF(ISNA(VLOOKUP($F348,'Raw Data'!$A:$M,7,0)),"",VLOOKUP($F348,'Raw Data'!$A:$M,7,0))</f>
        <v/>
      </c>
      <c r="H348" t="str">
        <f>IF(ISNA(VLOOKUP($F348,'Raw Data'!$A:$M,8,0)),"",VLOOKUP($F348,'Raw Data'!$A:$M,8,0))</f>
        <v/>
      </c>
      <c r="I348" t="str">
        <f>IF(ISNA(VLOOKUP($F348,'Raw Data'!$A:$M,9,0)),"",VLOOKUP($F348,'Raw Data'!$A:$M,9,0))</f>
        <v/>
      </c>
      <c r="J348" t="str">
        <f>IF(ISNA(VLOOKUP($F348,'Raw Data'!$A:$M,10,0)),"",VLOOKUP($F348,'Raw Data'!$A:$M,10,0))</f>
        <v/>
      </c>
      <c r="K348" t="str">
        <f>IF(ISNA(VLOOKUP($F348,'Raw Data'!$A:$M,11,0)),"",VLOOKUP($F348,'Raw Data'!$A:$M,11,0))</f>
        <v/>
      </c>
      <c r="L348" t="str">
        <f>IF(ISNA(VLOOKUP($F348,'Raw Data'!$A:$M,12,0)),"",VLOOKUP($F348,'Raw Data'!$A:$M,12,0))</f>
        <v/>
      </c>
      <c r="M348" t="str">
        <f>IF(ISNA(VLOOKUP($F348,'Raw Data'!$A:$M,13,0)),"",VLOOKUP($F348,'Raw Data'!$A:$M,13,0))</f>
        <v/>
      </c>
    </row>
    <row r="349" spans="1:13" x14ac:dyDescent="0.25">
      <c r="A349" t="s">
        <v>37</v>
      </c>
      <c r="B349">
        <v>2012</v>
      </c>
      <c r="C349">
        <v>4.5</v>
      </c>
      <c r="D349" s="3">
        <v>720</v>
      </c>
      <c r="E349" s="3">
        <v>95</v>
      </c>
      <c r="F349" s="3" t="str">
        <f t="shared" si="5"/>
        <v>FGU620124.572095</v>
      </c>
      <c r="G349" t="str">
        <f>IF(ISNA(VLOOKUP($F349,'Raw Data'!$A:$M,7,0)),"",VLOOKUP($F349,'Raw Data'!$A:$M,7,0))</f>
        <v/>
      </c>
      <c r="H349" t="str">
        <f>IF(ISNA(VLOOKUP($F349,'Raw Data'!$A:$M,8,0)),"",VLOOKUP($F349,'Raw Data'!$A:$M,8,0))</f>
        <v/>
      </c>
      <c r="I349" t="str">
        <f>IF(ISNA(VLOOKUP($F349,'Raw Data'!$A:$M,9,0)),"",VLOOKUP($F349,'Raw Data'!$A:$M,9,0))</f>
        <v/>
      </c>
      <c r="J349" t="str">
        <f>IF(ISNA(VLOOKUP($F349,'Raw Data'!$A:$M,10,0)),"",VLOOKUP($F349,'Raw Data'!$A:$M,10,0))</f>
        <v/>
      </c>
      <c r="K349" t="str">
        <f>IF(ISNA(VLOOKUP($F349,'Raw Data'!$A:$M,11,0)),"",VLOOKUP($F349,'Raw Data'!$A:$M,11,0))</f>
        <v/>
      </c>
      <c r="L349" t="str">
        <f>IF(ISNA(VLOOKUP($F349,'Raw Data'!$A:$M,12,0)),"",VLOOKUP($F349,'Raw Data'!$A:$M,12,0))</f>
        <v/>
      </c>
      <c r="M349" t="str">
        <f>IF(ISNA(VLOOKUP($F349,'Raw Data'!$A:$M,13,0)),"",VLOOKUP($F349,'Raw Data'!$A:$M,13,0))</f>
        <v/>
      </c>
    </row>
    <row r="350" spans="1:13" x14ac:dyDescent="0.25">
      <c r="A350" t="s">
        <v>37</v>
      </c>
      <c r="B350">
        <v>2012</v>
      </c>
      <c r="C350">
        <v>4.5</v>
      </c>
      <c r="D350" s="3">
        <v>740</v>
      </c>
      <c r="E350" s="3">
        <v>95</v>
      </c>
      <c r="F350" s="3" t="str">
        <f t="shared" si="5"/>
        <v>FGU620124.574095</v>
      </c>
      <c r="G350" t="str">
        <f>IF(ISNA(VLOOKUP($F350,'Raw Data'!$A:$M,7,0)),"",VLOOKUP($F350,'Raw Data'!$A:$M,7,0))</f>
        <v/>
      </c>
      <c r="H350" t="str">
        <f>IF(ISNA(VLOOKUP($F350,'Raw Data'!$A:$M,8,0)),"",VLOOKUP($F350,'Raw Data'!$A:$M,8,0))</f>
        <v/>
      </c>
      <c r="I350" t="str">
        <f>IF(ISNA(VLOOKUP($F350,'Raw Data'!$A:$M,9,0)),"",VLOOKUP($F350,'Raw Data'!$A:$M,9,0))</f>
        <v/>
      </c>
      <c r="J350" t="str">
        <f>IF(ISNA(VLOOKUP($F350,'Raw Data'!$A:$M,10,0)),"",VLOOKUP($F350,'Raw Data'!$A:$M,10,0))</f>
        <v/>
      </c>
      <c r="K350" t="str">
        <f>IF(ISNA(VLOOKUP($F350,'Raw Data'!$A:$M,11,0)),"",VLOOKUP($F350,'Raw Data'!$A:$M,11,0))</f>
        <v/>
      </c>
      <c r="L350" t="str">
        <f>IF(ISNA(VLOOKUP($F350,'Raw Data'!$A:$M,12,0)),"",VLOOKUP($F350,'Raw Data'!$A:$M,12,0))</f>
        <v/>
      </c>
      <c r="M350" t="str">
        <f>IF(ISNA(VLOOKUP($F350,'Raw Data'!$A:$M,13,0)),"",VLOOKUP($F350,'Raw Data'!$A:$M,13,0))</f>
        <v/>
      </c>
    </row>
    <row r="351" spans="1:13" x14ac:dyDescent="0.25">
      <c r="A351" t="s">
        <v>37</v>
      </c>
      <c r="B351">
        <v>2012</v>
      </c>
      <c r="C351">
        <v>4.5</v>
      </c>
      <c r="D351" s="3">
        <v>760</v>
      </c>
      <c r="E351" s="3">
        <v>95</v>
      </c>
      <c r="F351" s="3" t="str">
        <f t="shared" si="5"/>
        <v>FGU620124.576095</v>
      </c>
      <c r="G351" t="str">
        <f>IF(ISNA(VLOOKUP($F351,'Raw Data'!$A:$M,7,0)),"",VLOOKUP($F351,'Raw Data'!$A:$M,7,0))</f>
        <v/>
      </c>
      <c r="H351" t="str">
        <f>IF(ISNA(VLOOKUP($F351,'Raw Data'!$A:$M,8,0)),"",VLOOKUP($F351,'Raw Data'!$A:$M,8,0))</f>
        <v/>
      </c>
      <c r="I351" t="str">
        <f>IF(ISNA(VLOOKUP($F351,'Raw Data'!$A:$M,9,0)),"",VLOOKUP($F351,'Raw Data'!$A:$M,9,0))</f>
        <v/>
      </c>
      <c r="J351" t="str">
        <f>IF(ISNA(VLOOKUP($F351,'Raw Data'!$A:$M,10,0)),"",VLOOKUP($F351,'Raw Data'!$A:$M,10,0))</f>
        <v/>
      </c>
      <c r="K351" t="str">
        <f>IF(ISNA(VLOOKUP($F351,'Raw Data'!$A:$M,11,0)),"",VLOOKUP($F351,'Raw Data'!$A:$M,11,0))</f>
        <v/>
      </c>
      <c r="L351" t="str">
        <f>IF(ISNA(VLOOKUP($F351,'Raw Data'!$A:$M,12,0)),"",VLOOKUP($F351,'Raw Data'!$A:$M,12,0))</f>
        <v/>
      </c>
      <c r="M351" t="str">
        <f>IF(ISNA(VLOOKUP($F351,'Raw Data'!$A:$M,13,0)),"",VLOOKUP($F351,'Raw Data'!$A:$M,13,0))</f>
        <v/>
      </c>
    </row>
    <row r="352" spans="1:13" x14ac:dyDescent="0.25">
      <c r="A352" t="s">
        <v>37</v>
      </c>
      <c r="B352">
        <v>2012</v>
      </c>
      <c r="C352">
        <v>4.5</v>
      </c>
      <c r="D352" s="3">
        <v>780</v>
      </c>
      <c r="E352" s="3">
        <v>95</v>
      </c>
      <c r="F352" s="3" t="str">
        <f t="shared" si="5"/>
        <v>FGU620124.578095</v>
      </c>
      <c r="G352" t="str">
        <f>IF(ISNA(VLOOKUP($F352,'Raw Data'!$A:$M,7,0)),"",VLOOKUP($F352,'Raw Data'!$A:$M,7,0))</f>
        <v/>
      </c>
      <c r="H352" t="str">
        <f>IF(ISNA(VLOOKUP($F352,'Raw Data'!$A:$M,8,0)),"",VLOOKUP($F352,'Raw Data'!$A:$M,8,0))</f>
        <v/>
      </c>
      <c r="I352" t="str">
        <f>IF(ISNA(VLOOKUP($F352,'Raw Data'!$A:$M,9,0)),"",VLOOKUP($F352,'Raw Data'!$A:$M,9,0))</f>
        <v/>
      </c>
      <c r="J352" t="str">
        <f>IF(ISNA(VLOOKUP($F352,'Raw Data'!$A:$M,10,0)),"",VLOOKUP($F352,'Raw Data'!$A:$M,10,0))</f>
        <v/>
      </c>
      <c r="K352" t="str">
        <f>IF(ISNA(VLOOKUP($F352,'Raw Data'!$A:$M,11,0)),"",VLOOKUP($F352,'Raw Data'!$A:$M,11,0))</f>
        <v/>
      </c>
      <c r="L352" t="str">
        <f>IF(ISNA(VLOOKUP($F352,'Raw Data'!$A:$M,12,0)),"",VLOOKUP($F352,'Raw Data'!$A:$M,12,0))</f>
        <v/>
      </c>
      <c r="M352" t="str">
        <f>IF(ISNA(VLOOKUP($F352,'Raw Data'!$A:$M,13,0)),"",VLOOKUP($F352,'Raw Data'!$A:$M,13,0))</f>
        <v/>
      </c>
    </row>
    <row r="353" spans="1:13" x14ac:dyDescent="0.25">
      <c r="A353" t="s">
        <v>37</v>
      </c>
      <c r="B353">
        <v>2012</v>
      </c>
      <c r="C353">
        <v>4.5</v>
      </c>
      <c r="D353" s="3">
        <v>620</v>
      </c>
      <c r="E353" s="3">
        <v>97</v>
      </c>
      <c r="F353" s="3" t="str">
        <f t="shared" si="5"/>
        <v>FGU620124.562097</v>
      </c>
      <c r="G353" t="str">
        <f>IF(ISNA(VLOOKUP($F353,'Raw Data'!$A:$M,7,0)),"",VLOOKUP($F353,'Raw Data'!$A:$M,7,0))</f>
        <v/>
      </c>
      <c r="H353" t="str">
        <f>IF(ISNA(VLOOKUP($F353,'Raw Data'!$A:$M,8,0)),"",VLOOKUP($F353,'Raw Data'!$A:$M,8,0))</f>
        <v/>
      </c>
      <c r="I353" t="str">
        <f>IF(ISNA(VLOOKUP($F353,'Raw Data'!$A:$M,9,0)),"",VLOOKUP($F353,'Raw Data'!$A:$M,9,0))</f>
        <v/>
      </c>
      <c r="J353" t="str">
        <f>IF(ISNA(VLOOKUP($F353,'Raw Data'!$A:$M,10,0)),"",VLOOKUP($F353,'Raw Data'!$A:$M,10,0))</f>
        <v/>
      </c>
      <c r="K353" t="str">
        <f>IF(ISNA(VLOOKUP($F353,'Raw Data'!$A:$M,11,0)),"",VLOOKUP($F353,'Raw Data'!$A:$M,11,0))</f>
        <v/>
      </c>
      <c r="L353" t="str">
        <f>IF(ISNA(VLOOKUP($F353,'Raw Data'!$A:$M,12,0)),"",VLOOKUP($F353,'Raw Data'!$A:$M,12,0))</f>
        <v/>
      </c>
      <c r="M353" t="str">
        <f>IF(ISNA(VLOOKUP($F353,'Raw Data'!$A:$M,13,0)),"",VLOOKUP($F353,'Raw Data'!$A:$M,13,0))</f>
        <v/>
      </c>
    </row>
    <row r="354" spans="1:13" x14ac:dyDescent="0.25">
      <c r="A354" t="s">
        <v>37</v>
      </c>
      <c r="B354">
        <v>2012</v>
      </c>
      <c r="C354">
        <v>4.5</v>
      </c>
      <c r="D354" s="3">
        <v>640</v>
      </c>
      <c r="E354" s="3">
        <v>97</v>
      </c>
      <c r="F354" s="3" t="str">
        <f t="shared" si="5"/>
        <v>FGU620124.564097</v>
      </c>
      <c r="G354" t="str">
        <f>IF(ISNA(VLOOKUP($F354,'Raw Data'!$A:$M,7,0)),"",VLOOKUP($F354,'Raw Data'!$A:$M,7,0))</f>
        <v/>
      </c>
      <c r="H354" t="str">
        <f>IF(ISNA(VLOOKUP($F354,'Raw Data'!$A:$M,8,0)),"",VLOOKUP($F354,'Raw Data'!$A:$M,8,0))</f>
        <v/>
      </c>
      <c r="I354" t="str">
        <f>IF(ISNA(VLOOKUP($F354,'Raw Data'!$A:$M,9,0)),"",VLOOKUP($F354,'Raw Data'!$A:$M,9,0))</f>
        <v/>
      </c>
      <c r="J354" t="str">
        <f>IF(ISNA(VLOOKUP($F354,'Raw Data'!$A:$M,10,0)),"",VLOOKUP($F354,'Raw Data'!$A:$M,10,0))</f>
        <v/>
      </c>
      <c r="K354" t="str">
        <f>IF(ISNA(VLOOKUP($F354,'Raw Data'!$A:$M,11,0)),"",VLOOKUP($F354,'Raw Data'!$A:$M,11,0))</f>
        <v/>
      </c>
      <c r="L354" t="str">
        <f>IF(ISNA(VLOOKUP($F354,'Raw Data'!$A:$M,12,0)),"",VLOOKUP($F354,'Raw Data'!$A:$M,12,0))</f>
        <v/>
      </c>
      <c r="M354" t="str">
        <f>IF(ISNA(VLOOKUP($F354,'Raw Data'!$A:$M,13,0)),"",VLOOKUP($F354,'Raw Data'!$A:$M,13,0))</f>
        <v/>
      </c>
    </row>
    <row r="355" spans="1:13" x14ac:dyDescent="0.25">
      <c r="A355" t="s">
        <v>37</v>
      </c>
      <c r="B355">
        <v>2012</v>
      </c>
      <c r="C355">
        <v>4.5</v>
      </c>
      <c r="D355" s="3">
        <v>660</v>
      </c>
      <c r="E355" s="3">
        <v>97</v>
      </c>
      <c r="F355" s="3" t="str">
        <f t="shared" si="5"/>
        <v>FGU620124.566097</v>
      </c>
      <c r="G355" t="str">
        <f>IF(ISNA(VLOOKUP($F355,'Raw Data'!$A:$M,7,0)),"",VLOOKUP($F355,'Raw Data'!$A:$M,7,0))</f>
        <v/>
      </c>
      <c r="H355" t="str">
        <f>IF(ISNA(VLOOKUP($F355,'Raw Data'!$A:$M,8,0)),"",VLOOKUP($F355,'Raw Data'!$A:$M,8,0))</f>
        <v/>
      </c>
      <c r="I355" t="str">
        <f>IF(ISNA(VLOOKUP($F355,'Raw Data'!$A:$M,9,0)),"",VLOOKUP($F355,'Raw Data'!$A:$M,9,0))</f>
        <v/>
      </c>
      <c r="J355" t="str">
        <f>IF(ISNA(VLOOKUP($F355,'Raw Data'!$A:$M,10,0)),"",VLOOKUP($F355,'Raw Data'!$A:$M,10,0))</f>
        <v/>
      </c>
      <c r="K355" t="str">
        <f>IF(ISNA(VLOOKUP($F355,'Raw Data'!$A:$M,11,0)),"",VLOOKUP($F355,'Raw Data'!$A:$M,11,0))</f>
        <v/>
      </c>
      <c r="L355" t="str">
        <f>IF(ISNA(VLOOKUP($F355,'Raw Data'!$A:$M,12,0)),"",VLOOKUP($F355,'Raw Data'!$A:$M,12,0))</f>
        <v/>
      </c>
      <c r="M355" t="str">
        <f>IF(ISNA(VLOOKUP($F355,'Raw Data'!$A:$M,13,0)),"",VLOOKUP($F355,'Raw Data'!$A:$M,13,0))</f>
        <v/>
      </c>
    </row>
    <row r="356" spans="1:13" x14ac:dyDescent="0.25">
      <c r="A356" t="s">
        <v>37</v>
      </c>
      <c r="B356">
        <v>2012</v>
      </c>
      <c r="C356">
        <v>4.5</v>
      </c>
      <c r="D356" s="3">
        <v>680</v>
      </c>
      <c r="E356" s="3">
        <v>97</v>
      </c>
      <c r="F356" s="3" t="str">
        <f t="shared" si="5"/>
        <v>FGU620124.568097</v>
      </c>
      <c r="G356" t="str">
        <f>IF(ISNA(VLOOKUP($F356,'Raw Data'!$A:$M,7,0)),"",VLOOKUP($F356,'Raw Data'!$A:$M,7,0))</f>
        <v/>
      </c>
      <c r="H356" t="str">
        <f>IF(ISNA(VLOOKUP($F356,'Raw Data'!$A:$M,8,0)),"",VLOOKUP($F356,'Raw Data'!$A:$M,8,0))</f>
        <v/>
      </c>
      <c r="I356" t="str">
        <f>IF(ISNA(VLOOKUP($F356,'Raw Data'!$A:$M,9,0)),"",VLOOKUP($F356,'Raw Data'!$A:$M,9,0))</f>
        <v/>
      </c>
      <c r="J356" t="str">
        <f>IF(ISNA(VLOOKUP($F356,'Raw Data'!$A:$M,10,0)),"",VLOOKUP($F356,'Raw Data'!$A:$M,10,0))</f>
        <v/>
      </c>
      <c r="K356" t="str">
        <f>IF(ISNA(VLOOKUP($F356,'Raw Data'!$A:$M,11,0)),"",VLOOKUP($F356,'Raw Data'!$A:$M,11,0))</f>
        <v/>
      </c>
      <c r="L356" t="str">
        <f>IF(ISNA(VLOOKUP($F356,'Raw Data'!$A:$M,12,0)),"",VLOOKUP($F356,'Raw Data'!$A:$M,12,0))</f>
        <v/>
      </c>
      <c r="M356" t="str">
        <f>IF(ISNA(VLOOKUP($F356,'Raw Data'!$A:$M,13,0)),"",VLOOKUP($F356,'Raw Data'!$A:$M,13,0))</f>
        <v/>
      </c>
    </row>
    <row r="357" spans="1:13" x14ac:dyDescent="0.25">
      <c r="A357" t="s">
        <v>37</v>
      </c>
      <c r="B357">
        <v>2012</v>
      </c>
      <c r="C357">
        <v>4.5</v>
      </c>
      <c r="D357" s="3">
        <v>700</v>
      </c>
      <c r="E357" s="3">
        <v>97</v>
      </c>
      <c r="F357" s="3" t="str">
        <f t="shared" si="5"/>
        <v>FGU620124.570097</v>
      </c>
      <c r="G357" t="str">
        <f>IF(ISNA(VLOOKUP($F357,'Raw Data'!$A:$M,7,0)),"",VLOOKUP($F357,'Raw Data'!$A:$M,7,0))</f>
        <v/>
      </c>
      <c r="H357" t="str">
        <f>IF(ISNA(VLOOKUP($F357,'Raw Data'!$A:$M,8,0)),"",VLOOKUP($F357,'Raw Data'!$A:$M,8,0))</f>
        <v/>
      </c>
      <c r="I357" t="str">
        <f>IF(ISNA(VLOOKUP($F357,'Raw Data'!$A:$M,9,0)),"",VLOOKUP($F357,'Raw Data'!$A:$M,9,0))</f>
        <v/>
      </c>
      <c r="J357" t="str">
        <f>IF(ISNA(VLOOKUP($F357,'Raw Data'!$A:$M,10,0)),"",VLOOKUP($F357,'Raw Data'!$A:$M,10,0))</f>
        <v/>
      </c>
      <c r="K357" t="str">
        <f>IF(ISNA(VLOOKUP($F357,'Raw Data'!$A:$M,11,0)),"",VLOOKUP($F357,'Raw Data'!$A:$M,11,0))</f>
        <v/>
      </c>
      <c r="L357" t="str">
        <f>IF(ISNA(VLOOKUP($F357,'Raw Data'!$A:$M,12,0)),"",VLOOKUP($F357,'Raw Data'!$A:$M,12,0))</f>
        <v/>
      </c>
      <c r="M357" t="str">
        <f>IF(ISNA(VLOOKUP($F357,'Raw Data'!$A:$M,13,0)),"",VLOOKUP($F357,'Raw Data'!$A:$M,13,0))</f>
        <v/>
      </c>
    </row>
    <row r="358" spans="1:13" x14ac:dyDescent="0.25">
      <c r="A358" t="s">
        <v>37</v>
      </c>
      <c r="B358">
        <v>2012</v>
      </c>
      <c r="C358">
        <v>4.5</v>
      </c>
      <c r="D358" s="3">
        <v>720</v>
      </c>
      <c r="E358" s="3">
        <v>97</v>
      </c>
      <c r="F358" s="3" t="str">
        <f t="shared" si="5"/>
        <v>FGU620124.572097</v>
      </c>
      <c r="G358" t="str">
        <f>IF(ISNA(VLOOKUP($F358,'Raw Data'!$A:$M,7,0)),"",VLOOKUP($F358,'Raw Data'!$A:$M,7,0))</f>
        <v/>
      </c>
      <c r="H358" t="str">
        <f>IF(ISNA(VLOOKUP($F358,'Raw Data'!$A:$M,8,0)),"",VLOOKUP($F358,'Raw Data'!$A:$M,8,0))</f>
        <v/>
      </c>
      <c r="I358" t="str">
        <f>IF(ISNA(VLOOKUP($F358,'Raw Data'!$A:$M,9,0)),"",VLOOKUP($F358,'Raw Data'!$A:$M,9,0))</f>
        <v/>
      </c>
      <c r="J358" t="str">
        <f>IF(ISNA(VLOOKUP($F358,'Raw Data'!$A:$M,10,0)),"",VLOOKUP($F358,'Raw Data'!$A:$M,10,0))</f>
        <v/>
      </c>
      <c r="K358" t="str">
        <f>IF(ISNA(VLOOKUP($F358,'Raw Data'!$A:$M,11,0)),"",VLOOKUP($F358,'Raw Data'!$A:$M,11,0))</f>
        <v/>
      </c>
      <c r="L358" t="str">
        <f>IF(ISNA(VLOOKUP($F358,'Raw Data'!$A:$M,12,0)),"",VLOOKUP($F358,'Raw Data'!$A:$M,12,0))</f>
        <v/>
      </c>
      <c r="M358" t="str">
        <f>IF(ISNA(VLOOKUP($F358,'Raw Data'!$A:$M,13,0)),"",VLOOKUP($F358,'Raw Data'!$A:$M,13,0))</f>
        <v/>
      </c>
    </row>
    <row r="359" spans="1:13" x14ac:dyDescent="0.25">
      <c r="A359" t="s">
        <v>37</v>
      </c>
      <c r="B359">
        <v>2012</v>
      </c>
      <c r="C359">
        <v>4.5</v>
      </c>
      <c r="D359" s="3">
        <v>740</v>
      </c>
      <c r="E359" s="3">
        <v>97</v>
      </c>
      <c r="F359" s="3" t="str">
        <f t="shared" si="5"/>
        <v>FGU620124.574097</v>
      </c>
      <c r="G359" t="str">
        <f>IF(ISNA(VLOOKUP($F359,'Raw Data'!$A:$M,7,0)),"",VLOOKUP($F359,'Raw Data'!$A:$M,7,0))</f>
        <v/>
      </c>
      <c r="H359" t="str">
        <f>IF(ISNA(VLOOKUP($F359,'Raw Data'!$A:$M,8,0)),"",VLOOKUP($F359,'Raw Data'!$A:$M,8,0))</f>
        <v/>
      </c>
      <c r="I359" t="str">
        <f>IF(ISNA(VLOOKUP($F359,'Raw Data'!$A:$M,9,0)),"",VLOOKUP($F359,'Raw Data'!$A:$M,9,0))</f>
        <v/>
      </c>
      <c r="J359" t="str">
        <f>IF(ISNA(VLOOKUP($F359,'Raw Data'!$A:$M,10,0)),"",VLOOKUP($F359,'Raw Data'!$A:$M,10,0))</f>
        <v/>
      </c>
      <c r="K359" t="str">
        <f>IF(ISNA(VLOOKUP($F359,'Raw Data'!$A:$M,11,0)),"",VLOOKUP($F359,'Raw Data'!$A:$M,11,0))</f>
        <v/>
      </c>
      <c r="L359" t="str">
        <f>IF(ISNA(VLOOKUP($F359,'Raw Data'!$A:$M,12,0)),"",VLOOKUP($F359,'Raw Data'!$A:$M,12,0))</f>
        <v/>
      </c>
      <c r="M359" t="str">
        <f>IF(ISNA(VLOOKUP($F359,'Raw Data'!$A:$M,13,0)),"",VLOOKUP($F359,'Raw Data'!$A:$M,13,0))</f>
        <v/>
      </c>
    </row>
    <row r="360" spans="1:13" x14ac:dyDescent="0.25">
      <c r="A360" t="s">
        <v>37</v>
      </c>
      <c r="B360">
        <v>2012</v>
      </c>
      <c r="C360">
        <v>4.5</v>
      </c>
      <c r="D360" s="3">
        <v>760</v>
      </c>
      <c r="E360" s="3">
        <v>97</v>
      </c>
      <c r="F360" s="3" t="str">
        <f t="shared" si="5"/>
        <v>FGU620124.576097</v>
      </c>
      <c r="G360" t="str">
        <f>IF(ISNA(VLOOKUP($F360,'Raw Data'!$A:$M,7,0)),"",VLOOKUP($F360,'Raw Data'!$A:$M,7,0))</f>
        <v/>
      </c>
      <c r="H360" t="str">
        <f>IF(ISNA(VLOOKUP($F360,'Raw Data'!$A:$M,8,0)),"",VLOOKUP($F360,'Raw Data'!$A:$M,8,0))</f>
        <v/>
      </c>
      <c r="I360" t="str">
        <f>IF(ISNA(VLOOKUP($F360,'Raw Data'!$A:$M,9,0)),"",VLOOKUP($F360,'Raw Data'!$A:$M,9,0))</f>
        <v/>
      </c>
      <c r="J360" t="str">
        <f>IF(ISNA(VLOOKUP($F360,'Raw Data'!$A:$M,10,0)),"",VLOOKUP($F360,'Raw Data'!$A:$M,10,0))</f>
        <v/>
      </c>
      <c r="K360" t="str">
        <f>IF(ISNA(VLOOKUP($F360,'Raw Data'!$A:$M,11,0)),"",VLOOKUP($F360,'Raw Data'!$A:$M,11,0))</f>
        <v/>
      </c>
      <c r="L360" t="str">
        <f>IF(ISNA(VLOOKUP($F360,'Raw Data'!$A:$M,12,0)),"",VLOOKUP($F360,'Raw Data'!$A:$M,12,0))</f>
        <v/>
      </c>
      <c r="M360" t="str">
        <f>IF(ISNA(VLOOKUP($F360,'Raw Data'!$A:$M,13,0)),"",VLOOKUP($F360,'Raw Data'!$A:$M,13,0))</f>
        <v/>
      </c>
    </row>
    <row r="361" spans="1:13" x14ac:dyDescent="0.25">
      <c r="A361" t="s">
        <v>37</v>
      </c>
      <c r="B361">
        <v>2012</v>
      </c>
      <c r="C361">
        <v>4.5</v>
      </c>
      <c r="D361" s="3">
        <v>780</v>
      </c>
      <c r="E361" s="3">
        <v>97</v>
      </c>
      <c r="F361" s="3" t="str">
        <f t="shared" si="5"/>
        <v>FGU620124.578097</v>
      </c>
      <c r="G361" t="str">
        <f>IF(ISNA(VLOOKUP($F361,'Raw Data'!$A:$M,7,0)),"",VLOOKUP($F361,'Raw Data'!$A:$M,7,0))</f>
        <v/>
      </c>
      <c r="H361" t="str">
        <f>IF(ISNA(VLOOKUP($F361,'Raw Data'!$A:$M,8,0)),"",VLOOKUP($F361,'Raw Data'!$A:$M,8,0))</f>
        <v/>
      </c>
      <c r="I361" t="str">
        <f>IF(ISNA(VLOOKUP($F361,'Raw Data'!$A:$M,9,0)),"",VLOOKUP($F361,'Raw Data'!$A:$M,9,0))</f>
        <v/>
      </c>
      <c r="J361" t="str">
        <f>IF(ISNA(VLOOKUP($F361,'Raw Data'!$A:$M,10,0)),"",VLOOKUP($F361,'Raw Data'!$A:$M,10,0))</f>
        <v/>
      </c>
      <c r="K361" t="str">
        <f>IF(ISNA(VLOOKUP($F361,'Raw Data'!$A:$M,11,0)),"",VLOOKUP($F361,'Raw Data'!$A:$M,11,0))</f>
        <v/>
      </c>
      <c r="L361" t="str">
        <f>IF(ISNA(VLOOKUP($F361,'Raw Data'!$A:$M,12,0)),"",VLOOKUP($F361,'Raw Data'!$A:$M,12,0))</f>
        <v/>
      </c>
      <c r="M361" t="str">
        <f>IF(ISNA(VLOOKUP($F361,'Raw Data'!$A:$M,13,0)),"",VLOOKUP($F361,'Raw Data'!$A:$M,13,0))</f>
        <v/>
      </c>
    </row>
    <row r="362" spans="1:13" x14ac:dyDescent="0.25">
      <c r="A362" t="s">
        <v>37</v>
      </c>
      <c r="B362">
        <v>2012</v>
      </c>
      <c r="C362">
        <v>4.5</v>
      </c>
      <c r="D362" s="3">
        <v>620</v>
      </c>
      <c r="E362" s="3">
        <v>100</v>
      </c>
      <c r="F362" s="3" t="str">
        <f t="shared" si="5"/>
        <v>FGU620124.5620100</v>
      </c>
      <c r="G362" t="str">
        <f>IF(ISNA(VLOOKUP($F362,'Raw Data'!$A:$M,7,0)),"",VLOOKUP($F362,'Raw Data'!$A:$M,7,0))</f>
        <v/>
      </c>
      <c r="H362" t="str">
        <f>IF(ISNA(VLOOKUP($F362,'Raw Data'!$A:$M,8,0)),"",VLOOKUP($F362,'Raw Data'!$A:$M,8,0))</f>
        <v/>
      </c>
      <c r="I362" t="str">
        <f>IF(ISNA(VLOOKUP($F362,'Raw Data'!$A:$M,9,0)),"",VLOOKUP($F362,'Raw Data'!$A:$M,9,0))</f>
        <v/>
      </c>
      <c r="J362" t="str">
        <f>IF(ISNA(VLOOKUP($F362,'Raw Data'!$A:$M,10,0)),"",VLOOKUP($F362,'Raw Data'!$A:$M,10,0))</f>
        <v/>
      </c>
      <c r="K362" t="str">
        <f>IF(ISNA(VLOOKUP($F362,'Raw Data'!$A:$M,11,0)),"",VLOOKUP($F362,'Raw Data'!$A:$M,11,0))</f>
        <v/>
      </c>
      <c r="L362" t="str">
        <f>IF(ISNA(VLOOKUP($F362,'Raw Data'!$A:$M,12,0)),"",VLOOKUP($F362,'Raw Data'!$A:$M,12,0))</f>
        <v/>
      </c>
      <c r="M362" t="str">
        <f>IF(ISNA(VLOOKUP($F362,'Raw Data'!$A:$M,13,0)),"",VLOOKUP($F362,'Raw Data'!$A:$M,13,0))</f>
        <v/>
      </c>
    </row>
    <row r="363" spans="1:13" x14ac:dyDescent="0.25">
      <c r="A363" t="s">
        <v>37</v>
      </c>
      <c r="B363">
        <v>2012</v>
      </c>
      <c r="C363">
        <v>4.5</v>
      </c>
      <c r="D363" s="3">
        <v>640</v>
      </c>
      <c r="E363" s="3">
        <v>100</v>
      </c>
      <c r="F363" s="3" t="str">
        <f t="shared" si="5"/>
        <v>FGU620124.5640100</v>
      </c>
      <c r="G363" t="str">
        <f>IF(ISNA(VLOOKUP($F363,'Raw Data'!$A:$M,7,0)),"",VLOOKUP($F363,'Raw Data'!$A:$M,7,0))</f>
        <v/>
      </c>
      <c r="H363" t="str">
        <f>IF(ISNA(VLOOKUP($F363,'Raw Data'!$A:$M,8,0)),"",VLOOKUP($F363,'Raw Data'!$A:$M,8,0))</f>
        <v/>
      </c>
      <c r="I363" t="str">
        <f>IF(ISNA(VLOOKUP($F363,'Raw Data'!$A:$M,9,0)),"",VLOOKUP($F363,'Raw Data'!$A:$M,9,0))</f>
        <v/>
      </c>
      <c r="J363" t="str">
        <f>IF(ISNA(VLOOKUP($F363,'Raw Data'!$A:$M,10,0)),"",VLOOKUP($F363,'Raw Data'!$A:$M,10,0))</f>
        <v/>
      </c>
      <c r="K363" t="str">
        <f>IF(ISNA(VLOOKUP($F363,'Raw Data'!$A:$M,11,0)),"",VLOOKUP($F363,'Raw Data'!$A:$M,11,0))</f>
        <v/>
      </c>
      <c r="L363" t="str">
        <f>IF(ISNA(VLOOKUP($F363,'Raw Data'!$A:$M,12,0)),"",VLOOKUP($F363,'Raw Data'!$A:$M,12,0))</f>
        <v/>
      </c>
      <c r="M363" t="str">
        <f>IF(ISNA(VLOOKUP($F363,'Raw Data'!$A:$M,13,0)),"",VLOOKUP($F363,'Raw Data'!$A:$M,13,0))</f>
        <v/>
      </c>
    </row>
    <row r="364" spans="1:13" x14ac:dyDescent="0.25">
      <c r="A364" t="s">
        <v>37</v>
      </c>
      <c r="B364">
        <v>2012</v>
      </c>
      <c r="C364">
        <v>4.5</v>
      </c>
      <c r="D364" s="3">
        <v>660</v>
      </c>
      <c r="E364" s="3">
        <v>100</v>
      </c>
      <c r="F364" s="3" t="str">
        <f t="shared" si="5"/>
        <v>FGU620124.5660100</v>
      </c>
      <c r="G364" t="str">
        <f>IF(ISNA(VLOOKUP($F364,'Raw Data'!$A:$M,7,0)),"",VLOOKUP($F364,'Raw Data'!$A:$M,7,0))</f>
        <v/>
      </c>
      <c r="H364" t="str">
        <f>IF(ISNA(VLOOKUP($F364,'Raw Data'!$A:$M,8,0)),"",VLOOKUP($F364,'Raw Data'!$A:$M,8,0))</f>
        <v/>
      </c>
      <c r="I364" t="str">
        <f>IF(ISNA(VLOOKUP($F364,'Raw Data'!$A:$M,9,0)),"",VLOOKUP($F364,'Raw Data'!$A:$M,9,0))</f>
        <v/>
      </c>
      <c r="J364" t="str">
        <f>IF(ISNA(VLOOKUP($F364,'Raw Data'!$A:$M,10,0)),"",VLOOKUP($F364,'Raw Data'!$A:$M,10,0))</f>
        <v/>
      </c>
      <c r="K364" t="str">
        <f>IF(ISNA(VLOOKUP($F364,'Raw Data'!$A:$M,11,0)),"",VLOOKUP($F364,'Raw Data'!$A:$M,11,0))</f>
        <v/>
      </c>
      <c r="L364" t="str">
        <f>IF(ISNA(VLOOKUP($F364,'Raw Data'!$A:$M,12,0)),"",VLOOKUP($F364,'Raw Data'!$A:$M,12,0))</f>
        <v/>
      </c>
      <c r="M364" t="str">
        <f>IF(ISNA(VLOOKUP($F364,'Raw Data'!$A:$M,13,0)),"",VLOOKUP($F364,'Raw Data'!$A:$M,13,0))</f>
        <v/>
      </c>
    </row>
    <row r="365" spans="1:13" x14ac:dyDescent="0.25">
      <c r="A365" t="s">
        <v>37</v>
      </c>
      <c r="B365">
        <v>2012</v>
      </c>
      <c r="C365">
        <v>4.5</v>
      </c>
      <c r="D365" s="3">
        <v>680</v>
      </c>
      <c r="E365" s="3">
        <v>100</v>
      </c>
      <c r="F365" s="3" t="str">
        <f t="shared" si="5"/>
        <v>FGU620124.5680100</v>
      </c>
      <c r="G365" t="str">
        <f>IF(ISNA(VLOOKUP($F365,'Raw Data'!$A:$M,7,0)),"",VLOOKUP($F365,'Raw Data'!$A:$M,7,0))</f>
        <v/>
      </c>
      <c r="H365" t="str">
        <f>IF(ISNA(VLOOKUP($F365,'Raw Data'!$A:$M,8,0)),"",VLOOKUP($F365,'Raw Data'!$A:$M,8,0))</f>
        <v/>
      </c>
      <c r="I365" t="str">
        <f>IF(ISNA(VLOOKUP($F365,'Raw Data'!$A:$M,9,0)),"",VLOOKUP($F365,'Raw Data'!$A:$M,9,0))</f>
        <v/>
      </c>
      <c r="J365" t="str">
        <f>IF(ISNA(VLOOKUP($F365,'Raw Data'!$A:$M,10,0)),"",VLOOKUP($F365,'Raw Data'!$A:$M,10,0))</f>
        <v/>
      </c>
      <c r="K365" t="str">
        <f>IF(ISNA(VLOOKUP($F365,'Raw Data'!$A:$M,11,0)),"",VLOOKUP($F365,'Raw Data'!$A:$M,11,0))</f>
        <v/>
      </c>
      <c r="L365" t="str">
        <f>IF(ISNA(VLOOKUP($F365,'Raw Data'!$A:$M,12,0)),"",VLOOKUP($F365,'Raw Data'!$A:$M,12,0))</f>
        <v/>
      </c>
      <c r="M365" t="str">
        <f>IF(ISNA(VLOOKUP($F365,'Raw Data'!$A:$M,13,0)),"",VLOOKUP($F365,'Raw Data'!$A:$M,13,0))</f>
        <v/>
      </c>
    </row>
    <row r="366" spans="1:13" x14ac:dyDescent="0.25">
      <c r="A366" t="s">
        <v>37</v>
      </c>
      <c r="B366">
        <v>2012</v>
      </c>
      <c r="C366">
        <v>4.5</v>
      </c>
      <c r="D366" s="3">
        <v>700</v>
      </c>
      <c r="E366" s="3">
        <v>100</v>
      </c>
      <c r="F366" s="3" t="str">
        <f t="shared" si="5"/>
        <v>FGU620124.5700100</v>
      </c>
      <c r="G366" t="str">
        <f>IF(ISNA(VLOOKUP($F366,'Raw Data'!$A:$M,7,0)),"",VLOOKUP($F366,'Raw Data'!$A:$M,7,0))</f>
        <v/>
      </c>
      <c r="H366" t="str">
        <f>IF(ISNA(VLOOKUP($F366,'Raw Data'!$A:$M,8,0)),"",VLOOKUP($F366,'Raw Data'!$A:$M,8,0))</f>
        <v/>
      </c>
      <c r="I366" t="str">
        <f>IF(ISNA(VLOOKUP($F366,'Raw Data'!$A:$M,9,0)),"",VLOOKUP($F366,'Raw Data'!$A:$M,9,0))</f>
        <v/>
      </c>
      <c r="J366" t="str">
        <f>IF(ISNA(VLOOKUP($F366,'Raw Data'!$A:$M,10,0)),"",VLOOKUP($F366,'Raw Data'!$A:$M,10,0))</f>
        <v/>
      </c>
      <c r="K366" t="str">
        <f>IF(ISNA(VLOOKUP($F366,'Raw Data'!$A:$M,11,0)),"",VLOOKUP($F366,'Raw Data'!$A:$M,11,0))</f>
        <v/>
      </c>
      <c r="L366" t="str">
        <f>IF(ISNA(VLOOKUP($F366,'Raw Data'!$A:$M,12,0)),"",VLOOKUP($F366,'Raw Data'!$A:$M,12,0))</f>
        <v/>
      </c>
      <c r="M366" t="str">
        <f>IF(ISNA(VLOOKUP($F366,'Raw Data'!$A:$M,13,0)),"",VLOOKUP($F366,'Raw Data'!$A:$M,13,0))</f>
        <v/>
      </c>
    </row>
    <row r="367" spans="1:13" x14ac:dyDescent="0.25">
      <c r="A367" t="s">
        <v>37</v>
      </c>
      <c r="B367">
        <v>2012</v>
      </c>
      <c r="C367">
        <v>4.5</v>
      </c>
      <c r="D367" s="3">
        <v>720</v>
      </c>
      <c r="E367" s="3">
        <v>100</v>
      </c>
      <c r="F367" s="3" t="str">
        <f t="shared" si="5"/>
        <v>FGU620124.5720100</v>
      </c>
      <c r="G367" t="str">
        <f>IF(ISNA(VLOOKUP($F367,'Raw Data'!$A:$M,7,0)),"",VLOOKUP($F367,'Raw Data'!$A:$M,7,0))</f>
        <v/>
      </c>
      <c r="H367" t="str">
        <f>IF(ISNA(VLOOKUP($F367,'Raw Data'!$A:$M,8,0)),"",VLOOKUP($F367,'Raw Data'!$A:$M,8,0))</f>
        <v/>
      </c>
      <c r="I367" t="str">
        <f>IF(ISNA(VLOOKUP($F367,'Raw Data'!$A:$M,9,0)),"",VLOOKUP($F367,'Raw Data'!$A:$M,9,0))</f>
        <v/>
      </c>
      <c r="J367" t="str">
        <f>IF(ISNA(VLOOKUP($F367,'Raw Data'!$A:$M,10,0)),"",VLOOKUP($F367,'Raw Data'!$A:$M,10,0))</f>
        <v/>
      </c>
      <c r="K367" t="str">
        <f>IF(ISNA(VLOOKUP($F367,'Raw Data'!$A:$M,11,0)),"",VLOOKUP($F367,'Raw Data'!$A:$M,11,0))</f>
        <v/>
      </c>
      <c r="L367" t="str">
        <f>IF(ISNA(VLOOKUP($F367,'Raw Data'!$A:$M,12,0)),"",VLOOKUP($F367,'Raw Data'!$A:$M,12,0))</f>
        <v/>
      </c>
      <c r="M367" t="str">
        <f>IF(ISNA(VLOOKUP($F367,'Raw Data'!$A:$M,13,0)),"",VLOOKUP($F367,'Raw Data'!$A:$M,13,0))</f>
        <v/>
      </c>
    </row>
    <row r="368" spans="1:13" x14ac:dyDescent="0.25">
      <c r="A368" t="s">
        <v>37</v>
      </c>
      <c r="B368">
        <v>2012</v>
      </c>
      <c r="C368">
        <v>4.5</v>
      </c>
      <c r="D368" s="3">
        <v>740</v>
      </c>
      <c r="E368" s="3">
        <v>100</v>
      </c>
      <c r="F368" s="3" t="str">
        <f t="shared" si="5"/>
        <v>FGU620124.5740100</v>
      </c>
      <c r="G368" t="str">
        <f>IF(ISNA(VLOOKUP($F368,'Raw Data'!$A:$M,7,0)),"",VLOOKUP($F368,'Raw Data'!$A:$M,7,0))</f>
        <v/>
      </c>
      <c r="H368" t="str">
        <f>IF(ISNA(VLOOKUP($F368,'Raw Data'!$A:$M,8,0)),"",VLOOKUP($F368,'Raw Data'!$A:$M,8,0))</f>
        <v/>
      </c>
      <c r="I368" t="str">
        <f>IF(ISNA(VLOOKUP($F368,'Raw Data'!$A:$M,9,0)),"",VLOOKUP($F368,'Raw Data'!$A:$M,9,0))</f>
        <v/>
      </c>
      <c r="J368" t="str">
        <f>IF(ISNA(VLOOKUP($F368,'Raw Data'!$A:$M,10,0)),"",VLOOKUP($F368,'Raw Data'!$A:$M,10,0))</f>
        <v/>
      </c>
      <c r="K368" t="str">
        <f>IF(ISNA(VLOOKUP($F368,'Raw Data'!$A:$M,11,0)),"",VLOOKUP($F368,'Raw Data'!$A:$M,11,0))</f>
        <v/>
      </c>
      <c r="L368" t="str">
        <f>IF(ISNA(VLOOKUP($F368,'Raw Data'!$A:$M,12,0)),"",VLOOKUP($F368,'Raw Data'!$A:$M,12,0))</f>
        <v/>
      </c>
      <c r="M368" t="str">
        <f>IF(ISNA(VLOOKUP($F368,'Raw Data'!$A:$M,13,0)),"",VLOOKUP($F368,'Raw Data'!$A:$M,13,0))</f>
        <v/>
      </c>
    </row>
    <row r="369" spans="1:13" x14ac:dyDescent="0.25">
      <c r="A369" t="s">
        <v>37</v>
      </c>
      <c r="B369">
        <v>2012</v>
      </c>
      <c r="C369">
        <v>4.5</v>
      </c>
      <c r="D369" s="3">
        <v>760</v>
      </c>
      <c r="E369" s="3">
        <v>100</v>
      </c>
      <c r="F369" s="3" t="str">
        <f t="shared" si="5"/>
        <v>FGU620124.5760100</v>
      </c>
      <c r="G369" t="str">
        <f>IF(ISNA(VLOOKUP($F369,'Raw Data'!$A:$M,7,0)),"",VLOOKUP($F369,'Raw Data'!$A:$M,7,0))</f>
        <v/>
      </c>
      <c r="H369" t="str">
        <f>IF(ISNA(VLOOKUP($F369,'Raw Data'!$A:$M,8,0)),"",VLOOKUP($F369,'Raw Data'!$A:$M,8,0))</f>
        <v/>
      </c>
      <c r="I369" t="str">
        <f>IF(ISNA(VLOOKUP($F369,'Raw Data'!$A:$M,9,0)),"",VLOOKUP($F369,'Raw Data'!$A:$M,9,0))</f>
        <v/>
      </c>
      <c r="J369" t="str">
        <f>IF(ISNA(VLOOKUP($F369,'Raw Data'!$A:$M,10,0)),"",VLOOKUP($F369,'Raw Data'!$A:$M,10,0))</f>
        <v/>
      </c>
      <c r="K369" t="str">
        <f>IF(ISNA(VLOOKUP($F369,'Raw Data'!$A:$M,11,0)),"",VLOOKUP($F369,'Raw Data'!$A:$M,11,0))</f>
        <v/>
      </c>
      <c r="L369" t="str">
        <f>IF(ISNA(VLOOKUP($F369,'Raw Data'!$A:$M,12,0)),"",VLOOKUP($F369,'Raw Data'!$A:$M,12,0))</f>
        <v/>
      </c>
      <c r="M369" t="str">
        <f>IF(ISNA(VLOOKUP($F369,'Raw Data'!$A:$M,13,0)),"",VLOOKUP($F369,'Raw Data'!$A:$M,13,0))</f>
        <v/>
      </c>
    </row>
    <row r="370" spans="1:13" x14ac:dyDescent="0.25">
      <c r="A370" t="s">
        <v>37</v>
      </c>
      <c r="B370">
        <v>2012</v>
      </c>
      <c r="C370">
        <v>4.5</v>
      </c>
      <c r="D370" s="3">
        <v>780</v>
      </c>
      <c r="E370" s="3">
        <v>100</v>
      </c>
      <c r="F370" s="3" t="str">
        <f t="shared" si="5"/>
        <v>FGU620124.5780100</v>
      </c>
      <c r="G370" t="str">
        <f>IF(ISNA(VLOOKUP($F370,'Raw Data'!$A:$M,7,0)),"",VLOOKUP($F370,'Raw Data'!$A:$M,7,0))</f>
        <v/>
      </c>
      <c r="H370" t="str">
        <f>IF(ISNA(VLOOKUP($F370,'Raw Data'!$A:$M,8,0)),"",VLOOKUP($F370,'Raw Data'!$A:$M,8,0))</f>
        <v/>
      </c>
      <c r="I370" t="str">
        <f>IF(ISNA(VLOOKUP($F370,'Raw Data'!$A:$M,9,0)),"",VLOOKUP($F370,'Raw Data'!$A:$M,9,0))</f>
        <v/>
      </c>
      <c r="J370" t="str">
        <f>IF(ISNA(VLOOKUP($F370,'Raw Data'!$A:$M,10,0)),"",VLOOKUP($F370,'Raw Data'!$A:$M,10,0))</f>
        <v/>
      </c>
      <c r="K370" t="str">
        <f>IF(ISNA(VLOOKUP($F370,'Raw Data'!$A:$M,11,0)),"",VLOOKUP($F370,'Raw Data'!$A:$M,11,0))</f>
        <v/>
      </c>
      <c r="L370" t="str">
        <f>IF(ISNA(VLOOKUP($F370,'Raw Data'!$A:$M,12,0)),"",VLOOKUP($F370,'Raw Data'!$A:$M,12,0))</f>
        <v/>
      </c>
      <c r="M370" t="str">
        <f>IF(ISNA(VLOOKUP($F370,'Raw Data'!$A:$M,13,0)),"",VLOOKUP($F370,'Raw Data'!$A:$M,13,0))</f>
        <v/>
      </c>
    </row>
    <row r="371" spans="1:13" x14ac:dyDescent="0.25">
      <c r="A371" t="s">
        <v>37</v>
      </c>
      <c r="B371">
        <v>2012</v>
      </c>
      <c r="C371">
        <v>4.5</v>
      </c>
      <c r="D371" s="3">
        <v>620</v>
      </c>
      <c r="E371" s="3" t="s">
        <v>9</v>
      </c>
      <c r="F371" s="3" t="str">
        <f t="shared" si="5"/>
        <v>FGU620124.5620100+</v>
      </c>
      <c r="G371" t="str">
        <f>IF(ISNA(VLOOKUP($F371,'Raw Data'!$A:$M,7,0)),"",VLOOKUP($F371,'Raw Data'!$A:$M,7,0))</f>
        <v/>
      </c>
      <c r="H371" t="str">
        <f>IF(ISNA(VLOOKUP($F371,'Raw Data'!$A:$M,8,0)),"",VLOOKUP($F371,'Raw Data'!$A:$M,8,0))</f>
        <v/>
      </c>
      <c r="I371" t="str">
        <f>IF(ISNA(VLOOKUP($F371,'Raw Data'!$A:$M,9,0)),"",VLOOKUP($F371,'Raw Data'!$A:$M,9,0))</f>
        <v/>
      </c>
      <c r="J371" t="str">
        <f>IF(ISNA(VLOOKUP($F371,'Raw Data'!$A:$M,10,0)),"",VLOOKUP($F371,'Raw Data'!$A:$M,10,0))</f>
        <v/>
      </c>
      <c r="K371" t="str">
        <f>IF(ISNA(VLOOKUP($F371,'Raw Data'!$A:$M,11,0)),"",VLOOKUP($F371,'Raw Data'!$A:$M,11,0))</f>
        <v/>
      </c>
      <c r="L371" t="str">
        <f>IF(ISNA(VLOOKUP($F371,'Raw Data'!$A:$M,12,0)),"",VLOOKUP($F371,'Raw Data'!$A:$M,12,0))</f>
        <v/>
      </c>
      <c r="M371" t="str">
        <f>IF(ISNA(VLOOKUP($F371,'Raw Data'!$A:$M,13,0)),"",VLOOKUP($F371,'Raw Data'!$A:$M,13,0))</f>
        <v/>
      </c>
    </row>
    <row r="372" spans="1:13" x14ac:dyDescent="0.25">
      <c r="A372" t="s">
        <v>37</v>
      </c>
      <c r="B372">
        <v>2012</v>
      </c>
      <c r="C372">
        <v>4.5</v>
      </c>
      <c r="D372" s="3">
        <v>640</v>
      </c>
      <c r="E372" s="3" t="s">
        <v>9</v>
      </c>
      <c r="F372" s="3" t="str">
        <f t="shared" si="5"/>
        <v>FGU620124.5640100+</v>
      </c>
      <c r="G372" t="str">
        <f>IF(ISNA(VLOOKUP($F372,'Raw Data'!$A:$M,7,0)),"",VLOOKUP($F372,'Raw Data'!$A:$M,7,0))</f>
        <v/>
      </c>
      <c r="H372" t="str">
        <f>IF(ISNA(VLOOKUP($F372,'Raw Data'!$A:$M,8,0)),"",VLOOKUP($F372,'Raw Data'!$A:$M,8,0))</f>
        <v/>
      </c>
      <c r="I372" t="str">
        <f>IF(ISNA(VLOOKUP($F372,'Raw Data'!$A:$M,9,0)),"",VLOOKUP($F372,'Raw Data'!$A:$M,9,0))</f>
        <v/>
      </c>
      <c r="J372" t="str">
        <f>IF(ISNA(VLOOKUP($F372,'Raw Data'!$A:$M,10,0)),"",VLOOKUP($F372,'Raw Data'!$A:$M,10,0))</f>
        <v/>
      </c>
      <c r="K372" t="str">
        <f>IF(ISNA(VLOOKUP($F372,'Raw Data'!$A:$M,11,0)),"",VLOOKUP($F372,'Raw Data'!$A:$M,11,0))</f>
        <v/>
      </c>
      <c r="L372" t="str">
        <f>IF(ISNA(VLOOKUP($F372,'Raw Data'!$A:$M,12,0)),"",VLOOKUP($F372,'Raw Data'!$A:$M,12,0))</f>
        <v/>
      </c>
      <c r="M372" t="str">
        <f>IF(ISNA(VLOOKUP($F372,'Raw Data'!$A:$M,13,0)),"",VLOOKUP($F372,'Raw Data'!$A:$M,13,0))</f>
        <v/>
      </c>
    </row>
    <row r="373" spans="1:13" x14ac:dyDescent="0.25">
      <c r="A373" t="s">
        <v>37</v>
      </c>
      <c r="B373">
        <v>2012</v>
      </c>
      <c r="C373">
        <v>4.5</v>
      </c>
      <c r="D373" s="3">
        <v>660</v>
      </c>
      <c r="E373" s="3" t="s">
        <v>9</v>
      </c>
      <c r="F373" s="3" t="str">
        <f t="shared" si="5"/>
        <v>FGU620124.5660100+</v>
      </c>
      <c r="G373" t="str">
        <f>IF(ISNA(VLOOKUP($F373,'Raw Data'!$A:$M,7,0)),"",VLOOKUP($F373,'Raw Data'!$A:$M,7,0))</f>
        <v/>
      </c>
      <c r="H373" t="str">
        <f>IF(ISNA(VLOOKUP($F373,'Raw Data'!$A:$M,8,0)),"",VLOOKUP($F373,'Raw Data'!$A:$M,8,0))</f>
        <v/>
      </c>
      <c r="I373" t="str">
        <f>IF(ISNA(VLOOKUP($F373,'Raw Data'!$A:$M,9,0)),"",VLOOKUP($F373,'Raw Data'!$A:$M,9,0))</f>
        <v/>
      </c>
      <c r="J373" t="str">
        <f>IF(ISNA(VLOOKUP($F373,'Raw Data'!$A:$M,10,0)),"",VLOOKUP($F373,'Raw Data'!$A:$M,10,0))</f>
        <v/>
      </c>
      <c r="K373" t="str">
        <f>IF(ISNA(VLOOKUP($F373,'Raw Data'!$A:$M,11,0)),"",VLOOKUP($F373,'Raw Data'!$A:$M,11,0))</f>
        <v/>
      </c>
      <c r="L373" t="str">
        <f>IF(ISNA(VLOOKUP($F373,'Raw Data'!$A:$M,12,0)),"",VLOOKUP($F373,'Raw Data'!$A:$M,12,0))</f>
        <v/>
      </c>
      <c r="M373" t="str">
        <f>IF(ISNA(VLOOKUP($F373,'Raw Data'!$A:$M,13,0)),"",VLOOKUP($F373,'Raw Data'!$A:$M,13,0))</f>
        <v/>
      </c>
    </row>
    <row r="374" spans="1:13" x14ac:dyDescent="0.25">
      <c r="A374" t="s">
        <v>37</v>
      </c>
      <c r="B374">
        <v>2012</v>
      </c>
      <c r="C374">
        <v>4.5</v>
      </c>
      <c r="D374" s="3">
        <v>680</v>
      </c>
      <c r="E374" s="3" t="s">
        <v>9</v>
      </c>
      <c r="F374" s="3" t="str">
        <f t="shared" si="5"/>
        <v>FGU620124.5680100+</v>
      </c>
      <c r="G374" t="str">
        <f>IF(ISNA(VLOOKUP($F374,'Raw Data'!$A:$M,7,0)),"",VLOOKUP($F374,'Raw Data'!$A:$M,7,0))</f>
        <v/>
      </c>
      <c r="H374" t="str">
        <f>IF(ISNA(VLOOKUP($F374,'Raw Data'!$A:$M,8,0)),"",VLOOKUP($F374,'Raw Data'!$A:$M,8,0))</f>
        <v/>
      </c>
      <c r="I374" t="str">
        <f>IF(ISNA(VLOOKUP($F374,'Raw Data'!$A:$M,9,0)),"",VLOOKUP($F374,'Raw Data'!$A:$M,9,0))</f>
        <v/>
      </c>
      <c r="J374" t="str">
        <f>IF(ISNA(VLOOKUP($F374,'Raw Data'!$A:$M,10,0)),"",VLOOKUP($F374,'Raw Data'!$A:$M,10,0))</f>
        <v/>
      </c>
      <c r="K374" t="str">
        <f>IF(ISNA(VLOOKUP($F374,'Raw Data'!$A:$M,11,0)),"",VLOOKUP($F374,'Raw Data'!$A:$M,11,0))</f>
        <v/>
      </c>
      <c r="L374" t="str">
        <f>IF(ISNA(VLOOKUP($F374,'Raw Data'!$A:$M,12,0)),"",VLOOKUP($F374,'Raw Data'!$A:$M,12,0))</f>
        <v/>
      </c>
      <c r="M374" t="str">
        <f>IF(ISNA(VLOOKUP($F374,'Raw Data'!$A:$M,13,0)),"",VLOOKUP($F374,'Raw Data'!$A:$M,13,0))</f>
        <v/>
      </c>
    </row>
    <row r="375" spans="1:13" x14ac:dyDescent="0.25">
      <c r="A375" t="s">
        <v>37</v>
      </c>
      <c r="B375">
        <v>2012</v>
      </c>
      <c r="C375">
        <v>4.5</v>
      </c>
      <c r="D375" s="3">
        <v>700</v>
      </c>
      <c r="E375" s="3" t="s">
        <v>9</v>
      </c>
      <c r="F375" s="3" t="str">
        <f t="shared" si="5"/>
        <v>FGU620124.5700100+</v>
      </c>
      <c r="G375" t="str">
        <f>IF(ISNA(VLOOKUP($F375,'Raw Data'!$A:$M,7,0)),"",VLOOKUP($F375,'Raw Data'!$A:$M,7,0))</f>
        <v/>
      </c>
      <c r="H375" t="str">
        <f>IF(ISNA(VLOOKUP($F375,'Raw Data'!$A:$M,8,0)),"",VLOOKUP($F375,'Raw Data'!$A:$M,8,0))</f>
        <v/>
      </c>
      <c r="I375" t="str">
        <f>IF(ISNA(VLOOKUP($F375,'Raw Data'!$A:$M,9,0)),"",VLOOKUP($F375,'Raw Data'!$A:$M,9,0))</f>
        <v/>
      </c>
      <c r="J375" t="str">
        <f>IF(ISNA(VLOOKUP($F375,'Raw Data'!$A:$M,10,0)),"",VLOOKUP($F375,'Raw Data'!$A:$M,10,0))</f>
        <v/>
      </c>
      <c r="K375" t="str">
        <f>IF(ISNA(VLOOKUP($F375,'Raw Data'!$A:$M,11,0)),"",VLOOKUP($F375,'Raw Data'!$A:$M,11,0))</f>
        <v/>
      </c>
      <c r="L375" t="str">
        <f>IF(ISNA(VLOOKUP($F375,'Raw Data'!$A:$M,12,0)),"",VLOOKUP($F375,'Raw Data'!$A:$M,12,0))</f>
        <v/>
      </c>
      <c r="M375" t="str">
        <f>IF(ISNA(VLOOKUP($F375,'Raw Data'!$A:$M,13,0)),"",VLOOKUP($F375,'Raw Data'!$A:$M,13,0))</f>
        <v/>
      </c>
    </row>
    <row r="376" spans="1:13" x14ac:dyDescent="0.25">
      <c r="A376" t="s">
        <v>37</v>
      </c>
      <c r="B376">
        <v>2012</v>
      </c>
      <c r="C376">
        <v>4.5</v>
      </c>
      <c r="D376" s="3">
        <v>720</v>
      </c>
      <c r="E376" s="3" t="s">
        <v>9</v>
      </c>
      <c r="F376" s="3" t="str">
        <f t="shared" si="5"/>
        <v>FGU620124.5720100+</v>
      </c>
      <c r="G376" t="str">
        <f>IF(ISNA(VLOOKUP($F376,'Raw Data'!$A:$M,7,0)),"",VLOOKUP($F376,'Raw Data'!$A:$M,7,0))</f>
        <v/>
      </c>
      <c r="H376" t="str">
        <f>IF(ISNA(VLOOKUP($F376,'Raw Data'!$A:$M,8,0)),"",VLOOKUP($F376,'Raw Data'!$A:$M,8,0))</f>
        <v/>
      </c>
      <c r="I376" t="str">
        <f>IF(ISNA(VLOOKUP($F376,'Raw Data'!$A:$M,9,0)),"",VLOOKUP($F376,'Raw Data'!$A:$M,9,0))</f>
        <v/>
      </c>
      <c r="J376" t="str">
        <f>IF(ISNA(VLOOKUP($F376,'Raw Data'!$A:$M,10,0)),"",VLOOKUP($F376,'Raw Data'!$A:$M,10,0))</f>
        <v/>
      </c>
      <c r="K376" t="str">
        <f>IF(ISNA(VLOOKUP($F376,'Raw Data'!$A:$M,11,0)),"",VLOOKUP($F376,'Raw Data'!$A:$M,11,0))</f>
        <v/>
      </c>
      <c r="L376" t="str">
        <f>IF(ISNA(VLOOKUP($F376,'Raw Data'!$A:$M,12,0)),"",VLOOKUP($F376,'Raw Data'!$A:$M,12,0))</f>
        <v/>
      </c>
      <c r="M376" t="str">
        <f>IF(ISNA(VLOOKUP($F376,'Raw Data'!$A:$M,13,0)),"",VLOOKUP($F376,'Raw Data'!$A:$M,13,0))</f>
        <v/>
      </c>
    </row>
    <row r="377" spans="1:13" x14ac:dyDescent="0.25">
      <c r="A377" t="s">
        <v>37</v>
      </c>
      <c r="B377">
        <v>2012</v>
      </c>
      <c r="C377">
        <v>4.5</v>
      </c>
      <c r="D377" s="3">
        <v>740</v>
      </c>
      <c r="E377" s="3" t="s">
        <v>9</v>
      </c>
      <c r="F377" s="3" t="str">
        <f t="shared" si="5"/>
        <v>FGU620124.5740100+</v>
      </c>
      <c r="G377" t="str">
        <f>IF(ISNA(VLOOKUP($F377,'Raw Data'!$A:$M,7,0)),"",VLOOKUP($F377,'Raw Data'!$A:$M,7,0))</f>
        <v/>
      </c>
      <c r="H377" t="str">
        <f>IF(ISNA(VLOOKUP($F377,'Raw Data'!$A:$M,8,0)),"",VLOOKUP($F377,'Raw Data'!$A:$M,8,0))</f>
        <v/>
      </c>
      <c r="I377" t="str">
        <f>IF(ISNA(VLOOKUP($F377,'Raw Data'!$A:$M,9,0)),"",VLOOKUP($F377,'Raw Data'!$A:$M,9,0))</f>
        <v/>
      </c>
      <c r="J377" t="str">
        <f>IF(ISNA(VLOOKUP($F377,'Raw Data'!$A:$M,10,0)),"",VLOOKUP($F377,'Raw Data'!$A:$M,10,0))</f>
        <v/>
      </c>
      <c r="K377" t="str">
        <f>IF(ISNA(VLOOKUP($F377,'Raw Data'!$A:$M,11,0)),"",VLOOKUP($F377,'Raw Data'!$A:$M,11,0))</f>
        <v/>
      </c>
      <c r="L377" t="str">
        <f>IF(ISNA(VLOOKUP($F377,'Raw Data'!$A:$M,12,0)),"",VLOOKUP($F377,'Raw Data'!$A:$M,12,0))</f>
        <v/>
      </c>
      <c r="M377" t="str">
        <f>IF(ISNA(VLOOKUP($F377,'Raw Data'!$A:$M,13,0)),"",VLOOKUP($F377,'Raw Data'!$A:$M,13,0))</f>
        <v/>
      </c>
    </row>
    <row r="378" spans="1:13" x14ac:dyDescent="0.25">
      <c r="A378" t="s">
        <v>37</v>
      </c>
      <c r="B378">
        <v>2012</v>
      </c>
      <c r="C378">
        <v>4.5</v>
      </c>
      <c r="D378" s="3">
        <v>760</v>
      </c>
      <c r="E378" s="3" t="s">
        <v>9</v>
      </c>
      <c r="F378" s="3" t="str">
        <f t="shared" si="5"/>
        <v>FGU620124.5760100+</v>
      </c>
      <c r="G378" t="str">
        <f>IF(ISNA(VLOOKUP($F378,'Raw Data'!$A:$M,7,0)),"",VLOOKUP($F378,'Raw Data'!$A:$M,7,0))</f>
        <v/>
      </c>
      <c r="H378" t="str">
        <f>IF(ISNA(VLOOKUP($F378,'Raw Data'!$A:$M,8,0)),"",VLOOKUP($F378,'Raw Data'!$A:$M,8,0))</f>
        <v/>
      </c>
      <c r="I378" t="str">
        <f>IF(ISNA(VLOOKUP($F378,'Raw Data'!$A:$M,9,0)),"",VLOOKUP($F378,'Raw Data'!$A:$M,9,0))</f>
        <v/>
      </c>
      <c r="J378" t="str">
        <f>IF(ISNA(VLOOKUP($F378,'Raw Data'!$A:$M,10,0)),"",VLOOKUP($F378,'Raw Data'!$A:$M,10,0))</f>
        <v/>
      </c>
      <c r="K378" t="str">
        <f>IF(ISNA(VLOOKUP($F378,'Raw Data'!$A:$M,11,0)),"",VLOOKUP($F378,'Raw Data'!$A:$M,11,0))</f>
        <v/>
      </c>
      <c r="L378" t="str">
        <f>IF(ISNA(VLOOKUP($F378,'Raw Data'!$A:$M,12,0)),"",VLOOKUP($F378,'Raw Data'!$A:$M,12,0))</f>
        <v/>
      </c>
      <c r="M378" t="str">
        <f>IF(ISNA(VLOOKUP($F378,'Raw Data'!$A:$M,13,0)),"",VLOOKUP($F378,'Raw Data'!$A:$M,13,0))</f>
        <v/>
      </c>
    </row>
    <row r="379" spans="1:13" x14ac:dyDescent="0.25">
      <c r="A379" t="s">
        <v>37</v>
      </c>
      <c r="B379">
        <v>2012</v>
      </c>
      <c r="C379">
        <v>4.5</v>
      </c>
      <c r="D379" s="3">
        <v>780</v>
      </c>
      <c r="E379" s="3" t="s">
        <v>9</v>
      </c>
      <c r="F379" s="3" t="str">
        <f t="shared" si="5"/>
        <v>FGU620124.5780100+</v>
      </c>
      <c r="G379" t="str">
        <f>IF(ISNA(VLOOKUP($F379,'Raw Data'!$A:$M,7,0)),"",VLOOKUP($F379,'Raw Data'!$A:$M,7,0))</f>
        <v/>
      </c>
      <c r="H379" t="str">
        <f>IF(ISNA(VLOOKUP($F379,'Raw Data'!$A:$M,8,0)),"",VLOOKUP($F379,'Raw Data'!$A:$M,8,0))</f>
        <v/>
      </c>
      <c r="I379" t="str">
        <f>IF(ISNA(VLOOKUP($F379,'Raw Data'!$A:$M,9,0)),"",VLOOKUP($F379,'Raw Data'!$A:$M,9,0))</f>
        <v/>
      </c>
      <c r="J379" t="str">
        <f>IF(ISNA(VLOOKUP($F379,'Raw Data'!$A:$M,10,0)),"",VLOOKUP($F379,'Raw Data'!$A:$M,10,0))</f>
        <v/>
      </c>
      <c r="K379" t="str">
        <f>IF(ISNA(VLOOKUP($F379,'Raw Data'!$A:$M,11,0)),"",VLOOKUP($F379,'Raw Data'!$A:$M,11,0))</f>
        <v/>
      </c>
      <c r="L379" t="str">
        <f>IF(ISNA(VLOOKUP($F379,'Raw Data'!$A:$M,12,0)),"",VLOOKUP($F379,'Raw Data'!$A:$M,12,0))</f>
        <v/>
      </c>
      <c r="M379" t="str">
        <f>IF(ISNA(VLOOKUP($F379,'Raw Data'!$A:$M,13,0)),"",VLOOKUP($F379,'Raw Data'!$A:$M,13,0))</f>
        <v/>
      </c>
    </row>
    <row r="380" spans="1:13" x14ac:dyDescent="0.25">
      <c r="A380" t="s">
        <v>37</v>
      </c>
      <c r="B380">
        <v>2013</v>
      </c>
      <c r="C380">
        <v>4.5</v>
      </c>
      <c r="D380" s="3">
        <v>620</v>
      </c>
      <c r="E380" s="3">
        <v>80</v>
      </c>
      <c r="F380" s="3" t="str">
        <f t="shared" si="5"/>
        <v>FGU620134.562080</v>
      </c>
      <c r="G380" t="str">
        <f>IF(ISNA(VLOOKUP($F380,'Raw Data'!$A:$M,7,0)),"",VLOOKUP($F380,'Raw Data'!$A:$M,7,0))</f>
        <v/>
      </c>
      <c r="H380" t="str">
        <f>IF(ISNA(VLOOKUP($F380,'Raw Data'!$A:$M,8,0)),"",VLOOKUP($F380,'Raw Data'!$A:$M,8,0))</f>
        <v/>
      </c>
      <c r="I380" t="str">
        <f>IF(ISNA(VLOOKUP($F380,'Raw Data'!$A:$M,9,0)),"",VLOOKUP($F380,'Raw Data'!$A:$M,9,0))</f>
        <v/>
      </c>
      <c r="J380" t="str">
        <f>IF(ISNA(VLOOKUP($F380,'Raw Data'!$A:$M,10,0)),"",VLOOKUP($F380,'Raw Data'!$A:$M,10,0))</f>
        <v/>
      </c>
      <c r="K380" t="str">
        <f>IF(ISNA(VLOOKUP($F380,'Raw Data'!$A:$M,11,0)),"",VLOOKUP($F380,'Raw Data'!$A:$M,11,0))</f>
        <v/>
      </c>
      <c r="L380" t="str">
        <f>IF(ISNA(VLOOKUP($F380,'Raw Data'!$A:$M,12,0)),"",VLOOKUP($F380,'Raw Data'!$A:$M,12,0))</f>
        <v/>
      </c>
      <c r="M380" t="str">
        <f>IF(ISNA(VLOOKUP($F380,'Raw Data'!$A:$M,13,0)),"",VLOOKUP($F380,'Raw Data'!$A:$M,13,0))</f>
        <v/>
      </c>
    </row>
    <row r="381" spans="1:13" x14ac:dyDescent="0.25">
      <c r="A381" t="s">
        <v>37</v>
      </c>
      <c r="B381">
        <v>2013</v>
      </c>
      <c r="C381">
        <v>4.5</v>
      </c>
      <c r="D381" s="3">
        <v>640</v>
      </c>
      <c r="E381" s="3">
        <v>80</v>
      </c>
      <c r="F381" s="3" t="str">
        <f t="shared" si="5"/>
        <v>FGU620134.564080</v>
      </c>
      <c r="G381" t="str">
        <f>IF(ISNA(VLOOKUP($F381,'Raw Data'!$A:$M,7,0)),"",VLOOKUP($F381,'Raw Data'!$A:$M,7,0))</f>
        <v/>
      </c>
      <c r="H381" t="str">
        <f>IF(ISNA(VLOOKUP($F381,'Raw Data'!$A:$M,8,0)),"",VLOOKUP($F381,'Raw Data'!$A:$M,8,0))</f>
        <v/>
      </c>
      <c r="I381" t="str">
        <f>IF(ISNA(VLOOKUP($F381,'Raw Data'!$A:$M,9,0)),"",VLOOKUP($F381,'Raw Data'!$A:$M,9,0))</f>
        <v/>
      </c>
      <c r="J381" t="str">
        <f>IF(ISNA(VLOOKUP($F381,'Raw Data'!$A:$M,10,0)),"",VLOOKUP($F381,'Raw Data'!$A:$M,10,0))</f>
        <v/>
      </c>
      <c r="K381" t="str">
        <f>IF(ISNA(VLOOKUP($F381,'Raw Data'!$A:$M,11,0)),"",VLOOKUP($F381,'Raw Data'!$A:$M,11,0))</f>
        <v/>
      </c>
      <c r="L381" t="str">
        <f>IF(ISNA(VLOOKUP($F381,'Raw Data'!$A:$M,12,0)),"",VLOOKUP($F381,'Raw Data'!$A:$M,12,0))</f>
        <v/>
      </c>
      <c r="M381" t="str">
        <f>IF(ISNA(VLOOKUP($F381,'Raw Data'!$A:$M,13,0)),"",VLOOKUP($F381,'Raw Data'!$A:$M,13,0))</f>
        <v/>
      </c>
    </row>
    <row r="382" spans="1:13" x14ac:dyDescent="0.25">
      <c r="A382" t="s">
        <v>37</v>
      </c>
      <c r="B382">
        <v>2013</v>
      </c>
      <c r="C382">
        <v>4.5</v>
      </c>
      <c r="D382" s="3">
        <v>660</v>
      </c>
      <c r="E382" s="3">
        <v>80</v>
      </c>
      <c r="F382" s="3" t="str">
        <f t="shared" si="5"/>
        <v>FGU620134.566080</v>
      </c>
      <c r="G382" t="str">
        <f>IF(ISNA(VLOOKUP($F382,'Raw Data'!$A:$M,7,0)),"",VLOOKUP($F382,'Raw Data'!$A:$M,7,0))</f>
        <v/>
      </c>
      <c r="H382" t="str">
        <f>IF(ISNA(VLOOKUP($F382,'Raw Data'!$A:$M,8,0)),"",VLOOKUP($F382,'Raw Data'!$A:$M,8,0))</f>
        <v/>
      </c>
      <c r="I382" t="str">
        <f>IF(ISNA(VLOOKUP($F382,'Raw Data'!$A:$M,9,0)),"",VLOOKUP($F382,'Raw Data'!$A:$M,9,0))</f>
        <v/>
      </c>
      <c r="J382" t="str">
        <f>IF(ISNA(VLOOKUP($F382,'Raw Data'!$A:$M,10,0)),"",VLOOKUP($F382,'Raw Data'!$A:$M,10,0))</f>
        <v/>
      </c>
      <c r="K382" t="str">
        <f>IF(ISNA(VLOOKUP($F382,'Raw Data'!$A:$M,11,0)),"",VLOOKUP($F382,'Raw Data'!$A:$M,11,0))</f>
        <v/>
      </c>
      <c r="L382" t="str">
        <f>IF(ISNA(VLOOKUP($F382,'Raw Data'!$A:$M,12,0)),"",VLOOKUP($F382,'Raw Data'!$A:$M,12,0))</f>
        <v/>
      </c>
      <c r="M382" t="str">
        <f>IF(ISNA(VLOOKUP($F382,'Raw Data'!$A:$M,13,0)),"",VLOOKUP($F382,'Raw Data'!$A:$M,13,0))</f>
        <v/>
      </c>
    </row>
    <row r="383" spans="1:13" x14ac:dyDescent="0.25">
      <c r="A383" t="s">
        <v>37</v>
      </c>
      <c r="B383">
        <v>2013</v>
      </c>
      <c r="C383">
        <v>4.5</v>
      </c>
      <c r="D383" s="3">
        <v>680</v>
      </c>
      <c r="E383" s="3">
        <v>80</v>
      </c>
      <c r="F383" s="3" t="str">
        <f t="shared" si="5"/>
        <v>FGU620134.568080</v>
      </c>
      <c r="G383" t="str">
        <f>IF(ISNA(VLOOKUP($F383,'Raw Data'!$A:$M,7,0)),"",VLOOKUP($F383,'Raw Data'!$A:$M,7,0))</f>
        <v/>
      </c>
      <c r="H383" t="str">
        <f>IF(ISNA(VLOOKUP($F383,'Raw Data'!$A:$M,8,0)),"",VLOOKUP($F383,'Raw Data'!$A:$M,8,0))</f>
        <v/>
      </c>
      <c r="I383" t="str">
        <f>IF(ISNA(VLOOKUP($F383,'Raw Data'!$A:$M,9,0)),"",VLOOKUP($F383,'Raw Data'!$A:$M,9,0))</f>
        <v/>
      </c>
      <c r="J383" t="str">
        <f>IF(ISNA(VLOOKUP($F383,'Raw Data'!$A:$M,10,0)),"",VLOOKUP($F383,'Raw Data'!$A:$M,10,0))</f>
        <v/>
      </c>
      <c r="K383" t="str">
        <f>IF(ISNA(VLOOKUP($F383,'Raw Data'!$A:$M,11,0)),"",VLOOKUP($F383,'Raw Data'!$A:$M,11,0))</f>
        <v/>
      </c>
      <c r="L383" t="str">
        <f>IF(ISNA(VLOOKUP($F383,'Raw Data'!$A:$M,12,0)),"",VLOOKUP($F383,'Raw Data'!$A:$M,12,0))</f>
        <v/>
      </c>
      <c r="M383" t="str">
        <f>IF(ISNA(VLOOKUP($F383,'Raw Data'!$A:$M,13,0)),"",VLOOKUP($F383,'Raw Data'!$A:$M,13,0))</f>
        <v/>
      </c>
    </row>
    <row r="384" spans="1:13" x14ac:dyDescent="0.25">
      <c r="A384" t="s">
        <v>37</v>
      </c>
      <c r="B384">
        <v>2013</v>
      </c>
      <c r="C384">
        <v>4.5</v>
      </c>
      <c r="D384" s="3">
        <v>700</v>
      </c>
      <c r="E384" s="3">
        <v>80</v>
      </c>
      <c r="F384" s="3" t="str">
        <f t="shared" si="5"/>
        <v>FGU620134.570080</v>
      </c>
      <c r="G384" t="str">
        <f>IF(ISNA(VLOOKUP($F384,'Raw Data'!$A:$M,7,0)),"",VLOOKUP($F384,'Raw Data'!$A:$M,7,0))</f>
        <v/>
      </c>
      <c r="H384" t="str">
        <f>IF(ISNA(VLOOKUP($F384,'Raw Data'!$A:$M,8,0)),"",VLOOKUP($F384,'Raw Data'!$A:$M,8,0))</f>
        <v/>
      </c>
      <c r="I384" t="str">
        <f>IF(ISNA(VLOOKUP($F384,'Raw Data'!$A:$M,9,0)),"",VLOOKUP($F384,'Raw Data'!$A:$M,9,0))</f>
        <v/>
      </c>
      <c r="J384" t="str">
        <f>IF(ISNA(VLOOKUP($F384,'Raw Data'!$A:$M,10,0)),"",VLOOKUP($F384,'Raw Data'!$A:$M,10,0))</f>
        <v/>
      </c>
      <c r="K384" t="str">
        <f>IF(ISNA(VLOOKUP($F384,'Raw Data'!$A:$M,11,0)),"",VLOOKUP($F384,'Raw Data'!$A:$M,11,0))</f>
        <v/>
      </c>
      <c r="L384" t="str">
        <f>IF(ISNA(VLOOKUP($F384,'Raw Data'!$A:$M,12,0)),"",VLOOKUP($F384,'Raw Data'!$A:$M,12,0))</f>
        <v/>
      </c>
      <c r="M384" t="str">
        <f>IF(ISNA(VLOOKUP($F384,'Raw Data'!$A:$M,13,0)),"",VLOOKUP($F384,'Raw Data'!$A:$M,13,0))</f>
        <v/>
      </c>
    </row>
    <row r="385" spans="1:13" x14ac:dyDescent="0.25">
      <c r="A385" t="s">
        <v>37</v>
      </c>
      <c r="B385">
        <v>2013</v>
      </c>
      <c r="C385">
        <v>4.5</v>
      </c>
      <c r="D385" s="3">
        <v>720</v>
      </c>
      <c r="E385" s="3">
        <v>80</v>
      </c>
      <c r="F385" s="3" t="str">
        <f t="shared" si="5"/>
        <v>FGU620134.572080</v>
      </c>
      <c r="G385" t="str">
        <f>IF(ISNA(VLOOKUP($F385,'Raw Data'!$A:$M,7,0)),"",VLOOKUP($F385,'Raw Data'!$A:$M,7,0))</f>
        <v/>
      </c>
      <c r="H385" t="str">
        <f>IF(ISNA(VLOOKUP($F385,'Raw Data'!$A:$M,8,0)),"",VLOOKUP($F385,'Raw Data'!$A:$M,8,0))</f>
        <v/>
      </c>
      <c r="I385" t="str">
        <f>IF(ISNA(VLOOKUP($F385,'Raw Data'!$A:$M,9,0)),"",VLOOKUP($F385,'Raw Data'!$A:$M,9,0))</f>
        <v/>
      </c>
      <c r="J385" t="str">
        <f>IF(ISNA(VLOOKUP($F385,'Raw Data'!$A:$M,10,0)),"",VLOOKUP($F385,'Raw Data'!$A:$M,10,0))</f>
        <v/>
      </c>
      <c r="K385" t="str">
        <f>IF(ISNA(VLOOKUP($F385,'Raw Data'!$A:$M,11,0)),"",VLOOKUP($F385,'Raw Data'!$A:$M,11,0))</f>
        <v/>
      </c>
      <c r="L385" t="str">
        <f>IF(ISNA(VLOOKUP($F385,'Raw Data'!$A:$M,12,0)),"",VLOOKUP($F385,'Raw Data'!$A:$M,12,0))</f>
        <v/>
      </c>
      <c r="M385" t="str">
        <f>IF(ISNA(VLOOKUP($F385,'Raw Data'!$A:$M,13,0)),"",VLOOKUP($F385,'Raw Data'!$A:$M,13,0))</f>
        <v/>
      </c>
    </row>
    <row r="386" spans="1:13" x14ac:dyDescent="0.25">
      <c r="A386" t="s">
        <v>37</v>
      </c>
      <c r="B386">
        <v>2013</v>
      </c>
      <c r="C386">
        <v>4.5</v>
      </c>
      <c r="D386" s="3">
        <v>740</v>
      </c>
      <c r="E386" s="3">
        <v>80</v>
      </c>
      <c r="F386" s="3" t="str">
        <f t="shared" si="5"/>
        <v>FGU620134.574080</v>
      </c>
      <c r="G386" t="str">
        <f>IF(ISNA(VLOOKUP($F386,'Raw Data'!$A:$M,7,0)),"",VLOOKUP($F386,'Raw Data'!$A:$M,7,0))</f>
        <v/>
      </c>
      <c r="H386" t="str">
        <f>IF(ISNA(VLOOKUP($F386,'Raw Data'!$A:$M,8,0)),"",VLOOKUP($F386,'Raw Data'!$A:$M,8,0))</f>
        <v/>
      </c>
      <c r="I386" t="str">
        <f>IF(ISNA(VLOOKUP($F386,'Raw Data'!$A:$M,9,0)),"",VLOOKUP($F386,'Raw Data'!$A:$M,9,0))</f>
        <v/>
      </c>
      <c r="J386" t="str">
        <f>IF(ISNA(VLOOKUP($F386,'Raw Data'!$A:$M,10,0)),"",VLOOKUP($F386,'Raw Data'!$A:$M,10,0))</f>
        <v/>
      </c>
      <c r="K386" t="str">
        <f>IF(ISNA(VLOOKUP($F386,'Raw Data'!$A:$M,11,0)),"",VLOOKUP($F386,'Raw Data'!$A:$M,11,0))</f>
        <v/>
      </c>
      <c r="L386" t="str">
        <f>IF(ISNA(VLOOKUP($F386,'Raw Data'!$A:$M,12,0)),"",VLOOKUP($F386,'Raw Data'!$A:$M,12,0))</f>
        <v/>
      </c>
      <c r="M386" t="str">
        <f>IF(ISNA(VLOOKUP($F386,'Raw Data'!$A:$M,13,0)),"",VLOOKUP($F386,'Raw Data'!$A:$M,13,0))</f>
        <v/>
      </c>
    </row>
    <row r="387" spans="1:13" x14ac:dyDescent="0.25">
      <c r="A387" t="s">
        <v>37</v>
      </c>
      <c r="B387">
        <v>2013</v>
      </c>
      <c r="C387">
        <v>4.5</v>
      </c>
      <c r="D387" s="3">
        <v>760</v>
      </c>
      <c r="E387" s="3">
        <v>80</v>
      </c>
      <c r="F387" s="3" t="str">
        <f t="shared" si="5"/>
        <v>FGU620134.576080</v>
      </c>
      <c r="G387" t="str">
        <f>IF(ISNA(VLOOKUP($F387,'Raw Data'!$A:$M,7,0)),"",VLOOKUP($F387,'Raw Data'!$A:$M,7,0))</f>
        <v/>
      </c>
      <c r="H387" t="str">
        <f>IF(ISNA(VLOOKUP($F387,'Raw Data'!$A:$M,8,0)),"",VLOOKUP($F387,'Raw Data'!$A:$M,8,0))</f>
        <v/>
      </c>
      <c r="I387" t="str">
        <f>IF(ISNA(VLOOKUP($F387,'Raw Data'!$A:$M,9,0)),"",VLOOKUP($F387,'Raw Data'!$A:$M,9,0))</f>
        <v/>
      </c>
      <c r="J387" t="str">
        <f>IF(ISNA(VLOOKUP($F387,'Raw Data'!$A:$M,10,0)),"",VLOOKUP($F387,'Raw Data'!$A:$M,10,0))</f>
        <v/>
      </c>
      <c r="K387" t="str">
        <f>IF(ISNA(VLOOKUP($F387,'Raw Data'!$A:$M,11,0)),"",VLOOKUP($F387,'Raw Data'!$A:$M,11,0))</f>
        <v/>
      </c>
      <c r="L387" t="str">
        <f>IF(ISNA(VLOOKUP($F387,'Raw Data'!$A:$M,12,0)),"",VLOOKUP($F387,'Raw Data'!$A:$M,12,0))</f>
        <v/>
      </c>
      <c r="M387" t="str">
        <f>IF(ISNA(VLOOKUP($F387,'Raw Data'!$A:$M,13,0)),"",VLOOKUP($F387,'Raw Data'!$A:$M,13,0))</f>
        <v/>
      </c>
    </row>
    <row r="388" spans="1:13" x14ac:dyDescent="0.25">
      <c r="A388" t="s">
        <v>37</v>
      </c>
      <c r="B388">
        <v>2013</v>
      </c>
      <c r="C388">
        <v>4.5</v>
      </c>
      <c r="D388" s="3">
        <v>780</v>
      </c>
      <c r="E388" s="3">
        <v>80</v>
      </c>
      <c r="F388" s="3" t="str">
        <f t="shared" ref="F388:F451" si="6">A388&amp;B388&amp;C388&amp;D388&amp;E388</f>
        <v>FGU620134.578080</v>
      </c>
      <c r="G388" t="str">
        <f>IF(ISNA(VLOOKUP($F388,'Raw Data'!$A:$M,7,0)),"",VLOOKUP($F388,'Raw Data'!$A:$M,7,0))</f>
        <v/>
      </c>
      <c r="H388" t="str">
        <f>IF(ISNA(VLOOKUP($F388,'Raw Data'!$A:$M,8,0)),"",VLOOKUP($F388,'Raw Data'!$A:$M,8,0))</f>
        <v/>
      </c>
      <c r="I388" t="str">
        <f>IF(ISNA(VLOOKUP($F388,'Raw Data'!$A:$M,9,0)),"",VLOOKUP($F388,'Raw Data'!$A:$M,9,0))</f>
        <v/>
      </c>
      <c r="J388" t="str">
        <f>IF(ISNA(VLOOKUP($F388,'Raw Data'!$A:$M,10,0)),"",VLOOKUP($F388,'Raw Data'!$A:$M,10,0))</f>
        <v/>
      </c>
      <c r="K388" t="str">
        <f>IF(ISNA(VLOOKUP($F388,'Raw Data'!$A:$M,11,0)),"",VLOOKUP($F388,'Raw Data'!$A:$M,11,0))</f>
        <v/>
      </c>
      <c r="L388" t="str">
        <f>IF(ISNA(VLOOKUP($F388,'Raw Data'!$A:$M,12,0)),"",VLOOKUP($F388,'Raw Data'!$A:$M,12,0))</f>
        <v/>
      </c>
      <c r="M388" t="str">
        <f>IF(ISNA(VLOOKUP($F388,'Raw Data'!$A:$M,13,0)),"",VLOOKUP($F388,'Raw Data'!$A:$M,13,0))</f>
        <v/>
      </c>
    </row>
    <row r="389" spans="1:13" x14ac:dyDescent="0.25">
      <c r="A389" t="s">
        <v>37</v>
      </c>
      <c r="B389">
        <v>2013</v>
      </c>
      <c r="C389">
        <v>4.5</v>
      </c>
      <c r="D389" s="3">
        <v>620</v>
      </c>
      <c r="E389" s="3">
        <v>85</v>
      </c>
      <c r="F389" s="3" t="str">
        <f t="shared" si="6"/>
        <v>FGU620134.562085</v>
      </c>
      <c r="G389" t="str">
        <f>IF(ISNA(VLOOKUP($F389,'Raw Data'!$A:$M,7,0)),"",VLOOKUP($F389,'Raw Data'!$A:$M,7,0))</f>
        <v/>
      </c>
      <c r="H389" t="str">
        <f>IF(ISNA(VLOOKUP($F389,'Raw Data'!$A:$M,8,0)),"",VLOOKUP($F389,'Raw Data'!$A:$M,8,0))</f>
        <v/>
      </c>
      <c r="I389" t="str">
        <f>IF(ISNA(VLOOKUP($F389,'Raw Data'!$A:$M,9,0)),"",VLOOKUP($F389,'Raw Data'!$A:$M,9,0))</f>
        <v/>
      </c>
      <c r="J389" t="str">
        <f>IF(ISNA(VLOOKUP($F389,'Raw Data'!$A:$M,10,0)),"",VLOOKUP($F389,'Raw Data'!$A:$M,10,0))</f>
        <v/>
      </c>
      <c r="K389" t="str">
        <f>IF(ISNA(VLOOKUP($F389,'Raw Data'!$A:$M,11,0)),"",VLOOKUP($F389,'Raw Data'!$A:$M,11,0))</f>
        <v/>
      </c>
      <c r="L389" t="str">
        <f>IF(ISNA(VLOOKUP($F389,'Raw Data'!$A:$M,12,0)),"",VLOOKUP($F389,'Raw Data'!$A:$M,12,0))</f>
        <v/>
      </c>
      <c r="M389" t="str">
        <f>IF(ISNA(VLOOKUP($F389,'Raw Data'!$A:$M,13,0)),"",VLOOKUP($F389,'Raw Data'!$A:$M,13,0))</f>
        <v/>
      </c>
    </row>
    <row r="390" spans="1:13" x14ac:dyDescent="0.25">
      <c r="A390" t="s">
        <v>37</v>
      </c>
      <c r="B390">
        <v>2013</v>
      </c>
      <c r="C390">
        <v>4.5</v>
      </c>
      <c r="D390" s="3">
        <v>640</v>
      </c>
      <c r="E390" s="3">
        <v>85</v>
      </c>
      <c r="F390" s="3" t="str">
        <f t="shared" si="6"/>
        <v>FGU620134.564085</v>
      </c>
      <c r="G390" t="str">
        <f>IF(ISNA(VLOOKUP($F390,'Raw Data'!$A:$M,7,0)),"",VLOOKUP($F390,'Raw Data'!$A:$M,7,0))</f>
        <v/>
      </c>
      <c r="H390" t="str">
        <f>IF(ISNA(VLOOKUP($F390,'Raw Data'!$A:$M,8,0)),"",VLOOKUP($F390,'Raw Data'!$A:$M,8,0))</f>
        <v/>
      </c>
      <c r="I390" t="str">
        <f>IF(ISNA(VLOOKUP($F390,'Raw Data'!$A:$M,9,0)),"",VLOOKUP($F390,'Raw Data'!$A:$M,9,0))</f>
        <v/>
      </c>
      <c r="J390" t="str">
        <f>IF(ISNA(VLOOKUP($F390,'Raw Data'!$A:$M,10,0)),"",VLOOKUP($F390,'Raw Data'!$A:$M,10,0))</f>
        <v/>
      </c>
      <c r="K390" t="str">
        <f>IF(ISNA(VLOOKUP($F390,'Raw Data'!$A:$M,11,0)),"",VLOOKUP($F390,'Raw Data'!$A:$M,11,0))</f>
        <v/>
      </c>
      <c r="L390" t="str">
        <f>IF(ISNA(VLOOKUP($F390,'Raw Data'!$A:$M,12,0)),"",VLOOKUP($F390,'Raw Data'!$A:$M,12,0))</f>
        <v/>
      </c>
      <c r="M390" t="str">
        <f>IF(ISNA(VLOOKUP($F390,'Raw Data'!$A:$M,13,0)),"",VLOOKUP($F390,'Raw Data'!$A:$M,13,0))</f>
        <v/>
      </c>
    </row>
    <row r="391" spans="1:13" x14ac:dyDescent="0.25">
      <c r="A391" t="s">
        <v>37</v>
      </c>
      <c r="B391">
        <v>2013</v>
      </c>
      <c r="C391">
        <v>4.5</v>
      </c>
      <c r="D391" s="3">
        <v>660</v>
      </c>
      <c r="E391" s="3">
        <v>85</v>
      </c>
      <c r="F391" s="3" t="str">
        <f t="shared" si="6"/>
        <v>FGU620134.566085</v>
      </c>
      <c r="G391" t="str">
        <f>IF(ISNA(VLOOKUP($F391,'Raw Data'!$A:$M,7,0)),"",VLOOKUP($F391,'Raw Data'!$A:$M,7,0))</f>
        <v/>
      </c>
      <c r="H391" t="str">
        <f>IF(ISNA(VLOOKUP($F391,'Raw Data'!$A:$M,8,0)),"",VLOOKUP($F391,'Raw Data'!$A:$M,8,0))</f>
        <v/>
      </c>
      <c r="I391" t="str">
        <f>IF(ISNA(VLOOKUP($F391,'Raw Data'!$A:$M,9,0)),"",VLOOKUP($F391,'Raw Data'!$A:$M,9,0))</f>
        <v/>
      </c>
      <c r="J391" t="str">
        <f>IF(ISNA(VLOOKUP($F391,'Raw Data'!$A:$M,10,0)),"",VLOOKUP($F391,'Raw Data'!$A:$M,10,0))</f>
        <v/>
      </c>
      <c r="K391" t="str">
        <f>IF(ISNA(VLOOKUP($F391,'Raw Data'!$A:$M,11,0)),"",VLOOKUP($F391,'Raw Data'!$A:$M,11,0))</f>
        <v/>
      </c>
      <c r="L391" t="str">
        <f>IF(ISNA(VLOOKUP($F391,'Raw Data'!$A:$M,12,0)),"",VLOOKUP($F391,'Raw Data'!$A:$M,12,0))</f>
        <v/>
      </c>
      <c r="M391" t="str">
        <f>IF(ISNA(VLOOKUP($F391,'Raw Data'!$A:$M,13,0)),"",VLOOKUP($F391,'Raw Data'!$A:$M,13,0))</f>
        <v/>
      </c>
    </row>
    <row r="392" spans="1:13" x14ac:dyDescent="0.25">
      <c r="A392" t="s">
        <v>37</v>
      </c>
      <c r="B392">
        <v>2013</v>
      </c>
      <c r="C392">
        <v>4.5</v>
      </c>
      <c r="D392" s="3">
        <v>680</v>
      </c>
      <c r="E392" s="3">
        <v>85</v>
      </c>
      <c r="F392" s="3" t="str">
        <f t="shared" si="6"/>
        <v>FGU620134.568085</v>
      </c>
      <c r="G392" t="str">
        <f>IF(ISNA(VLOOKUP($F392,'Raw Data'!$A:$M,7,0)),"",VLOOKUP($F392,'Raw Data'!$A:$M,7,0))</f>
        <v/>
      </c>
      <c r="H392" t="str">
        <f>IF(ISNA(VLOOKUP($F392,'Raw Data'!$A:$M,8,0)),"",VLOOKUP($F392,'Raw Data'!$A:$M,8,0))</f>
        <v/>
      </c>
      <c r="I392" t="str">
        <f>IF(ISNA(VLOOKUP($F392,'Raw Data'!$A:$M,9,0)),"",VLOOKUP($F392,'Raw Data'!$A:$M,9,0))</f>
        <v/>
      </c>
      <c r="J392" t="str">
        <f>IF(ISNA(VLOOKUP($F392,'Raw Data'!$A:$M,10,0)),"",VLOOKUP($F392,'Raw Data'!$A:$M,10,0))</f>
        <v/>
      </c>
      <c r="K392" t="str">
        <f>IF(ISNA(VLOOKUP($F392,'Raw Data'!$A:$M,11,0)),"",VLOOKUP($F392,'Raw Data'!$A:$M,11,0))</f>
        <v/>
      </c>
      <c r="L392" t="str">
        <f>IF(ISNA(VLOOKUP($F392,'Raw Data'!$A:$M,12,0)),"",VLOOKUP($F392,'Raw Data'!$A:$M,12,0))</f>
        <v/>
      </c>
      <c r="M392" t="str">
        <f>IF(ISNA(VLOOKUP($F392,'Raw Data'!$A:$M,13,0)),"",VLOOKUP($F392,'Raw Data'!$A:$M,13,0))</f>
        <v/>
      </c>
    </row>
    <row r="393" spans="1:13" x14ac:dyDescent="0.25">
      <c r="A393" t="s">
        <v>37</v>
      </c>
      <c r="B393">
        <v>2013</v>
      </c>
      <c r="C393">
        <v>4.5</v>
      </c>
      <c r="D393" s="3">
        <v>700</v>
      </c>
      <c r="E393" s="3">
        <v>85</v>
      </c>
      <c r="F393" s="3" t="str">
        <f t="shared" si="6"/>
        <v>FGU620134.570085</v>
      </c>
      <c r="G393" t="str">
        <f>IF(ISNA(VLOOKUP($F393,'Raw Data'!$A:$M,7,0)),"",VLOOKUP($F393,'Raw Data'!$A:$M,7,0))</f>
        <v/>
      </c>
      <c r="H393" t="str">
        <f>IF(ISNA(VLOOKUP($F393,'Raw Data'!$A:$M,8,0)),"",VLOOKUP($F393,'Raw Data'!$A:$M,8,0))</f>
        <v/>
      </c>
      <c r="I393" t="str">
        <f>IF(ISNA(VLOOKUP($F393,'Raw Data'!$A:$M,9,0)),"",VLOOKUP($F393,'Raw Data'!$A:$M,9,0))</f>
        <v/>
      </c>
      <c r="J393" t="str">
        <f>IF(ISNA(VLOOKUP($F393,'Raw Data'!$A:$M,10,0)),"",VLOOKUP($F393,'Raw Data'!$A:$M,10,0))</f>
        <v/>
      </c>
      <c r="K393" t="str">
        <f>IF(ISNA(VLOOKUP($F393,'Raw Data'!$A:$M,11,0)),"",VLOOKUP($F393,'Raw Data'!$A:$M,11,0))</f>
        <v/>
      </c>
      <c r="L393" t="str">
        <f>IF(ISNA(VLOOKUP($F393,'Raw Data'!$A:$M,12,0)),"",VLOOKUP($F393,'Raw Data'!$A:$M,12,0))</f>
        <v/>
      </c>
      <c r="M393" t="str">
        <f>IF(ISNA(VLOOKUP($F393,'Raw Data'!$A:$M,13,0)),"",VLOOKUP($F393,'Raw Data'!$A:$M,13,0))</f>
        <v/>
      </c>
    </row>
    <row r="394" spans="1:13" x14ac:dyDescent="0.25">
      <c r="A394" t="s">
        <v>37</v>
      </c>
      <c r="B394">
        <v>2013</v>
      </c>
      <c r="C394">
        <v>4.5</v>
      </c>
      <c r="D394" s="3">
        <v>720</v>
      </c>
      <c r="E394" s="3">
        <v>85</v>
      </c>
      <c r="F394" s="3" t="str">
        <f t="shared" si="6"/>
        <v>FGU620134.572085</v>
      </c>
      <c r="G394" t="str">
        <f>IF(ISNA(VLOOKUP($F394,'Raw Data'!$A:$M,7,0)),"",VLOOKUP($F394,'Raw Data'!$A:$M,7,0))</f>
        <v/>
      </c>
      <c r="H394" t="str">
        <f>IF(ISNA(VLOOKUP($F394,'Raw Data'!$A:$M,8,0)),"",VLOOKUP($F394,'Raw Data'!$A:$M,8,0))</f>
        <v/>
      </c>
      <c r="I394" t="str">
        <f>IF(ISNA(VLOOKUP($F394,'Raw Data'!$A:$M,9,0)),"",VLOOKUP($F394,'Raw Data'!$A:$M,9,0))</f>
        <v/>
      </c>
      <c r="J394" t="str">
        <f>IF(ISNA(VLOOKUP($F394,'Raw Data'!$A:$M,10,0)),"",VLOOKUP($F394,'Raw Data'!$A:$M,10,0))</f>
        <v/>
      </c>
      <c r="K394" t="str">
        <f>IF(ISNA(VLOOKUP($F394,'Raw Data'!$A:$M,11,0)),"",VLOOKUP($F394,'Raw Data'!$A:$M,11,0))</f>
        <v/>
      </c>
      <c r="L394" t="str">
        <f>IF(ISNA(VLOOKUP($F394,'Raw Data'!$A:$M,12,0)),"",VLOOKUP($F394,'Raw Data'!$A:$M,12,0))</f>
        <v/>
      </c>
      <c r="M394" t="str">
        <f>IF(ISNA(VLOOKUP($F394,'Raw Data'!$A:$M,13,0)),"",VLOOKUP($F394,'Raw Data'!$A:$M,13,0))</f>
        <v/>
      </c>
    </row>
    <row r="395" spans="1:13" x14ac:dyDescent="0.25">
      <c r="A395" t="s">
        <v>37</v>
      </c>
      <c r="B395">
        <v>2013</v>
      </c>
      <c r="C395">
        <v>4.5</v>
      </c>
      <c r="D395" s="3">
        <v>740</v>
      </c>
      <c r="E395" s="3">
        <v>85</v>
      </c>
      <c r="F395" s="3" t="str">
        <f t="shared" si="6"/>
        <v>FGU620134.574085</v>
      </c>
      <c r="G395">
        <f>IF(ISNA(VLOOKUP($F395,'Raw Data'!$A:$M,7,0)),"",VLOOKUP($F395,'Raw Data'!$A:$M,7,0))</f>
        <v>786119.82</v>
      </c>
      <c r="H395">
        <f>IF(ISNA(VLOOKUP($F395,'Raw Data'!$A:$M,8,0)),"",VLOOKUP($F395,'Raw Data'!$A:$M,8,0))</f>
        <v>-4.7687999999999997</v>
      </c>
      <c r="I395">
        <f>IF(ISNA(VLOOKUP($F395,'Raw Data'!$A:$M,9,0)),"",VLOOKUP($F395,'Raw Data'!$A:$M,9,0))</f>
        <v>20.223600000000001</v>
      </c>
      <c r="J395">
        <f>IF(ISNA(VLOOKUP($F395,'Raw Data'!$A:$M,10,0)),"",VLOOKUP($F395,'Raw Data'!$A:$M,10,0))</f>
        <v>24.9924</v>
      </c>
      <c r="K395">
        <f>IF(ISNA(VLOOKUP($F395,'Raw Data'!$A:$M,11,0)),"",VLOOKUP($F395,'Raw Data'!$A:$M,11,0))</f>
        <v>10.9139</v>
      </c>
      <c r="L395">
        <f>IF(ISNA(VLOOKUP($F395,'Raw Data'!$A:$M,12,0)),"",VLOOKUP($F395,'Raw Data'!$A:$M,12,0))</f>
        <v>26.806999999999999</v>
      </c>
      <c r="M395">
        <f>IF(ISNA(VLOOKUP($F395,'Raw Data'!$A:$M,13,0)),"",VLOOKUP($F395,'Raw Data'!$A:$M,13,0))</f>
        <v>15.8931</v>
      </c>
    </row>
    <row r="396" spans="1:13" x14ac:dyDescent="0.25">
      <c r="A396" t="s">
        <v>37</v>
      </c>
      <c r="B396">
        <v>2013</v>
      </c>
      <c r="C396">
        <v>4.5</v>
      </c>
      <c r="D396" s="3">
        <v>760</v>
      </c>
      <c r="E396" s="3">
        <v>85</v>
      </c>
      <c r="F396" s="3" t="str">
        <f t="shared" si="6"/>
        <v>FGU620134.576085</v>
      </c>
      <c r="G396">
        <f>IF(ISNA(VLOOKUP($F396,'Raw Data'!$A:$M,7,0)),"",VLOOKUP($F396,'Raw Data'!$A:$M,7,0))</f>
        <v>720846.16</v>
      </c>
      <c r="H396">
        <f>IF(ISNA(VLOOKUP($F396,'Raw Data'!$A:$M,8,0)),"",VLOOKUP($F396,'Raw Data'!$A:$M,8,0))</f>
        <v>32.987299999999998</v>
      </c>
      <c r="I396">
        <f>IF(ISNA(VLOOKUP($F396,'Raw Data'!$A:$M,9,0)),"",VLOOKUP($F396,'Raw Data'!$A:$M,9,0))</f>
        <v>57.983400000000003</v>
      </c>
      <c r="J396">
        <f>IF(ISNA(VLOOKUP($F396,'Raw Data'!$A:$M,10,0)),"",VLOOKUP($F396,'Raw Data'!$A:$M,10,0))</f>
        <v>24.996099999999998</v>
      </c>
      <c r="K396">
        <f>IF(ISNA(VLOOKUP($F396,'Raw Data'!$A:$M,11,0)),"",VLOOKUP($F396,'Raw Data'!$A:$M,11,0))</f>
        <v>96.370699999999999</v>
      </c>
      <c r="L396">
        <f>IF(ISNA(VLOOKUP($F396,'Raw Data'!$A:$M,12,0)),"",VLOOKUP($F396,'Raw Data'!$A:$M,12,0))</f>
        <v>96.370699999999999</v>
      </c>
      <c r="M396">
        <f>IF(ISNA(VLOOKUP($F396,'Raw Data'!$A:$M,13,0)),"",VLOOKUP($F396,'Raw Data'!$A:$M,13,0))</f>
        <v>0</v>
      </c>
    </row>
    <row r="397" spans="1:13" x14ac:dyDescent="0.25">
      <c r="A397" t="s">
        <v>37</v>
      </c>
      <c r="B397">
        <v>2013</v>
      </c>
      <c r="C397">
        <v>4.5</v>
      </c>
      <c r="D397" s="3">
        <v>780</v>
      </c>
      <c r="E397" s="3">
        <v>85</v>
      </c>
      <c r="F397" s="3" t="str">
        <f t="shared" si="6"/>
        <v>FGU620134.578085</v>
      </c>
      <c r="G397" t="str">
        <f>IF(ISNA(VLOOKUP($F397,'Raw Data'!$A:$M,7,0)),"",VLOOKUP($F397,'Raw Data'!$A:$M,7,0))</f>
        <v/>
      </c>
      <c r="H397" t="str">
        <f>IF(ISNA(VLOOKUP($F397,'Raw Data'!$A:$M,8,0)),"",VLOOKUP($F397,'Raw Data'!$A:$M,8,0))</f>
        <v/>
      </c>
      <c r="I397" t="str">
        <f>IF(ISNA(VLOOKUP($F397,'Raw Data'!$A:$M,9,0)),"",VLOOKUP($F397,'Raw Data'!$A:$M,9,0))</f>
        <v/>
      </c>
      <c r="J397" t="str">
        <f>IF(ISNA(VLOOKUP($F397,'Raw Data'!$A:$M,10,0)),"",VLOOKUP($F397,'Raw Data'!$A:$M,10,0))</f>
        <v/>
      </c>
      <c r="K397" t="str">
        <f>IF(ISNA(VLOOKUP($F397,'Raw Data'!$A:$M,11,0)),"",VLOOKUP($F397,'Raw Data'!$A:$M,11,0))</f>
        <v/>
      </c>
      <c r="L397" t="str">
        <f>IF(ISNA(VLOOKUP($F397,'Raw Data'!$A:$M,12,0)),"",VLOOKUP($F397,'Raw Data'!$A:$M,12,0))</f>
        <v/>
      </c>
      <c r="M397" t="str">
        <f>IF(ISNA(VLOOKUP($F397,'Raw Data'!$A:$M,13,0)),"",VLOOKUP($F397,'Raw Data'!$A:$M,13,0))</f>
        <v/>
      </c>
    </row>
    <row r="398" spans="1:13" x14ac:dyDescent="0.25">
      <c r="A398" t="s">
        <v>37</v>
      </c>
      <c r="B398">
        <v>2013</v>
      </c>
      <c r="C398">
        <v>4.5</v>
      </c>
      <c r="D398" s="3">
        <v>620</v>
      </c>
      <c r="E398" s="3">
        <v>90</v>
      </c>
      <c r="F398" s="3" t="str">
        <f t="shared" si="6"/>
        <v>FGU620134.562090</v>
      </c>
      <c r="G398" t="str">
        <f>IF(ISNA(VLOOKUP($F398,'Raw Data'!$A:$M,7,0)),"",VLOOKUP($F398,'Raw Data'!$A:$M,7,0))</f>
        <v/>
      </c>
      <c r="H398" t="str">
        <f>IF(ISNA(VLOOKUP($F398,'Raw Data'!$A:$M,8,0)),"",VLOOKUP($F398,'Raw Data'!$A:$M,8,0))</f>
        <v/>
      </c>
      <c r="I398" t="str">
        <f>IF(ISNA(VLOOKUP($F398,'Raw Data'!$A:$M,9,0)),"",VLOOKUP($F398,'Raw Data'!$A:$M,9,0))</f>
        <v/>
      </c>
      <c r="J398" t="str">
        <f>IF(ISNA(VLOOKUP($F398,'Raw Data'!$A:$M,10,0)),"",VLOOKUP($F398,'Raw Data'!$A:$M,10,0))</f>
        <v/>
      </c>
      <c r="K398" t="str">
        <f>IF(ISNA(VLOOKUP($F398,'Raw Data'!$A:$M,11,0)),"",VLOOKUP($F398,'Raw Data'!$A:$M,11,0))</f>
        <v/>
      </c>
      <c r="L398" t="str">
        <f>IF(ISNA(VLOOKUP($F398,'Raw Data'!$A:$M,12,0)),"",VLOOKUP($F398,'Raw Data'!$A:$M,12,0))</f>
        <v/>
      </c>
      <c r="M398" t="str">
        <f>IF(ISNA(VLOOKUP($F398,'Raw Data'!$A:$M,13,0)),"",VLOOKUP($F398,'Raw Data'!$A:$M,13,0))</f>
        <v/>
      </c>
    </row>
    <row r="399" spans="1:13" x14ac:dyDescent="0.25">
      <c r="A399" t="s">
        <v>37</v>
      </c>
      <c r="B399">
        <v>2013</v>
      </c>
      <c r="C399">
        <v>4.5</v>
      </c>
      <c r="D399" s="3">
        <v>640</v>
      </c>
      <c r="E399" s="3">
        <v>90</v>
      </c>
      <c r="F399" s="3" t="str">
        <f t="shared" si="6"/>
        <v>FGU620134.564090</v>
      </c>
      <c r="G399" t="str">
        <f>IF(ISNA(VLOOKUP($F399,'Raw Data'!$A:$M,7,0)),"",VLOOKUP($F399,'Raw Data'!$A:$M,7,0))</f>
        <v/>
      </c>
      <c r="H399" t="str">
        <f>IF(ISNA(VLOOKUP($F399,'Raw Data'!$A:$M,8,0)),"",VLOOKUP($F399,'Raw Data'!$A:$M,8,0))</f>
        <v/>
      </c>
      <c r="I399" t="str">
        <f>IF(ISNA(VLOOKUP($F399,'Raw Data'!$A:$M,9,0)),"",VLOOKUP($F399,'Raw Data'!$A:$M,9,0))</f>
        <v/>
      </c>
      <c r="J399" t="str">
        <f>IF(ISNA(VLOOKUP($F399,'Raw Data'!$A:$M,10,0)),"",VLOOKUP($F399,'Raw Data'!$A:$M,10,0))</f>
        <v/>
      </c>
      <c r="K399" t="str">
        <f>IF(ISNA(VLOOKUP($F399,'Raw Data'!$A:$M,11,0)),"",VLOOKUP($F399,'Raw Data'!$A:$M,11,0))</f>
        <v/>
      </c>
      <c r="L399" t="str">
        <f>IF(ISNA(VLOOKUP($F399,'Raw Data'!$A:$M,12,0)),"",VLOOKUP($F399,'Raw Data'!$A:$M,12,0))</f>
        <v/>
      </c>
      <c r="M399" t="str">
        <f>IF(ISNA(VLOOKUP($F399,'Raw Data'!$A:$M,13,0)),"",VLOOKUP($F399,'Raw Data'!$A:$M,13,0))</f>
        <v/>
      </c>
    </row>
    <row r="400" spans="1:13" x14ac:dyDescent="0.25">
      <c r="A400" t="s">
        <v>37</v>
      </c>
      <c r="B400">
        <v>2013</v>
      </c>
      <c r="C400">
        <v>4.5</v>
      </c>
      <c r="D400" s="3">
        <v>660</v>
      </c>
      <c r="E400" s="3">
        <v>90</v>
      </c>
      <c r="F400" s="3" t="str">
        <f t="shared" si="6"/>
        <v>FGU620134.566090</v>
      </c>
      <c r="G400" t="str">
        <f>IF(ISNA(VLOOKUP($F400,'Raw Data'!$A:$M,7,0)),"",VLOOKUP($F400,'Raw Data'!$A:$M,7,0))</f>
        <v/>
      </c>
      <c r="H400" t="str">
        <f>IF(ISNA(VLOOKUP($F400,'Raw Data'!$A:$M,8,0)),"",VLOOKUP($F400,'Raw Data'!$A:$M,8,0))</f>
        <v/>
      </c>
      <c r="I400" t="str">
        <f>IF(ISNA(VLOOKUP($F400,'Raw Data'!$A:$M,9,0)),"",VLOOKUP($F400,'Raw Data'!$A:$M,9,0))</f>
        <v/>
      </c>
      <c r="J400" t="str">
        <f>IF(ISNA(VLOOKUP($F400,'Raw Data'!$A:$M,10,0)),"",VLOOKUP($F400,'Raw Data'!$A:$M,10,0))</f>
        <v/>
      </c>
      <c r="K400" t="str">
        <f>IF(ISNA(VLOOKUP($F400,'Raw Data'!$A:$M,11,0)),"",VLOOKUP($F400,'Raw Data'!$A:$M,11,0))</f>
        <v/>
      </c>
      <c r="L400" t="str">
        <f>IF(ISNA(VLOOKUP($F400,'Raw Data'!$A:$M,12,0)),"",VLOOKUP($F400,'Raw Data'!$A:$M,12,0))</f>
        <v/>
      </c>
      <c r="M400" t="str">
        <f>IF(ISNA(VLOOKUP($F400,'Raw Data'!$A:$M,13,0)),"",VLOOKUP($F400,'Raw Data'!$A:$M,13,0))</f>
        <v/>
      </c>
    </row>
    <row r="401" spans="1:13" x14ac:dyDescent="0.25">
      <c r="A401" t="s">
        <v>37</v>
      </c>
      <c r="B401">
        <v>2013</v>
      </c>
      <c r="C401">
        <v>4.5</v>
      </c>
      <c r="D401" s="3">
        <v>680</v>
      </c>
      <c r="E401" s="3">
        <v>90</v>
      </c>
      <c r="F401" s="3" t="str">
        <f t="shared" si="6"/>
        <v>FGU620134.568090</v>
      </c>
      <c r="G401" t="str">
        <f>IF(ISNA(VLOOKUP($F401,'Raw Data'!$A:$M,7,0)),"",VLOOKUP($F401,'Raw Data'!$A:$M,7,0))</f>
        <v/>
      </c>
      <c r="H401" t="str">
        <f>IF(ISNA(VLOOKUP($F401,'Raw Data'!$A:$M,8,0)),"",VLOOKUP($F401,'Raw Data'!$A:$M,8,0))</f>
        <v/>
      </c>
      <c r="I401" t="str">
        <f>IF(ISNA(VLOOKUP($F401,'Raw Data'!$A:$M,9,0)),"",VLOOKUP($F401,'Raw Data'!$A:$M,9,0))</f>
        <v/>
      </c>
      <c r="J401" t="str">
        <f>IF(ISNA(VLOOKUP($F401,'Raw Data'!$A:$M,10,0)),"",VLOOKUP($F401,'Raw Data'!$A:$M,10,0))</f>
        <v/>
      </c>
      <c r="K401" t="str">
        <f>IF(ISNA(VLOOKUP($F401,'Raw Data'!$A:$M,11,0)),"",VLOOKUP($F401,'Raw Data'!$A:$M,11,0))</f>
        <v/>
      </c>
      <c r="L401" t="str">
        <f>IF(ISNA(VLOOKUP($F401,'Raw Data'!$A:$M,12,0)),"",VLOOKUP($F401,'Raw Data'!$A:$M,12,0))</f>
        <v/>
      </c>
      <c r="M401" t="str">
        <f>IF(ISNA(VLOOKUP($F401,'Raw Data'!$A:$M,13,0)),"",VLOOKUP($F401,'Raw Data'!$A:$M,13,0))</f>
        <v/>
      </c>
    </row>
    <row r="402" spans="1:13" x14ac:dyDescent="0.25">
      <c r="A402" t="s">
        <v>37</v>
      </c>
      <c r="B402">
        <v>2013</v>
      </c>
      <c r="C402">
        <v>4.5</v>
      </c>
      <c r="D402" s="3">
        <v>700</v>
      </c>
      <c r="E402" s="3">
        <v>90</v>
      </c>
      <c r="F402" s="3" t="str">
        <f t="shared" si="6"/>
        <v>FGU620134.570090</v>
      </c>
      <c r="G402">
        <f>IF(ISNA(VLOOKUP($F402,'Raw Data'!$A:$M,7,0)),"",VLOOKUP($F402,'Raw Data'!$A:$M,7,0))</f>
        <v>31456366.5</v>
      </c>
      <c r="H402">
        <f>IF(ISNA(VLOOKUP($F402,'Raw Data'!$A:$M,8,0)),"",VLOOKUP($F402,'Raw Data'!$A:$M,8,0))</f>
        <v>-2.2806048240924399</v>
      </c>
      <c r="I402">
        <f>IF(ISNA(VLOOKUP($F402,'Raw Data'!$A:$M,9,0)),"",VLOOKUP($F402,'Raw Data'!$A:$M,9,0))</f>
        <v>22.7168244369633</v>
      </c>
      <c r="J402">
        <f>IF(ISNA(VLOOKUP($F402,'Raw Data'!$A:$M,10,0)),"",VLOOKUP($F402,'Raw Data'!$A:$M,10,0))</f>
        <v>24.9974292610557</v>
      </c>
      <c r="K402">
        <f>IF(ISNA(VLOOKUP($F402,'Raw Data'!$A:$M,11,0)),"",VLOOKUP($F402,'Raw Data'!$A:$M,11,0))</f>
        <v>15.4225665086999</v>
      </c>
      <c r="L402">
        <f>IF(ISNA(VLOOKUP($F402,'Raw Data'!$A:$M,12,0)),"",VLOOKUP($F402,'Raw Data'!$A:$M,12,0))</f>
        <v>32.272617870120897</v>
      </c>
      <c r="M402">
        <f>IF(ISNA(VLOOKUP($F402,'Raw Data'!$A:$M,13,0)),"",VLOOKUP($F402,'Raw Data'!$A:$M,13,0))</f>
        <v>16.850051361420899</v>
      </c>
    </row>
    <row r="403" spans="1:13" x14ac:dyDescent="0.25">
      <c r="A403" t="s">
        <v>37</v>
      </c>
      <c r="B403">
        <v>2013</v>
      </c>
      <c r="C403">
        <v>4.5</v>
      </c>
      <c r="D403" s="3">
        <v>720</v>
      </c>
      <c r="E403" s="3">
        <v>90</v>
      </c>
      <c r="F403" s="3" t="str">
        <f t="shared" si="6"/>
        <v>FGU620134.572090</v>
      </c>
      <c r="G403" t="str">
        <f>IF(ISNA(VLOOKUP($F403,'Raw Data'!$A:$M,7,0)),"",VLOOKUP($F403,'Raw Data'!$A:$M,7,0))</f>
        <v/>
      </c>
      <c r="H403" t="str">
        <f>IF(ISNA(VLOOKUP($F403,'Raw Data'!$A:$M,8,0)),"",VLOOKUP($F403,'Raw Data'!$A:$M,8,0))</f>
        <v/>
      </c>
      <c r="I403" t="str">
        <f>IF(ISNA(VLOOKUP($F403,'Raw Data'!$A:$M,9,0)),"",VLOOKUP($F403,'Raw Data'!$A:$M,9,0))</f>
        <v/>
      </c>
      <c r="J403" t="str">
        <f>IF(ISNA(VLOOKUP($F403,'Raw Data'!$A:$M,10,0)),"",VLOOKUP($F403,'Raw Data'!$A:$M,10,0))</f>
        <v/>
      </c>
      <c r="K403" t="str">
        <f>IF(ISNA(VLOOKUP($F403,'Raw Data'!$A:$M,11,0)),"",VLOOKUP($F403,'Raw Data'!$A:$M,11,0))</f>
        <v/>
      </c>
      <c r="L403" t="str">
        <f>IF(ISNA(VLOOKUP($F403,'Raw Data'!$A:$M,12,0)),"",VLOOKUP($F403,'Raw Data'!$A:$M,12,0))</f>
        <v/>
      </c>
      <c r="M403" t="str">
        <f>IF(ISNA(VLOOKUP($F403,'Raw Data'!$A:$M,13,0)),"",VLOOKUP($F403,'Raw Data'!$A:$M,13,0))</f>
        <v/>
      </c>
    </row>
    <row r="404" spans="1:13" x14ac:dyDescent="0.25">
      <c r="A404" t="s">
        <v>37</v>
      </c>
      <c r="B404">
        <v>2013</v>
      </c>
      <c r="C404">
        <v>4.5</v>
      </c>
      <c r="D404" s="3">
        <v>740</v>
      </c>
      <c r="E404" s="3">
        <v>90</v>
      </c>
      <c r="F404" s="3" t="str">
        <f t="shared" si="6"/>
        <v>FGU620134.574090</v>
      </c>
      <c r="G404">
        <f>IF(ISNA(VLOOKUP($F404,'Raw Data'!$A:$M,7,0)),"",VLOOKUP($F404,'Raw Data'!$A:$M,7,0))</f>
        <v>19573956.059999999</v>
      </c>
      <c r="H404">
        <f>IF(ISNA(VLOOKUP($F404,'Raw Data'!$A:$M,8,0)),"",VLOOKUP($F404,'Raw Data'!$A:$M,8,0))</f>
        <v>-5.4886170858755801</v>
      </c>
      <c r="I404">
        <f>IF(ISNA(VLOOKUP($F404,'Raw Data'!$A:$M,9,0)),"",VLOOKUP($F404,'Raw Data'!$A:$M,9,0))</f>
        <v>19.507352322087701</v>
      </c>
      <c r="J404">
        <f>IF(ISNA(VLOOKUP($F404,'Raw Data'!$A:$M,10,0)),"",VLOOKUP($F404,'Raw Data'!$A:$M,10,0))</f>
        <v>24.995969407963301</v>
      </c>
      <c r="K404">
        <f>IF(ISNA(VLOOKUP($F404,'Raw Data'!$A:$M,11,0)),"",VLOOKUP($F404,'Raw Data'!$A:$M,11,0))</f>
        <v>21.070416029734599</v>
      </c>
      <c r="L404">
        <f>IF(ISNA(VLOOKUP($F404,'Raw Data'!$A:$M,12,0)),"",VLOOKUP($F404,'Raw Data'!$A:$M,12,0))</f>
        <v>34.203715395066503</v>
      </c>
      <c r="M404">
        <f>IF(ISNA(VLOOKUP($F404,'Raw Data'!$A:$M,13,0)),"",VLOOKUP($F404,'Raw Data'!$A:$M,13,0))</f>
        <v>13.1332993653318</v>
      </c>
    </row>
    <row r="405" spans="1:13" x14ac:dyDescent="0.25">
      <c r="A405" t="s">
        <v>37</v>
      </c>
      <c r="B405">
        <v>2013</v>
      </c>
      <c r="C405">
        <v>4.5</v>
      </c>
      <c r="D405" s="3">
        <v>760</v>
      </c>
      <c r="E405" s="3">
        <v>90</v>
      </c>
      <c r="F405" s="3" t="str">
        <f t="shared" si="6"/>
        <v>FGU620134.576090</v>
      </c>
      <c r="G405">
        <f>IF(ISNA(VLOOKUP($F405,'Raw Data'!$A:$M,7,0)),"",VLOOKUP($F405,'Raw Data'!$A:$M,7,0))</f>
        <v>3352539.41</v>
      </c>
      <c r="H405">
        <f>IF(ISNA(VLOOKUP($F405,'Raw Data'!$A:$M,8,0)),"",VLOOKUP($F405,'Raw Data'!$A:$M,8,0))</f>
        <v>19.276700000000002</v>
      </c>
      <c r="I405">
        <f>IF(ISNA(VLOOKUP($F405,'Raw Data'!$A:$M,9,0)),"",VLOOKUP($F405,'Raw Data'!$A:$M,9,0))</f>
        <v>44.2729</v>
      </c>
      <c r="J405">
        <f>IF(ISNA(VLOOKUP($F405,'Raw Data'!$A:$M,10,0)),"",VLOOKUP($F405,'Raw Data'!$A:$M,10,0))</f>
        <v>24.996200000000002</v>
      </c>
      <c r="K405">
        <f>IF(ISNA(VLOOKUP($F405,'Raw Data'!$A:$M,11,0)),"",VLOOKUP($F405,'Raw Data'!$A:$M,11,0))</f>
        <v>41.048400000000001</v>
      </c>
      <c r="L405">
        <f>IF(ISNA(VLOOKUP($F405,'Raw Data'!$A:$M,12,0)),"",VLOOKUP($F405,'Raw Data'!$A:$M,12,0))</f>
        <v>57.453699999999998</v>
      </c>
      <c r="M405">
        <f>IF(ISNA(VLOOKUP($F405,'Raw Data'!$A:$M,13,0)),"",VLOOKUP($F405,'Raw Data'!$A:$M,13,0))</f>
        <v>16.4053</v>
      </c>
    </row>
    <row r="406" spans="1:13" x14ac:dyDescent="0.25">
      <c r="A406" t="s">
        <v>37</v>
      </c>
      <c r="B406">
        <v>2013</v>
      </c>
      <c r="C406">
        <v>4.5</v>
      </c>
      <c r="D406" s="3">
        <v>780</v>
      </c>
      <c r="E406" s="3">
        <v>90</v>
      </c>
      <c r="F406" s="3" t="str">
        <f t="shared" si="6"/>
        <v>FGU620134.578090</v>
      </c>
      <c r="G406" t="str">
        <f>IF(ISNA(VLOOKUP($F406,'Raw Data'!$A:$M,7,0)),"",VLOOKUP($F406,'Raw Data'!$A:$M,7,0))</f>
        <v/>
      </c>
      <c r="H406" t="str">
        <f>IF(ISNA(VLOOKUP($F406,'Raw Data'!$A:$M,8,0)),"",VLOOKUP($F406,'Raw Data'!$A:$M,8,0))</f>
        <v/>
      </c>
      <c r="I406" t="str">
        <f>IF(ISNA(VLOOKUP($F406,'Raw Data'!$A:$M,9,0)),"",VLOOKUP($F406,'Raw Data'!$A:$M,9,0))</f>
        <v/>
      </c>
      <c r="J406" t="str">
        <f>IF(ISNA(VLOOKUP($F406,'Raw Data'!$A:$M,10,0)),"",VLOOKUP($F406,'Raw Data'!$A:$M,10,0))</f>
        <v/>
      </c>
      <c r="K406" t="str">
        <f>IF(ISNA(VLOOKUP($F406,'Raw Data'!$A:$M,11,0)),"",VLOOKUP($F406,'Raw Data'!$A:$M,11,0))</f>
        <v/>
      </c>
      <c r="L406" t="str">
        <f>IF(ISNA(VLOOKUP($F406,'Raw Data'!$A:$M,12,0)),"",VLOOKUP($F406,'Raw Data'!$A:$M,12,0))</f>
        <v/>
      </c>
      <c r="M406" t="str">
        <f>IF(ISNA(VLOOKUP($F406,'Raw Data'!$A:$M,13,0)),"",VLOOKUP($F406,'Raw Data'!$A:$M,13,0))</f>
        <v/>
      </c>
    </row>
    <row r="407" spans="1:13" x14ac:dyDescent="0.25">
      <c r="A407" t="s">
        <v>37</v>
      </c>
      <c r="B407">
        <v>2013</v>
      </c>
      <c r="C407">
        <v>4.5</v>
      </c>
      <c r="D407" s="3">
        <v>620</v>
      </c>
      <c r="E407" s="3">
        <v>95</v>
      </c>
      <c r="F407" s="3" t="str">
        <f t="shared" si="6"/>
        <v>FGU620134.562095</v>
      </c>
      <c r="G407" t="str">
        <f>IF(ISNA(VLOOKUP($F407,'Raw Data'!$A:$M,7,0)),"",VLOOKUP($F407,'Raw Data'!$A:$M,7,0))</f>
        <v/>
      </c>
      <c r="H407" t="str">
        <f>IF(ISNA(VLOOKUP($F407,'Raw Data'!$A:$M,8,0)),"",VLOOKUP($F407,'Raw Data'!$A:$M,8,0))</f>
        <v/>
      </c>
      <c r="I407" t="str">
        <f>IF(ISNA(VLOOKUP($F407,'Raw Data'!$A:$M,9,0)),"",VLOOKUP($F407,'Raw Data'!$A:$M,9,0))</f>
        <v/>
      </c>
      <c r="J407" t="str">
        <f>IF(ISNA(VLOOKUP($F407,'Raw Data'!$A:$M,10,0)),"",VLOOKUP($F407,'Raw Data'!$A:$M,10,0))</f>
        <v/>
      </c>
      <c r="K407" t="str">
        <f>IF(ISNA(VLOOKUP($F407,'Raw Data'!$A:$M,11,0)),"",VLOOKUP($F407,'Raw Data'!$A:$M,11,0))</f>
        <v/>
      </c>
      <c r="L407" t="str">
        <f>IF(ISNA(VLOOKUP($F407,'Raw Data'!$A:$M,12,0)),"",VLOOKUP($F407,'Raw Data'!$A:$M,12,0))</f>
        <v/>
      </c>
      <c r="M407" t="str">
        <f>IF(ISNA(VLOOKUP($F407,'Raw Data'!$A:$M,13,0)),"",VLOOKUP($F407,'Raw Data'!$A:$M,13,0))</f>
        <v/>
      </c>
    </row>
    <row r="408" spans="1:13" x14ac:dyDescent="0.25">
      <c r="A408" t="s">
        <v>37</v>
      </c>
      <c r="B408">
        <v>2013</v>
      </c>
      <c r="C408">
        <v>4.5</v>
      </c>
      <c r="D408" s="3">
        <v>640</v>
      </c>
      <c r="E408" s="3">
        <v>95</v>
      </c>
      <c r="F408" s="3" t="str">
        <f t="shared" si="6"/>
        <v>FGU620134.564095</v>
      </c>
      <c r="G408" t="str">
        <f>IF(ISNA(VLOOKUP($F408,'Raw Data'!$A:$M,7,0)),"",VLOOKUP($F408,'Raw Data'!$A:$M,7,0))</f>
        <v/>
      </c>
      <c r="H408" t="str">
        <f>IF(ISNA(VLOOKUP($F408,'Raw Data'!$A:$M,8,0)),"",VLOOKUP($F408,'Raw Data'!$A:$M,8,0))</f>
        <v/>
      </c>
      <c r="I408" t="str">
        <f>IF(ISNA(VLOOKUP($F408,'Raw Data'!$A:$M,9,0)),"",VLOOKUP($F408,'Raw Data'!$A:$M,9,0))</f>
        <v/>
      </c>
      <c r="J408" t="str">
        <f>IF(ISNA(VLOOKUP($F408,'Raw Data'!$A:$M,10,0)),"",VLOOKUP($F408,'Raw Data'!$A:$M,10,0))</f>
        <v/>
      </c>
      <c r="K408" t="str">
        <f>IF(ISNA(VLOOKUP($F408,'Raw Data'!$A:$M,11,0)),"",VLOOKUP($F408,'Raw Data'!$A:$M,11,0))</f>
        <v/>
      </c>
      <c r="L408" t="str">
        <f>IF(ISNA(VLOOKUP($F408,'Raw Data'!$A:$M,12,0)),"",VLOOKUP($F408,'Raw Data'!$A:$M,12,0))</f>
        <v/>
      </c>
      <c r="M408" t="str">
        <f>IF(ISNA(VLOOKUP($F408,'Raw Data'!$A:$M,13,0)),"",VLOOKUP($F408,'Raw Data'!$A:$M,13,0))</f>
        <v/>
      </c>
    </row>
    <row r="409" spans="1:13" x14ac:dyDescent="0.25">
      <c r="A409" t="s">
        <v>37</v>
      </c>
      <c r="B409">
        <v>2013</v>
      </c>
      <c r="C409">
        <v>4.5</v>
      </c>
      <c r="D409" s="3">
        <v>660</v>
      </c>
      <c r="E409" s="3">
        <v>95</v>
      </c>
      <c r="F409" s="3" t="str">
        <f t="shared" si="6"/>
        <v>FGU620134.566095</v>
      </c>
      <c r="G409" t="str">
        <f>IF(ISNA(VLOOKUP($F409,'Raw Data'!$A:$M,7,0)),"",VLOOKUP($F409,'Raw Data'!$A:$M,7,0))</f>
        <v/>
      </c>
      <c r="H409" t="str">
        <f>IF(ISNA(VLOOKUP($F409,'Raw Data'!$A:$M,8,0)),"",VLOOKUP($F409,'Raw Data'!$A:$M,8,0))</f>
        <v/>
      </c>
      <c r="I409" t="str">
        <f>IF(ISNA(VLOOKUP($F409,'Raw Data'!$A:$M,9,0)),"",VLOOKUP($F409,'Raw Data'!$A:$M,9,0))</f>
        <v/>
      </c>
      <c r="J409" t="str">
        <f>IF(ISNA(VLOOKUP($F409,'Raw Data'!$A:$M,10,0)),"",VLOOKUP($F409,'Raw Data'!$A:$M,10,0))</f>
        <v/>
      </c>
      <c r="K409" t="str">
        <f>IF(ISNA(VLOOKUP($F409,'Raw Data'!$A:$M,11,0)),"",VLOOKUP($F409,'Raw Data'!$A:$M,11,0))</f>
        <v/>
      </c>
      <c r="L409" t="str">
        <f>IF(ISNA(VLOOKUP($F409,'Raw Data'!$A:$M,12,0)),"",VLOOKUP($F409,'Raw Data'!$A:$M,12,0))</f>
        <v/>
      </c>
      <c r="M409" t="str">
        <f>IF(ISNA(VLOOKUP($F409,'Raw Data'!$A:$M,13,0)),"",VLOOKUP($F409,'Raw Data'!$A:$M,13,0))</f>
        <v/>
      </c>
    </row>
    <row r="410" spans="1:13" x14ac:dyDescent="0.25">
      <c r="A410" t="s">
        <v>37</v>
      </c>
      <c r="B410">
        <v>2013</v>
      </c>
      <c r="C410">
        <v>4.5</v>
      </c>
      <c r="D410" s="3">
        <v>680</v>
      </c>
      <c r="E410" s="3">
        <v>95</v>
      </c>
      <c r="F410" s="3" t="str">
        <f t="shared" si="6"/>
        <v>FGU620134.568095</v>
      </c>
      <c r="G410" t="str">
        <f>IF(ISNA(VLOOKUP($F410,'Raw Data'!$A:$M,7,0)),"",VLOOKUP($F410,'Raw Data'!$A:$M,7,0))</f>
        <v/>
      </c>
      <c r="H410" t="str">
        <f>IF(ISNA(VLOOKUP($F410,'Raw Data'!$A:$M,8,0)),"",VLOOKUP($F410,'Raw Data'!$A:$M,8,0))</f>
        <v/>
      </c>
      <c r="I410" t="str">
        <f>IF(ISNA(VLOOKUP($F410,'Raw Data'!$A:$M,9,0)),"",VLOOKUP($F410,'Raw Data'!$A:$M,9,0))</f>
        <v/>
      </c>
      <c r="J410" t="str">
        <f>IF(ISNA(VLOOKUP($F410,'Raw Data'!$A:$M,10,0)),"",VLOOKUP($F410,'Raw Data'!$A:$M,10,0))</f>
        <v/>
      </c>
      <c r="K410" t="str">
        <f>IF(ISNA(VLOOKUP($F410,'Raw Data'!$A:$M,11,0)),"",VLOOKUP($F410,'Raw Data'!$A:$M,11,0))</f>
        <v/>
      </c>
      <c r="L410" t="str">
        <f>IF(ISNA(VLOOKUP($F410,'Raw Data'!$A:$M,12,0)),"",VLOOKUP($F410,'Raw Data'!$A:$M,12,0))</f>
        <v/>
      </c>
      <c r="M410" t="str">
        <f>IF(ISNA(VLOOKUP($F410,'Raw Data'!$A:$M,13,0)),"",VLOOKUP($F410,'Raw Data'!$A:$M,13,0))</f>
        <v/>
      </c>
    </row>
    <row r="411" spans="1:13" x14ac:dyDescent="0.25">
      <c r="A411" t="s">
        <v>37</v>
      </c>
      <c r="B411">
        <v>2013</v>
      </c>
      <c r="C411">
        <v>4.5</v>
      </c>
      <c r="D411" s="3">
        <v>700</v>
      </c>
      <c r="E411" s="3">
        <v>95</v>
      </c>
      <c r="F411" s="3" t="str">
        <f t="shared" si="6"/>
        <v>FGU620134.570095</v>
      </c>
      <c r="G411">
        <f>IF(ISNA(VLOOKUP($F411,'Raw Data'!$A:$M,7,0)),"",VLOOKUP($F411,'Raw Data'!$A:$M,7,0))</f>
        <v>11815683.68</v>
      </c>
      <c r="H411">
        <f>IF(ISNA(VLOOKUP($F411,'Raw Data'!$A:$M,8,0)),"",VLOOKUP($F411,'Raw Data'!$A:$M,8,0))</f>
        <v>8.5159580493014602</v>
      </c>
      <c r="I411">
        <f>IF(ISNA(VLOOKUP($F411,'Raw Data'!$A:$M,9,0)),"",VLOOKUP($F411,'Raw Data'!$A:$M,9,0))</f>
        <v>33.5114830864702</v>
      </c>
      <c r="J411">
        <f>IF(ISNA(VLOOKUP($F411,'Raw Data'!$A:$M,10,0)),"",VLOOKUP($F411,'Raw Data'!$A:$M,10,0))</f>
        <v>24.995525037168701</v>
      </c>
      <c r="K411">
        <f>IF(ISNA(VLOOKUP($F411,'Raw Data'!$A:$M,11,0)),"",VLOOKUP($F411,'Raw Data'!$A:$M,11,0))</f>
        <v>22.514156691249099</v>
      </c>
      <c r="L411">
        <f>IF(ISNA(VLOOKUP($F411,'Raw Data'!$A:$M,12,0)),"",VLOOKUP($F411,'Raw Data'!$A:$M,12,0))</f>
        <v>40.074108393370501</v>
      </c>
      <c r="M411">
        <f>IF(ISNA(VLOOKUP($F411,'Raw Data'!$A:$M,13,0)),"",VLOOKUP($F411,'Raw Data'!$A:$M,13,0))</f>
        <v>17.5599517021213</v>
      </c>
    </row>
    <row r="412" spans="1:13" x14ac:dyDescent="0.25">
      <c r="A412" t="s">
        <v>37</v>
      </c>
      <c r="B412">
        <v>2013</v>
      </c>
      <c r="C412">
        <v>4.5</v>
      </c>
      <c r="D412" s="3">
        <v>720</v>
      </c>
      <c r="E412" s="3">
        <v>95</v>
      </c>
      <c r="F412" s="3" t="str">
        <f t="shared" si="6"/>
        <v>FGU620134.572095</v>
      </c>
      <c r="G412" t="str">
        <f>IF(ISNA(VLOOKUP($F412,'Raw Data'!$A:$M,7,0)),"",VLOOKUP($F412,'Raw Data'!$A:$M,7,0))</f>
        <v/>
      </c>
      <c r="H412" t="str">
        <f>IF(ISNA(VLOOKUP($F412,'Raw Data'!$A:$M,8,0)),"",VLOOKUP($F412,'Raw Data'!$A:$M,8,0))</f>
        <v/>
      </c>
      <c r="I412" t="str">
        <f>IF(ISNA(VLOOKUP($F412,'Raw Data'!$A:$M,9,0)),"",VLOOKUP($F412,'Raw Data'!$A:$M,9,0))</f>
        <v/>
      </c>
      <c r="J412" t="str">
        <f>IF(ISNA(VLOOKUP($F412,'Raw Data'!$A:$M,10,0)),"",VLOOKUP($F412,'Raw Data'!$A:$M,10,0))</f>
        <v/>
      </c>
      <c r="K412" t="str">
        <f>IF(ISNA(VLOOKUP($F412,'Raw Data'!$A:$M,11,0)),"",VLOOKUP($F412,'Raw Data'!$A:$M,11,0))</f>
        <v/>
      </c>
      <c r="L412" t="str">
        <f>IF(ISNA(VLOOKUP($F412,'Raw Data'!$A:$M,12,0)),"",VLOOKUP($F412,'Raw Data'!$A:$M,12,0))</f>
        <v/>
      </c>
      <c r="M412" t="str">
        <f>IF(ISNA(VLOOKUP($F412,'Raw Data'!$A:$M,13,0)),"",VLOOKUP($F412,'Raw Data'!$A:$M,13,0))</f>
        <v/>
      </c>
    </row>
    <row r="413" spans="1:13" x14ac:dyDescent="0.25">
      <c r="A413" t="s">
        <v>37</v>
      </c>
      <c r="B413">
        <v>2013</v>
      </c>
      <c r="C413">
        <v>4.5</v>
      </c>
      <c r="D413" s="3">
        <v>740</v>
      </c>
      <c r="E413" s="3">
        <v>95</v>
      </c>
      <c r="F413" s="3" t="str">
        <f t="shared" si="6"/>
        <v>FGU620134.574095</v>
      </c>
      <c r="G413">
        <f>IF(ISNA(VLOOKUP($F413,'Raw Data'!$A:$M,7,0)),"",VLOOKUP($F413,'Raw Data'!$A:$M,7,0))</f>
        <v>990912.71</v>
      </c>
      <c r="H413">
        <f>IF(ISNA(VLOOKUP($F413,'Raw Data'!$A:$M,8,0)),"",VLOOKUP($F413,'Raw Data'!$A:$M,8,0))</f>
        <v>4.0076000000000001</v>
      </c>
      <c r="I413">
        <f>IF(ISNA(VLOOKUP($F413,'Raw Data'!$A:$M,9,0)),"",VLOOKUP($F413,'Raw Data'!$A:$M,9,0))</f>
        <v>29.004300000000001</v>
      </c>
      <c r="J413">
        <f>IF(ISNA(VLOOKUP($F413,'Raw Data'!$A:$M,10,0)),"",VLOOKUP($F413,'Raw Data'!$A:$M,10,0))</f>
        <v>24.996700000000001</v>
      </c>
      <c r="K413">
        <f>IF(ISNA(VLOOKUP($F413,'Raw Data'!$A:$M,11,0)),"",VLOOKUP($F413,'Raw Data'!$A:$M,11,0))</f>
        <v>28.486899999999999</v>
      </c>
      <c r="L413">
        <f>IF(ISNA(VLOOKUP($F413,'Raw Data'!$A:$M,12,0)),"",VLOOKUP($F413,'Raw Data'!$A:$M,12,0))</f>
        <v>42.506599999999999</v>
      </c>
      <c r="M413">
        <f>IF(ISNA(VLOOKUP($F413,'Raw Data'!$A:$M,13,0)),"",VLOOKUP($F413,'Raw Data'!$A:$M,13,0))</f>
        <v>14.0197</v>
      </c>
    </row>
    <row r="414" spans="1:13" x14ac:dyDescent="0.25">
      <c r="A414" t="s">
        <v>37</v>
      </c>
      <c r="B414">
        <v>2013</v>
      </c>
      <c r="C414">
        <v>4.5</v>
      </c>
      <c r="D414" s="3">
        <v>760</v>
      </c>
      <c r="E414" s="3">
        <v>95</v>
      </c>
      <c r="F414" s="3" t="str">
        <f t="shared" si="6"/>
        <v>FGU620134.576095</v>
      </c>
      <c r="G414" t="str">
        <f>IF(ISNA(VLOOKUP($F414,'Raw Data'!$A:$M,7,0)),"",VLOOKUP($F414,'Raw Data'!$A:$M,7,0))</f>
        <v/>
      </c>
      <c r="H414" t="str">
        <f>IF(ISNA(VLOOKUP($F414,'Raw Data'!$A:$M,8,0)),"",VLOOKUP($F414,'Raw Data'!$A:$M,8,0))</f>
        <v/>
      </c>
      <c r="I414" t="str">
        <f>IF(ISNA(VLOOKUP($F414,'Raw Data'!$A:$M,9,0)),"",VLOOKUP($F414,'Raw Data'!$A:$M,9,0))</f>
        <v/>
      </c>
      <c r="J414" t="str">
        <f>IF(ISNA(VLOOKUP($F414,'Raw Data'!$A:$M,10,0)),"",VLOOKUP($F414,'Raw Data'!$A:$M,10,0))</f>
        <v/>
      </c>
      <c r="K414" t="str">
        <f>IF(ISNA(VLOOKUP($F414,'Raw Data'!$A:$M,11,0)),"",VLOOKUP($F414,'Raw Data'!$A:$M,11,0))</f>
        <v/>
      </c>
      <c r="L414" t="str">
        <f>IF(ISNA(VLOOKUP($F414,'Raw Data'!$A:$M,12,0)),"",VLOOKUP($F414,'Raw Data'!$A:$M,12,0))</f>
        <v/>
      </c>
      <c r="M414" t="str">
        <f>IF(ISNA(VLOOKUP($F414,'Raw Data'!$A:$M,13,0)),"",VLOOKUP($F414,'Raw Data'!$A:$M,13,0))</f>
        <v/>
      </c>
    </row>
    <row r="415" spans="1:13" x14ac:dyDescent="0.25">
      <c r="A415" t="s">
        <v>37</v>
      </c>
      <c r="B415">
        <v>2013</v>
      </c>
      <c r="C415">
        <v>4.5</v>
      </c>
      <c r="D415" s="3">
        <v>780</v>
      </c>
      <c r="E415" s="3">
        <v>95</v>
      </c>
      <c r="F415" s="3" t="str">
        <f t="shared" si="6"/>
        <v>FGU620134.578095</v>
      </c>
      <c r="G415" t="str">
        <f>IF(ISNA(VLOOKUP($F415,'Raw Data'!$A:$M,7,0)),"",VLOOKUP($F415,'Raw Data'!$A:$M,7,0))</f>
        <v/>
      </c>
      <c r="H415" t="str">
        <f>IF(ISNA(VLOOKUP($F415,'Raw Data'!$A:$M,8,0)),"",VLOOKUP($F415,'Raw Data'!$A:$M,8,0))</f>
        <v/>
      </c>
      <c r="I415" t="str">
        <f>IF(ISNA(VLOOKUP($F415,'Raw Data'!$A:$M,9,0)),"",VLOOKUP($F415,'Raw Data'!$A:$M,9,0))</f>
        <v/>
      </c>
      <c r="J415" t="str">
        <f>IF(ISNA(VLOOKUP($F415,'Raw Data'!$A:$M,10,0)),"",VLOOKUP($F415,'Raw Data'!$A:$M,10,0))</f>
        <v/>
      </c>
      <c r="K415" t="str">
        <f>IF(ISNA(VLOOKUP($F415,'Raw Data'!$A:$M,11,0)),"",VLOOKUP($F415,'Raw Data'!$A:$M,11,0))</f>
        <v/>
      </c>
      <c r="L415" t="str">
        <f>IF(ISNA(VLOOKUP($F415,'Raw Data'!$A:$M,12,0)),"",VLOOKUP($F415,'Raw Data'!$A:$M,12,0))</f>
        <v/>
      </c>
      <c r="M415" t="str">
        <f>IF(ISNA(VLOOKUP($F415,'Raw Data'!$A:$M,13,0)),"",VLOOKUP($F415,'Raw Data'!$A:$M,13,0))</f>
        <v/>
      </c>
    </row>
    <row r="416" spans="1:13" x14ac:dyDescent="0.25">
      <c r="A416" t="s">
        <v>37</v>
      </c>
      <c r="B416">
        <v>2013</v>
      </c>
      <c r="C416">
        <v>4.5</v>
      </c>
      <c r="D416" s="3">
        <v>620</v>
      </c>
      <c r="E416" s="3">
        <v>97</v>
      </c>
      <c r="F416" s="3" t="str">
        <f t="shared" si="6"/>
        <v>FGU620134.562097</v>
      </c>
      <c r="G416" t="str">
        <f>IF(ISNA(VLOOKUP($F416,'Raw Data'!$A:$M,7,0)),"",VLOOKUP($F416,'Raw Data'!$A:$M,7,0))</f>
        <v/>
      </c>
      <c r="H416" t="str">
        <f>IF(ISNA(VLOOKUP($F416,'Raw Data'!$A:$M,8,0)),"",VLOOKUP($F416,'Raw Data'!$A:$M,8,0))</f>
        <v/>
      </c>
      <c r="I416" t="str">
        <f>IF(ISNA(VLOOKUP($F416,'Raw Data'!$A:$M,9,0)),"",VLOOKUP($F416,'Raw Data'!$A:$M,9,0))</f>
        <v/>
      </c>
      <c r="J416" t="str">
        <f>IF(ISNA(VLOOKUP($F416,'Raw Data'!$A:$M,10,0)),"",VLOOKUP($F416,'Raw Data'!$A:$M,10,0))</f>
        <v/>
      </c>
      <c r="K416" t="str">
        <f>IF(ISNA(VLOOKUP($F416,'Raw Data'!$A:$M,11,0)),"",VLOOKUP($F416,'Raw Data'!$A:$M,11,0))</f>
        <v/>
      </c>
      <c r="L416" t="str">
        <f>IF(ISNA(VLOOKUP($F416,'Raw Data'!$A:$M,12,0)),"",VLOOKUP($F416,'Raw Data'!$A:$M,12,0))</f>
        <v/>
      </c>
      <c r="M416" t="str">
        <f>IF(ISNA(VLOOKUP($F416,'Raw Data'!$A:$M,13,0)),"",VLOOKUP($F416,'Raw Data'!$A:$M,13,0))</f>
        <v/>
      </c>
    </row>
    <row r="417" spans="1:13" x14ac:dyDescent="0.25">
      <c r="A417" t="s">
        <v>37</v>
      </c>
      <c r="B417">
        <v>2013</v>
      </c>
      <c r="C417">
        <v>4.5</v>
      </c>
      <c r="D417" s="3">
        <v>640</v>
      </c>
      <c r="E417" s="3">
        <v>97</v>
      </c>
      <c r="F417" s="3" t="str">
        <f t="shared" si="6"/>
        <v>FGU620134.564097</v>
      </c>
      <c r="G417" t="str">
        <f>IF(ISNA(VLOOKUP($F417,'Raw Data'!$A:$M,7,0)),"",VLOOKUP($F417,'Raw Data'!$A:$M,7,0))</f>
        <v/>
      </c>
      <c r="H417" t="str">
        <f>IF(ISNA(VLOOKUP($F417,'Raw Data'!$A:$M,8,0)),"",VLOOKUP($F417,'Raw Data'!$A:$M,8,0))</f>
        <v/>
      </c>
      <c r="I417" t="str">
        <f>IF(ISNA(VLOOKUP($F417,'Raw Data'!$A:$M,9,0)),"",VLOOKUP($F417,'Raw Data'!$A:$M,9,0))</f>
        <v/>
      </c>
      <c r="J417" t="str">
        <f>IF(ISNA(VLOOKUP($F417,'Raw Data'!$A:$M,10,0)),"",VLOOKUP($F417,'Raw Data'!$A:$M,10,0))</f>
        <v/>
      </c>
      <c r="K417" t="str">
        <f>IF(ISNA(VLOOKUP($F417,'Raw Data'!$A:$M,11,0)),"",VLOOKUP($F417,'Raw Data'!$A:$M,11,0))</f>
        <v/>
      </c>
      <c r="L417" t="str">
        <f>IF(ISNA(VLOOKUP($F417,'Raw Data'!$A:$M,12,0)),"",VLOOKUP($F417,'Raw Data'!$A:$M,12,0))</f>
        <v/>
      </c>
      <c r="M417" t="str">
        <f>IF(ISNA(VLOOKUP($F417,'Raw Data'!$A:$M,13,0)),"",VLOOKUP($F417,'Raw Data'!$A:$M,13,0))</f>
        <v/>
      </c>
    </row>
    <row r="418" spans="1:13" x14ac:dyDescent="0.25">
      <c r="A418" t="s">
        <v>37</v>
      </c>
      <c r="B418">
        <v>2013</v>
      </c>
      <c r="C418">
        <v>4.5</v>
      </c>
      <c r="D418" s="3">
        <v>660</v>
      </c>
      <c r="E418" s="3">
        <v>97</v>
      </c>
      <c r="F418" s="3" t="str">
        <f t="shared" si="6"/>
        <v>FGU620134.566097</v>
      </c>
      <c r="G418" t="str">
        <f>IF(ISNA(VLOOKUP($F418,'Raw Data'!$A:$M,7,0)),"",VLOOKUP($F418,'Raw Data'!$A:$M,7,0))</f>
        <v/>
      </c>
      <c r="H418" t="str">
        <f>IF(ISNA(VLOOKUP($F418,'Raw Data'!$A:$M,8,0)),"",VLOOKUP($F418,'Raw Data'!$A:$M,8,0))</f>
        <v/>
      </c>
      <c r="I418" t="str">
        <f>IF(ISNA(VLOOKUP($F418,'Raw Data'!$A:$M,9,0)),"",VLOOKUP($F418,'Raw Data'!$A:$M,9,0))</f>
        <v/>
      </c>
      <c r="J418" t="str">
        <f>IF(ISNA(VLOOKUP($F418,'Raw Data'!$A:$M,10,0)),"",VLOOKUP($F418,'Raw Data'!$A:$M,10,0))</f>
        <v/>
      </c>
      <c r="K418" t="str">
        <f>IF(ISNA(VLOOKUP($F418,'Raw Data'!$A:$M,11,0)),"",VLOOKUP($F418,'Raw Data'!$A:$M,11,0))</f>
        <v/>
      </c>
      <c r="L418" t="str">
        <f>IF(ISNA(VLOOKUP($F418,'Raw Data'!$A:$M,12,0)),"",VLOOKUP($F418,'Raw Data'!$A:$M,12,0))</f>
        <v/>
      </c>
      <c r="M418" t="str">
        <f>IF(ISNA(VLOOKUP($F418,'Raw Data'!$A:$M,13,0)),"",VLOOKUP($F418,'Raw Data'!$A:$M,13,0))</f>
        <v/>
      </c>
    </row>
    <row r="419" spans="1:13" x14ac:dyDescent="0.25">
      <c r="A419" t="s">
        <v>37</v>
      </c>
      <c r="B419">
        <v>2013</v>
      </c>
      <c r="C419">
        <v>4.5</v>
      </c>
      <c r="D419" s="3">
        <v>680</v>
      </c>
      <c r="E419" s="3">
        <v>97</v>
      </c>
      <c r="F419" s="3" t="str">
        <f t="shared" si="6"/>
        <v>FGU620134.568097</v>
      </c>
      <c r="G419" t="str">
        <f>IF(ISNA(VLOOKUP($F419,'Raw Data'!$A:$M,7,0)),"",VLOOKUP($F419,'Raw Data'!$A:$M,7,0))</f>
        <v/>
      </c>
      <c r="H419" t="str">
        <f>IF(ISNA(VLOOKUP($F419,'Raw Data'!$A:$M,8,0)),"",VLOOKUP($F419,'Raw Data'!$A:$M,8,0))</f>
        <v/>
      </c>
      <c r="I419" t="str">
        <f>IF(ISNA(VLOOKUP($F419,'Raw Data'!$A:$M,9,0)),"",VLOOKUP($F419,'Raw Data'!$A:$M,9,0))</f>
        <v/>
      </c>
      <c r="J419" t="str">
        <f>IF(ISNA(VLOOKUP($F419,'Raw Data'!$A:$M,10,0)),"",VLOOKUP($F419,'Raw Data'!$A:$M,10,0))</f>
        <v/>
      </c>
      <c r="K419" t="str">
        <f>IF(ISNA(VLOOKUP($F419,'Raw Data'!$A:$M,11,0)),"",VLOOKUP($F419,'Raw Data'!$A:$M,11,0))</f>
        <v/>
      </c>
      <c r="L419" t="str">
        <f>IF(ISNA(VLOOKUP($F419,'Raw Data'!$A:$M,12,0)),"",VLOOKUP($F419,'Raw Data'!$A:$M,12,0))</f>
        <v/>
      </c>
      <c r="M419" t="str">
        <f>IF(ISNA(VLOOKUP($F419,'Raw Data'!$A:$M,13,0)),"",VLOOKUP($F419,'Raw Data'!$A:$M,13,0))</f>
        <v/>
      </c>
    </row>
    <row r="420" spans="1:13" x14ac:dyDescent="0.25">
      <c r="A420" t="s">
        <v>37</v>
      </c>
      <c r="B420">
        <v>2013</v>
      </c>
      <c r="C420">
        <v>4.5</v>
      </c>
      <c r="D420" s="3">
        <v>700</v>
      </c>
      <c r="E420" s="3">
        <v>97</v>
      </c>
      <c r="F420" s="3" t="str">
        <f t="shared" si="6"/>
        <v>FGU620134.570097</v>
      </c>
      <c r="G420" t="str">
        <f>IF(ISNA(VLOOKUP($F420,'Raw Data'!$A:$M,7,0)),"",VLOOKUP($F420,'Raw Data'!$A:$M,7,0))</f>
        <v/>
      </c>
      <c r="H420" t="str">
        <f>IF(ISNA(VLOOKUP($F420,'Raw Data'!$A:$M,8,0)),"",VLOOKUP($F420,'Raw Data'!$A:$M,8,0))</f>
        <v/>
      </c>
      <c r="I420" t="str">
        <f>IF(ISNA(VLOOKUP($F420,'Raw Data'!$A:$M,9,0)),"",VLOOKUP($F420,'Raw Data'!$A:$M,9,0))</f>
        <v/>
      </c>
      <c r="J420" t="str">
        <f>IF(ISNA(VLOOKUP($F420,'Raw Data'!$A:$M,10,0)),"",VLOOKUP($F420,'Raw Data'!$A:$M,10,0))</f>
        <v/>
      </c>
      <c r="K420" t="str">
        <f>IF(ISNA(VLOOKUP($F420,'Raw Data'!$A:$M,11,0)),"",VLOOKUP($F420,'Raw Data'!$A:$M,11,0))</f>
        <v/>
      </c>
      <c r="L420" t="str">
        <f>IF(ISNA(VLOOKUP($F420,'Raw Data'!$A:$M,12,0)),"",VLOOKUP($F420,'Raw Data'!$A:$M,12,0))</f>
        <v/>
      </c>
      <c r="M420" t="str">
        <f>IF(ISNA(VLOOKUP($F420,'Raw Data'!$A:$M,13,0)),"",VLOOKUP($F420,'Raw Data'!$A:$M,13,0))</f>
        <v/>
      </c>
    </row>
    <row r="421" spans="1:13" x14ac:dyDescent="0.25">
      <c r="A421" t="s">
        <v>37</v>
      </c>
      <c r="B421">
        <v>2013</v>
      </c>
      <c r="C421">
        <v>4.5</v>
      </c>
      <c r="D421" s="3">
        <v>720</v>
      </c>
      <c r="E421" s="3">
        <v>97</v>
      </c>
      <c r="F421" s="3" t="str">
        <f t="shared" si="6"/>
        <v>FGU620134.572097</v>
      </c>
      <c r="G421" t="str">
        <f>IF(ISNA(VLOOKUP($F421,'Raw Data'!$A:$M,7,0)),"",VLOOKUP($F421,'Raw Data'!$A:$M,7,0))</f>
        <v/>
      </c>
      <c r="H421" t="str">
        <f>IF(ISNA(VLOOKUP($F421,'Raw Data'!$A:$M,8,0)),"",VLOOKUP($F421,'Raw Data'!$A:$M,8,0))</f>
        <v/>
      </c>
      <c r="I421" t="str">
        <f>IF(ISNA(VLOOKUP($F421,'Raw Data'!$A:$M,9,0)),"",VLOOKUP($F421,'Raw Data'!$A:$M,9,0))</f>
        <v/>
      </c>
      <c r="J421" t="str">
        <f>IF(ISNA(VLOOKUP($F421,'Raw Data'!$A:$M,10,0)),"",VLOOKUP($F421,'Raw Data'!$A:$M,10,0))</f>
        <v/>
      </c>
      <c r="K421" t="str">
        <f>IF(ISNA(VLOOKUP($F421,'Raw Data'!$A:$M,11,0)),"",VLOOKUP($F421,'Raw Data'!$A:$M,11,0))</f>
        <v/>
      </c>
      <c r="L421" t="str">
        <f>IF(ISNA(VLOOKUP($F421,'Raw Data'!$A:$M,12,0)),"",VLOOKUP($F421,'Raw Data'!$A:$M,12,0))</f>
        <v/>
      </c>
      <c r="M421" t="str">
        <f>IF(ISNA(VLOOKUP($F421,'Raw Data'!$A:$M,13,0)),"",VLOOKUP($F421,'Raw Data'!$A:$M,13,0))</f>
        <v/>
      </c>
    </row>
    <row r="422" spans="1:13" x14ac:dyDescent="0.25">
      <c r="A422" t="s">
        <v>37</v>
      </c>
      <c r="B422">
        <v>2013</v>
      </c>
      <c r="C422">
        <v>4.5</v>
      </c>
      <c r="D422" s="3">
        <v>740</v>
      </c>
      <c r="E422" s="3">
        <v>97</v>
      </c>
      <c r="F422" s="3" t="str">
        <f t="shared" si="6"/>
        <v>FGU620134.574097</v>
      </c>
      <c r="G422" t="str">
        <f>IF(ISNA(VLOOKUP($F422,'Raw Data'!$A:$M,7,0)),"",VLOOKUP($F422,'Raw Data'!$A:$M,7,0))</f>
        <v/>
      </c>
      <c r="H422" t="str">
        <f>IF(ISNA(VLOOKUP($F422,'Raw Data'!$A:$M,8,0)),"",VLOOKUP($F422,'Raw Data'!$A:$M,8,0))</f>
        <v/>
      </c>
      <c r="I422" t="str">
        <f>IF(ISNA(VLOOKUP($F422,'Raw Data'!$A:$M,9,0)),"",VLOOKUP($F422,'Raw Data'!$A:$M,9,0))</f>
        <v/>
      </c>
      <c r="J422" t="str">
        <f>IF(ISNA(VLOOKUP($F422,'Raw Data'!$A:$M,10,0)),"",VLOOKUP($F422,'Raw Data'!$A:$M,10,0))</f>
        <v/>
      </c>
      <c r="K422" t="str">
        <f>IF(ISNA(VLOOKUP($F422,'Raw Data'!$A:$M,11,0)),"",VLOOKUP($F422,'Raw Data'!$A:$M,11,0))</f>
        <v/>
      </c>
      <c r="L422" t="str">
        <f>IF(ISNA(VLOOKUP($F422,'Raw Data'!$A:$M,12,0)),"",VLOOKUP($F422,'Raw Data'!$A:$M,12,0))</f>
        <v/>
      </c>
      <c r="M422" t="str">
        <f>IF(ISNA(VLOOKUP($F422,'Raw Data'!$A:$M,13,0)),"",VLOOKUP($F422,'Raw Data'!$A:$M,13,0))</f>
        <v/>
      </c>
    </row>
    <row r="423" spans="1:13" x14ac:dyDescent="0.25">
      <c r="A423" t="s">
        <v>37</v>
      </c>
      <c r="B423">
        <v>2013</v>
      </c>
      <c r="C423">
        <v>4.5</v>
      </c>
      <c r="D423" s="3">
        <v>760</v>
      </c>
      <c r="E423" s="3">
        <v>97</v>
      </c>
      <c r="F423" s="3" t="str">
        <f t="shared" si="6"/>
        <v>FGU620134.576097</v>
      </c>
      <c r="G423" t="str">
        <f>IF(ISNA(VLOOKUP($F423,'Raw Data'!$A:$M,7,0)),"",VLOOKUP($F423,'Raw Data'!$A:$M,7,0))</f>
        <v/>
      </c>
      <c r="H423" t="str">
        <f>IF(ISNA(VLOOKUP($F423,'Raw Data'!$A:$M,8,0)),"",VLOOKUP($F423,'Raw Data'!$A:$M,8,0))</f>
        <v/>
      </c>
      <c r="I423" t="str">
        <f>IF(ISNA(VLOOKUP($F423,'Raw Data'!$A:$M,9,0)),"",VLOOKUP($F423,'Raw Data'!$A:$M,9,0))</f>
        <v/>
      </c>
      <c r="J423" t="str">
        <f>IF(ISNA(VLOOKUP($F423,'Raw Data'!$A:$M,10,0)),"",VLOOKUP($F423,'Raw Data'!$A:$M,10,0))</f>
        <v/>
      </c>
      <c r="K423" t="str">
        <f>IF(ISNA(VLOOKUP($F423,'Raw Data'!$A:$M,11,0)),"",VLOOKUP($F423,'Raw Data'!$A:$M,11,0))</f>
        <v/>
      </c>
      <c r="L423" t="str">
        <f>IF(ISNA(VLOOKUP($F423,'Raw Data'!$A:$M,12,0)),"",VLOOKUP($F423,'Raw Data'!$A:$M,12,0))</f>
        <v/>
      </c>
      <c r="M423" t="str">
        <f>IF(ISNA(VLOOKUP($F423,'Raw Data'!$A:$M,13,0)),"",VLOOKUP($F423,'Raw Data'!$A:$M,13,0))</f>
        <v/>
      </c>
    </row>
    <row r="424" spans="1:13" x14ac:dyDescent="0.25">
      <c r="A424" t="s">
        <v>37</v>
      </c>
      <c r="B424">
        <v>2013</v>
      </c>
      <c r="C424">
        <v>4.5</v>
      </c>
      <c r="D424" s="3">
        <v>780</v>
      </c>
      <c r="E424" s="3">
        <v>97</v>
      </c>
      <c r="F424" s="3" t="str">
        <f t="shared" si="6"/>
        <v>FGU620134.578097</v>
      </c>
      <c r="G424" t="str">
        <f>IF(ISNA(VLOOKUP($F424,'Raw Data'!$A:$M,7,0)),"",VLOOKUP($F424,'Raw Data'!$A:$M,7,0))</f>
        <v/>
      </c>
      <c r="H424" t="str">
        <f>IF(ISNA(VLOOKUP($F424,'Raw Data'!$A:$M,8,0)),"",VLOOKUP($F424,'Raw Data'!$A:$M,8,0))</f>
        <v/>
      </c>
      <c r="I424" t="str">
        <f>IF(ISNA(VLOOKUP($F424,'Raw Data'!$A:$M,9,0)),"",VLOOKUP($F424,'Raw Data'!$A:$M,9,0))</f>
        <v/>
      </c>
      <c r="J424" t="str">
        <f>IF(ISNA(VLOOKUP($F424,'Raw Data'!$A:$M,10,0)),"",VLOOKUP($F424,'Raw Data'!$A:$M,10,0))</f>
        <v/>
      </c>
      <c r="K424" t="str">
        <f>IF(ISNA(VLOOKUP($F424,'Raw Data'!$A:$M,11,0)),"",VLOOKUP($F424,'Raw Data'!$A:$M,11,0))</f>
        <v/>
      </c>
      <c r="L424" t="str">
        <f>IF(ISNA(VLOOKUP($F424,'Raw Data'!$A:$M,12,0)),"",VLOOKUP($F424,'Raw Data'!$A:$M,12,0))</f>
        <v/>
      </c>
      <c r="M424" t="str">
        <f>IF(ISNA(VLOOKUP($F424,'Raw Data'!$A:$M,13,0)),"",VLOOKUP($F424,'Raw Data'!$A:$M,13,0))</f>
        <v/>
      </c>
    </row>
    <row r="425" spans="1:13" x14ac:dyDescent="0.25">
      <c r="A425" t="s">
        <v>37</v>
      </c>
      <c r="B425">
        <v>2013</v>
      </c>
      <c r="C425">
        <v>4.5</v>
      </c>
      <c r="D425" s="3">
        <v>620</v>
      </c>
      <c r="E425" s="3">
        <v>100</v>
      </c>
      <c r="F425" s="3" t="str">
        <f t="shared" si="6"/>
        <v>FGU620134.5620100</v>
      </c>
      <c r="G425" t="str">
        <f>IF(ISNA(VLOOKUP($F425,'Raw Data'!$A:$M,7,0)),"",VLOOKUP($F425,'Raw Data'!$A:$M,7,0))</f>
        <v/>
      </c>
      <c r="H425" t="str">
        <f>IF(ISNA(VLOOKUP($F425,'Raw Data'!$A:$M,8,0)),"",VLOOKUP($F425,'Raw Data'!$A:$M,8,0))</f>
        <v/>
      </c>
      <c r="I425" t="str">
        <f>IF(ISNA(VLOOKUP($F425,'Raw Data'!$A:$M,9,0)),"",VLOOKUP($F425,'Raw Data'!$A:$M,9,0))</f>
        <v/>
      </c>
      <c r="J425" t="str">
        <f>IF(ISNA(VLOOKUP($F425,'Raw Data'!$A:$M,10,0)),"",VLOOKUP($F425,'Raw Data'!$A:$M,10,0))</f>
        <v/>
      </c>
      <c r="K425" t="str">
        <f>IF(ISNA(VLOOKUP($F425,'Raw Data'!$A:$M,11,0)),"",VLOOKUP($F425,'Raw Data'!$A:$M,11,0))</f>
        <v/>
      </c>
      <c r="L425" t="str">
        <f>IF(ISNA(VLOOKUP($F425,'Raw Data'!$A:$M,12,0)),"",VLOOKUP($F425,'Raw Data'!$A:$M,12,0))</f>
        <v/>
      </c>
      <c r="M425" t="str">
        <f>IF(ISNA(VLOOKUP($F425,'Raw Data'!$A:$M,13,0)),"",VLOOKUP($F425,'Raw Data'!$A:$M,13,0))</f>
        <v/>
      </c>
    </row>
    <row r="426" spans="1:13" x14ac:dyDescent="0.25">
      <c r="A426" t="s">
        <v>37</v>
      </c>
      <c r="B426">
        <v>2013</v>
      </c>
      <c r="C426">
        <v>4.5</v>
      </c>
      <c r="D426" s="3">
        <v>640</v>
      </c>
      <c r="E426" s="3">
        <v>100</v>
      </c>
      <c r="F426" s="3" t="str">
        <f t="shared" si="6"/>
        <v>FGU620134.5640100</v>
      </c>
      <c r="G426" t="str">
        <f>IF(ISNA(VLOOKUP($F426,'Raw Data'!$A:$M,7,0)),"",VLOOKUP($F426,'Raw Data'!$A:$M,7,0))</f>
        <v/>
      </c>
      <c r="H426" t="str">
        <f>IF(ISNA(VLOOKUP($F426,'Raw Data'!$A:$M,8,0)),"",VLOOKUP($F426,'Raw Data'!$A:$M,8,0))</f>
        <v/>
      </c>
      <c r="I426" t="str">
        <f>IF(ISNA(VLOOKUP($F426,'Raw Data'!$A:$M,9,0)),"",VLOOKUP($F426,'Raw Data'!$A:$M,9,0))</f>
        <v/>
      </c>
      <c r="J426" t="str">
        <f>IF(ISNA(VLOOKUP($F426,'Raw Data'!$A:$M,10,0)),"",VLOOKUP($F426,'Raw Data'!$A:$M,10,0))</f>
        <v/>
      </c>
      <c r="K426" t="str">
        <f>IF(ISNA(VLOOKUP($F426,'Raw Data'!$A:$M,11,0)),"",VLOOKUP($F426,'Raw Data'!$A:$M,11,0))</f>
        <v/>
      </c>
      <c r="L426" t="str">
        <f>IF(ISNA(VLOOKUP($F426,'Raw Data'!$A:$M,12,0)),"",VLOOKUP($F426,'Raw Data'!$A:$M,12,0))</f>
        <v/>
      </c>
      <c r="M426" t="str">
        <f>IF(ISNA(VLOOKUP($F426,'Raw Data'!$A:$M,13,0)),"",VLOOKUP($F426,'Raw Data'!$A:$M,13,0))</f>
        <v/>
      </c>
    </row>
    <row r="427" spans="1:13" x14ac:dyDescent="0.25">
      <c r="A427" t="s">
        <v>37</v>
      </c>
      <c r="B427">
        <v>2013</v>
      </c>
      <c r="C427">
        <v>4.5</v>
      </c>
      <c r="D427" s="3">
        <v>660</v>
      </c>
      <c r="E427" s="3">
        <v>100</v>
      </c>
      <c r="F427" s="3" t="str">
        <f t="shared" si="6"/>
        <v>FGU620134.5660100</v>
      </c>
      <c r="G427" t="str">
        <f>IF(ISNA(VLOOKUP($F427,'Raw Data'!$A:$M,7,0)),"",VLOOKUP($F427,'Raw Data'!$A:$M,7,0))</f>
        <v/>
      </c>
      <c r="H427" t="str">
        <f>IF(ISNA(VLOOKUP($F427,'Raw Data'!$A:$M,8,0)),"",VLOOKUP($F427,'Raw Data'!$A:$M,8,0))</f>
        <v/>
      </c>
      <c r="I427" t="str">
        <f>IF(ISNA(VLOOKUP($F427,'Raw Data'!$A:$M,9,0)),"",VLOOKUP($F427,'Raw Data'!$A:$M,9,0))</f>
        <v/>
      </c>
      <c r="J427" t="str">
        <f>IF(ISNA(VLOOKUP($F427,'Raw Data'!$A:$M,10,0)),"",VLOOKUP($F427,'Raw Data'!$A:$M,10,0))</f>
        <v/>
      </c>
      <c r="K427" t="str">
        <f>IF(ISNA(VLOOKUP($F427,'Raw Data'!$A:$M,11,0)),"",VLOOKUP($F427,'Raw Data'!$A:$M,11,0))</f>
        <v/>
      </c>
      <c r="L427" t="str">
        <f>IF(ISNA(VLOOKUP($F427,'Raw Data'!$A:$M,12,0)),"",VLOOKUP($F427,'Raw Data'!$A:$M,12,0))</f>
        <v/>
      </c>
      <c r="M427" t="str">
        <f>IF(ISNA(VLOOKUP($F427,'Raw Data'!$A:$M,13,0)),"",VLOOKUP($F427,'Raw Data'!$A:$M,13,0))</f>
        <v/>
      </c>
    </row>
    <row r="428" spans="1:13" x14ac:dyDescent="0.25">
      <c r="A428" t="s">
        <v>37</v>
      </c>
      <c r="B428">
        <v>2013</v>
      </c>
      <c r="C428">
        <v>4.5</v>
      </c>
      <c r="D428" s="3">
        <v>680</v>
      </c>
      <c r="E428" s="3">
        <v>100</v>
      </c>
      <c r="F428" s="3" t="str">
        <f t="shared" si="6"/>
        <v>FGU620134.5680100</v>
      </c>
      <c r="G428" t="str">
        <f>IF(ISNA(VLOOKUP($F428,'Raw Data'!$A:$M,7,0)),"",VLOOKUP($F428,'Raw Data'!$A:$M,7,0))</f>
        <v/>
      </c>
      <c r="H428" t="str">
        <f>IF(ISNA(VLOOKUP($F428,'Raw Data'!$A:$M,8,0)),"",VLOOKUP($F428,'Raw Data'!$A:$M,8,0))</f>
        <v/>
      </c>
      <c r="I428" t="str">
        <f>IF(ISNA(VLOOKUP($F428,'Raw Data'!$A:$M,9,0)),"",VLOOKUP($F428,'Raw Data'!$A:$M,9,0))</f>
        <v/>
      </c>
      <c r="J428" t="str">
        <f>IF(ISNA(VLOOKUP($F428,'Raw Data'!$A:$M,10,0)),"",VLOOKUP($F428,'Raw Data'!$A:$M,10,0))</f>
        <v/>
      </c>
      <c r="K428" t="str">
        <f>IF(ISNA(VLOOKUP($F428,'Raw Data'!$A:$M,11,0)),"",VLOOKUP($F428,'Raw Data'!$A:$M,11,0))</f>
        <v/>
      </c>
      <c r="L428" t="str">
        <f>IF(ISNA(VLOOKUP($F428,'Raw Data'!$A:$M,12,0)),"",VLOOKUP($F428,'Raw Data'!$A:$M,12,0))</f>
        <v/>
      </c>
      <c r="M428" t="str">
        <f>IF(ISNA(VLOOKUP($F428,'Raw Data'!$A:$M,13,0)),"",VLOOKUP($F428,'Raw Data'!$A:$M,13,0))</f>
        <v/>
      </c>
    </row>
    <row r="429" spans="1:13" x14ac:dyDescent="0.25">
      <c r="A429" t="s">
        <v>37</v>
      </c>
      <c r="B429">
        <v>2013</v>
      </c>
      <c r="C429">
        <v>4.5</v>
      </c>
      <c r="D429" s="3">
        <v>700</v>
      </c>
      <c r="E429" s="3">
        <v>100</v>
      </c>
      <c r="F429" s="3" t="str">
        <f t="shared" si="6"/>
        <v>FGU620134.5700100</v>
      </c>
      <c r="G429" t="str">
        <f>IF(ISNA(VLOOKUP($F429,'Raw Data'!$A:$M,7,0)),"",VLOOKUP($F429,'Raw Data'!$A:$M,7,0))</f>
        <v/>
      </c>
      <c r="H429" t="str">
        <f>IF(ISNA(VLOOKUP($F429,'Raw Data'!$A:$M,8,0)),"",VLOOKUP($F429,'Raw Data'!$A:$M,8,0))</f>
        <v/>
      </c>
      <c r="I429" t="str">
        <f>IF(ISNA(VLOOKUP($F429,'Raw Data'!$A:$M,9,0)),"",VLOOKUP($F429,'Raw Data'!$A:$M,9,0))</f>
        <v/>
      </c>
      <c r="J429" t="str">
        <f>IF(ISNA(VLOOKUP($F429,'Raw Data'!$A:$M,10,0)),"",VLOOKUP($F429,'Raw Data'!$A:$M,10,0))</f>
        <v/>
      </c>
      <c r="K429" t="str">
        <f>IF(ISNA(VLOOKUP($F429,'Raw Data'!$A:$M,11,0)),"",VLOOKUP($F429,'Raw Data'!$A:$M,11,0))</f>
        <v/>
      </c>
      <c r="L429" t="str">
        <f>IF(ISNA(VLOOKUP($F429,'Raw Data'!$A:$M,12,0)),"",VLOOKUP($F429,'Raw Data'!$A:$M,12,0))</f>
        <v/>
      </c>
      <c r="M429" t="str">
        <f>IF(ISNA(VLOOKUP($F429,'Raw Data'!$A:$M,13,0)),"",VLOOKUP($F429,'Raw Data'!$A:$M,13,0))</f>
        <v/>
      </c>
    </row>
    <row r="430" spans="1:13" x14ac:dyDescent="0.25">
      <c r="A430" t="s">
        <v>37</v>
      </c>
      <c r="B430">
        <v>2013</v>
      </c>
      <c r="C430">
        <v>4.5</v>
      </c>
      <c r="D430" s="3">
        <v>720</v>
      </c>
      <c r="E430" s="3">
        <v>100</v>
      </c>
      <c r="F430" s="3" t="str">
        <f t="shared" si="6"/>
        <v>FGU620134.5720100</v>
      </c>
      <c r="G430" t="str">
        <f>IF(ISNA(VLOOKUP($F430,'Raw Data'!$A:$M,7,0)),"",VLOOKUP($F430,'Raw Data'!$A:$M,7,0))</f>
        <v/>
      </c>
      <c r="H430" t="str">
        <f>IF(ISNA(VLOOKUP($F430,'Raw Data'!$A:$M,8,0)),"",VLOOKUP($F430,'Raw Data'!$A:$M,8,0))</f>
        <v/>
      </c>
      <c r="I430" t="str">
        <f>IF(ISNA(VLOOKUP($F430,'Raw Data'!$A:$M,9,0)),"",VLOOKUP($F430,'Raw Data'!$A:$M,9,0))</f>
        <v/>
      </c>
      <c r="J430" t="str">
        <f>IF(ISNA(VLOOKUP($F430,'Raw Data'!$A:$M,10,0)),"",VLOOKUP($F430,'Raw Data'!$A:$M,10,0))</f>
        <v/>
      </c>
      <c r="K430" t="str">
        <f>IF(ISNA(VLOOKUP($F430,'Raw Data'!$A:$M,11,0)),"",VLOOKUP($F430,'Raw Data'!$A:$M,11,0))</f>
        <v/>
      </c>
      <c r="L430" t="str">
        <f>IF(ISNA(VLOOKUP($F430,'Raw Data'!$A:$M,12,0)),"",VLOOKUP($F430,'Raw Data'!$A:$M,12,0))</f>
        <v/>
      </c>
      <c r="M430" t="str">
        <f>IF(ISNA(VLOOKUP($F430,'Raw Data'!$A:$M,13,0)),"",VLOOKUP($F430,'Raw Data'!$A:$M,13,0))</f>
        <v/>
      </c>
    </row>
    <row r="431" spans="1:13" x14ac:dyDescent="0.25">
      <c r="A431" t="s">
        <v>37</v>
      </c>
      <c r="B431">
        <v>2013</v>
      </c>
      <c r="C431">
        <v>4.5</v>
      </c>
      <c r="D431" s="3">
        <v>740</v>
      </c>
      <c r="E431" s="3">
        <v>100</v>
      </c>
      <c r="F431" s="3" t="str">
        <f t="shared" si="6"/>
        <v>FGU620134.5740100</v>
      </c>
      <c r="G431" t="str">
        <f>IF(ISNA(VLOOKUP($F431,'Raw Data'!$A:$M,7,0)),"",VLOOKUP($F431,'Raw Data'!$A:$M,7,0))</f>
        <v/>
      </c>
      <c r="H431" t="str">
        <f>IF(ISNA(VLOOKUP($F431,'Raw Data'!$A:$M,8,0)),"",VLOOKUP($F431,'Raw Data'!$A:$M,8,0))</f>
        <v/>
      </c>
      <c r="I431" t="str">
        <f>IF(ISNA(VLOOKUP($F431,'Raw Data'!$A:$M,9,0)),"",VLOOKUP($F431,'Raw Data'!$A:$M,9,0))</f>
        <v/>
      </c>
      <c r="J431" t="str">
        <f>IF(ISNA(VLOOKUP($F431,'Raw Data'!$A:$M,10,0)),"",VLOOKUP($F431,'Raw Data'!$A:$M,10,0))</f>
        <v/>
      </c>
      <c r="K431" t="str">
        <f>IF(ISNA(VLOOKUP($F431,'Raw Data'!$A:$M,11,0)),"",VLOOKUP($F431,'Raw Data'!$A:$M,11,0))</f>
        <v/>
      </c>
      <c r="L431" t="str">
        <f>IF(ISNA(VLOOKUP($F431,'Raw Data'!$A:$M,12,0)),"",VLOOKUP($F431,'Raw Data'!$A:$M,12,0))</f>
        <v/>
      </c>
      <c r="M431" t="str">
        <f>IF(ISNA(VLOOKUP($F431,'Raw Data'!$A:$M,13,0)),"",VLOOKUP($F431,'Raw Data'!$A:$M,13,0))</f>
        <v/>
      </c>
    </row>
    <row r="432" spans="1:13" x14ac:dyDescent="0.25">
      <c r="A432" t="s">
        <v>37</v>
      </c>
      <c r="B432">
        <v>2013</v>
      </c>
      <c r="C432">
        <v>4.5</v>
      </c>
      <c r="D432" s="3">
        <v>760</v>
      </c>
      <c r="E432" s="3">
        <v>100</v>
      </c>
      <c r="F432" s="3" t="str">
        <f t="shared" si="6"/>
        <v>FGU620134.5760100</v>
      </c>
      <c r="G432" t="str">
        <f>IF(ISNA(VLOOKUP($F432,'Raw Data'!$A:$M,7,0)),"",VLOOKUP($F432,'Raw Data'!$A:$M,7,0))</f>
        <v/>
      </c>
      <c r="H432" t="str">
        <f>IF(ISNA(VLOOKUP($F432,'Raw Data'!$A:$M,8,0)),"",VLOOKUP($F432,'Raw Data'!$A:$M,8,0))</f>
        <v/>
      </c>
      <c r="I432" t="str">
        <f>IF(ISNA(VLOOKUP($F432,'Raw Data'!$A:$M,9,0)),"",VLOOKUP($F432,'Raw Data'!$A:$M,9,0))</f>
        <v/>
      </c>
      <c r="J432" t="str">
        <f>IF(ISNA(VLOOKUP($F432,'Raw Data'!$A:$M,10,0)),"",VLOOKUP($F432,'Raw Data'!$A:$M,10,0))</f>
        <v/>
      </c>
      <c r="K432" t="str">
        <f>IF(ISNA(VLOOKUP($F432,'Raw Data'!$A:$M,11,0)),"",VLOOKUP($F432,'Raw Data'!$A:$M,11,0))</f>
        <v/>
      </c>
      <c r="L432" t="str">
        <f>IF(ISNA(VLOOKUP($F432,'Raw Data'!$A:$M,12,0)),"",VLOOKUP($F432,'Raw Data'!$A:$M,12,0))</f>
        <v/>
      </c>
      <c r="M432" t="str">
        <f>IF(ISNA(VLOOKUP($F432,'Raw Data'!$A:$M,13,0)),"",VLOOKUP($F432,'Raw Data'!$A:$M,13,0))</f>
        <v/>
      </c>
    </row>
    <row r="433" spans="1:13" x14ac:dyDescent="0.25">
      <c r="A433" t="s">
        <v>37</v>
      </c>
      <c r="B433">
        <v>2013</v>
      </c>
      <c r="C433">
        <v>4.5</v>
      </c>
      <c r="D433" s="3">
        <v>780</v>
      </c>
      <c r="E433" s="3">
        <v>100</v>
      </c>
      <c r="F433" s="3" t="str">
        <f t="shared" si="6"/>
        <v>FGU620134.5780100</v>
      </c>
      <c r="G433" t="str">
        <f>IF(ISNA(VLOOKUP($F433,'Raw Data'!$A:$M,7,0)),"",VLOOKUP($F433,'Raw Data'!$A:$M,7,0))</f>
        <v/>
      </c>
      <c r="H433" t="str">
        <f>IF(ISNA(VLOOKUP($F433,'Raw Data'!$A:$M,8,0)),"",VLOOKUP($F433,'Raw Data'!$A:$M,8,0))</f>
        <v/>
      </c>
      <c r="I433" t="str">
        <f>IF(ISNA(VLOOKUP($F433,'Raw Data'!$A:$M,9,0)),"",VLOOKUP($F433,'Raw Data'!$A:$M,9,0))</f>
        <v/>
      </c>
      <c r="J433" t="str">
        <f>IF(ISNA(VLOOKUP($F433,'Raw Data'!$A:$M,10,0)),"",VLOOKUP($F433,'Raw Data'!$A:$M,10,0))</f>
        <v/>
      </c>
      <c r="K433" t="str">
        <f>IF(ISNA(VLOOKUP($F433,'Raw Data'!$A:$M,11,0)),"",VLOOKUP($F433,'Raw Data'!$A:$M,11,0))</f>
        <v/>
      </c>
      <c r="L433" t="str">
        <f>IF(ISNA(VLOOKUP($F433,'Raw Data'!$A:$M,12,0)),"",VLOOKUP($F433,'Raw Data'!$A:$M,12,0))</f>
        <v/>
      </c>
      <c r="M433" t="str">
        <f>IF(ISNA(VLOOKUP($F433,'Raw Data'!$A:$M,13,0)),"",VLOOKUP($F433,'Raw Data'!$A:$M,13,0))</f>
        <v/>
      </c>
    </row>
    <row r="434" spans="1:13" x14ac:dyDescent="0.25">
      <c r="A434" t="s">
        <v>37</v>
      </c>
      <c r="B434">
        <v>2013</v>
      </c>
      <c r="C434">
        <v>4.5</v>
      </c>
      <c r="D434" s="3">
        <v>620</v>
      </c>
      <c r="E434" s="3" t="s">
        <v>9</v>
      </c>
      <c r="F434" s="3" t="str">
        <f t="shared" si="6"/>
        <v>FGU620134.5620100+</v>
      </c>
      <c r="G434" t="str">
        <f>IF(ISNA(VLOOKUP($F434,'Raw Data'!$A:$M,7,0)),"",VLOOKUP($F434,'Raw Data'!$A:$M,7,0))</f>
        <v/>
      </c>
      <c r="H434" t="str">
        <f>IF(ISNA(VLOOKUP($F434,'Raw Data'!$A:$M,8,0)),"",VLOOKUP($F434,'Raw Data'!$A:$M,8,0))</f>
        <v/>
      </c>
      <c r="I434" t="str">
        <f>IF(ISNA(VLOOKUP($F434,'Raw Data'!$A:$M,9,0)),"",VLOOKUP($F434,'Raw Data'!$A:$M,9,0))</f>
        <v/>
      </c>
      <c r="J434" t="str">
        <f>IF(ISNA(VLOOKUP($F434,'Raw Data'!$A:$M,10,0)),"",VLOOKUP($F434,'Raw Data'!$A:$M,10,0))</f>
        <v/>
      </c>
      <c r="K434" t="str">
        <f>IF(ISNA(VLOOKUP($F434,'Raw Data'!$A:$M,11,0)),"",VLOOKUP($F434,'Raw Data'!$A:$M,11,0))</f>
        <v/>
      </c>
      <c r="L434" t="str">
        <f>IF(ISNA(VLOOKUP($F434,'Raw Data'!$A:$M,12,0)),"",VLOOKUP($F434,'Raw Data'!$A:$M,12,0))</f>
        <v/>
      </c>
      <c r="M434" t="str">
        <f>IF(ISNA(VLOOKUP($F434,'Raw Data'!$A:$M,13,0)),"",VLOOKUP($F434,'Raw Data'!$A:$M,13,0))</f>
        <v/>
      </c>
    </row>
    <row r="435" spans="1:13" x14ac:dyDescent="0.25">
      <c r="A435" t="s">
        <v>37</v>
      </c>
      <c r="B435">
        <v>2013</v>
      </c>
      <c r="C435">
        <v>4.5</v>
      </c>
      <c r="D435" s="3">
        <v>640</v>
      </c>
      <c r="E435" s="3" t="s">
        <v>9</v>
      </c>
      <c r="F435" s="3" t="str">
        <f t="shared" si="6"/>
        <v>FGU620134.5640100+</v>
      </c>
      <c r="G435" t="str">
        <f>IF(ISNA(VLOOKUP($F435,'Raw Data'!$A:$M,7,0)),"",VLOOKUP($F435,'Raw Data'!$A:$M,7,0))</f>
        <v/>
      </c>
      <c r="H435" t="str">
        <f>IF(ISNA(VLOOKUP($F435,'Raw Data'!$A:$M,8,0)),"",VLOOKUP($F435,'Raw Data'!$A:$M,8,0))</f>
        <v/>
      </c>
      <c r="I435" t="str">
        <f>IF(ISNA(VLOOKUP($F435,'Raw Data'!$A:$M,9,0)),"",VLOOKUP($F435,'Raw Data'!$A:$M,9,0))</f>
        <v/>
      </c>
      <c r="J435" t="str">
        <f>IF(ISNA(VLOOKUP($F435,'Raw Data'!$A:$M,10,0)),"",VLOOKUP($F435,'Raw Data'!$A:$M,10,0))</f>
        <v/>
      </c>
      <c r="K435" t="str">
        <f>IF(ISNA(VLOOKUP($F435,'Raw Data'!$A:$M,11,0)),"",VLOOKUP($F435,'Raw Data'!$A:$M,11,0))</f>
        <v/>
      </c>
      <c r="L435" t="str">
        <f>IF(ISNA(VLOOKUP($F435,'Raw Data'!$A:$M,12,0)),"",VLOOKUP($F435,'Raw Data'!$A:$M,12,0))</f>
        <v/>
      </c>
      <c r="M435" t="str">
        <f>IF(ISNA(VLOOKUP($F435,'Raw Data'!$A:$M,13,0)),"",VLOOKUP($F435,'Raw Data'!$A:$M,13,0))</f>
        <v/>
      </c>
    </row>
    <row r="436" spans="1:13" x14ac:dyDescent="0.25">
      <c r="A436" t="s">
        <v>37</v>
      </c>
      <c r="B436">
        <v>2013</v>
      </c>
      <c r="C436">
        <v>4.5</v>
      </c>
      <c r="D436" s="3">
        <v>660</v>
      </c>
      <c r="E436" s="3" t="s">
        <v>9</v>
      </c>
      <c r="F436" s="3" t="str">
        <f t="shared" si="6"/>
        <v>FGU620134.5660100+</v>
      </c>
      <c r="G436" t="str">
        <f>IF(ISNA(VLOOKUP($F436,'Raw Data'!$A:$M,7,0)),"",VLOOKUP($F436,'Raw Data'!$A:$M,7,0))</f>
        <v/>
      </c>
      <c r="H436" t="str">
        <f>IF(ISNA(VLOOKUP($F436,'Raw Data'!$A:$M,8,0)),"",VLOOKUP($F436,'Raw Data'!$A:$M,8,0))</f>
        <v/>
      </c>
      <c r="I436" t="str">
        <f>IF(ISNA(VLOOKUP($F436,'Raw Data'!$A:$M,9,0)),"",VLOOKUP($F436,'Raw Data'!$A:$M,9,0))</f>
        <v/>
      </c>
      <c r="J436" t="str">
        <f>IF(ISNA(VLOOKUP($F436,'Raw Data'!$A:$M,10,0)),"",VLOOKUP($F436,'Raw Data'!$A:$M,10,0))</f>
        <v/>
      </c>
      <c r="K436" t="str">
        <f>IF(ISNA(VLOOKUP($F436,'Raw Data'!$A:$M,11,0)),"",VLOOKUP($F436,'Raw Data'!$A:$M,11,0))</f>
        <v/>
      </c>
      <c r="L436" t="str">
        <f>IF(ISNA(VLOOKUP($F436,'Raw Data'!$A:$M,12,0)),"",VLOOKUP($F436,'Raw Data'!$A:$M,12,0))</f>
        <v/>
      </c>
      <c r="M436" t="str">
        <f>IF(ISNA(VLOOKUP($F436,'Raw Data'!$A:$M,13,0)),"",VLOOKUP($F436,'Raw Data'!$A:$M,13,0))</f>
        <v/>
      </c>
    </row>
    <row r="437" spans="1:13" x14ac:dyDescent="0.25">
      <c r="A437" t="s">
        <v>37</v>
      </c>
      <c r="B437">
        <v>2013</v>
      </c>
      <c r="C437">
        <v>4.5</v>
      </c>
      <c r="D437" s="3">
        <v>680</v>
      </c>
      <c r="E437" s="3" t="s">
        <v>9</v>
      </c>
      <c r="F437" s="3" t="str">
        <f t="shared" si="6"/>
        <v>FGU620134.5680100+</v>
      </c>
      <c r="G437" t="str">
        <f>IF(ISNA(VLOOKUP($F437,'Raw Data'!$A:$M,7,0)),"",VLOOKUP($F437,'Raw Data'!$A:$M,7,0))</f>
        <v/>
      </c>
      <c r="H437" t="str">
        <f>IF(ISNA(VLOOKUP($F437,'Raw Data'!$A:$M,8,0)),"",VLOOKUP($F437,'Raw Data'!$A:$M,8,0))</f>
        <v/>
      </c>
      <c r="I437" t="str">
        <f>IF(ISNA(VLOOKUP($F437,'Raw Data'!$A:$M,9,0)),"",VLOOKUP($F437,'Raw Data'!$A:$M,9,0))</f>
        <v/>
      </c>
      <c r="J437" t="str">
        <f>IF(ISNA(VLOOKUP($F437,'Raw Data'!$A:$M,10,0)),"",VLOOKUP($F437,'Raw Data'!$A:$M,10,0))</f>
        <v/>
      </c>
      <c r="K437" t="str">
        <f>IF(ISNA(VLOOKUP($F437,'Raw Data'!$A:$M,11,0)),"",VLOOKUP($F437,'Raw Data'!$A:$M,11,0))</f>
        <v/>
      </c>
      <c r="L437" t="str">
        <f>IF(ISNA(VLOOKUP($F437,'Raw Data'!$A:$M,12,0)),"",VLOOKUP($F437,'Raw Data'!$A:$M,12,0))</f>
        <v/>
      </c>
      <c r="M437" t="str">
        <f>IF(ISNA(VLOOKUP($F437,'Raw Data'!$A:$M,13,0)),"",VLOOKUP($F437,'Raw Data'!$A:$M,13,0))</f>
        <v/>
      </c>
    </row>
    <row r="438" spans="1:13" x14ac:dyDescent="0.25">
      <c r="A438" t="s">
        <v>37</v>
      </c>
      <c r="B438">
        <v>2013</v>
      </c>
      <c r="C438">
        <v>4.5</v>
      </c>
      <c r="D438" s="3">
        <v>700</v>
      </c>
      <c r="E438" s="3" t="s">
        <v>9</v>
      </c>
      <c r="F438" s="3" t="str">
        <f t="shared" si="6"/>
        <v>FGU620134.5700100+</v>
      </c>
      <c r="G438" t="str">
        <f>IF(ISNA(VLOOKUP($F438,'Raw Data'!$A:$M,7,0)),"",VLOOKUP($F438,'Raw Data'!$A:$M,7,0))</f>
        <v/>
      </c>
      <c r="H438" t="str">
        <f>IF(ISNA(VLOOKUP($F438,'Raw Data'!$A:$M,8,0)),"",VLOOKUP($F438,'Raw Data'!$A:$M,8,0))</f>
        <v/>
      </c>
      <c r="I438" t="str">
        <f>IF(ISNA(VLOOKUP($F438,'Raw Data'!$A:$M,9,0)),"",VLOOKUP($F438,'Raw Data'!$A:$M,9,0))</f>
        <v/>
      </c>
      <c r="J438" t="str">
        <f>IF(ISNA(VLOOKUP($F438,'Raw Data'!$A:$M,10,0)),"",VLOOKUP($F438,'Raw Data'!$A:$M,10,0))</f>
        <v/>
      </c>
      <c r="K438" t="str">
        <f>IF(ISNA(VLOOKUP($F438,'Raw Data'!$A:$M,11,0)),"",VLOOKUP($F438,'Raw Data'!$A:$M,11,0))</f>
        <v/>
      </c>
      <c r="L438" t="str">
        <f>IF(ISNA(VLOOKUP($F438,'Raw Data'!$A:$M,12,0)),"",VLOOKUP($F438,'Raw Data'!$A:$M,12,0))</f>
        <v/>
      </c>
      <c r="M438" t="str">
        <f>IF(ISNA(VLOOKUP($F438,'Raw Data'!$A:$M,13,0)),"",VLOOKUP($F438,'Raw Data'!$A:$M,13,0))</f>
        <v/>
      </c>
    </row>
    <row r="439" spans="1:13" x14ac:dyDescent="0.25">
      <c r="A439" t="s">
        <v>37</v>
      </c>
      <c r="B439">
        <v>2013</v>
      </c>
      <c r="C439">
        <v>4.5</v>
      </c>
      <c r="D439" s="3">
        <v>720</v>
      </c>
      <c r="E439" s="3" t="s">
        <v>9</v>
      </c>
      <c r="F439" s="3" t="str">
        <f t="shared" si="6"/>
        <v>FGU620134.5720100+</v>
      </c>
      <c r="G439" t="str">
        <f>IF(ISNA(VLOOKUP($F439,'Raw Data'!$A:$M,7,0)),"",VLOOKUP($F439,'Raw Data'!$A:$M,7,0))</f>
        <v/>
      </c>
      <c r="H439" t="str">
        <f>IF(ISNA(VLOOKUP($F439,'Raw Data'!$A:$M,8,0)),"",VLOOKUP($F439,'Raw Data'!$A:$M,8,0))</f>
        <v/>
      </c>
      <c r="I439" t="str">
        <f>IF(ISNA(VLOOKUP($F439,'Raw Data'!$A:$M,9,0)),"",VLOOKUP($F439,'Raw Data'!$A:$M,9,0))</f>
        <v/>
      </c>
      <c r="J439" t="str">
        <f>IF(ISNA(VLOOKUP($F439,'Raw Data'!$A:$M,10,0)),"",VLOOKUP($F439,'Raw Data'!$A:$M,10,0))</f>
        <v/>
      </c>
      <c r="K439" t="str">
        <f>IF(ISNA(VLOOKUP($F439,'Raw Data'!$A:$M,11,0)),"",VLOOKUP($F439,'Raw Data'!$A:$M,11,0))</f>
        <v/>
      </c>
      <c r="L439" t="str">
        <f>IF(ISNA(VLOOKUP($F439,'Raw Data'!$A:$M,12,0)),"",VLOOKUP($F439,'Raw Data'!$A:$M,12,0))</f>
        <v/>
      </c>
      <c r="M439" t="str">
        <f>IF(ISNA(VLOOKUP($F439,'Raw Data'!$A:$M,13,0)),"",VLOOKUP($F439,'Raw Data'!$A:$M,13,0))</f>
        <v/>
      </c>
    </row>
    <row r="440" spans="1:13" x14ac:dyDescent="0.25">
      <c r="A440" t="s">
        <v>37</v>
      </c>
      <c r="B440">
        <v>2013</v>
      </c>
      <c r="C440">
        <v>4.5</v>
      </c>
      <c r="D440" s="3">
        <v>740</v>
      </c>
      <c r="E440" s="3" t="s">
        <v>9</v>
      </c>
      <c r="F440" s="3" t="str">
        <f t="shared" si="6"/>
        <v>FGU620134.5740100+</v>
      </c>
      <c r="G440" t="str">
        <f>IF(ISNA(VLOOKUP($F440,'Raw Data'!$A:$M,7,0)),"",VLOOKUP($F440,'Raw Data'!$A:$M,7,0))</f>
        <v/>
      </c>
      <c r="H440" t="str">
        <f>IF(ISNA(VLOOKUP($F440,'Raw Data'!$A:$M,8,0)),"",VLOOKUP($F440,'Raw Data'!$A:$M,8,0))</f>
        <v/>
      </c>
      <c r="I440" t="str">
        <f>IF(ISNA(VLOOKUP($F440,'Raw Data'!$A:$M,9,0)),"",VLOOKUP($F440,'Raw Data'!$A:$M,9,0))</f>
        <v/>
      </c>
      <c r="J440" t="str">
        <f>IF(ISNA(VLOOKUP($F440,'Raw Data'!$A:$M,10,0)),"",VLOOKUP($F440,'Raw Data'!$A:$M,10,0))</f>
        <v/>
      </c>
      <c r="K440" t="str">
        <f>IF(ISNA(VLOOKUP($F440,'Raw Data'!$A:$M,11,0)),"",VLOOKUP($F440,'Raw Data'!$A:$M,11,0))</f>
        <v/>
      </c>
      <c r="L440" t="str">
        <f>IF(ISNA(VLOOKUP($F440,'Raw Data'!$A:$M,12,0)),"",VLOOKUP($F440,'Raw Data'!$A:$M,12,0))</f>
        <v/>
      </c>
      <c r="M440" t="str">
        <f>IF(ISNA(VLOOKUP($F440,'Raw Data'!$A:$M,13,0)),"",VLOOKUP($F440,'Raw Data'!$A:$M,13,0))</f>
        <v/>
      </c>
    </row>
    <row r="441" spans="1:13" x14ac:dyDescent="0.25">
      <c r="A441" t="s">
        <v>37</v>
      </c>
      <c r="B441">
        <v>2013</v>
      </c>
      <c r="C441">
        <v>4.5</v>
      </c>
      <c r="D441" s="3">
        <v>760</v>
      </c>
      <c r="E441" s="3" t="s">
        <v>9</v>
      </c>
      <c r="F441" s="3" t="str">
        <f t="shared" si="6"/>
        <v>FGU620134.5760100+</v>
      </c>
      <c r="G441" t="str">
        <f>IF(ISNA(VLOOKUP($F441,'Raw Data'!$A:$M,7,0)),"",VLOOKUP($F441,'Raw Data'!$A:$M,7,0))</f>
        <v/>
      </c>
      <c r="H441" t="str">
        <f>IF(ISNA(VLOOKUP($F441,'Raw Data'!$A:$M,8,0)),"",VLOOKUP($F441,'Raw Data'!$A:$M,8,0))</f>
        <v/>
      </c>
      <c r="I441" t="str">
        <f>IF(ISNA(VLOOKUP($F441,'Raw Data'!$A:$M,9,0)),"",VLOOKUP($F441,'Raw Data'!$A:$M,9,0))</f>
        <v/>
      </c>
      <c r="J441" t="str">
        <f>IF(ISNA(VLOOKUP($F441,'Raw Data'!$A:$M,10,0)),"",VLOOKUP($F441,'Raw Data'!$A:$M,10,0))</f>
        <v/>
      </c>
      <c r="K441" t="str">
        <f>IF(ISNA(VLOOKUP($F441,'Raw Data'!$A:$M,11,0)),"",VLOOKUP($F441,'Raw Data'!$A:$M,11,0))</f>
        <v/>
      </c>
      <c r="L441" t="str">
        <f>IF(ISNA(VLOOKUP($F441,'Raw Data'!$A:$M,12,0)),"",VLOOKUP($F441,'Raw Data'!$A:$M,12,0))</f>
        <v/>
      </c>
      <c r="M441" t="str">
        <f>IF(ISNA(VLOOKUP($F441,'Raw Data'!$A:$M,13,0)),"",VLOOKUP($F441,'Raw Data'!$A:$M,13,0))</f>
        <v/>
      </c>
    </row>
    <row r="442" spans="1:13" x14ac:dyDescent="0.25">
      <c r="A442" t="s">
        <v>37</v>
      </c>
      <c r="B442">
        <v>2013</v>
      </c>
      <c r="C442">
        <v>4.5</v>
      </c>
      <c r="D442" s="3">
        <v>780</v>
      </c>
      <c r="E442" s="3" t="s">
        <v>9</v>
      </c>
      <c r="F442" s="3" t="str">
        <f t="shared" si="6"/>
        <v>FGU620134.5780100+</v>
      </c>
      <c r="G442" t="str">
        <f>IF(ISNA(VLOOKUP($F442,'Raw Data'!$A:$M,7,0)),"",VLOOKUP($F442,'Raw Data'!$A:$M,7,0))</f>
        <v/>
      </c>
      <c r="H442" t="str">
        <f>IF(ISNA(VLOOKUP($F442,'Raw Data'!$A:$M,8,0)),"",VLOOKUP($F442,'Raw Data'!$A:$M,8,0))</f>
        <v/>
      </c>
      <c r="I442" t="str">
        <f>IF(ISNA(VLOOKUP($F442,'Raw Data'!$A:$M,9,0)),"",VLOOKUP($F442,'Raw Data'!$A:$M,9,0))</f>
        <v/>
      </c>
      <c r="J442" t="str">
        <f>IF(ISNA(VLOOKUP($F442,'Raw Data'!$A:$M,10,0)),"",VLOOKUP($F442,'Raw Data'!$A:$M,10,0))</f>
        <v/>
      </c>
      <c r="K442" t="str">
        <f>IF(ISNA(VLOOKUP($F442,'Raw Data'!$A:$M,11,0)),"",VLOOKUP($F442,'Raw Data'!$A:$M,11,0))</f>
        <v/>
      </c>
      <c r="L442" t="str">
        <f>IF(ISNA(VLOOKUP($F442,'Raw Data'!$A:$M,12,0)),"",VLOOKUP($F442,'Raw Data'!$A:$M,12,0))</f>
        <v/>
      </c>
      <c r="M442" t="str">
        <f>IF(ISNA(VLOOKUP($F442,'Raw Data'!$A:$M,13,0)),"",VLOOKUP($F442,'Raw Data'!$A:$M,13,0))</f>
        <v/>
      </c>
    </row>
    <row r="443" spans="1:13" x14ac:dyDescent="0.25">
      <c r="A443" t="s">
        <v>37</v>
      </c>
      <c r="B443">
        <v>2014</v>
      </c>
      <c r="C443">
        <v>4.5</v>
      </c>
      <c r="D443" s="3">
        <v>620</v>
      </c>
      <c r="E443" s="3">
        <v>80</v>
      </c>
      <c r="F443" s="3" t="str">
        <f t="shared" si="6"/>
        <v>FGU620144.562080</v>
      </c>
      <c r="G443" t="str">
        <f>IF(ISNA(VLOOKUP($F443,'Raw Data'!$A:$M,7,0)),"",VLOOKUP($F443,'Raw Data'!$A:$M,7,0))</f>
        <v/>
      </c>
      <c r="H443" t="str">
        <f>IF(ISNA(VLOOKUP($F443,'Raw Data'!$A:$M,8,0)),"",VLOOKUP($F443,'Raw Data'!$A:$M,8,0))</f>
        <v/>
      </c>
      <c r="I443" t="str">
        <f>IF(ISNA(VLOOKUP($F443,'Raw Data'!$A:$M,9,0)),"",VLOOKUP($F443,'Raw Data'!$A:$M,9,0))</f>
        <v/>
      </c>
      <c r="J443" t="str">
        <f>IF(ISNA(VLOOKUP($F443,'Raw Data'!$A:$M,10,0)),"",VLOOKUP($F443,'Raw Data'!$A:$M,10,0))</f>
        <v/>
      </c>
      <c r="K443" t="str">
        <f>IF(ISNA(VLOOKUP($F443,'Raw Data'!$A:$M,11,0)),"",VLOOKUP($F443,'Raw Data'!$A:$M,11,0))</f>
        <v/>
      </c>
      <c r="L443" t="str">
        <f>IF(ISNA(VLOOKUP($F443,'Raw Data'!$A:$M,12,0)),"",VLOOKUP($F443,'Raw Data'!$A:$M,12,0))</f>
        <v/>
      </c>
      <c r="M443" t="str">
        <f>IF(ISNA(VLOOKUP($F443,'Raw Data'!$A:$M,13,0)),"",VLOOKUP($F443,'Raw Data'!$A:$M,13,0))</f>
        <v/>
      </c>
    </row>
    <row r="444" spans="1:13" x14ac:dyDescent="0.25">
      <c r="A444" t="s">
        <v>37</v>
      </c>
      <c r="B444">
        <v>2014</v>
      </c>
      <c r="C444">
        <v>4.5</v>
      </c>
      <c r="D444" s="3">
        <v>640</v>
      </c>
      <c r="E444" s="3">
        <v>80</v>
      </c>
      <c r="F444" s="3" t="str">
        <f t="shared" si="6"/>
        <v>FGU620144.564080</v>
      </c>
      <c r="G444" t="str">
        <f>IF(ISNA(VLOOKUP($F444,'Raw Data'!$A:$M,7,0)),"",VLOOKUP($F444,'Raw Data'!$A:$M,7,0))</f>
        <v/>
      </c>
      <c r="H444" t="str">
        <f>IF(ISNA(VLOOKUP($F444,'Raw Data'!$A:$M,8,0)),"",VLOOKUP($F444,'Raw Data'!$A:$M,8,0))</f>
        <v/>
      </c>
      <c r="I444" t="str">
        <f>IF(ISNA(VLOOKUP($F444,'Raw Data'!$A:$M,9,0)),"",VLOOKUP($F444,'Raw Data'!$A:$M,9,0))</f>
        <v/>
      </c>
      <c r="J444" t="str">
        <f>IF(ISNA(VLOOKUP($F444,'Raw Data'!$A:$M,10,0)),"",VLOOKUP($F444,'Raw Data'!$A:$M,10,0))</f>
        <v/>
      </c>
      <c r="K444" t="str">
        <f>IF(ISNA(VLOOKUP($F444,'Raw Data'!$A:$M,11,0)),"",VLOOKUP($F444,'Raw Data'!$A:$M,11,0))</f>
        <v/>
      </c>
      <c r="L444" t="str">
        <f>IF(ISNA(VLOOKUP($F444,'Raw Data'!$A:$M,12,0)),"",VLOOKUP($F444,'Raw Data'!$A:$M,12,0))</f>
        <v/>
      </c>
      <c r="M444" t="str">
        <f>IF(ISNA(VLOOKUP($F444,'Raw Data'!$A:$M,13,0)),"",VLOOKUP($F444,'Raw Data'!$A:$M,13,0))</f>
        <v/>
      </c>
    </row>
    <row r="445" spans="1:13" x14ac:dyDescent="0.25">
      <c r="A445" t="s">
        <v>37</v>
      </c>
      <c r="B445">
        <v>2014</v>
      </c>
      <c r="C445">
        <v>4.5</v>
      </c>
      <c r="D445" s="3">
        <v>660</v>
      </c>
      <c r="E445" s="3">
        <v>80</v>
      </c>
      <c r="F445" s="3" t="str">
        <f t="shared" si="6"/>
        <v>FGU620144.566080</v>
      </c>
      <c r="G445" t="str">
        <f>IF(ISNA(VLOOKUP($F445,'Raw Data'!$A:$M,7,0)),"",VLOOKUP($F445,'Raw Data'!$A:$M,7,0))</f>
        <v/>
      </c>
      <c r="H445" t="str">
        <f>IF(ISNA(VLOOKUP($F445,'Raw Data'!$A:$M,8,0)),"",VLOOKUP($F445,'Raw Data'!$A:$M,8,0))</f>
        <v/>
      </c>
      <c r="I445" t="str">
        <f>IF(ISNA(VLOOKUP($F445,'Raw Data'!$A:$M,9,0)),"",VLOOKUP($F445,'Raw Data'!$A:$M,9,0))</f>
        <v/>
      </c>
      <c r="J445" t="str">
        <f>IF(ISNA(VLOOKUP($F445,'Raw Data'!$A:$M,10,0)),"",VLOOKUP($F445,'Raw Data'!$A:$M,10,0))</f>
        <v/>
      </c>
      <c r="K445" t="str">
        <f>IF(ISNA(VLOOKUP($F445,'Raw Data'!$A:$M,11,0)),"",VLOOKUP($F445,'Raw Data'!$A:$M,11,0))</f>
        <v/>
      </c>
      <c r="L445" t="str">
        <f>IF(ISNA(VLOOKUP($F445,'Raw Data'!$A:$M,12,0)),"",VLOOKUP($F445,'Raw Data'!$A:$M,12,0))</f>
        <v/>
      </c>
      <c r="M445" t="str">
        <f>IF(ISNA(VLOOKUP($F445,'Raw Data'!$A:$M,13,0)),"",VLOOKUP($F445,'Raw Data'!$A:$M,13,0))</f>
        <v/>
      </c>
    </row>
    <row r="446" spans="1:13" x14ac:dyDescent="0.25">
      <c r="A446" t="s">
        <v>37</v>
      </c>
      <c r="B446">
        <v>2014</v>
      </c>
      <c r="C446">
        <v>4.5</v>
      </c>
      <c r="D446" s="3">
        <v>680</v>
      </c>
      <c r="E446" s="3">
        <v>80</v>
      </c>
      <c r="F446" s="3" t="str">
        <f t="shared" si="6"/>
        <v>FGU620144.568080</v>
      </c>
      <c r="G446" t="str">
        <f>IF(ISNA(VLOOKUP($F446,'Raw Data'!$A:$M,7,0)),"",VLOOKUP($F446,'Raw Data'!$A:$M,7,0))</f>
        <v/>
      </c>
      <c r="H446" t="str">
        <f>IF(ISNA(VLOOKUP($F446,'Raw Data'!$A:$M,8,0)),"",VLOOKUP($F446,'Raw Data'!$A:$M,8,0))</f>
        <v/>
      </c>
      <c r="I446" t="str">
        <f>IF(ISNA(VLOOKUP($F446,'Raw Data'!$A:$M,9,0)),"",VLOOKUP($F446,'Raw Data'!$A:$M,9,0))</f>
        <v/>
      </c>
      <c r="J446" t="str">
        <f>IF(ISNA(VLOOKUP($F446,'Raw Data'!$A:$M,10,0)),"",VLOOKUP($F446,'Raw Data'!$A:$M,10,0))</f>
        <v/>
      </c>
      <c r="K446" t="str">
        <f>IF(ISNA(VLOOKUP($F446,'Raw Data'!$A:$M,11,0)),"",VLOOKUP($F446,'Raw Data'!$A:$M,11,0))</f>
        <v/>
      </c>
      <c r="L446" t="str">
        <f>IF(ISNA(VLOOKUP($F446,'Raw Data'!$A:$M,12,0)),"",VLOOKUP($F446,'Raw Data'!$A:$M,12,0))</f>
        <v/>
      </c>
      <c r="M446" t="str">
        <f>IF(ISNA(VLOOKUP($F446,'Raw Data'!$A:$M,13,0)),"",VLOOKUP($F446,'Raw Data'!$A:$M,13,0))</f>
        <v/>
      </c>
    </row>
    <row r="447" spans="1:13" x14ac:dyDescent="0.25">
      <c r="A447" t="s">
        <v>37</v>
      </c>
      <c r="B447">
        <v>2014</v>
      </c>
      <c r="C447">
        <v>4.5</v>
      </c>
      <c r="D447" s="3">
        <v>700</v>
      </c>
      <c r="E447" s="3">
        <v>80</v>
      </c>
      <c r="F447" s="3" t="str">
        <f t="shared" si="6"/>
        <v>FGU620144.570080</v>
      </c>
      <c r="G447" t="str">
        <f>IF(ISNA(VLOOKUP($F447,'Raw Data'!$A:$M,7,0)),"",VLOOKUP($F447,'Raw Data'!$A:$M,7,0))</f>
        <v/>
      </c>
      <c r="H447" t="str">
        <f>IF(ISNA(VLOOKUP($F447,'Raw Data'!$A:$M,8,0)),"",VLOOKUP($F447,'Raw Data'!$A:$M,8,0))</f>
        <v/>
      </c>
      <c r="I447" t="str">
        <f>IF(ISNA(VLOOKUP($F447,'Raw Data'!$A:$M,9,0)),"",VLOOKUP($F447,'Raw Data'!$A:$M,9,0))</f>
        <v/>
      </c>
      <c r="J447" t="str">
        <f>IF(ISNA(VLOOKUP($F447,'Raw Data'!$A:$M,10,0)),"",VLOOKUP($F447,'Raw Data'!$A:$M,10,0))</f>
        <v/>
      </c>
      <c r="K447" t="str">
        <f>IF(ISNA(VLOOKUP($F447,'Raw Data'!$A:$M,11,0)),"",VLOOKUP($F447,'Raw Data'!$A:$M,11,0))</f>
        <v/>
      </c>
      <c r="L447" t="str">
        <f>IF(ISNA(VLOOKUP($F447,'Raw Data'!$A:$M,12,0)),"",VLOOKUP($F447,'Raw Data'!$A:$M,12,0))</f>
        <v/>
      </c>
      <c r="M447" t="str">
        <f>IF(ISNA(VLOOKUP($F447,'Raw Data'!$A:$M,13,0)),"",VLOOKUP($F447,'Raw Data'!$A:$M,13,0))</f>
        <v/>
      </c>
    </row>
    <row r="448" spans="1:13" x14ac:dyDescent="0.25">
      <c r="A448" t="s">
        <v>37</v>
      </c>
      <c r="B448">
        <v>2014</v>
      </c>
      <c r="C448">
        <v>4.5</v>
      </c>
      <c r="D448" s="3">
        <v>720</v>
      </c>
      <c r="E448" s="3">
        <v>80</v>
      </c>
      <c r="F448" s="3" t="str">
        <f t="shared" si="6"/>
        <v>FGU620144.572080</v>
      </c>
      <c r="G448" t="str">
        <f>IF(ISNA(VLOOKUP($F448,'Raw Data'!$A:$M,7,0)),"",VLOOKUP($F448,'Raw Data'!$A:$M,7,0))</f>
        <v/>
      </c>
      <c r="H448" t="str">
        <f>IF(ISNA(VLOOKUP($F448,'Raw Data'!$A:$M,8,0)),"",VLOOKUP($F448,'Raw Data'!$A:$M,8,0))</f>
        <v/>
      </c>
      <c r="I448" t="str">
        <f>IF(ISNA(VLOOKUP($F448,'Raw Data'!$A:$M,9,0)),"",VLOOKUP($F448,'Raw Data'!$A:$M,9,0))</f>
        <v/>
      </c>
      <c r="J448" t="str">
        <f>IF(ISNA(VLOOKUP($F448,'Raw Data'!$A:$M,10,0)),"",VLOOKUP($F448,'Raw Data'!$A:$M,10,0))</f>
        <v/>
      </c>
      <c r="K448" t="str">
        <f>IF(ISNA(VLOOKUP($F448,'Raw Data'!$A:$M,11,0)),"",VLOOKUP($F448,'Raw Data'!$A:$M,11,0))</f>
        <v/>
      </c>
      <c r="L448" t="str">
        <f>IF(ISNA(VLOOKUP($F448,'Raw Data'!$A:$M,12,0)),"",VLOOKUP($F448,'Raw Data'!$A:$M,12,0))</f>
        <v/>
      </c>
      <c r="M448" t="str">
        <f>IF(ISNA(VLOOKUP($F448,'Raw Data'!$A:$M,13,0)),"",VLOOKUP($F448,'Raw Data'!$A:$M,13,0))</f>
        <v/>
      </c>
    </row>
    <row r="449" spans="1:13" x14ac:dyDescent="0.25">
      <c r="A449" t="s">
        <v>37</v>
      </c>
      <c r="B449">
        <v>2014</v>
      </c>
      <c r="C449">
        <v>4.5</v>
      </c>
      <c r="D449" s="3">
        <v>740</v>
      </c>
      <c r="E449" s="3">
        <v>80</v>
      </c>
      <c r="F449" s="3" t="str">
        <f t="shared" si="6"/>
        <v>FGU620144.574080</v>
      </c>
      <c r="G449" t="str">
        <f>IF(ISNA(VLOOKUP($F449,'Raw Data'!$A:$M,7,0)),"",VLOOKUP($F449,'Raw Data'!$A:$M,7,0))</f>
        <v/>
      </c>
      <c r="H449" t="str">
        <f>IF(ISNA(VLOOKUP($F449,'Raw Data'!$A:$M,8,0)),"",VLOOKUP($F449,'Raw Data'!$A:$M,8,0))</f>
        <v/>
      </c>
      <c r="I449" t="str">
        <f>IF(ISNA(VLOOKUP($F449,'Raw Data'!$A:$M,9,0)),"",VLOOKUP($F449,'Raw Data'!$A:$M,9,0))</f>
        <v/>
      </c>
      <c r="J449" t="str">
        <f>IF(ISNA(VLOOKUP($F449,'Raw Data'!$A:$M,10,0)),"",VLOOKUP($F449,'Raw Data'!$A:$M,10,0))</f>
        <v/>
      </c>
      <c r="K449" t="str">
        <f>IF(ISNA(VLOOKUP($F449,'Raw Data'!$A:$M,11,0)),"",VLOOKUP($F449,'Raw Data'!$A:$M,11,0))</f>
        <v/>
      </c>
      <c r="L449" t="str">
        <f>IF(ISNA(VLOOKUP($F449,'Raw Data'!$A:$M,12,0)),"",VLOOKUP($F449,'Raw Data'!$A:$M,12,0))</f>
        <v/>
      </c>
      <c r="M449" t="str">
        <f>IF(ISNA(VLOOKUP($F449,'Raw Data'!$A:$M,13,0)),"",VLOOKUP($F449,'Raw Data'!$A:$M,13,0))</f>
        <v/>
      </c>
    </row>
    <row r="450" spans="1:13" x14ac:dyDescent="0.25">
      <c r="A450" t="s">
        <v>37</v>
      </c>
      <c r="B450">
        <v>2014</v>
      </c>
      <c r="C450">
        <v>4.5</v>
      </c>
      <c r="D450" s="3">
        <v>760</v>
      </c>
      <c r="E450" s="3">
        <v>80</v>
      </c>
      <c r="F450" s="3" t="str">
        <f t="shared" si="6"/>
        <v>FGU620144.576080</v>
      </c>
      <c r="G450" t="str">
        <f>IF(ISNA(VLOOKUP($F450,'Raw Data'!$A:$M,7,0)),"",VLOOKUP($F450,'Raw Data'!$A:$M,7,0))</f>
        <v/>
      </c>
      <c r="H450" t="str">
        <f>IF(ISNA(VLOOKUP($F450,'Raw Data'!$A:$M,8,0)),"",VLOOKUP($F450,'Raw Data'!$A:$M,8,0))</f>
        <v/>
      </c>
      <c r="I450" t="str">
        <f>IF(ISNA(VLOOKUP($F450,'Raw Data'!$A:$M,9,0)),"",VLOOKUP($F450,'Raw Data'!$A:$M,9,0))</f>
        <v/>
      </c>
      <c r="J450" t="str">
        <f>IF(ISNA(VLOOKUP($F450,'Raw Data'!$A:$M,10,0)),"",VLOOKUP($F450,'Raw Data'!$A:$M,10,0))</f>
        <v/>
      </c>
      <c r="K450" t="str">
        <f>IF(ISNA(VLOOKUP($F450,'Raw Data'!$A:$M,11,0)),"",VLOOKUP($F450,'Raw Data'!$A:$M,11,0))</f>
        <v/>
      </c>
      <c r="L450" t="str">
        <f>IF(ISNA(VLOOKUP($F450,'Raw Data'!$A:$M,12,0)),"",VLOOKUP($F450,'Raw Data'!$A:$M,12,0))</f>
        <v/>
      </c>
      <c r="M450" t="str">
        <f>IF(ISNA(VLOOKUP($F450,'Raw Data'!$A:$M,13,0)),"",VLOOKUP($F450,'Raw Data'!$A:$M,13,0))</f>
        <v/>
      </c>
    </row>
    <row r="451" spans="1:13" x14ac:dyDescent="0.25">
      <c r="A451" t="s">
        <v>37</v>
      </c>
      <c r="B451">
        <v>2014</v>
      </c>
      <c r="C451">
        <v>4.5</v>
      </c>
      <c r="D451" s="3">
        <v>780</v>
      </c>
      <c r="E451" s="3">
        <v>80</v>
      </c>
      <c r="F451" s="3" t="str">
        <f t="shared" si="6"/>
        <v>FGU620144.578080</v>
      </c>
      <c r="G451" t="str">
        <f>IF(ISNA(VLOOKUP($F451,'Raw Data'!$A:$M,7,0)),"",VLOOKUP($F451,'Raw Data'!$A:$M,7,0))</f>
        <v/>
      </c>
      <c r="H451" t="str">
        <f>IF(ISNA(VLOOKUP($F451,'Raw Data'!$A:$M,8,0)),"",VLOOKUP($F451,'Raw Data'!$A:$M,8,0))</f>
        <v/>
      </c>
      <c r="I451" t="str">
        <f>IF(ISNA(VLOOKUP($F451,'Raw Data'!$A:$M,9,0)),"",VLOOKUP($F451,'Raw Data'!$A:$M,9,0))</f>
        <v/>
      </c>
      <c r="J451" t="str">
        <f>IF(ISNA(VLOOKUP($F451,'Raw Data'!$A:$M,10,0)),"",VLOOKUP($F451,'Raw Data'!$A:$M,10,0))</f>
        <v/>
      </c>
      <c r="K451" t="str">
        <f>IF(ISNA(VLOOKUP($F451,'Raw Data'!$A:$M,11,0)),"",VLOOKUP($F451,'Raw Data'!$A:$M,11,0))</f>
        <v/>
      </c>
      <c r="L451" t="str">
        <f>IF(ISNA(VLOOKUP($F451,'Raw Data'!$A:$M,12,0)),"",VLOOKUP($F451,'Raw Data'!$A:$M,12,0))</f>
        <v/>
      </c>
      <c r="M451" t="str">
        <f>IF(ISNA(VLOOKUP($F451,'Raw Data'!$A:$M,13,0)),"",VLOOKUP($F451,'Raw Data'!$A:$M,13,0))</f>
        <v/>
      </c>
    </row>
    <row r="452" spans="1:13" x14ac:dyDescent="0.25">
      <c r="A452" t="s">
        <v>37</v>
      </c>
      <c r="B452">
        <v>2014</v>
      </c>
      <c r="C452">
        <v>4.5</v>
      </c>
      <c r="D452" s="3">
        <v>620</v>
      </c>
      <c r="E452" s="3">
        <v>85</v>
      </c>
      <c r="F452" s="3" t="str">
        <f t="shared" ref="F452:F515" si="7">A452&amp;B452&amp;C452&amp;D452&amp;E452</f>
        <v>FGU620144.562085</v>
      </c>
      <c r="G452" t="str">
        <f>IF(ISNA(VLOOKUP($F452,'Raw Data'!$A:$M,7,0)),"",VLOOKUP($F452,'Raw Data'!$A:$M,7,0))</f>
        <v/>
      </c>
      <c r="H452" t="str">
        <f>IF(ISNA(VLOOKUP($F452,'Raw Data'!$A:$M,8,0)),"",VLOOKUP($F452,'Raw Data'!$A:$M,8,0))</f>
        <v/>
      </c>
      <c r="I452" t="str">
        <f>IF(ISNA(VLOOKUP($F452,'Raw Data'!$A:$M,9,0)),"",VLOOKUP($F452,'Raw Data'!$A:$M,9,0))</f>
        <v/>
      </c>
      <c r="J452" t="str">
        <f>IF(ISNA(VLOOKUP($F452,'Raw Data'!$A:$M,10,0)),"",VLOOKUP($F452,'Raw Data'!$A:$M,10,0))</f>
        <v/>
      </c>
      <c r="K452" t="str">
        <f>IF(ISNA(VLOOKUP($F452,'Raw Data'!$A:$M,11,0)),"",VLOOKUP($F452,'Raw Data'!$A:$M,11,0))</f>
        <v/>
      </c>
      <c r="L452" t="str">
        <f>IF(ISNA(VLOOKUP($F452,'Raw Data'!$A:$M,12,0)),"",VLOOKUP($F452,'Raw Data'!$A:$M,12,0))</f>
        <v/>
      </c>
      <c r="M452" t="str">
        <f>IF(ISNA(VLOOKUP($F452,'Raw Data'!$A:$M,13,0)),"",VLOOKUP($F452,'Raw Data'!$A:$M,13,0))</f>
        <v/>
      </c>
    </row>
    <row r="453" spans="1:13" x14ac:dyDescent="0.25">
      <c r="A453" t="s">
        <v>37</v>
      </c>
      <c r="B453">
        <v>2014</v>
      </c>
      <c r="C453">
        <v>4.5</v>
      </c>
      <c r="D453" s="3">
        <v>640</v>
      </c>
      <c r="E453" s="3">
        <v>85</v>
      </c>
      <c r="F453" s="3" t="str">
        <f t="shared" si="7"/>
        <v>FGU620144.564085</v>
      </c>
      <c r="G453" t="str">
        <f>IF(ISNA(VLOOKUP($F453,'Raw Data'!$A:$M,7,0)),"",VLOOKUP($F453,'Raw Data'!$A:$M,7,0))</f>
        <v/>
      </c>
      <c r="H453" t="str">
        <f>IF(ISNA(VLOOKUP($F453,'Raw Data'!$A:$M,8,0)),"",VLOOKUP($F453,'Raw Data'!$A:$M,8,0))</f>
        <v/>
      </c>
      <c r="I453" t="str">
        <f>IF(ISNA(VLOOKUP($F453,'Raw Data'!$A:$M,9,0)),"",VLOOKUP($F453,'Raw Data'!$A:$M,9,0))</f>
        <v/>
      </c>
      <c r="J453" t="str">
        <f>IF(ISNA(VLOOKUP($F453,'Raw Data'!$A:$M,10,0)),"",VLOOKUP($F453,'Raw Data'!$A:$M,10,0))</f>
        <v/>
      </c>
      <c r="K453" t="str">
        <f>IF(ISNA(VLOOKUP($F453,'Raw Data'!$A:$M,11,0)),"",VLOOKUP($F453,'Raw Data'!$A:$M,11,0))</f>
        <v/>
      </c>
      <c r="L453" t="str">
        <f>IF(ISNA(VLOOKUP($F453,'Raw Data'!$A:$M,12,0)),"",VLOOKUP($F453,'Raw Data'!$A:$M,12,0))</f>
        <v/>
      </c>
      <c r="M453" t="str">
        <f>IF(ISNA(VLOOKUP($F453,'Raw Data'!$A:$M,13,0)),"",VLOOKUP($F453,'Raw Data'!$A:$M,13,0))</f>
        <v/>
      </c>
    </row>
    <row r="454" spans="1:13" x14ac:dyDescent="0.25">
      <c r="A454" t="s">
        <v>37</v>
      </c>
      <c r="B454">
        <v>2014</v>
      </c>
      <c r="C454">
        <v>4.5</v>
      </c>
      <c r="D454" s="3">
        <v>660</v>
      </c>
      <c r="E454" s="3">
        <v>85</v>
      </c>
      <c r="F454" s="3" t="str">
        <f t="shared" si="7"/>
        <v>FGU620144.566085</v>
      </c>
      <c r="G454" t="str">
        <f>IF(ISNA(VLOOKUP($F454,'Raw Data'!$A:$M,7,0)),"",VLOOKUP($F454,'Raw Data'!$A:$M,7,0))</f>
        <v/>
      </c>
      <c r="H454" t="str">
        <f>IF(ISNA(VLOOKUP($F454,'Raw Data'!$A:$M,8,0)),"",VLOOKUP($F454,'Raw Data'!$A:$M,8,0))</f>
        <v/>
      </c>
      <c r="I454" t="str">
        <f>IF(ISNA(VLOOKUP($F454,'Raw Data'!$A:$M,9,0)),"",VLOOKUP($F454,'Raw Data'!$A:$M,9,0))</f>
        <v/>
      </c>
      <c r="J454" t="str">
        <f>IF(ISNA(VLOOKUP($F454,'Raw Data'!$A:$M,10,0)),"",VLOOKUP($F454,'Raw Data'!$A:$M,10,0))</f>
        <v/>
      </c>
      <c r="K454" t="str">
        <f>IF(ISNA(VLOOKUP($F454,'Raw Data'!$A:$M,11,0)),"",VLOOKUP($F454,'Raw Data'!$A:$M,11,0))</f>
        <v/>
      </c>
      <c r="L454" t="str">
        <f>IF(ISNA(VLOOKUP($F454,'Raw Data'!$A:$M,12,0)),"",VLOOKUP($F454,'Raw Data'!$A:$M,12,0))</f>
        <v/>
      </c>
      <c r="M454" t="str">
        <f>IF(ISNA(VLOOKUP($F454,'Raw Data'!$A:$M,13,0)),"",VLOOKUP($F454,'Raw Data'!$A:$M,13,0))</f>
        <v/>
      </c>
    </row>
    <row r="455" spans="1:13" x14ac:dyDescent="0.25">
      <c r="A455" t="s">
        <v>37</v>
      </c>
      <c r="B455">
        <v>2014</v>
      </c>
      <c r="C455">
        <v>4.5</v>
      </c>
      <c r="D455" s="3">
        <v>680</v>
      </c>
      <c r="E455" s="3">
        <v>85</v>
      </c>
      <c r="F455" s="3" t="str">
        <f t="shared" si="7"/>
        <v>FGU620144.568085</v>
      </c>
      <c r="G455" t="str">
        <f>IF(ISNA(VLOOKUP($F455,'Raw Data'!$A:$M,7,0)),"",VLOOKUP($F455,'Raw Data'!$A:$M,7,0))</f>
        <v/>
      </c>
      <c r="H455" t="str">
        <f>IF(ISNA(VLOOKUP($F455,'Raw Data'!$A:$M,8,0)),"",VLOOKUP($F455,'Raw Data'!$A:$M,8,0))</f>
        <v/>
      </c>
      <c r="I455" t="str">
        <f>IF(ISNA(VLOOKUP($F455,'Raw Data'!$A:$M,9,0)),"",VLOOKUP($F455,'Raw Data'!$A:$M,9,0))</f>
        <v/>
      </c>
      <c r="J455" t="str">
        <f>IF(ISNA(VLOOKUP($F455,'Raw Data'!$A:$M,10,0)),"",VLOOKUP($F455,'Raw Data'!$A:$M,10,0))</f>
        <v/>
      </c>
      <c r="K455" t="str">
        <f>IF(ISNA(VLOOKUP($F455,'Raw Data'!$A:$M,11,0)),"",VLOOKUP($F455,'Raw Data'!$A:$M,11,0))</f>
        <v/>
      </c>
      <c r="L455" t="str">
        <f>IF(ISNA(VLOOKUP($F455,'Raw Data'!$A:$M,12,0)),"",VLOOKUP($F455,'Raw Data'!$A:$M,12,0))</f>
        <v/>
      </c>
      <c r="M455" t="str">
        <f>IF(ISNA(VLOOKUP($F455,'Raw Data'!$A:$M,13,0)),"",VLOOKUP($F455,'Raw Data'!$A:$M,13,0))</f>
        <v/>
      </c>
    </row>
    <row r="456" spans="1:13" x14ac:dyDescent="0.25">
      <c r="A456" t="s">
        <v>37</v>
      </c>
      <c r="B456">
        <v>2014</v>
      </c>
      <c r="C456">
        <v>4.5</v>
      </c>
      <c r="D456" s="3">
        <v>700</v>
      </c>
      <c r="E456" s="3">
        <v>85</v>
      </c>
      <c r="F456" s="3" t="str">
        <f t="shared" si="7"/>
        <v>FGU620144.570085</v>
      </c>
      <c r="G456" t="str">
        <f>IF(ISNA(VLOOKUP($F456,'Raw Data'!$A:$M,7,0)),"",VLOOKUP($F456,'Raw Data'!$A:$M,7,0))</f>
        <v/>
      </c>
      <c r="H456" t="str">
        <f>IF(ISNA(VLOOKUP($F456,'Raw Data'!$A:$M,8,0)),"",VLOOKUP($F456,'Raw Data'!$A:$M,8,0))</f>
        <v/>
      </c>
      <c r="I456" t="str">
        <f>IF(ISNA(VLOOKUP($F456,'Raw Data'!$A:$M,9,0)),"",VLOOKUP($F456,'Raw Data'!$A:$M,9,0))</f>
        <v/>
      </c>
      <c r="J456" t="str">
        <f>IF(ISNA(VLOOKUP($F456,'Raw Data'!$A:$M,10,0)),"",VLOOKUP($F456,'Raw Data'!$A:$M,10,0))</f>
        <v/>
      </c>
      <c r="K456" t="str">
        <f>IF(ISNA(VLOOKUP($F456,'Raw Data'!$A:$M,11,0)),"",VLOOKUP($F456,'Raw Data'!$A:$M,11,0))</f>
        <v/>
      </c>
      <c r="L456" t="str">
        <f>IF(ISNA(VLOOKUP($F456,'Raw Data'!$A:$M,12,0)),"",VLOOKUP($F456,'Raw Data'!$A:$M,12,0))</f>
        <v/>
      </c>
      <c r="M456" t="str">
        <f>IF(ISNA(VLOOKUP($F456,'Raw Data'!$A:$M,13,0)),"",VLOOKUP($F456,'Raw Data'!$A:$M,13,0))</f>
        <v/>
      </c>
    </row>
    <row r="457" spans="1:13" x14ac:dyDescent="0.25">
      <c r="A457" t="s">
        <v>37</v>
      </c>
      <c r="B457">
        <v>2014</v>
      </c>
      <c r="C457">
        <v>4.5</v>
      </c>
      <c r="D457" s="3">
        <v>720</v>
      </c>
      <c r="E457" s="3">
        <v>85</v>
      </c>
      <c r="F457" s="3" t="str">
        <f t="shared" si="7"/>
        <v>FGU620144.572085</v>
      </c>
      <c r="G457" t="str">
        <f>IF(ISNA(VLOOKUP($F457,'Raw Data'!$A:$M,7,0)),"",VLOOKUP($F457,'Raw Data'!$A:$M,7,0))</f>
        <v/>
      </c>
      <c r="H457" t="str">
        <f>IF(ISNA(VLOOKUP($F457,'Raw Data'!$A:$M,8,0)),"",VLOOKUP($F457,'Raw Data'!$A:$M,8,0))</f>
        <v/>
      </c>
      <c r="I457" t="str">
        <f>IF(ISNA(VLOOKUP($F457,'Raw Data'!$A:$M,9,0)),"",VLOOKUP($F457,'Raw Data'!$A:$M,9,0))</f>
        <v/>
      </c>
      <c r="J457" t="str">
        <f>IF(ISNA(VLOOKUP($F457,'Raw Data'!$A:$M,10,0)),"",VLOOKUP($F457,'Raw Data'!$A:$M,10,0))</f>
        <v/>
      </c>
      <c r="K457" t="str">
        <f>IF(ISNA(VLOOKUP($F457,'Raw Data'!$A:$M,11,0)),"",VLOOKUP($F457,'Raw Data'!$A:$M,11,0))</f>
        <v/>
      </c>
      <c r="L457" t="str">
        <f>IF(ISNA(VLOOKUP($F457,'Raw Data'!$A:$M,12,0)),"",VLOOKUP($F457,'Raw Data'!$A:$M,12,0))</f>
        <v/>
      </c>
      <c r="M457" t="str">
        <f>IF(ISNA(VLOOKUP($F457,'Raw Data'!$A:$M,13,0)),"",VLOOKUP($F457,'Raw Data'!$A:$M,13,0))</f>
        <v/>
      </c>
    </row>
    <row r="458" spans="1:13" x14ac:dyDescent="0.25">
      <c r="A458" t="s">
        <v>37</v>
      </c>
      <c r="B458">
        <v>2014</v>
      </c>
      <c r="C458">
        <v>4.5</v>
      </c>
      <c r="D458" s="3">
        <v>740</v>
      </c>
      <c r="E458" s="3">
        <v>85</v>
      </c>
      <c r="F458" s="3" t="str">
        <f t="shared" si="7"/>
        <v>FGU620144.574085</v>
      </c>
      <c r="G458" t="str">
        <f>IF(ISNA(VLOOKUP($F458,'Raw Data'!$A:$M,7,0)),"",VLOOKUP($F458,'Raw Data'!$A:$M,7,0))</f>
        <v/>
      </c>
      <c r="H458" t="str">
        <f>IF(ISNA(VLOOKUP($F458,'Raw Data'!$A:$M,8,0)),"",VLOOKUP($F458,'Raw Data'!$A:$M,8,0))</f>
        <v/>
      </c>
      <c r="I458" t="str">
        <f>IF(ISNA(VLOOKUP($F458,'Raw Data'!$A:$M,9,0)),"",VLOOKUP($F458,'Raw Data'!$A:$M,9,0))</f>
        <v/>
      </c>
      <c r="J458" t="str">
        <f>IF(ISNA(VLOOKUP($F458,'Raw Data'!$A:$M,10,0)),"",VLOOKUP($F458,'Raw Data'!$A:$M,10,0))</f>
        <v/>
      </c>
      <c r="K458" t="str">
        <f>IF(ISNA(VLOOKUP($F458,'Raw Data'!$A:$M,11,0)),"",VLOOKUP($F458,'Raw Data'!$A:$M,11,0))</f>
        <v/>
      </c>
      <c r="L458" t="str">
        <f>IF(ISNA(VLOOKUP($F458,'Raw Data'!$A:$M,12,0)),"",VLOOKUP($F458,'Raw Data'!$A:$M,12,0))</f>
        <v/>
      </c>
      <c r="M458" t="str">
        <f>IF(ISNA(VLOOKUP($F458,'Raw Data'!$A:$M,13,0)),"",VLOOKUP($F458,'Raw Data'!$A:$M,13,0))</f>
        <v/>
      </c>
    </row>
    <row r="459" spans="1:13" x14ac:dyDescent="0.25">
      <c r="A459" t="s">
        <v>37</v>
      </c>
      <c r="B459">
        <v>2014</v>
      </c>
      <c r="C459">
        <v>4.5</v>
      </c>
      <c r="D459" s="3">
        <v>760</v>
      </c>
      <c r="E459" s="3">
        <v>85</v>
      </c>
      <c r="F459" s="3" t="str">
        <f t="shared" si="7"/>
        <v>FGU620144.576085</v>
      </c>
      <c r="G459" t="str">
        <f>IF(ISNA(VLOOKUP($F459,'Raw Data'!$A:$M,7,0)),"",VLOOKUP($F459,'Raw Data'!$A:$M,7,0))</f>
        <v/>
      </c>
      <c r="H459" t="str">
        <f>IF(ISNA(VLOOKUP($F459,'Raw Data'!$A:$M,8,0)),"",VLOOKUP($F459,'Raw Data'!$A:$M,8,0))</f>
        <v/>
      </c>
      <c r="I459" t="str">
        <f>IF(ISNA(VLOOKUP($F459,'Raw Data'!$A:$M,9,0)),"",VLOOKUP($F459,'Raw Data'!$A:$M,9,0))</f>
        <v/>
      </c>
      <c r="J459" t="str">
        <f>IF(ISNA(VLOOKUP($F459,'Raw Data'!$A:$M,10,0)),"",VLOOKUP($F459,'Raw Data'!$A:$M,10,0))</f>
        <v/>
      </c>
      <c r="K459" t="str">
        <f>IF(ISNA(VLOOKUP($F459,'Raw Data'!$A:$M,11,0)),"",VLOOKUP($F459,'Raw Data'!$A:$M,11,0))</f>
        <v/>
      </c>
      <c r="L459" t="str">
        <f>IF(ISNA(VLOOKUP($F459,'Raw Data'!$A:$M,12,0)),"",VLOOKUP($F459,'Raw Data'!$A:$M,12,0))</f>
        <v/>
      </c>
      <c r="M459" t="str">
        <f>IF(ISNA(VLOOKUP($F459,'Raw Data'!$A:$M,13,0)),"",VLOOKUP($F459,'Raw Data'!$A:$M,13,0))</f>
        <v/>
      </c>
    </row>
    <row r="460" spans="1:13" x14ac:dyDescent="0.25">
      <c r="A460" t="s">
        <v>37</v>
      </c>
      <c r="B460">
        <v>2014</v>
      </c>
      <c r="C460">
        <v>4.5</v>
      </c>
      <c r="D460" s="3">
        <v>780</v>
      </c>
      <c r="E460" s="3">
        <v>85</v>
      </c>
      <c r="F460" s="3" t="str">
        <f t="shared" si="7"/>
        <v>FGU620144.578085</v>
      </c>
      <c r="G460" t="str">
        <f>IF(ISNA(VLOOKUP($F460,'Raw Data'!$A:$M,7,0)),"",VLOOKUP($F460,'Raw Data'!$A:$M,7,0))</f>
        <v/>
      </c>
      <c r="H460" t="str">
        <f>IF(ISNA(VLOOKUP($F460,'Raw Data'!$A:$M,8,0)),"",VLOOKUP($F460,'Raw Data'!$A:$M,8,0))</f>
        <v/>
      </c>
      <c r="I460" t="str">
        <f>IF(ISNA(VLOOKUP($F460,'Raw Data'!$A:$M,9,0)),"",VLOOKUP($F460,'Raw Data'!$A:$M,9,0))</f>
        <v/>
      </c>
      <c r="J460" t="str">
        <f>IF(ISNA(VLOOKUP($F460,'Raw Data'!$A:$M,10,0)),"",VLOOKUP($F460,'Raw Data'!$A:$M,10,0))</f>
        <v/>
      </c>
      <c r="K460" t="str">
        <f>IF(ISNA(VLOOKUP($F460,'Raw Data'!$A:$M,11,0)),"",VLOOKUP($F460,'Raw Data'!$A:$M,11,0))</f>
        <v/>
      </c>
      <c r="L460" t="str">
        <f>IF(ISNA(VLOOKUP($F460,'Raw Data'!$A:$M,12,0)),"",VLOOKUP($F460,'Raw Data'!$A:$M,12,0))</f>
        <v/>
      </c>
      <c r="M460" t="str">
        <f>IF(ISNA(VLOOKUP($F460,'Raw Data'!$A:$M,13,0)),"",VLOOKUP($F460,'Raw Data'!$A:$M,13,0))</f>
        <v/>
      </c>
    </row>
    <row r="461" spans="1:13" x14ac:dyDescent="0.25">
      <c r="A461" t="s">
        <v>37</v>
      </c>
      <c r="B461">
        <v>2014</v>
      </c>
      <c r="C461">
        <v>4.5</v>
      </c>
      <c r="D461" s="3">
        <v>620</v>
      </c>
      <c r="E461" s="3">
        <v>90</v>
      </c>
      <c r="F461" s="3" t="str">
        <f t="shared" si="7"/>
        <v>FGU620144.562090</v>
      </c>
      <c r="G461" t="str">
        <f>IF(ISNA(VLOOKUP($F461,'Raw Data'!$A:$M,7,0)),"",VLOOKUP($F461,'Raw Data'!$A:$M,7,0))</f>
        <v/>
      </c>
      <c r="H461" t="str">
        <f>IF(ISNA(VLOOKUP($F461,'Raw Data'!$A:$M,8,0)),"",VLOOKUP($F461,'Raw Data'!$A:$M,8,0))</f>
        <v/>
      </c>
      <c r="I461" t="str">
        <f>IF(ISNA(VLOOKUP($F461,'Raw Data'!$A:$M,9,0)),"",VLOOKUP($F461,'Raw Data'!$A:$M,9,0))</f>
        <v/>
      </c>
      <c r="J461" t="str">
        <f>IF(ISNA(VLOOKUP($F461,'Raw Data'!$A:$M,10,0)),"",VLOOKUP($F461,'Raw Data'!$A:$M,10,0))</f>
        <v/>
      </c>
      <c r="K461" t="str">
        <f>IF(ISNA(VLOOKUP($F461,'Raw Data'!$A:$M,11,0)),"",VLOOKUP($F461,'Raw Data'!$A:$M,11,0))</f>
        <v/>
      </c>
      <c r="L461" t="str">
        <f>IF(ISNA(VLOOKUP($F461,'Raw Data'!$A:$M,12,0)),"",VLOOKUP($F461,'Raw Data'!$A:$M,12,0))</f>
        <v/>
      </c>
      <c r="M461" t="str">
        <f>IF(ISNA(VLOOKUP($F461,'Raw Data'!$A:$M,13,0)),"",VLOOKUP($F461,'Raw Data'!$A:$M,13,0))</f>
        <v/>
      </c>
    </row>
    <row r="462" spans="1:13" x14ac:dyDescent="0.25">
      <c r="A462" t="s">
        <v>37</v>
      </c>
      <c r="B462">
        <v>2014</v>
      </c>
      <c r="C462">
        <v>4.5</v>
      </c>
      <c r="D462" s="3">
        <v>640</v>
      </c>
      <c r="E462" s="3">
        <v>90</v>
      </c>
      <c r="F462" s="3" t="str">
        <f t="shared" si="7"/>
        <v>FGU620144.564090</v>
      </c>
      <c r="G462" t="str">
        <f>IF(ISNA(VLOOKUP($F462,'Raw Data'!$A:$M,7,0)),"",VLOOKUP($F462,'Raw Data'!$A:$M,7,0))</f>
        <v/>
      </c>
      <c r="H462" t="str">
        <f>IF(ISNA(VLOOKUP($F462,'Raw Data'!$A:$M,8,0)),"",VLOOKUP($F462,'Raw Data'!$A:$M,8,0))</f>
        <v/>
      </c>
      <c r="I462" t="str">
        <f>IF(ISNA(VLOOKUP($F462,'Raw Data'!$A:$M,9,0)),"",VLOOKUP($F462,'Raw Data'!$A:$M,9,0))</f>
        <v/>
      </c>
      <c r="J462" t="str">
        <f>IF(ISNA(VLOOKUP($F462,'Raw Data'!$A:$M,10,0)),"",VLOOKUP($F462,'Raw Data'!$A:$M,10,0))</f>
        <v/>
      </c>
      <c r="K462" t="str">
        <f>IF(ISNA(VLOOKUP($F462,'Raw Data'!$A:$M,11,0)),"",VLOOKUP($F462,'Raw Data'!$A:$M,11,0))</f>
        <v/>
      </c>
      <c r="L462" t="str">
        <f>IF(ISNA(VLOOKUP($F462,'Raw Data'!$A:$M,12,0)),"",VLOOKUP($F462,'Raw Data'!$A:$M,12,0))</f>
        <v/>
      </c>
      <c r="M462" t="str">
        <f>IF(ISNA(VLOOKUP($F462,'Raw Data'!$A:$M,13,0)),"",VLOOKUP($F462,'Raw Data'!$A:$M,13,0))</f>
        <v/>
      </c>
    </row>
    <row r="463" spans="1:13" x14ac:dyDescent="0.25">
      <c r="A463" t="s">
        <v>37</v>
      </c>
      <c r="B463">
        <v>2014</v>
      </c>
      <c r="C463">
        <v>4.5</v>
      </c>
      <c r="D463" s="3">
        <v>660</v>
      </c>
      <c r="E463" s="3">
        <v>90</v>
      </c>
      <c r="F463" s="3" t="str">
        <f t="shared" si="7"/>
        <v>FGU620144.566090</v>
      </c>
      <c r="G463" t="str">
        <f>IF(ISNA(VLOOKUP($F463,'Raw Data'!$A:$M,7,0)),"",VLOOKUP($F463,'Raw Data'!$A:$M,7,0))</f>
        <v/>
      </c>
      <c r="H463" t="str">
        <f>IF(ISNA(VLOOKUP($F463,'Raw Data'!$A:$M,8,0)),"",VLOOKUP($F463,'Raw Data'!$A:$M,8,0))</f>
        <v/>
      </c>
      <c r="I463" t="str">
        <f>IF(ISNA(VLOOKUP($F463,'Raw Data'!$A:$M,9,0)),"",VLOOKUP($F463,'Raw Data'!$A:$M,9,0))</f>
        <v/>
      </c>
      <c r="J463" t="str">
        <f>IF(ISNA(VLOOKUP($F463,'Raw Data'!$A:$M,10,0)),"",VLOOKUP($F463,'Raw Data'!$A:$M,10,0))</f>
        <v/>
      </c>
      <c r="K463" t="str">
        <f>IF(ISNA(VLOOKUP($F463,'Raw Data'!$A:$M,11,0)),"",VLOOKUP($F463,'Raw Data'!$A:$M,11,0))</f>
        <v/>
      </c>
      <c r="L463" t="str">
        <f>IF(ISNA(VLOOKUP($F463,'Raw Data'!$A:$M,12,0)),"",VLOOKUP($F463,'Raw Data'!$A:$M,12,0))</f>
        <v/>
      </c>
      <c r="M463" t="str">
        <f>IF(ISNA(VLOOKUP($F463,'Raw Data'!$A:$M,13,0)),"",VLOOKUP($F463,'Raw Data'!$A:$M,13,0))</f>
        <v/>
      </c>
    </row>
    <row r="464" spans="1:13" x14ac:dyDescent="0.25">
      <c r="A464" t="s">
        <v>37</v>
      </c>
      <c r="B464">
        <v>2014</v>
      </c>
      <c r="C464">
        <v>4.5</v>
      </c>
      <c r="D464" s="3">
        <v>680</v>
      </c>
      <c r="E464" s="3">
        <v>90</v>
      </c>
      <c r="F464" s="3" t="str">
        <f t="shared" si="7"/>
        <v>FGU620144.568090</v>
      </c>
      <c r="G464" t="str">
        <f>IF(ISNA(VLOOKUP($F464,'Raw Data'!$A:$M,7,0)),"",VLOOKUP($F464,'Raw Data'!$A:$M,7,0))</f>
        <v/>
      </c>
      <c r="H464" t="str">
        <f>IF(ISNA(VLOOKUP($F464,'Raw Data'!$A:$M,8,0)),"",VLOOKUP($F464,'Raw Data'!$A:$M,8,0))</f>
        <v/>
      </c>
      <c r="I464" t="str">
        <f>IF(ISNA(VLOOKUP($F464,'Raw Data'!$A:$M,9,0)),"",VLOOKUP($F464,'Raw Data'!$A:$M,9,0))</f>
        <v/>
      </c>
      <c r="J464" t="str">
        <f>IF(ISNA(VLOOKUP($F464,'Raw Data'!$A:$M,10,0)),"",VLOOKUP($F464,'Raw Data'!$A:$M,10,0))</f>
        <v/>
      </c>
      <c r="K464" t="str">
        <f>IF(ISNA(VLOOKUP($F464,'Raw Data'!$A:$M,11,0)),"",VLOOKUP($F464,'Raw Data'!$A:$M,11,0))</f>
        <v/>
      </c>
      <c r="L464" t="str">
        <f>IF(ISNA(VLOOKUP($F464,'Raw Data'!$A:$M,12,0)),"",VLOOKUP($F464,'Raw Data'!$A:$M,12,0))</f>
        <v/>
      </c>
      <c r="M464" t="str">
        <f>IF(ISNA(VLOOKUP($F464,'Raw Data'!$A:$M,13,0)),"",VLOOKUP($F464,'Raw Data'!$A:$M,13,0))</f>
        <v/>
      </c>
    </row>
    <row r="465" spans="1:13" x14ac:dyDescent="0.25">
      <c r="A465" t="s">
        <v>37</v>
      </c>
      <c r="B465">
        <v>2014</v>
      </c>
      <c r="C465">
        <v>4.5</v>
      </c>
      <c r="D465" s="3">
        <v>700</v>
      </c>
      <c r="E465" s="3">
        <v>90</v>
      </c>
      <c r="F465" s="3" t="str">
        <f t="shared" si="7"/>
        <v>FGU620144.570090</v>
      </c>
      <c r="G465" t="str">
        <f>IF(ISNA(VLOOKUP($F465,'Raw Data'!$A:$M,7,0)),"",VLOOKUP($F465,'Raw Data'!$A:$M,7,0))</f>
        <v/>
      </c>
      <c r="H465" t="str">
        <f>IF(ISNA(VLOOKUP($F465,'Raw Data'!$A:$M,8,0)),"",VLOOKUP($F465,'Raw Data'!$A:$M,8,0))</f>
        <v/>
      </c>
      <c r="I465" t="str">
        <f>IF(ISNA(VLOOKUP($F465,'Raw Data'!$A:$M,9,0)),"",VLOOKUP($F465,'Raw Data'!$A:$M,9,0))</f>
        <v/>
      </c>
      <c r="J465" t="str">
        <f>IF(ISNA(VLOOKUP($F465,'Raw Data'!$A:$M,10,0)),"",VLOOKUP($F465,'Raw Data'!$A:$M,10,0))</f>
        <v/>
      </c>
      <c r="K465" t="str">
        <f>IF(ISNA(VLOOKUP($F465,'Raw Data'!$A:$M,11,0)),"",VLOOKUP($F465,'Raw Data'!$A:$M,11,0))</f>
        <v/>
      </c>
      <c r="L465" t="str">
        <f>IF(ISNA(VLOOKUP($F465,'Raw Data'!$A:$M,12,0)),"",VLOOKUP($F465,'Raw Data'!$A:$M,12,0))</f>
        <v/>
      </c>
      <c r="M465" t="str">
        <f>IF(ISNA(VLOOKUP($F465,'Raw Data'!$A:$M,13,0)),"",VLOOKUP($F465,'Raw Data'!$A:$M,13,0))</f>
        <v/>
      </c>
    </row>
    <row r="466" spans="1:13" x14ac:dyDescent="0.25">
      <c r="A466" t="s">
        <v>37</v>
      </c>
      <c r="B466">
        <v>2014</v>
      </c>
      <c r="C466">
        <v>4.5</v>
      </c>
      <c r="D466" s="3">
        <v>720</v>
      </c>
      <c r="E466" s="3">
        <v>90</v>
      </c>
      <c r="F466" s="3" t="str">
        <f t="shared" si="7"/>
        <v>FGU620144.572090</v>
      </c>
      <c r="G466" t="str">
        <f>IF(ISNA(VLOOKUP($F466,'Raw Data'!$A:$M,7,0)),"",VLOOKUP($F466,'Raw Data'!$A:$M,7,0))</f>
        <v/>
      </c>
      <c r="H466" t="str">
        <f>IF(ISNA(VLOOKUP($F466,'Raw Data'!$A:$M,8,0)),"",VLOOKUP($F466,'Raw Data'!$A:$M,8,0))</f>
        <v/>
      </c>
      <c r="I466" t="str">
        <f>IF(ISNA(VLOOKUP($F466,'Raw Data'!$A:$M,9,0)),"",VLOOKUP($F466,'Raw Data'!$A:$M,9,0))</f>
        <v/>
      </c>
      <c r="J466" t="str">
        <f>IF(ISNA(VLOOKUP($F466,'Raw Data'!$A:$M,10,0)),"",VLOOKUP($F466,'Raw Data'!$A:$M,10,0))</f>
        <v/>
      </c>
      <c r="K466" t="str">
        <f>IF(ISNA(VLOOKUP($F466,'Raw Data'!$A:$M,11,0)),"",VLOOKUP($F466,'Raw Data'!$A:$M,11,0))</f>
        <v/>
      </c>
      <c r="L466" t="str">
        <f>IF(ISNA(VLOOKUP($F466,'Raw Data'!$A:$M,12,0)),"",VLOOKUP($F466,'Raw Data'!$A:$M,12,0))</f>
        <v/>
      </c>
      <c r="M466" t="str">
        <f>IF(ISNA(VLOOKUP($F466,'Raw Data'!$A:$M,13,0)),"",VLOOKUP($F466,'Raw Data'!$A:$M,13,0))</f>
        <v/>
      </c>
    </row>
    <row r="467" spans="1:13" x14ac:dyDescent="0.25">
      <c r="A467" t="s">
        <v>37</v>
      </c>
      <c r="B467">
        <v>2014</v>
      </c>
      <c r="C467">
        <v>4.5</v>
      </c>
      <c r="D467" s="3">
        <v>740</v>
      </c>
      <c r="E467" s="3">
        <v>90</v>
      </c>
      <c r="F467" s="3" t="str">
        <f t="shared" si="7"/>
        <v>FGU620144.574090</v>
      </c>
      <c r="G467" t="str">
        <f>IF(ISNA(VLOOKUP($F467,'Raw Data'!$A:$M,7,0)),"",VLOOKUP($F467,'Raw Data'!$A:$M,7,0))</f>
        <v/>
      </c>
      <c r="H467" t="str">
        <f>IF(ISNA(VLOOKUP($F467,'Raw Data'!$A:$M,8,0)),"",VLOOKUP($F467,'Raw Data'!$A:$M,8,0))</f>
        <v/>
      </c>
      <c r="I467" t="str">
        <f>IF(ISNA(VLOOKUP($F467,'Raw Data'!$A:$M,9,0)),"",VLOOKUP($F467,'Raw Data'!$A:$M,9,0))</f>
        <v/>
      </c>
      <c r="J467" t="str">
        <f>IF(ISNA(VLOOKUP($F467,'Raw Data'!$A:$M,10,0)),"",VLOOKUP($F467,'Raw Data'!$A:$M,10,0))</f>
        <v/>
      </c>
      <c r="K467" t="str">
        <f>IF(ISNA(VLOOKUP($F467,'Raw Data'!$A:$M,11,0)),"",VLOOKUP($F467,'Raw Data'!$A:$M,11,0))</f>
        <v/>
      </c>
      <c r="L467" t="str">
        <f>IF(ISNA(VLOOKUP($F467,'Raw Data'!$A:$M,12,0)),"",VLOOKUP($F467,'Raw Data'!$A:$M,12,0))</f>
        <v/>
      </c>
      <c r="M467" t="str">
        <f>IF(ISNA(VLOOKUP($F467,'Raw Data'!$A:$M,13,0)),"",VLOOKUP($F467,'Raw Data'!$A:$M,13,0))</f>
        <v/>
      </c>
    </row>
    <row r="468" spans="1:13" x14ac:dyDescent="0.25">
      <c r="A468" t="s">
        <v>37</v>
      </c>
      <c r="B468">
        <v>2014</v>
      </c>
      <c r="C468">
        <v>4.5</v>
      </c>
      <c r="D468" s="3">
        <v>760</v>
      </c>
      <c r="E468" s="3">
        <v>90</v>
      </c>
      <c r="F468" s="3" t="str">
        <f t="shared" si="7"/>
        <v>FGU620144.576090</v>
      </c>
      <c r="G468" t="str">
        <f>IF(ISNA(VLOOKUP($F468,'Raw Data'!$A:$M,7,0)),"",VLOOKUP($F468,'Raw Data'!$A:$M,7,0))</f>
        <v/>
      </c>
      <c r="H468" t="str">
        <f>IF(ISNA(VLOOKUP($F468,'Raw Data'!$A:$M,8,0)),"",VLOOKUP($F468,'Raw Data'!$A:$M,8,0))</f>
        <v/>
      </c>
      <c r="I468" t="str">
        <f>IF(ISNA(VLOOKUP($F468,'Raw Data'!$A:$M,9,0)),"",VLOOKUP($F468,'Raw Data'!$A:$M,9,0))</f>
        <v/>
      </c>
      <c r="J468" t="str">
        <f>IF(ISNA(VLOOKUP($F468,'Raw Data'!$A:$M,10,0)),"",VLOOKUP($F468,'Raw Data'!$A:$M,10,0))</f>
        <v/>
      </c>
      <c r="K468" t="str">
        <f>IF(ISNA(VLOOKUP($F468,'Raw Data'!$A:$M,11,0)),"",VLOOKUP($F468,'Raw Data'!$A:$M,11,0))</f>
        <v/>
      </c>
      <c r="L468" t="str">
        <f>IF(ISNA(VLOOKUP($F468,'Raw Data'!$A:$M,12,0)),"",VLOOKUP($F468,'Raw Data'!$A:$M,12,0))</f>
        <v/>
      </c>
      <c r="M468" t="str">
        <f>IF(ISNA(VLOOKUP($F468,'Raw Data'!$A:$M,13,0)),"",VLOOKUP($F468,'Raw Data'!$A:$M,13,0))</f>
        <v/>
      </c>
    </row>
    <row r="469" spans="1:13" x14ac:dyDescent="0.25">
      <c r="A469" t="s">
        <v>37</v>
      </c>
      <c r="B469">
        <v>2014</v>
      </c>
      <c r="C469">
        <v>4.5</v>
      </c>
      <c r="D469" s="3">
        <v>780</v>
      </c>
      <c r="E469" s="3">
        <v>90</v>
      </c>
      <c r="F469" s="3" t="str">
        <f t="shared" si="7"/>
        <v>FGU620144.578090</v>
      </c>
      <c r="G469" t="str">
        <f>IF(ISNA(VLOOKUP($F469,'Raw Data'!$A:$M,7,0)),"",VLOOKUP($F469,'Raw Data'!$A:$M,7,0))</f>
        <v/>
      </c>
      <c r="H469" t="str">
        <f>IF(ISNA(VLOOKUP($F469,'Raw Data'!$A:$M,8,0)),"",VLOOKUP($F469,'Raw Data'!$A:$M,8,0))</f>
        <v/>
      </c>
      <c r="I469" t="str">
        <f>IF(ISNA(VLOOKUP($F469,'Raw Data'!$A:$M,9,0)),"",VLOOKUP($F469,'Raw Data'!$A:$M,9,0))</f>
        <v/>
      </c>
      <c r="J469" t="str">
        <f>IF(ISNA(VLOOKUP($F469,'Raw Data'!$A:$M,10,0)),"",VLOOKUP($F469,'Raw Data'!$A:$M,10,0))</f>
        <v/>
      </c>
      <c r="K469" t="str">
        <f>IF(ISNA(VLOOKUP($F469,'Raw Data'!$A:$M,11,0)),"",VLOOKUP($F469,'Raw Data'!$A:$M,11,0))</f>
        <v/>
      </c>
      <c r="L469" t="str">
        <f>IF(ISNA(VLOOKUP($F469,'Raw Data'!$A:$M,12,0)),"",VLOOKUP($F469,'Raw Data'!$A:$M,12,0))</f>
        <v/>
      </c>
      <c r="M469" t="str">
        <f>IF(ISNA(VLOOKUP($F469,'Raw Data'!$A:$M,13,0)),"",VLOOKUP($F469,'Raw Data'!$A:$M,13,0))</f>
        <v/>
      </c>
    </row>
    <row r="470" spans="1:13" x14ac:dyDescent="0.25">
      <c r="A470" t="s">
        <v>37</v>
      </c>
      <c r="B470">
        <v>2014</v>
      </c>
      <c r="C470">
        <v>4.5</v>
      </c>
      <c r="D470" s="3">
        <v>620</v>
      </c>
      <c r="E470" s="3">
        <v>95</v>
      </c>
      <c r="F470" s="3" t="str">
        <f t="shared" si="7"/>
        <v>FGU620144.562095</v>
      </c>
      <c r="G470" t="str">
        <f>IF(ISNA(VLOOKUP($F470,'Raw Data'!$A:$M,7,0)),"",VLOOKUP($F470,'Raw Data'!$A:$M,7,0))</f>
        <v/>
      </c>
      <c r="H470" t="str">
        <f>IF(ISNA(VLOOKUP($F470,'Raw Data'!$A:$M,8,0)),"",VLOOKUP($F470,'Raw Data'!$A:$M,8,0))</f>
        <v/>
      </c>
      <c r="I470" t="str">
        <f>IF(ISNA(VLOOKUP($F470,'Raw Data'!$A:$M,9,0)),"",VLOOKUP($F470,'Raw Data'!$A:$M,9,0))</f>
        <v/>
      </c>
      <c r="J470" t="str">
        <f>IF(ISNA(VLOOKUP($F470,'Raw Data'!$A:$M,10,0)),"",VLOOKUP($F470,'Raw Data'!$A:$M,10,0))</f>
        <v/>
      </c>
      <c r="K470" t="str">
        <f>IF(ISNA(VLOOKUP($F470,'Raw Data'!$A:$M,11,0)),"",VLOOKUP($F470,'Raw Data'!$A:$M,11,0))</f>
        <v/>
      </c>
      <c r="L470" t="str">
        <f>IF(ISNA(VLOOKUP($F470,'Raw Data'!$A:$M,12,0)),"",VLOOKUP($F470,'Raw Data'!$A:$M,12,0))</f>
        <v/>
      </c>
      <c r="M470" t="str">
        <f>IF(ISNA(VLOOKUP($F470,'Raw Data'!$A:$M,13,0)),"",VLOOKUP($F470,'Raw Data'!$A:$M,13,0))</f>
        <v/>
      </c>
    </row>
    <row r="471" spans="1:13" x14ac:dyDescent="0.25">
      <c r="A471" t="s">
        <v>37</v>
      </c>
      <c r="B471">
        <v>2014</v>
      </c>
      <c r="C471">
        <v>4.5</v>
      </c>
      <c r="D471" s="3">
        <v>640</v>
      </c>
      <c r="E471" s="3">
        <v>95</v>
      </c>
      <c r="F471" s="3" t="str">
        <f t="shared" si="7"/>
        <v>FGU620144.564095</v>
      </c>
      <c r="G471" t="str">
        <f>IF(ISNA(VLOOKUP($F471,'Raw Data'!$A:$M,7,0)),"",VLOOKUP($F471,'Raw Data'!$A:$M,7,0))</f>
        <v/>
      </c>
      <c r="H471" t="str">
        <f>IF(ISNA(VLOOKUP($F471,'Raw Data'!$A:$M,8,0)),"",VLOOKUP($F471,'Raw Data'!$A:$M,8,0))</f>
        <v/>
      </c>
      <c r="I471" t="str">
        <f>IF(ISNA(VLOOKUP($F471,'Raw Data'!$A:$M,9,0)),"",VLOOKUP($F471,'Raw Data'!$A:$M,9,0))</f>
        <v/>
      </c>
      <c r="J471" t="str">
        <f>IF(ISNA(VLOOKUP($F471,'Raw Data'!$A:$M,10,0)),"",VLOOKUP($F471,'Raw Data'!$A:$M,10,0))</f>
        <v/>
      </c>
      <c r="K471" t="str">
        <f>IF(ISNA(VLOOKUP($F471,'Raw Data'!$A:$M,11,0)),"",VLOOKUP($F471,'Raw Data'!$A:$M,11,0))</f>
        <v/>
      </c>
      <c r="L471" t="str">
        <f>IF(ISNA(VLOOKUP($F471,'Raw Data'!$A:$M,12,0)),"",VLOOKUP($F471,'Raw Data'!$A:$M,12,0))</f>
        <v/>
      </c>
      <c r="M471" t="str">
        <f>IF(ISNA(VLOOKUP($F471,'Raw Data'!$A:$M,13,0)),"",VLOOKUP($F471,'Raw Data'!$A:$M,13,0))</f>
        <v/>
      </c>
    </row>
    <row r="472" spans="1:13" x14ac:dyDescent="0.25">
      <c r="A472" t="s">
        <v>37</v>
      </c>
      <c r="B472">
        <v>2014</v>
      </c>
      <c r="C472">
        <v>4.5</v>
      </c>
      <c r="D472" s="3">
        <v>660</v>
      </c>
      <c r="E472" s="3">
        <v>95</v>
      </c>
      <c r="F472" s="3" t="str">
        <f t="shared" si="7"/>
        <v>FGU620144.566095</v>
      </c>
      <c r="G472" t="str">
        <f>IF(ISNA(VLOOKUP($F472,'Raw Data'!$A:$M,7,0)),"",VLOOKUP($F472,'Raw Data'!$A:$M,7,0))</f>
        <v/>
      </c>
      <c r="H472" t="str">
        <f>IF(ISNA(VLOOKUP($F472,'Raw Data'!$A:$M,8,0)),"",VLOOKUP($F472,'Raw Data'!$A:$M,8,0))</f>
        <v/>
      </c>
      <c r="I472" t="str">
        <f>IF(ISNA(VLOOKUP($F472,'Raw Data'!$A:$M,9,0)),"",VLOOKUP($F472,'Raw Data'!$A:$M,9,0))</f>
        <v/>
      </c>
      <c r="J472" t="str">
        <f>IF(ISNA(VLOOKUP($F472,'Raw Data'!$A:$M,10,0)),"",VLOOKUP($F472,'Raw Data'!$A:$M,10,0))</f>
        <v/>
      </c>
      <c r="K472" t="str">
        <f>IF(ISNA(VLOOKUP($F472,'Raw Data'!$A:$M,11,0)),"",VLOOKUP($F472,'Raw Data'!$A:$M,11,0))</f>
        <v/>
      </c>
      <c r="L472" t="str">
        <f>IF(ISNA(VLOOKUP($F472,'Raw Data'!$A:$M,12,0)),"",VLOOKUP($F472,'Raw Data'!$A:$M,12,0))</f>
        <v/>
      </c>
      <c r="M472" t="str">
        <f>IF(ISNA(VLOOKUP($F472,'Raw Data'!$A:$M,13,0)),"",VLOOKUP($F472,'Raw Data'!$A:$M,13,0))</f>
        <v/>
      </c>
    </row>
    <row r="473" spans="1:13" x14ac:dyDescent="0.25">
      <c r="A473" t="s">
        <v>37</v>
      </c>
      <c r="B473">
        <v>2014</v>
      </c>
      <c r="C473">
        <v>4.5</v>
      </c>
      <c r="D473" s="3">
        <v>680</v>
      </c>
      <c r="E473" s="3">
        <v>95</v>
      </c>
      <c r="F473" s="3" t="str">
        <f t="shared" si="7"/>
        <v>FGU620144.568095</v>
      </c>
      <c r="G473" t="str">
        <f>IF(ISNA(VLOOKUP($F473,'Raw Data'!$A:$M,7,0)),"",VLOOKUP($F473,'Raw Data'!$A:$M,7,0))</f>
        <v/>
      </c>
      <c r="H473" t="str">
        <f>IF(ISNA(VLOOKUP($F473,'Raw Data'!$A:$M,8,0)),"",VLOOKUP($F473,'Raw Data'!$A:$M,8,0))</f>
        <v/>
      </c>
      <c r="I473" t="str">
        <f>IF(ISNA(VLOOKUP($F473,'Raw Data'!$A:$M,9,0)),"",VLOOKUP($F473,'Raw Data'!$A:$M,9,0))</f>
        <v/>
      </c>
      <c r="J473" t="str">
        <f>IF(ISNA(VLOOKUP($F473,'Raw Data'!$A:$M,10,0)),"",VLOOKUP($F473,'Raw Data'!$A:$M,10,0))</f>
        <v/>
      </c>
      <c r="K473" t="str">
        <f>IF(ISNA(VLOOKUP($F473,'Raw Data'!$A:$M,11,0)),"",VLOOKUP($F473,'Raw Data'!$A:$M,11,0))</f>
        <v/>
      </c>
      <c r="L473" t="str">
        <f>IF(ISNA(VLOOKUP($F473,'Raw Data'!$A:$M,12,0)),"",VLOOKUP($F473,'Raw Data'!$A:$M,12,0))</f>
        <v/>
      </c>
      <c r="M473" t="str">
        <f>IF(ISNA(VLOOKUP($F473,'Raw Data'!$A:$M,13,0)),"",VLOOKUP($F473,'Raw Data'!$A:$M,13,0))</f>
        <v/>
      </c>
    </row>
    <row r="474" spans="1:13" x14ac:dyDescent="0.25">
      <c r="A474" t="s">
        <v>37</v>
      </c>
      <c r="B474">
        <v>2014</v>
      </c>
      <c r="C474">
        <v>4.5</v>
      </c>
      <c r="D474" s="3">
        <v>700</v>
      </c>
      <c r="E474" s="3">
        <v>95</v>
      </c>
      <c r="F474" s="3" t="str">
        <f t="shared" si="7"/>
        <v>FGU620144.570095</v>
      </c>
      <c r="G474" t="str">
        <f>IF(ISNA(VLOOKUP($F474,'Raw Data'!$A:$M,7,0)),"",VLOOKUP($F474,'Raw Data'!$A:$M,7,0))</f>
        <v/>
      </c>
      <c r="H474" t="str">
        <f>IF(ISNA(VLOOKUP($F474,'Raw Data'!$A:$M,8,0)),"",VLOOKUP($F474,'Raw Data'!$A:$M,8,0))</f>
        <v/>
      </c>
      <c r="I474" t="str">
        <f>IF(ISNA(VLOOKUP($F474,'Raw Data'!$A:$M,9,0)),"",VLOOKUP($F474,'Raw Data'!$A:$M,9,0))</f>
        <v/>
      </c>
      <c r="J474" t="str">
        <f>IF(ISNA(VLOOKUP($F474,'Raw Data'!$A:$M,10,0)),"",VLOOKUP($F474,'Raw Data'!$A:$M,10,0))</f>
        <v/>
      </c>
      <c r="K474" t="str">
        <f>IF(ISNA(VLOOKUP($F474,'Raw Data'!$A:$M,11,0)),"",VLOOKUP($F474,'Raw Data'!$A:$M,11,0))</f>
        <v/>
      </c>
      <c r="L474" t="str">
        <f>IF(ISNA(VLOOKUP($F474,'Raw Data'!$A:$M,12,0)),"",VLOOKUP($F474,'Raw Data'!$A:$M,12,0))</f>
        <v/>
      </c>
      <c r="M474" t="str">
        <f>IF(ISNA(VLOOKUP($F474,'Raw Data'!$A:$M,13,0)),"",VLOOKUP($F474,'Raw Data'!$A:$M,13,0))</f>
        <v/>
      </c>
    </row>
    <row r="475" spans="1:13" x14ac:dyDescent="0.25">
      <c r="A475" t="s">
        <v>37</v>
      </c>
      <c r="B475">
        <v>2014</v>
      </c>
      <c r="C475">
        <v>4.5</v>
      </c>
      <c r="D475" s="3">
        <v>720</v>
      </c>
      <c r="E475" s="3">
        <v>95</v>
      </c>
      <c r="F475" s="3" t="str">
        <f t="shared" si="7"/>
        <v>FGU620144.572095</v>
      </c>
      <c r="G475" t="str">
        <f>IF(ISNA(VLOOKUP($F475,'Raw Data'!$A:$M,7,0)),"",VLOOKUP($F475,'Raw Data'!$A:$M,7,0))</f>
        <v/>
      </c>
      <c r="H475" t="str">
        <f>IF(ISNA(VLOOKUP($F475,'Raw Data'!$A:$M,8,0)),"",VLOOKUP($F475,'Raw Data'!$A:$M,8,0))</f>
        <v/>
      </c>
      <c r="I475" t="str">
        <f>IF(ISNA(VLOOKUP($F475,'Raw Data'!$A:$M,9,0)),"",VLOOKUP($F475,'Raw Data'!$A:$M,9,0))</f>
        <v/>
      </c>
      <c r="J475" t="str">
        <f>IF(ISNA(VLOOKUP($F475,'Raw Data'!$A:$M,10,0)),"",VLOOKUP($F475,'Raw Data'!$A:$M,10,0))</f>
        <v/>
      </c>
      <c r="K475" t="str">
        <f>IF(ISNA(VLOOKUP($F475,'Raw Data'!$A:$M,11,0)),"",VLOOKUP($F475,'Raw Data'!$A:$M,11,0))</f>
        <v/>
      </c>
      <c r="L475" t="str">
        <f>IF(ISNA(VLOOKUP($F475,'Raw Data'!$A:$M,12,0)),"",VLOOKUP($F475,'Raw Data'!$A:$M,12,0))</f>
        <v/>
      </c>
      <c r="M475" t="str">
        <f>IF(ISNA(VLOOKUP($F475,'Raw Data'!$A:$M,13,0)),"",VLOOKUP($F475,'Raw Data'!$A:$M,13,0))</f>
        <v/>
      </c>
    </row>
    <row r="476" spans="1:13" x14ac:dyDescent="0.25">
      <c r="A476" t="s">
        <v>37</v>
      </c>
      <c r="B476">
        <v>2014</v>
      </c>
      <c r="C476">
        <v>4.5</v>
      </c>
      <c r="D476" s="3">
        <v>740</v>
      </c>
      <c r="E476" s="3">
        <v>95</v>
      </c>
      <c r="F476" s="3" t="str">
        <f t="shared" si="7"/>
        <v>FGU620144.574095</v>
      </c>
      <c r="G476">
        <f>IF(ISNA(VLOOKUP($F476,'Raw Data'!$A:$M,7,0)),"",VLOOKUP($F476,'Raw Data'!$A:$M,7,0))</f>
        <v>1409861.12</v>
      </c>
      <c r="H476">
        <f>IF(ISNA(VLOOKUP($F476,'Raw Data'!$A:$M,8,0)),"",VLOOKUP($F476,'Raw Data'!$A:$M,8,0))</f>
        <v>-0.6361</v>
      </c>
      <c r="I476">
        <f>IF(ISNA(VLOOKUP($F476,'Raw Data'!$A:$M,9,0)),"",VLOOKUP($F476,'Raw Data'!$A:$M,9,0))</f>
        <v>24.360800000000001</v>
      </c>
      <c r="J476">
        <f>IF(ISNA(VLOOKUP($F476,'Raw Data'!$A:$M,10,0)),"",VLOOKUP($F476,'Raw Data'!$A:$M,10,0))</f>
        <v>24.9969</v>
      </c>
      <c r="K476">
        <f>IF(ISNA(VLOOKUP($F476,'Raw Data'!$A:$M,11,0)),"",VLOOKUP($F476,'Raw Data'!$A:$M,11,0))</f>
        <v>20.8536</v>
      </c>
      <c r="L476">
        <f>IF(ISNA(VLOOKUP($F476,'Raw Data'!$A:$M,12,0)),"",VLOOKUP($F476,'Raw Data'!$A:$M,12,0))</f>
        <v>30.807500000000001</v>
      </c>
      <c r="M476">
        <f>IF(ISNA(VLOOKUP($F476,'Raw Data'!$A:$M,13,0)),"",VLOOKUP($F476,'Raw Data'!$A:$M,13,0))</f>
        <v>9.9539000000000009</v>
      </c>
    </row>
    <row r="477" spans="1:13" x14ac:dyDescent="0.25">
      <c r="A477" t="s">
        <v>37</v>
      </c>
      <c r="B477">
        <v>2014</v>
      </c>
      <c r="C477">
        <v>4.5</v>
      </c>
      <c r="D477" s="3">
        <v>760</v>
      </c>
      <c r="E477" s="3">
        <v>95</v>
      </c>
      <c r="F477" s="3" t="str">
        <f t="shared" si="7"/>
        <v>FGU620144.576095</v>
      </c>
      <c r="G477" t="str">
        <f>IF(ISNA(VLOOKUP($F477,'Raw Data'!$A:$M,7,0)),"",VLOOKUP($F477,'Raw Data'!$A:$M,7,0))</f>
        <v/>
      </c>
      <c r="H477" t="str">
        <f>IF(ISNA(VLOOKUP($F477,'Raw Data'!$A:$M,8,0)),"",VLOOKUP($F477,'Raw Data'!$A:$M,8,0))</f>
        <v/>
      </c>
      <c r="I477" t="str">
        <f>IF(ISNA(VLOOKUP($F477,'Raw Data'!$A:$M,9,0)),"",VLOOKUP($F477,'Raw Data'!$A:$M,9,0))</f>
        <v/>
      </c>
      <c r="J477" t="str">
        <f>IF(ISNA(VLOOKUP($F477,'Raw Data'!$A:$M,10,0)),"",VLOOKUP($F477,'Raw Data'!$A:$M,10,0))</f>
        <v/>
      </c>
      <c r="K477" t="str">
        <f>IF(ISNA(VLOOKUP($F477,'Raw Data'!$A:$M,11,0)),"",VLOOKUP($F477,'Raw Data'!$A:$M,11,0))</f>
        <v/>
      </c>
      <c r="L477" t="str">
        <f>IF(ISNA(VLOOKUP($F477,'Raw Data'!$A:$M,12,0)),"",VLOOKUP($F477,'Raw Data'!$A:$M,12,0))</f>
        <v/>
      </c>
      <c r="M477" t="str">
        <f>IF(ISNA(VLOOKUP($F477,'Raw Data'!$A:$M,13,0)),"",VLOOKUP($F477,'Raw Data'!$A:$M,13,0))</f>
        <v/>
      </c>
    </row>
    <row r="478" spans="1:13" x14ac:dyDescent="0.25">
      <c r="A478" t="s">
        <v>37</v>
      </c>
      <c r="B478">
        <v>2014</v>
      </c>
      <c r="C478">
        <v>4.5</v>
      </c>
      <c r="D478" s="3">
        <v>780</v>
      </c>
      <c r="E478" s="3">
        <v>95</v>
      </c>
      <c r="F478" s="3" t="str">
        <f t="shared" si="7"/>
        <v>FGU620144.578095</v>
      </c>
      <c r="G478" t="str">
        <f>IF(ISNA(VLOOKUP($F478,'Raw Data'!$A:$M,7,0)),"",VLOOKUP($F478,'Raw Data'!$A:$M,7,0))</f>
        <v/>
      </c>
      <c r="H478" t="str">
        <f>IF(ISNA(VLOOKUP($F478,'Raw Data'!$A:$M,8,0)),"",VLOOKUP($F478,'Raw Data'!$A:$M,8,0))</f>
        <v/>
      </c>
      <c r="I478" t="str">
        <f>IF(ISNA(VLOOKUP($F478,'Raw Data'!$A:$M,9,0)),"",VLOOKUP($F478,'Raw Data'!$A:$M,9,0))</f>
        <v/>
      </c>
      <c r="J478" t="str">
        <f>IF(ISNA(VLOOKUP($F478,'Raw Data'!$A:$M,10,0)),"",VLOOKUP($F478,'Raw Data'!$A:$M,10,0))</f>
        <v/>
      </c>
      <c r="K478" t="str">
        <f>IF(ISNA(VLOOKUP($F478,'Raw Data'!$A:$M,11,0)),"",VLOOKUP($F478,'Raw Data'!$A:$M,11,0))</f>
        <v/>
      </c>
      <c r="L478" t="str">
        <f>IF(ISNA(VLOOKUP($F478,'Raw Data'!$A:$M,12,0)),"",VLOOKUP($F478,'Raw Data'!$A:$M,12,0))</f>
        <v/>
      </c>
      <c r="M478" t="str">
        <f>IF(ISNA(VLOOKUP($F478,'Raw Data'!$A:$M,13,0)),"",VLOOKUP($F478,'Raw Data'!$A:$M,13,0))</f>
        <v/>
      </c>
    </row>
    <row r="479" spans="1:13" x14ac:dyDescent="0.25">
      <c r="A479" t="s">
        <v>37</v>
      </c>
      <c r="B479">
        <v>2014</v>
      </c>
      <c r="C479">
        <v>4.5</v>
      </c>
      <c r="D479" s="3">
        <v>620</v>
      </c>
      <c r="E479" s="3">
        <v>97</v>
      </c>
      <c r="F479" s="3" t="str">
        <f t="shared" si="7"/>
        <v>FGU620144.562097</v>
      </c>
      <c r="G479" t="str">
        <f>IF(ISNA(VLOOKUP($F479,'Raw Data'!$A:$M,7,0)),"",VLOOKUP($F479,'Raw Data'!$A:$M,7,0))</f>
        <v/>
      </c>
      <c r="H479" t="str">
        <f>IF(ISNA(VLOOKUP($F479,'Raw Data'!$A:$M,8,0)),"",VLOOKUP($F479,'Raw Data'!$A:$M,8,0))</f>
        <v/>
      </c>
      <c r="I479" t="str">
        <f>IF(ISNA(VLOOKUP($F479,'Raw Data'!$A:$M,9,0)),"",VLOOKUP($F479,'Raw Data'!$A:$M,9,0))</f>
        <v/>
      </c>
      <c r="J479" t="str">
        <f>IF(ISNA(VLOOKUP($F479,'Raw Data'!$A:$M,10,0)),"",VLOOKUP($F479,'Raw Data'!$A:$M,10,0))</f>
        <v/>
      </c>
      <c r="K479" t="str">
        <f>IF(ISNA(VLOOKUP($F479,'Raw Data'!$A:$M,11,0)),"",VLOOKUP($F479,'Raw Data'!$A:$M,11,0))</f>
        <v/>
      </c>
      <c r="L479" t="str">
        <f>IF(ISNA(VLOOKUP($F479,'Raw Data'!$A:$M,12,0)),"",VLOOKUP($F479,'Raw Data'!$A:$M,12,0))</f>
        <v/>
      </c>
      <c r="M479" t="str">
        <f>IF(ISNA(VLOOKUP($F479,'Raw Data'!$A:$M,13,0)),"",VLOOKUP($F479,'Raw Data'!$A:$M,13,0))</f>
        <v/>
      </c>
    </row>
    <row r="480" spans="1:13" x14ac:dyDescent="0.25">
      <c r="A480" t="s">
        <v>37</v>
      </c>
      <c r="B480">
        <v>2014</v>
      </c>
      <c r="C480">
        <v>4.5</v>
      </c>
      <c r="D480" s="3">
        <v>640</v>
      </c>
      <c r="E480" s="3">
        <v>97</v>
      </c>
      <c r="F480" s="3" t="str">
        <f t="shared" si="7"/>
        <v>FGU620144.564097</v>
      </c>
      <c r="G480" t="str">
        <f>IF(ISNA(VLOOKUP($F480,'Raw Data'!$A:$M,7,0)),"",VLOOKUP($F480,'Raw Data'!$A:$M,7,0))</f>
        <v/>
      </c>
      <c r="H480" t="str">
        <f>IF(ISNA(VLOOKUP($F480,'Raw Data'!$A:$M,8,0)),"",VLOOKUP($F480,'Raw Data'!$A:$M,8,0))</f>
        <v/>
      </c>
      <c r="I480" t="str">
        <f>IF(ISNA(VLOOKUP($F480,'Raw Data'!$A:$M,9,0)),"",VLOOKUP($F480,'Raw Data'!$A:$M,9,0))</f>
        <v/>
      </c>
      <c r="J480" t="str">
        <f>IF(ISNA(VLOOKUP($F480,'Raw Data'!$A:$M,10,0)),"",VLOOKUP($F480,'Raw Data'!$A:$M,10,0))</f>
        <v/>
      </c>
      <c r="K480" t="str">
        <f>IF(ISNA(VLOOKUP($F480,'Raw Data'!$A:$M,11,0)),"",VLOOKUP($F480,'Raw Data'!$A:$M,11,0))</f>
        <v/>
      </c>
      <c r="L480" t="str">
        <f>IF(ISNA(VLOOKUP($F480,'Raw Data'!$A:$M,12,0)),"",VLOOKUP($F480,'Raw Data'!$A:$M,12,0))</f>
        <v/>
      </c>
      <c r="M480" t="str">
        <f>IF(ISNA(VLOOKUP($F480,'Raw Data'!$A:$M,13,0)),"",VLOOKUP($F480,'Raw Data'!$A:$M,13,0))</f>
        <v/>
      </c>
    </row>
    <row r="481" spans="1:13" x14ac:dyDescent="0.25">
      <c r="A481" t="s">
        <v>37</v>
      </c>
      <c r="B481">
        <v>2014</v>
      </c>
      <c r="C481">
        <v>4.5</v>
      </c>
      <c r="D481" s="3">
        <v>660</v>
      </c>
      <c r="E481" s="3">
        <v>97</v>
      </c>
      <c r="F481" s="3" t="str">
        <f t="shared" si="7"/>
        <v>FGU620144.566097</v>
      </c>
      <c r="G481" t="str">
        <f>IF(ISNA(VLOOKUP($F481,'Raw Data'!$A:$M,7,0)),"",VLOOKUP($F481,'Raw Data'!$A:$M,7,0))</f>
        <v/>
      </c>
      <c r="H481" t="str">
        <f>IF(ISNA(VLOOKUP($F481,'Raw Data'!$A:$M,8,0)),"",VLOOKUP($F481,'Raw Data'!$A:$M,8,0))</f>
        <v/>
      </c>
      <c r="I481" t="str">
        <f>IF(ISNA(VLOOKUP($F481,'Raw Data'!$A:$M,9,0)),"",VLOOKUP($F481,'Raw Data'!$A:$M,9,0))</f>
        <v/>
      </c>
      <c r="J481" t="str">
        <f>IF(ISNA(VLOOKUP($F481,'Raw Data'!$A:$M,10,0)),"",VLOOKUP($F481,'Raw Data'!$A:$M,10,0))</f>
        <v/>
      </c>
      <c r="K481" t="str">
        <f>IF(ISNA(VLOOKUP($F481,'Raw Data'!$A:$M,11,0)),"",VLOOKUP($F481,'Raw Data'!$A:$M,11,0))</f>
        <v/>
      </c>
      <c r="L481" t="str">
        <f>IF(ISNA(VLOOKUP($F481,'Raw Data'!$A:$M,12,0)),"",VLOOKUP($F481,'Raw Data'!$A:$M,12,0))</f>
        <v/>
      </c>
      <c r="M481" t="str">
        <f>IF(ISNA(VLOOKUP($F481,'Raw Data'!$A:$M,13,0)),"",VLOOKUP($F481,'Raw Data'!$A:$M,13,0))</f>
        <v/>
      </c>
    </row>
    <row r="482" spans="1:13" x14ac:dyDescent="0.25">
      <c r="A482" t="s">
        <v>37</v>
      </c>
      <c r="B482">
        <v>2014</v>
      </c>
      <c r="C482">
        <v>4.5</v>
      </c>
      <c r="D482" s="3">
        <v>680</v>
      </c>
      <c r="E482" s="3">
        <v>97</v>
      </c>
      <c r="F482" s="3" t="str">
        <f t="shared" si="7"/>
        <v>FGU620144.568097</v>
      </c>
      <c r="G482" t="str">
        <f>IF(ISNA(VLOOKUP($F482,'Raw Data'!$A:$M,7,0)),"",VLOOKUP($F482,'Raw Data'!$A:$M,7,0))</f>
        <v/>
      </c>
      <c r="H482" t="str">
        <f>IF(ISNA(VLOOKUP($F482,'Raw Data'!$A:$M,8,0)),"",VLOOKUP($F482,'Raw Data'!$A:$M,8,0))</f>
        <v/>
      </c>
      <c r="I482" t="str">
        <f>IF(ISNA(VLOOKUP($F482,'Raw Data'!$A:$M,9,0)),"",VLOOKUP($F482,'Raw Data'!$A:$M,9,0))</f>
        <v/>
      </c>
      <c r="J482" t="str">
        <f>IF(ISNA(VLOOKUP($F482,'Raw Data'!$A:$M,10,0)),"",VLOOKUP($F482,'Raw Data'!$A:$M,10,0))</f>
        <v/>
      </c>
      <c r="K482" t="str">
        <f>IF(ISNA(VLOOKUP($F482,'Raw Data'!$A:$M,11,0)),"",VLOOKUP($F482,'Raw Data'!$A:$M,11,0))</f>
        <v/>
      </c>
      <c r="L482" t="str">
        <f>IF(ISNA(VLOOKUP($F482,'Raw Data'!$A:$M,12,0)),"",VLOOKUP($F482,'Raw Data'!$A:$M,12,0))</f>
        <v/>
      </c>
      <c r="M482" t="str">
        <f>IF(ISNA(VLOOKUP($F482,'Raw Data'!$A:$M,13,0)),"",VLOOKUP($F482,'Raw Data'!$A:$M,13,0))</f>
        <v/>
      </c>
    </row>
    <row r="483" spans="1:13" x14ac:dyDescent="0.25">
      <c r="A483" t="s">
        <v>37</v>
      </c>
      <c r="B483">
        <v>2014</v>
      </c>
      <c r="C483">
        <v>4.5</v>
      </c>
      <c r="D483" s="3">
        <v>700</v>
      </c>
      <c r="E483" s="3">
        <v>97</v>
      </c>
      <c r="F483" s="3" t="str">
        <f t="shared" si="7"/>
        <v>FGU620144.570097</v>
      </c>
      <c r="G483" t="str">
        <f>IF(ISNA(VLOOKUP($F483,'Raw Data'!$A:$M,7,0)),"",VLOOKUP($F483,'Raw Data'!$A:$M,7,0))</f>
        <v/>
      </c>
      <c r="H483" t="str">
        <f>IF(ISNA(VLOOKUP($F483,'Raw Data'!$A:$M,8,0)),"",VLOOKUP($F483,'Raw Data'!$A:$M,8,0))</f>
        <v/>
      </c>
      <c r="I483" t="str">
        <f>IF(ISNA(VLOOKUP($F483,'Raw Data'!$A:$M,9,0)),"",VLOOKUP($F483,'Raw Data'!$A:$M,9,0))</f>
        <v/>
      </c>
      <c r="J483" t="str">
        <f>IF(ISNA(VLOOKUP($F483,'Raw Data'!$A:$M,10,0)),"",VLOOKUP($F483,'Raw Data'!$A:$M,10,0))</f>
        <v/>
      </c>
      <c r="K483" t="str">
        <f>IF(ISNA(VLOOKUP($F483,'Raw Data'!$A:$M,11,0)),"",VLOOKUP($F483,'Raw Data'!$A:$M,11,0))</f>
        <v/>
      </c>
      <c r="L483" t="str">
        <f>IF(ISNA(VLOOKUP($F483,'Raw Data'!$A:$M,12,0)),"",VLOOKUP($F483,'Raw Data'!$A:$M,12,0))</f>
        <v/>
      </c>
      <c r="M483" t="str">
        <f>IF(ISNA(VLOOKUP($F483,'Raw Data'!$A:$M,13,0)),"",VLOOKUP($F483,'Raw Data'!$A:$M,13,0))</f>
        <v/>
      </c>
    </row>
    <row r="484" spans="1:13" x14ac:dyDescent="0.25">
      <c r="A484" t="s">
        <v>37</v>
      </c>
      <c r="B484">
        <v>2014</v>
      </c>
      <c r="C484">
        <v>4.5</v>
      </c>
      <c r="D484" s="3">
        <v>720</v>
      </c>
      <c r="E484" s="3">
        <v>97</v>
      </c>
      <c r="F484" s="3" t="str">
        <f t="shared" si="7"/>
        <v>FGU620144.572097</v>
      </c>
      <c r="G484" t="str">
        <f>IF(ISNA(VLOOKUP($F484,'Raw Data'!$A:$M,7,0)),"",VLOOKUP($F484,'Raw Data'!$A:$M,7,0))</f>
        <v/>
      </c>
      <c r="H484" t="str">
        <f>IF(ISNA(VLOOKUP($F484,'Raw Data'!$A:$M,8,0)),"",VLOOKUP($F484,'Raw Data'!$A:$M,8,0))</f>
        <v/>
      </c>
      <c r="I484" t="str">
        <f>IF(ISNA(VLOOKUP($F484,'Raw Data'!$A:$M,9,0)),"",VLOOKUP($F484,'Raw Data'!$A:$M,9,0))</f>
        <v/>
      </c>
      <c r="J484" t="str">
        <f>IF(ISNA(VLOOKUP($F484,'Raw Data'!$A:$M,10,0)),"",VLOOKUP($F484,'Raw Data'!$A:$M,10,0))</f>
        <v/>
      </c>
      <c r="K484" t="str">
        <f>IF(ISNA(VLOOKUP($F484,'Raw Data'!$A:$M,11,0)),"",VLOOKUP($F484,'Raw Data'!$A:$M,11,0))</f>
        <v/>
      </c>
      <c r="L484" t="str">
        <f>IF(ISNA(VLOOKUP($F484,'Raw Data'!$A:$M,12,0)),"",VLOOKUP($F484,'Raw Data'!$A:$M,12,0))</f>
        <v/>
      </c>
      <c r="M484" t="str">
        <f>IF(ISNA(VLOOKUP($F484,'Raw Data'!$A:$M,13,0)),"",VLOOKUP($F484,'Raw Data'!$A:$M,13,0))</f>
        <v/>
      </c>
    </row>
    <row r="485" spans="1:13" x14ac:dyDescent="0.25">
      <c r="A485" t="s">
        <v>37</v>
      </c>
      <c r="B485">
        <v>2014</v>
      </c>
      <c r="C485">
        <v>4.5</v>
      </c>
      <c r="D485" s="3">
        <v>740</v>
      </c>
      <c r="E485" s="3">
        <v>97</v>
      </c>
      <c r="F485" s="3" t="str">
        <f t="shared" si="7"/>
        <v>FGU620144.574097</v>
      </c>
      <c r="G485" t="str">
        <f>IF(ISNA(VLOOKUP($F485,'Raw Data'!$A:$M,7,0)),"",VLOOKUP($F485,'Raw Data'!$A:$M,7,0))</f>
        <v/>
      </c>
      <c r="H485" t="str">
        <f>IF(ISNA(VLOOKUP($F485,'Raw Data'!$A:$M,8,0)),"",VLOOKUP($F485,'Raw Data'!$A:$M,8,0))</f>
        <v/>
      </c>
      <c r="I485" t="str">
        <f>IF(ISNA(VLOOKUP($F485,'Raw Data'!$A:$M,9,0)),"",VLOOKUP($F485,'Raw Data'!$A:$M,9,0))</f>
        <v/>
      </c>
      <c r="J485" t="str">
        <f>IF(ISNA(VLOOKUP($F485,'Raw Data'!$A:$M,10,0)),"",VLOOKUP($F485,'Raw Data'!$A:$M,10,0))</f>
        <v/>
      </c>
      <c r="K485" t="str">
        <f>IF(ISNA(VLOOKUP($F485,'Raw Data'!$A:$M,11,0)),"",VLOOKUP($F485,'Raw Data'!$A:$M,11,0))</f>
        <v/>
      </c>
      <c r="L485" t="str">
        <f>IF(ISNA(VLOOKUP($F485,'Raw Data'!$A:$M,12,0)),"",VLOOKUP($F485,'Raw Data'!$A:$M,12,0))</f>
        <v/>
      </c>
      <c r="M485" t="str">
        <f>IF(ISNA(VLOOKUP($F485,'Raw Data'!$A:$M,13,0)),"",VLOOKUP($F485,'Raw Data'!$A:$M,13,0))</f>
        <v/>
      </c>
    </row>
    <row r="486" spans="1:13" x14ac:dyDescent="0.25">
      <c r="A486" t="s">
        <v>37</v>
      </c>
      <c r="B486">
        <v>2014</v>
      </c>
      <c r="C486">
        <v>4.5</v>
      </c>
      <c r="D486" s="3">
        <v>760</v>
      </c>
      <c r="E486" s="3">
        <v>97</v>
      </c>
      <c r="F486" s="3" t="str">
        <f t="shared" si="7"/>
        <v>FGU620144.576097</v>
      </c>
      <c r="G486" t="str">
        <f>IF(ISNA(VLOOKUP($F486,'Raw Data'!$A:$M,7,0)),"",VLOOKUP($F486,'Raw Data'!$A:$M,7,0))</f>
        <v/>
      </c>
      <c r="H486" t="str">
        <f>IF(ISNA(VLOOKUP($F486,'Raw Data'!$A:$M,8,0)),"",VLOOKUP($F486,'Raw Data'!$A:$M,8,0))</f>
        <v/>
      </c>
      <c r="I486" t="str">
        <f>IF(ISNA(VLOOKUP($F486,'Raw Data'!$A:$M,9,0)),"",VLOOKUP($F486,'Raw Data'!$A:$M,9,0))</f>
        <v/>
      </c>
      <c r="J486" t="str">
        <f>IF(ISNA(VLOOKUP($F486,'Raw Data'!$A:$M,10,0)),"",VLOOKUP($F486,'Raw Data'!$A:$M,10,0))</f>
        <v/>
      </c>
      <c r="K486" t="str">
        <f>IF(ISNA(VLOOKUP($F486,'Raw Data'!$A:$M,11,0)),"",VLOOKUP($F486,'Raw Data'!$A:$M,11,0))</f>
        <v/>
      </c>
      <c r="L486" t="str">
        <f>IF(ISNA(VLOOKUP($F486,'Raw Data'!$A:$M,12,0)),"",VLOOKUP($F486,'Raw Data'!$A:$M,12,0))</f>
        <v/>
      </c>
      <c r="M486" t="str">
        <f>IF(ISNA(VLOOKUP($F486,'Raw Data'!$A:$M,13,0)),"",VLOOKUP($F486,'Raw Data'!$A:$M,13,0))</f>
        <v/>
      </c>
    </row>
    <row r="487" spans="1:13" x14ac:dyDescent="0.25">
      <c r="A487" t="s">
        <v>37</v>
      </c>
      <c r="B487">
        <v>2014</v>
      </c>
      <c r="C487">
        <v>4.5</v>
      </c>
      <c r="D487" s="3">
        <v>780</v>
      </c>
      <c r="E487" s="3">
        <v>97</v>
      </c>
      <c r="F487" s="3" t="str">
        <f t="shared" si="7"/>
        <v>FGU620144.578097</v>
      </c>
      <c r="G487" t="str">
        <f>IF(ISNA(VLOOKUP($F487,'Raw Data'!$A:$M,7,0)),"",VLOOKUP($F487,'Raw Data'!$A:$M,7,0))</f>
        <v/>
      </c>
      <c r="H487" t="str">
        <f>IF(ISNA(VLOOKUP($F487,'Raw Data'!$A:$M,8,0)),"",VLOOKUP($F487,'Raw Data'!$A:$M,8,0))</f>
        <v/>
      </c>
      <c r="I487" t="str">
        <f>IF(ISNA(VLOOKUP($F487,'Raw Data'!$A:$M,9,0)),"",VLOOKUP($F487,'Raw Data'!$A:$M,9,0))</f>
        <v/>
      </c>
      <c r="J487" t="str">
        <f>IF(ISNA(VLOOKUP($F487,'Raw Data'!$A:$M,10,0)),"",VLOOKUP($F487,'Raw Data'!$A:$M,10,0))</f>
        <v/>
      </c>
      <c r="K487" t="str">
        <f>IF(ISNA(VLOOKUP($F487,'Raw Data'!$A:$M,11,0)),"",VLOOKUP($F487,'Raw Data'!$A:$M,11,0))</f>
        <v/>
      </c>
      <c r="L487" t="str">
        <f>IF(ISNA(VLOOKUP($F487,'Raw Data'!$A:$M,12,0)),"",VLOOKUP($F487,'Raw Data'!$A:$M,12,0))</f>
        <v/>
      </c>
      <c r="M487" t="str">
        <f>IF(ISNA(VLOOKUP($F487,'Raw Data'!$A:$M,13,0)),"",VLOOKUP($F487,'Raw Data'!$A:$M,13,0))</f>
        <v/>
      </c>
    </row>
    <row r="488" spans="1:13" x14ac:dyDescent="0.25">
      <c r="A488" t="s">
        <v>37</v>
      </c>
      <c r="B488">
        <v>2014</v>
      </c>
      <c r="C488">
        <v>4.5</v>
      </c>
      <c r="D488" s="3">
        <v>620</v>
      </c>
      <c r="E488" s="3">
        <v>100</v>
      </c>
      <c r="F488" s="3" t="str">
        <f t="shared" si="7"/>
        <v>FGU620144.5620100</v>
      </c>
      <c r="G488" t="str">
        <f>IF(ISNA(VLOOKUP($F488,'Raw Data'!$A:$M,7,0)),"",VLOOKUP($F488,'Raw Data'!$A:$M,7,0))</f>
        <v/>
      </c>
      <c r="H488" t="str">
        <f>IF(ISNA(VLOOKUP($F488,'Raw Data'!$A:$M,8,0)),"",VLOOKUP($F488,'Raw Data'!$A:$M,8,0))</f>
        <v/>
      </c>
      <c r="I488" t="str">
        <f>IF(ISNA(VLOOKUP($F488,'Raw Data'!$A:$M,9,0)),"",VLOOKUP($F488,'Raw Data'!$A:$M,9,0))</f>
        <v/>
      </c>
      <c r="J488" t="str">
        <f>IF(ISNA(VLOOKUP($F488,'Raw Data'!$A:$M,10,0)),"",VLOOKUP($F488,'Raw Data'!$A:$M,10,0))</f>
        <v/>
      </c>
      <c r="K488" t="str">
        <f>IF(ISNA(VLOOKUP($F488,'Raw Data'!$A:$M,11,0)),"",VLOOKUP($F488,'Raw Data'!$A:$M,11,0))</f>
        <v/>
      </c>
      <c r="L488" t="str">
        <f>IF(ISNA(VLOOKUP($F488,'Raw Data'!$A:$M,12,0)),"",VLOOKUP($F488,'Raw Data'!$A:$M,12,0))</f>
        <v/>
      </c>
      <c r="M488" t="str">
        <f>IF(ISNA(VLOOKUP($F488,'Raw Data'!$A:$M,13,0)),"",VLOOKUP($F488,'Raw Data'!$A:$M,13,0))</f>
        <v/>
      </c>
    </row>
    <row r="489" spans="1:13" x14ac:dyDescent="0.25">
      <c r="A489" t="s">
        <v>37</v>
      </c>
      <c r="B489">
        <v>2014</v>
      </c>
      <c r="C489">
        <v>4.5</v>
      </c>
      <c r="D489" s="3">
        <v>640</v>
      </c>
      <c r="E489" s="3">
        <v>100</v>
      </c>
      <c r="F489" s="3" t="str">
        <f t="shared" si="7"/>
        <v>FGU620144.5640100</v>
      </c>
      <c r="G489" t="str">
        <f>IF(ISNA(VLOOKUP($F489,'Raw Data'!$A:$M,7,0)),"",VLOOKUP($F489,'Raw Data'!$A:$M,7,0))</f>
        <v/>
      </c>
      <c r="H489" t="str">
        <f>IF(ISNA(VLOOKUP($F489,'Raw Data'!$A:$M,8,0)),"",VLOOKUP($F489,'Raw Data'!$A:$M,8,0))</f>
        <v/>
      </c>
      <c r="I489" t="str">
        <f>IF(ISNA(VLOOKUP($F489,'Raw Data'!$A:$M,9,0)),"",VLOOKUP($F489,'Raw Data'!$A:$M,9,0))</f>
        <v/>
      </c>
      <c r="J489" t="str">
        <f>IF(ISNA(VLOOKUP($F489,'Raw Data'!$A:$M,10,0)),"",VLOOKUP($F489,'Raw Data'!$A:$M,10,0))</f>
        <v/>
      </c>
      <c r="K489" t="str">
        <f>IF(ISNA(VLOOKUP($F489,'Raw Data'!$A:$M,11,0)),"",VLOOKUP($F489,'Raw Data'!$A:$M,11,0))</f>
        <v/>
      </c>
      <c r="L489" t="str">
        <f>IF(ISNA(VLOOKUP($F489,'Raw Data'!$A:$M,12,0)),"",VLOOKUP($F489,'Raw Data'!$A:$M,12,0))</f>
        <v/>
      </c>
      <c r="M489" t="str">
        <f>IF(ISNA(VLOOKUP($F489,'Raw Data'!$A:$M,13,0)),"",VLOOKUP($F489,'Raw Data'!$A:$M,13,0))</f>
        <v/>
      </c>
    </row>
    <row r="490" spans="1:13" x14ac:dyDescent="0.25">
      <c r="A490" t="s">
        <v>37</v>
      </c>
      <c r="B490">
        <v>2014</v>
      </c>
      <c r="C490">
        <v>4.5</v>
      </c>
      <c r="D490" s="3">
        <v>660</v>
      </c>
      <c r="E490" s="3">
        <v>100</v>
      </c>
      <c r="F490" s="3" t="str">
        <f t="shared" si="7"/>
        <v>FGU620144.5660100</v>
      </c>
      <c r="G490" t="str">
        <f>IF(ISNA(VLOOKUP($F490,'Raw Data'!$A:$M,7,0)),"",VLOOKUP($F490,'Raw Data'!$A:$M,7,0))</f>
        <v/>
      </c>
      <c r="H490" t="str">
        <f>IF(ISNA(VLOOKUP($F490,'Raw Data'!$A:$M,8,0)),"",VLOOKUP($F490,'Raw Data'!$A:$M,8,0))</f>
        <v/>
      </c>
      <c r="I490" t="str">
        <f>IF(ISNA(VLOOKUP($F490,'Raw Data'!$A:$M,9,0)),"",VLOOKUP($F490,'Raw Data'!$A:$M,9,0))</f>
        <v/>
      </c>
      <c r="J490" t="str">
        <f>IF(ISNA(VLOOKUP($F490,'Raw Data'!$A:$M,10,0)),"",VLOOKUP($F490,'Raw Data'!$A:$M,10,0))</f>
        <v/>
      </c>
      <c r="K490" t="str">
        <f>IF(ISNA(VLOOKUP($F490,'Raw Data'!$A:$M,11,0)),"",VLOOKUP($F490,'Raw Data'!$A:$M,11,0))</f>
        <v/>
      </c>
      <c r="L490" t="str">
        <f>IF(ISNA(VLOOKUP($F490,'Raw Data'!$A:$M,12,0)),"",VLOOKUP($F490,'Raw Data'!$A:$M,12,0))</f>
        <v/>
      </c>
      <c r="M490" t="str">
        <f>IF(ISNA(VLOOKUP($F490,'Raw Data'!$A:$M,13,0)),"",VLOOKUP($F490,'Raw Data'!$A:$M,13,0))</f>
        <v/>
      </c>
    </row>
    <row r="491" spans="1:13" x14ac:dyDescent="0.25">
      <c r="A491" t="s">
        <v>37</v>
      </c>
      <c r="B491">
        <v>2014</v>
      </c>
      <c r="C491">
        <v>4.5</v>
      </c>
      <c r="D491" s="3">
        <v>680</v>
      </c>
      <c r="E491" s="3">
        <v>100</v>
      </c>
      <c r="F491" s="3" t="str">
        <f t="shared" si="7"/>
        <v>FGU620144.5680100</v>
      </c>
      <c r="G491" t="str">
        <f>IF(ISNA(VLOOKUP($F491,'Raw Data'!$A:$M,7,0)),"",VLOOKUP($F491,'Raw Data'!$A:$M,7,0))</f>
        <v/>
      </c>
      <c r="H491" t="str">
        <f>IF(ISNA(VLOOKUP($F491,'Raw Data'!$A:$M,8,0)),"",VLOOKUP($F491,'Raw Data'!$A:$M,8,0))</f>
        <v/>
      </c>
      <c r="I491" t="str">
        <f>IF(ISNA(VLOOKUP($F491,'Raw Data'!$A:$M,9,0)),"",VLOOKUP($F491,'Raw Data'!$A:$M,9,0))</f>
        <v/>
      </c>
      <c r="J491" t="str">
        <f>IF(ISNA(VLOOKUP($F491,'Raw Data'!$A:$M,10,0)),"",VLOOKUP($F491,'Raw Data'!$A:$M,10,0))</f>
        <v/>
      </c>
      <c r="K491" t="str">
        <f>IF(ISNA(VLOOKUP($F491,'Raw Data'!$A:$M,11,0)),"",VLOOKUP($F491,'Raw Data'!$A:$M,11,0))</f>
        <v/>
      </c>
      <c r="L491" t="str">
        <f>IF(ISNA(VLOOKUP($F491,'Raw Data'!$A:$M,12,0)),"",VLOOKUP($F491,'Raw Data'!$A:$M,12,0))</f>
        <v/>
      </c>
      <c r="M491" t="str">
        <f>IF(ISNA(VLOOKUP($F491,'Raw Data'!$A:$M,13,0)),"",VLOOKUP($F491,'Raw Data'!$A:$M,13,0))</f>
        <v/>
      </c>
    </row>
    <row r="492" spans="1:13" x14ac:dyDescent="0.25">
      <c r="A492" t="s">
        <v>37</v>
      </c>
      <c r="B492">
        <v>2014</v>
      </c>
      <c r="C492">
        <v>4.5</v>
      </c>
      <c r="D492" s="3">
        <v>700</v>
      </c>
      <c r="E492" s="3">
        <v>100</v>
      </c>
      <c r="F492" s="3" t="str">
        <f t="shared" si="7"/>
        <v>FGU620144.5700100</v>
      </c>
      <c r="G492" t="str">
        <f>IF(ISNA(VLOOKUP($F492,'Raw Data'!$A:$M,7,0)),"",VLOOKUP($F492,'Raw Data'!$A:$M,7,0))</f>
        <v/>
      </c>
      <c r="H492" t="str">
        <f>IF(ISNA(VLOOKUP($F492,'Raw Data'!$A:$M,8,0)),"",VLOOKUP($F492,'Raw Data'!$A:$M,8,0))</f>
        <v/>
      </c>
      <c r="I492" t="str">
        <f>IF(ISNA(VLOOKUP($F492,'Raw Data'!$A:$M,9,0)),"",VLOOKUP($F492,'Raw Data'!$A:$M,9,0))</f>
        <v/>
      </c>
      <c r="J492" t="str">
        <f>IF(ISNA(VLOOKUP($F492,'Raw Data'!$A:$M,10,0)),"",VLOOKUP($F492,'Raw Data'!$A:$M,10,0))</f>
        <v/>
      </c>
      <c r="K492" t="str">
        <f>IF(ISNA(VLOOKUP($F492,'Raw Data'!$A:$M,11,0)),"",VLOOKUP($F492,'Raw Data'!$A:$M,11,0))</f>
        <v/>
      </c>
      <c r="L492" t="str">
        <f>IF(ISNA(VLOOKUP($F492,'Raw Data'!$A:$M,12,0)),"",VLOOKUP($F492,'Raw Data'!$A:$M,12,0))</f>
        <v/>
      </c>
      <c r="M492" t="str">
        <f>IF(ISNA(VLOOKUP($F492,'Raw Data'!$A:$M,13,0)),"",VLOOKUP($F492,'Raw Data'!$A:$M,13,0))</f>
        <v/>
      </c>
    </row>
    <row r="493" spans="1:13" x14ac:dyDescent="0.25">
      <c r="A493" t="s">
        <v>37</v>
      </c>
      <c r="B493">
        <v>2014</v>
      </c>
      <c r="C493">
        <v>4.5</v>
      </c>
      <c r="D493" s="3">
        <v>720</v>
      </c>
      <c r="E493" s="3">
        <v>100</v>
      </c>
      <c r="F493" s="3" t="str">
        <f t="shared" si="7"/>
        <v>FGU620144.5720100</v>
      </c>
      <c r="G493" t="str">
        <f>IF(ISNA(VLOOKUP($F493,'Raw Data'!$A:$M,7,0)),"",VLOOKUP($F493,'Raw Data'!$A:$M,7,0))</f>
        <v/>
      </c>
      <c r="H493" t="str">
        <f>IF(ISNA(VLOOKUP($F493,'Raw Data'!$A:$M,8,0)),"",VLOOKUP($F493,'Raw Data'!$A:$M,8,0))</f>
        <v/>
      </c>
      <c r="I493" t="str">
        <f>IF(ISNA(VLOOKUP($F493,'Raw Data'!$A:$M,9,0)),"",VLOOKUP($F493,'Raw Data'!$A:$M,9,0))</f>
        <v/>
      </c>
      <c r="J493" t="str">
        <f>IF(ISNA(VLOOKUP($F493,'Raw Data'!$A:$M,10,0)),"",VLOOKUP($F493,'Raw Data'!$A:$M,10,0))</f>
        <v/>
      </c>
      <c r="K493" t="str">
        <f>IF(ISNA(VLOOKUP($F493,'Raw Data'!$A:$M,11,0)),"",VLOOKUP($F493,'Raw Data'!$A:$M,11,0))</f>
        <v/>
      </c>
      <c r="L493" t="str">
        <f>IF(ISNA(VLOOKUP($F493,'Raw Data'!$A:$M,12,0)),"",VLOOKUP($F493,'Raw Data'!$A:$M,12,0))</f>
        <v/>
      </c>
      <c r="M493" t="str">
        <f>IF(ISNA(VLOOKUP($F493,'Raw Data'!$A:$M,13,0)),"",VLOOKUP($F493,'Raw Data'!$A:$M,13,0))</f>
        <v/>
      </c>
    </row>
    <row r="494" spans="1:13" x14ac:dyDescent="0.25">
      <c r="A494" t="s">
        <v>37</v>
      </c>
      <c r="B494">
        <v>2014</v>
      </c>
      <c r="C494">
        <v>4.5</v>
      </c>
      <c r="D494" s="3">
        <v>740</v>
      </c>
      <c r="E494" s="3">
        <v>100</v>
      </c>
      <c r="F494" s="3" t="str">
        <f t="shared" si="7"/>
        <v>FGU620144.5740100</v>
      </c>
      <c r="G494" t="str">
        <f>IF(ISNA(VLOOKUP($F494,'Raw Data'!$A:$M,7,0)),"",VLOOKUP($F494,'Raw Data'!$A:$M,7,0))</f>
        <v/>
      </c>
      <c r="H494" t="str">
        <f>IF(ISNA(VLOOKUP($F494,'Raw Data'!$A:$M,8,0)),"",VLOOKUP($F494,'Raw Data'!$A:$M,8,0))</f>
        <v/>
      </c>
      <c r="I494" t="str">
        <f>IF(ISNA(VLOOKUP($F494,'Raw Data'!$A:$M,9,0)),"",VLOOKUP($F494,'Raw Data'!$A:$M,9,0))</f>
        <v/>
      </c>
      <c r="J494" t="str">
        <f>IF(ISNA(VLOOKUP($F494,'Raw Data'!$A:$M,10,0)),"",VLOOKUP($F494,'Raw Data'!$A:$M,10,0))</f>
        <v/>
      </c>
      <c r="K494" t="str">
        <f>IF(ISNA(VLOOKUP($F494,'Raw Data'!$A:$M,11,0)),"",VLOOKUP($F494,'Raw Data'!$A:$M,11,0))</f>
        <v/>
      </c>
      <c r="L494" t="str">
        <f>IF(ISNA(VLOOKUP($F494,'Raw Data'!$A:$M,12,0)),"",VLOOKUP($F494,'Raw Data'!$A:$M,12,0))</f>
        <v/>
      </c>
      <c r="M494" t="str">
        <f>IF(ISNA(VLOOKUP($F494,'Raw Data'!$A:$M,13,0)),"",VLOOKUP($F494,'Raw Data'!$A:$M,13,0))</f>
        <v/>
      </c>
    </row>
    <row r="495" spans="1:13" x14ac:dyDescent="0.25">
      <c r="A495" t="s">
        <v>37</v>
      </c>
      <c r="B495">
        <v>2014</v>
      </c>
      <c r="C495">
        <v>4.5</v>
      </c>
      <c r="D495" s="3">
        <v>760</v>
      </c>
      <c r="E495" s="3">
        <v>100</v>
      </c>
      <c r="F495" s="3" t="str">
        <f t="shared" si="7"/>
        <v>FGU620144.5760100</v>
      </c>
      <c r="G495" t="str">
        <f>IF(ISNA(VLOOKUP($F495,'Raw Data'!$A:$M,7,0)),"",VLOOKUP($F495,'Raw Data'!$A:$M,7,0))</f>
        <v/>
      </c>
      <c r="H495" t="str">
        <f>IF(ISNA(VLOOKUP($F495,'Raw Data'!$A:$M,8,0)),"",VLOOKUP($F495,'Raw Data'!$A:$M,8,0))</f>
        <v/>
      </c>
      <c r="I495" t="str">
        <f>IF(ISNA(VLOOKUP($F495,'Raw Data'!$A:$M,9,0)),"",VLOOKUP($F495,'Raw Data'!$A:$M,9,0))</f>
        <v/>
      </c>
      <c r="J495" t="str">
        <f>IF(ISNA(VLOOKUP($F495,'Raw Data'!$A:$M,10,0)),"",VLOOKUP($F495,'Raw Data'!$A:$M,10,0))</f>
        <v/>
      </c>
      <c r="K495" t="str">
        <f>IF(ISNA(VLOOKUP($F495,'Raw Data'!$A:$M,11,0)),"",VLOOKUP($F495,'Raw Data'!$A:$M,11,0))</f>
        <v/>
      </c>
      <c r="L495" t="str">
        <f>IF(ISNA(VLOOKUP($F495,'Raw Data'!$A:$M,12,0)),"",VLOOKUP($F495,'Raw Data'!$A:$M,12,0))</f>
        <v/>
      </c>
      <c r="M495" t="str">
        <f>IF(ISNA(VLOOKUP($F495,'Raw Data'!$A:$M,13,0)),"",VLOOKUP($F495,'Raw Data'!$A:$M,13,0))</f>
        <v/>
      </c>
    </row>
    <row r="496" spans="1:13" x14ac:dyDescent="0.25">
      <c r="A496" t="s">
        <v>37</v>
      </c>
      <c r="B496">
        <v>2014</v>
      </c>
      <c r="C496">
        <v>4.5</v>
      </c>
      <c r="D496" s="3">
        <v>780</v>
      </c>
      <c r="E496" s="3">
        <v>100</v>
      </c>
      <c r="F496" s="3" t="str">
        <f t="shared" si="7"/>
        <v>FGU620144.5780100</v>
      </c>
      <c r="G496" t="str">
        <f>IF(ISNA(VLOOKUP($F496,'Raw Data'!$A:$M,7,0)),"",VLOOKUP($F496,'Raw Data'!$A:$M,7,0))</f>
        <v/>
      </c>
      <c r="H496" t="str">
        <f>IF(ISNA(VLOOKUP($F496,'Raw Data'!$A:$M,8,0)),"",VLOOKUP($F496,'Raw Data'!$A:$M,8,0))</f>
        <v/>
      </c>
      <c r="I496" t="str">
        <f>IF(ISNA(VLOOKUP($F496,'Raw Data'!$A:$M,9,0)),"",VLOOKUP($F496,'Raw Data'!$A:$M,9,0))</f>
        <v/>
      </c>
      <c r="J496" t="str">
        <f>IF(ISNA(VLOOKUP($F496,'Raw Data'!$A:$M,10,0)),"",VLOOKUP($F496,'Raw Data'!$A:$M,10,0))</f>
        <v/>
      </c>
      <c r="K496" t="str">
        <f>IF(ISNA(VLOOKUP($F496,'Raw Data'!$A:$M,11,0)),"",VLOOKUP($F496,'Raw Data'!$A:$M,11,0))</f>
        <v/>
      </c>
      <c r="L496" t="str">
        <f>IF(ISNA(VLOOKUP($F496,'Raw Data'!$A:$M,12,0)),"",VLOOKUP($F496,'Raw Data'!$A:$M,12,0))</f>
        <v/>
      </c>
      <c r="M496" t="str">
        <f>IF(ISNA(VLOOKUP($F496,'Raw Data'!$A:$M,13,0)),"",VLOOKUP($F496,'Raw Data'!$A:$M,13,0))</f>
        <v/>
      </c>
    </row>
    <row r="497" spans="1:13" x14ac:dyDescent="0.25">
      <c r="A497" t="s">
        <v>37</v>
      </c>
      <c r="B497">
        <v>2014</v>
      </c>
      <c r="C497">
        <v>4.5</v>
      </c>
      <c r="D497" s="3">
        <v>620</v>
      </c>
      <c r="E497" s="3" t="s">
        <v>9</v>
      </c>
      <c r="F497" s="3" t="str">
        <f t="shared" si="7"/>
        <v>FGU620144.5620100+</v>
      </c>
      <c r="G497" t="str">
        <f>IF(ISNA(VLOOKUP($F497,'Raw Data'!$A:$M,7,0)),"",VLOOKUP($F497,'Raw Data'!$A:$M,7,0))</f>
        <v/>
      </c>
      <c r="H497" t="str">
        <f>IF(ISNA(VLOOKUP($F497,'Raw Data'!$A:$M,8,0)),"",VLOOKUP($F497,'Raw Data'!$A:$M,8,0))</f>
        <v/>
      </c>
      <c r="I497" t="str">
        <f>IF(ISNA(VLOOKUP($F497,'Raw Data'!$A:$M,9,0)),"",VLOOKUP($F497,'Raw Data'!$A:$M,9,0))</f>
        <v/>
      </c>
      <c r="J497" t="str">
        <f>IF(ISNA(VLOOKUP($F497,'Raw Data'!$A:$M,10,0)),"",VLOOKUP($F497,'Raw Data'!$A:$M,10,0))</f>
        <v/>
      </c>
      <c r="K497" t="str">
        <f>IF(ISNA(VLOOKUP($F497,'Raw Data'!$A:$M,11,0)),"",VLOOKUP($F497,'Raw Data'!$A:$M,11,0))</f>
        <v/>
      </c>
      <c r="L497" t="str">
        <f>IF(ISNA(VLOOKUP($F497,'Raw Data'!$A:$M,12,0)),"",VLOOKUP($F497,'Raw Data'!$A:$M,12,0))</f>
        <v/>
      </c>
      <c r="M497" t="str">
        <f>IF(ISNA(VLOOKUP($F497,'Raw Data'!$A:$M,13,0)),"",VLOOKUP($F497,'Raw Data'!$A:$M,13,0))</f>
        <v/>
      </c>
    </row>
    <row r="498" spans="1:13" x14ac:dyDescent="0.25">
      <c r="A498" t="s">
        <v>37</v>
      </c>
      <c r="B498">
        <v>2014</v>
      </c>
      <c r="C498">
        <v>4.5</v>
      </c>
      <c r="D498" s="3">
        <v>640</v>
      </c>
      <c r="E498" s="3" t="s">
        <v>9</v>
      </c>
      <c r="F498" s="3" t="str">
        <f t="shared" si="7"/>
        <v>FGU620144.5640100+</v>
      </c>
      <c r="G498" t="str">
        <f>IF(ISNA(VLOOKUP($F498,'Raw Data'!$A:$M,7,0)),"",VLOOKUP($F498,'Raw Data'!$A:$M,7,0))</f>
        <v/>
      </c>
      <c r="H498" t="str">
        <f>IF(ISNA(VLOOKUP($F498,'Raw Data'!$A:$M,8,0)),"",VLOOKUP($F498,'Raw Data'!$A:$M,8,0))</f>
        <v/>
      </c>
      <c r="I498" t="str">
        <f>IF(ISNA(VLOOKUP($F498,'Raw Data'!$A:$M,9,0)),"",VLOOKUP($F498,'Raw Data'!$A:$M,9,0))</f>
        <v/>
      </c>
      <c r="J498" t="str">
        <f>IF(ISNA(VLOOKUP($F498,'Raw Data'!$A:$M,10,0)),"",VLOOKUP($F498,'Raw Data'!$A:$M,10,0))</f>
        <v/>
      </c>
      <c r="K498" t="str">
        <f>IF(ISNA(VLOOKUP($F498,'Raw Data'!$A:$M,11,0)),"",VLOOKUP($F498,'Raw Data'!$A:$M,11,0))</f>
        <v/>
      </c>
      <c r="L498" t="str">
        <f>IF(ISNA(VLOOKUP($F498,'Raw Data'!$A:$M,12,0)),"",VLOOKUP($F498,'Raw Data'!$A:$M,12,0))</f>
        <v/>
      </c>
      <c r="M498" t="str">
        <f>IF(ISNA(VLOOKUP($F498,'Raw Data'!$A:$M,13,0)),"",VLOOKUP($F498,'Raw Data'!$A:$M,13,0))</f>
        <v/>
      </c>
    </row>
    <row r="499" spans="1:13" x14ac:dyDescent="0.25">
      <c r="A499" t="s">
        <v>37</v>
      </c>
      <c r="B499">
        <v>2014</v>
      </c>
      <c r="C499">
        <v>4.5</v>
      </c>
      <c r="D499" s="3">
        <v>660</v>
      </c>
      <c r="E499" s="3" t="s">
        <v>9</v>
      </c>
      <c r="F499" s="3" t="str">
        <f t="shared" si="7"/>
        <v>FGU620144.5660100+</v>
      </c>
      <c r="G499" t="str">
        <f>IF(ISNA(VLOOKUP($F499,'Raw Data'!$A:$M,7,0)),"",VLOOKUP($F499,'Raw Data'!$A:$M,7,0))</f>
        <v/>
      </c>
      <c r="H499" t="str">
        <f>IF(ISNA(VLOOKUP($F499,'Raw Data'!$A:$M,8,0)),"",VLOOKUP($F499,'Raw Data'!$A:$M,8,0))</f>
        <v/>
      </c>
      <c r="I499" t="str">
        <f>IF(ISNA(VLOOKUP($F499,'Raw Data'!$A:$M,9,0)),"",VLOOKUP($F499,'Raw Data'!$A:$M,9,0))</f>
        <v/>
      </c>
      <c r="J499" t="str">
        <f>IF(ISNA(VLOOKUP($F499,'Raw Data'!$A:$M,10,0)),"",VLOOKUP($F499,'Raw Data'!$A:$M,10,0))</f>
        <v/>
      </c>
      <c r="K499" t="str">
        <f>IF(ISNA(VLOOKUP($F499,'Raw Data'!$A:$M,11,0)),"",VLOOKUP($F499,'Raw Data'!$A:$M,11,0))</f>
        <v/>
      </c>
      <c r="L499" t="str">
        <f>IF(ISNA(VLOOKUP($F499,'Raw Data'!$A:$M,12,0)),"",VLOOKUP($F499,'Raw Data'!$A:$M,12,0))</f>
        <v/>
      </c>
      <c r="M499" t="str">
        <f>IF(ISNA(VLOOKUP($F499,'Raw Data'!$A:$M,13,0)),"",VLOOKUP($F499,'Raw Data'!$A:$M,13,0))</f>
        <v/>
      </c>
    </row>
    <row r="500" spans="1:13" x14ac:dyDescent="0.25">
      <c r="A500" t="s">
        <v>37</v>
      </c>
      <c r="B500">
        <v>2014</v>
      </c>
      <c r="C500">
        <v>4.5</v>
      </c>
      <c r="D500" s="3">
        <v>680</v>
      </c>
      <c r="E500" s="3" t="s">
        <v>9</v>
      </c>
      <c r="F500" s="3" t="str">
        <f t="shared" si="7"/>
        <v>FGU620144.5680100+</v>
      </c>
      <c r="G500" t="str">
        <f>IF(ISNA(VLOOKUP($F500,'Raw Data'!$A:$M,7,0)),"",VLOOKUP($F500,'Raw Data'!$A:$M,7,0))</f>
        <v/>
      </c>
      <c r="H500" t="str">
        <f>IF(ISNA(VLOOKUP($F500,'Raw Data'!$A:$M,8,0)),"",VLOOKUP($F500,'Raw Data'!$A:$M,8,0))</f>
        <v/>
      </c>
      <c r="I500" t="str">
        <f>IF(ISNA(VLOOKUP($F500,'Raw Data'!$A:$M,9,0)),"",VLOOKUP($F500,'Raw Data'!$A:$M,9,0))</f>
        <v/>
      </c>
      <c r="J500" t="str">
        <f>IF(ISNA(VLOOKUP($F500,'Raw Data'!$A:$M,10,0)),"",VLOOKUP($F500,'Raw Data'!$A:$M,10,0))</f>
        <v/>
      </c>
      <c r="K500" t="str">
        <f>IF(ISNA(VLOOKUP($F500,'Raw Data'!$A:$M,11,0)),"",VLOOKUP($F500,'Raw Data'!$A:$M,11,0))</f>
        <v/>
      </c>
      <c r="L500" t="str">
        <f>IF(ISNA(VLOOKUP($F500,'Raw Data'!$A:$M,12,0)),"",VLOOKUP($F500,'Raw Data'!$A:$M,12,0))</f>
        <v/>
      </c>
      <c r="M500" t="str">
        <f>IF(ISNA(VLOOKUP($F500,'Raw Data'!$A:$M,13,0)),"",VLOOKUP($F500,'Raw Data'!$A:$M,13,0))</f>
        <v/>
      </c>
    </row>
    <row r="501" spans="1:13" x14ac:dyDescent="0.25">
      <c r="A501" t="s">
        <v>37</v>
      </c>
      <c r="B501">
        <v>2014</v>
      </c>
      <c r="C501">
        <v>4.5</v>
      </c>
      <c r="D501" s="3">
        <v>700</v>
      </c>
      <c r="E501" s="3" t="s">
        <v>9</v>
      </c>
      <c r="F501" s="3" t="str">
        <f t="shared" si="7"/>
        <v>FGU620144.5700100+</v>
      </c>
      <c r="G501" t="str">
        <f>IF(ISNA(VLOOKUP($F501,'Raw Data'!$A:$M,7,0)),"",VLOOKUP($F501,'Raw Data'!$A:$M,7,0))</f>
        <v/>
      </c>
      <c r="H501" t="str">
        <f>IF(ISNA(VLOOKUP($F501,'Raw Data'!$A:$M,8,0)),"",VLOOKUP($F501,'Raw Data'!$A:$M,8,0))</f>
        <v/>
      </c>
      <c r="I501" t="str">
        <f>IF(ISNA(VLOOKUP($F501,'Raw Data'!$A:$M,9,0)),"",VLOOKUP($F501,'Raw Data'!$A:$M,9,0))</f>
        <v/>
      </c>
      <c r="J501" t="str">
        <f>IF(ISNA(VLOOKUP($F501,'Raw Data'!$A:$M,10,0)),"",VLOOKUP($F501,'Raw Data'!$A:$M,10,0))</f>
        <v/>
      </c>
      <c r="K501" t="str">
        <f>IF(ISNA(VLOOKUP($F501,'Raw Data'!$A:$M,11,0)),"",VLOOKUP($F501,'Raw Data'!$A:$M,11,0))</f>
        <v/>
      </c>
      <c r="L501" t="str">
        <f>IF(ISNA(VLOOKUP($F501,'Raw Data'!$A:$M,12,0)),"",VLOOKUP($F501,'Raw Data'!$A:$M,12,0))</f>
        <v/>
      </c>
      <c r="M501" t="str">
        <f>IF(ISNA(VLOOKUP($F501,'Raw Data'!$A:$M,13,0)),"",VLOOKUP($F501,'Raw Data'!$A:$M,13,0))</f>
        <v/>
      </c>
    </row>
    <row r="502" spans="1:13" x14ac:dyDescent="0.25">
      <c r="A502" t="s">
        <v>37</v>
      </c>
      <c r="B502">
        <v>2014</v>
      </c>
      <c r="C502">
        <v>4.5</v>
      </c>
      <c r="D502" s="3">
        <v>720</v>
      </c>
      <c r="E502" s="3" t="s">
        <v>9</v>
      </c>
      <c r="F502" s="3" t="str">
        <f t="shared" si="7"/>
        <v>FGU620144.5720100+</v>
      </c>
      <c r="G502" t="str">
        <f>IF(ISNA(VLOOKUP($F502,'Raw Data'!$A:$M,7,0)),"",VLOOKUP($F502,'Raw Data'!$A:$M,7,0))</f>
        <v/>
      </c>
      <c r="H502" t="str">
        <f>IF(ISNA(VLOOKUP($F502,'Raw Data'!$A:$M,8,0)),"",VLOOKUP($F502,'Raw Data'!$A:$M,8,0))</f>
        <v/>
      </c>
      <c r="I502" t="str">
        <f>IF(ISNA(VLOOKUP($F502,'Raw Data'!$A:$M,9,0)),"",VLOOKUP($F502,'Raw Data'!$A:$M,9,0))</f>
        <v/>
      </c>
      <c r="J502" t="str">
        <f>IF(ISNA(VLOOKUP($F502,'Raw Data'!$A:$M,10,0)),"",VLOOKUP($F502,'Raw Data'!$A:$M,10,0))</f>
        <v/>
      </c>
      <c r="K502" t="str">
        <f>IF(ISNA(VLOOKUP($F502,'Raw Data'!$A:$M,11,0)),"",VLOOKUP($F502,'Raw Data'!$A:$M,11,0))</f>
        <v/>
      </c>
      <c r="L502" t="str">
        <f>IF(ISNA(VLOOKUP($F502,'Raw Data'!$A:$M,12,0)),"",VLOOKUP($F502,'Raw Data'!$A:$M,12,0))</f>
        <v/>
      </c>
      <c r="M502" t="str">
        <f>IF(ISNA(VLOOKUP($F502,'Raw Data'!$A:$M,13,0)),"",VLOOKUP($F502,'Raw Data'!$A:$M,13,0))</f>
        <v/>
      </c>
    </row>
    <row r="503" spans="1:13" x14ac:dyDescent="0.25">
      <c r="A503" t="s">
        <v>37</v>
      </c>
      <c r="B503">
        <v>2014</v>
      </c>
      <c r="C503">
        <v>4.5</v>
      </c>
      <c r="D503" s="3">
        <v>740</v>
      </c>
      <c r="E503" s="3" t="s">
        <v>9</v>
      </c>
      <c r="F503" s="3" t="str">
        <f t="shared" si="7"/>
        <v>FGU620144.5740100+</v>
      </c>
      <c r="G503" t="str">
        <f>IF(ISNA(VLOOKUP($F503,'Raw Data'!$A:$M,7,0)),"",VLOOKUP($F503,'Raw Data'!$A:$M,7,0))</f>
        <v/>
      </c>
      <c r="H503" t="str">
        <f>IF(ISNA(VLOOKUP($F503,'Raw Data'!$A:$M,8,0)),"",VLOOKUP($F503,'Raw Data'!$A:$M,8,0))</f>
        <v/>
      </c>
      <c r="I503" t="str">
        <f>IF(ISNA(VLOOKUP($F503,'Raw Data'!$A:$M,9,0)),"",VLOOKUP($F503,'Raw Data'!$A:$M,9,0))</f>
        <v/>
      </c>
      <c r="J503" t="str">
        <f>IF(ISNA(VLOOKUP($F503,'Raw Data'!$A:$M,10,0)),"",VLOOKUP($F503,'Raw Data'!$A:$M,10,0))</f>
        <v/>
      </c>
      <c r="K503" t="str">
        <f>IF(ISNA(VLOOKUP($F503,'Raw Data'!$A:$M,11,0)),"",VLOOKUP($F503,'Raw Data'!$A:$M,11,0))</f>
        <v/>
      </c>
      <c r="L503" t="str">
        <f>IF(ISNA(VLOOKUP($F503,'Raw Data'!$A:$M,12,0)),"",VLOOKUP($F503,'Raw Data'!$A:$M,12,0))</f>
        <v/>
      </c>
      <c r="M503" t="str">
        <f>IF(ISNA(VLOOKUP($F503,'Raw Data'!$A:$M,13,0)),"",VLOOKUP($F503,'Raw Data'!$A:$M,13,0))</f>
        <v/>
      </c>
    </row>
    <row r="504" spans="1:13" x14ac:dyDescent="0.25">
      <c r="A504" t="s">
        <v>37</v>
      </c>
      <c r="B504">
        <v>2014</v>
      </c>
      <c r="C504">
        <v>4.5</v>
      </c>
      <c r="D504" s="3">
        <v>760</v>
      </c>
      <c r="E504" s="3" t="s">
        <v>9</v>
      </c>
      <c r="F504" s="3" t="str">
        <f t="shared" si="7"/>
        <v>FGU620144.5760100+</v>
      </c>
      <c r="G504" t="str">
        <f>IF(ISNA(VLOOKUP($F504,'Raw Data'!$A:$M,7,0)),"",VLOOKUP($F504,'Raw Data'!$A:$M,7,0))</f>
        <v/>
      </c>
      <c r="H504" t="str">
        <f>IF(ISNA(VLOOKUP($F504,'Raw Data'!$A:$M,8,0)),"",VLOOKUP($F504,'Raw Data'!$A:$M,8,0))</f>
        <v/>
      </c>
      <c r="I504" t="str">
        <f>IF(ISNA(VLOOKUP($F504,'Raw Data'!$A:$M,9,0)),"",VLOOKUP($F504,'Raw Data'!$A:$M,9,0))</f>
        <v/>
      </c>
      <c r="J504" t="str">
        <f>IF(ISNA(VLOOKUP($F504,'Raw Data'!$A:$M,10,0)),"",VLOOKUP($F504,'Raw Data'!$A:$M,10,0))</f>
        <v/>
      </c>
      <c r="K504" t="str">
        <f>IF(ISNA(VLOOKUP($F504,'Raw Data'!$A:$M,11,0)),"",VLOOKUP($F504,'Raw Data'!$A:$M,11,0))</f>
        <v/>
      </c>
      <c r="L504" t="str">
        <f>IF(ISNA(VLOOKUP($F504,'Raw Data'!$A:$M,12,0)),"",VLOOKUP($F504,'Raw Data'!$A:$M,12,0))</f>
        <v/>
      </c>
      <c r="M504" t="str">
        <f>IF(ISNA(VLOOKUP($F504,'Raw Data'!$A:$M,13,0)),"",VLOOKUP($F504,'Raw Data'!$A:$M,13,0))</f>
        <v/>
      </c>
    </row>
    <row r="505" spans="1:13" x14ac:dyDescent="0.25">
      <c r="A505" t="s">
        <v>37</v>
      </c>
      <c r="B505">
        <v>2014</v>
      </c>
      <c r="C505">
        <v>4.5</v>
      </c>
      <c r="D505" s="3">
        <v>780</v>
      </c>
      <c r="E505" s="3" t="s">
        <v>9</v>
      </c>
      <c r="F505" s="3" t="str">
        <f t="shared" si="7"/>
        <v>FGU620144.5780100+</v>
      </c>
      <c r="G505" t="str">
        <f>IF(ISNA(VLOOKUP($F505,'Raw Data'!$A:$M,7,0)),"",VLOOKUP($F505,'Raw Data'!$A:$M,7,0))</f>
        <v/>
      </c>
      <c r="H505" t="str">
        <f>IF(ISNA(VLOOKUP($F505,'Raw Data'!$A:$M,8,0)),"",VLOOKUP($F505,'Raw Data'!$A:$M,8,0))</f>
        <v/>
      </c>
      <c r="I505" t="str">
        <f>IF(ISNA(VLOOKUP($F505,'Raw Data'!$A:$M,9,0)),"",VLOOKUP($F505,'Raw Data'!$A:$M,9,0))</f>
        <v/>
      </c>
      <c r="J505" t="str">
        <f>IF(ISNA(VLOOKUP($F505,'Raw Data'!$A:$M,10,0)),"",VLOOKUP($F505,'Raw Data'!$A:$M,10,0))</f>
        <v/>
      </c>
      <c r="K505" t="str">
        <f>IF(ISNA(VLOOKUP($F505,'Raw Data'!$A:$M,11,0)),"",VLOOKUP($F505,'Raw Data'!$A:$M,11,0))</f>
        <v/>
      </c>
      <c r="L505" t="str">
        <f>IF(ISNA(VLOOKUP($F505,'Raw Data'!$A:$M,12,0)),"",VLOOKUP($F505,'Raw Data'!$A:$M,12,0))</f>
        <v/>
      </c>
      <c r="M505" t="str">
        <f>IF(ISNA(VLOOKUP($F505,'Raw Data'!$A:$M,13,0)),"",VLOOKUP($F505,'Raw Data'!$A:$M,13,0))</f>
        <v/>
      </c>
    </row>
    <row r="506" spans="1:13" x14ac:dyDescent="0.25">
      <c r="A506" t="s">
        <v>38</v>
      </c>
      <c r="B506">
        <v>2012</v>
      </c>
      <c r="C506">
        <v>3.5</v>
      </c>
      <c r="D506" s="3">
        <v>620</v>
      </c>
      <c r="E506" s="3">
        <v>80</v>
      </c>
      <c r="F506" s="3" t="str">
        <f t="shared" si="7"/>
        <v>FGU920123.562080</v>
      </c>
      <c r="G506" t="str">
        <f>IF(ISNA(VLOOKUP($F506,'Raw Data'!$A:$M,7,0)),"",VLOOKUP($F506,'Raw Data'!$A:$M,7,0))</f>
        <v/>
      </c>
      <c r="H506" t="str">
        <f>IF(ISNA(VLOOKUP($F506,'Raw Data'!$A:$M,8,0)),"",VLOOKUP($F506,'Raw Data'!$A:$M,8,0))</f>
        <v/>
      </c>
      <c r="I506" t="str">
        <f>IF(ISNA(VLOOKUP($F506,'Raw Data'!$A:$M,9,0)),"",VLOOKUP($F506,'Raw Data'!$A:$M,9,0))</f>
        <v/>
      </c>
      <c r="J506" t="str">
        <f>IF(ISNA(VLOOKUP($F506,'Raw Data'!$A:$M,10,0)),"",VLOOKUP($F506,'Raw Data'!$A:$M,10,0))</f>
        <v/>
      </c>
      <c r="K506" t="str">
        <f>IF(ISNA(VLOOKUP($F506,'Raw Data'!$A:$M,11,0)),"",VLOOKUP($F506,'Raw Data'!$A:$M,11,0))</f>
        <v/>
      </c>
      <c r="L506" t="str">
        <f>IF(ISNA(VLOOKUP($F506,'Raw Data'!$A:$M,12,0)),"",VLOOKUP($F506,'Raw Data'!$A:$M,12,0))</f>
        <v/>
      </c>
      <c r="M506" t="str">
        <f>IF(ISNA(VLOOKUP($F506,'Raw Data'!$A:$M,13,0)),"",VLOOKUP($F506,'Raw Data'!$A:$M,13,0))</f>
        <v/>
      </c>
    </row>
    <row r="507" spans="1:13" x14ac:dyDescent="0.25">
      <c r="A507" t="s">
        <v>38</v>
      </c>
      <c r="B507">
        <v>2012</v>
      </c>
      <c r="C507">
        <v>3.5</v>
      </c>
      <c r="D507" s="3">
        <v>640</v>
      </c>
      <c r="E507" s="3">
        <v>80</v>
      </c>
      <c r="F507" s="3" t="str">
        <f t="shared" si="7"/>
        <v>FGU920123.564080</v>
      </c>
      <c r="G507" t="str">
        <f>IF(ISNA(VLOOKUP($F507,'Raw Data'!$A:$M,7,0)),"",VLOOKUP($F507,'Raw Data'!$A:$M,7,0))</f>
        <v/>
      </c>
      <c r="H507" t="str">
        <f>IF(ISNA(VLOOKUP($F507,'Raw Data'!$A:$M,8,0)),"",VLOOKUP($F507,'Raw Data'!$A:$M,8,0))</f>
        <v/>
      </c>
      <c r="I507" t="str">
        <f>IF(ISNA(VLOOKUP($F507,'Raw Data'!$A:$M,9,0)),"",VLOOKUP($F507,'Raw Data'!$A:$M,9,0))</f>
        <v/>
      </c>
      <c r="J507" t="str">
        <f>IF(ISNA(VLOOKUP($F507,'Raw Data'!$A:$M,10,0)),"",VLOOKUP($F507,'Raw Data'!$A:$M,10,0))</f>
        <v/>
      </c>
      <c r="K507" t="str">
        <f>IF(ISNA(VLOOKUP($F507,'Raw Data'!$A:$M,11,0)),"",VLOOKUP($F507,'Raw Data'!$A:$M,11,0))</f>
        <v/>
      </c>
      <c r="L507" t="str">
        <f>IF(ISNA(VLOOKUP($F507,'Raw Data'!$A:$M,12,0)),"",VLOOKUP($F507,'Raw Data'!$A:$M,12,0))</f>
        <v/>
      </c>
      <c r="M507" t="str">
        <f>IF(ISNA(VLOOKUP($F507,'Raw Data'!$A:$M,13,0)),"",VLOOKUP($F507,'Raw Data'!$A:$M,13,0))</f>
        <v/>
      </c>
    </row>
    <row r="508" spans="1:13" x14ac:dyDescent="0.25">
      <c r="A508" t="s">
        <v>38</v>
      </c>
      <c r="B508">
        <v>2012</v>
      </c>
      <c r="C508">
        <v>3.5</v>
      </c>
      <c r="D508" s="3">
        <v>660</v>
      </c>
      <c r="E508" s="3">
        <v>80</v>
      </c>
      <c r="F508" s="3" t="str">
        <f t="shared" si="7"/>
        <v>FGU920123.566080</v>
      </c>
      <c r="G508" t="str">
        <f>IF(ISNA(VLOOKUP($F508,'Raw Data'!$A:$M,7,0)),"",VLOOKUP($F508,'Raw Data'!$A:$M,7,0))</f>
        <v/>
      </c>
      <c r="H508" t="str">
        <f>IF(ISNA(VLOOKUP($F508,'Raw Data'!$A:$M,8,0)),"",VLOOKUP($F508,'Raw Data'!$A:$M,8,0))</f>
        <v/>
      </c>
      <c r="I508" t="str">
        <f>IF(ISNA(VLOOKUP($F508,'Raw Data'!$A:$M,9,0)),"",VLOOKUP($F508,'Raw Data'!$A:$M,9,0))</f>
        <v/>
      </c>
      <c r="J508" t="str">
        <f>IF(ISNA(VLOOKUP($F508,'Raw Data'!$A:$M,10,0)),"",VLOOKUP($F508,'Raw Data'!$A:$M,10,0))</f>
        <v/>
      </c>
      <c r="K508" t="str">
        <f>IF(ISNA(VLOOKUP($F508,'Raw Data'!$A:$M,11,0)),"",VLOOKUP($F508,'Raw Data'!$A:$M,11,0))</f>
        <v/>
      </c>
      <c r="L508" t="str">
        <f>IF(ISNA(VLOOKUP($F508,'Raw Data'!$A:$M,12,0)),"",VLOOKUP($F508,'Raw Data'!$A:$M,12,0))</f>
        <v/>
      </c>
      <c r="M508" t="str">
        <f>IF(ISNA(VLOOKUP($F508,'Raw Data'!$A:$M,13,0)),"",VLOOKUP($F508,'Raw Data'!$A:$M,13,0))</f>
        <v/>
      </c>
    </row>
    <row r="509" spans="1:13" x14ac:dyDescent="0.25">
      <c r="A509" t="s">
        <v>38</v>
      </c>
      <c r="B509">
        <v>2012</v>
      </c>
      <c r="C509">
        <v>3.5</v>
      </c>
      <c r="D509" s="3">
        <v>680</v>
      </c>
      <c r="E509" s="3">
        <v>80</v>
      </c>
      <c r="F509" s="3" t="str">
        <f t="shared" si="7"/>
        <v>FGU920123.568080</v>
      </c>
      <c r="G509" t="str">
        <f>IF(ISNA(VLOOKUP($F509,'Raw Data'!$A:$M,7,0)),"",VLOOKUP($F509,'Raw Data'!$A:$M,7,0))</f>
        <v/>
      </c>
      <c r="H509" t="str">
        <f>IF(ISNA(VLOOKUP($F509,'Raw Data'!$A:$M,8,0)),"",VLOOKUP($F509,'Raw Data'!$A:$M,8,0))</f>
        <v/>
      </c>
      <c r="I509" t="str">
        <f>IF(ISNA(VLOOKUP($F509,'Raw Data'!$A:$M,9,0)),"",VLOOKUP($F509,'Raw Data'!$A:$M,9,0))</f>
        <v/>
      </c>
      <c r="J509" t="str">
        <f>IF(ISNA(VLOOKUP($F509,'Raw Data'!$A:$M,10,0)),"",VLOOKUP($F509,'Raw Data'!$A:$M,10,0))</f>
        <v/>
      </c>
      <c r="K509" t="str">
        <f>IF(ISNA(VLOOKUP($F509,'Raw Data'!$A:$M,11,0)),"",VLOOKUP($F509,'Raw Data'!$A:$M,11,0))</f>
        <v/>
      </c>
      <c r="L509" t="str">
        <f>IF(ISNA(VLOOKUP($F509,'Raw Data'!$A:$M,12,0)),"",VLOOKUP($F509,'Raw Data'!$A:$M,12,0))</f>
        <v/>
      </c>
      <c r="M509" t="str">
        <f>IF(ISNA(VLOOKUP($F509,'Raw Data'!$A:$M,13,0)),"",VLOOKUP($F509,'Raw Data'!$A:$M,13,0))</f>
        <v/>
      </c>
    </row>
    <row r="510" spans="1:13" x14ac:dyDescent="0.25">
      <c r="A510" t="s">
        <v>38</v>
      </c>
      <c r="B510">
        <v>2012</v>
      </c>
      <c r="C510">
        <v>3.5</v>
      </c>
      <c r="D510" s="3">
        <v>700</v>
      </c>
      <c r="E510" s="3">
        <v>80</v>
      </c>
      <c r="F510" s="3" t="str">
        <f t="shared" si="7"/>
        <v>FGU920123.570080</v>
      </c>
      <c r="G510" t="str">
        <f>IF(ISNA(VLOOKUP($F510,'Raw Data'!$A:$M,7,0)),"",VLOOKUP($F510,'Raw Data'!$A:$M,7,0))</f>
        <v/>
      </c>
      <c r="H510" t="str">
        <f>IF(ISNA(VLOOKUP($F510,'Raw Data'!$A:$M,8,0)),"",VLOOKUP($F510,'Raw Data'!$A:$M,8,0))</f>
        <v/>
      </c>
      <c r="I510" t="str">
        <f>IF(ISNA(VLOOKUP($F510,'Raw Data'!$A:$M,9,0)),"",VLOOKUP($F510,'Raw Data'!$A:$M,9,0))</f>
        <v/>
      </c>
      <c r="J510" t="str">
        <f>IF(ISNA(VLOOKUP($F510,'Raw Data'!$A:$M,10,0)),"",VLOOKUP($F510,'Raw Data'!$A:$M,10,0))</f>
        <v/>
      </c>
      <c r="K510" t="str">
        <f>IF(ISNA(VLOOKUP($F510,'Raw Data'!$A:$M,11,0)),"",VLOOKUP($F510,'Raw Data'!$A:$M,11,0))</f>
        <v/>
      </c>
      <c r="L510" t="str">
        <f>IF(ISNA(VLOOKUP($F510,'Raw Data'!$A:$M,12,0)),"",VLOOKUP($F510,'Raw Data'!$A:$M,12,0))</f>
        <v/>
      </c>
      <c r="M510" t="str">
        <f>IF(ISNA(VLOOKUP($F510,'Raw Data'!$A:$M,13,0)),"",VLOOKUP($F510,'Raw Data'!$A:$M,13,0))</f>
        <v/>
      </c>
    </row>
    <row r="511" spans="1:13" x14ac:dyDescent="0.25">
      <c r="A511" t="s">
        <v>38</v>
      </c>
      <c r="B511">
        <v>2012</v>
      </c>
      <c r="C511">
        <v>3.5</v>
      </c>
      <c r="D511" s="3">
        <v>720</v>
      </c>
      <c r="E511" s="3">
        <v>80</v>
      </c>
      <c r="F511" s="3" t="str">
        <f t="shared" si="7"/>
        <v>FGU920123.572080</v>
      </c>
      <c r="G511" t="str">
        <f>IF(ISNA(VLOOKUP($F511,'Raw Data'!$A:$M,7,0)),"",VLOOKUP($F511,'Raw Data'!$A:$M,7,0))</f>
        <v/>
      </c>
      <c r="H511" t="str">
        <f>IF(ISNA(VLOOKUP($F511,'Raw Data'!$A:$M,8,0)),"",VLOOKUP($F511,'Raw Data'!$A:$M,8,0))</f>
        <v/>
      </c>
      <c r="I511" t="str">
        <f>IF(ISNA(VLOOKUP($F511,'Raw Data'!$A:$M,9,0)),"",VLOOKUP($F511,'Raw Data'!$A:$M,9,0))</f>
        <v/>
      </c>
      <c r="J511" t="str">
        <f>IF(ISNA(VLOOKUP($F511,'Raw Data'!$A:$M,10,0)),"",VLOOKUP($F511,'Raw Data'!$A:$M,10,0))</f>
        <v/>
      </c>
      <c r="K511" t="str">
        <f>IF(ISNA(VLOOKUP($F511,'Raw Data'!$A:$M,11,0)),"",VLOOKUP($F511,'Raw Data'!$A:$M,11,0))</f>
        <v/>
      </c>
      <c r="L511" t="str">
        <f>IF(ISNA(VLOOKUP($F511,'Raw Data'!$A:$M,12,0)),"",VLOOKUP($F511,'Raw Data'!$A:$M,12,0))</f>
        <v/>
      </c>
      <c r="M511" t="str">
        <f>IF(ISNA(VLOOKUP($F511,'Raw Data'!$A:$M,13,0)),"",VLOOKUP($F511,'Raw Data'!$A:$M,13,0))</f>
        <v/>
      </c>
    </row>
    <row r="512" spans="1:13" x14ac:dyDescent="0.25">
      <c r="A512" t="s">
        <v>38</v>
      </c>
      <c r="B512">
        <v>2012</v>
      </c>
      <c r="C512">
        <v>3.5</v>
      </c>
      <c r="D512" s="3">
        <v>740</v>
      </c>
      <c r="E512" s="3">
        <v>80</v>
      </c>
      <c r="F512" s="3" t="str">
        <f t="shared" si="7"/>
        <v>FGU920123.574080</v>
      </c>
      <c r="G512" t="str">
        <f>IF(ISNA(VLOOKUP($F512,'Raw Data'!$A:$M,7,0)),"",VLOOKUP($F512,'Raw Data'!$A:$M,7,0))</f>
        <v/>
      </c>
      <c r="H512" t="str">
        <f>IF(ISNA(VLOOKUP($F512,'Raw Data'!$A:$M,8,0)),"",VLOOKUP($F512,'Raw Data'!$A:$M,8,0))</f>
        <v/>
      </c>
      <c r="I512" t="str">
        <f>IF(ISNA(VLOOKUP($F512,'Raw Data'!$A:$M,9,0)),"",VLOOKUP($F512,'Raw Data'!$A:$M,9,0))</f>
        <v/>
      </c>
      <c r="J512" t="str">
        <f>IF(ISNA(VLOOKUP($F512,'Raw Data'!$A:$M,10,0)),"",VLOOKUP($F512,'Raw Data'!$A:$M,10,0))</f>
        <v/>
      </c>
      <c r="K512" t="str">
        <f>IF(ISNA(VLOOKUP($F512,'Raw Data'!$A:$M,11,0)),"",VLOOKUP($F512,'Raw Data'!$A:$M,11,0))</f>
        <v/>
      </c>
      <c r="L512" t="str">
        <f>IF(ISNA(VLOOKUP($F512,'Raw Data'!$A:$M,12,0)),"",VLOOKUP($F512,'Raw Data'!$A:$M,12,0))</f>
        <v/>
      </c>
      <c r="M512" t="str">
        <f>IF(ISNA(VLOOKUP($F512,'Raw Data'!$A:$M,13,0)),"",VLOOKUP($F512,'Raw Data'!$A:$M,13,0))</f>
        <v/>
      </c>
    </row>
    <row r="513" spans="1:13" x14ac:dyDescent="0.25">
      <c r="A513" t="s">
        <v>38</v>
      </c>
      <c r="B513">
        <v>2012</v>
      </c>
      <c r="C513">
        <v>3.5</v>
      </c>
      <c r="D513" s="3">
        <v>760</v>
      </c>
      <c r="E513" s="3">
        <v>80</v>
      </c>
      <c r="F513" s="3" t="str">
        <f t="shared" si="7"/>
        <v>FGU920123.576080</v>
      </c>
      <c r="G513" t="str">
        <f>IF(ISNA(VLOOKUP($F513,'Raw Data'!$A:$M,7,0)),"",VLOOKUP($F513,'Raw Data'!$A:$M,7,0))</f>
        <v/>
      </c>
      <c r="H513" t="str">
        <f>IF(ISNA(VLOOKUP($F513,'Raw Data'!$A:$M,8,0)),"",VLOOKUP($F513,'Raw Data'!$A:$M,8,0))</f>
        <v/>
      </c>
      <c r="I513" t="str">
        <f>IF(ISNA(VLOOKUP($F513,'Raw Data'!$A:$M,9,0)),"",VLOOKUP($F513,'Raw Data'!$A:$M,9,0))</f>
        <v/>
      </c>
      <c r="J513" t="str">
        <f>IF(ISNA(VLOOKUP($F513,'Raw Data'!$A:$M,10,0)),"",VLOOKUP($F513,'Raw Data'!$A:$M,10,0))</f>
        <v/>
      </c>
      <c r="K513" t="str">
        <f>IF(ISNA(VLOOKUP($F513,'Raw Data'!$A:$M,11,0)),"",VLOOKUP($F513,'Raw Data'!$A:$M,11,0))</f>
        <v/>
      </c>
      <c r="L513" t="str">
        <f>IF(ISNA(VLOOKUP($F513,'Raw Data'!$A:$M,12,0)),"",VLOOKUP($F513,'Raw Data'!$A:$M,12,0))</f>
        <v/>
      </c>
      <c r="M513" t="str">
        <f>IF(ISNA(VLOOKUP($F513,'Raw Data'!$A:$M,13,0)),"",VLOOKUP($F513,'Raw Data'!$A:$M,13,0))</f>
        <v/>
      </c>
    </row>
    <row r="514" spans="1:13" x14ac:dyDescent="0.25">
      <c r="A514" t="s">
        <v>38</v>
      </c>
      <c r="B514">
        <v>2012</v>
      </c>
      <c r="C514">
        <v>3.5</v>
      </c>
      <c r="D514" s="3">
        <v>780</v>
      </c>
      <c r="E514" s="3">
        <v>80</v>
      </c>
      <c r="F514" s="3" t="str">
        <f t="shared" si="7"/>
        <v>FGU920123.578080</v>
      </c>
      <c r="G514" t="str">
        <f>IF(ISNA(VLOOKUP($F514,'Raw Data'!$A:$M,7,0)),"",VLOOKUP($F514,'Raw Data'!$A:$M,7,0))</f>
        <v/>
      </c>
      <c r="H514" t="str">
        <f>IF(ISNA(VLOOKUP($F514,'Raw Data'!$A:$M,8,0)),"",VLOOKUP($F514,'Raw Data'!$A:$M,8,0))</f>
        <v/>
      </c>
      <c r="I514" t="str">
        <f>IF(ISNA(VLOOKUP($F514,'Raw Data'!$A:$M,9,0)),"",VLOOKUP($F514,'Raw Data'!$A:$M,9,0))</f>
        <v/>
      </c>
      <c r="J514" t="str">
        <f>IF(ISNA(VLOOKUP($F514,'Raw Data'!$A:$M,10,0)),"",VLOOKUP($F514,'Raw Data'!$A:$M,10,0))</f>
        <v/>
      </c>
      <c r="K514" t="str">
        <f>IF(ISNA(VLOOKUP($F514,'Raw Data'!$A:$M,11,0)),"",VLOOKUP($F514,'Raw Data'!$A:$M,11,0))</f>
        <v/>
      </c>
      <c r="L514" t="str">
        <f>IF(ISNA(VLOOKUP($F514,'Raw Data'!$A:$M,12,0)),"",VLOOKUP($F514,'Raw Data'!$A:$M,12,0))</f>
        <v/>
      </c>
      <c r="M514" t="str">
        <f>IF(ISNA(VLOOKUP($F514,'Raw Data'!$A:$M,13,0)),"",VLOOKUP($F514,'Raw Data'!$A:$M,13,0))</f>
        <v/>
      </c>
    </row>
    <row r="515" spans="1:13" x14ac:dyDescent="0.25">
      <c r="A515" t="s">
        <v>38</v>
      </c>
      <c r="B515">
        <v>2012</v>
      </c>
      <c r="C515">
        <v>3.5</v>
      </c>
      <c r="D515" s="3">
        <v>620</v>
      </c>
      <c r="E515" s="3">
        <v>85</v>
      </c>
      <c r="F515" s="3" t="str">
        <f t="shared" si="7"/>
        <v>FGU920123.562085</v>
      </c>
      <c r="G515" t="str">
        <f>IF(ISNA(VLOOKUP($F515,'Raw Data'!$A:$M,7,0)),"",VLOOKUP($F515,'Raw Data'!$A:$M,7,0))</f>
        <v/>
      </c>
      <c r="H515" t="str">
        <f>IF(ISNA(VLOOKUP($F515,'Raw Data'!$A:$M,8,0)),"",VLOOKUP($F515,'Raw Data'!$A:$M,8,0))</f>
        <v/>
      </c>
      <c r="I515" t="str">
        <f>IF(ISNA(VLOOKUP($F515,'Raw Data'!$A:$M,9,0)),"",VLOOKUP($F515,'Raw Data'!$A:$M,9,0))</f>
        <v/>
      </c>
      <c r="J515" t="str">
        <f>IF(ISNA(VLOOKUP($F515,'Raw Data'!$A:$M,10,0)),"",VLOOKUP($F515,'Raw Data'!$A:$M,10,0))</f>
        <v/>
      </c>
      <c r="K515" t="str">
        <f>IF(ISNA(VLOOKUP($F515,'Raw Data'!$A:$M,11,0)),"",VLOOKUP($F515,'Raw Data'!$A:$M,11,0))</f>
        <v/>
      </c>
      <c r="L515" t="str">
        <f>IF(ISNA(VLOOKUP($F515,'Raw Data'!$A:$M,12,0)),"",VLOOKUP($F515,'Raw Data'!$A:$M,12,0))</f>
        <v/>
      </c>
      <c r="M515" t="str">
        <f>IF(ISNA(VLOOKUP($F515,'Raw Data'!$A:$M,13,0)),"",VLOOKUP($F515,'Raw Data'!$A:$M,13,0))</f>
        <v/>
      </c>
    </row>
    <row r="516" spans="1:13" x14ac:dyDescent="0.25">
      <c r="A516" t="s">
        <v>38</v>
      </c>
      <c r="B516">
        <v>2012</v>
      </c>
      <c r="C516">
        <v>3.5</v>
      </c>
      <c r="D516" s="3">
        <v>640</v>
      </c>
      <c r="E516" s="3">
        <v>85</v>
      </c>
      <c r="F516" s="3" t="str">
        <f t="shared" ref="F516:F579" si="8">A516&amp;B516&amp;C516&amp;D516&amp;E516</f>
        <v>FGU920123.564085</v>
      </c>
      <c r="G516" t="str">
        <f>IF(ISNA(VLOOKUP($F516,'Raw Data'!$A:$M,7,0)),"",VLOOKUP($F516,'Raw Data'!$A:$M,7,0))</f>
        <v/>
      </c>
      <c r="H516" t="str">
        <f>IF(ISNA(VLOOKUP($F516,'Raw Data'!$A:$M,8,0)),"",VLOOKUP($F516,'Raw Data'!$A:$M,8,0))</f>
        <v/>
      </c>
      <c r="I516" t="str">
        <f>IF(ISNA(VLOOKUP($F516,'Raw Data'!$A:$M,9,0)),"",VLOOKUP($F516,'Raw Data'!$A:$M,9,0))</f>
        <v/>
      </c>
      <c r="J516" t="str">
        <f>IF(ISNA(VLOOKUP($F516,'Raw Data'!$A:$M,10,0)),"",VLOOKUP($F516,'Raw Data'!$A:$M,10,0))</f>
        <v/>
      </c>
      <c r="K516" t="str">
        <f>IF(ISNA(VLOOKUP($F516,'Raw Data'!$A:$M,11,0)),"",VLOOKUP($F516,'Raw Data'!$A:$M,11,0))</f>
        <v/>
      </c>
      <c r="L516" t="str">
        <f>IF(ISNA(VLOOKUP($F516,'Raw Data'!$A:$M,12,0)),"",VLOOKUP($F516,'Raw Data'!$A:$M,12,0))</f>
        <v/>
      </c>
      <c r="M516" t="str">
        <f>IF(ISNA(VLOOKUP($F516,'Raw Data'!$A:$M,13,0)),"",VLOOKUP($F516,'Raw Data'!$A:$M,13,0))</f>
        <v/>
      </c>
    </row>
    <row r="517" spans="1:13" x14ac:dyDescent="0.25">
      <c r="A517" t="s">
        <v>38</v>
      </c>
      <c r="B517">
        <v>2012</v>
      </c>
      <c r="C517">
        <v>3.5</v>
      </c>
      <c r="D517" s="3">
        <v>660</v>
      </c>
      <c r="E517" s="3">
        <v>85</v>
      </c>
      <c r="F517" s="3" t="str">
        <f t="shared" si="8"/>
        <v>FGU920123.566085</v>
      </c>
      <c r="G517" t="str">
        <f>IF(ISNA(VLOOKUP($F517,'Raw Data'!$A:$M,7,0)),"",VLOOKUP($F517,'Raw Data'!$A:$M,7,0))</f>
        <v/>
      </c>
      <c r="H517" t="str">
        <f>IF(ISNA(VLOOKUP($F517,'Raw Data'!$A:$M,8,0)),"",VLOOKUP($F517,'Raw Data'!$A:$M,8,0))</f>
        <v/>
      </c>
      <c r="I517" t="str">
        <f>IF(ISNA(VLOOKUP($F517,'Raw Data'!$A:$M,9,0)),"",VLOOKUP($F517,'Raw Data'!$A:$M,9,0))</f>
        <v/>
      </c>
      <c r="J517" t="str">
        <f>IF(ISNA(VLOOKUP($F517,'Raw Data'!$A:$M,10,0)),"",VLOOKUP($F517,'Raw Data'!$A:$M,10,0))</f>
        <v/>
      </c>
      <c r="K517" t="str">
        <f>IF(ISNA(VLOOKUP($F517,'Raw Data'!$A:$M,11,0)),"",VLOOKUP($F517,'Raw Data'!$A:$M,11,0))</f>
        <v/>
      </c>
      <c r="L517" t="str">
        <f>IF(ISNA(VLOOKUP($F517,'Raw Data'!$A:$M,12,0)),"",VLOOKUP($F517,'Raw Data'!$A:$M,12,0))</f>
        <v/>
      </c>
      <c r="M517" t="str">
        <f>IF(ISNA(VLOOKUP($F517,'Raw Data'!$A:$M,13,0)),"",VLOOKUP($F517,'Raw Data'!$A:$M,13,0))</f>
        <v/>
      </c>
    </row>
    <row r="518" spans="1:13" x14ac:dyDescent="0.25">
      <c r="A518" t="s">
        <v>38</v>
      </c>
      <c r="B518">
        <v>2012</v>
      </c>
      <c r="C518">
        <v>3.5</v>
      </c>
      <c r="D518" s="3">
        <v>680</v>
      </c>
      <c r="E518" s="3">
        <v>85</v>
      </c>
      <c r="F518" s="3" t="str">
        <f t="shared" si="8"/>
        <v>FGU920123.568085</v>
      </c>
      <c r="G518" t="str">
        <f>IF(ISNA(VLOOKUP($F518,'Raw Data'!$A:$M,7,0)),"",VLOOKUP($F518,'Raw Data'!$A:$M,7,0))</f>
        <v/>
      </c>
      <c r="H518" t="str">
        <f>IF(ISNA(VLOOKUP($F518,'Raw Data'!$A:$M,8,0)),"",VLOOKUP($F518,'Raw Data'!$A:$M,8,0))</f>
        <v/>
      </c>
      <c r="I518" t="str">
        <f>IF(ISNA(VLOOKUP($F518,'Raw Data'!$A:$M,9,0)),"",VLOOKUP($F518,'Raw Data'!$A:$M,9,0))</f>
        <v/>
      </c>
      <c r="J518" t="str">
        <f>IF(ISNA(VLOOKUP($F518,'Raw Data'!$A:$M,10,0)),"",VLOOKUP($F518,'Raw Data'!$A:$M,10,0))</f>
        <v/>
      </c>
      <c r="K518" t="str">
        <f>IF(ISNA(VLOOKUP($F518,'Raw Data'!$A:$M,11,0)),"",VLOOKUP($F518,'Raw Data'!$A:$M,11,0))</f>
        <v/>
      </c>
      <c r="L518" t="str">
        <f>IF(ISNA(VLOOKUP($F518,'Raw Data'!$A:$M,12,0)),"",VLOOKUP($F518,'Raw Data'!$A:$M,12,0))</f>
        <v/>
      </c>
      <c r="M518" t="str">
        <f>IF(ISNA(VLOOKUP($F518,'Raw Data'!$A:$M,13,0)),"",VLOOKUP($F518,'Raw Data'!$A:$M,13,0))</f>
        <v/>
      </c>
    </row>
    <row r="519" spans="1:13" x14ac:dyDescent="0.25">
      <c r="A519" t="s">
        <v>38</v>
      </c>
      <c r="B519">
        <v>2012</v>
      </c>
      <c r="C519">
        <v>3.5</v>
      </c>
      <c r="D519" s="3">
        <v>700</v>
      </c>
      <c r="E519" s="3">
        <v>85</v>
      </c>
      <c r="F519" s="3" t="str">
        <f t="shared" si="8"/>
        <v>FGU920123.570085</v>
      </c>
      <c r="G519" t="str">
        <f>IF(ISNA(VLOOKUP($F519,'Raw Data'!$A:$M,7,0)),"",VLOOKUP($F519,'Raw Data'!$A:$M,7,0))</f>
        <v/>
      </c>
      <c r="H519" t="str">
        <f>IF(ISNA(VLOOKUP($F519,'Raw Data'!$A:$M,8,0)),"",VLOOKUP($F519,'Raw Data'!$A:$M,8,0))</f>
        <v/>
      </c>
      <c r="I519" t="str">
        <f>IF(ISNA(VLOOKUP($F519,'Raw Data'!$A:$M,9,0)),"",VLOOKUP($F519,'Raw Data'!$A:$M,9,0))</f>
        <v/>
      </c>
      <c r="J519" t="str">
        <f>IF(ISNA(VLOOKUP($F519,'Raw Data'!$A:$M,10,0)),"",VLOOKUP($F519,'Raw Data'!$A:$M,10,0))</f>
        <v/>
      </c>
      <c r="K519" t="str">
        <f>IF(ISNA(VLOOKUP($F519,'Raw Data'!$A:$M,11,0)),"",VLOOKUP($F519,'Raw Data'!$A:$M,11,0))</f>
        <v/>
      </c>
      <c r="L519" t="str">
        <f>IF(ISNA(VLOOKUP($F519,'Raw Data'!$A:$M,12,0)),"",VLOOKUP($F519,'Raw Data'!$A:$M,12,0))</f>
        <v/>
      </c>
      <c r="M519" t="str">
        <f>IF(ISNA(VLOOKUP($F519,'Raw Data'!$A:$M,13,0)),"",VLOOKUP($F519,'Raw Data'!$A:$M,13,0))</f>
        <v/>
      </c>
    </row>
    <row r="520" spans="1:13" x14ac:dyDescent="0.25">
      <c r="A520" t="s">
        <v>38</v>
      </c>
      <c r="B520">
        <v>2012</v>
      </c>
      <c r="C520">
        <v>3.5</v>
      </c>
      <c r="D520" s="3">
        <v>720</v>
      </c>
      <c r="E520" s="3">
        <v>85</v>
      </c>
      <c r="F520" s="3" t="str">
        <f t="shared" si="8"/>
        <v>FGU920123.572085</v>
      </c>
      <c r="G520" t="str">
        <f>IF(ISNA(VLOOKUP($F520,'Raw Data'!$A:$M,7,0)),"",VLOOKUP($F520,'Raw Data'!$A:$M,7,0))</f>
        <v/>
      </c>
      <c r="H520" t="str">
        <f>IF(ISNA(VLOOKUP($F520,'Raw Data'!$A:$M,8,0)),"",VLOOKUP($F520,'Raw Data'!$A:$M,8,0))</f>
        <v/>
      </c>
      <c r="I520" t="str">
        <f>IF(ISNA(VLOOKUP($F520,'Raw Data'!$A:$M,9,0)),"",VLOOKUP($F520,'Raw Data'!$A:$M,9,0))</f>
        <v/>
      </c>
      <c r="J520" t="str">
        <f>IF(ISNA(VLOOKUP($F520,'Raw Data'!$A:$M,10,0)),"",VLOOKUP($F520,'Raw Data'!$A:$M,10,0))</f>
        <v/>
      </c>
      <c r="K520" t="str">
        <f>IF(ISNA(VLOOKUP($F520,'Raw Data'!$A:$M,11,0)),"",VLOOKUP($F520,'Raw Data'!$A:$M,11,0))</f>
        <v/>
      </c>
      <c r="L520" t="str">
        <f>IF(ISNA(VLOOKUP($F520,'Raw Data'!$A:$M,12,0)),"",VLOOKUP($F520,'Raw Data'!$A:$M,12,0))</f>
        <v/>
      </c>
      <c r="M520" t="str">
        <f>IF(ISNA(VLOOKUP($F520,'Raw Data'!$A:$M,13,0)),"",VLOOKUP($F520,'Raw Data'!$A:$M,13,0))</f>
        <v/>
      </c>
    </row>
    <row r="521" spans="1:13" x14ac:dyDescent="0.25">
      <c r="A521" t="s">
        <v>38</v>
      </c>
      <c r="B521">
        <v>2012</v>
      </c>
      <c r="C521">
        <v>3.5</v>
      </c>
      <c r="D521" s="3">
        <v>740</v>
      </c>
      <c r="E521" s="3">
        <v>85</v>
      </c>
      <c r="F521" s="3" t="str">
        <f t="shared" si="8"/>
        <v>FGU920123.574085</v>
      </c>
      <c r="G521" t="str">
        <f>IF(ISNA(VLOOKUP($F521,'Raw Data'!$A:$M,7,0)),"",VLOOKUP($F521,'Raw Data'!$A:$M,7,0))</f>
        <v/>
      </c>
      <c r="H521" t="str">
        <f>IF(ISNA(VLOOKUP($F521,'Raw Data'!$A:$M,8,0)),"",VLOOKUP($F521,'Raw Data'!$A:$M,8,0))</f>
        <v/>
      </c>
      <c r="I521" t="str">
        <f>IF(ISNA(VLOOKUP($F521,'Raw Data'!$A:$M,9,0)),"",VLOOKUP($F521,'Raw Data'!$A:$M,9,0))</f>
        <v/>
      </c>
      <c r="J521" t="str">
        <f>IF(ISNA(VLOOKUP($F521,'Raw Data'!$A:$M,10,0)),"",VLOOKUP($F521,'Raw Data'!$A:$M,10,0))</f>
        <v/>
      </c>
      <c r="K521" t="str">
        <f>IF(ISNA(VLOOKUP($F521,'Raw Data'!$A:$M,11,0)),"",VLOOKUP($F521,'Raw Data'!$A:$M,11,0))</f>
        <v/>
      </c>
      <c r="L521" t="str">
        <f>IF(ISNA(VLOOKUP($F521,'Raw Data'!$A:$M,12,0)),"",VLOOKUP($F521,'Raw Data'!$A:$M,12,0))</f>
        <v/>
      </c>
      <c r="M521" t="str">
        <f>IF(ISNA(VLOOKUP($F521,'Raw Data'!$A:$M,13,0)),"",VLOOKUP($F521,'Raw Data'!$A:$M,13,0))</f>
        <v/>
      </c>
    </row>
    <row r="522" spans="1:13" x14ac:dyDescent="0.25">
      <c r="A522" t="s">
        <v>38</v>
      </c>
      <c r="B522">
        <v>2012</v>
      </c>
      <c r="C522">
        <v>3.5</v>
      </c>
      <c r="D522" s="3">
        <v>760</v>
      </c>
      <c r="E522" s="3">
        <v>85</v>
      </c>
      <c r="F522" s="3" t="str">
        <f t="shared" si="8"/>
        <v>FGU920123.576085</v>
      </c>
      <c r="G522" t="str">
        <f>IF(ISNA(VLOOKUP($F522,'Raw Data'!$A:$M,7,0)),"",VLOOKUP($F522,'Raw Data'!$A:$M,7,0))</f>
        <v/>
      </c>
      <c r="H522" t="str">
        <f>IF(ISNA(VLOOKUP($F522,'Raw Data'!$A:$M,8,0)),"",VLOOKUP($F522,'Raw Data'!$A:$M,8,0))</f>
        <v/>
      </c>
      <c r="I522" t="str">
        <f>IF(ISNA(VLOOKUP($F522,'Raw Data'!$A:$M,9,0)),"",VLOOKUP($F522,'Raw Data'!$A:$M,9,0))</f>
        <v/>
      </c>
      <c r="J522" t="str">
        <f>IF(ISNA(VLOOKUP($F522,'Raw Data'!$A:$M,10,0)),"",VLOOKUP($F522,'Raw Data'!$A:$M,10,0))</f>
        <v/>
      </c>
      <c r="K522" t="str">
        <f>IF(ISNA(VLOOKUP($F522,'Raw Data'!$A:$M,11,0)),"",VLOOKUP($F522,'Raw Data'!$A:$M,11,0))</f>
        <v/>
      </c>
      <c r="L522" t="str">
        <f>IF(ISNA(VLOOKUP($F522,'Raw Data'!$A:$M,12,0)),"",VLOOKUP($F522,'Raw Data'!$A:$M,12,0))</f>
        <v/>
      </c>
      <c r="M522" t="str">
        <f>IF(ISNA(VLOOKUP($F522,'Raw Data'!$A:$M,13,0)),"",VLOOKUP($F522,'Raw Data'!$A:$M,13,0))</f>
        <v/>
      </c>
    </row>
    <row r="523" spans="1:13" x14ac:dyDescent="0.25">
      <c r="A523" t="s">
        <v>38</v>
      </c>
      <c r="B523">
        <v>2012</v>
      </c>
      <c r="C523">
        <v>3.5</v>
      </c>
      <c r="D523" s="3">
        <v>780</v>
      </c>
      <c r="E523" s="3">
        <v>85</v>
      </c>
      <c r="F523" s="3" t="str">
        <f t="shared" si="8"/>
        <v>FGU920123.578085</v>
      </c>
      <c r="G523" t="str">
        <f>IF(ISNA(VLOOKUP($F523,'Raw Data'!$A:$M,7,0)),"",VLOOKUP($F523,'Raw Data'!$A:$M,7,0))</f>
        <v/>
      </c>
      <c r="H523" t="str">
        <f>IF(ISNA(VLOOKUP($F523,'Raw Data'!$A:$M,8,0)),"",VLOOKUP($F523,'Raw Data'!$A:$M,8,0))</f>
        <v/>
      </c>
      <c r="I523" t="str">
        <f>IF(ISNA(VLOOKUP($F523,'Raw Data'!$A:$M,9,0)),"",VLOOKUP($F523,'Raw Data'!$A:$M,9,0))</f>
        <v/>
      </c>
      <c r="J523" t="str">
        <f>IF(ISNA(VLOOKUP($F523,'Raw Data'!$A:$M,10,0)),"",VLOOKUP($F523,'Raw Data'!$A:$M,10,0))</f>
        <v/>
      </c>
      <c r="K523" t="str">
        <f>IF(ISNA(VLOOKUP($F523,'Raw Data'!$A:$M,11,0)),"",VLOOKUP($F523,'Raw Data'!$A:$M,11,0))</f>
        <v/>
      </c>
      <c r="L523" t="str">
        <f>IF(ISNA(VLOOKUP($F523,'Raw Data'!$A:$M,12,0)),"",VLOOKUP($F523,'Raw Data'!$A:$M,12,0))</f>
        <v/>
      </c>
      <c r="M523" t="str">
        <f>IF(ISNA(VLOOKUP($F523,'Raw Data'!$A:$M,13,0)),"",VLOOKUP($F523,'Raw Data'!$A:$M,13,0))</f>
        <v/>
      </c>
    </row>
    <row r="524" spans="1:13" x14ac:dyDescent="0.25">
      <c r="A524" t="s">
        <v>38</v>
      </c>
      <c r="B524">
        <v>2012</v>
      </c>
      <c r="C524">
        <v>3.5</v>
      </c>
      <c r="D524" s="3">
        <v>620</v>
      </c>
      <c r="E524" s="3">
        <v>90</v>
      </c>
      <c r="F524" s="3" t="str">
        <f t="shared" si="8"/>
        <v>FGU920123.562090</v>
      </c>
      <c r="G524" t="str">
        <f>IF(ISNA(VLOOKUP($F524,'Raw Data'!$A:$M,7,0)),"",VLOOKUP($F524,'Raw Data'!$A:$M,7,0))</f>
        <v/>
      </c>
      <c r="H524" t="str">
        <f>IF(ISNA(VLOOKUP($F524,'Raw Data'!$A:$M,8,0)),"",VLOOKUP($F524,'Raw Data'!$A:$M,8,0))</f>
        <v/>
      </c>
      <c r="I524" t="str">
        <f>IF(ISNA(VLOOKUP($F524,'Raw Data'!$A:$M,9,0)),"",VLOOKUP($F524,'Raw Data'!$A:$M,9,0))</f>
        <v/>
      </c>
      <c r="J524" t="str">
        <f>IF(ISNA(VLOOKUP($F524,'Raw Data'!$A:$M,10,0)),"",VLOOKUP($F524,'Raw Data'!$A:$M,10,0))</f>
        <v/>
      </c>
      <c r="K524" t="str">
        <f>IF(ISNA(VLOOKUP($F524,'Raw Data'!$A:$M,11,0)),"",VLOOKUP($F524,'Raw Data'!$A:$M,11,0))</f>
        <v/>
      </c>
      <c r="L524" t="str">
        <f>IF(ISNA(VLOOKUP($F524,'Raw Data'!$A:$M,12,0)),"",VLOOKUP($F524,'Raw Data'!$A:$M,12,0))</f>
        <v/>
      </c>
      <c r="M524" t="str">
        <f>IF(ISNA(VLOOKUP($F524,'Raw Data'!$A:$M,13,0)),"",VLOOKUP($F524,'Raw Data'!$A:$M,13,0))</f>
        <v/>
      </c>
    </row>
    <row r="525" spans="1:13" x14ac:dyDescent="0.25">
      <c r="A525" t="s">
        <v>38</v>
      </c>
      <c r="B525">
        <v>2012</v>
      </c>
      <c r="C525">
        <v>3.5</v>
      </c>
      <c r="D525" s="3">
        <v>640</v>
      </c>
      <c r="E525" s="3">
        <v>90</v>
      </c>
      <c r="F525" s="3" t="str">
        <f t="shared" si="8"/>
        <v>FGU920123.564090</v>
      </c>
      <c r="G525" t="str">
        <f>IF(ISNA(VLOOKUP($F525,'Raw Data'!$A:$M,7,0)),"",VLOOKUP($F525,'Raw Data'!$A:$M,7,0))</f>
        <v/>
      </c>
      <c r="H525" t="str">
        <f>IF(ISNA(VLOOKUP($F525,'Raw Data'!$A:$M,8,0)),"",VLOOKUP($F525,'Raw Data'!$A:$M,8,0))</f>
        <v/>
      </c>
      <c r="I525" t="str">
        <f>IF(ISNA(VLOOKUP($F525,'Raw Data'!$A:$M,9,0)),"",VLOOKUP($F525,'Raw Data'!$A:$M,9,0))</f>
        <v/>
      </c>
      <c r="J525" t="str">
        <f>IF(ISNA(VLOOKUP($F525,'Raw Data'!$A:$M,10,0)),"",VLOOKUP($F525,'Raw Data'!$A:$M,10,0))</f>
        <v/>
      </c>
      <c r="K525" t="str">
        <f>IF(ISNA(VLOOKUP($F525,'Raw Data'!$A:$M,11,0)),"",VLOOKUP($F525,'Raw Data'!$A:$M,11,0))</f>
        <v/>
      </c>
      <c r="L525" t="str">
        <f>IF(ISNA(VLOOKUP($F525,'Raw Data'!$A:$M,12,0)),"",VLOOKUP($F525,'Raw Data'!$A:$M,12,0))</f>
        <v/>
      </c>
      <c r="M525" t="str">
        <f>IF(ISNA(VLOOKUP($F525,'Raw Data'!$A:$M,13,0)),"",VLOOKUP($F525,'Raw Data'!$A:$M,13,0))</f>
        <v/>
      </c>
    </row>
    <row r="526" spans="1:13" x14ac:dyDescent="0.25">
      <c r="A526" t="s">
        <v>38</v>
      </c>
      <c r="B526">
        <v>2012</v>
      </c>
      <c r="C526">
        <v>3.5</v>
      </c>
      <c r="D526" s="3">
        <v>660</v>
      </c>
      <c r="E526" s="3">
        <v>90</v>
      </c>
      <c r="F526" s="3" t="str">
        <f t="shared" si="8"/>
        <v>FGU920123.566090</v>
      </c>
      <c r="G526" t="str">
        <f>IF(ISNA(VLOOKUP($F526,'Raw Data'!$A:$M,7,0)),"",VLOOKUP($F526,'Raw Data'!$A:$M,7,0))</f>
        <v/>
      </c>
      <c r="H526" t="str">
        <f>IF(ISNA(VLOOKUP($F526,'Raw Data'!$A:$M,8,0)),"",VLOOKUP($F526,'Raw Data'!$A:$M,8,0))</f>
        <v/>
      </c>
      <c r="I526" t="str">
        <f>IF(ISNA(VLOOKUP($F526,'Raw Data'!$A:$M,9,0)),"",VLOOKUP($F526,'Raw Data'!$A:$M,9,0))</f>
        <v/>
      </c>
      <c r="J526" t="str">
        <f>IF(ISNA(VLOOKUP($F526,'Raw Data'!$A:$M,10,0)),"",VLOOKUP($F526,'Raw Data'!$A:$M,10,0))</f>
        <v/>
      </c>
      <c r="K526" t="str">
        <f>IF(ISNA(VLOOKUP($F526,'Raw Data'!$A:$M,11,0)),"",VLOOKUP($F526,'Raw Data'!$A:$M,11,0))</f>
        <v/>
      </c>
      <c r="L526" t="str">
        <f>IF(ISNA(VLOOKUP($F526,'Raw Data'!$A:$M,12,0)),"",VLOOKUP($F526,'Raw Data'!$A:$M,12,0))</f>
        <v/>
      </c>
      <c r="M526" t="str">
        <f>IF(ISNA(VLOOKUP($F526,'Raw Data'!$A:$M,13,0)),"",VLOOKUP($F526,'Raw Data'!$A:$M,13,0))</f>
        <v/>
      </c>
    </row>
    <row r="527" spans="1:13" x14ac:dyDescent="0.25">
      <c r="A527" t="s">
        <v>38</v>
      </c>
      <c r="B527">
        <v>2012</v>
      </c>
      <c r="C527">
        <v>3.5</v>
      </c>
      <c r="D527" s="3">
        <v>680</v>
      </c>
      <c r="E527" s="3">
        <v>90</v>
      </c>
      <c r="F527" s="3" t="str">
        <f t="shared" si="8"/>
        <v>FGU920123.568090</v>
      </c>
      <c r="G527" t="str">
        <f>IF(ISNA(VLOOKUP($F527,'Raw Data'!$A:$M,7,0)),"",VLOOKUP($F527,'Raw Data'!$A:$M,7,0))</f>
        <v/>
      </c>
      <c r="H527" t="str">
        <f>IF(ISNA(VLOOKUP($F527,'Raw Data'!$A:$M,8,0)),"",VLOOKUP($F527,'Raw Data'!$A:$M,8,0))</f>
        <v/>
      </c>
      <c r="I527" t="str">
        <f>IF(ISNA(VLOOKUP($F527,'Raw Data'!$A:$M,9,0)),"",VLOOKUP($F527,'Raw Data'!$A:$M,9,0))</f>
        <v/>
      </c>
      <c r="J527" t="str">
        <f>IF(ISNA(VLOOKUP($F527,'Raw Data'!$A:$M,10,0)),"",VLOOKUP($F527,'Raw Data'!$A:$M,10,0))</f>
        <v/>
      </c>
      <c r="K527" t="str">
        <f>IF(ISNA(VLOOKUP($F527,'Raw Data'!$A:$M,11,0)),"",VLOOKUP($F527,'Raw Data'!$A:$M,11,0))</f>
        <v/>
      </c>
      <c r="L527" t="str">
        <f>IF(ISNA(VLOOKUP($F527,'Raw Data'!$A:$M,12,0)),"",VLOOKUP($F527,'Raw Data'!$A:$M,12,0))</f>
        <v/>
      </c>
      <c r="M527" t="str">
        <f>IF(ISNA(VLOOKUP($F527,'Raw Data'!$A:$M,13,0)),"",VLOOKUP($F527,'Raw Data'!$A:$M,13,0))</f>
        <v/>
      </c>
    </row>
    <row r="528" spans="1:13" x14ac:dyDescent="0.25">
      <c r="A528" t="s">
        <v>38</v>
      </c>
      <c r="B528">
        <v>2012</v>
      </c>
      <c r="C528">
        <v>3.5</v>
      </c>
      <c r="D528" s="3">
        <v>700</v>
      </c>
      <c r="E528" s="3">
        <v>90</v>
      </c>
      <c r="F528" s="3" t="str">
        <f t="shared" si="8"/>
        <v>FGU920123.570090</v>
      </c>
      <c r="G528" t="str">
        <f>IF(ISNA(VLOOKUP($F528,'Raw Data'!$A:$M,7,0)),"",VLOOKUP($F528,'Raw Data'!$A:$M,7,0))</f>
        <v/>
      </c>
      <c r="H528" t="str">
        <f>IF(ISNA(VLOOKUP($F528,'Raw Data'!$A:$M,8,0)),"",VLOOKUP($F528,'Raw Data'!$A:$M,8,0))</f>
        <v/>
      </c>
      <c r="I528" t="str">
        <f>IF(ISNA(VLOOKUP($F528,'Raw Data'!$A:$M,9,0)),"",VLOOKUP($F528,'Raw Data'!$A:$M,9,0))</f>
        <v/>
      </c>
      <c r="J528" t="str">
        <f>IF(ISNA(VLOOKUP($F528,'Raw Data'!$A:$M,10,0)),"",VLOOKUP($F528,'Raw Data'!$A:$M,10,0))</f>
        <v/>
      </c>
      <c r="K528" t="str">
        <f>IF(ISNA(VLOOKUP($F528,'Raw Data'!$A:$M,11,0)),"",VLOOKUP($F528,'Raw Data'!$A:$M,11,0))</f>
        <v/>
      </c>
      <c r="L528" t="str">
        <f>IF(ISNA(VLOOKUP($F528,'Raw Data'!$A:$M,12,0)),"",VLOOKUP($F528,'Raw Data'!$A:$M,12,0))</f>
        <v/>
      </c>
      <c r="M528" t="str">
        <f>IF(ISNA(VLOOKUP($F528,'Raw Data'!$A:$M,13,0)),"",VLOOKUP($F528,'Raw Data'!$A:$M,13,0))</f>
        <v/>
      </c>
    </row>
    <row r="529" spans="1:13" x14ac:dyDescent="0.25">
      <c r="A529" t="s">
        <v>38</v>
      </c>
      <c r="B529">
        <v>2012</v>
      </c>
      <c r="C529">
        <v>3.5</v>
      </c>
      <c r="D529" s="3">
        <v>720</v>
      </c>
      <c r="E529" s="3">
        <v>90</v>
      </c>
      <c r="F529" s="3" t="str">
        <f t="shared" si="8"/>
        <v>FGU920123.572090</v>
      </c>
      <c r="G529" t="str">
        <f>IF(ISNA(VLOOKUP($F529,'Raw Data'!$A:$M,7,0)),"",VLOOKUP($F529,'Raw Data'!$A:$M,7,0))</f>
        <v/>
      </c>
      <c r="H529" t="str">
        <f>IF(ISNA(VLOOKUP($F529,'Raw Data'!$A:$M,8,0)),"",VLOOKUP($F529,'Raw Data'!$A:$M,8,0))</f>
        <v/>
      </c>
      <c r="I529" t="str">
        <f>IF(ISNA(VLOOKUP($F529,'Raw Data'!$A:$M,9,0)),"",VLOOKUP($F529,'Raw Data'!$A:$M,9,0))</f>
        <v/>
      </c>
      <c r="J529" t="str">
        <f>IF(ISNA(VLOOKUP($F529,'Raw Data'!$A:$M,10,0)),"",VLOOKUP($F529,'Raw Data'!$A:$M,10,0))</f>
        <v/>
      </c>
      <c r="K529" t="str">
        <f>IF(ISNA(VLOOKUP($F529,'Raw Data'!$A:$M,11,0)),"",VLOOKUP($F529,'Raw Data'!$A:$M,11,0))</f>
        <v/>
      </c>
      <c r="L529" t="str">
        <f>IF(ISNA(VLOOKUP($F529,'Raw Data'!$A:$M,12,0)),"",VLOOKUP($F529,'Raw Data'!$A:$M,12,0))</f>
        <v/>
      </c>
      <c r="M529" t="str">
        <f>IF(ISNA(VLOOKUP($F529,'Raw Data'!$A:$M,13,0)),"",VLOOKUP($F529,'Raw Data'!$A:$M,13,0))</f>
        <v/>
      </c>
    </row>
    <row r="530" spans="1:13" x14ac:dyDescent="0.25">
      <c r="A530" t="s">
        <v>38</v>
      </c>
      <c r="B530">
        <v>2012</v>
      </c>
      <c r="C530">
        <v>3.5</v>
      </c>
      <c r="D530" s="3">
        <v>740</v>
      </c>
      <c r="E530" s="3">
        <v>90</v>
      </c>
      <c r="F530" s="3" t="str">
        <f t="shared" si="8"/>
        <v>FGU920123.574090</v>
      </c>
      <c r="G530" t="str">
        <f>IF(ISNA(VLOOKUP($F530,'Raw Data'!$A:$M,7,0)),"",VLOOKUP($F530,'Raw Data'!$A:$M,7,0))</f>
        <v/>
      </c>
      <c r="H530" t="str">
        <f>IF(ISNA(VLOOKUP($F530,'Raw Data'!$A:$M,8,0)),"",VLOOKUP($F530,'Raw Data'!$A:$M,8,0))</f>
        <v/>
      </c>
      <c r="I530" t="str">
        <f>IF(ISNA(VLOOKUP($F530,'Raw Data'!$A:$M,9,0)),"",VLOOKUP($F530,'Raw Data'!$A:$M,9,0))</f>
        <v/>
      </c>
      <c r="J530" t="str">
        <f>IF(ISNA(VLOOKUP($F530,'Raw Data'!$A:$M,10,0)),"",VLOOKUP($F530,'Raw Data'!$A:$M,10,0))</f>
        <v/>
      </c>
      <c r="K530" t="str">
        <f>IF(ISNA(VLOOKUP($F530,'Raw Data'!$A:$M,11,0)),"",VLOOKUP($F530,'Raw Data'!$A:$M,11,0))</f>
        <v/>
      </c>
      <c r="L530" t="str">
        <f>IF(ISNA(VLOOKUP($F530,'Raw Data'!$A:$M,12,0)),"",VLOOKUP($F530,'Raw Data'!$A:$M,12,0))</f>
        <v/>
      </c>
      <c r="M530" t="str">
        <f>IF(ISNA(VLOOKUP($F530,'Raw Data'!$A:$M,13,0)),"",VLOOKUP($F530,'Raw Data'!$A:$M,13,0))</f>
        <v/>
      </c>
    </row>
    <row r="531" spans="1:13" x14ac:dyDescent="0.25">
      <c r="A531" t="s">
        <v>38</v>
      </c>
      <c r="B531">
        <v>2012</v>
      </c>
      <c r="C531">
        <v>3.5</v>
      </c>
      <c r="D531" s="3">
        <v>760</v>
      </c>
      <c r="E531" s="3">
        <v>90</v>
      </c>
      <c r="F531" s="3" t="str">
        <f t="shared" si="8"/>
        <v>FGU920123.576090</v>
      </c>
      <c r="G531" t="str">
        <f>IF(ISNA(VLOOKUP($F531,'Raw Data'!$A:$M,7,0)),"",VLOOKUP($F531,'Raw Data'!$A:$M,7,0))</f>
        <v/>
      </c>
      <c r="H531" t="str">
        <f>IF(ISNA(VLOOKUP($F531,'Raw Data'!$A:$M,8,0)),"",VLOOKUP($F531,'Raw Data'!$A:$M,8,0))</f>
        <v/>
      </c>
      <c r="I531" t="str">
        <f>IF(ISNA(VLOOKUP($F531,'Raw Data'!$A:$M,9,0)),"",VLOOKUP($F531,'Raw Data'!$A:$M,9,0))</f>
        <v/>
      </c>
      <c r="J531" t="str">
        <f>IF(ISNA(VLOOKUP($F531,'Raw Data'!$A:$M,10,0)),"",VLOOKUP($F531,'Raw Data'!$A:$M,10,0))</f>
        <v/>
      </c>
      <c r="K531" t="str">
        <f>IF(ISNA(VLOOKUP($F531,'Raw Data'!$A:$M,11,0)),"",VLOOKUP($F531,'Raw Data'!$A:$M,11,0))</f>
        <v/>
      </c>
      <c r="L531" t="str">
        <f>IF(ISNA(VLOOKUP($F531,'Raw Data'!$A:$M,12,0)),"",VLOOKUP($F531,'Raw Data'!$A:$M,12,0))</f>
        <v/>
      </c>
      <c r="M531" t="str">
        <f>IF(ISNA(VLOOKUP($F531,'Raw Data'!$A:$M,13,0)),"",VLOOKUP($F531,'Raw Data'!$A:$M,13,0))</f>
        <v/>
      </c>
    </row>
    <row r="532" spans="1:13" x14ac:dyDescent="0.25">
      <c r="A532" t="s">
        <v>38</v>
      </c>
      <c r="B532">
        <v>2012</v>
      </c>
      <c r="C532">
        <v>3.5</v>
      </c>
      <c r="D532" s="3">
        <v>780</v>
      </c>
      <c r="E532" s="3">
        <v>90</v>
      </c>
      <c r="F532" s="3" t="str">
        <f t="shared" si="8"/>
        <v>FGU920123.578090</v>
      </c>
      <c r="G532" t="str">
        <f>IF(ISNA(VLOOKUP($F532,'Raw Data'!$A:$M,7,0)),"",VLOOKUP($F532,'Raw Data'!$A:$M,7,0))</f>
        <v/>
      </c>
      <c r="H532" t="str">
        <f>IF(ISNA(VLOOKUP($F532,'Raw Data'!$A:$M,8,0)),"",VLOOKUP($F532,'Raw Data'!$A:$M,8,0))</f>
        <v/>
      </c>
      <c r="I532" t="str">
        <f>IF(ISNA(VLOOKUP($F532,'Raw Data'!$A:$M,9,0)),"",VLOOKUP($F532,'Raw Data'!$A:$M,9,0))</f>
        <v/>
      </c>
      <c r="J532" t="str">
        <f>IF(ISNA(VLOOKUP($F532,'Raw Data'!$A:$M,10,0)),"",VLOOKUP($F532,'Raw Data'!$A:$M,10,0))</f>
        <v/>
      </c>
      <c r="K532" t="str">
        <f>IF(ISNA(VLOOKUP($F532,'Raw Data'!$A:$M,11,0)),"",VLOOKUP($F532,'Raw Data'!$A:$M,11,0))</f>
        <v/>
      </c>
      <c r="L532" t="str">
        <f>IF(ISNA(VLOOKUP($F532,'Raw Data'!$A:$M,12,0)),"",VLOOKUP($F532,'Raw Data'!$A:$M,12,0))</f>
        <v/>
      </c>
      <c r="M532" t="str">
        <f>IF(ISNA(VLOOKUP($F532,'Raw Data'!$A:$M,13,0)),"",VLOOKUP($F532,'Raw Data'!$A:$M,13,0))</f>
        <v/>
      </c>
    </row>
    <row r="533" spans="1:13" x14ac:dyDescent="0.25">
      <c r="A533" t="s">
        <v>38</v>
      </c>
      <c r="B533">
        <v>2012</v>
      </c>
      <c r="C533">
        <v>3.5</v>
      </c>
      <c r="D533" s="3">
        <v>620</v>
      </c>
      <c r="E533" s="3">
        <v>95</v>
      </c>
      <c r="F533" s="3" t="str">
        <f t="shared" si="8"/>
        <v>FGU920123.562095</v>
      </c>
      <c r="G533" t="str">
        <f>IF(ISNA(VLOOKUP($F533,'Raw Data'!$A:$M,7,0)),"",VLOOKUP($F533,'Raw Data'!$A:$M,7,0))</f>
        <v/>
      </c>
      <c r="H533" t="str">
        <f>IF(ISNA(VLOOKUP($F533,'Raw Data'!$A:$M,8,0)),"",VLOOKUP($F533,'Raw Data'!$A:$M,8,0))</f>
        <v/>
      </c>
      <c r="I533" t="str">
        <f>IF(ISNA(VLOOKUP($F533,'Raw Data'!$A:$M,9,0)),"",VLOOKUP($F533,'Raw Data'!$A:$M,9,0))</f>
        <v/>
      </c>
      <c r="J533" t="str">
        <f>IF(ISNA(VLOOKUP($F533,'Raw Data'!$A:$M,10,0)),"",VLOOKUP($F533,'Raw Data'!$A:$M,10,0))</f>
        <v/>
      </c>
      <c r="K533" t="str">
        <f>IF(ISNA(VLOOKUP($F533,'Raw Data'!$A:$M,11,0)),"",VLOOKUP($F533,'Raw Data'!$A:$M,11,0))</f>
        <v/>
      </c>
      <c r="L533" t="str">
        <f>IF(ISNA(VLOOKUP($F533,'Raw Data'!$A:$M,12,0)),"",VLOOKUP($F533,'Raw Data'!$A:$M,12,0))</f>
        <v/>
      </c>
      <c r="M533" t="str">
        <f>IF(ISNA(VLOOKUP($F533,'Raw Data'!$A:$M,13,0)),"",VLOOKUP($F533,'Raw Data'!$A:$M,13,0))</f>
        <v/>
      </c>
    </row>
    <row r="534" spans="1:13" x14ac:dyDescent="0.25">
      <c r="A534" t="s">
        <v>38</v>
      </c>
      <c r="B534">
        <v>2012</v>
      </c>
      <c r="C534">
        <v>3.5</v>
      </c>
      <c r="D534" s="3">
        <v>640</v>
      </c>
      <c r="E534" s="3">
        <v>95</v>
      </c>
      <c r="F534" s="3" t="str">
        <f t="shared" si="8"/>
        <v>FGU920123.564095</v>
      </c>
      <c r="G534" t="str">
        <f>IF(ISNA(VLOOKUP($F534,'Raw Data'!$A:$M,7,0)),"",VLOOKUP($F534,'Raw Data'!$A:$M,7,0))</f>
        <v/>
      </c>
      <c r="H534" t="str">
        <f>IF(ISNA(VLOOKUP($F534,'Raw Data'!$A:$M,8,0)),"",VLOOKUP($F534,'Raw Data'!$A:$M,8,0))</f>
        <v/>
      </c>
      <c r="I534" t="str">
        <f>IF(ISNA(VLOOKUP($F534,'Raw Data'!$A:$M,9,0)),"",VLOOKUP($F534,'Raw Data'!$A:$M,9,0))</f>
        <v/>
      </c>
      <c r="J534" t="str">
        <f>IF(ISNA(VLOOKUP($F534,'Raw Data'!$A:$M,10,0)),"",VLOOKUP($F534,'Raw Data'!$A:$M,10,0))</f>
        <v/>
      </c>
      <c r="K534" t="str">
        <f>IF(ISNA(VLOOKUP($F534,'Raw Data'!$A:$M,11,0)),"",VLOOKUP($F534,'Raw Data'!$A:$M,11,0))</f>
        <v/>
      </c>
      <c r="L534" t="str">
        <f>IF(ISNA(VLOOKUP($F534,'Raw Data'!$A:$M,12,0)),"",VLOOKUP($F534,'Raw Data'!$A:$M,12,0))</f>
        <v/>
      </c>
      <c r="M534" t="str">
        <f>IF(ISNA(VLOOKUP($F534,'Raw Data'!$A:$M,13,0)),"",VLOOKUP($F534,'Raw Data'!$A:$M,13,0))</f>
        <v/>
      </c>
    </row>
    <row r="535" spans="1:13" x14ac:dyDescent="0.25">
      <c r="A535" t="s">
        <v>38</v>
      </c>
      <c r="B535">
        <v>2012</v>
      </c>
      <c r="C535">
        <v>3.5</v>
      </c>
      <c r="D535" s="3">
        <v>660</v>
      </c>
      <c r="E535" s="3">
        <v>95</v>
      </c>
      <c r="F535" s="3" t="str">
        <f t="shared" si="8"/>
        <v>FGU920123.566095</v>
      </c>
      <c r="G535" t="str">
        <f>IF(ISNA(VLOOKUP($F535,'Raw Data'!$A:$M,7,0)),"",VLOOKUP($F535,'Raw Data'!$A:$M,7,0))</f>
        <v/>
      </c>
      <c r="H535" t="str">
        <f>IF(ISNA(VLOOKUP($F535,'Raw Data'!$A:$M,8,0)),"",VLOOKUP($F535,'Raw Data'!$A:$M,8,0))</f>
        <v/>
      </c>
      <c r="I535" t="str">
        <f>IF(ISNA(VLOOKUP($F535,'Raw Data'!$A:$M,9,0)),"",VLOOKUP($F535,'Raw Data'!$A:$M,9,0))</f>
        <v/>
      </c>
      <c r="J535" t="str">
        <f>IF(ISNA(VLOOKUP($F535,'Raw Data'!$A:$M,10,0)),"",VLOOKUP($F535,'Raw Data'!$A:$M,10,0))</f>
        <v/>
      </c>
      <c r="K535" t="str">
        <f>IF(ISNA(VLOOKUP($F535,'Raw Data'!$A:$M,11,0)),"",VLOOKUP($F535,'Raw Data'!$A:$M,11,0))</f>
        <v/>
      </c>
      <c r="L535" t="str">
        <f>IF(ISNA(VLOOKUP($F535,'Raw Data'!$A:$M,12,0)),"",VLOOKUP($F535,'Raw Data'!$A:$M,12,0))</f>
        <v/>
      </c>
      <c r="M535" t="str">
        <f>IF(ISNA(VLOOKUP($F535,'Raw Data'!$A:$M,13,0)),"",VLOOKUP($F535,'Raw Data'!$A:$M,13,0))</f>
        <v/>
      </c>
    </row>
    <row r="536" spans="1:13" x14ac:dyDescent="0.25">
      <c r="A536" t="s">
        <v>38</v>
      </c>
      <c r="B536">
        <v>2012</v>
      </c>
      <c r="C536">
        <v>3.5</v>
      </c>
      <c r="D536" s="3">
        <v>680</v>
      </c>
      <c r="E536" s="3">
        <v>95</v>
      </c>
      <c r="F536" s="3" t="str">
        <f t="shared" si="8"/>
        <v>FGU920123.568095</v>
      </c>
      <c r="G536" t="str">
        <f>IF(ISNA(VLOOKUP($F536,'Raw Data'!$A:$M,7,0)),"",VLOOKUP($F536,'Raw Data'!$A:$M,7,0))</f>
        <v/>
      </c>
      <c r="H536" t="str">
        <f>IF(ISNA(VLOOKUP($F536,'Raw Data'!$A:$M,8,0)),"",VLOOKUP($F536,'Raw Data'!$A:$M,8,0))</f>
        <v/>
      </c>
      <c r="I536" t="str">
        <f>IF(ISNA(VLOOKUP($F536,'Raw Data'!$A:$M,9,0)),"",VLOOKUP($F536,'Raw Data'!$A:$M,9,0))</f>
        <v/>
      </c>
      <c r="J536" t="str">
        <f>IF(ISNA(VLOOKUP($F536,'Raw Data'!$A:$M,10,0)),"",VLOOKUP($F536,'Raw Data'!$A:$M,10,0))</f>
        <v/>
      </c>
      <c r="K536" t="str">
        <f>IF(ISNA(VLOOKUP($F536,'Raw Data'!$A:$M,11,0)),"",VLOOKUP($F536,'Raw Data'!$A:$M,11,0))</f>
        <v/>
      </c>
      <c r="L536" t="str">
        <f>IF(ISNA(VLOOKUP($F536,'Raw Data'!$A:$M,12,0)),"",VLOOKUP($F536,'Raw Data'!$A:$M,12,0))</f>
        <v/>
      </c>
      <c r="M536" t="str">
        <f>IF(ISNA(VLOOKUP($F536,'Raw Data'!$A:$M,13,0)),"",VLOOKUP($F536,'Raw Data'!$A:$M,13,0))</f>
        <v/>
      </c>
    </row>
    <row r="537" spans="1:13" x14ac:dyDescent="0.25">
      <c r="A537" t="s">
        <v>38</v>
      </c>
      <c r="B537">
        <v>2012</v>
      </c>
      <c r="C537">
        <v>3.5</v>
      </c>
      <c r="D537" s="3">
        <v>700</v>
      </c>
      <c r="E537" s="3">
        <v>95</v>
      </c>
      <c r="F537" s="3" t="str">
        <f t="shared" si="8"/>
        <v>FGU920123.570095</v>
      </c>
      <c r="G537" t="str">
        <f>IF(ISNA(VLOOKUP($F537,'Raw Data'!$A:$M,7,0)),"",VLOOKUP($F537,'Raw Data'!$A:$M,7,0))</f>
        <v/>
      </c>
      <c r="H537" t="str">
        <f>IF(ISNA(VLOOKUP($F537,'Raw Data'!$A:$M,8,0)),"",VLOOKUP($F537,'Raw Data'!$A:$M,8,0))</f>
        <v/>
      </c>
      <c r="I537" t="str">
        <f>IF(ISNA(VLOOKUP($F537,'Raw Data'!$A:$M,9,0)),"",VLOOKUP($F537,'Raw Data'!$A:$M,9,0))</f>
        <v/>
      </c>
      <c r="J537" t="str">
        <f>IF(ISNA(VLOOKUP($F537,'Raw Data'!$A:$M,10,0)),"",VLOOKUP($F537,'Raw Data'!$A:$M,10,0))</f>
        <v/>
      </c>
      <c r="K537" t="str">
        <f>IF(ISNA(VLOOKUP($F537,'Raw Data'!$A:$M,11,0)),"",VLOOKUP($F537,'Raw Data'!$A:$M,11,0))</f>
        <v/>
      </c>
      <c r="L537" t="str">
        <f>IF(ISNA(VLOOKUP($F537,'Raw Data'!$A:$M,12,0)),"",VLOOKUP($F537,'Raw Data'!$A:$M,12,0))</f>
        <v/>
      </c>
      <c r="M537" t="str">
        <f>IF(ISNA(VLOOKUP($F537,'Raw Data'!$A:$M,13,0)),"",VLOOKUP($F537,'Raw Data'!$A:$M,13,0))</f>
        <v/>
      </c>
    </row>
    <row r="538" spans="1:13" x14ac:dyDescent="0.25">
      <c r="A538" t="s">
        <v>38</v>
      </c>
      <c r="B538">
        <v>2012</v>
      </c>
      <c r="C538">
        <v>3.5</v>
      </c>
      <c r="D538" s="3">
        <v>720</v>
      </c>
      <c r="E538" s="3">
        <v>95</v>
      </c>
      <c r="F538" s="3" t="str">
        <f t="shared" si="8"/>
        <v>FGU920123.572095</v>
      </c>
      <c r="G538" t="str">
        <f>IF(ISNA(VLOOKUP($F538,'Raw Data'!$A:$M,7,0)),"",VLOOKUP($F538,'Raw Data'!$A:$M,7,0))</f>
        <v/>
      </c>
      <c r="H538" t="str">
        <f>IF(ISNA(VLOOKUP($F538,'Raw Data'!$A:$M,8,0)),"",VLOOKUP($F538,'Raw Data'!$A:$M,8,0))</f>
        <v/>
      </c>
      <c r="I538" t="str">
        <f>IF(ISNA(VLOOKUP($F538,'Raw Data'!$A:$M,9,0)),"",VLOOKUP($F538,'Raw Data'!$A:$M,9,0))</f>
        <v/>
      </c>
      <c r="J538" t="str">
        <f>IF(ISNA(VLOOKUP($F538,'Raw Data'!$A:$M,10,0)),"",VLOOKUP($F538,'Raw Data'!$A:$M,10,0))</f>
        <v/>
      </c>
      <c r="K538" t="str">
        <f>IF(ISNA(VLOOKUP($F538,'Raw Data'!$A:$M,11,0)),"",VLOOKUP($F538,'Raw Data'!$A:$M,11,0))</f>
        <v/>
      </c>
      <c r="L538" t="str">
        <f>IF(ISNA(VLOOKUP($F538,'Raw Data'!$A:$M,12,0)),"",VLOOKUP($F538,'Raw Data'!$A:$M,12,0))</f>
        <v/>
      </c>
      <c r="M538" t="str">
        <f>IF(ISNA(VLOOKUP($F538,'Raw Data'!$A:$M,13,0)),"",VLOOKUP($F538,'Raw Data'!$A:$M,13,0))</f>
        <v/>
      </c>
    </row>
    <row r="539" spans="1:13" x14ac:dyDescent="0.25">
      <c r="A539" t="s">
        <v>38</v>
      </c>
      <c r="B539">
        <v>2012</v>
      </c>
      <c r="C539">
        <v>3.5</v>
      </c>
      <c r="D539" s="3">
        <v>740</v>
      </c>
      <c r="E539" s="3">
        <v>95</v>
      </c>
      <c r="F539" s="3" t="str">
        <f t="shared" si="8"/>
        <v>FGU920123.574095</v>
      </c>
      <c r="G539" t="str">
        <f>IF(ISNA(VLOOKUP($F539,'Raw Data'!$A:$M,7,0)),"",VLOOKUP($F539,'Raw Data'!$A:$M,7,0))</f>
        <v/>
      </c>
      <c r="H539" t="str">
        <f>IF(ISNA(VLOOKUP($F539,'Raw Data'!$A:$M,8,0)),"",VLOOKUP($F539,'Raw Data'!$A:$M,8,0))</f>
        <v/>
      </c>
      <c r="I539" t="str">
        <f>IF(ISNA(VLOOKUP($F539,'Raw Data'!$A:$M,9,0)),"",VLOOKUP($F539,'Raw Data'!$A:$M,9,0))</f>
        <v/>
      </c>
      <c r="J539" t="str">
        <f>IF(ISNA(VLOOKUP($F539,'Raw Data'!$A:$M,10,0)),"",VLOOKUP($F539,'Raw Data'!$A:$M,10,0))</f>
        <v/>
      </c>
      <c r="K539" t="str">
        <f>IF(ISNA(VLOOKUP($F539,'Raw Data'!$A:$M,11,0)),"",VLOOKUP($F539,'Raw Data'!$A:$M,11,0))</f>
        <v/>
      </c>
      <c r="L539" t="str">
        <f>IF(ISNA(VLOOKUP($F539,'Raw Data'!$A:$M,12,0)),"",VLOOKUP($F539,'Raw Data'!$A:$M,12,0))</f>
        <v/>
      </c>
      <c r="M539" t="str">
        <f>IF(ISNA(VLOOKUP($F539,'Raw Data'!$A:$M,13,0)),"",VLOOKUP($F539,'Raw Data'!$A:$M,13,0))</f>
        <v/>
      </c>
    </row>
    <row r="540" spans="1:13" x14ac:dyDescent="0.25">
      <c r="A540" t="s">
        <v>38</v>
      </c>
      <c r="B540">
        <v>2012</v>
      </c>
      <c r="C540">
        <v>3.5</v>
      </c>
      <c r="D540" s="3">
        <v>760</v>
      </c>
      <c r="E540" s="3">
        <v>95</v>
      </c>
      <c r="F540" s="3" t="str">
        <f t="shared" si="8"/>
        <v>FGU920123.576095</v>
      </c>
      <c r="G540" t="str">
        <f>IF(ISNA(VLOOKUP($F540,'Raw Data'!$A:$M,7,0)),"",VLOOKUP($F540,'Raw Data'!$A:$M,7,0))</f>
        <v/>
      </c>
      <c r="H540" t="str">
        <f>IF(ISNA(VLOOKUP($F540,'Raw Data'!$A:$M,8,0)),"",VLOOKUP($F540,'Raw Data'!$A:$M,8,0))</f>
        <v/>
      </c>
      <c r="I540" t="str">
        <f>IF(ISNA(VLOOKUP($F540,'Raw Data'!$A:$M,9,0)),"",VLOOKUP($F540,'Raw Data'!$A:$M,9,0))</f>
        <v/>
      </c>
      <c r="J540" t="str">
        <f>IF(ISNA(VLOOKUP($F540,'Raw Data'!$A:$M,10,0)),"",VLOOKUP($F540,'Raw Data'!$A:$M,10,0))</f>
        <v/>
      </c>
      <c r="K540" t="str">
        <f>IF(ISNA(VLOOKUP($F540,'Raw Data'!$A:$M,11,0)),"",VLOOKUP($F540,'Raw Data'!$A:$M,11,0))</f>
        <v/>
      </c>
      <c r="L540" t="str">
        <f>IF(ISNA(VLOOKUP($F540,'Raw Data'!$A:$M,12,0)),"",VLOOKUP($F540,'Raw Data'!$A:$M,12,0))</f>
        <v/>
      </c>
      <c r="M540" t="str">
        <f>IF(ISNA(VLOOKUP($F540,'Raw Data'!$A:$M,13,0)),"",VLOOKUP($F540,'Raw Data'!$A:$M,13,0))</f>
        <v/>
      </c>
    </row>
    <row r="541" spans="1:13" x14ac:dyDescent="0.25">
      <c r="A541" t="s">
        <v>38</v>
      </c>
      <c r="B541">
        <v>2012</v>
      </c>
      <c r="C541">
        <v>3.5</v>
      </c>
      <c r="D541" s="3">
        <v>780</v>
      </c>
      <c r="E541" s="3">
        <v>95</v>
      </c>
      <c r="F541" s="3" t="str">
        <f t="shared" si="8"/>
        <v>FGU920123.578095</v>
      </c>
      <c r="G541" t="str">
        <f>IF(ISNA(VLOOKUP($F541,'Raw Data'!$A:$M,7,0)),"",VLOOKUP($F541,'Raw Data'!$A:$M,7,0))</f>
        <v/>
      </c>
      <c r="H541" t="str">
        <f>IF(ISNA(VLOOKUP($F541,'Raw Data'!$A:$M,8,0)),"",VLOOKUP($F541,'Raw Data'!$A:$M,8,0))</f>
        <v/>
      </c>
      <c r="I541" t="str">
        <f>IF(ISNA(VLOOKUP($F541,'Raw Data'!$A:$M,9,0)),"",VLOOKUP($F541,'Raw Data'!$A:$M,9,0))</f>
        <v/>
      </c>
      <c r="J541" t="str">
        <f>IF(ISNA(VLOOKUP($F541,'Raw Data'!$A:$M,10,0)),"",VLOOKUP($F541,'Raw Data'!$A:$M,10,0))</f>
        <v/>
      </c>
      <c r="K541" t="str">
        <f>IF(ISNA(VLOOKUP($F541,'Raw Data'!$A:$M,11,0)),"",VLOOKUP($F541,'Raw Data'!$A:$M,11,0))</f>
        <v/>
      </c>
      <c r="L541" t="str">
        <f>IF(ISNA(VLOOKUP($F541,'Raw Data'!$A:$M,12,0)),"",VLOOKUP($F541,'Raw Data'!$A:$M,12,0))</f>
        <v/>
      </c>
      <c r="M541" t="str">
        <f>IF(ISNA(VLOOKUP($F541,'Raw Data'!$A:$M,13,0)),"",VLOOKUP($F541,'Raw Data'!$A:$M,13,0))</f>
        <v/>
      </c>
    </row>
    <row r="542" spans="1:13" x14ac:dyDescent="0.25">
      <c r="A542" t="s">
        <v>38</v>
      </c>
      <c r="B542">
        <v>2012</v>
      </c>
      <c r="C542">
        <v>3.5</v>
      </c>
      <c r="D542" s="3">
        <v>620</v>
      </c>
      <c r="E542" s="3">
        <v>97</v>
      </c>
      <c r="F542" s="3" t="str">
        <f t="shared" si="8"/>
        <v>FGU920123.562097</v>
      </c>
      <c r="G542" t="str">
        <f>IF(ISNA(VLOOKUP($F542,'Raw Data'!$A:$M,7,0)),"",VLOOKUP($F542,'Raw Data'!$A:$M,7,0))</f>
        <v/>
      </c>
      <c r="H542" t="str">
        <f>IF(ISNA(VLOOKUP($F542,'Raw Data'!$A:$M,8,0)),"",VLOOKUP($F542,'Raw Data'!$A:$M,8,0))</f>
        <v/>
      </c>
      <c r="I542" t="str">
        <f>IF(ISNA(VLOOKUP($F542,'Raw Data'!$A:$M,9,0)),"",VLOOKUP($F542,'Raw Data'!$A:$M,9,0))</f>
        <v/>
      </c>
      <c r="J542" t="str">
        <f>IF(ISNA(VLOOKUP($F542,'Raw Data'!$A:$M,10,0)),"",VLOOKUP($F542,'Raw Data'!$A:$M,10,0))</f>
        <v/>
      </c>
      <c r="K542" t="str">
        <f>IF(ISNA(VLOOKUP($F542,'Raw Data'!$A:$M,11,0)),"",VLOOKUP($F542,'Raw Data'!$A:$M,11,0))</f>
        <v/>
      </c>
      <c r="L542" t="str">
        <f>IF(ISNA(VLOOKUP($F542,'Raw Data'!$A:$M,12,0)),"",VLOOKUP($F542,'Raw Data'!$A:$M,12,0))</f>
        <v/>
      </c>
      <c r="M542" t="str">
        <f>IF(ISNA(VLOOKUP($F542,'Raw Data'!$A:$M,13,0)),"",VLOOKUP($F542,'Raw Data'!$A:$M,13,0))</f>
        <v/>
      </c>
    </row>
    <row r="543" spans="1:13" x14ac:dyDescent="0.25">
      <c r="A543" t="s">
        <v>38</v>
      </c>
      <c r="B543">
        <v>2012</v>
      </c>
      <c r="C543">
        <v>3.5</v>
      </c>
      <c r="D543" s="3">
        <v>640</v>
      </c>
      <c r="E543" s="3">
        <v>97</v>
      </c>
      <c r="F543" s="3" t="str">
        <f t="shared" si="8"/>
        <v>FGU920123.564097</v>
      </c>
      <c r="G543" t="str">
        <f>IF(ISNA(VLOOKUP($F543,'Raw Data'!$A:$M,7,0)),"",VLOOKUP($F543,'Raw Data'!$A:$M,7,0))</f>
        <v/>
      </c>
      <c r="H543" t="str">
        <f>IF(ISNA(VLOOKUP($F543,'Raw Data'!$A:$M,8,0)),"",VLOOKUP($F543,'Raw Data'!$A:$M,8,0))</f>
        <v/>
      </c>
      <c r="I543" t="str">
        <f>IF(ISNA(VLOOKUP($F543,'Raw Data'!$A:$M,9,0)),"",VLOOKUP($F543,'Raw Data'!$A:$M,9,0))</f>
        <v/>
      </c>
      <c r="J543" t="str">
        <f>IF(ISNA(VLOOKUP($F543,'Raw Data'!$A:$M,10,0)),"",VLOOKUP($F543,'Raw Data'!$A:$M,10,0))</f>
        <v/>
      </c>
      <c r="K543" t="str">
        <f>IF(ISNA(VLOOKUP($F543,'Raw Data'!$A:$M,11,0)),"",VLOOKUP($F543,'Raw Data'!$A:$M,11,0))</f>
        <v/>
      </c>
      <c r="L543" t="str">
        <f>IF(ISNA(VLOOKUP($F543,'Raw Data'!$A:$M,12,0)),"",VLOOKUP($F543,'Raw Data'!$A:$M,12,0))</f>
        <v/>
      </c>
      <c r="M543" t="str">
        <f>IF(ISNA(VLOOKUP($F543,'Raw Data'!$A:$M,13,0)),"",VLOOKUP($F543,'Raw Data'!$A:$M,13,0))</f>
        <v/>
      </c>
    </row>
    <row r="544" spans="1:13" x14ac:dyDescent="0.25">
      <c r="A544" t="s">
        <v>38</v>
      </c>
      <c r="B544">
        <v>2012</v>
      </c>
      <c r="C544">
        <v>3.5</v>
      </c>
      <c r="D544" s="3">
        <v>660</v>
      </c>
      <c r="E544" s="3">
        <v>97</v>
      </c>
      <c r="F544" s="3" t="str">
        <f t="shared" si="8"/>
        <v>FGU920123.566097</v>
      </c>
      <c r="G544" t="str">
        <f>IF(ISNA(VLOOKUP($F544,'Raw Data'!$A:$M,7,0)),"",VLOOKUP($F544,'Raw Data'!$A:$M,7,0))</f>
        <v/>
      </c>
      <c r="H544" t="str">
        <f>IF(ISNA(VLOOKUP($F544,'Raw Data'!$A:$M,8,0)),"",VLOOKUP($F544,'Raw Data'!$A:$M,8,0))</f>
        <v/>
      </c>
      <c r="I544" t="str">
        <f>IF(ISNA(VLOOKUP($F544,'Raw Data'!$A:$M,9,0)),"",VLOOKUP($F544,'Raw Data'!$A:$M,9,0))</f>
        <v/>
      </c>
      <c r="J544" t="str">
        <f>IF(ISNA(VLOOKUP($F544,'Raw Data'!$A:$M,10,0)),"",VLOOKUP($F544,'Raw Data'!$A:$M,10,0))</f>
        <v/>
      </c>
      <c r="K544" t="str">
        <f>IF(ISNA(VLOOKUP($F544,'Raw Data'!$A:$M,11,0)),"",VLOOKUP($F544,'Raw Data'!$A:$M,11,0))</f>
        <v/>
      </c>
      <c r="L544" t="str">
        <f>IF(ISNA(VLOOKUP($F544,'Raw Data'!$A:$M,12,0)),"",VLOOKUP($F544,'Raw Data'!$A:$M,12,0))</f>
        <v/>
      </c>
      <c r="M544" t="str">
        <f>IF(ISNA(VLOOKUP($F544,'Raw Data'!$A:$M,13,0)),"",VLOOKUP($F544,'Raw Data'!$A:$M,13,0))</f>
        <v/>
      </c>
    </row>
    <row r="545" spans="1:13" x14ac:dyDescent="0.25">
      <c r="A545" t="s">
        <v>38</v>
      </c>
      <c r="B545">
        <v>2012</v>
      </c>
      <c r="C545">
        <v>3.5</v>
      </c>
      <c r="D545" s="3">
        <v>680</v>
      </c>
      <c r="E545" s="3">
        <v>97</v>
      </c>
      <c r="F545" s="3" t="str">
        <f t="shared" si="8"/>
        <v>FGU920123.568097</v>
      </c>
      <c r="G545" t="str">
        <f>IF(ISNA(VLOOKUP($F545,'Raw Data'!$A:$M,7,0)),"",VLOOKUP($F545,'Raw Data'!$A:$M,7,0))</f>
        <v/>
      </c>
      <c r="H545" t="str">
        <f>IF(ISNA(VLOOKUP($F545,'Raw Data'!$A:$M,8,0)),"",VLOOKUP($F545,'Raw Data'!$A:$M,8,0))</f>
        <v/>
      </c>
      <c r="I545" t="str">
        <f>IF(ISNA(VLOOKUP($F545,'Raw Data'!$A:$M,9,0)),"",VLOOKUP($F545,'Raw Data'!$A:$M,9,0))</f>
        <v/>
      </c>
      <c r="J545" t="str">
        <f>IF(ISNA(VLOOKUP($F545,'Raw Data'!$A:$M,10,0)),"",VLOOKUP($F545,'Raw Data'!$A:$M,10,0))</f>
        <v/>
      </c>
      <c r="K545" t="str">
        <f>IF(ISNA(VLOOKUP($F545,'Raw Data'!$A:$M,11,0)),"",VLOOKUP($F545,'Raw Data'!$A:$M,11,0))</f>
        <v/>
      </c>
      <c r="L545" t="str">
        <f>IF(ISNA(VLOOKUP($F545,'Raw Data'!$A:$M,12,0)),"",VLOOKUP($F545,'Raw Data'!$A:$M,12,0))</f>
        <v/>
      </c>
      <c r="M545" t="str">
        <f>IF(ISNA(VLOOKUP($F545,'Raw Data'!$A:$M,13,0)),"",VLOOKUP($F545,'Raw Data'!$A:$M,13,0))</f>
        <v/>
      </c>
    </row>
    <row r="546" spans="1:13" x14ac:dyDescent="0.25">
      <c r="A546" t="s">
        <v>38</v>
      </c>
      <c r="B546">
        <v>2012</v>
      </c>
      <c r="C546">
        <v>3.5</v>
      </c>
      <c r="D546" s="3">
        <v>700</v>
      </c>
      <c r="E546" s="3">
        <v>97</v>
      </c>
      <c r="F546" s="3" t="str">
        <f t="shared" si="8"/>
        <v>FGU920123.570097</v>
      </c>
      <c r="G546" t="str">
        <f>IF(ISNA(VLOOKUP($F546,'Raw Data'!$A:$M,7,0)),"",VLOOKUP($F546,'Raw Data'!$A:$M,7,0))</f>
        <v/>
      </c>
      <c r="H546" t="str">
        <f>IF(ISNA(VLOOKUP($F546,'Raw Data'!$A:$M,8,0)),"",VLOOKUP($F546,'Raw Data'!$A:$M,8,0))</f>
        <v/>
      </c>
      <c r="I546" t="str">
        <f>IF(ISNA(VLOOKUP($F546,'Raw Data'!$A:$M,9,0)),"",VLOOKUP($F546,'Raw Data'!$A:$M,9,0))</f>
        <v/>
      </c>
      <c r="J546" t="str">
        <f>IF(ISNA(VLOOKUP($F546,'Raw Data'!$A:$M,10,0)),"",VLOOKUP($F546,'Raw Data'!$A:$M,10,0))</f>
        <v/>
      </c>
      <c r="K546" t="str">
        <f>IF(ISNA(VLOOKUP($F546,'Raw Data'!$A:$M,11,0)),"",VLOOKUP($F546,'Raw Data'!$A:$M,11,0))</f>
        <v/>
      </c>
      <c r="L546" t="str">
        <f>IF(ISNA(VLOOKUP($F546,'Raw Data'!$A:$M,12,0)),"",VLOOKUP($F546,'Raw Data'!$A:$M,12,0))</f>
        <v/>
      </c>
      <c r="M546" t="str">
        <f>IF(ISNA(VLOOKUP($F546,'Raw Data'!$A:$M,13,0)),"",VLOOKUP($F546,'Raw Data'!$A:$M,13,0))</f>
        <v/>
      </c>
    </row>
    <row r="547" spans="1:13" x14ac:dyDescent="0.25">
      <c r="A547" t="s">
        <v>38</v>
      </c>
      <c r="B547">
        <v>2012</v>
      </c>
      <c r="C547">
        <v>3.5</v>
      </c>
      <c r="D547" s="3">
        <v>720</v>
      </c>
      <c r="E547" s="3">
        <v>97</v>
      </c>
      <c r="F547" s="3" t="str">
        <f t="shared" si="8"/>
        <v>FGU920123.572097</v>
      </c>
      <c r="G547" t="str">
        <f>IF(ISNA(VLOOKUP($F547,'Raw Data'!$A:$M,7,0)),"",VLOOKUP($F547,'Raw Data'!$A:$M,7,0))</f>
        <v/>
      </c>
      <c r="H547" t="str">
        <f>IF(ISNA(VLOOKUP($F547,'Raw Data'!$A:$M,8,0)),"",VLOOKUP($F547,'Raw Data'!$A:$M,8,0))</f>
        <v/>
      </c>
      <c r="I547" t="str">
        <f>IF(ISNA(VLOOKUP($F547,'Raw Data'!$A:$M,9,0)),"",VLOOKUP($F547,'Raw Data'!$A:$M,9,0))</f>
        <v/>
      </c>
      <c r="J547" t="str">
        <f>IF(ISNA(VLOOKUP($F547,'Raw Data'!$A:$M,10,0)),"",VLOOKUP($F547,'Raw Data'!$A:$M,10,0))</f>
        <v/>
      </c>
      <c r="K547" t="str">
        <f>IF(ISNA(VLOOKUP($F547,'Raw Data'!$A:$M,11,0)),"",VLOOKUP($F547,'Raw Data'!$A:$M,11,0))</f>
        <v/>
      </c>
      <c r="L547" t="str">
        <f>IF(ISNA(VLOOKUP($F547,'Raw Data'!$A:$M,12,0)),"",VLOOKUP($F547,'Raw Data'!$A:$M,12,0))</f>
        <v/>
      </c>
      <c r="M547" t="str">
        <f>IF(ISNA(VLOOKUP($F547,'Raw Data'!$A:$M,13,0)),"",VLOOKUP($F547,'Raw Data'!$A:$M,13,0))</f>
        <v/>
      </c>
    </row>
    <row r="548" spans="1:13" x14ac:dyDescent="0.25">
      <c r="A548" t="s">
        <v>38</v>
      </c>
      <c r="B548">
        <v>2012</v>
      </c>
      <c r="C548">
        <v>3.5</v>
      </c>
      <c r="D548" s="3">
        <v>740</v>
      </c>
      <c r="E548" s="3">
        <v>97</v>
      </c>
      <c r="F548" s="3" t="str">
        <f t="shared" si="8"/>
        <v>FGU920123.574097</v>
      </c>
      <c r="G548" t="str">
        <f>IF(ISNA(VLOOKUP($F548,'Raw Data'!$A:$M,7,0)),"",VLOOKUP($F548,'Raw Data'!$A:$M,7,0))</f>
        <v/>
      </c>
      <c r="H548" t="str">
        <f>IF(ISNA(VLOOKUP($F548,'Raw Data'!$A:$M,8,0)),"",VLOOKUP($F548,'Raw Data'!$A:$M,8,0))</f>
        <v/>
      </c>
      <c r="I548" t="str">
        <f>IF(ISNA(VLOOKUP($F548,'Raw Data'!$A:$M,9,0)),"",VLOOKUP($F548,'Raw Data'!$A:$M,9,0))</f>
        <v/>
      </c>
      <c r="J548" t="str">
        <f>IF(ISNA(VLOOKUP($F548,'Raw Data'!$A:$M,10,0)),"",VLOOKUP($F548,'Raw Data'!$A:$M,10,0))</f>
        <v/>
      </c>
      <c r="K548" t="str">
        <f>IF(ISNA(VLOOKUP($F548,'Raw Data'!$A:$M,11,0)),"",VLOOKUP($F548,'Raw Data'!$A:$M,11,0))</f>
        <v/>
      </c>
      <c r="L548" t="str">
        <f>IF(ISNA(VLOOKUP($F548,'Raw Data'!$A:$M,12,0)),"",VLOOKUP($F548,'Raw Data'!$A:$M,12,0))</f>
        <v/>
      </c>
      <c r="M548" t="str">
        <f>IF(ISNA(VLOOKUP($F548,'Raw Data'!$A:$M,13,0)),"",VLOOKUP($F548,'Raw Data'!$A:$M,13,0))</f>
        <v/>
      </c>
    </row>
    <row r="549" spans="1:13" x14ac:dyDescent="0.25">
      <c r="A549" t="s">
        <v>38</v>
      </c>
      <c r="B549">
        <v>2012</v>
      </c>
      <c r="C549">
        <v>3.5</v>
      </c>
      <c r="D549" s="3">
        <v>760</v>
      </c>
      <c r="E549" s="3">
        <v>97</v>
      </c>
      <c r="F549" s="3" t="str">
        <f t="shared" si="8"/>
        <v>FGU920123.576097</v>
      </c>
      <c r="G549" t="str">
        <f>IF(ISNA(VLOOKUP($F549,'Raw Data'!$A:$M,7,0)),"",VLOOKUP($F549,'Raw Data'!$A:$M,7,0))</f>
        <v/>
      </c>
      <c r="H549" t="str">
        <f>IF(ISNA(VLOOKUP($F549,'Raw Data'!$A:$M,8,0)),"",VLOOKUP($F549,'Raw Data'!$A:$M,8,0))</f>
        <v/>
      </c>
      <c r="I549" t="str">
        <f>IF(ISNA(VLOOKUP($F549,'Raw Data'!$A:$M,9,0)),"",VLOOKUP($F549,'Raw Data'!$A:$M,9,0))</f>
        <v/>
      </c>
      <c r="J549" t="str">
        <f>IF(ISNA(VLOOKUP($F549,'Raw Data'!$A:$M,10,0)),"",VLOOKUP($F549,'Raw Data'!$A:$M,10,0))</f>
        <v/>
      </c>
      <c r="K549" t="str">
        <f>IF(ISNA(VLOOKUP($F549,'Raw Data'!$A:$M,11,0)),"",VLOOKUP($F549,'Raw Data'!$A:$M,11,0))</f>
        <v/>
      </c>
      <c r="L549" t="str">
        <f>IF(ISNA(VLOOKUP($F549,'Raw Data'!$A:$M,12,0)),"",VLOOKUP($F549,'Raw Data'!$A:$M,12,0))</f>
        <v/>
      </c>
      <c r="M549" t="str">
        <f>IF(ISNA(VLOOKUP($F549,'Raw Data'!$A:$M,13,0)),"",VLOOKUP($F549,'Raw Data'!$A:$M,13,0))</f>
        <v/>
      </c>
    </row>
    <row r="550" spans="1:13" x14ac:dyDescent="0.25">
      <c r="A550" t="s">
        <v>38</v>
      </c>
      <c r="B550">
        <v>2012</v>
      </c>
      <c r="C550">
        <v>3.5</v>
      </c>
      <c r="D550" s="3">
        <v>780</v>
      </c>
      <c r="E550" s="3">
        <v>97</v>
      </c>
      <c r="F550" s="3" t="str">
        <f t="shared" si="8"/>
        <v>FGU920123.578097</v>
      </c>
      <c r="G550" t="str">
        <f>IF(ISNA(VLOOKUP($F550,'Raw Data'!$A:$M,7,0)),"",VLOOKUP($F550,'Raw Data'!$A:$M,7,0))</f>
        <v/>
      </c>
      <c r="H550" t="str">
        <f>IF(ISNA(VLOOKUP($F550,'Raw Data'!$A:$M,8,0)),"",VLOOKUP($F550,'Raw Data'!$A:$M,8,0))</f>
        <v/>
      </c>
      <c r="I550" t="str">
        <f>IF(ISNA(VLOOKUP($F550,'Raw Data'!$A:$M,9,0)),"",VLOOKUP($F550,'Raw Data'!$A:$M,9,0))</f>
        <v/>
      </c>
      <c r="J550" t="str">
        <f>IF(ISNA(VLOOKUP($F550,'Raw Data'!$A:$M,10,0)),"",VLOOKUP($F550,'Raw Data'!$A:$M,10,0))</f>
        <v/>
      </c>
      <c r="K550" t="str">
        <f>IF(ISNA(VLOOKUP($F550,'Raw Data'!$A:$M,11,0)),"",VLOOKUP($F550,'Raw Data'!$A:$M,11,0))</f>
        <v/>
      </c>
      <c r="L550" t="str">
        <f>IF(ISNA(VLOOKUP($F550,'Raw Data'!$A:$M,12,0)),"",VLOOKUP($F550,'Raw Data'!$A:$M,12,0))</f>
        <v/>
      </c>
      <c r="M550" t="str">
        <f>IF(ISNA(VLOOKUP($F550,'Raw Data'!$A:$M,13,0)),"",VLOOKUP($F550,'Raw Data'!$A:$M,13,0))</f>
        <v/>
      </c>
    </row>
    <row r="551" spans="1:13" x14ac:dyDescent="0.25">
      <c r="A551" t="s">
        <v>38</v>
      </c>
      <c r="B551">
        <v>2012</v>
      </c>
      <c r="C551">
        <v>3.5</v>
      </c>
      <c r="D551" s="3">
        <v>620</v>
      </c>
      <c r="E551" s="3">
        <v>100</v>
      </c>
      <c r="F551" s="3" t="str">
        <f t="shared" si="8"/>
        <v>FGU920123.5620100</v>
      </c>
      <c r="G551" t="str">
        <f>IF(ISNA(VLOOKUP($F551,'Raw Data'!$A:$M,7,0)),"",VLOOKUP($F551,'Raw Data'!$A:$M,7,0))</f>
        <v/>
      </c>
      <c r="H551" t="str">
        <f>IF(ISNA(VLOOKUP($F551,'Raw Data'!$A:$M,8,0)),"",VLOOKUP($F551,'Raw Data'!$A:$M,8,0))</f>
        <v/>
      </c>
      <c r="I551" t="str">
        <f>IF(ISNA(VLOOKUP($F551,'Raw Data'!$A:$M,9,0)),"",VLOOKUP($F551,'Raw Data'!$A:$M,9,0))</f>
        <v/>
      </c>
      <c r="J551" t="str">
        <f>IF(ISNA(VLOOKUP($F551,'Raw Data'!$A:$M,10,0)),"",VLOOKUP($F551,'Raw Data'!$A:$M,10,0))</f>
        <v/>
      </c>
      <c r="K551" t="str">
        <f>IF(ISNA(VLOOKUP($F551,'Raw Data'!$A:$M,11,0)),"",VLOOKUP($F551,'Raw Data'!$A:$M,11,0))</f>
        <v/>
      </c>
      <c r="L551" t="str">
        <f>IF(ISNA(VLOOKUP($F551,'Raw Data'!$A:$M,12,0)),"",VLOOKUP($F551,'Raw Data'!$A:$M,12,0))</f>
        <v/>
      </c>
      <c r="M551" t="str">
        <f>IF(ISNA(VLOOKUP($F551,'Raw Data'!$A:$M,13,0)),"",VLOOKUP($F551,'Raw Data'!$A:$M,13,0))</f>
        <v/>
      </c>
    </row>
    <row r="552" spans="1:13" x14ac:dyDescent="0.25">
      <c r="A552" t="s">
        <v>38</v>
      </c>
      <c r="B552">
        <v>2012</v>
      </c>
      <c r="C552">
        <v>3.5</v>
      </c>
      <c r="D552" s="3">
        <v>640</v>
      </c>
      <c r="E552" s="3">
        <v>100</v>
      </c>
      <c r="F552" s="3" t="str">
        <f t="shared" si="8"/>
        <v>FGU920123.5640100</v>
      </c>
      <c r="G552" t="str">
        <f>IF(ISNA(VLOOKUP($F552,'Raw Data'!$A:$M,7,0)),"",VLOOKUP($F552,'Raw Data'!$A:$M,7,0))</f>
        <v/>
      </c>
      <c r="H552" t="str">
        <f>IF(ISNA(VLOOKUP($F552,'Raw Data'!$A:$M,8,0)),"",VLOOKUP($F552,'Raw Data'!$A:$M,8,0))</f>
        <v/>
      </c>
      <c r="I552" t="str">
        <f>IF(ISNA(VLOOKUP($F552,'Raw Data'!$A:$M,9,0)),"",VLOOKUP($F552,'Raw Data'!$A:$M,9,0))</f>
        <v/>
      </c>
      <c r="J552" t="str">
        <f>IF(ISNA(VLOOKUP($F552,'Raw Data'!$A:$M,10,0)),"",VLOOKUP($F552,'Raw Data'!$A:$M,10,0))</f>
        <v/>
      </c>
      <c r="K552" t="str">
        <f>IF(ISNA(VLOOKUP($F552,'Raw Data'!$A:$M,11,0)),"",VLOOKUP($F552,'Raw Data'!$A:$M,11,0))</f>
        <v/>
      </c>
      <c r="L552" t="str">
        <f>IF(ISNA(VLOOKUP($F552,'Raw Data'!$A:$M,12,0)),"",VLOOKUP($F552,'Raw Data'!$A:$M,12,0))</f>
        <v/>
      </c>
      <c r="M552" t="str">
        <f>IF(ISNA(VLOOKUP($F552,'Raw Data'!$A:$M,13,0)),"",VLOOKUP($F552,'Raw Data'!$A:$M,13,0))</f>
        <v/>
      </c>
    </row>
    <row r="553" spans="1:13" x14ac:dyDescent="0.25">
      <c r="A553" t="s">
        <v>38</v>
      </c>
      <c r="B553">
        <v>2012</v>
      </c>
      <c r="C553">
        <v>3.5</v>
      </c>
      <c r="D553" s="3">
        <v>660</v>
      </c>
      <c r="E553" s="3">
        <v>100</v>
      </c>
      <c r="F553" s="3" t="str">
        <f t="shared" si="8"/>
        <v>FGU920123.5660100</v>
      </c>
      <c r="G553" t="str">
        <f>IF(ISNA(VLOOKUP($F553,'Raw Data'!$A:$M,7,0)),"",VLOOKUP($F553,'Raw Data'!$A:$M,7,0))</f>
        <v/>
      </c>
      <c r="H553" t="str">
        <f>IF(ISNA(VLOOKUP($F553,'Raw Data'!$A:$M,8,0)),"",VLOOKUP($F553,'Raw Data'!$A:$M,8,0))</f>
        <v/>
      </c>
      <c r="I553" t="str">
        <f>IF(ISNA(VLOOKUP($F553,'Raw Data'!$A:$M,9,0)),"",VLOOKUP($F553,'Raw Data'!$A:$M,9,0))</f>
        <v/>
      </c>
      <c r="J553" t="str">
        <f>IF(ISNA(VLOOKUP($F553,'Raw Data'!$A:$M,10,0)),"",VLOOKUP($F553,'Raw Data'!$A:$M,10,0))</f>
        <v/>
      </c>
      <c r="K553" t="str">
        <f>IF(ISNA(VLOOKUP($F553,'Raw Data'!$A:$M,11,0)),"",VLOOKUP($F553,'Raw Data'!$A:$M,11,0))</f>
        <v/>
      </c>
      <c r="L553" t="str">
        <f>IF(ISNA(VLOOKUP($F553,'Raw Data'!$A:$M,12,0)),"",VLOOKUP($F553,'Raw Data'!$A:$M,12,0))</f>
        <v/>
      </c>
      <c r="M553" t="str">
        <f>IF(ISNA(VLOOKUP($F553,'Raw Data'!$A:$M,13,0)),"",VLOOKUP($F553,'Raw Data'!$A:$M,13,0))</f>
        <v/>
      </c>
    </row>
    <row r="554" spans="1:13" x14ac:dyDescent="0.25">
      <c r="A554" t="s">
        <v>38</v>
      </c>
      <c r="B554">
        <v>2012</v>
      </c>
      <c r="C554">
        <v>3.5</v>
      </c>
      <c r="D554" s="3">
        <v>680</v>
      </c>
      <c r="E554" s="3">
        <v>100</v>
      </c>
      <c r="F554" s="3" t="str">
        <f t="shared" si="8"/>
        <v>FGU920123.5680100</v>
      </c>
      <c r="G554" t="str">
        <f>IF(ISNA(VLOOKUP($F554,'Raw Data'!$A:$M,7,0)),"",VLOOKUP($F554,'Raw Data'!$A:$M,7,0))</f>
        <v/>
      </c>
      <c r="H554" t="str">
        <f>IF(ISNA(VLOOKUP($F554,'Raw Data'!$A:$M,8,0)),"",VLOOKUP($F554,'Raw Data'!$A:$M,8,0))</f>
        <v/>
      </c>
      <c r="I554" t="str">
        <f>IF(ISNA(VLOOKUP($F554,'Raw Data'!$A:$M,9,0)),"",VLOOKUP($F554,'Raw Data'!$A:$M,9,0))</f>
        <v/>
      </c>
      <c r="J554" t="str">
        <f>IF(ISNA(VLOOKUP($F554,'Raw Data'!$A:$M,10,0)),"",VLOOKUP($F554,'Raw Data'!$A:$M,10,0))</f>
        <v/>
      </c>
      <c r="K554" t="str">
        <f>IF(ISNA(VLOOKUP($F554,'Raw Data'!$A:$M,11,0)),"",VLOOKUP($F554,'Raw Data'!$A:$M,11,0))</f>
        <v/>
      </c>
      <c r="L554" t="str">
        <f>IF(ISNA(VLOOKUP($F554,'Raw Data'!$A:$M,12,0)),"",VLOOKUP($F554,'Raw Data'!$A:$M,12,0))</f>
        <v/>
      </c>
      <c r="M554" t="str">
        <f>IF(ISNA(VLOOKUP($F554,'Raw Data'!$A:$M,13,0)),"",VLOOKUP($F554,'Raw Data'!$A:$M,13,0))</f>
        <v/>
      </c>
    </row>
    <row r="555" spans="1:13" x14ac:dyDescent="0.25">
      <c r="A555" t="s">
        <v>38</v>
      </c>
      <c r="B555">
        <v>2012</v>
      </c>
      <c r="C555">
        <v>3.5</v>
      </c>
      <c r="D555" s="3">
        <v>700</v>
      </c>
      <c r="E555" s="3">
        <v>100</v>
      </c>
      <c r="F555" s="3" t="str">
        <f t="shared" si="8"/>
        <v>FGU920123.5700100</v>
      </c>
      <c r="G555" t="str">
        <f>IF(ISNA(VLOOKUP($F555,'Raw Data'!$A:$M,7,0)),"",VLOOKUP($F555,'Raw Data'!$A:$M,7,0))</f>
        <v/>
      </c>
      <c r="H555" t="str">
        <f>IF(ISNA(VLOOKUP($F555,'Raw Data'!$A:$M,8,0)),"",VLOOKUP($F555,'Raw Data'!$A:$M,8,0))</f>
        <v/>
      </c>
      <c r="I555" t="str">
        <f>IF(ISNA(VLOOKUP($F555,'Raw Data'!$A:$M,9,0)),"",VLOOKUP($F555,'Raw Data'!$A:$M,9,0))</f>
        <v/>
      </c>
      <c r="J555" t="str">
        <f>IF(ISNA(VLOOKUP($F555,'Raw Data'!$A:$M,10,0)),"",VLOOKUP($F555,'Raw Data'!$A:$M,10,0))</f>
        <v/>
      </c>
      <c r="K555" t="str">
        <f>IF(ISNA(VLOOKUP($F555,'Raw Data'!$A:$M,11,0)),"",VLOOKUP($F555,'Raw Data'!$A:$M,11,0))</f>
        <v/>
      </c>
      <c r="L555" t="str">
        <f>IF(ISNA(VLOOKUP($F555,'Raw Data'!$A:$M,12,0)),"",VLOOKUP($F555,'Raw Data'!$A:$M,12,0))</f>
        <v/>
      </c>
      <c r="M555" t="str">
        <f>IF(ISNA(VLOOKUP($F555,'Raw Data'!$A:$M,13,0)),"",VLOOKUP($F555,'Raw Data'!$A:$M,13,0))</f>
        <v/>
      </c>
    </row>
    <row r="556" spans="1:13" x14ac:dyDescent="0.25">
      <c r="A556" t="s">
        <v>38</v>
      </c>
      <c r="B556">
        <v>2012</v>
      </c>
      <c r="C556">
        <v>3.5</v>
      </c>
      <c r="D556" s="3">
        <v>720</v>
      </c>
      <c r="E556" s="3">
        <v>100</v>
      </c>
      <c r="F556" s="3" t="str">
        <f t="shared" si="8"/>
        <v>FGU920123.5720100</v>
      </c>
      <c r="G556" t="str">
        <f>IF(ISNA(VLOOKUP($F556,'Raw Data'!$A:$M,7,0)),"",VLOOKUP($F556,'Raw Data'!$A:$M,7,0))</f>
        <v/>
      </c>
      <c r="H556" t="str">
        <f>IF(ISNA(VLOOKUP($F556,'Raw Data'!$A:$M,8,0)),"",VLOOKUP($F556,'Raw Data'!$A:$M,8,0))</f>
        <v/>
      </c>
      <c r="I556" t="str">
        <f>IF(ISNA(VLOOKUP($F556,'Raw Data'!$A:$M,9,0)),"",VLOOKUP($F556,'Raw Data'!$A:$M,9,0))</f>
        <v/>
      </c>
      <c r="J556" t="str">
        <f>IF(ISNA(VLOOKUP($F556,'Raw Data'!$A:$M,10,0)),"",VLOOKUP($F556,'Raw Data'!$A:$M,10,0))</f>
        <v/>
      </c>
      <c r="K556" t="str">
        <f>IF(ISNA(VLOOKUP($F556,'Raw Data'!$A:$M,11,0)),"",VLOOKUP($F556,'Raw Data'!$A:$M,11,0))</f>
        <v/>
      </c>
      <c r="L556" t="str">
        <f>IF(ISNA(VLOOKUP($F556,'Raw Data'!$A:$M,12,0)),"",VLOOKUP($F556,'Raw Data'!$A:$M,12,0))</f>
        <v/>
      </c>
      <c r="M556" t="str">
        <f>IF(ISNA(VLOOKUP($F556,'Raw Data'!$A:$M,13,0)),"",VLOOKUP($F556,'Raw Data'!$A:$M,13,0))</f>
        <v/>
      </c>
    </row>
    <row r="557" spans="1:13" x14ac:dyDescent="0.25">
      <c r="A557" t="s">
        <v>38</v>
      </c>
      <c r="B557">
        <v>2012</v>
      </c>
      <c r="C557">
        <v>3.5</v>
      </c>
      <c r="D557" s="3">
        <v>740</v>
      </c>
      <c r="E557" s="3">
        <v>100</v>
      </c>
      <c r="F557" s="3" t="str">
        <f t="shared" si="8"/>
        <v>FGU920123.5740100</v>
      </c>
      <c r="G557" t="str">
        <f>IF(ISNA(VLOOKUP($F557,'Raw Data'!$A:$M,7,0)),"",VLOOKUP($F557,'Raw Data'!$A:$M,7,0))</f>
        <v/>
      </c>
      <c r="H557" t="str">
        <f>IF(ISNA(VLOOKUP($F557,'Raw Data'!$A:$M,8,0)),"",VLOOKUP($F557,'Raw Data'!$A:$M,8,0))</f>
        <v/>
      </c>
      <c r="I557" t="str">
        <f>IF(ISNA(VLOOKUP($F557,'Raw Data'!$A:$M,9,0)),"",VLOOKUP($F557,'Raw Data'!$A:$M,9,0))</f>
        <v/>
      </c>
      <c r="J557" t="str">
        <f>IF(ISNA(VLOOKUP($F557,'Raw Data'!$A:$M,10,0)),"",VLOOKUP($F557,'Raw Data'!$A:$M,10,0))</f>
        <v/>
      </c>
      <c r="K557" t="str">
        <f>IF(ISNA(VLOOKUP($F557,'Raw Data'!$A:$M,11,0)),"",VLOOKUP($F557,'Raw Data'!$A:$M,11,0))</f>
        <v/>
      </c>
      <c r="L557" t="str">
        <f>IF(ISNA(VLOOKUP($F557,'Raw Data'!$A:$M,12,0)),"",VLOOKUP($F557,'Raw Data'!$A:$M,12,0))</f>
        <v/>
      </c>
      <c r="M557" t="str">
        <f>IF(ISNA(VLOOKUP($F557,'Raw Data'!$A:$M,13,0)),"",VLOOKUP($F557,'Raw Data'!$A:$M,13,0))</f>
        <v/>
      </c>
    </row>
    <row r="558" spans="1:13" x14ac:dyDescent="0.25">
      <c r="A558" t="s">
        <v>38</v>
      </c>
      <c r="B558">
        <v>2012</v>
      </c>
      <c r="C558">
        <v>3.5</v>
      </c>
      <c r="D558" s="3">
        <v>760</v>
      </c>
      <c r="E558" s="3">
        <v>100</v>
      </c>
      <c r="F558" s="3" t="str">
        <f t="shared" si="8"/>
        <v>FGU920123.5760100</v>
      </c>
      <c r="G558" t="str">
        <f>IF(ISNA(VLOOKUP($F558,'Raw Data'!$A:$M,7,0)),"",VLOOKUP($F558,'Raw Data'!$A:$M,7,0))</f>
        <v/>
      </c>
      <c r="H558" t="str">
        <f>IF(ISNA(VLOOKUP($F558,'Raw Data'!$A:$M,8,0)),"",VLOOKUP($F558,'Raw Data'!$A:$M,8,0))</f>
        <v/>
      </c>
      <c r="I558" t="str">
        <f>IF(ISNA(VLOOKUP($F558,'Raw Data'!$A:$M,9,0)),"",VLOOKUP($F558,'Raw Data'!$A:$M,9,0))</f>
        <v/>
      </c>
      <c r="J558" t="str">
        <f>IF(ISNA(VLOOKUP($F558,'Raw Data'!$A:$M,10,0)),"",VLOOKUP($F558,'Raw Data'!$A:$M,10,0))</f>
        <v/>
      </c>
      <c r="K558" t="str">
        <f>IF(ISNA(VLOOKUP($F558,'Raw Data'!$A:$M,11,0)),"",VLOOKUP($F558,'Raw Data'!$A:$M,11,0))</f>
        <v/>
      </c>
      <c r="L558" t="str">
        <f>IF(ISNA(VLOOKUP($F558,'Raw Data'!$A:$M,12,0)),"",VLOOKUP($F558,'Raw Data'!$A:$M,12,0))</f>
        <v/>
      </c>
      <c r="M558" t="str">
        <f>IF(ISNA(VLOOKUP($F558,'Raw Data'!$A:$M,13,0)),"",VLOOKUP($F558,'Raw Data'!$A:$M,13,0))</f>
        <v/>
      </c>
    </row>
    <row r="559" spans="1:13" x14ac:dyDescent="0.25">
      <c r="A559" t="s">
        <v>38</v>
      </c>
      <c r="B559">
        <v>2012</v>
      </c>
      <c r="C559">
        <v>3.5</v>
      </c>
      <c r="D559" s="3">
        <v>780</v>
      </c>
      <c r="E559" s="3">
        <v>100</v>
      </c>
      <c r="F559" s="3" t="str">
        <f t="shared" si="8"/>
        <v>FGU920123.5780100</v>
      </c>
      <c r="G559" t="str">
        <f>IF(ISNA(VLOOKUP($F559,'Raw Data'!$A:$M,7,0)),"",VLOOKUP($F559,'Raw Data'!$A:$M,7,0))</f>
        <v/>
      </c>
      <c r="H559" t="str">
        <f>IF(ISNA(VLOOKUP($F559,'Raw Data'!$A:$M,8,0)),"",VLOOKUP($F559,'Raw Data'!$A:$M,8,0))</f>
        <v/>
      </c>
      <c r="I559" t="str">
        <f>IF(ISNA(VLOOKUP($F559,'Raw Data'!$A:$M,9,0)),"",VLOOKUP($F559,'Raw Data'!$A:$M,9,0))</f>
        <v/>
      </c>
      <c r="J559" t="str">
        <f>IF(ISNA(VLOOKUP($F559,'Raw Data'!$A:$M,10,0)),"",VLOOKUP($F559,'Raw Data'!$A:$M,10,0))</f>
        <v/>
      </c>
      <c r="K559" t="str">
        <f>IF(ISNA(VLOOKUP($F559,'Raw Data'!$A:$M,11,0)),"",VLOOKUP($F559,'Raw Data'!$A:$M,11,0))</f>
        <v/>
      </c>
      <c r="L559" t="str">
        <f>IF(ISNA(VLOOKUP($F559,'Raw Data'!$A:$M,12,0)),"",VLOOKUP($F559,'Raw Data'!$A:$M,12,0))</f>
        <v/>
      </c>
      <c r="M559" t="str">
        <f>IF(ISNA(VLOOKUP($F559,'Raw Data'!$A:$M,13,0)),"",VLOOKUP($F559,'Raw Data'!$A:$M,13,0))</f>
        <v/>
      </c>
    </row>
    <row r="560" spans="1:13" x14ac:dyDescent="0.25">
      <c r="A560" t="s">
        <v>38</v>
      </c>
      <c r="B560">
        <v>2012</v>
      </c>
      <c r="C560">
        <v>3.5</v>
      </c>
      <c r="D560" s="3">
        <v>620</v>
      </c>
      <c r="E560" s="3" t="s">
        <v>9</v>
      </c>
      <c r="F560" s="3" t="str">
        <f t="shared" si="8"/>
        <v>FGU920123.5620100+</v>
      </c>
      <c r="G560" t="str">
        <f>IF(ISNA(VLOOKUP($F560,'Raw Data'!$A:$M,7,0)),"",VLOOKUP($F560,'Raw Data'!$A:$M,7,0))</f>
        <v/>
      </c>
      <c r="H560" t="str">
        <f>IF(ISNA(VLOOKUP($F560,'Raw Data'!$A:$M,8,0)),"",VLOOKUP($F560,'Raw Data'!$A:$M,8,0))</f>
        <v/>
      </c>
      <c r="I560" t="str">
        <f>IF(ISNA(VLOOKUP($F560,'Raw Data'!$A:$M,9,0)),"",VLOOKUP($F560,'Raw Data'!$A:$M,9,0))</f>
        <v/>
      </c>
      <c r="J560" t="str">
        <f>IF(ISNA(VLOOKUP($F560,'Raw Data'!$A:$M,10,0)),"",VLOOKUP($F560,'Raw Data'!$A:$M,10,0))</f>
        <v/>
      </c>
      <c r="K560" t="str">
        <f>IF(ISNA(VLOOKUP($F560,'Raw Data'!$A:$M,11,0)),"",VLOOKUP($F560,'Raw Data'!$A:$M,11,0))</f>
        <v/>
      </c>
      <c r="L560" t="str">
        <f>IF(ISNA(VLOOKUP($F560,'Raw Data'!$A:$M,12,0)),"",VLOOKUP($F560,'Raw Data'!$A:$M,12,0))</f>
        <v/>
      </c>
      <c r="M560" t="str">
        <f>IF(ISNA(VLOOKUP($F560,'Raw Data'!$A:$M,13,0)),"",VLOOKUP($F560,'Raw Data'!$A:$M,13,0))</f>
        <v/>
      </c>
    </row>
    <row r="561" spans="1:13" x14ac:dyDescent="0.25">
      <c r="A561" t="s">
        <v>38</v>
      </c>
      <c r="B561">
        <v>2012</v>
      </c>
      <c r="C561">
        <v>3.5</v>
      </c>
      <c r="D561" s="3">
        <v>640</v>
      </c>
      <c r="E561" s="3" t="s">
        <v>9</v>
      </c>
      <c r="F561" s="3" t="str">
        <f t="shared" si="8"/>
        <v>FGU920123.5640100+</v>
      </c>
      <c r="G561" t="str">
        <f>IF(ISNA(VLOOKUP($F561,'Raw Data'!$A:$M,7,0)),"",VLOOKUP($F561,'Raw Data'!$A:$M,7,0))</f>
        <v/>
      </c>
      <c r="H561" t="str">
        <f>IF(ISNA(VLOOKUP($F561,'Raw Data'!$A:$M,8,0)),"",VLOOKUP($F561,'Raw Data'!$A:$M,8,0))</f>
        <v/>
      </c>
      <c r="I561" t="str">
        <f>IF(ISNA(VLOOKUP($F561,'Raw Data'!$A:$M,9,0)),"",VLOOKUP($F561,'Raw Data'!$A:$M,9,0))</f>
        <v/>
      </c>
      <c r="J561" t="str">
        <f>IF(ISNA(VLOOKUP($F561,'Raw Data'!$A:$M,10,0)),"",VLOOKUP($F561,'Raw Data'!$A:$M,10,0))</f>
        <v/>
      </c>
      <c r="K561" t="str">
        <f>IF(ISNA(VLOOKUP($F561,'Raw Data'!$A:$M,11,0)),"",VLOOKUP($F561,'Raw Data'!$A:$M,11,0))</f>
        <v/>
      </c>
      <c r="L561" t="str">
        <f>IF(ISNA(VLOOKUP($F561,'Raw Data'!$A:$M,12,0)),"",VLOOKUP($F561,'Raw Data'!$A:$M,12,0))</f>
        <v/>
      </c>
      <c r="M561" t="str">
        <f>IF(ISNA(VLOOKUP($F561,'Raw Data'!$A:$M,13,0)),"",VLOOKUP($F561,'Raw Data'!$A:$M,13,0))</f>
        <v/>
      </c>
    </row>
    <row r="562" spans="1:13" x14ac:dyDescent="0.25">
      <c r="A562" t="s">
        <v>38</v>
      </c>
      <c r="B562">
        <v>2012</v>
      </c>
      <c r="C562">
        <v>3.5</v>
      </c>
      <c r="D562" s="3">
        <v>660</v>
      </c>
      <c r="E562" s="3" t="s">
        <v>9</v>
      </c>
      <c r="F562" s="3" t="str">
        <f t="shared" si="8"/>
        <v>FGU920123.5660100+</v>
      </c>
      <c r="G562" t="str">
        <f>IF(ISNA(VLOOKUP($F562,'Raw Data'!$A:$M,7,0)),"",VLOOKUP($F562,'Raw Data'!$A:$M,7,0))</f>
        <v/>
      </c>
      <c r="H562" t="str">
        <f>IF(ISNA(VLOOKUP($F562,'Raw Data'!$A:$M,8,0)),"",VLOOKUP($F562,'Raw Data'!$A:$M,8,0))</f>
        <v/>
      </c>
      <c r="I562" t="str">
        <f>IF(ISNA(VLOOKUP($F562,'Raw Data'!$A:$M,9,0)),"",VLOOKUP($F562,'Raw Data'!$A:$M,9,0))</f>
        <v/>
      </c>
      <c r="J562" t="str">
        <f>IF(ISNA(VLOOKUP($F562,'Raw Data'!$A:$M,10,0)),"",VLOOKUP($F562,'Raw Data'!$A:$M,10,0))</f>
        <v/>
      </c>
      <c r="K562" t="str">
        <f>IF(ISNA(VLOOKUP($F562,'Raw Data'!$A:$M,11,0)),"",VLOOKUP($F562,'Raw Data'!$A:$M,11,0))</f>
        <v/>
      </c>
      <c r="L562" t="str">
        <f>IF(ISNA(VLOOKUP($F562,'Raw Data'!$A:$M,12,0)),"",VLOOKUP($F562,'Raw Data'!$A:$M,12,0))</f>
        <v/>
      </c>
      <c r="M562" t="str">
        <f>IF(ISNA(VLOOKUP($F562,'Raw Data'!$A:$M,13,0)),"",VLOOKUP($F562,'Raw Data'!$A:$M,13,0))</f>
        <v/>
      </c>
    </row>
    <row r="563" spans="1:13" x14ac:dyDescent="0.25">
      <c r="A563" t="s">
        <v>38</v>
      </c>
      <c r="B563">
        <v>2012</v>
      </c>
      <c r="C563">
        <v>3.5</v>
      </c>
      <c r="D563" s="3">
        <v>680</v>
      </c>
      <c r="E563" s="3" t="s">
        <v>9</v>
      </c>
      <c r="F563" s="3" t="str">
        <f t="shared" si="8"/>
        <v>FGU920123.5680100+</v>
      </c>
      <c r="G563" t="str">
        <f>IF(ISNA(VLOOKUP($F563,'Raw Data'!$A:$M,7,0)),"",VLOOKUP($F563,'Raw Data'!$A:$M,7,0))</f>
        <v/>
      </c>
      <c r="H563" t="str">
        <f>IF(ISNA(VLOOKUP($F563,'Raw Data'!$A:$M,8,0)),"",VLOOKUP($F563,'Raw Data'!$A:$M,8,0))</f>
        <v/>
      </c>
      <c r="I563" t="str">
        <f>IF(ISNA(VLOOKUP($F563,'Raw Data'!$A:$M,9,0)),"",VLOOKUP($F563,'Raw Data'!$A:$M,9,0))</f>
        <v/>
      </c>
      <c r="J563" t="str">
        <f>IF(ISNA(VLOOKUP($F563,'Raw Data'!$A:$M,10,0)),"",VLOOKUP($F563,'Raw Data'!$A:$M,10,0))</f>
        <v/>
      </c>
      <c r="K563" t="str">
        <f>IF(ISNA(VLOOKUP($F563,'Raw Data'!$A:$M,11,0)),"",VLOOKUP($F563,'Raw Data'!$A:$M,11,0))</f>
        <v/>
      </c>
      <c r="L563" t="str">
        <f>IF(ISNA(VLOOKUP($F563,'Raw Data'!$A:$M,12,0)),"",VLOOKUP($F563,'Raw Data'!$A:$M,12,0))</f>
        <v/>
      </c>
      <c r="M563" t="str">
        <f>IF(ISNA(VLOOKUP($F563,'Raw Data'!$A:$M,13,0)),"",VLOOKUP($F563,'Raw Data'!$A:$M,13,0))</f>
        <v/>
      </c>
    </row>
    <row r="564" spans="1:13" x14ac:dyDescent="0.25">
      <c r="A564" t="s">
        <v>38</v>
      </c>
      <c r="B564">
        <v>2012</v>
      </c>
      <c r="C564">
        <v>3.5</v>
      </c>
      <c r="D564" s="3">
        <v>700</v>
      </c>
      <c r="E564" s="3" t="s">
        <v>9</v>
      </c>
      <c r="F564" s="3" t="str">
        <f t="shared" si="8"/>
        <v>FGU920123.5700100+</v>
      </c>
      <c r="G564" t="str">
        <f>IF(ISNA(VLOOKUP($F564,'Raw Data'!$A:$M,7,0)),"",VLOOKUP($F564,'Raw Data'!$A:$M,7,0))</f>
        <v/>
      </c>
      <c r="H564" t="str">
        <f>IF(ISNA(VLOOKUP($F564,'Raw Data'!$A:$M,8,0)),"",VLOOKUP($F564,'Raw Data'!$A:$M,8,0))</f>
        <v/>
      </c>
      <c r="I564" t="str">
        <f>IF(ISNA(VLOOKUP($F564,'Raw Data'!$A:$M,9,0)),"",VLOOKUP($F564,'Raw Data'!$A:$M,9,0))</f>
        <v/>
      </c>
      <c r="J564" t="str">
        <f>IF(ISNA(VLOOKUP($F564,'Raw Data'!$A:$M,10,0)),"",VLOOKUP($F564,'Raw Data'!$A:$M,10,0))</f>
        <v/>
      </c>
      <c r="K564" t="str">
        <f>IF(ISNA(VLOOKUP($F564,'Raw Data'!$A:$M,11,0)),"",VLOOKUP($F564,'Raw Data'!$A:$M,11,0))</f>
        <v/>
      </c>
      <c r="L564" t="str">
        <f>IF(ISNA(VLOOKUP($F564,'Raw Data'!$A:$M,12,0)),"",VLOOKUP($F564,'Raw Data'!$A:$M,12,0))</f>
        <v/>
      </c>
      <c r="M564" t="str">
        <f>IF(ISNA(VLOOKUP($F564,'Raw Data'!$A:$M,13,0)),"",VLOOKUP($F564,'Raw Data'!$A:$M,13,0))</f>
        <v/>
      </c>
    </row>
    <row r="565" spans="1:13" x14ac:dyDescent="0.25">
      <c r="A565" t="s">
        <v>38</v>
      </c>
      <c r="B565">
        <v>2012</v>
      </c>
      <c r="C565">
        <v>3.5</v>
      </c>
      <c r="D565" s="3">
        <v>720</v>
      </c>
      <c r="E565" s="3" t="s">
        <v>9</v>
      </c>
      <c r="F565" s="3" t="str">
        <f t="shared" si="8"/>
        <v>FGU920123.5720100+</v>
      </c>
      <c r="G565" t="str">
        <f>IF(ISNA(VLOOKUP($F565,'Raw Data'!$A:$M,7,0)),"",VLOOKUP($F565,'Raw Data'!$A:$M,7,0))</f>
        <v/>
      </c>
      <c r="H565" t="str">
        <f>IF(ISNA(VLOOKUP($F565,'Raw Data'!$A:$M,8,0)),"",VLOOKUP($F565,'Raw Data'!$A:$M,8,0))</f>
        <v/>
      </c>
      <c r="I565" t="str">
        <f>IF(ISNA(VLOOKUP($F565,'Raw Data'!$A:$M,9,0)),"",VLOOKUP($F565,'Raw Data'!$A:$M,9,0))</f>
        <v/>
      </c>
      <c r="J565" t="str">
        <f>IF(ISNA(VLOOKUP($F565,'Raw Data'!$A:$M,10,0)),"",VLOOKUP($F565,'Raw Data'!$A:$M,10,0))</f>
        <v/>
      </c>
      <c r="K565" t="str">
        <f>IF(ISNA(VLOOKUP($F565,'Raw Data'!$A:$M,11,0)),"",VLOOKUP($F565,'Raw Data'!$A:$M,11,0))</f>
        <v/>
      </c>
      <c r="L565" t="str">
        <f>IF(ISNA(VLOOKUP($F565,'Raw Data'!$A:$M,12,0)),"",VLOOKUP($F565,'Raw Data'!$A:$M,12,0))</f>
        <v/>
      </c>
      <c r="M565" t="str">
        <f>IF(ISNA(VLOOKUP($F565,'Raw Data'!$A:$M,13,0)),"",VLOOKUP($F565,'Raw Data'!$A:$M,13,0))</f>
        <v/>
      </c>
    </row>
    <row r="566" spans="1:13" x14ac:dyDescent="0.25">
      <c r="A566" t="s">
        <v>38</v>
      </c>
      <c r="B566">
        <v>2012</v>
      </c>
      <c r="C566">
        <v>3.5</v>
      </c>
      <c r="D566" s="3">
        <v>740</v>
      </c>
      <c r="E566" s="3" t="s">
        <v>9</v>
      </c>
      <c r="F566" s="3" t="str">
        <f t="shared" si="8"/>
        <v>FGU920123.5740100+</v>
      </c>
      <c r="G566" t="str">
        <f>IF(ISNA(VLOOKUP($F566,'Raw Data'!$A:$M,7,0)),"",VLOOKUP($F566,'Raw Data'!$A:$M,7,0))</f>
        <v/>
      </c>
      <c r="H566" t="str">
        <f>IF(ISNA(VLOOKUP($F566,'Raw Data'!$A:$M,8,0)),"",VLOOKUP($F566,'Raw Data'!$A:$M,8,0))</f>
        <v/>
      </c>
      <c r="I566" t="str">
        <f>IF(ISNA(VLOOKUP($F566,'Raw Data'!$A:$M,9,0)),"",VLOOKUP($F566,'Raw Data'!$A:$M,9,0))</f>
        <v/>
      </c>
      <c r="J566" t="str">
        <f>IF(ISNA(VLOOKUP($F566,'Raw Data'!$A:$M,10,0)),"",VLOOKUP($F566,'Raw Data'!$A:$M,10,0))</f>
        <v/>
      </c>
      <c r="K566" t="str">
        <f>IF(ISNA(VLOOKUP($F566,'Raw Data'!$A:$M,11,0)),"",VLOOKUP($F566,'Raw Data'!$A:$M,11,0))</f>
        <v/>
      </c>
      <c r="L566" t="str">
        <f>IF(ISNA(VLOOKUP($F566,'Raw Data'!$A:$M,12,0)),"",VLOOKUP($F566,'Raw Data'!$A:$M,12,0))</f>
        <v/>
      </c>
      <c r="M566" t="str">
        <f>IF(ISNA(VLOOKUP($F566,'Raw Data'!$A:$M,13,0)),"",VLOOKUP($F566,'Raw Data'!$A:$M,13,0))</f>
        <v/>
      </c>
    </row>
    <row r="567" spans="1:13" x14ac:dyDescent="0.25">
      <c r="A567" t="s">
        <v>38</v>
      </c>
      <c r="B567">
        <v>2012</v>
      </c>
      <c r="C567">
        <v>3.5</v>
      </c>
      <c r="D567" s="3">
        <v>760</v>
      </c>
      <c r="E567" s="3" t="s">
        <v>9</v>
      </c>
      <c r="F567" s="3" t="str">
        <f t="shared" si="8"/>
        <v>FGU920123.5760100+</v>
      </c>
      <c r="G567" t="str">
        <f>IF(ISNA(VLOOKUP($F567,'Raw Data'!$A:$M,7,0)),"",VLOOKUP($F567,'Raw Data'!$A:$M,7,0))</f>
        <v/>
      </c>
      <c r="H567" t="str">
        <f>IF(ISNA(VLOOKUP($F567,'Raw Data'!$A:$M,8,0)),"",VLOOKUP($F567,'Raw Data'!$A:$M,8,0))</f>
        <v/>
      </c>
      <c r="I567" t="str">
        <f>IF(ISNA(VLOOKUP($F567,'Raw Data'!$A:$M,9,0)),"",VLOOKUP($F567,'Raw Data'!$A:$M,9,0))</f>
        <v/>
      </c>
      <c r="J567" t="str">
        <f>IF(ISNA(VLOOKUP($F567,'Raw Data'!$A:$M,10,0)),"",VLOOKUP($F567,'Raw Data'!$A:$M,10,0))</f>
        <v/>
      </c>
      <c r="K567" t="str">
        <f>IF(ISNA(VLOOKUP($F567,'Raw Data'!$A:$M,11,0)),"",VLOOKUP($F567,'Raw Data'!$A:$M,11,0))</f>
        <v/>
      </c>
      <c r="L567" t="str">
        <f>IF(ISNA(VLOOKUP($F567,'Raw Data'!$A:$M,12,0)),"",VLOOKUP($F567,'Raw Data'!$A:$M,12,0))</f>
        <v/>
      </c>
      <c r="M567" t="str">
        <f>IF(ISNA(VLOOKUP($F567,'Raw Data'!$A:$M,13,0)),"",VLOOKUP($F567,'Raw Data'!$A:$M,13,0))</f>
        <v/>
      </c>
    </row>
    <row r="568" spans="1:13" x14ac:dyDescent="0.25">
      <c r="A568" t="s">
        <v>38</v>
      </c>
      <c r="B568">
        <v>2012</v>
      </c>
      <c r="C568">
        <v>3.5</v>
      </c>
      <c r="D568" s="3">
        <v>780</v>
      </c>
      <c r="E568" s="3" t="s">
        <v>9</v>
      </c>
      <c r="F568" s="3" t="str">
        <f t="shared" si="8"/>
        <v>FGU920123.5780100+</v>
      </c>
      <c r="G568" t="str">
        <f>IF(ISNA(VLOOKUP($F568,'Raw Data'!$A:$M,7,0)),"",VLOOKUP($F568,'Raw Data'!$A:$M,7,0))</f>
        <v/>
      </c>
      <c r="H568" t="str">
        <f>IF(ISNA(VLOOKUP($F568,'Raw Data'!$A:$M,8,0)),"",VLOOKUP($F568,'Raw Data'!$A:$M,8,0))</f>
        <v/>
      </c>
      <c r="I568" t="str">
        <f>IF(ISNA(VLOOKUP($F568,'Raw Data'!$A:$M,9,0)),"",VLOOKUP($F568,'Raw Data'!$A:$M,9,0))</f>
        <v/>
      </c>
      <c r="J568" t="str">
        <f>IF(ISNA(VLOOKUP($F568,'Raw Data'!$A:$M,10,0)),"",VLOOKUP($F568,'Raw Data'!$A:$M,10,0))</f>
        <v/>
      </c>
      <c r="K568" t="str">
        <f>IF(ISNA(VLOOKUP($F568,'Raw Data'!$A:$M,11,0)),"",VLOOKUP($F568,'Raw Data'!$A:$M,11,0))</f>
        <v/>
      </c>
      <c r="L568" t="str">
        <f>IF(ISNA(VLOOKUP($F568,'Raw Data'!$A:$M,12,0)),"",VLOOKUP($F568,'Raw Data'!$A:$M,12,0))</f>
        <v/>
      </c>
      <c r="M568" t="str">
        <f>IF(ISNA(VLOOKUP($F568,'Raw Data'!$A:$M,13,0)),"",VLOOKUP($F568,'Raw Data'!$A:$M,13,0))</f>
        <v/>
      </c>
    </row>
    <row r="569" spans="1:13" x14ac:dyDescent="0.25">
      <c r="A569" t="s">
        <v>38</v>
      </c>
      <c r="B569">
        <v>2013</v>
      </c>
      <c r="C569">
        <v>3.5</v>
      </c>
      <c r="D569" s="3">
        <v>620</v>
      </c>
      <c r="E569" s="3">
        <v>80</v>
      </c>
      <c r="F569" s="3" t="str">
        <f t="shared" si="8"/>
        <v>FGU920133.562080</v>
      </c>
      <c r="G569" t="str">
        <f>IF(ISNA(VLOOKUP($F569,'Raw Data'!$A:$M,7,0)),"",VLOOKUP($F569,'Raw Data'!$A:$M,7,0))</f>
        <v/>
      </c>
      <c r="H569" t="str">
        <f>IF(ISNA(VLOOKUP($F569,'Raw Data'!$A:$M,8,0)),"",VLOOKUP($F569,'Raw Data'!$A:$M,8,0))</f>
        <v/>
      </c>
      <c r="I569" t="str">
        <f>IF(ISNA(VLOOKUP($F569,'Raw Data'!$A:$M,9,0)),"",VLOOKUP($F569,'Raw Data'!$A:$M,9,0))</f>
        <v/>
      </c>
      <c r="J569" t="str">
        <f>IF(ISNA(VLOOKUP($F569,'Raw Data'!$A:$M,10,0)),"",VLOOKUP($F569,'Raw Data'!$A:$M,10,0))</f>
        <v/>
      </c>
      <c r="K569" t="str">
        <f>IF(ISNA(VLOOKUP($F569,'Raw Data'!$A:$M,11,0)),"",VLOOKUP($F569,'Raw Data'!$A:$M,11,0))</f>
        <v/>
      </c>
      <c r="L569" t="str">
        <f>IF(ISNA(VLOOKUP($F569,'Raw Data'!$A:$M,12,0)),"",VLOOKUP($F569,'Raw Data'!$A:$M,12,0))</f>
        <v/>
      </c>
      <c r="M569" t="str">
        <f>IF(ISNA(VLOOKUP($F569,'Raw Data'!$A:$M,13,0)),"",VLOOKUP($F569,'Raw Data'!$A:$M,13,0))</f>
        <v/>
      </c>
    </row>
    <row r="570" spans="1:13" x14ac:dyDescent="0.25">
      <c r="A570" t="s">
        <v>38</v>
      </c>
      <c r="B570">
        <v>2013</v>
      </c>
      <c r="C570">
        <v>3.5</v>
      </c>
      <c r="D570" s="3">
        <v>640</v>
      </c>
      <c r="E570" s="3">
        <v>80</v>
      </c>
      <c r="F570" s="3" t="str">
        <f t="shared" si="8"/>
        <v>FGU920133.564080</v>
      </c>
      <c r="G570" t="str">
        <f>IF(ISNA(VLOOKUP($F570,'Raw Data'!$A:$M,7,0)),"",VLOOKUP($F570,'Raw Data'!$A:$M,7,0))</f>
        <v/>
      </c>
      <c r="H570" t="str">
        <f>IF(ISNA(VLOOKUP($F570,'Raw Data'!$A:$M,8,0)),"",VLOOKUP($F570,'Raw Data'!$A:$M,8,0))</f>
        <v/>
      </c>
      <c r="I570" t="str">
        <f>IF(ISNA(VLOOKUP($F570,'Raw Data'!$A:$M,9,0)),"",VLOOKUP($F570,'Raw Data'!$A:$M,9,0))</f>
        <v/>
      </c>
      <c r="J570" t="str">
        <f>IF(ISNA(VLOOKUP($F570,'Raw Data'!$A:$M,10,0)),"",VLOOKUP($F570,'Raw Data'!$A:$M,10,0))</f>
        <v/>
      </c>
      <c r="K570" t="str">
        <f>IF(ISNA(VLOOKUP($F570,'Raw Data'!$A:$M,11,0)),"",VLOOKUP($F570,'Raw Data'!$A:$M,11,0))</f>
        <v/>
      </c>
      <c r="L570" t="str">
        <f>IF(ISNA(VLOOKUP($F570,'Raw Data'!$A:$M,12,0)),"",VLOOKUP($F570,'Raw Data'!$A:$M,12,0))</f>
        <v/>
      </c>
      <c r="M570" t="str">
        <f>IF(ISNA(VLOOKUP($F570,'Raw Data'!$A:$M,13,0)),"",VLOOKUP($F570,'Raw Data'!$A:$M,13,0))</f>
        <v/>
      </c>
    </row>
    <row r="571" spans="1:13" x14ac:dyDescent="0.25">
      <c r="A571" t="s">
        <v>38</v>
      </c>
      <c r="B571">
        <v>2013</v>
      </c>
      <c r="C571">
        <v>3.5</v>
      </c>
      <c r="D571" s="3">
        <v>660</v>
      </c>
      <c r="E571" s="3">
        <v>80</v>
      </c>
      <c r="F571" s="3" t="str">
        <f t="shared" si="8"/>
        <v>FGU920133.566080</v>
      </c>
      <c r="G571" t="str">
        <f>IF(ISNA(VLOOKUP($F571,'Raw Data'!$A:$M,7,0)),"",VLOOKUP($F571,'Raw Data'!$A:$M,7,0))</f>
        <v/>
      </c>
      <c r="H571" t="str">
        <f>IF(ISNA(VLOOKUP($F571,'Raw Data'!$A:$M,8,0)),"",VLOOKUP($F571,'Raw Data'!$A:$M,8,0))</f>
        <v/>
      </c>
      <c r="I571" t="str">
        <f>IF(ISNA(VLOOKUP($F571,'Raw Data'!$A:$M,9,0)),"",VLOOKUP($F571,'Raw Data'!$A:$M,9,0))</f>
        <v/>
      </c>
      <c r="J571" t="str">
        <f>IF(ISNA(VLOOKUP($F571,'Raw Data'!$A:$M,10,0)),"",VLOOKUP($F571,'Raw Data'!$A:$M,10,0))</f>
        <v/>
      </c>
      <c r="K571" t="str">
        <f>IF(ISNA(VLOOKUP($F571,'Raw Data'!$A:$M,11,0)),"",VLOOKUP($F571,'Raw Data'!$A:$M,11,0))</f>
        <v/>
      </c>
      <c r="L571" t="str">
        <f>IF(ISNA(VLOOKUP($F571,'Raw Data'!$A:$M,12,0)),"",VLOOKUP($F571,'Raw Data'!$A:$M,12,0))</f>
        <v/>
      </c>
      <c r="M571" t="str">
        <f>IF(ISNA(VLOOKUP($F571,'Raw Data'!$A:$M,13,0)),"",VLOOKUP($F571,'Raw Data'!$A:$M,13,0))</f>
        <v/>
      </c>
    </row>
    <row r="572" spans="1:13" x14ac:dyDescent="0.25">
      <c r="A572" t="s">
        <v>38</v>
      </c>
      <c r="B572">
        <v>2013</v>
      </c>
      <c r="C572">
        <v>3.5</v>
      </c>
      <c r="D572" s="3">
        <v>680</v>
      </c>
      <c r="E572" s="3">
        <v>80</v>
      </c>
      <c r="F572" s="3" t="str">
        <f t="shared" si="8"/>
        <v>FGU920133.568080</v>
      </c>
      <c r="G572" t="str">
        <f>IF(ISNA(VLOOKUP($F572,'Raw Data'!$A:$M,7,0)),"",VLOOKUP($F572,'Raw Data'!$A:$M,7,0))</f>
        <v/>
      </c>
      <c r="H572" t="str">
        <f>IF(ISNA(VLOOKUP($F572,'Raw Data'!$A:$M,8,0)),"",VLOOKUP($F572,'Raw Data'!$A:$M,8,0))</f>
        <v/>
      </c>
      <c r="I572" t="str">
        <f>IF(ISNA(VLOOKUP($F572,'Raw Data'!$A:$M,9,0)),"",VLOOKUP($F572,'Raw Data'!$A:$M,9,0))</f>
        <v/>
      </c>
      <c r="J572" t="str">
        <f>IF(ISNA(VLOOKUP($F572,'Raw Data'!$A:$M,10,0)),"",VLOOKUP($F572,'Raw Data'!$A:$M,10,0))</f>
        <v/>
      </c>
      <c r="K572" t="str">
        <f>IF(ISNA(VLOOKUP($F572,'Raw Data'!$A:$M,11,0)),"",VLOOKUP($F572,'Raw Data'!$A:$M,11,0))</f>
        <v/>
      </c>
      <c r="L572" t="str">
        <f>IF(ISNA(VLOOKUP($F572,'Raw Data'!$A:$M,12,0)),"",VLOOKUP($F572,'Raw Data'!$A:$M,12,0))</f>
        <v/>
      </c>
      <c r="M572" t="str">
        <f>IF(ISNA(VLOOKUP($F572,'Raw Data'!$A:$M,13,0)),"",VLOOKUP($F572,'Raw Data'!$A:$M,13,0))</f>
        <v/>
      </c>
    </row>
    <row r="573" spans="1:13" x14ac:dyDescent="0.25">
      <c r="A573" t="s">
        <v>38</v>
      </c>
      <c r="B573">
        <v>2013</v>
      </c>
      <c r="C573">
        <v>3.5</v>
      </c>
      <c r="D573" s="3">
        <v>700</v>
      </c>
      <c r="E573" s="3">
        <v>80</v>
      </c>
      <c r="F573" s="3" t="str">
        <f t="shared" si="8"/>
        <v>FGU920133.570080</v>
      </c>
      <c r="G573" t="str">
        <f>IF(ISNA(VLOOKUP($F573,'Raw Data'!$A:$M,7,0)),"",VLOOKUP($F573,'Raw Data'!$A:$M,7,0))</f>
        <v/>
      </c>
      <c r="H573" t="str">
        <f>IF(ISNA(VLOOKUP($F573,'Raw Data'!$A:$M,8,0)),"",VLOOKUP($F573,'Raw Data'!$A:$M,8,0))</f>
        <v/>
      </c>
      <c r="I573" t="str">
        <f>IF(ISNA(VLOOKUP($F573,'Raw Data'!$A:$M,9,0)),"",VLOOKUP($F573,'Raw Data'!$A:$M,9,0))</f>
        <v/>
      </c>
      <c r="J573" t="str">
        <f>IF(ISNA(VLOOKUP($F573,'Raw Data'!$A:$M,10,0)),"",VLOOKUP($F573,'Raw Data'!$A:$M,10,0))</f>
        <v/>
      </c>
      <c r="K573" t="str">
        <f>IF(ISNA(VLOOKUP($F573,'Raw Data'!$A:$M,11,0)),"",VLOOKUP($F573,'Raw Data'!$A:$M,11,0))</f>
        <v/>
      </c>
      <c r="L573" t="str">
        <f>IF(ISNA(VLOOKUP($F573,'Raw Data'!$A:$M,12,0)),"",VLOOKUP($F573,'Raw Data'!$A:$M,12,0))</f>
        <v/>
      </c>
      <c r="M573" t="str">
        <f>IF(ISNA(VLOOKUP($F573,'Raw Data'!$A:$M,13,0)),"",VLOOKUP($F573,'Raw Data'!$A:$M,13,0))</f>
        <v/>
      </c>
    </row>
    <row r="574" spans="1:13" x14ac:dyDescent="0.25">
      <c r="A574" t="s">
        <v>38</v>
      </c>
      <c r="B574">
        <v>2013</v>
      </c>
      <c r="C574">
        <v>3.5</v>
      </c>
      <c r="D574" s="3">
        <v>720</v>
      </c>
      <c r="E574" s="3">
        <v>80</v>
      </c>
      <c r="F574" s="3" t="str">
        <f t="shared" si="8"/>
        <v>FGU920133.572080</v>
      </c>
      <c r="G574" t="str">
        <f>IF(ISNA(VLOOKUP($F574,'Raw Data'!$A:$M,7,0)),"",VLOOKUP($F574,'Raw Data'!$A:$M,7,0))</f>
        <v/>
      </c>
      <c r="H574" t="str">
        <f>IF(ISNA(VLOOKUP($F574,'Raw Data'!$A:$M,8,0)),"",VLOOKUP($F574,'Raw Data'!$A:$M,8,0))</f>
        <v/>
      </c>
      <c r="I574" t="str">
        <f>IF(ISNA(VLOOKUP($F574,'Raw Data'!$A:$M,9,0)),"",VLOOKUP($F574,'Raw Data'!$A:$M,9,0))</f>
        <v/>
      </c>
      <c r="J574" t="str">
        <f>IF(ISNA(VLOOKUP($F574,'Raw Data'!$A:$M,10,0)),"",VLOOKUP($F574,'Raw Data'!$A:$M,10,0))</f>
        <v/>
      </c>
      <c r="K574" t="str">
        <f>IF(ISNA(VLOOKUP($F574,'Raw Data'!$A:$M,11,0)),"",VLOOKUP($F574,'Raw Data'!$A:$M,11,0))</f>
        <v/>
      </c>
      <c r="L574" t="str">
        <f>IF(ISNA(VLOOKUP($F574,'Raw Data'!$A:$M,12,0)),"",VLOOKUP($F574,'Raw Data'!$A:$M,12,0))</f>
        <v/>
      </c>
      <c r="M574" t="str">
        <f>IF(ISNA(VLOOKUP($F574,'Raw Data'!$A:$M,13,0)),"",VLOOKUP($F574,'Raw Data'!$A:$M,13,0))</f>
        <v/>
      </c>
    </row>
    <row r="575" spans="1:13" x14ac:dyDescent="0.25">
      <c r="A575" t="s">
        <v>38</v>
      </c>
      <c r="B575">
        <v>2013</v>
      </c>
      <c r="C575">
        <v>3.5</v>
      </c>
      <c r="D575" s="3">
        <v>740</v>
      </c>
      <c r="E575" s="3">
        <v>80</v>
      </c>
      <c r="F575" s="3" t="str">
        <f t="shared" si="8"/>
        <v>FGU920133.574080</v>
      </c>
      <c r="G575" t="str">
        <f>IF(ISNA(VLOOKUP($F575,'Raw Data'!$A:$M,7,0)),"",VLOOKUP($F575,'Raw Data'!$A:$M,7,0))</f>
        <v/>
      </c>
      <c r="H575" t="str">
        <f>IF(ISNA(VLOOKUP($F575,'Raw Data'!$A:$M,8,0)),"",VLOOKUP($F575,'Raw Data'!$A:$M,8,0))</f>
        <v/>
      </c>
      <c r="I575" t="str">
        <f>IF(ISNA(VLOOKUP($F575,'Raw Data'!$A:$M,9,0)),"",VLOOKUP($F575,'Raw Data'!$A:$M,9,0))</f>
        <v/>
      </c>
      <c r="J575" t="str">
        <f>IF(ISNA(VLOOKUP($F575,'Raw Data'!$A:$M,10,0)),"",VLOOKUP($F575,'Raw Data'!$A:$M,10,0))</f>
        <v/>
      </c>
      <c r="K575" t="str">
        <f>IF(ISNA(VLOOKUP($F575,'Raw Data'!$A:$M,11,0)),"",VLOOKUP($F575,'Raw Data'!$A:$M,11,0))</f>
        <v/>
      </c>
      <c r="L575" t="str">
        <f>IF(ISNA(VLOOKUP($F575,'Raw Data'!$A:$M,12,0)),"",VLOOKUP($F575,'Raw Data'!$A:$M,12,0))</f>
        <v/>
      </c>
      <c r="M575" t="str">
        <f>IF(ISNA(VLOOKUP($F575,'Raw Data'!$A:$M,13,0)),"",VLOOKUP($F575,'Raw Data'!$A:$M,13,0))</f>
        <v/>
      </c>
    </row>
    <row r="576" spans="1:13" x14ac:dyDescent="0.25">
      <c r="A576" t="s">
        <v>38</v>
      </c>
      <c r="B576">
        <v>2013</v>
      </c>
      <c r="C576">
        <v>3.5</v>
      </c>
      <c r="D576" s="3">
        <v>760</v>
      </c>
      <c r="E576" s="3">
        <v>80</v>
      </c>
      <c r="F576" s="3" t="str">
        <f t="shared" si="8"/>
        <v>FGU920133.576080</v>
      </c>
      <c r="G576" t="str">
        <f>IF(ISNA(VLOOKUP($F576,'Raw Data'!$A:$M,7,0)),"",VLOOKUP($F576,'Raw Data'!$A:$M,7,0))</f>
        <v/>
      </c>
      <c r="H576" t="str">
        <f>IF(ISNA(VLOOKUP($F576,'Raw Data'!$A:$M,8,0)),"",VLOOKUP($F576,'Raw Data'!$A:$M,8,0))</f>
        <v/>
      </c>
      <c r="I576" t="str">
        <f>IF(ISNA(VLOOKUP($F576,'Raw Data'!$A:$M,9,0)),"",VLOOKUP($F576,'Raw Data'!$A:$M,9,0))</f>
        <v/>
      </c>
      <c r="J576" t="str">
        <f>IF(ISNA(VLOOKUP($F576,'Raw Data'!$A:$M,10,0)),"",VLOOKUP($F576,'Raw Data'!$A:$M,10,0))</f>
        <v/>
      </c>
      <c r="K576" t="str">
        <f>IF(ISNA(VLOOKUP($F576,'Raw Data'!$A:$M,11,0)),"",VLOOKUP($F576,'Raw Data'!$A:$M,11,0))</f>
        <v/>
      </c>
      <c r="L576" t="str">
        <f>IF(ISNA(VLOOKUP($F576,'Raw Data'!$A:$M,12,0)),"",VLOOKUP($F576,'Raw Data'!$A:$M,12,0))</f>
        <v/>
      </c>
      <c r="M576" t="str">
        <f>IF(ISNA(VLOOKUP($F576,'Raw Data'!$A:$M,13,0)),"",VLOOKUP($F576,'Raw Data'!$A:$M,13,0))</f>
        <v/>
      </c>
    </row>
    <row r="577" spans="1:13" x14ac:dyDescent="0.25">
      <c r="A577" t="s">
        <v>38</v>
      </c>
      <c r="B577">
        <v>2013</v>
      </c>
      <c r="C577">
        <v>3.5</v>
      </c>
      <c r="D577" s="3">
        <v>780</v>
      </c>
      <c r="E577" s="3">
        <v>80</v>
      </c>
      <c r="F577" s="3" t="str">
        <f t="shared" si="8"/>
        <v>FGU920133.578080</v>
      </c>
      <c r="G577" t="str">
        <f>IF(ISNA(VLOOKUP($F577,'Raw Data'!$A:$M,7,0)),"",VLOOKUP($F577,'Raw Data'!$A:$M,7,0))</f>
        <v/>
      </c>
      <c r="H577" t="str">
        <f>IF(ISNA(VLOOKUP($F577,'Raw Data'!$A:$M,8,0)),"",VLOOKUP($F577,'Raw Data'!$A:$M,8,0))</f>
        <v/>
      </c>
      <c r="I577" t="str">
        <f>IF(ISNA(VLOOKUP($F577,'Raw Data'!$A:$M,9,0)),"",VLOOKUP($F577,'Raw Data'!$A:$M,9,0))</f>
        <v/>
      </c>
      <c r="J577" t="str">
        <f>IF(ISNA(VLOOKUP($F577,'Raw Data'!$A:$M,10,0)),"",VLOOKUP($F577,'Raw Data'!$A:$M,10,0))</f>
        <v/>
      </c>
      <c r="K577" t="str">
        <f>IF(ISNA(VLOOKUP($F577,'Raw Data'!$A:$M,11,0)),"",VLOOKUP($F577,'Raw Data'!$A:$M,11,0))</f>
        <v/>
      </c>
      <c r="L577" t="str">
        <f>IF(ISNA(VLOOKUP($F577,'Raw Data'!$A:$M,12,0)),"",VLOOKUP($F577,'Raw Data'!$A:$M,12,0))</f>
        <v/>
      </c>
      <c r="M577" t="str">
        <f>IF(ISNA(VLOOKUP($F577,'Raw Data'!$A:$M,13,0)),"",VLOOKUP($F577,'Raw Data'!$A:$M,13,0))</f>
        <v/>
      </c>
    </row>
    <row r="578" spans="1:13" x14ac:dyDescent="0.25">
      <c r="A578" t="s">
        <v>38</v>
      </c>
      <c r="B578">
        <v>2013</v>
      </c>
      <c r="C578">
        <v>3.5</v>
      </c>
      <c r="D578" s="3">
        <v>620</v>
      </c>
      <c r="E578" s="3">
        <v>85</v>
      </c>
      <c r="F578" s="3" t="str">
        <f t="shared" si="8"/>
        <v>FGU920133.562085</v>
      </c>
      <c r="G578" t="str">
        <f>IF(ISNA(VLOOKUP($F578,'Raw Data'!$A:$M,7,0)),"",VLOOKUP($F578,'Raw Data'!$A:$M,7,0))</f>
        <v/>
      </c>
      <c r="H578" t="str">
        <f>IF(ISNA(VLOOKUP($F578,'Raw Data'!$A:$M,8,0)),"",VLOOKUP($F578,'Raw Data'!$A:$M,8,0))</f>
        <v/>
      </c>
      <c r="I578" t="str">
        <f>IF(ISNA(VLOOKUP($F578,'Raw Data'!$A:$M,9,0)),"",VLOOKUP($F578,'Raw Data'!$A:$M,9,0))</f>
        <v/>
      </c>
      <c r="J578" t="str">
        <f>IF(ISNA(VLOOKUP($F578,'Raw Data'!$A:$M,10,0)),"",VLOOKUP($F578,'Raw Data'!$A:$M,10,0))</f>
        <v/>
      </c>
      <c r="K578" t="str">
        <f>IF(ISNA(VLOOKUP($F578,'Raw Data'!$A:$M,11,0)),"",VLOOKUP($F578,'Raw Data'!$A:$M,11,0))</f>
        <v/>
      </c>
      <c r="L578" t="str">
        <f>IF(ISNA(VLOOKUP($F578,'Raw Data'!$A:$M,12,0)),"",VLOOKUP($F578,'Raw Data'!$A:$M,12,0))</f>
        <v/>
      </c>
      <c r="M578" t="str">
        <f>IF(ISNA(VLOOKUP($F578,'Raw Data'!$A:$M,13,0)),"",VLOOKUP($F578,'Raw Data'!$A:$M,13,0))</f>
        <v/>
      </c>
    </row>
    <row r="579" spans="1:13" x14ac:dyDescent="0.25">
      <c r="A579" t="s">
        <v>38</v>
      </c>
      <c r="B579">
        <v>2013</v>
      </c>
      <c r="C579">
        <v>3.5</v>
      </c>
      <c r="D579" s="3">
        <v>640</v>
      </c>
      <c r="E579" s="3">
        <v>85</v>
      </c>
      <c r="F579" s="3" t="str">
        <f t="shared" si="8"/>
        <v>FGU920133.564085</v>
      </c>
      <c r="G579" t="str">
        <f>IF(ISNA(VLOOKUP($F579,'Raw Data'!$A:$M,7,0)),"",VLOOKUP($F579,'Raw Data'!$A:$M,7,0))</f>
        <v/>
      </c>
      <c r="H579" t="str">
        <f>IF(ISNA(VLOOKUP($F579,'Raw Data'!$A:$M,8,0)),"",VLOOKUP($F579,'Raw Data'!$A:$M,8,0))</f>
        <v/>
      </c>
      <c r="I579" t="str">
        <f>IF(ISNA(VLOOKUP($F579,'Raw Data'!$A:$M,9,0)),"",VLOOKUP($F579,'Raw Data'!$A:$M,9,0))</f>
        <v/>
      </c>
      <c r="J579" t="str">
        <f>IF(ISNA(VLOOKUP($F579,'Raw Data'!$A:$M,10,0)),"",VLOOKUP($F579,'Raw Data'!$A:$M,10,0))</f>
        <v/>
      </c>
      <c r="K579" t="str">
        <f>IF(ISNA(VLOOKUP($F579,'Raw Data'!$A:$M,11,0)),"",VLOOKUP($F579,'Raw Data'!$A:$M,11,0))</f>
        <v/>
      </c>
      <c r="L579" t="str">
        <f>IF(ISNA(VLOOKUP($F579,'Raw Data'!$A:$M,12,0)),"",VLOOKUP($F579,'Raw Data'!$A:$M,12,0))</f>
        <v/>
      </c>
      <c r="M579" t="str">
        <f>IF(ISNA(VLOOKUP($F579,'Raw Data'!$A:$M,13,0)),"",VLOOKUP($F579,'Raw Data'!$A:$M,13,0))</f>
        <v/>
      </c>
    </row>
    <row r="580" spans="1:13" x14ac:dyDescent="0.25">
      <c r="A580" t="s">
        <v>38</v>
      </c>
      <c r="B580">
        <v>2013</v>
      </c>
      <c r="C580">
        <v>3.5</v>
      </c>
      <c r="D580" s="3">
        <v>660</v>
      </c>
      <c r="E580" s="3">
        <v>85</v>
      </c>
      <c r="F580" s="3" t="str">
        <f t="shared" ref="F580:F643" si="9">A580&amp;B580&amp;C580&amp;D580&amp;E580</f>
        <v>FGU920133.566085</v>
      </c>
      <c r="G580" t="str">
        <f>IF(ISNA(VLOOKUP($F580,'Raw Data'!$A:$M,7,0)),"",VLOOKUP($F580,'Raw Data'!$A:$M,7,0))</f>
        <v/>
      </c>
      <c r="H580" t="str">
        <f>IF(ISNA(VLOOKUP($F580,'Raw Data'!$A:$M,8,0)),"",VLOOKUP($F580,'Raw Data'!$A:$M,8,0))</f>
        <v/>
      </c>
      <c r="I580" t="str">
        <f>IF(ISNA(VLOOKUP($F580,'Raw Data'!$A:$M,9,0)),"",VLOOKUP($F580,'Raw Data'!$A:$M,9,0))</f>
        <v/>
      </c>
      <c r="J580" t="str">
        <f>IF(ISNA(VLOOKUP($F580,'Raw Data'!$A:$M,10,0)),"",VLOOKUP($F580,'Raw Data'!$A:$M,10,0))</f>
        <v/>
      </c>
      <c r="K580" t="str">
        <f>IF(ISNA(VLOOKUP($F580,'Raw Data'!$A:$M,11,0)),"",VLOOKUP($F580,'Raw Data'!$A:$M,11,0))</f>
        <v/>
      </c>
      <c r="L580" t="str">
        <f>IF(ISNA(VLOOKUP($F580,'Raw Data'!$A:$M,12,0)),"",VLOOKUP($F580,'Raw Data'!$A:$M,12,0))</f>
        <v/>
      </c>
      <c r="M580" t="str">
        <f>IF(ISNA(VLOOKUP($F580,'Raw Data'!$A:$M,13,0)),"",VLOOKUP($F580,'Raw Data'!$A:$M,13,0))</f>
        <v/>
      </c>
    </row>
    <row r="581" spans="1:13" x14ac:dyDescent="0.25">
      <c r="A581" t="s">
        <v>38</v>
      </c>
      <c r="B581">
        <v>2013</v>
      </c>
      <c r="C581">
        <v>3.5</v>
      </c>
      <c r="D581" s="3">
        <v>680</v>
      </c>
      <c r="E581" s="3">
        <v>85</v>
      </c>
      <c r="F581" s="3" t="str">
        <f t="shared" si="9"/>
        <v>FGU920133.568085</v>
      </c>
      <c r="G581" t="str">
        <f>IF(ISNA(VLOOKUP($F581,'Raw Data'!$A:$M,7,0)),"",VLOOKUP($F581,'Raw Data'!$A:$M,7,0))</f>
        <v/>
      </c>
      <c r="H581" t="str">
        <f>IF(ISNA(VLOOKUP($F581,'Raw Data'!$A:$M,8,0)),"",VLOOKUP($F581,'Raw Data'!$A:$M,8,0))</f>
        <v/>
      </c>
      <c r="I581" t="str">
        <f>IF(ISNA(VLOOKUP($F581,'Raw Data'!$A:$M,9,0)),"",VLOOKUP($F581,'Raw Data'!$A:$M,9,0))</f>
        <v/>
      </c>
      <c r="J581" t="str">
        <f>IF(ISNA(VLOOKUP($F581,'Raw Data'!$A:$M,10,0)),"",VLOOKUP($F581,'Raw Data'!$A:$M,10,0))</f>
        <v/>
      </c>
      <c r="K581" t="str">
        <f>IF(ISNA(VLOOKUP($F581,'Raw Data'!$A:$M,11,0)),"",VLOOKUP($F581,'Raw Data'!$A:$M,11,0))</f>
        <v/>
      </c>
      <c r="L581" t="str">
        <f>IF(ISNA(VLOOKUP($F581,'Raw Data'!$A:$M,12,0)),"",VLOOKUP($F581,'Raw Data'!$A:$M,12,0))</f>
        <v/>
      </c>
      <c r="M581" t="str">
        <f>IF(ISNA(VLOOKUP($F581,'Raw Data'!$A:$M,13,0)),"",VLOOKUP($F581,'Raw Data'!$A:$M,13,0))</f>
        <v/>
      </c>
    </row>
    <row r="582" spans="1:13" x14ac:dyDescent="0.25">
      <c r="A582" t="s">
        <v>38</v>
      </c>
      <c r="B582">
        <v>2013</v>
      </c>
      <c r="C582">
        <v>3.5</v>
      </c>
      <c r="D582" s="3">
        <v>700</v>
      </c>
      <c r="E582" s="3">
        <v>85</v>
      </c>
      <c r="F582" s="3" t="str">
        <f t="shared" si="9"/>
        <v>FGU920133.570085</v>
      </c>
      <c r="G582" t="str">
        <f>IF(ISNA(VLOOKUP($F582,'Raw Data'!$A:$M,7,0)),"",VLOOKUP($F582,'Raw Data'!$A:$M,7,0))</f>
        <v/>
      </c>
      <c r="H582" t="str">
        <f>IF(ISNA(VLOOKUP($F582,'Raw Data'!$A:$M,8,0)),"",VLOOKUP($F582,'Raw Data'!$A:$M,8,0))</f>
        <v/>
      </c>
      <c r="I582" t="str">
        <f>IF(ISNA(VLOOKUP($F582,'Raw Data'!$A:$M,9,0)),"",VLOOKUP($F582,'Raw Data'!$A:$M,9,0))</f>
        <v/>
      </c>
      <c r="J582" t="str">
        <f>IF(ISNA(VLOOKUP($F582,'Raw Data'!$A:$M,10,0)),"",VLOOKUP($F582,'Raw Data'!$A:$M,10,0))</f>
        <v/>
      </c>
      <c r="K582" t="str">
        <f>IF(ISNA(VLOOKUP($F582,'Raw Data'!$A:$M,11,0)),"",VLOOKUP($F582,'Raw Data'!$A:$M,11,0))</f>
        <v/>
      </c>
      <c r="L582" t="str">
        <f>IF(ISNA(VLOOKUP($F582,'Raw Data'!$A:$M,12,0)),"",VLOOKUP($F582,'Raw Data'!$A:$M,12,0))</f>
        <v/>
      </c>
      <c r="M582" t="str">
        <f>IF(ISNA(VLOOKUP($F582,'Raw Data'!$A:$M,13,0)),"",VLOOKUP($F582,'Raw Data'!$A:$M,13,0))</f>
        <v/>
      </c>
    </row>
    <row r="583" spans="1:13" x14ac:dyDescent="0.25">
      <c r="A583" t="s">
        <v>38</v>
      </c>
      <c r="B583">
        <v>2013</v>
      </c>
      <c r="C583">
        <v>3.5</v>
      </c>
      <c r="D583" s="3">
        <v>720</v>
      </c>
      <c r="E583" s="3">
        <v>85</v>
      </c>
      <c r="F583" s="3" t="str">
        <f t="shared" si="9"/>
        <v>FGU920133.572085</v>
      </c>
      <c r="G583" t="str">
        <f>IF(ISNA(VLOOKUP($F583,'Raw Data'!$A:$M,7,0)),"",VLOOKUP($F583,'Raw Data'!$A:$M,7,0))</f>
        <v/>
      </c>
      <c r="H583" t="str">
        <f>IF(ISNA(VLOOKUP($F583,'Raw Data'!$A:$M,8,0)),"",VLOOKUP($F583,'Raw Data'!$A:$M,8,0))</f>
        <v/>
      </c>
      <c r="I583" t="str">
        <f>IF(ISNA(VLOOKUP($F583,'Raw Data'!$A:$M,9,0)),"",VLOOKUP($F583,'Raw Data'!$A:$M,9,0))</f>
        <v/>
      </c>
      <c r="J583" t="str">
        <f>IF(ISNA(VLOOKUP($F583,'Raw Data'!$A:$M,10,0)),"",VLOOKUP($F583,'Raw Data'!$A:$M,10,0))</f>
        <v/>
      </c>
      <c r="K583" t="str">
        <f>IF(ISNA(VLOOKUP($F583,'Raw Data'!$A:$M,11,0)),"",VLOOKUP($F583,'Raw Data'!$A:$M,11,0))</f>
        <v/>
      </c>
      <c r="L583" t="str">
        <f>IF(ISNA(VLOOKUP($F583,'Raw Data'!$A:$M,12,0)),"",VLOOKUP($F583,'Raw Data'!$A:$M,12,0))</f>
        <v/>
      </c>
      <c r="M583" t="str">
        <f>IF(ISNA(VLOOKUP($F583,'Raw Data'!$A:$M,13,0)),"",VLOOKUP($F583,'Raw Data'!$A:$M,13,0))</f>
        <v/>
      </c>
    </row>
    <row r="584" spans="1:13" x14ac:dyDescent="0.25">
      <c r="A584" t="s">
        <v>38</v>
      </c>
      <c r="B584">
        <v>2013</v>
      </c>
      <c r="C584">
        <v>3.5</v>
      </c>
      <c r="D584" s="3">
        <v>740</v>
      </c>
      <c r="E584" s="3">
        <v>85</v>
      </c>
      <c r="F584" s="3" t="str">
        <f t="shared" si="9"/>
        <v>FGU920133.574085</v>
      </c>
      <c r="G584" t="str">
        <f>IF(ISNA(VLOOKUP($F584,'Raw Data'!$A:$M,7,0)),"",VLOOKUP($F584,'Raw Data'!$A:$M,7,0))</f>
        <v/>
      </c>
      <c r="H584" t="str">
        <f>IF(ISNA(VLOOKUP($F584,'Raw Data'!$A:$M,8,0)),"",VLOOKUP($F584,'Raw Data'!$A:$M,8,0))</f>
        <v/>
      </c>
      <c r="I584" t="str">
        <f>IF(ISNA(VLOOKUP($F584,'Raw Data'!$A:$M,9,0)),"",VLOOKUP($F584,'Raw Data'!$A:$M,9,0))</f>
        <v/>
      </c>
      <c r="J584" t="str">
        <f>IF(ISNA(VLOOKUP($F584,'Raw Data'!$A:$M,10,0)),"",VLOOKUP($F584,'Raw Data'!$A:$M,10,0))</f>
        <v/>
      </c>
      <c r="K584" t="str">
        <f>IF(ISNA(VLOOKUP($F584,'Raw Data'!$A:$M,11,0)),"",VLOOKUP($F584,'Raw Data'!$A:$M,11,0))</f>
        <v/>
      </c>
      <c r="L584" t="str">
        <f>IF(ISNA(VLOOKUP($F584,'Raw Data'!$A:$M,12,0)),"",VLOOKUP($F584,'Raw Data'!$A:$M,12,0))</f>
        <v/>
      </c>
      <c r="M584" t="str">
        <f>IF(ISNA(VLOOKUP($F584,'Raw Data'!$A:$M,13,0)),"",VLOOKUP($F584,'Raw Data'!$A:$M,13,0))</f>
        <v/>
      </c>
    </row>
    <row r="585" spans="1:13" x14ac:dyDescent="0.25">
      <c r="A585" t="s">
        <v>38</v>
      </c>
      <c r="B585">
        <v>2013</v>
      </c>
      <c r="C585">
        <v>3.5</v>
      </c>
      <c r="D585" s="3">
        <v>760</v>
      </c>
      <c r="E585" s="3">
        <v>85</v>
      </c>
      <c r="F585" s="3" t="str">
        <f t="shared" si="9"/>
        <v>FGU920133.576085</v>
      </c>
      <c r="G585" t="str">
        <f>IF(ISNA(VLOOKUP($F585,'Raw Data'!$A:$M,7,0)),"",VLOOKUP($F585,'Raw Data'!$A:$M,7,0))</f>
        <v/>
      </c>
      <c r="H585" t="str">
        <f>IF(ISNA(VLOOKUP($F585,'Raw Data'!$A:$M,8,0)),"",VLOOKUP($F585,'Raw Data'!$A:$M,8,0))</f>
        <v/>
      </c>
      <c r="I585" t="str">
        <f>IF(ISNA(VLOOKUP($F585,'Raw Data'!$A:$M,9,0)),"",VLOOKUP($F585,'Raw Data'!$A:$M,9,0))</f>
        <v/>
      </c>
      <c r="J585" t="str">
        <f>IF(ISNA(VLOOKUP($F585,'Raw Data'!$A:$M,10,0)),"",VLOOKUP($F585,'Raw Data'!$A:$M,10,0))</f>
        <v/>
      </c>
      <c r="K585" t="str">
        <f>IF(ISNA(VLOOKUP($F585,'Raw Data'!$A:$M,11,0)),"",VLOOKUP($F585,'Raw Data'!$A:$M,11,0))</f>
        <v/>
      </c>
      <c r="L585" t="str">
        <f>IF(ISNA(VLOOKUP($F585,'Raw Data'!$A:$M,12,0)),"",VLOOKUP($F585,'Raw Data'!$A:$M,12,0))</f>
        <v/>
      </c>
      <c r="M585" t="str">
        <f>IF(ISNA(VLOOKUP($F585,'Raw Data'!$A:$M,13,0)),"",VLOOKUP($F585,'Raw Data'!$A:$M,13,0))</f>
        <v/>
      </c>
    </row>
    <row r="586" spans="1:13" x14ac:dyDescent="0.25">
      <c r="A586" t="s">
        <v>38</v>
      </c>
      <c r="B586">
        <v>2013</v>
      </c>
      <c r="C586">
        <v>3.5</v>
      </c>
      <c r="D586" s="3">
        <v>780</v>
      </c>
      <c r="E586" s="3">
        <v>85</v>
      </c>
      <c r="F586" s="3" t="str">
        <f t="shared" si="9"/>
        <v>FGU920133.578085</v>
      </c>
      <c r="G586" t="str">
        <f>IF(ISNA(VLOOKUP($F586,'Raw Data'!$A:$M,7,0)),"",VLOOKUP($F586,'Raw Data'!$A:$M,7,0))</f>
        <v/>
      </c>
      <c r="H586" t="str">
        <f>IF(ISNA(VLOOKUP($F586,'Raw Data'!$A:$M,8,0)),"",VLOOKUP($F586,'Raw Data'!$A:$M,8,0))</f>
        <v/>
      </c>
      <c r="I586" t="str">
        <f>IF(ISNA(VLOOKUP($F586,'Raw Data'!$A:$M,9,0)),"",VLOOKUP($F586,'Raw Data'!$A:$M,9,0))</f>
        <v/>
      </c>
      <c r="J586" t="str">
        <f>IF(ISNA(VLOOKUP($F586,'Raw Data'!$A:$M,10,0)),"",VLOOKUP($F586,'Raw Data'!$A:$M,10,0))</f>
        <v/>
      </c>
      <c r="K586" t="str">
        <f>IF(ISNA(VLOOKUP($F586,'Raw Data'!$A:$M,11,0)),"",VLOOKUP($F586,'Raw Data'!$A:$M,11,0))</f>
        <v/>
      </c>
      <c r="L586" t="str">
        <f>IF(ISNA(VLOOKUP($F586,'Raw Data'!$A:$M,12,0)),"",VLOOKUP($F586,'Raw Data'!$A:$M,12,0))</f>
        <v/>
      </c>
      <c r="M586" t="str">
        <f>IF(ISNA(VLOOKUP($F586,'Raw Data'!$A:$M,13,0)),"",VLOOKUP($F586,'Raw Data'!$A:$M,13,0))</f>
        <v/>
      </c>
    </row>
    <row r="587" spans="1:13" x14ac:dyDescent="0.25">
      <c r="A587" t="s">
        <v>38</v>
      </c>
      <c r="B587">
        <v>2013</v>
      </c>
      <c r="C587">
        <v>3.5</v>
      </c>
      <c r="D587" s="3">
        <v>620</v>
      </c>
      <c r="E587" s="3">
        <v>90</v>
      </c>
      <c r="F587" s="3" t="str">
        <f t="shared" si="9"/>
        <v>FGU920133.562090</v>
      </c>
      <c r="G587" t="str">
        <f>IF(ISNA(VLOOKUP($F587,'Raw Data'!$A:$M,7,0)),"",VLOOKUP($F587,'Raw Data'!$A:$M,7,0))</f>
        <v/>
      </c>
      <c r="H587" t="str">
        <f>IF(ISNA(VLOOKUP($F587,'Raw Data'!$A:$M,8,0)),"",VLOOKUP($F587,'Raw Data'!$A:$M,8,0))</f>
        <v/>
      </c>
      <c r="I587" t="str">
        <f>IF(ISNA(VLOOKUP($F587,'Raw Data'!$A:$M,9,0)),"",VLOOKUP($F587,'Raw Data'!$A:$M,9,0))</f>
        <v/>
      </c>
      <c r="J587" t="str">
        <f>IF(ISNA(VLOOKUP($F587,'Raw Data'!$A:$M,10,0)),"",VLOOKUP($F587,'Raw Data'!$A:$M,10,0))</f>
        <v/>
      </c>
      <c r="K587" t="str">
        <f>IF(ISNA(VLOOKUP($F587,'Raw Data'!$A:$M,11,0)),"",VLOOKUP($F587,'Raw Data'!$A:$M,11,0))</f>
        <v/>
      </c>
      <c r="L587" t="str">
        <f>IF(ISNA(VLOOKUP($F587,'Raw Data'!$A:$M,12,0)),"",VLOOKUP($F587,'Raw Data'!$A:$M,12,0))</f>
        <v/>
      </c>
      <c r="M587" t="str">
        <f>IF(ISNA(VLOOKUP($F587,'Raw Data'!$A:$M,13,0)),"",VLOOKUP($F587,'Raw Data'!$A:$M,13,0))</f>
        <v/>
      </c>
    </row>
    <row r="588" spans="1:13" x14ac:dyDescent="0.25">
      <c r="A588" t="s">
        <v>38</v>
      </c>
      <c r="B588">
        <v>2013</v>
      </c>
      <c r="C588">
        <v>3.5</v>
      </c>
      <c r="D588" s="3">
        <v>640</v>
      </c>
      <c r="E588" s="3">
        <v>90</v>
      </c>
      <c r="F588" s="3" t="str">
        <f t="shared" si="9"/>
        <v>FGU920133.564090</v>
      </c>
      <c r="G588" t="str">
        <f>IF(ISNA(VLOOKUP($F588,'Raw Data'!$A:$M,7,0)),"",VLOOKUP($F588,'Raw Data'!$A:$M,7,0))</f>
        <v/>
      </c>
      <c r="H588" t="str">
        <f>IF(ISNA(VLOOKUP($F588,'Raw Data'!$A:$M,8,0)),"",VLOOKUP($F588,'Raw Data'!$A:$M,8,0))</f>
        <v/>
      </c>
      <c r="I588" t="str">
        <f>IF(ISNA(VLOOKUP($F588,'Raw Data'!$A:$M,9,0)),"",VLOOKUP($F588,'Raw Data'!$A:$M,9,0))</f>
        <v/>
      </c>
      <c r="J588" t="str">
        <f>IF(ISNA(VLOOKUP($F588,'Raw Data'!$A:$M,10,0)),"",VLOOKUP($F588,'Raw Data'!$A:$M,10,0))</f>
        <v/>
      </c>
      <c r="K588" t="str">
        <f>IF(ISNA(VLOOKUP($F588,'Raw Data'!$A:$M,11,0)),"",VLOOKUP($F588,'Raw Data'!$A:$M,11,0))</f>
        <v/>
      </c>
      <c r="L588" t="str">
        <f>IF(ISNA(VLOOKUP($F588,'Raw Data'!$A:$M,12,0)),"",VLOOKUP($F588,'Raw Data'!$A:$M,12,0))</f>
        <v/>
      </c>
      <c r="M588" t="str">
        <f>IF(ISNA(VLOOKUP($F588,'Raw Data'!$A:$M,13,0)),"",VLOOKUP($F588,'Raw Data'!$A:$M,13,0))</f>
        <v/>
      </c>
    </row>
    <row r="589" spans="1:13" x14ac:dyDescent="0.25">
      <c r="A589" t="s">
        <v>38</v>
      </c>
      <c r="B589">
        <v>2013</v>
      </c>
      <c r="C589">
        <v>3.5</v>
      </c>
      <c r="D589" s="3">
        <v>660</v>
      </c>
      <c r="E589" s="3">
        <v>90</v>
      </c>
      <c r="F589" s="3" t="str">
        <f t="shared" si="9"/>
        <v>FGU920133.566090</v>
      </c>
      <c r="G589" t="str">
        <f>IF(ISNA(VLOOKUP($F589,'Raw Data'!$A:$M,7,0)),"",VLOOKUP($F589,'Raw Data'!$A:$M,7,0))</f>
        <v/>
      </c>
      <c r="H589" t="str">
        <f>IF(ISNA(VLOOKUP($F589,'Raw Data'!$A:$M,8,0)),"",VLOOKUP($F589,'Raw Data'!$A:$M,8,0))</f>
        <v/>
      </c>
      <c r="I589" t="str">
        <f>IF(ISNA(VLOOKUP($F589,'Raw Data'!$A:$M,9,0)),"",VLOOKUP($F589,'Raw Data'!$A:$M,9,0))</f>
        <v/>
      </c>
      <c r="J589" t="str">
        <f>IF(ISNA(VLOOKUP($F589,'Raw Data'!$A:$M,10,0)),"",VLOOKUP($F589,'Raw Data'!$A:$M,10,0))</f>
        <v/>
      </c>
      <c r="K589" t="str">
        <f>IF(ISNA(VLOOKUP($F589,'Raw Data'!$A:$M,11,0)),"",VLOOKUP($F589,'Raw Data'!$A:$M,11,0))</f>
        <v/>
      </c>
      <c r="L589" t="str">
        <f>IF(ISNA(VLOOKUP($F589,'Raw Data'!$A:$M,12,0)),"",VLOOKUP($F589,'Raw Data'!$A:$M,12,0))</f>
        <v/>
      </c>
      <c r="M589" t="str">
        <f>IF(ISNA(VLOOKUP($F589,'Raw Data'!$A:$M,13,0)),"",VLOOKUP($F589,'Raw Data'!$A:$M,13,0))</f>
        <v/>
      </c>
    </row>
    <row r="590" spans="1:13" x14ac:dyDescent="0.25">
      <c r="A590" t="s">
        <v>38</v>
      </c>
      <c r="B590">
        <v>2013</v>
      </c>
      <c r="C590">
        <v>3.5</v>
      </c>
      <c r="D590" s="3">
        <v>680</v>
      </c>
      <c r="E590" s="3">
        <v>90</v>
      </c>
      <c r="F590" s="3" t="str">
        <f t="shared" si="9"/>
        <v>FGU920133.568090</v>
      </c>
      <c r="G590" t="str">
        <f>IF(ISNA(VLOOKUP($F590,'Raw Data'!$A:$M,7,0)),"",VLOOKUP($F590,'Raw Data'!$A:$M,7,0))</f>
        <v/>
      </c>
      <c r="H590" t="str">
        <f>IF(ISNA(VLOOKUP($F590,'Raw Data'!$A:$M,8,0)),"",VLOOKUP($F590,'Raw Data'!$A:$M,8,0))</f>
        <v/>
      </c>
      <c r="I590" t="str">
        <f>IF(ISNA(VLOOKUP($F590,'Raw Data'!$A:$M,9,0)),"",VLOOKUP($F590,'Raw Data'!$A:$M,9,0))</f>
        <v/>
      </c>
      <c r="J590" t="str">
        <f>IF(ISNA(VLOOKUP($F590,'Raw Data'!$A:$M,10,0)),"",VLOOKUP($F590,'Raw Data'!$A:$M,10,0))</f>
        <v/>
      </c>
      <c r="K590" t="str">
        <f>IF(ISNA(VLOOKUP($F590,'Raw Data'!$A:$M,11,0)),"",VLOOKUP($F590,'Raw Data'!$A:$M,11,0))</f>
        <v/>
      </c>
      <c r="L590" t="str">
        <f>IF(ISNA(VLOOKUP($F590,'Raw Data'!$A:$M,12,0)),"",VLOOKUP($F590,'Raw Data'!$A:$M,12,0))</f>
        <v/>
      </c>
      <c r="M590" t="str">
        <f>IF(ISNA(VLOOKUP($F590,'Raw Data'!$A:$M,13,0)),"",VLOOKUP($F590,'Raw Data'!$A:$M,13,0))</f>
        <v/>
      </c>
    </row>
    <row r="591" spans="1:13" x14ac:dyDescent="0.25">
      <c r="A591" t="s">
        <v>38</v>
      </c>
      <c r="B591">
        <v>2013</v>
      </c>
      <c r="C591">
        <v>3.5</v>
      </c>
      <c r="D591" s="3">
        <v>700</v>
      </c>
      <c r="E591" s="3">
        <v>90</v>
      </c>
      <c r="F591" s="3" t="str">
        <f t="shared" si="9"/>
        <v>FGU920133.570090</v>
      </c>
      <c r="G591" t="str">
        <f>IF(ISNA(VLOOKUP($F591,'Raw Data'!$A:$M,7,0)),"",VLOOKUP($F591,'Raw Data'!$A:$M,7,0))</f>
        <v/>
      </c>
      <c r="H591" t="str">
        <f>IF(ISNA(VLOOKUP($F591,'Raw Data'!$A:$M,8,0)),"",VLOOKUP($F591,'Raw Data'!$A:$M,8,0))</f>
        <v/>
      </c>
      <c r="I591" t="str">
        <f>IF(ISNA(VLOOKUP($F591,'Raw Data'!$A:$M,9,0)),"",VLOOKUP($F591,'Raw Data'!$A:$M,9,0))</f>
        <v/>
      </c>
      <c r="J591" t="str">
        <f>IF(ISNA(VLOOKUP($F591,'Raw Data'!$A:$M,10,0)),"",VLOOKUP($F591,'Raw Data'!$A:$M,10,0))</f>
        <v/>
      </c>
      <c r="K591" t="str">
        <f>IF(ISNA(VLOOKUP($F591,'Raw Data'!$A:$M,11,0)),"",VLOOKUP($F591,'Raw Data'!$A:$M,11,0))</f>
        <v/>
      </c>
      <c r="L591" t="str">
        <f>IF(ISNA(VLOOKUP($F591,'Raw Data'!$A:$M,12,0)),"",VLOOKUP($F591,'Raw Data'!$A:$M,12,0))</f>
        <v/>
      </c>
      <c r="M591" t="str">
        <f>IF(ISNA(VLOOKUP($F591,'Raw Data'!$A:$M,13,0)),"",VLOOKUP($F591,'Raw Data'!$A:$M,13,0))</f>
        <v/>
      </c>
    </row>
    <row r="592" spans="1:13" x14ac:dyDescent="0.25">
      <c r="A592" t="s">
        <v>38</v>
      </c>
      <c r="B592">
        <v>2013</v>
      </c>
      <c r="C592">
        <v>3.5</v>
      </c>
      <c r="D592" s="3">
        <v>720</v>
      </c>
      <c r="E592" s="3">
        <v>90</v>
      </c>
      <c r="F592" s="3" t="str">
        <f t="shared" si="9"/>
        <v>FGU920133.572090</v>
      </c>
      <c r="G592" t="str">
        <f>IF(ISNA(VLOOKUP($F592,'Raw Data'!$A:$M,7,0)),"",VLOOKUP($F592,'Raw Data'!$A:$M,7,0))</f>
        <v/>
      </c>
      <c r="H592" t="str">
        <f>IF(ISNA(VLOOKUP($F592,'Raw Data'!$A:$M,8,0)),"",VLOOKUP($F592,'Raw Data'!$A:$M,8,0))</f>
        <v/>
      </c>
      <c r="I592" t="str">
        <f>IF(ISNA(VLOOKUP($F592,'Raw Data'!$A:$M,9,0)),"",VLOOKUP($F592,'Raw Data'!$A:$M,9,0))</f>
        <v/>
      </c>
      <c r="J592" t="str">
        <f>IF(ISNA(VLOOKUP($F592,'Raw Data'!$A:$M,10,0)),"",VLOOKUP($F592,'Raw Data'!$A:$M,10,0))</f>
        <v/>
      </c>
      <c r="K592" t="str">
        <f>IF(ISNA(VLOOKUP($F592,'Raw Data'!$A:$M,11,0)),"",VLOOKUP($F592,'Raw Data'!$A:$M,11,0))</f>
        <v/>
      </c>
      <c r="L592" t="str">
        <f>IF(ISNA(VLOOKUP($F592,'Raw Data'!$A:$M,12,0)),"",VLOOKUP($F592,'Raw Data'!$A:$M,12,0))</f>
        <v/>
      </c>
      <c r="M592" t="str">
        <f>IF(ISNA(VLOOKUP($F592,'Raw Data'!$A:$M,13,0)),"",VLOOKUP($F592,'Raw Data'!$A:$M,13,0))</f>
        <v/>
      </c>
    </row>
    <row r="593" spans="1:13" x14ac:dyDescent="0.25">
      <c r="A593" t="s">
        <v>38</v>
      </c>
      <c r="B593">
        <v>2013</v>
      </c>
      <c r="C593">
        <v>3.5</v>
      </c>
      <c r="D593" s="3">
        <v>740</v>
      </c>
      <c r="E593" s="3">
        <v>90</v>
      </c>
      <c r="F593" s="3" t="str">
        <f t="shared" si="9"/>
        <v>FGU920133.574090</v>
      </c>
      <c r="G593" t="str">
        <f>IF(ISNA(VLOOKUP($F593,'Raw Data'!$A:$M,7,0)),"",VLOOKUP($F593,'Raw Data'!$A:$M,7,0))</f>
        <v/>
      </c>
      <c r="H593" t="str">
        <f>IF(ISNA(VLOOKUP($F593,'Raw Data'!$A:$M,8,0)),"",VLOOKUP($F593,'Raw Data'!$A:$M,8,0))</f>
        <v/>
      </c>
      <c r="I593" t="str">
        <f>IF(ISNA(VLOOKUP($F593,'Raw Data'!$A:$M,9,0)),"",VLOOKUP($F593,'Raw Data'!$A:$M,9,0))</f>
        <v/>
      </c>
      <c r="J593" t="str">
        <f>IF(ISNA(VLOOKUP($F593,'Raw Data'!$A:$M,10,0)),"",VLOOKUP($F593,'Raw Data'!$A:$M,10,0))</f>
        <v/>
      </c>
      <c r="K593" t="str">
        <f>IF(ISNA(VLOOKUP($F593,'Raw Data'!$A:$M,11,0)),"",VLOOKUP($F593,'Raw Data'!$A:$M,11,0))</f>
        <v/>
      </c>
      <c r="L593" t="str">
        <f>IF(ISNA(VLOOKUP($F593,'Raw Data'!$A:$M,12,0)),"",VLOOKUP($F593,'Raw Data'!$A:$M,12,0))</f>
        <v/>
      </c>
      <c r="M593" t="str">
        <f>IF(ISNA(VLOOKUP($F593,'Raw Data'!$A:$M,13,0)),"",VLOOKUP($F593,'Raw Data'!$A:$M,13,0))</f>
        <v/>
      </c>
    </row>
    <row r="594" spans="1:13" x14ac:dyDescent="0.25">
      <c r="A594" t="s">
        <v>38</v>
      </c>
      <c r="B594">
        <v>2013</v>
      </c>
      <c r="C594">
        <v>3.5</v>
      </c>
      <c r="D594" s="3">
        <v>760</v>
      </c>
      <c r="E594" s="3">
        <v>90</v>
      </c>
      <c r="F594" s="3" t="str">
        <f t="shared" si="9"/>
        <v>FGU920133.576090</v>
      </c>
      <c r="G594" t="str">
        <f>IF(ISNA(VLOOKUP($F594,'Raw Data'!$A:$M,7,0)),"",VLOOKUP($F594,'Raw Data'!$A:$M,7,0))</f>
        <v/>
      </c>
      <c r="H594" t="str">
        <f>IF(ISNA(VLOOKUP($F594,'Raw Data'!$A:$M,8,0)),"",VLOOKUP($F594,'Raw Data'!$A:$M,8,0))</f>
        <v/>
      </c>
      <c r="I594" t="str">
        <f>IF(ISNA(VLOOKUP($F594,'Raw Data'!$A:$M,9,0)),"",VLOOKUP($F594,'Raw Data'!$A:$M,9,0))</f>
        <v/>
      </c>
      <c r="J594" t="str">
        <f>IF(ISNA(VLOOKUP($F594,'Raw Data'!$A:$M,10,0)),"",VLOOKUP($F594,'Raw Data'!$A:$M,10,0))</f>
        <v/>
      </c>
      <c r="K594" t="str">
        <f>IF(ISNA(VLOOKUP($F594,'Raw Data'!$A:$M,11,0)),"",VLOOKUP($F594,'Raw Data'!$A:$M,11,0))</f>
        <v/>
      </c>
      <c r="L594" t="str">
        <f>IF(ISNA(VLOOKUP($F594,'Raw Data'!$A:$M,12,0)),"",VLOOKUP($F594,'Raw Data'!$A:$M,12,0))</f>
        <v/>
      </c>
      <c r="M594" t="str">
        <f>IF(ISNA(VLOOKUP($F594,'Raw Data'!$A:$M,13,0)),"",VLOOKUP($F594,'Raw Data'!$A:$M,13,0))</f>
        <v/>
      </c>
    </row>
    <row r="595" spans="1:13" x14ac:dyDescent="0.25">
      <c r="A595" t="s">
        <v>38</v>
      </c>
      <c r="B595">
        <v>2013</v>
      </c>
      <c r="C595">
        <v>3.5</v>
      </c>
      <c r="D595" s="3">
        <v>780</v>
      </c>
      <c r="E595" s="3">
        <v>90</v>
      </c>
      <c r="F595" s="3" t="str">
        <f t="shared" si="9"/>
        <v>FGU920133.578090</v>
      </c>
      <c r="G595" t="str">
        <f>IF(ISNA(VLOOKUP($F595,'Raw Data'!$A:$M,7,0)),"",VLOOKUP($F595,'Raw Data'!$A:$M,7,0))</f>
        <v/>
      </c>
      <c r="H595" t="str">
        <f>IF(ISNA(VLOOKUP($F595,'Raw Data'!$A:$M,8,0)),"",VLOOKUP($F595,'Raw Data'!$A:$M,8,0))</f>
        <v/>
      </c>
      <c r="I595" t="str">
        <f>IF(ISNA(VLOOKUP($F595,'Raw Data'!$A:$M,9,0)),"",VLOOKUP($F595,'Raw Data'!$A:$M,9,0))</f>
        <v/>
      </c>
      <c r="J595" t="str">
        <f>IF(ISNA(VLOOKUP($F595,'Raw Data'!$A:$M,10,0)),"",VLOOKUP($F595,'Raw Data'!$A:$M,10,0))</f>
        <v/>
      </c>
      <c r="K595" t="str">
        <f>IF(ISNA(VLOOKUP($F595,'Raw Data'!$A:$M,11,0)),"",VLOOKUP($F595,'Raw Data'!$A:$M,11,0))</f>
        <v/>
      </c>
      <c r="L595" t="str">
        <f>IF(ISNA(VLOOKUP($F595,'Raw Data'!$A:$M,12,0)),"",VLOOKUP($F595,'Raw Data'!$A:$M,12,0))</f>
        <v/>
      </c>
      <c r="M595" t="str">
        <f>IF(ISNA(VLOOKUP($F595,'Raw Data'!$A:$M,13,0)),"",VLOOKUP($F595,'Raw Data'!$A:$M,13,0))</f>
        <v/>
      </c>
    </row>
    <row r="596" spans="1:13" x14ac:dyDescent="0.25">
      <c r="A596" t="s">
        <v>38</v>
      </c>
      <c r="B596">
        <v>2013</v>
      </c>
      <c r="C596">
        <v>3.5</v>
      </c>
      <c r="D596" s="3">
        <v>620</v>
      </c>
      <c r="E596" s="3">
        <v>95</v>
      </c>
      <c r="F596" s="3" t="str">
        <f t="shared" si="9"/>
        <v>FGU920133.562095</v>
      </c>
      <c r="G596" t="str">
        <f>IF(ISNA(VLOOKUP($F596,'Raw Data'!$A:$M,7,0)),"",VLOOKUP($F596,'Raw Data'!$A:$M,7,0))</f>
        <v/>
      </c>
      <c r="H596" t="str">
        <f>IF(ISNA(VLOOKUP($F596,'Raw Data'!$A:$M,8,0)),"",VLOOKUP($F596,'Raw Data'!$A:$M,8,0))</f>
        <v/>
      </c>
      <c r="I596" t="str">
        <f>IF(ISNA(VLOOKUP($F596,'Raw Data'!$A:$M,9,0)),"",VLOOKUP($F596,'Raw Data'!$A:$M,9,0))</f>
        <v/>
      </c>
      <c r="J596" t="str">
        <f>IF(ISNA(VLOOKUP($F596,'Raw Data'!$A:$M,10,0)),"",VLOOKUP($F596,'Raw Data'!$A:$M,10,0))</f>
        <v/>
      </c>
      <c r="K596" t="str">
        <f>IF(ISNA(VLOOKUP($F596,'Raw Data'!$A:$M,11,0)),"",VLOOKUP($F596,'Raw Data'!$A:$M,11,0))</f>
        <v/>
      </c>
      <c r="L596" t="str">
        <f>IF(ISNA(VLOOKUP($F596,'Raw Data'!$A:$M,12,0)),"",VLOOKUP($F596,'Raw Data'!$A:$M,12,0))</f>
        <v/>
      </c>
      <c r="M596" t="str">
        <f>IF(ISNA(VLOOKUP($F596,'Raw Data'!$A:$M,13,0)),"",VLOOKUP($F596,'Raw Data'!$A:$M,13,0))</f>
        <v/>
      </c>
    </row>
    <row r="597" spans="1:13" x14ac:dyDescent="0.25">
      <c r="A597" t="s">
        <v>38</v>
      </c>
      <c r="B597">
        <v>2013</v>
      </c>
      <c r="C597">
        <v>3.5</v>
      </c>
      <c r="D597" s="3">
        <v>640</v>
      </c>
      <c r="E597" s="3">
        <v>95</v>
      </c>
      <c r="F597" s="3" t="str">
        <f t="shared" si="9"/>
        <v>FGU920133.564095</v>
      </c>
      <c r="G597" t="str">
        <f>IF(ISNA(VLOOKUP($F597,'Raw Data'!$A:$M,7,0)),"",VLOOKUP($F597,'Raw Data'!$A:$M,7,0))</f>
        <v/>
      </c>
      <c r="H597" t="str">
        <f>IF(ISNA(VLOOKUP($F597,'Raw Data'!$A:$M,8,0)),"",VLOOKUP($F597,'Raw Data'!$A:$M,8,0))</f>
        <v/>
      </c>
      <c r="I597" t="str">
        <f>IF(ISNA(VLOOKUP($F597,'Raw Data'!$A:$M,9,0)),"",VLOOKUP($F597,'Raw Data'!$A:$M,9,0))</f>
        <v/>
      </c>
      <c r="J597" t="str">
        <f>IF(ISNA(VLOOKUP($F597,'Raw Data'!$A:$M,10,0)),"",VLOOKUP($F597,'Raw Data'!$A:$M,10,0))</f>
        <v/>
      </c>
      <c r="K597" t="str">
        <f>IF(ISNA(VLOOKUP($F597,'Raw Data'!$A:$M,11,0)),"",VLOOKUP($F597,'Raw Data'!$A:$M,11,0))</f>
        <v/>
      </c>
      <c r="L597" t="str">
        <f>IF(ISNA(VLOOKUP($F597,'Raw Data'!$A:$M,12,0)),"",VLOOKUP($F597,'Raw Data'!$A:$M,12,0))</f>
        <v/>
      </c>
      <c r="M597" t="str">
        <f>IF(ISNA(VLOOKUP($F597,'Raw Data'!$A:$M,13,0)),"",VLOOKUP($F597,'Raw Data'!$A:$M,13,0))</f>
        <v/>
      </c>
    </row>
    <row r="598" spans="1:13" x14ac:dyDescent="0.25">
      <c r="A598" t="s">
        <v>38</v>
      </c>
      <c r="B598">
        <v>2013</v>
      </c>
      <c r="C598">
        <v>3.5</v>
      </c>
      <c r="D598" s="3">
        <v>660</v>
      </c>
      <c r="E598" s="3">
        <v>95</v>
      </c>
      <c r="F598" s="3" t="str">
        <f t="shared" si="9"/>
        <v>FGU920133.566095</v>
      </c>
      <c r="G598" t="str">
        <f>IF(ISNA(VLOOKUP($F598,'Raw Data'!$A:$M,7,0)),"",VLOOKUP($F598,'Raw Data'!$A:$M,7,0))</f>
        <v/>
      </c>
      <c r="H598" t="str">
        <f>IF(ISNA(VLOOKUP($F598,'Raw Data'!$A:$M,8,0)),"",VLOOKUP($F598,'Raw Data'!$A:$M,8,0))</f>
        <v/>
      </c>
      <c r="I598" t="str">
        <f>IF(ISNA(VLOOKUP($F598,'Raw Data'!$A:$M,9,0)),"",VLOOKUP($F598,'Raw Data'!$A:$M,9,0))</f>
        <v/>
      </c>
      <c r="J598" t="str">
        <f>IF(ISNA(VLOOKUP($F598,'Raw Data'!$A:$M,10,0)),"",VLOOKUP($F598,'Raw Data'!$A:$M,10,0))</f>
        <v/>
      </c>
      <c r="K598" t="str">
        <f>IF(ISNA(VLOOKUP($F598,'Raw Data'!$A:$M,11,0)),"",VLOOKUP($F598,'Raw Data'!$A:$M,11,0))</f>
        <v/>
      </c>
      <c r="L598" t="str">
        <f>IF(ISNA(VLOOKUP($F598,'Raw Data'!$A:$M,12,0)),"",VLOOKUP($F598,'Raw Data'!$A:$M,12,0))</f>
        <v/>
      </c>
      <c r="M598" t="str">
        <f>IF(ISNA(VLOOKUP($F598,'Raw Data'!$A:$M,13,0)),"",VLOOKUP($F598,'Raw Data'!$A:$M,13,0))</f>
        <v/>
      </c>
    </row>
    <row r="599" spans="1:13" x14ac:dyDescent="0.25">
      <c r="A599" t="s">
        <v>38</v>
      </c>
      <c r="B599">
        <v>2013</v>
      </c>
      <c r="C599">
        <v>3.5</v>
      </c>
      <c r="D599" s="3">
        <v>680</v>
      </c>
      <c r="E599" s="3">
        <v>95</v>
      </c>
      <c r="F599" s="3" t="str">
        <f t="shared" si="9"/>
        <v>FGU920133.568095</v>
      </c>
      <c r="G599" t="str">
        <f>IF(ISNA(VLOOKUP($F599,'Raw Data'!$A:$M,7,0)),"",VLOOKUP($F599,'Raw Data'!$A:$M,7,0))</f>
        <v/>
      </c>
      <c r="H599" t="str">
        <f>IF(ISNA(VLOOKUP($F599,'Raw Data'!$A:$M,8,0)),"",VLOOKUP($F599,'Raw Data'!$A:$M,8,0))</f>
        <v/>
      </c>
      <c r="I599" t="str">
        <f>IF(ISNA(VLOOKUP($F599,'Raw Data'!$A:$M,9,0)),"",VLOOKUP($F599,'Raw Data'!$A:$M,9,0))</f>
        <v/>
      </c>
      <c r="J599" t="str">
        <f>IF(ISNA(VLOOKUP($F599,'Raw Data'!$A:$M,10,0)),"",VLOOKUP($F599,'Raw Data'!$A:$M,10,0))</f>
        <v/>
      </c>
      <c r="K599" t="str">
        <f>IF(ISNA(VLOOKUP($F599,'Raw Data'!$A:$M,11,0)),"",VLOOKUP($F599,'Raw Data'!$A:$M,11,0))</f>
        <v/>
      </c>
      <c r="L599" t="str">
        <f>IF(ISNA(VLOOKUP($F599,'Raw Data'!$A:$M,12,0)),"",VLOOKUP($F599,'Raw Data'!$A:$M,12,0))</f>
        <v/>
      </c>
      <c r="M599" t="str">
        <f>IF(ISNA(VLOOKUP($F599,'Raw Data'!$A:$M,13,0)),"",VLOOKUP($F599,'Raw Data'!$A:$M,13,0))</f>
        <v/>
      </c>
    </row>
    <row r="600" spans="1:13" x14ac:dyDescent="0.25">
      <c r="A600" t="s">
        <v>38</v>
      </c>
      <c r="B600">
        <v>2013</v>
      </c>
      <c r="C600">
        <v>3.5</v>
      </c>
      <c r="D600" s="3">
        <v>700</v>
      </c>
      <c r="E600" s="3">
        <v>95</v>
      </c>
      <c r="F600" s="3" t="str">
        <f t="shared" si="9"/>
        <v>FGU920133.570095</v>
      </c>
      <c r="G600" t="str">
        <f>IF(ISNA(VLOOKUP($F600,'Raw Data'!$A:$M,7,0)),"",VLOOKUP($F600,'Raw Data'!$A:$M,7,0))</f>
        <v/>
      </c>
      <c r="H600" t="str">
        <f>IF(ISNA(VLOOKUP($F600,'Raw Data'!$A:$M,8,0)),"",VLOOKUP($F600,'Raw Data'!$A:$M,8,0))</f>
        <v/>
      </c>
      <c r="I600" t="str">
        <f>IF(ISNA(VLOOKUP($F600,'Raw Data'!$A:$M,9,0)),"",VLOOKUP($F600,'Raw Data'!$A:$M,9,0))</f>
        <v/>
      </c>
      <c r="J600" t="str">
        <f>IF(ISNA(VLOOKUP($F600,'Raw Data'!$A:$M,10,0)),"",VLOOKUP($F600,'Raw Data'!$A:$M,10,0))</f>
        <v/>
      </c>
      <c r="K600" t="str">
        <f>IF(ISNA(VLOOKUP($F600,'Raw Data'!$A:$M,11,0)),"",VLOOKUP($F600,'Raw Data'!$A:$M,11,0))</f>
        <v/>
      </c>
      <c r="L600" t="str">
        <f>IF(ISNA(VLOOKUP($F600,'Raw Data'!$A:$M,12,0)),"",VLOOKUP($F600,'Raw Data'!$A:$M,12,0))</f>
        <v/>
      </c>
      <c r="M600" t="str">
        <f>IF(ISNA(VLOOKUP($F600,'Raw Data'!$A:$M,13,0)),"",VLOOKUP($F600,'Raw Data'!$A:$M,13,0))</f>
        <v/>
      </c>
    </row>
    <row r="601" spans="1:13" x14ac:dyDescent="0.25">
      <c r="A601" t="s">
        <v>38</v>
      </c>
      <c r="B601">
        <v>2013</v>
      </c>
      <c r="C601">
        <v>3.5</v>
      </c>
      <c r="D601" s="3">
        <v>720</v>
      </c>
      <c r="E601" s="3">
        <v>95</v>
      </c>
      <c r="F601" s="3" t="str">
        <f t="shared" si="9"/>
        <v>FGU920133.572095</v>
      </c>
      <c r="G601" t="str">
        <f>IF(ISNA(VLOOKUP($F601,'Raw Data'!$A:$M,7,0)),"",VLOOKUP($F601,'Raw Data'!$A:$M,7,0))</f>
        <v/>
      </c>
      <c r="H601" t="str">
        <f>IF(ISNA(VLOOKUP($F601,'Raw Data'!$A:$M,8,0)),"",VLOOKUP($F601,'Raw Data'!$A:$M,8,0))</f>
        <v/>
      </c>
      <c r="I601" t="str">
        <f>IF(ISNA(VLOOKUP($F601,'Raw Data'!$A:$M,9,0)),"",VLOOKUP($F601,'Raw Data'!$A:$M,9,0))</f>
        <v/>
      </c>
      <c r="J601" t="str">
        <f>IF(ISNA(VLOOKUP($F601,'Raw Data'!$A:$M,10,0)),"",VLOOKUP($F601,'Raw Data'!$A:$M,10,0))</f>
        <v/>
      </c>
      <c r="K601" t="str">
        <f>IF(ISNA(VLOOKUP($F601,'Raw Data'!$A:$M,11,0)),"",VLOOKUP($F601,'Raw Data'!$A:$M,11,0))</f>
        <v/>
      </c>
      <c r="L601" t="str">
        <f>IF(ISNA(VLOOKUP($F601,'Raw Data'!$A:$M,12,0)),"",VLOOKUP($F601,'Raw Data'!$A:$M,12,0))</f>
        <v/>
      </c>
      <c r="M601" t="str">
        <f>IF(ISNA(VLOOKUP($F601,'Raw Data'!$A:$M,13,0)),"",VLOOKUP($F601,'Raw Data'!$A:$M,13,0))</f>
        <v/>
      </c>
    </row>
    <row r="602" spans="1:13" x14ac:dyDescent="0.25">
      <c r="A602" t="s">
        <v>38</v>
      </c>
      <c r="B602">
        <v>2013</v>
      </c>
      <c r="C602">
        <v>3.5</v>
      </c>
      <c r="D602" s="3">
        <v>740</v>
      </c>
      <c r="E602" s="3">
        <v>95</v>
      </c>
      <c r="F602" s="3" t="str">
        <f t="shared" si="9"/>
        <v>FGU920133.574095</v>
      </c>
      <c r="G602" t="str">
        <f>IF(ISNA(VLOOKUP($F602,'Raw Data'!$A:$M,7,0)),"",VLOOKUP($F602,'Raw Data'!$A:$M,7,0))</f>
        <v/>
      </c>
      <c r="H602" t="str">
        <f>IF(ISNA(VLOOKUP($F602,'Raw Data'!$A:$M,8,0)),"",VLOOKUP($F602,'Raw Data'!$A:$M,8,0))</f>
        <v/>
      </c>
      <c r="I602" t="str">
        <f>IF(ISNA(VLOOKUP($F602,'Raw Data'!$A:$M,9,0)),"",VLOOKUP($F602,'Raw Data'!$A:$M,9,0))</f>
        <v/>
      </c>
      <c r="J602" t="str">
        <f>IF(ISNA(VLOOKUP($F602,'Raw Data'!$A:$M,10,0)),"",VLOOKUP($F602,'Raw Data'!$A:$M,10,0))</f>
        <v/>
      </c>
      <c r="K602" t="str">
        <f>IF(ISNA(VLOOKUP($F602,'Raw Data'!$A:$M,11,0)),"",VLOOKUP($F602,'Raw Data'!$A:$M,11,0))</f>
        <v/>
      </c>
      <c r="L602" t="str">
        <f>IF(ISNA(VLOOKUP($F602,'Raw Data'!$A:$M,12,0)),"",VLOOKUP($F602,'Raw Data'!$A:$M,12,0))</f>
        <v/>
      </c>
      <c r="M602" t="str">
        <f>IF(ISNA(VLOOKUP($F602,'Raw Data'!$A:$M,13,0)),"",VLOOKUP($F602,'Raw Data'!$A:$M,13,0))</f>
        <v/>
      </c>
    </row>
    <row r="603" spans="1:13" x14ac:dyDescent="0.25">
      <c r="A603" t="s">
        <v>38</v>
      </c>
      <c r="B603">
        <v>2013</v>
      </c>
      <c r="C603">
        <v>3.5</v>
      </c>
      <c r="D603" s="3">
        <v>760</v>
      </c>
      <c r="E603" s="3">
        <v>95</v>
      </c>
      <c r="F603" s="3" t="str">
        <f t="shared" si="9"/>
        <v>FGU920133.576095</v>
      </c>
      <c r="G603" t="str">
        <f>IF(ISNA(VLOOKUP($F603,'Raw Data'!$A:$M,7,0)),"",VLOOKUP($F603,'Raw Data'!$A:$M,7,0))</f>
        <v/>
      </c>
      <c r="H603" t="str">
        <f>IF(ISNA(VLOOKUP($F603,'Raw Data'!$A:$M,8,0)),"",VLOOKUP($F603,'Raw Data'!$A:$M,8,0))</f>
        <v/>
      </c>
      <c r="I603" t="str">
        <f>IF(ISNA(VLOOKUP($F603,'Raw Data'!$A:$M,9,0)),"",VLOOKUP($F603,'Raw Data'!$A:$M,9,0))</f>
        <v/>
      </c>
      <c r="J603" t="str">
        <f>IF(ISNA(VLOOKUP($F603,'Raw Data'!$A:$M,10,0)),"",VLOOKUP($F603,'Raw Data'!$A:$M,10,0))</f>
        <v/>
      </c>
      <c r="K603" t="str">
        <f>IF(ISNA(VLOOKUP($F603,'Raw Data'!$A:$M,11,0)),"",VLOOKUP($F603,'Raw Data'!$A:$M,11,0))</f>
        <v/>
      </c>
      <c r="L603" t="str">
        <f>IF(ISNA(VLOOKUP($F603,'Raw Data'!$A:$M,12,0)),"",VLOOKUP($F603,'Raw Data'!$A:$M,12,0))</f>
        <v/>
      </c>
      <c r="M603" t="str">
        <f>IF(ISNA(VLOOKUP($F603,'Raw Data'!$A:$M,13,0)),"",VLOOKUP($F603,'Raw Data'!$A:$M,13,0))</f>
        <v/>
      </c>
    </row>
    <row r="604" spans="1:13" x14ac:dyDescent="0.25">
      <c r="A604" t="s">
        <v>38</v>
      </c>
      <c r="B604">
        <v>2013</v>
      </c>
      <c r="C604">
        <v>3.5</v>
      </c>
      <c r="D604" s="3">
        <v>780</v>
      </c>
      <c r="E604" s="3">
        <v>95</v>
      </c>
      <c r="F604" s="3" t="str">
        <f t="shared" si="9"/>
        <v>FGU920133.578095</v>
      </c>
      <c r="G604" t="str">
        <f>IF(ISNA(VLOOKUP($F604,'Raw Data'!$A:$M,7,0)),"",VLOOKUP($F604,'Raw Data'!$A:$M,7,0))</f>
        <v/>
      </c>
      <c r="H604" t="str">
        <f>IF(ISNA(VLOOKUP($F604,'Raw Data'!$A:$M,8,0)),"",VLOOKUP($F604,'Raw Data'!$A:$M,8,0))</f>
        <v/>
      </c>
      <c r="I604" t="str">
        <f>IF(ISNA(VLOOKUP($F604,'Raw Data'!$A:$M,9,0)),"",VLOOKUP($F604,'Raw Data'!$A:$M,9,0))</f>
        <v/>
      </c>
      <c r="J604" t="str">
        <f>IF(ISNA(VLOOKUP($F604,'Raw Data'!$A:$M,10,0)),"",VLOOKUP($F604,'Raw Data'!$A:$M,10,0))</f>
        <v/>
      </c>
      <c r="K604" t="str">
        <f>IF(ISNA(VLOOKUP($F604,'Raw Data'!$A:$M,11,0)),"",VLOOKUP($F604,'Raw Data'!$A:$M,11,0))</f>
        <v/>
      </c>
      <c r="L604" t="str">
        <f>IF(ISNA(VLOOKUP($F604,'Raw Data'!$A:$M,12,0)),"",VLOOKUP($F604,'Raw Data'!$A:$M,12,0))</f>
        <v/>
      </c>
      <c r="M604" t="str">
        <f>IF(ISNA(VLOOKUP($F604,'Raw Data'!$A:$M,13,0)),"",VLOOKUP($F604,'Raw Data'!$A:$M,13,0))</f>
        <v/>
      </c>
    </row>
    <row r="605" spans="1:13" x14ac:dyDescent="0.25">
      <c r="A605" t="s">
        <v>38</v>
      </c>
      <c r="B605">
        <v>2013</v>
      </c>
      <c r="C605">
        <v>3.5</v>
      </c>
      <c r="D605" s="3">
        <v>620</v>
      </c>
      <c r="E605" s="3">
        <v>97</v>
      </c>
      <c r="F605" s="3" t="str">
        <f t="shared" si="9"/>
        <v>FGU920133.562097</v>
      </c>
      <c r="G605" t="str">
        <f>IF(ISNA(VLOOKUP($F605,'Raw Data'!$A:$M,7,0)),"",VLOOKUP($F605,'Raw Data'!$A:$M,7,0))</f>
        <v/>
      </c>
      <c r="H605" t="str">
        <f>IF(ISNA(VLOOKUP($F605,'Raw Data'!$A:$M,8,0)),"",VLOOKUP($F605,'Raw Data'!$A:$M,8,0))</f>
        <v/>
      </c>
      <c r="I605" t="str">
        <f>IF(ISNA(VLOOKUP($F605,'Raw Data'!$A:$M,9,0)),"",VLOOKUP($F605,'Raw Data'!$A:$M,9,0))</f>
        <v/>
      </c>
      <c r="J605" t="str">
        <f>IF(ISNA(VLOOKUP($F605,'Raw Data'!$A:$M,10,0)),"",VLOOKUP($F605,'Raw Data'!$A:$M,10,0))</f>
        <v/>
      </c>
      <c r="K605" t="str">
        <f>IF(ISNA(VLOOKUP($F605,'Raw Data'!$A:$M,11,0)),"",VLOOKUP($F605,'Raw Data'!$A:$M,11,0))</f>
        <v/>
      </c>
      <c r="L605" t="str">
        <f>IF(ISNA(VLOOKUP($F605,'Raw Data'!$A:$M,12,0)),"",VLOOKUP($F605,'Raw Data'!$A:$M,12,0))</f>
        <v/>
      </c>
      <c r="M605" t="str">
        <f>IF(ISNA(VLOOKUP($F605,'Raw Data'!$A:$M,13,0)),"",VLOOKUP($F605,'Raw Data'!$A:$M,13,0))</f>
        <v/>
      </c>
    </row>
    <row r="606" spans="1:13" x14ac:dyDescent="0.25">
      <c r="A606" t="s">
        <v>38</v>
      </c>
      <c r="B606">
        <v>2013</v>
      </c>
      <c r="C606">
        <v>3.5</v>
      </c>
      <c r="D606" s="3">
        <v>640</v>
      </c>
      <c r="E606" s="3">
        <v>97</v>
      </c>
      <c r="F606" s="3" t="str">
        <f t="shared" si="9"/>
        <v>FGU920133.564097</v>
      </c>
      <c r="G606" t="str">
        <f>IF(ISNA(VLOOKUP($F606,'Raw Data'!$A:$M,7,0)),"",VLOOKUP($F606,'Raw Data'!$A:$M,7,0))</f>
        <v/>
      </c>
      <c r="H606" t="str">
        <f>IF(ISNA(VLOOKUP($F606,'Raw Data'!$A:$M,8,0)),"",VLOOKUP($F606,'Raw Data'!$A:$M,8,0))</f>
        <v/>
      </c>
      <c r="I606" t="str">
        <f>IF(ISNA(VLOOKUP($F606,'Raw Data'!$A:$M,9,0)),"",VLOOKUP($F606,'Raw Data'!$A:$M,9,0))</f>
        <v/>
      </c>
      <c r="J606" t="str">
        <f>IF(ISNA(VLOOKUP($F606,'Raw Data'!$A:$M,10,0)),"",VLOOKUP($F606,'Raw Data'!$A:$M,10,0))</f>
        <v/>
      </c>
      <c r="K606" t="str">
        <f>IF(ISNA(VLOOKUP($F606,'Raw Data'!$A:$M,11,0)),"",VLOOKUP($F606,'Raw Data'!$A:$M,11,0))</f>
        <v/>
      </c>
      <c r="L606" t="str">
        <f>IF(ISNA(VLOOKUP($F606,'Raw Data'!$A:$M,12,0)),"",VLOOKUP($F606,'Raw Data'!$A:$M,12,0))</f>
        <v/>
      </c>
      <c r="M606" t="str">
        <f>IF(ISNA(VLOOKUP($F606,'Raw Data'!$A:$M,13,0)),"",VLOOKUP($F606,'Raw Data'!$A:$M,13,0))</f>
        <v/>
      </c>
    </row>
    <row r="607" spans="1:13" x14ac:dyDescent="0.25">
      <c r="A607" t="s">
        <v>38</v>
      </c>
      <c r="B607">
        <v>2013</v>
      </c>
      <c r="C607">
        <v>3.5</v>
      </c>
      <c r="D607" s="3">
        <v>660</v>
      </c>
      <c r="E607" s="3">
        <v>97</v>
      </c>
      <c r="F607" s="3" t="str">
        <f t="shared" si="9"/>
        <v>FGU920133.566097</v>
      </c>
      <c r="G607" t="str">
        <f>IF(ISNA(VLOOKUP($F607,'Raw Data'!$A:$M,7,0)),"",VLOOKUP($F607,'Raw Data'!$A:$M,7,0))</f>
        <v/>
      </c>
      <c r="H607" t="str">
        <f>IF(ISNA(VLOOKUP($F607,'Raw Data'!$A:$M,8,0)),"",VLOOKUP($F607,'Raw Data'!$A:$M,8,0))</f>
        <v/>
      </c>
      <c r="I607" t="str">
        <f>IF(ISNA(VLOOKUP($F607,'Raw Data'!$A:$M,9,0)),"",VLOOKUP($F607,'Raw Data'!$A:$M,9,0))</f>
        <v/>
      </c>
      <c r="J607" t="str">
        <f>IF(ISNA(VLOOKUP($F607,'Raw Data'!$A:$M,10,0)),"",VLOOKUP($F607,'Raw Data'!$A:$M,10,0))</f>
        <v/>
      </c>
      <c r="K607" t="str">
        <f>IF(ISNA(VLOOKUP($F607,'Raw Data'!$A:$M,11,0)),"",VLOOKUP($F607,'Raw Data'!$A:$M,11,0))</f>
        <v/>
      </c>
      <c r="L607" t="str">
        <f>IF(ISNA(VLOOKUP($F607,'Raw Data'!$A:$M,12,0)),"",VLOOKUP($F607,'Raw Data'!$A:$M,12,0))</f>
        <v/>
      </c>
      <c r="M607" t="str">
        <f>IF(ISNA(VLOOKUP($F607,'Raw Data'!$A:$M,13,0)),"",VLOOKUP($F607,'Raw Data'!$A:$M,13,0))</f>
        <v/>
      </c>
    </row>
    <row r="608" spans="1:13" x14ac:dyDescent="0.25">
      <c r="A608" t="s">
        <v>38</v>
      </c>
      <c r="B608">
        <v>2013</v>
      </c>
      <c r="C608">
        <v>3.5</v>
      </c>
      <c r="D608" s="3">
        <v>680</v>
      </c>
      <c r="E608" s="3">
        <v>97</v>
      </c>
      <c r="F608" s="3" t="str">
        <f t="shared" si="9"/>
        <v>FGU920133.568097</v>
      </c>
      <c r="G608" t="str">
        <f>IF(ISNA(VLOOKUP($F608,'Raw Data'!$A:$M,7,0)),"",VLOOKUP($F608,'Raw Data'!$A:$M,7,0))</f>
        <v/>
      </c>
      <c r="H608" t="str">
        <f>IF(ISNA(VLOOKUP($F608,'Raw Data'!$A:$M,8,0)),"",VLOOKUP($F608,'Raw Data'!$A:$M,8,0))</f>
        <v/>
      </c>
      <c r="I608" t="str">
        <f>IF(ISNA(VLOOKUP($F608,'Raw Data'!$A:$M,9,0)),"",VLOOKUP($F608,'Raw Data'!$A:$M,9,0))</f>
        <v/>
      </c>
      <c r="J608" t="str">
        <f>IF(ISNA(VLOOKUP($F608,'Raw Data'!$A:$M,10,0)),"",VLOOKUP($F608,'Raw Data'!$A:$M,10,0))</f>
        <v/>
      </c>
      <c r="K608" t="str">
        <f>IF(ISNA(VLOOKUP($F608,'Raw Data'!$A:$M,11,0)),"",VLOOKUP($F608,'Raw Data'!$A:$M,11,0))</f>
        <v/>
      </c>
      <c r="L608" t="str">
        <f>IF(ISNA(VLOOKUP($F608,'Raw Data'!$A:$M,12,0)),"",VLOOKUP($F608,'Raw Data'!$A:$M,12,0))</f>
        <v/>
      </c>
      <c r="M608" t="str">
        <f>IF(ISNA(VLOOKUP($F608,'Raw Data'!$A:$M,13,0)),"",VLOOKUP($F608,'Raw Data'!$A:$M,13,0))</f>
        <v/>
      </c>
    </row>
    <row r="609" spans="1:13" x14ac:dyDescent="0.25">
      <c r="A609" t="s">
        <v>38</v>
      </c>
      <c r="B609">
        <v>2013</v>
      </c>
      <c r="C609">
        <v>3.5</v>
      </c>
      <c r="D609" s="3">
        <v>700</v>
      </c>
      <c r="E609" s="3">
        <v>97</v>
      </c>
      <c r="F609" s="3" t="str">
        <f t="shared" si="9"/>
        <v>FGU920133.570097</v>
      </c>
      <c r="G609" t="str">
        <f>IF(ISNA(VLOOKUP($F609,'Raw Data'!$A:$M,7,0)),"",VLOOKUP($F609,'Raw Data'!$A:$M,7,0))</f>
        <v/>
      </c>
      <c r="H609" t="str">
        <f>IF(ISNA(VLOOKUP($F609,'Raw Data'!$A:$M,8,0)),"",VLOOKUP($F609,'Raw Data'!$A:$M,8,0))</f>
        <v/>
      </c>
      <c r="I609" t="str">
        <f>IF(ISNA(VLOOKUP($F609,'Raw Data'!$A:$M,9,0)),"",VLOOKUP($F609,'Raw Data'!$A:$M,9,0))</f>
        <v/>
      </c>
      <c r="J609" t="str">
        <f>IF(ISNA(VLOOKUP($F609,'Raw Data'!$A:$M,10,0)),"",VLOOKUP($F609,'Raw Data'!$A:$M,10,0))</f>
        <v/>
      </c>
      <c r="K609" t="str">
        <f>IF(ISNA(VLOOKUP($F609,'Raw Data'!$A:$M,11,0)),"",VLOOKUP($F609,'Raw Data'!$A:$M,11,0))</f>
        <v/>
      </c>
      <c r="L609" t="str">
        <f>IF(ISNA(VLOOKUP($F609,'Raw Data'!$A:$M,12,0)),"",VLOOKUP($F609,'Raw Data'!$A:$M,12,0))</f>
        <v/>
      </c>
      <c r="M609" t="str">
        <f>IF(ISNA(VLOOKUP($F609,'Raw Data'!$A:$M,13,0)),"",VLOOKUP($F609,'Raw Data'!$A:$M,13,0))</f>
        <v/>
      </c>
    </row>
    <row r="610" spans="1:13" x14ac:dyDescent="0.25">
      <c r="A610" t="s">
        <v>38</v>
      </c>
      <c r="B610">
        <v>2013</v>
      </c>
      <c r="C610">
        <v>3.5</v>
      </c>
      <c r="D610" s="3">
        <v>720</v>
      </c>
      <c r="E610" s="3">
        <v>97</v>
      </c>
      <c r="F610" s="3" t="str">
        <f t="shared" si="9"/>
        <v>FGU920133.572097</v>
      </c>
      <c r="G610" t="str">
        <f>IF(ISNA(VLOOKUP($F610,'Raw Data'!$A:$M,7,0)),"",VLOOKUP($F610,'Raw Data'!$A:$M,7,0))</f>
        <v/>
      </c>
      <c r="H610" t="str">
        <f>IF(ISNA(VLOOKUP($F610,'Raw Data'!$A:$M,8,0)),"",VLOOKUP($F610,'Raw Data'!$A:$M,8,0))</f>
        <v/>
      </c>
      <c r="I610" t="str">
        <f>IF(ISNA(VLOOKUP($F610,'Raw Data'!$A:$M,9,0)),"",VLOOKUP($F610,'Raw Data'!$A:$M,9,0))</f>
        <v/>
      </c>
      <c r="J610" t="str">
        <f>IF(ISNA(VLOOKUP($F610,'Raw Data'!$A:$M,10,0)),"",VLOOKUP($F610,'Raw Data'!$A:$M,10,0))</f>
        <v/>
      </c>
      <c r="K610" t="str">
        <f>IF(ISNA(VLOOKUP($F610,'Raw Data'!$A:$M,11,0)),"",VLOOKUP($F610,'Raw Data'!$A:$M,11,0))</f>
        <v/>
      </c>
      <c r="L610" t="str">
        <f>IF(ISNA(VLOOKUP($F610,'Raw Data'!$A:$M,12,0)),"",VLOOKUP($F610,'Raw Data'!$A:$M,12,0))</f>
        <v/>
      </c>
      <c r="M610" t="str">
        <f>IF(ISNA(VLOOKUP($F610,'Raw Data'!$A:$M,13,0)),"",VLOOKUP($F610,'Raw Data'!$A:$M,13,0))</f>
        <v/>
      </c>
    </row>
    <row r="611" spans="1:13" x14ac:dyDescent="0.25">
      <c r="A611" t="s">
        <v>38</v>
      </c>
      <c r="B611">
        <v>2013</v>
      </c>
      <c r="C611">
        <v>3.5</v>
      </c>
      <c r="D611" s="3">
        <v>740</v>
      </c>
      <c r="E611" s="3">
        <v>97</v>
      </c>
      <c r="F611" s="3" t="str">
        <f t="shared" si="9"/>
        <v>FGU920133.574097</v>
      </c>
      <c r="G611" t="str">
        <f>IF(ISNA(VLOOKUP($F611,'Raw Data'!$A:$M,7,0)),"",VLOOKUP($F611,'Raw Data'!$A:$M,7,0))</f>
        <v/>
      </c>
      <c r="H611" t="str">
        <f>IF(ISNA(VLOOKUP($F611,'Raw Data'!$A:$M,8,0)),"",VLOOKUP($F611,'Raw Data'!$A:$M,8,0))</f>
        <v/>
      </c>
      <c r="I611" t="str">
        <f>IF(ISNA(VLOOKUP($F611,'Raw Data'!$A:$M,9,0)),"",VLOOKUP($F611,'Raw Data'!$A:$M,9,0))</f>
        <v/>
      </c>
      <c r="J611" t="str">
        <f>IF(ISNA(VLOOKUP($F611,'Raw Data'!$A:$M,10,0)),"",VLOOKUP($F611,'Raw Data'!$A:$M,10,0))</f>
        <v/>
      </c>
      <c r="K611" t="str">
        <f>IF(ISNA(VLOOKUP($F611,'Raw Data'!$A:$M,11,0)),"",VLOOKUP($F611,'Raw Data'!$A:$M,11,0))</f>
        <v/>
      </c>
      <c r="L611" t="str">
        <f>IF(ISNA(VLOOKUP($F611,'Raw Data'!$A:$M,12,0)),"",VLOOKUP($F611,'Raw Data'!$A:$M,12,0))</f>
        <v/>
      </c>
      <c r="M611" t="str">
        <f>IF(ISNA(VLOOKUP($F611,'Raw Data'!$A:$M,13,0)),"",VLOOKUP($F611,'Raw Data'!$A:$M,13,0))</f>
        <v/>
      </c>
    </row>
    <row r="612" spans="1:13" x14ac:dyDescent="0.25">
      <c r="A612" t="s">
        <v>38</v>
      </c>
      <c r="B612">
        <v>2013</v>
      </c>
      <c r="C612">
        <v>3.5</v>
      </c>
      <c r="D612" s="3">
        <v>760</v>
      </c>
      <c r="E612" s="3">
        <v>97</v>
      </c>
      <c r="F612" s="3" t="str">
        <f t="shared" si="9"/>
        <v>FGU920133.576097</v>
      </c>
      <c r="G612">
        <f>IF(ISNA(VLOOKUP($F612,'Raw Data'!$A:$M,7,0)),"",VLOOKUP($F612,'Raw Data'!$A:$M,7,0))</f>
        <v>3603174.86</v>
      </c>
      <c r="H612">
        <f>IF(ISNA(VLOOKUP($F612,'Raw Data'!$A:$M,8,0)),"",VLOOKUP($F612,'Raw Data'!$A:$M,8,0))</f>
        <v>-104.8085</v>
      </c>
      <c r="I612">
        <f>IF(ISNA(VLOOKUP($F612,'Raw Data'!$A:$M,9,0)),"",VLOOKUP($F612,'Raw Data'!$A:$M,9,0))</f>
        <v>-79.808899999999994</v>
      </c>
      <c r="J612">
        <f>IF(ISNA(VLOOKUP($F612,'Raw Data'!$A:$M,10,0)),"",VLOOKUP($F612,'Raw Data'!$A:$M,10,0))</f>
        <v>24.999600000000001</v>
      </c>
      <c r="K612">
        <f>IF(ISNA(VLOOKUP($F612,'Raw Data'!$A:$M,11,0)),"",VLOOKUP($F612,'Raw Data'!$A:$M,11,0))</f>
        <v>-87.954700000000003</v>
      </c>
      <c r="L612">
        <f>IF(ISNA(VLOOKUP($F612,'Raw Data'!$A:$M,12,0)),"",VLOOKUP($F612,'Raw Data'!$A:$M,12,0))</f>
        <v>-70.617000000000004</v>
      </c>
      <c r="M612">
        <f>IF(ISNA(VLOOKUP($F612,'Raw Data'!$A:$M,13,0)),"",VLOOKUP($F612,'Raw Data'!$A:$M,13,0))</f>
        <v>17.337700000000002</v>
      </c>
    </row>
    <row r="613" spans="1:13" x14ac:dyDescent="0.25">
      <c r="A613" t="s">
        <v>38</v>
      </c>
      <c r="B613">
        <v>2013</v>
      </c>
      <c r="C613">
        <v>3.5</v>
      </c>
      <c r="D613" s="3">
        <v>780</v>
      </c>
      <c r="E613" s="3">
        <v>97</v>
      </c>
      <c r="F613" s="3" t="str">
        <f t="shared" si="9"/>
        <v>FGU920133.578097</v>
      </c>
      <c r="G613" t="str">
        <f>IF(ISNA(VLOOKUP($F613,'Raw Data'!$A:$M,7,0)),"",VLOOKUP($F613,'Raw Data'!$A:$M,7,0))</f>
        <v/>
      </c>
      <c r="H613" t="str">
        <f>IF(ISNA(VLOOKUP($F613,'Raw Data'!$A:$M,8,0)),"",VLOOKUP($F613,'Raw Data'!$A:$M,8,0))</f>
        <v/>
      </c>
      <c r="I613" t="str">
        <f>IF(ISNA(VLOOKUP($F613,'Raw Data'!$A:$M,9,0)),"",VLOOKUP($F613,'Raw Data'!$A:$M,9,0))</f>
        <v/>
      </c>
      <c r="J613" t="str">
        <f>IF(ISNA(VLOOKUP($F613,'Raw Data'!$A:$M,10,0)),"",VLOOKUP($F613,'Raw Data'!$A:$M,10,0))</f>
        <v/>
      </c>
      <c r="K613" t="str">
        <f>IF(ISNA(VLOOKUP($F613,'Raw Data'!$A:$M,11,0)),"",VLOOKUP($F613,'Raw Data'!$A:$M,11,0))</f>
        <v/>
      </c>
      <c r="L613" t="str">
        <f>IF(ISNA(VLOOKUP($F613,'Raw Data'!$A:$M,12,0)),"",VLOOKUP($F613,'Raw Data'!$A:$M,12,0))</f>
        <v/>
      </c>
      <c r="M613" t="str">
        <f>IF(ISNA(VLOOKUP($F613,'Raw Data'!$A:$M,13,0)),"",VLOOKUP($F613,'Raw Data'!$A:$M,13,0))</f>
        <v/>
      </c>
    </row>
    <row r="614" spans="1:13" x14ac:dyDescent="0.25">
      <c r="A614" t="s">
        <v>38</v>
      </c>
      <c r="B614">
        <v>2013</v>
      </c>
      <c r="C614">
        <v>3.5</v>
      </c>
      <c r="D614" s="3">
        <v>620</v>
      </c>
      <c r="E614" s="3">
        <v>100</v>
      </c>
      <c r="F614" s="3" t="str">
        <f t="shared" si="9"/>
        <v>FGU920133.5620100</v>
      </c>
      <c r="G614" t="str">
        <f>IF(ISNA(VLOOKUP($F614,'Raw Data'!$A:$M,7,0)),"",VLOOKUP($F614,'Raw Data'!$A:$M,7,0))</f>
        <v/>
      </c>
      <c r="H614" t="str">
        <f>IF(ISNA(VLOOKUP($F614,'Raw Data'!$A:$M,8,0)),"",VLOOKUP($F614,'Raw Data'!$A:$M,8,0))</f>
        <v/>
      </c>
      <c r="I614" t="str">
        <f>IF(ISNA(VLOOKUP($F614,'Raw Data'!$A:$M,9,0)),"",VLOOKUP($F614,'Raw Data'!$A:$M,9,0))</f>
        <v/>
      </c>
      <c r="J614" t="str">
        <f>IF(ISNA(VLOOKUP($F614,'Raw Data'!$A:$M,10,0)),"",VLOOKUP($F614,'Raw Data'!$A:$M,10,0))</f>
        <v/>
      </c>
      <c r="K614" t="str">
        <f>IF(ISNA(VLOOKUP($F614,'Raw Data'!$A:$M,11,0)),"",VLOOKUP($F614,'Raw Data'!$A:$M,11,0))</f>
        <v/>
      </c>
      <c r="L614" t="str">
        <f>IF(ISNA(VLOOKUP($F614,'Raw Data'!$A:$M,12,0)),"",VLOOKUP($F614,'Raw Data'!$A:$M,12,0))</f>
        <v/>
      </c>
      <c r="M614" t="str">
        <f>IF(ISNA(VLOOKUP($F614,'Raw Data'!$A:$M,13,0)),"",VLOOKUP($F614,'Raw Data'!$A:$M,13,0))</f>
        <v/>
      </c>
    </row>
    <row r="615" spans="1:13" x14ac:dyDescent="0.25">
      <c r="A615" t="s">
        <v>38</v>
      </c>
      <c r="B615">
        <v>2013</v>
      </c>
      <c r="C615">
        <v>3.5</v>
      </c>
      <c r="D615" s="3">
        <v>640</v>
      </c>
      <c r="E615" s="3">
        <v>100</v>
      </c>
      <c r="F615" s="3" t="str">
        <f t="shared" si="9"/>
        <v>FGU920133.5640100</v>
      </c>
      <c r="G615" t="str">
        <f>IF(ISNA(VLOOKUP($F615,'Raw Data'!$A:$M,7,0)),"",VLOOKUP($F615,'Raw Data'!$A:$M,7,0))</f>
        <v/>
      </c>
      <c r="H615" t="str">
        <f>IF(ISNA(VLOOKUP($F615,'Raw Data'!$A:$M,8,0)),"",VLOOKUP($F615,'Raw Data'!$A:$M,8,0))</f>
        <v/>
      </c>
      <c r="I615" t="str">
        <f>IF(ISNA(VLOOKUP($F615,'Raw Data'!$A:$M,9,0)),"",VLOOKUP($F615,'Raw Data'!$A:$M,9,0))</f>
        <v/>
      </c>
      <c r="J615" t="str">
        <f>IF(ISNA(VLOOKUP($F615,'Raw Data'!$A:$M,10,0)),"",VLOOKUP($F615,'Raw Data'!$A:$M,10,0))</f>
        <v/>
      </c>
      <c r="K615" t="str">
        <f>IF(ISNA(VLOOKUP($F615,'Raw Data'!$A:$M,11,0)),"",VLOOKUP($F615,'Raw Data'!$A:$M,11,0))</f>
        <v/>
      </c>
      <c r="L615" t="str">
        <f>IF(ISNA(VLOOKUP($F615,'Raw Data'!$A:$M,12,0)),"",VLOOKUP($F615,'Raw Data'!$A:$M,12,0))</f>
        <v/>
      </c>
      <c r="M615" t="str">
        <f>IF(ISNA(VLOOKUP($F615,'Raw Data'!$A:$M,13,0)),"",VLOOKUP($F615,'Raw Data'!$A:$M,13,0))</f>
        <v/>
      </c>
    </row>
    <row r="616" spans="1:13" x14ac:dyDescent="0.25">
      <c r="A616" t="s">
        <v>38</v>
      </c>
      <c r="B616">
        <v>2013</v>
      </c>
      <c r="C616">
        <v>3.5</v>
      </c>
      <c r="D616" s="3">
        <v>660</v>
      </c>
      <c r="E616" s="3">
        <v>100</v>
      </c>
      <c r="F616" s="3" t="str">
        <f t="shared" si="9"/>
        <v>FGU920133.5660100</v>
      </c>
      <c r="G616" t="str">
        <f>IF(ISNA(VLOOKUP($F616,'Raw Data'!$A:$M,7,0)),"",VLOOKUP($F616,'Raw Data'!$A:$M,7,0))</f>
        <v/>
      </c>
      <c r="H616" t="str">
        <f>IF(ISNA(VLOOKUP($F616,'Raw Data'!$A:$M,8,0)),"",VLOOKUP($F616,'Raw Data'!$A:$M,8,0))</f>
        <v/>
      </c>
      <c r="I616" t="str">
        <f>IF(ISNA(VLOOKUP($F616,'Raw Data'!$A:$M,9,0)),"",VLOOKUP($F616,'Raw Data'!$A:$M,9,0))</f>
        <v/>
      </c>
      <c r="J616" t="str">
        <f>IF(ISNA(VLOOKUP($F616,'Raw Data'!$A:$M,10,0)),"",VLOOKUP($F616,'Raw Data'!$A:$M,10,0))</f>
        <v/>
      </c>
      <c r="K616" t="str">
        <f>IF(ISNA(VLOOKUP($F616,'Raw Data'!$A:$M,11,0)),"",VLOOKUP($F616,'Raw Data'!$A:$M,11,0))</f>
        <v/>
      </c>
      <c r="L616" t="str">
        <f>IF(ISNA(VLOOKUP($F616,'Raw Data'!$A:$M,12,0)),"",VLOOKUP($F616,'Raw Data'!$A:$M,12,0))</f>
        <v/>
      </c>
      <c r="M616" t="str">
        <f>IF(ISNA(VLOOKUP($F616,'Raw Data'!$A:$M,13,0)),"",VLOOKUP($F616,'Raw Data'!$A:$M,13,0))</f>
        <v/>
      </c>
    </row>
    <row r="617" spans="1:13" x14ac:dyDescent="0.25">
      <c r="A617" t="s">
        <v>38</v>
      </c>
      <c r="B617">
        <v>2013</v>
      </c>
      <c r="C617">
        <v>3.5</v>
      </c>
      <c r="D617" s="3">
        <v>680</v>
      </c>
      <c r="E617" s="3">
        <v>100</v>
      </c>
      <c r="F617" s="3" t="str">
        <f t="shared" si="9"/>
        <v>FGU920133.5680100</v>
      </c>
      <c r="G617" t="str">
        <f>IF(ISNA(VLOOKUP($F617,'Raw Data'!$A:$M,7,0)),"",VLOOKUP($F617,'Raw Data'!$A:$M,7,0))</f>
        <v/>
      </c>
      <c r="H617" t="str">
        <f>IF(ISNA(VLOOKUP($F617,'Raw Data'!$A:$M,8,0)),"",VLOOKUP($F617,'Raw Data'!$A:$M,8,0))</f>
        <v/>
      </c>
      <c r="I617" t="str">
        <f>IF(ISNA(VLOOKUP($F617,'Raw Data'!$A:$M,9,0)),"",VLOOKUP($F617,'Raw Data'!$A:$M,9,0))</f>
        <v/>
      </c>
      <c r="J617" t="str">
        <f>IF(ISNA(VLOOKUP($F617,'Raw Data'!$A:$M,10,0)),"",VLOOKUP($F617,'Raw Data'!$A:$M,10,0))</f>
        <v/>
      </c>
      <c r="K617" t="str">
        <f>IF(ISNA(VLOOKUP($F617,'Raw Data'!$A:$M,11,0)),"",VLOOKUP($F617,'Raw Data'!$A:$M,11,0))</f>
        <v/>
      </c>
      <c r="L617" t="str">
        <f>IF(ISNA(VLOOKUP($F617,'Raw Data'!$A:$M,12,0)),"",VLOOKUP($F617,'Raw Data'!$A:$M,12,0))</f>
        <v/>
      </c>
      <c r="M617" t="str">
        <f>IF(ISNA(VLOOKUP($F617,'Raw Data'!$A:$M,13,0)),"",VLOOKUP($F617,'Raw Data'!$A:$M,13,0))</f>
        <v/>
      </c>
    </row>
    <row r="618" spans="1:13" x14ac:dyDescent="0.25">
      <c r="A618" t="s">
        <v>38</v>
      </c>
      <c r="B618">
        <v>2013</v>
      </c>
      <c r="C618">
        <v>3.5</v>
      </c>
      <c r="D618" s="3">
        <v>700</v>
      </c>
      <c r="E618" s="3">
        <v>100</v>
      </c>
      <c r="F618" s="3" t="str">
        <f t="shared" si="9"/>
        <v>FGU920133.5700100</v>
      </c>
      <c r="G618" t="str">
        <f>IF(ISNA(VLOOKUP($F618,'Raw Data'!$A:$M,7,0)),"",VLOOKUP($F618,'Raw Data'!$A:$M,7,0))</f>
        <v/>
      </c>
      <c r="H618" t="str">
        <f>IF(ISNA(VLOOKUP($F618,'Raw Data'!$A:$M,8,0)),"",VLOOKUP($F618,'Raw Data'!$A:$M,8,0))</f>
        <v/>
      </c>
      <c r="I618" t="str">
        <f>IF(ISNA(VLOOKUP($F618,'Raw Data'!$A:$M,9,0)),"",VLOOKUP($F618,'Raw Data'!$A:$M,9,0))</f>
        <v/>
      </c>
      <c r="J618" t="str">
        <f>IF(ISNA(VLOOKUP($F618,'Raw Data'!$A:$M,10,0)),"",VLOOKUP($F618,'Raw Data'!$A:$M,10,0))</f>
        <v/>
      </c>
      <c r="K618" t="str">
        <f>IF(ISNA(VLOOKUP($F618,'Raw Data'!$A:$M,11,0)),"",VLOOKUP($F618,'Raw Data'!$A:$M,11,0))</f>
        <v/>
      </c>
      <c r="L618" t="str">
        <f>IF(ISNA(VLOOKUP($F618,'Raw Data'!$A:$M,12,0)),"",VLOOKUP($F618,'Raw Data'!$A:$M,12,0))</f>
        <v/>
      </c>
      <c r="M618" t="str">
        <f>IF(ISNA(VLOOKUP($F618,'Raw Data'!$A:$M,13,0)),"",VLOOKUP($F618,'Raw Data'!$A:$M,13,0))</f>
        <v/>
      </c>
    </row>
    <row r="619" spans="1:13" x14ac:dyDescent="0.25">
      <c r="A619" t="s">
        <v>38</v>
      </c>
      <c r="B619">
        <v>2013</v>
      </c>
      <c r="C619">
        <v>3.5</v>
      </c>
      <c r="D619" s="3">
        <v>720</v>
      </c>
      <c r="E619" s="3">
        <v>100</v>
      </c>
      <c r="F619" s="3" t="str">
        <f t="shared" si="9"/>
        <v>FGU920133.5720100</v>
      </c>
      <c r="G619" t="str">
        <f>IF(ISNA(VLOOKUP($F619,'Raw Data'!$A:$M,7,0)),"",VLOOKUP($F619,'Raw Data'!$A:$M,7,0))</f>
        <v/>
      </c>
      <c r="H619" t="str">
        <f>IF(ISNA(VLOOKUP($F619,'Raw Data'!$A:$M,8,0)),"",VLOOKUP($F619,'Raw Data'!$A:$M,8,0))</f>
        <v/>
      </c>
      <c r="I619" t="str">
        <f>IF(ISNA(VLOOKUP($F619,'Raw Data'!$A:$M,9,0)),"",VLOOKUP($F619,'Raw Data'!$A:$M,9,0))</f>
        <v/>
      </c>
      <c r="J619" t="str">
        <f>IF(ISNA(VLOOKUP($F619,'Raw Data'!$A:$M,10,0)),"",VLOOKUP($F619,'Raw Data'!$A:$M,10,0))</f>
        <v/>
      </c>
      <c r="K619" t="str">
        <f>IF(ISNA(VLOOKUP($F619,'Raw Data'!$A:$M,11,0)),"",VLOOKUP($F619,'Raw Data'!$A:$M,11,0))</f>
        <v/>
      </c>
      <c r="L619" t="str">
        <f>IF(ISNA(VLOOKUP($F619,'Raw Data'!$A:$M,12,0)),"",VLOOKUP($F619,'Raw Data'!$A:$M,12,0))</f>
        <v/>
      </c>
      <c r="M619" t="str">
        <f>IF(ISNA(VLOOKUP($F619,'Raw Data'!$A:$M,13,0)),"",VLOOKUP($F619,'Raw Data'!$A:$M,13,0))</f>
        <v/>
      </c>
    </row>
    <row r="620" spans="1:13" x14ac:dyDescent="0.25">
      <c r="A620" t="s">
        <v>38</v>
      </c>
      <c r="B620">
        <v>2013</v>
      </c>
      <c r="C620">
        <v>3.5</v>
      </c>
      <c r="D620" s="3">
        <v>740</v>
      </c>
      <c r="E620" s="3">
        <v>100</v>
      </c>
      <c r="F620" s="3" t="str">
        <f t="shared" si="9"/>
        <v>FGU920133.5740100</v>
      </c>
      <c r="G620" t="str">
        <f>IF(ISNA(VLOOKUP($F620,'Raw Data'!$A:$M,7,0)),"",VLOOKUP($F620,'Raw Data'!$A:$M,7,0))</f>
        <v/>
      </c>
      <c r="H620" t="str">
        <f>IF(ISNA(VLOOKUP($F620,'Raw Data'!$A:$M,8,0)),"",VLOOKUP($F620,'Raw Data'!$A:$M,8,0))</f>
        <v/>
      </c>
      <c r="I620" t="str">
        <f>IF(ISNA(VLOOKUP($F620,'Raw Data'!$A:$M,9,0)),"",VLOOKUP($F620,'Raw Data'!$A:$M,9,0))</f>
        <v/>
      </c>
      <c r="J620" t="str">
        <f>IF(ISNA(VLOOKUP($F620,'Raw Data'!$A:$M,10,0)),"",VLOOKUP($F620,'Raw Data'!$A:$M,10,0))</f>
        <v/>
      </c>
      <c r="K620" t="str">
        <f>IF(ISNA(VLOOKUP($F620,'Raw Data'!$A:$M,11,0)),"",VLOOKUP($F620,'Raw Data'!$A:$M,11,0))</f>
        <v/>
      </c>
      <c r="L620" t="str">
        <f>IF(ISNA(VLOOKUP($F620,'Raw Data'!$A:$M,12,0)),"",VLOOKUP($F620,'Raw Data'!$A:$M,12,0))</f>
        <v/>
      </c>
      <c r="M620" t="str">
        <f>IF(ISNA(VLOOKUP($F620,'Raw Data'!$A:$M,13,0)),"",VLOOKUP($F620,'Raw Data'!$A:$M,13,0))</f>
        <v/>
      </c>
    </row>
    <row r="621" spans="1:13" x14ac:dyDescent="0.25">
      <c r="A621" t="s">
        <v>38</v>
      </c>
      <c r="B621">
        <v>2013</v>
      </c>
      <c r="C621">
        <v>3.5</v>
      </c>
      <c r="D621" s="3">
        <v>760</v>
      </c>
      <c r="E621" s="3">
        <v>100</v>
      </c>
      <c r="F621" s="3" t="str">
        <f t="shared" si="9"/>
        <v>FGU920133.5760100</v>
      </c>
      <c r="G621" t="str">
        <f>IF(ISNA(VLOOKUP($F621,'Raw Data'!$A:$M,7,0)),"",VLOOKUP($F621,'Raw Data'!$A:$M,7,0))</f>
        <v/>
      </c>
      <c r="H621" t="str">
        <f>IF(ISNA(VLOOKUP($F621,'Raw Data'!$A:$M,8,0)),"",VLOOKUP($F621,'Raw Data'!$A:$M,8,0))</f>
        <v/>
      </c>
      <c r="I621" t="str">
        <f>IF(ISNA(VLOOKUP($F621,'Raw Data'!$A:$M,9,0)),"",VLOOKUP($F621,'Raw Data'!$A:$M,9,0))</f>
        <v/>
      </c>
      <c r="J621" t="str">
        <f>IF(ISNA(VLOOKUP($F621,'Raw Data'!$A:$M,10,0)),"",VLOOKUP($F621,'Raw Data'!$A:$M,10,0))</f>
        <v/>
      </c>
      <c r="K621" t="str">
        <f>IF(ISNA(VLOOKUP($F621,'Raw Data'!$A:$M,11,0)),"",VLOOKUP($F621,'Raw Data'!$A:$M,11,0))</f>
        <v/>
      </c>
      <c r="L621" t="str">
        <f>IF(ISNA(VLOOKUP($F621,'Raw Data'!$A:$M,12,0)),"",VLOOKUP($F621,'Raw Data'!$A:$M,12,0))</f>
        <v/>
      </c>
      <c r="M621" t="str">
        <f>IF(ISNA(VLOOKUP($F621,'Raw Data'!$A:$M,13,0)),"",VLOOKUP($F621,'Raw Data'!$A:$M,13,0))</f>
        <v/>
      </c>
    </row>
    <row r="622" spans="1:13" x14ac:dyDescent="0.25">
      <c r="A622" t="s">
        <v>38</v>
      </c>
      <c r="B622">
        <v>2013</v>
      </c>
      <c r="C622">
        <v>3.5</v>
      </c>
      <c r="D622" s="3">
        <v>780</v>
      </c>
      <c r="E622" s="3">
        <v>100</v>
      </c>
      <c r="F622" s="3" t="str">
        <f t="shared" si="9"/>
        <v>FGU920133.5780100</v>
      </c>
      <c r="G622" t="str">
        <f>IF(ISNA(VLOOKUP($F622,'Raw Data'!$A:$M,7,0)),"",VLOOKUP($F622,'Raw Data'!$A:$M,7,0))</f>
        <v/>
      </c>
      <c r="H622" t="str">
        <f>IF(ISNA(VLOOKUP($F622,'Raw Data'!$A:$M,8,0)),"",VLOOKUP($F622,'Raw Data'!$A:$M,8,0))</f>
        <v/>
      </c>
      <c r="I622" t="str">
        <f>IF(ISNA(VLOOKUP($F622,'Raw Data'!$A:$M,9,0)),"",VLOOKUP($F622,'Raw Data'!$A:$M,9,0))</f>
        <v/>
      </c>
      <c r="J622" t="str">
        <f>IF(ISNA(VLOOKUP($F622,'Raw Data'!$A:$M,10,0)),"",VLOOKUP($F622,'Raw Data'!$A:$M,10,0))</f>
        <v/>
      </c>
      <c r="K622" t="str">
        <f>IF(ISNA(VLOOKUP($F622,'Raw Data'!$A:$M,11,0)),"",VLOOKUP($F622,'Raw Data'!$A:$M,11,0))</f>
        <v/>
      </c>
      <c r="L622" t="str">
        <f>IF(ISNA(VLOOKUP($F622,'Raw Data'!$A:$M,12,0)),"",VLOOKUP($F622,'Raw Data'!$A:$M,12,0))</f>
        <v/>
      </c>
      <c r="M622" t="str">
        <f>IF(ISNA(VLOOKUP($F622,'Raw Data'!$A:$M,13,0)),"",VLOOKUP($F622,'Raw Data'!$A:$M,13,0))</f>
        <v/>
      </c>
    </row>
    <row r="623" spans="1:13" x14ac:dyDescent="0.25">
      <c r="A623" t="s">
        <v>38</v>
      </c>
      <c r="B623">
        <v>2013</v>
      </c>
      <c r="C623">
        <v>3.5</v>
      </c>
      <c r="D623" s="3">
        <v>620</v>
      </c>
      <c r="E623" s="3" t="s">
        <v>9</v>
      </c>
      <c r="F623" s="3" t="str">
        <f t="shared" si="9"/>
        <v>FGU920133.5620100+</v>
      </c>
      <c r="G623" t="str">
        <f>IF(ISNA(VLOOKUP($F623,'Raw Data'!$A:$M,7,0)),"",VLOOKUP($F623,'Raw Data'!$A:$M,7,0))</f>
        <v/>
      </c>
      <c r="H623" t="str">
        <f>IF(ISNA(VLOOKUP($F623,'Raw Data'!$A:$M,8,0)),"",VLOOKUP($F623,'Raw Data'!$A:$M,8,0))</f>
        <v/>
      </c>
      <c r="I623" t="str">
        <f>IF(ISNA(VLOOKUP($F623,'Raw Data'!$A:$M,9,0)),"",VLOOKUP($F623,'Raw Data'!$A:$M,9,0))</f>
        <v/>
      </c>
      <c r="J623" t="str">
        <f>IF(ISNA(VLOOKUP($F623,'Raw Data'!$A:$M,10,0)),"",VLOOKUP($F623,'Raw Data'!$A:$M,10,0))</f>
        <v/>
      </c>
      <c r="K623" t="str">
        <f>IF(ISNA(VLOOKUP($F623,'Raw Data'!$A:$M,11,0)),"",VLOOKUP($F623,'Raw Data'!$A:$M,11,0))</f>
        <v/>
      </c>
      <c r="L623" t="str">
        <f>IF(ISNA(VLOOKUP($F623,'Raw Data'!$A:$M,12,0)),"",VLOOKUP($F623,'Raw Data'!$A:$M,12,0))</f>
        <v/>
      </c>
      <c r="M623" t="str">
        <f>IF(ISNA(VLOOKUP($F623,'Raw Data'!$A:$M,13,0)),"",VLOOKUP($F623,'Raw Data'!$A:$M,13,0))</f>
        <v/>
      </c>
    </row>
    <row r="624" spans="1:13" x14ac:dyDescent="0.25">
      <c r="A624" t="s">
        <v>38</v>
      </c>
      <c r="B624">
        <v>2013</v>
      </c>
      <c r="C624">
        <v>3.5</v>
      </c>
      <c r="D624" s="3">
        <v>640</v>
      </c>
      <c r="E624" s="3" t="s">
        <v>9</v>
      </c>
      <c r="F624" s="3" t="str">
        <f t="shared" si="9"/>
        <v>FGU920133.5640100+</v>
      </c>
      <c r="G624" t="str">
        <f>IF(ISNA(VLOOKUP($F624,'Raw Data'!$A:$M,7,0)),"",VLOOKUP($F624,'Raw Data'!$A:$M,7,0))</f>
        <v/>
      </c>
      <c r="H624" t="str">
        <f>IF(ISNA(VLOOKUP($F624,'Raw Data'!$A:$M,8,0)),"",VLOOKUP($F624,'Raw Data'!$A:$M,8,0))</f>
        <v/>
      </c>
      <c r="I624" t="str">
        <f>IF(ISNA(VLOOKUP($F624,'Raw Data'!$A:$M,9,0)),"",VLOOKUP($F624,'Raw Data'!$A:$M,9,0))</f>
        <v/>
      </c>
      <c r="J624" t="str">
        <f>IF(ISNA(VLOOKUP($F624,'Raw Data'!$A:$M,10,0)),"",VLOOKUP($F624,'Raw Data'!$A:$M,10,0))</f>
        <v/>
      </c>
      <c r="K624" t="str">
        <f>IF(ISNA(VLOOKUP($F624,'Raw Data'!$A:$M,11,0)),"",VLOOKUP($F624,'Raw Data'!$A:$M,11,0))</f>
        <v/>
      </c>
      <c r="L624" t="str">
        <f>IF(ISNA(VLOOKUP($F624,'Raw Data'!$A:$M,12,0)),"",VLOOKUP($F624,'Raw Data'!$A:$M,12,0))</f>
        <v/>
      </c>
      <c r="M624" t="str">
        <f>IF(ISNA(VLOOKUP($F624,'Raw Data'!$A:$M,13,0)),"",VLOOKUP($F624,'Raw Data'!$A:$M,13,0))</f>
        <v/>
      </c>
    </row>
    <row r="625" spans="1:13" x14ac:dyDescent="0.25">
      <c r="A625" t="s">
        <v>38</v>
      </c>
      <c r="B625">
        <v>2013</v>
      </c>
      <c r="C625">
        <v>3.5</v>
      </c>
      <c r="D625" s="3">
        <v>660</v>
      </c>
      <c r="E625" s="3" t="s">
        <v>9</v>
      </c>
      <c r="F625" s="3" t="str">
        <f t="shared" si="9"/>
        <v>FGU920133.5660100+</v>
      </c>
      <c r="G625" t="str">
        <f>IF(ISNA(VLOOKUP($F625,'Raw Data'!$A:$M,7,0)),"",VLOOKUP($F625,'Raw Data'!$A:$M,7,0))</f>
        <v/>
      </c>
      <c r="H625" t="str">
        <f>IF(ISNA(VLOOKUP($F625,'Raw Data'!$A:$M,8,0)),"",VLOOKUP($F625,'Raw Data'!$A:$M,8,0))</f>
        <v/>
      </c>
      <c r="I625" t="str">
        <f>IF(ISNA(VLOOKUP($F625,'Raw Data'!$A:$M,9,0)),"",VLOOKUP($F625,'Raw Data'!$A:$M,9,0))</f>
        <v/>
      </c>
      <c r="J625" t="str">
        <f>IF(ISNA(VLOOKUP($F625,'Raw Data'!$A:$M,10,0)),"",VLOOKUP($F625,'Raw Data'!$A:$M,10,0))</f>
        <v/>
      </c>
      <c r="K625" t="str">
        <f>IF(ISNA(VLOOKUP($F625,'Raw Data'!$A:$M,11,0)),"",VLOOKUP($F625,'Raw Data'!$A:$M,11,0))</f>
        <v/>
      </c>
      <c r="L625" t="str">
        <f>IF(ISNA(VLOOKUP($F625,'Raw Data'!$A:$M,12,0)),"",VLOOKUP($F625,'Raw Data'!$A:$M,12,0))</f>
        <v/>
      </c>
      <c r="M625" t="str">
        <f>IF(ISNA(VLOOKUP($F625,'Raw Data'!$A:$M,13,0)),"",VLOOKUP($F625,'Raw Data'!$A:$M,13,0))</f>
        <v/>
      </c>
    </row>
    <row r="626" spans="1:13" x14ac:dyDescent="0.25">
      <c r="A626" t="s">
        <v>38</v>
      </c>
      <c r="B626">
        <v>2013</v>
      </c>
      <c r="C626">
        <v>3.5</v>
      </c>
      <c r="D626" s="3">
        <v>680</v>
      </c>
      <c r="E626" s="3" t="s">
        <v>9</v>
      </c>
      <c r="F626" s="3" t="str">
        <f t="shared" si="9"/>
        <v>FGU920133.5680100+</v>
      </c>
      <c r="G626" t="str">
        <f>IF(ISNA(VLOOKUP($F626,'Raw Data'!$A:$M,7,0)),"",VLOOKUP($F626,'Raw Data'!$A:$M,7,0))</f>
        <v/>
      </c>
      <c r="H626" t="str">
        <f>IF(ISNA(VLOOKUP($F626,'Raw Data'!$A:$M,8,0)),"",VLOOKUP($F626,'Raw Data'!$A:$M,8,0))</f>
        <v/>
      </c>
      <c r="I626" t="str">
        <f>IF(ISNA(VLOOKUP($F626,'Raw Data'!$A:$M,9,0)),"",VLOOKUP($F626,'Raw Data'!$A:$M,9,0))</f>
        <v/>
      </c>
      <c r="J626" t="str">
        <f>IF(ISNA(VLOOKUP($F626,'Raw Data'!$A:$M,10,0)),"",VLOOKUP($F626,'Raw Data'!$A:$M,10,0))</f>
        <v/>
      </c>
      <c r="K626" t="str">
        <f>IF(ISNA(VLOOKUP($F626,'Raw Data'!$A:$M,11,0)),"",VLOOKUP($F626,'Raw Data'!$A:$M,11,0))</f>
        <v/>
      </c>
      <c r="L626" t="str">
        <f>IF(ISNA(VLOOKUP($F626,'Raw Data'!$A:$M,12,0)),"",VLOOKUP($F626,'Raw Data'!$A:$M,12,0))</f>
        <v/>
      </c>
      <c r="M626" t="str">
        <f>IF(ISNA(VLOOKUP($F626,'Raw Data'!$A:$M,13,0)),"",VLOOKUP($F626,'Raw Data'!$A:$M,13,0))</f>
        <v/>
      </c>
    </row>
    <row r="627" spans="1:13" x14ac:dyDescent="0.25">
      <c r="A627" t="s">
        <v>38</v>
      </c>
      <c r="B627">
        <v>2013</v>
      </c>
      <c r="C627">
        <v>3.5</v>
      </c>
      <c r="D627" s="3">
        <v>700</v>
      </c>
      <c r="E627" s="3" t="s">
        <v>9</v>
      </c>
      <c r="F627" s="3" t="str">
        <f t="shared" si="9"/>
        <v>FGU920133.5700100+</v>
      </c>
      <c r="G627">
        <f>IF(ISNA(VLOOKUP($F627,'Raw Data'!$A:$M,7,0)),"",VLOOKUP($F627,'Raw Data'!$A:$M,7,0))</f>
        <v>1063274.55</v>
      </c>
      <c r="H627">
        <f>IF(ISNA(VLOOKUP($F627,'Raw Data'!$A:$M,8,0)),"",VLOOKUP($F627,'Raw Data'!$A:$M,8,0))</f>
        <v>-53.614100000000001</v>
      </c>
      <c r="I627">
        <f>IF(ISNA(VLOOKUP($F627,'Raw Data'!$A:$M,9,0)),"",VLOOKUP($F627,'Raw Data'!$A:$M,9,0))</f>
        <v>-28.6158</v>
      </c>
      <c r="J627">
        <f>IF(ISNA(VLOOKUP($F627,'Raw Data'!$A:$M,10,0)),"",VLOOKUP($F627,'Raw Data'!$A:$M,10,0))</f>
        <v>24.9983</v>
      </c>
      <c r="K627">
        <f>IF(ISNA(VLOOKUP($F627,'Raw Data'!$A:$M,11,0)),"",VLOOKUP($F627,'Raw Data'!$A:$M,11,0))</f>
        <v>-53.614100000000001</v>
      </c>
      <c r="L627">
        <f>IF(ISNA(VLOOKUP($F627,'Raw Data'!$A:$M,12,0)),"",VLOOKUP($F627,'Raw Data'!$A:$M,12,0))</f>
        <v>-28.6158</v>
      </c>
      <c r="M627">
        <f>IF(ISNA(VLOOKUP($F627,'Raw Data'!$A:$M,13,0)),"",VLOOKUP($F627,'Raw Data'!$A:$M,13,0))</f>
        <v>24.9983</v>
      </c>
    </row>
    <row r="628" spans="1:13" x14ac:dyDescent="0.25">
      <c r="A628" t="s">
        <v>38</v>
      </c>
      <c r="B628">
        <v>2013</v>
      </c>
      <c r="C628">
        <v>3.5</v>
      </c>
      <c r="D628" s="3">
        <v>720</v>
      </c>
      <c r="E628" s="3" t="s">
        <v>9</v>
      </c>
      <c r="F628" s="3" t="str">
        <f t="shared" si="9"/>
        <v>FGU920133.5720100+</v>
      </c>
      <c r="G628" t="str">
        <f>IF(ISNA(VLOOKUP($F628,'Raw Data'!$A:$M,7,0)),"",VLOOKUP($F628,'Raw Data'!$A:$M,7,0))</f>
        <v/>
      </c>
      <c r="H628" t="str">
        <f>IF(ISNA(VLOOKUP($F628,'Raw Data'!$A:$M,8,0)),"",VLOOKUP($F628,'Raw Data'!$A:$M,8,0))</f>
        <v/>
      </c>
      <c r="I628" t="str">
        <f>IF(ISNA(VLOOKUP($F628,'Raw Data'!$A:$M,9,0)),"",VLOOKUP($F628,'Raw Data'!$A:$M,9,0))</f>
        <v/>
      </c>
      <c r="J628" t="str">
        <f>IF(ISNA(VLOOKUP($F628,'Raw Data'!$A:$M,10,0)),"",VLOOKUP($F628,'Raw Data'!$A:$M,10,0))</f>
        <v/>
      </c>
      <c r="K628" t="str">
        <f>IF(ISNA(VLOOKUP($F628,'Raw Data'!$A:$M,11,0)),"",VLOOKUP($F628,'Raw Data'!$A:$M,11,0))</f>
        <v/>
      </c>
      <c r="L628" t="str">
        <f>IF(ISNA(VLOOKUP($F628,'Raw Data'!$A:$M,12,0)),"",VLOOKUP($F628,'Raw Data'!$A:$M,12,0))</f>
        <v/>
      </c>
      <c r="M628" t="str">
        <f>IF(ISNA(VLOOKUP($F628,'Raw Data'!$A:$M,13,0)),"",VLOOKUP($F628,'Raw Data'!$A:$M,13,0))</f>
        <v/>
      </c>
    </row>
    <row r="629" spans="1:13" x14ac:dyDescent="0.25">
      <c r="A629" t="s">
        <v>38</v>
      </c>
      <c r="B629">
        <v>2013</v>
      </c>
      <c r="C629">
        <v>3.5</v>
      </c>
      <c r="D629" s="3">
        <v>740</v>
      </c>
      <c r="E629" s="3" t="s">
        <v>9</v>
      </c>
      <c r="F629" s="3" t="str">
        <f t="shared" si="9"/>
        <v>FGU920133.5740100+</v>
      </c>
      <c r="G629" t="str">
        <f>IF(ISNA(VLOOKUP($F629,'Raw Data'!$A:$M,7,0)),"",VLOOKUP($F629,'Raw Data'!$A:$M,7,0))</f>
        <v/>
      </c>
      <c r="H629" t="str">
        <f>IF(ISNA(VLOOKUP($F629,'Raw Data'!$A:$M,8,0)),"",VLOOKUP($F629,'Raw Data'!$A:$M,8,0))</f>
        <v/>
      </c>
      <c r="I629" t="str">
        <f>IF(ISNA(VLOOKUP($F629,'Raw Data'!$A:$M,9,0)),"",VLOOKUP($F629,'Raw Data'!$A:$M,9,0))</f>
        <v/>
      </c>
      <c r="J629" t="str">
        <f>IF(ISNA(VLOOKUP($F629,'Raw Data'!$A:$M,10,0)),"",VLOOKUP($F629,'Raw Data'!$A:$M,10,0))</f>
        <v/>
      </c>
      <c r="K629" t="str">
        <f>IF(ISNA(VLOOKUP($F629,'Raw Data'!$A:$M,11,0)),"",VLOOKUP($F629,'Raw Data'!$A:$M,11,0))</f>
        <v/>
      </c>
      <c r="L629" t="str">
        <f>IF(ISNA(VLOOKUP($F629,'Raw Data'!$A:$M,12,0)),"",VLOOKUP($F629,'Raw Data'!$A:$M,12,0))</f>
        <v/>
      </c>
      <c r="M629" t="str">
        <f>IF(ISNA(VLOOKUP($F629,'Raw Data'!$A:$M,13,0)),"",VLOOKUP($F629,'Raw Data'!$A:$M,13,0))</f>
        <v/>
      </c>
    </row>
    <row r="630" spans="1:13" x14ac:dyDescent="0.25">
      <c r="A630" t="s">
        <v>38</v>
      </c>
      <c r="B630">
        <v>2013</v>
      </c>
      <c r="C630">
        <v>3.5</v>
      </c>
      <c r="D630" s="3">
        <v>760</v>
      </c>
      <c r="E630" s="3" t="s">
        <v>9</v>
      </c>
      <c r="F630" s="3" t="str">
        <f t="shared" si="9"/>
        <v>FGU920133.5760100+</v>
      </c>
      <c r="G630" t="str">
        <f>IF(ISNA(VLOOKUP($F630,'Raw Data'!$A:$M,7,0)),"",VLOOKUP($F630,'Raw Data'!$A:$M,7,0))</f>
        <v/>
      </c>
      <c r="H630" t="str">
        <f>IF(ISNA(VLOOKUP($F630,'Raw Data'!$A:$M,8,0)),"",VLOOKUP($F630,'Raw Data'!$A:$M,8,0))</f>
        <v/>
      </c>
      <c r="I630" t="str">
        <f>IF(ISNA(VLOOKUP($F630,'Raw Data'!$A:$M,9,0)),"",VLOOKUP($F630,'Raw Data'!$A:$M,9,0))</f>
        <v/>
      </c>
      <c r="J630" t="str">
        <f>IF(ISNA(VLOOKUP($F630,'Raw Data'!$A:$M,10,0)),"",VLOOKUP($F630,'Raw Data'!$A:$M,10,0))</f>
        <v/>
      </c>
      <c r="K630" t="str">
        <f>IF(ISNA(VLOOKUP($F630,'Raw Data'!$A:$M,11,0)),"",VLOOKUP($F630,'Raw Data'!$A:$M,11,0))</f>
        <v/>
      </c>
      <c r="L630" t="str">
        <f>IF(ISNA(VLOOKUP($F630,'Raw Data'!$A:$M,12,0)),"",VLOOKUP($F630,'Raw Data'!$A:$M,12,0))</f>
        <v/>
      </c>
      <c r="M630" t="str">
        <f>IF(ISNA(VLOOKUP($F630,'Raw Data'!$A:$M,13,0)),"",VLOOKUP($F630,'Raw Data'!$A:$M,13,0))</f>
        <v/>
      </c>
    </row>
    <row r="631" spans="1:13" x14ac:dyDescent="0.25">
      <c r="A631" t="s">
        <v>38</v>
      </c>
      <c r="B631">
        <v>2013</v>
      </c>
      <c r="C631">
        <v>3.5</v>
      </c>
      <c r="D631" s="3">
        <v>780</v>
      </c>
      <c r="E631" s="3" t="s">
        <v>9</v>
      </c>
      <c r="F631" s="3" t="str">
        <f t="shared" si="9"/>
        <v>FGU920133.5780100+</v>
      </c>
      <c r="G631">
        <f>IF(ISNA(VLOOKUP($F631,'Raw Data'!$A:$M,7,0)),"",VLOOKUP($F631,'Raw Data'!$A:$M,7,0))</f>
        <v>946242.49</v>
      </c>
      <c r="H631">
        <f>IF(ISNA(VLOOKUP($F631,'Raw Data'!$A:$M,8,0)),"",VLOOKUP($F631,'Raw Data'!$A:$M,8,0))</f>
        <v>-112.82810000000001</v>
      </c>
      <c r="I631">
        <f>IF(ISNA(VLOOKUP($F631,'Raw Data'!$A:$M,9,0)),"",VLOOKUP($F631,'Raw Data'!$A:$M,9,0))</f>
        <v>-87.828100000000006</v>
      </c>
      <c r="J631">
        <f>IF(ISNA(VLOOKUP($F631,'Raw Data'!$A:$M,10,0)),"",VLOOKUP($F631,'Raw Data'!$A:$M,10,0))</f>
        <v>25</v>
      </c>
      <c r="K631">
        <f>IF(ISNA(VLOOKUP($F631,'Raw Data'!$A:$M,11,0)),"",VLOOKUP($F631,'Raw Data'!$A:$M,11,0))</f>
        <v>-99.8108</v>
      </c>
      <c r="L631">
        <f>IF(ISNA(VLOOKUP($F631,'Raw Data'!$A:$M,12,0)),"",VLOOKUP($F631,'Raw Data'!$A:$M,12,0))</f>
        <v>-81.686599999999999</v>
      </c>
      <c r="M631">
        <f>IF(ISNA(VLOOKUP($F631,'Raw Data'!$A:$M,13,0)),"",VLOOKUP($F631,'Raw Data'!$A:$M,13,0))</f>
        <v>18.124199999999998</v>
      </c>
    </row>
    <row r="632" spans="1:13" x14ac:dyDescent="0.25">
      <c r="A632" t="s">
        <v>38</v>
      </c>
      <c r="B632">
        <v>2012</v>
      </c>
      <c r="C632">
        <v>4</v>
      </c>
      <c r="D632" s="3">
        <v>620</v>
      </c>
      <c r="E632" s="3">
        <v>80</v>
      </c>
      <c r="F632" s="3" t="str">
        <f t="shared" si="9"/>
        <v>FGU92012462080</v>
      </c>
      <c r="G632" t="str">
        <f>IF(ISNA(VLOOKUP($F632,'Raw Data'!$A:$M,7,0)),"",VLOOKUP($F632,'Raw Data'!$A:$M,7,0))</f>
        <v/>
      </c>
      <c r="H632" t="str">
        <f>IF(ISNA(VLOOKUP($F632,'Raw Data'!$A:$M,8,0)),"",VLOOKUP($F632,'Raw Data'!$A:$M,8,0))</f>
        <v/>
      </c>
      <c r="I632" t="str">
        <f>IF(ISNA(VLOOKUP($F632,'Raw Data'!$A:$M,9,0)),"",VLOOKUP($F632,'Raw Data'!$A:$M,9,0))</f>
        <v/>
      </c>
      <c r="J632" t="str">
        <f>IF(ISNA(VLOOKUP($F632,'Raw Data'!$A:$M,10,0)),"",VLOOKUP($F632,'Raw Data'!$A:$M,10,0))</f>
        <v/>
      </c>
      <c r="K632" t="str">
        <f>IF(ISNA(VLOOKUP($F632,'Raw Data'!$A:$M,11,0)),"",VLOOKUP($F632,'Raw Data'!$A:$M,11,0))</f>
        <v/>
      </c>
      <c r="L632" t="str">
        <f>IF(ISNA(VLOOKUP($F632,'Raw Data'!$A:$M,12,0)),"",VLOOKUP($F632,'Raw Data'!$A:$M,12,0))</f>
        <v/>
      </c>
      <c r="M632" t="str">
        <f>IF(ISNA(VLOOKUP($F632,'Raw Data'!$A:$M,13,0)),"",VLOOKUP($F632,'Raw Data'!$A:$M,13,0))</f>
        <v/>
      </c>
    </row>
    <row r="633" spans="1:13" x14ac:dyDescent="0.25">
      <c r="A633" t="s">
        <v>38</v>
      </c>
      <c r="B633">
        <v>2012</v>
      </c>
      <c r="C633">
        <v>4</v>
      </c>
      <c r="D633" s="3">
        <v>640</v>
      </c>
      <c r="E633" s="3">
        <v>80</v>
      </c>
      <c r="F633" s="3" t="str">
        <f t="shared" si="9"/>
        <v>FGU92012464080</v>
      </c>
      <c r="G633" t="str">
        <f>IF(ISNA(VLOOKUP($F633,'Raw Data'!$A:$M,7,0)),"",VLOOKUP($F633,'Raw Data'!$A:$M,7,0))</f>
        <v/>
      </c>
      <c r="H633" t="str">
        <f>IF(ISNA(VLOOKUP($F633,'Raw Data'!$A:$M,8,0)),"",VLOOKUP($F633,'Raw Data'!$A:$M,8,0))</f>
        <v/>
      </c>
      <c r="I633" t="str">
        <f>IF(ISNA(VLOOKUP($F633,'Raw Data'!$A:$M,9,0)),"",VLOOKUP($F633,'Raw Data'!$A:$M,9,0))</f>
        <v/>
      </c>
      <c r="J633" t="str">
        <f>IF(ISNA(VLOOKUP($F633,'Raw Data'!$A:$M,10,0)),"",VLOOKUP($F633,'Raw Data'!$A:$M,10,0))</f>
        <v/>
      </c>
      <c r="K633" t="str">
        <f>IF(ISNA(VLOOKUP($F633,'Raw Data'!$A:$M,11,0)),"",VLOOKUP($F633,'Raw Data'!$A:$M,11,0))</f>
        <v/>
      </c>
      <c r="L633" t="str">
        <f>IF(ISNA(VLOOKUP($F633,'Raw Data'!$A:$M,12,0)),"",VLOOKUP($F633,'Raw Data'!$A:$M,12,0))</f>
        <v/>
      </c>
      <c r="M633" t="str">
        <f>IF(ISNA(VLOOKUP($F633,'Raw Data'!$A:$M,13,0)),"",VLOOKUP($F633,'Raw Data'!$A:$M,13,0))</f>
        <v/>
      </c>
    </row>
    <row r="634" spans="1:13" x14ac:dyDescent="0.25">
      <c r="A634" t="s">
        <v>38</v>
      </c>
      <c r="B634">
        <v>2012</v>
      </c>
      <c r="C634">
        <v>4</v>
      </c>
      <c r="D634" s="3">
        <v>660</v>
      </c>
      <c r="E634" s="3">
        <v>80</v>
      </c>
      <c r="F634" s="3" t="str">
        <f t="shared" si="9"/>
        <v>FGU92012466080</v>
      </c>
      <c r="G634" t="str">
        <f>IF(ISNA(VLOOKUP($F634,'Raw Data'!$A:$M,7,0)),"",VLOOKUP($F634,'Raw Data'!$A:$M,7,0))</f>
        <v/>
      </c>
      <c r="H634" t="str">
        <f>IF(ISNA(VLOOKUP($F634,'Raw Data'!$A:$M,8,0)),"",VLOOKUP($F634,'Raw Data'!$A:$M,8,0))</f>
        <v/>
      </c>
      <c r="I634" t="str">
        <f>IF(ISNA(VLOOKUP($F634,'Raw Data'!$A:$M,9,0)),"",VLOOKUP($F634,'Raw Data'!$A:$M,9,0))</f>
        <v/>
      </c>
      <c r="J634" t="str">
        <f>IF(ISNA(VLOOKUP($F634,'Raw Data'!$A:$M,10,0)),"",VLOOKUP($F634,'Raw Data'!$A:$M,10,0))</f>
        <v/>
      </c>
      <c r="K634" t="str">
        <f>IF(ISNA(VLOOKUP($F634,'Raw Data'!$A:$M,11,0)),"",VLOOKUP($F634,'Raw Data'!$A:$M,11,0))</f>
        <v/>
      </c>
      <c r="L634" t="str">
        <f>IF(ISNA(VLOOKUP($F634,'Raw Data'!$A:$M,12,0)),"",VLOOKUP($F634,'Raw Data'!$A:$M,12,0))</f>
        <v/>
      </c>
      <c r="M634" t="str">
        <f>IF(ISNA(VLOOKUP($F634,'Raw Data'!$A:$M,13,0)),"",VLOOKUP($F634,'Raw Data'!$A:$M,13,0))</f>
        <v/>
      </c>
    </row>
    <row r="635" spans="1:13" x14ac:dyDescent="0.25">
      <c r="A635" t="s">
        <v>38</v>
      </c>
      <c r="B635">
        <v>2012</v>
      </c>
      <c r="C635">
        <v>4</v>
      </c>
      <c r="D635" s="3">
        <v>680</v>
      </c>
      <c r="E635" s="3">
        <v>80</v>
      </c>
      <c r="F635" s="3" t="str">
        <f t="shared" si="9"/>
        <v>FGU92012468080</v>
      </c>
      <c r="G635" t="str">
        <f>IF(ISNA(VLOOKUP($F635,'Raw Data'!$A:$M,7,0)),"",VLOOKUP($F635,'Raw Data'!$A:$M,7,0))</f>
        <v/>
      </c>
      <c r="H635" t="str">
        <f>IF(ISNA(VLOOKUP($F635,'Raw Data'!$A:$M,8,0)),"",VLOOKUP($F635,'Raw Data'!$A:$M,8,0))</f>
        <v/>
      </c>
      <c r="I635" t="str">
        <f>IF(ISNA(VLOOKUP($F635,'Raw Data'!$A:$M,9,0)),"",VLOOKUP($F635,'Raw Data'!$A:$M,9,0))</f>
        <v/>
      </c>
      <c r="J635" t="str">
        <f>IF(ISNA(VLOOKUP($F635,'Raw Data'!$A:$M,10,0)),"",VLOOKUP($F635,'Raw Data'!$A:$M,10,0))</f>
        <v/>
      </c>
      <c r="K635" t="str">
        <f>IF(ISNA(VLOOKUP($F635,'Raw Data'!$A:$M,11,0)),"",VLOOKUP($F635,'Raw Data'!$A:$M,11,0))</f>
        <v/>
      </c>
      <c r="L635" t="str">
        <f>IF(ISNA(VLOOKUP($F635,'Raw Data'!$A:$M,12,0)),"",VLOOKUP($F635,'Raw Data'!$A:$M,12,0))</f>
        <v/>
      </c>
      <c r="M635" t="str">
        <f>IF(ISNA(VLOOKUP($F635,'Raw Data'!$A:$M,13,0)),"",VLOOKUP($F635,'Raw Data'!$A:$M,13,0))</f>
        <v/>
      </c>
    </row>
    <row r="636" spans="1:13" x14ac:dyDescent="0.25">
      <c r="A636" t="s">
        <v>38</v>
      </c>
      <c r="B636">
        <v>2012</v>
      </c>
      <c r="C636">
        <v>4</v>
      </c>
      <c r="D636" s="3">
        <v>700</v>
      </c>
      <c r="E636" s="3">
        <v>80</v>
      </c>
      <c r="F636" s="3" t="str">
        <f t="shared" si="9"/>
        <v>FGU92012470080</v>
      </c>
      <c r="G636" t="str">
        <f>IF(ISNA(VLOOKUP($F636,'Raw Data'!$A:$M,7,0)),"",VLOOKUP($F636,'Raw Data'!$A:$M,7,0))</f>
        <v/>
      </c>
      <c r="H636" t="str">
        <f>IF(ISNA(VLOOKUP($F636,'Raw Data'!$A:$M,8,0)),"",VLOOKUP($F636,'Raw Data'!$A:$M,8,0))</f>
        <v/>
      </c>
      <c r="I636" t="str">
        <f>IF(ISNA(VLOOKUP($F636,'Raw Data'!$A:$M,9,0)),"",VLOOKUP($F636,'Raw Data'!$A:$M,9,0))</f>
        <v/>
      </c>
      <c r="J636" t="str">
        <f>IF(ISNA(VLOOKUP($F636,'Raw Data'!$A:$M,10,0)),"",VLOOKUP($F636,'Raw Data'!$A:$M,10,0))</f>
        <v/>
      </c>
      <c r="K636" t="str">
        <f>IF(ISNA(VLOOKUP($F636,'Raw Data'!$A:$M,11,0)),"",VLOOKUP($F636,'Raw Data'!$A:$M,11,0))</f>
        <v/>
      </c>
      <c r="L636" t="str">
        <f>IF(ISNA(VLOOKUP($F636,'Raw Data'!$A:$M,12,0)),"",VLOOKUP($F636,'Raw Data'!$A:$M,12,0))</f>
        <v/>
      </c>
      <c r="M636" t="str">
        <f>IF(ISNA(VLOOKUP($F636,'Raw Data'!$A:$M,13,0)),"",VLOOKUP($F636,'Raw Data'!$A:$M,13,0))</f>
        <v/>
      </c>
    </row>
    <row r="637" spans="1:13" x14ac:dyDescent="0.25">
      <c r="A637" t="s">
        <v>38</v>
      </c>
      <c r="B637">
        <v>2012</v>
      </c>
      <c r="C637">
        <v>4</v>
      </c>
      <c r="D637" s="3">
        <v>720</v>
      </c>
      <c r="E637" s="3">
        <v>80</v>
      </c>
      <c r="F637" s="3" t="str">
        <f t="shared" si="9"/>
        <v>FGU92012472080</v>
      </c>
      <c r="G637" t="str">
        <f>IF(ISNA(VLOOKUP($F637,'Raw Data'!$A:$M,7,0)),"",VLOOKUP($F637,'Raw Data'!$A:$M,7,0))</f>
        <v/>
      </c>
      <c r="H637" t="str">
        <f>IF(ISNA(VLOOKUP($F637,'Raw Data'!$A:$M,8,0)),"",VLOOKUP($F637,'Raw Data'!$A:$M,8,0))</f>
        <v/>
      </c>
      <c r="I637" t="str">
        <f>IF(ISNA(VLOOKUP($F637,'Raw Data'!$A:$M,9,0)),"",VLOOKUP($F637,'Raw Data'!$A:$M,9,0))</f>
        <v/>
      </c>
      <c r="J637" t="str">
        <f>IF(ISNA(VLOOKUP($F637,'Raw Data'!$A:$M,10,0)),"",VLOOKUP($F637,'Raw Data'!$A:$M,10,0))</f>
        <v/>
      </c>
      <c r="K637" t="str">
        <f>IF(ISNA(VLOOKUP($F637,'Raw Data'!$A:$M,11,0)),"",VLOOKUP($F637,'Raw Data'!$A:$M,11,0))</f>
        <v/>
      </c>
      <c r="L637" t="str">
        <f>IF(ISNA(VLOOKUP($F637,'Raw Data'!$A:$M,12,0)),"",VLOOKUP($F637,'Raw Data'!$A:$M,12,0))</f>
        <v/>
      </c>
      <c r="M637" t="str">
        <f>IF(ISNA(VLOOKUP($F637,'Raw Data'!$A:$M,13,0)),"",VLOOKUP($F637,'Raw Data'!$A:$M,13,0))</f>
        <v/>
      </c>
    </row>
    <row r="638" spans="1:13" x14ac:dyDescent="0.25">
      <c r="A638" t="s">
        <v>38</v>
      </c>
      <c r="B638">
        <v>2012</v>
      </c>
      <c r="C638">
        <v>4</v>
      </c>
      <c r="D638" s="3">
        <v>740</v>
      </c>
      <c r="E638" s="3">
        <v>80</v>
      </c>
      <c r="F638" s="3" t="str">
        <f t="shared" si="9"/>
        <v>FGU92012474080</v>
      </c>
      <c r="G638" t="str">
        <f>IF(ISNA(VLOOKUP($F638,'Raw Data'!$A:$M,7,0)),"",VLOOKUP($F638,'Raw Data'!$A:$M,7,0))</f>
        <v/>
      </c>
      <c r="H638" t="str">
        <f>IF(ISNA(VLOOKUP($F638,'Raw Data'!$A:$M,8,0)),"",VLOOKUP($F638,'Raw Data'!$A:$M,8,0))</f>
        <v/>
      </c>
      <c r="I638" t="str">
        <f>IF(ISNA(VLOOKUP($F638,'Raw Data'!$A:$M,9,0)),"",VLOOKUP($F638,'Raw Data'!$A:$M,9,0))</f>
        <v/>
      </c>
      <c r="J638" t="str">
        <f>IF(ISNA(VLOOKUP($F638,'Raw Data'!$A:$M,10,0)),"",VLOOKUP($F638,'Raw Data'!$A:$M,10,0))</f>
        <v/>
      </c>
      <c r="K638" t="str">
        <f>IF(ISNA(VLOOKUP($F638,'Raw Data'!$A:$M,11,0)),"",VLOOKUP($F638,'Raw Data'!$A:$M,11,0))</f>
        <v/>
      </c>
      <c r="L638" t="str">
        <f>IF(ISNA(VLOOKUP($F638,'Raw Data'!$A:$M,12,0)),"",VLOOKUP($F638,'Raw Data'!$A:$M,12,0))</f>
        <v/>
      </c>
      <c r="M638" t="str">
        <f>IF(ISNA(VLOOKUP($F638,'Raw Data'!$A:$M,13,0)),"",VLOOKUP($F638,'Raw Data'!$A:$M,13,0))</f>
        <v/>
      </c>
    </row>
    <row r="639" spans="1:13" x14ac:dyDescent="0.25">
      <c r="A639" t="s">
        <v>38</v>
      </c>
      <c r="B639">
        <v>2012</v>
      </c>
      <c r="C639">
        <v>4</v>
      </c>
      <c r="D639" s="3">
        <v>760</v>
      </c>
      <c r="E639" s="3">
        <v>80</v>
      </c>
      <c r="F639" s="3" t="str">
        <f t="shared" si="9"/>
        <v>FGU92012476080</v>
      </c>
      <c r="G639" t="str">
        <f>IF(ISNA(VLOOKUP($F639,'Raw Data'!$A:$M,7,0)),"",VLOOKUP($F639,'Raw Data'!$A:$M,7,0))</f>
        <v/>
      </c>
      <c r="H639" t="str">
        <f>IF(ISNA(VLOOKUP($F639,'Raw Data'!$A:$M,8,0)),"",VLOOKUP($F639,'Raw Data'!$A:$M,8,0))</f>
        <v/>
      </c>
      <c r="I639" t="str">
        <f>IF(ISNA(VLOOKUP($F639,'Raw Data'!$A:$M,9,0)),"",VLOOKUP($F639,'Raw Data'!$A:$M,9,0))</f>
        <v/>
      </c>
      <c r="J639" t="str">
        <f>IF(ISNA(VLOOKUP($F639,'Raw Data'!$A:$M,10,0)),"",VLOOKUP($F639,'Raw Data'!$A:$M,10,0))</f>
        <v/>
      </c>
      <c r="K639" t="str">
        <f>IF(ISNA(VLOOKUP($F639,'Raw Data'!$A:$M,11,0)),"",VLOOKUP($F639,'Raw Data'!$A:$M,11,0))</f>
        <v/>
      </c>
      <c r="L639" t="str">
        <f>IF(ISNA(VLOOKUP($F639,'Raw Data'!$A:$M,12,0)),"",VLOOKUP($F639,'Raw Data'!$A:$M,12,0))</f>
        <v/>
      </c>
      <c r="M639" t="str">
        <f>IF(ISNA(VLOOKUP($F639,'Raw Data'!$A:$M,13,0)),"",VLOOKUP($F639,'Raw Data'!$A:$M,13,0))</f>
        <v/>
      </c>
    </row>
    <row r="640" spans="1:13" x14ac:dyDescent="0.25">
      <c r="A640" t="s">
        <v>38</v>
      </c>
      <c r="B640">
        <v>2012</v>
      </c>
      <c r="C640">
        <v>4</v>
      </c>
      <c r="D640" s="3">
        <v>780</v>
      </c>
      <c r="E640" s="3">
        <v>80</v>
      </c>
      <c r="F640" s="3" t="str">
        <f t="shared" si="9"/>
        <v>FGU92012478080</v>
      </c>
      <c r="G640" t="str">
        <f>IF(ISNA(VLOOKUP($F640,'Raw Data'!$A:$M,7,0)),"",VLOOKUP($F640,'Raw Data'!$A:$M,7,0))</f>
        <v/>
      </c>
      <c r="H640" t="str">
        <f>IF(ISNA(VLOOKUP($F640,'Raw Data'!$A:$M,8,0)),"",VLOOKUP($F640,'Raw Data'!$A:$M,8,0))</f>
        <v/>
      </c>
      <c r="I640" t="str">
        <f>IF(ISNA(VLOOKUP($F640,'Raw Data'!$A:$M,9,0)),"",VLOOKUP($F640,'Raw Data'!$A:$M,9,0))</f>
        <v/>
      </c>
      <c r="J640" t="str">
        <f>IF(ISNA(VLOOKUP($F640,'Raw Data'!$A:$M,10,0)),"",VLOOKUP($F640,'Raw Data'!$A:$M,10,0))</f>
        <v/>
      </c>
      <c r="K640" t="str">
        <f>IF(ISNA(VLOOKUP($F640,'Raw Data'!$A:$M,11,0)),"",VLOOKUP($F640,'Raw Data'!$A:$M,11,0))</f>
        <v/>
      </c>
      <c r="L640" t="str">
        <f>IF(ISNA(VLOOKUP($F640,'Raw Data'!$A:$M,12,0)),"",VLOOKUP($F640,'Raw Data'!$A:$M,12,0))</f>
        <v/>
      </c>
      <c r="M640" t="str">
        <f>IF(ISNA(VLOOKUP($F640,'Raw Data'!$A:$M,13,0)),"",VLOOKUP($F640,'Raw Data'!$A:$M,13,0))</f>
        <v/>
      </c>
    </row>
    <row r="641" spans="1:13" x14ac:dyDescent="0.25">
      <c r="A641" t="s">
        <v>38</v>
      </c>
      <c r="B641">
        <v>2012</v>
      </c>
      <c r="C641">
        <v>4</v>
      </c>
      <c r="D641" s="3">
        <v>620</v>
      </c>
      <c r="E641" s="3">
        <v>85</v>
      </c>
      <c r="F641" s="3" t="str">
        <f t="shared" si="9"/>
        <v>FGU92012462085</v>
      </c>
      <c r="G641" t="str">
        <f>IF(ISNA(VLOOKUP($F641,'Raw Data'!$A:$M,7,0)),"",VLOOKUP($F641,'Raw Data'!$A:$M,7,0))</f>
        <v/>
      </c>
      <c r="H641" t="str">
        <f>IF(ISNA(VLOOKUP($F641,'Raw Data'!$A:$M,8,0)),"",VLOOKUP($F641,'Raw Data'!$A:$M,8,0))</f>
        <v/>
      </c>
      <c r="I641" t="str">
        <f>IF(ISNA(VLOOKUP($F641,'Raw Data'!$A:$M,9,0)),"",VLOOKUP($F641,'Raw Data'!$A:$M,9,0))</f>
        <v/>
      </c>
      <c r="J641" t="str">
        <f>IF(ISNA(VLOOKUP($F641,'Raw Data'!$A:$M,10,0)),"",VLOOKUP($F641,'Raw Data'!$A:$M,10,0))</f>
        <v/>
      </c>
      <c r="K641" t="str">
        <f>IF(ISNA(VLOOKUP($F641,'Raw Data'!$A:$M,11,0)),"",VLOOKUP($F641,'Raw Data'!$A:$M,11,0))</f>
        <v/>
      </c>
      <c r="L641" t="str">
        <f>IF(ISNA(VLOOKUP($F641,'Raw Data'!$A:$M,12,0)),"",VLOOKUP($F641,'Raw Data'!$A:$M,12,0))</f>
        <v/>
      </c>
      <c r="M641" t="str">
        <f>IF(ISNA(VLOOKUP($F641,'Raw Data'!$A:$M,13,0)),"",VLOOKUP($F641,'Raw Data'!$A:$M,13,0))</f>
        <v/>
      </c>
    </row>
    <row r="642" spans="1:13" x14ac:dyDescent="0.25">
      <c r="A642" t="s">
        <v>38</v>
      </c>
      <c r="B642">
        <v>2012</v>
      </c>
      <c r="C642">
        <v>4</v>
      </c>
      <c r="D642" s="3">
        <v>640</v>
      </c>
      <c r="E642" s="3">
        <v>85</v>
      </c>
      <c r="F642" s="3" t="str">
        <f t="shared" si="9"/>
        <v>FGU92012464085</v>
      </c>
      <c r="G642" t="str">
        <f>IF(ISNA(VLOOKUP($F642,'Raw Data'!$A:$M,7,0)),"",VLOOKUP($F642,'Raw Data'!$A:$M,7,0))</f>
        <v/>
      </c>
      <c r="H642" t="str">
        <f>IF(ISNA(VLOOKUP($F642,'Raw Data'!$A:$M,8,0)),"",VLOOKUP($F642,'Raw Data'!$A:$M,8,0))</f>
        <v/>
      </c>
      <c r="I642" t="str">
        <f>IF(ISNA(VLOOKUP($F642,'Raw Data'!$A:$M,9,0)),"",VLOOKUP($F642,'Raw Data'!$A:$M,9,0))</f>
        <v/>
      </c>
      <c r="J642" t="str">
        <f>IF(ISNA(VLOOKUP($F642,'Raw Data'!$A:$M,10,0)),"",VLOOKUP($F642,'Raw Data'!$A:$M,10,0))</f>
        <v/>
      </c>
      <c r="K642" t="str">
        <f>IF(ISNA(VLOOKUP($F642,'Raw Data'!$A:$M,11,0)),"",VLOOKUP($F642,'Raw Data'!$A:$M,11,0))</f>
        <v/>
      </c>
      <c r="L642" t="str">
        <f>IF(ISNA(VLOOKUP($F642,'Raw Data'!$A:$M,12,0)),"",VLOOKUP($F642,'Raw Data'!$A:$M,12,0))</f>
        <v/>
      </c>
      <c r="M642" t="str">
        <f>IF(ISNA(VLOOKUP($F642,'Raw Data'!$A:$M,13,0)),"",VLOOKUP($F642,'Raw Data'!$A:$M,13,0))</f>
        <v/>
      </c>
    </row>
    <row r="643" spans="1:13" x14ac:dyDescent="0.25">
      <c r="A643" t="s">
        <v>38</v>
      </c>
      <c r="B643">
        <v>2012</v>
      </c>
      <c r="C643">
        <v>4</v>
      </c>
      <c r="D643" s="3">
        <v>660</v>
      </c>
      <c r="E643" s="3">
        <v>85</v>
      </c>
      <c r="F643" s="3" t="str">
        <f t="shared" si="9"/>
        <v>FGU92012466085</v>
      </c>
      <c r="G643" t="str">
        <f>IF(ISNA(VLOOKUP($F643,'Raw Data'!$A:$M,7,0)),"",VLOOKUP($F643,'Raw Data'!$A:$M,7,0))</f>
        <v/>
      </c>
      <c r="H643" t="str">
        <f>IF(ISNA(VLOOKUP($F643,'Raw Data'!$A:$M,8,0)),"",VLOOKUP($F643,'Raw Data'!$A:$M,8,0))</f>
        <v/>
      </c>
      <c r="I643" t="str">
        <f>IF(ISNA(VLOOKUP($F643,'Raw Data'!$A:$M,9,0)),"",VLOOKUP($F643,'Raw Data'!$A:$M,9,0))</f>
        <v/>
      </c>
      <c r="J643" t="str">
        <f>IF(ISNA(VLOOKUP($F643,'Raw Data'!$A:$M,10,0)),"",VLOOKUP($F643,'Raw Data'!$A:$M,10,0))</f>
        <v/>
      </c>
      <c r="K643" t="str">
        <f>IF(ISNA(VLOOKUP($F643,'Raw Data'!$A:$M,11,0)),"",VLOOKUP($F643,'Raw Data'!$A:$M,11,0))</f>
        <v/>
      </c>
      <c r="L643" t="str">
        <f>IF(ISNA(VLOOKUP($F643,'Raw Data'!$A:$M,12,0)),"",VLOOKUP($F643,'Raw Data'!$A:$M,12,0))</f>
        <v/>
      </c>
      <c r="M643" t="str">
        <f>IF(ISNA(VLOOKUP($F643,'Raw Data'!$A:$M,13,0)),"",VLOOKUP($F643,'Raw Data'!$A:$M,13,0))</f>
        <v/>
      </c>
    </row>
    <row r="644" spans="1:13" x14ac:dyDescent="0.25">
      <c r="A644" t="s">
        <v>38</v>
      </c>
      <c r="B644">
        <v>2012</v>
      </c>
      <c r="C644">
        <v>4</v>
      </c>
      <c r="D644" s="3">
        <v>680</v>
      </c>
      <c r="E644" s="3">
        <v>85</v>
      </c>
      <c r="F644" s="3" t="str">
        <f t="shared" ref="F644:F707" si="10">A644&amp;B644&amp;C644&amp;D644&amp;E644</f>
        <v>FGU92012468085</v>
      </c>
      <c r="G644" t="str">
        <f>IF(ISNA(VLOOKUP($F644,'Raw Data'!$A:$M,7,0)),"",VLOOKUP($F644,'Raw Data'!$A:$M,7,0))</f>
        <v/>
      </c>
      <c r="H644" t="str">
        <f>IF(ISNA(VLOOKUP($F644,'Raw Data'!$A:$M,8,0)),"",VLOOKUP($F644,'Raw Data'!$A:$M,8,0))</f>
        <v/>
      </c>
      <c r="I644" t="str">
        <f>IF(ISNA(VLOOKUP($F644,'Raw Data'!$A:$M,9,0)),"",VLOOKUP($F644,'Raw Data'!$A:$M,9,0))</f>
        <v/>
      </c>
      <c r="J644" t="str">
        <f>IF(ISNA(VLOOKUP($F644,'Raw Data'!$A:$M,10,0)),"",VLOOKUP($F644,'Raw Data'!$A:$M,10,0))</f>
        <v/>
      </c>
      <c r="K644" t="str">
        <f>IF(ISNA(VLOOKUP($F644,'Raw Data'!$A:$M,11,0)),"",VLOOKUP($F644,'Raw Data'!$A:$M,11,0))</f>
        <v/>
      </c>
      <c r="L644" t="str">
        <f>IF(ISNA(VLOOKUP($F644,'Raw Data'!$A:$M,12,0)),"",VLOOKUP($F644,'Raw Data'!$A:$M,12,0))</f>
        <v/>
      </c>
      <c r="M644" t="str">
        <f>IF(ISNA(VLOOKUP($F644,'Raw Data'!$A:$M,13,0)),"",VLOOKUP($F644,'Raw Data'!$A:$M,13,0))</f>
        <v/>
      </c>
    </row>
    <row r="645" spans="1:13" x14ac:dyDescent="0.25">
      <c r="A645" t="s">
        <v>38</v>
      </c>
      <c r="B645">
        <v>2012</v>
      </c>
      <c r="C645">
        <v>4</v>
      </c>
      <c r="D645" s="3">
        <v>700</v>
      </c>
      <c r="E645" s="3">
        <v>85</v>
      </c>
      <c r="F645" s="3" t="str">
        <f t="shared" si="10"/>
        <v>FGU92012470085</v>
      </c>
      <c r="G645" t="str">
        <f>IF(ISNA(VLOOKUP($F645,'Raw Data'!$A:$M,7,0)),"",VLOOKUP($F645,'Raw Data'!$A:$M,7,0))</f>
        <v/>
      </c>
      <c r="H645" t="str">
        <f>IF(ISNA(VLOOKUP($F645,'Raw Data'!$A:$M,8,0)),"",VLOOKUP($F645,'Raw Data'!$A:$M,8,0))</f>
        <v/>
      </c>
      <c r="I645" t="str">
        <f>IF(ISNA(VLOOKUP($F645,'Raw Data'!$A:$M,9,0)),"",VLOOKUP($F645,'Raw Data'!$A:$M,9,0))</f>
        <v/>
      </c>
      <c r="J645" t="str">
        <f>IF(ISNA(VLOOKUP($F645,'Raw Data'!$A:$M,10,0)),"",VLOOKUP($F645,'Raw Data'!$A:$M,10,0))</f>
        <v/>
      </c>
      <c r="K645" t="str">
        <f>IF(ISNA(VLOOKUP($F645,'Raw Data'!$A:$M,11,0)),"",VLOOKUP($F645,'Raw Data'!$A:$M,11,0))</f>
        <v/>
      </c>
      <c r="L645" t="str">
        <f>IF(ISNA(VLOOKUP($F645,'Raw Data'!$A:$M,12,0)),"",VLOOKUP($F645,'Raw Data'!$A:$M,12,0))</f>
        <v/>
      </c>
      <c r="M645" t="str">
        <f>IF(ISNA(VLOOKUP($F645,'Raw Data'!$A:$M,13,0)),"",VLOOKUP($F645,'Raw Data'!$A:$M,13,0))</f>
        <v/>
      </c>
    </row>
    <row r="646" spans="1:13" x14ac:dyDescent="0.25">
      <c r="A646" t="s">
        <v>38</v>
      </c>
      <c r="B646">
        <v>2012</v>
      </c>
      <c r="C646">
        <v>4</v>
      </c>
      <c r="D646" s="3">
        <v>720</v>
      </c>
      <c r="E646" s="3">
        <v>85</v>
      </c>
      <c r="F646" s="3" t="str">
        <f t="shared" si="10"/>
        <v>FGU92012472085</v>
      </c>
      <c r="G646" t="str">
        <f>IF(ISNA(VLOOKUP($F646,'Raw Data'!$A:$M,7,0)),"",VLOOKUP($F646,'Raw Data'!$A:$M,7,0))</f>
        <v/>
      </c>
      <c r="H646" t="str">
        <f>IF(ISNA(VLOOKUP($F646,'Raw Data'!$A:$M,8,0)),"",VLOOKUP($F646,'Raw Data'!$A:$M,8,0))</f>
        <v/>
      </c>
      <c r="I646" t="str">
        <f>IF(ISNA(VLOOKUP($F646,'Raw Data'!$A:$M,9,0)),"",VLOOKUP($F646,'Raw Data'!$A:$M,9,0))</f>
        <v/>
      </c>
      <c r="J646" t="str">
        <f>IF(ISNA(VLOOKUP($F646,'Raw Data'!$A:$M,10,0)),"",VLOOKUP($F646,'Raw Data'!$A:$M,10,0))</f>
        <v/>
      </c>
      <c r="K646" t="str">
        <f>IF(ISNA(VLOOKUP($F646,'Raw Data'!$A:$M,11,0)),"",VLOOKUP($F646,'Raw Data'!$A:$M,11,0))</f>
        <v/>
      </c>
      <c r="L646" t="str">
        <f>IF(ISNA(VLOOKUP($F646,'Raw Data'!$A:$M,12,0)),"",VLOOKUP($F646,'Raw Data'!$A:$M,12,0))</f>
        <v/>
      </c>
      <c r="M646" t="str">
        <f>IF(ISNA(VLOOKUP($F646,'Raw Data'!$A:$M,13,0)),"",VLOOKUP($F646,'Raw Data'!$A:$M,13,0))</f>
        <v/>
      </c>
    </row>
    <row r="647" spans="1:13" x14ac:dyDescent="0.25">
      <c r="A647" t="s">
        <v>38</v>
      </c>
      <c r="B647">
        <v>2012</v>
      </c>
      <c r="C647">
        <v>4</v>
      </c>
      <c r="D647" s="3">
        <v>740</v>
      </c>
      <c r="E647" s="3">
        <v>85</v>
      </c>
      <c r="F647" s="3" t="str">
        <f t="shared" si="10"/>
        <v>FGU92012474085</v>
      </c>
      <c r="G647" t="str">
        <f>IF(ISNA(VLOOKUP($F647,'Raw Data'!$A:$M,7,0)),"",VLOOKUP($F647,'Raw Data'!$A:$M,7,0))</f>
        <v/>
      </c>
      <c r="H647" t="str">
        <f>IF(ISNA(VLOOKUP($F647,'Raw Data'!$A:$M,8,0)),"",VLOOKUP($F647,'Raw Data'!$A:$M,8,0))</f>
        <v/>
      </c>
      <c r="I647" t="str">
        <f>IF(ISNA(VLOOKUP($F647,'Raw Data'!$A:$M,9,0)),"",VLOOKUP($F647,'Raw Data'!$A:$M,9,0))</f>
        <v/>
      </c>
      <c r="J647" t="str">
        <f>IF(ISNA(VLOOKUP($F647,'Raw Data'!$A:$M,10,0)),"",VLOOKUP($F647,'Raw Data'!$A:$M,10,0))</f>
        <v/>
      </c>
      <c r="K647" t="str">
        <f>IF(ISNA(VLOOKUP($F647,'Raw Data'!$A:$M,11,0)),"",VLOOKUP($F647,'Raw Data'!$A:$M,11,0))</f>
        <v/>
      </c>
      <c r="L647" t="str">
        <f>IF(ISNA(VLOOKUP($F647,'Raw Data'!$A:$M,12,0)),"",VLOOKUP($F647,'Raw Data'!$A:$M,12,0))</f>
        <v/>
      </c>
      <c r="M647" t="str">
        <f>IF(ISNA(VLOOKUP($F647,'Raw Data'!$A:$M,13,0)),"",VLOOKUP($F647,'Raw Data'!$A:$M,13,0))</f>
        <v/>
      </c>
    </row>
    <row r="648" spans="1:13" x14ac:dyDescent="0.25">
      <c r="A648" t="s">
        <v>38</v>
      </c>
      <c r="B648">
        <v>2012</v>
      </c>
      <c r="C648">
        <v>4</v>
      </c>
      <c r="D648" s="3">
        <v>760</v>
      </c>
      <c r="E648" s="3">
        <v>85</v>
      </c>
      <c r="F648" s="3" t="str">
        <f t="shared" si="10"/>
        <v>FGU92012476085</v>
      </c>
      <c r="G648" t="str">
        <f>IF(ISNA(VLOOKUP($F648,'Raw Data'!$A:$M,7,0)),"",VLOOKUP($F648,'Raw Data'!$A:$M,7,0))</f>
        <v/>
      </c>
      <c r="H648" t="str">
        <f>IF(ISNA(VLOOKUP($F648,'Raw Data'!$A:$M,8,0)),"",VLOOKUP($F648,'Raw Data'!$A:$M,8,0))</f>
        <v/>
      </c>
      <c r="I648" t="str">
        <f>IF(ISNA(VLOOKUP($F648,'Raw Data'!$A:$M,9,0)),"",VLOOKUP($F648,'Raw Data'!$A:$M,9,0))</f>
        <v/>
      </c>
      <c r="J648" t="str">
        <f>IF(ISNA(VLOOKUP($F648,'Raw Data'!$A:$M,10,0)),"",VLOOKUP($F648,'Raw Data'!$A:$M,10,0))</f>
        <v/>
      </c>
      <c r="K648" t="str">
        <f>IF(ISNA(VLOOKUP($F648,'Raw Data'!$A:$M,11,0)),"",VLOOKUP($F648,'Raw Data'!$A:$M,11,0))</f>
        <v/>
      </c>
      <c r="L648" t="str">
        <f>IF(ISNA(VLOOKUP($F648,'Raw Data'!$A:$M,12,0)),"",VLOOKUP($F648,'Raw Data'!$A:$M,12,0))</f>
        <v/>
      </c>
      <c r="M648" t="str">
        <f>IF(ISNA(VLOOKUP($F648,'Raw Data'!$A:$M,13,0)),"",VLOOKUP($F648,'Raw Data'!$A:$M,13,0))</f>
        <v/>
      </c>
    </row>
    <row r="649" spans="1:13" x14ac:dyDescent="0.25">
      <c r="A649" t="s">
        <v>38</v>
      </c>
      <c r="B649">
        <v>2012</v>
      </c>
      <c r="C649">
        <v>4</v>
      </c>
      <c r="D649" s="3">
        <v>780</v>
      </c>
      <c r="E649" s="3">
        <v>85</v>
      </c>
      <c r="F649" s="3" t="str">
        <f t="shared" si="10"/>
        <v>FGU92012478085</v>
      </c>
      <c r="G649" t="str">
        <f>IF(ISNA(VLOOKUP($F649,'Raw Data'!$A:$M,7,0)),"",VLOOKUP($F649,'Raw Data'!$A:$M,7,0))</f>
        <v/>
      </c>
      <c r="H649" t="str">
        <f>IF(ISNA(VLOOKUP($F649,'Raw Data'!$A:$M,8,0)),"",VLOOKUP($F649,'Raw Data'!$A:$M,8,0))</f>
        <v/>
      </c>
      <c r="I649" t="str">
        <f>IF(ISNA(VLOOKUP($F649,'Raw Data'!$A:$M,9,0)),"",VLOOKUP($F649,'Raw Data'!$A:$M,9,0))</f>
        <v/>
      </c>
      <c r="J649" t="str">
        <f>IF(ISNA(VLOOKUP($F649,'Raw Data'!$A:$M,10,0)),"",VLOOKUP($F649,'Raw Data'!$A:$M,10,0))</f>
        <v/>
      </c>
      <c r="K649" t="str">
        <f>IF(ISNA(VLOOKUP($F649,'Raw Data'!$A:$M,11,0)),"",VLOOKUP($F649,'Raw Data'!$A:$M,11,0))</f>
        <v/>
      </c>
      <c r="L649" t="str">
        <f>IF(ISNA(VLOOKUP($F649,'Raw Data'!$A:$M,12,0)),"",VLOOKUP($F649,'Raw Data'!$A:$M,12,0))</f>
        <v/>
      </c>
      <c r="M649" t="str">
        <f>IF(ISNA(VLOOKUP($F649,'Raw Data'!$A:$M,13,0)),"",VLOOKUP($F649,'Raw Data'!$A:$M,13,0))</f>
        <v/>
      </c>
    </row>
    <row r="650" spans="1:13" x14ac:dyDescent="0.25">
      <c r="A650" t="s">
        <v>38</v>
      </c>
      <c r="B650">
        <v>2012</v>
      </c>
      <c r="C650">
        <v>4</v>
      </c>
      <c r="D650" s="3">
        <v>620</v>
      </c>
      <c r="E650" s="3">
        <v>90</v>
      </c>
      <c r="F650" s="3" t="str">
        <f t="shared" si="10"/>
        <v>FGU92012462090</v>
      </c>
      <c r="G650" t="str">
        <f>IF(ISNA(VLOOKUP($F650,'Raw Data'!$A:$M,7,0)),"",VLOOKUP($F650,'Raw Data'!$A:$M,7,0))</f>
        <v/>
      </c>
      <c r="H650" t="str">
        <f>IF(ISNA(VLOOKUP($F650,'Raw Data'!$A:$M,8,0)),"",VLOOKUP($F650,'Raw Data'!$A:$M,8,0))</f>
        <v/>
      </c>
      <c r="I650" t="str">
        <f>IF(ISNA(VLOOKUP($F650,'Raw Data'!$A:$M,9,0)),"",VLOOKUP($F650,'Raw Data'!$A:$M,9,0))</f>
        <v/>
      </c>
      <c r="J650" t="str">
        <f>IF(ISNA(VLOOKUP($F650,'Raw Data'!$A:$M,10,0)),"",VLOOKUP($F650,'Raw Data'!$A:$M,10,0))</f>
        <v/>
      </c>
      <c r="K650" t="str">
        <f>IF(ISNA(VLOOKUP($F650,'Raw Data'!$A:$M,11,0)),"",VLOOKUP($F650,'Raw Data'!$A:$M,11,0))</f>
        <v/>
      </c>
      <c r="L650" t="str">
        <f>IF(ISNA(VLOOKUP($F650,'Raw Data'!$A:$M,12,0)),"",VLOOKUP($F650,'Raw Data'!$A:$M,12,0))</f>
        <v/>
      </c>
      <c r="M650" t="str">
        <f>IF(ISNA(VLOOKUP($F650,'Raw Data'!$A:$M,13,0)),"",VLOOKUP($F650,'Raw Data'!$A:$M,13,0))</f>
        <v/>
      </c>
    </row>
    <row r="651" spans="1:13" x14ac:dyDescent="0.25">
      <c r="A651" t="s">
        <v>38</v>
      </c>
      <c r="B651">
        <v>2012</v>
      </c>
      <c r="C651">
        <v>4</v>
      </c>
      <c r="D651" s="3">
        <v>640</v>
      </c>
      <c r="E651" s="3">
        <v>90</v>
      </c>
      <c r="F651" s="3" t="str">
        <f t="shared" si="10"/>
        <v>FGU92012464090</v>
      </c>
      <c r="G651" t="str">
        <f>IF(ISNA(VLOOKUP($F651,'Raw Data'!$A:$M,7,0)),"",VLOOKUP($F651,'Raw Data'!$A:$M,7,0))</f>
        <v/>
      </c>
      <c r="H651" t="str">
        <f>IF(ISNA(VLOOKUP($F651,'Raw Data'!$A:$M,8,0)),"",VLOOKUP($F651,'Raw Data'!$A:$M,8,0))</f>
        <v/>
      </c>
      <c r="I651" t="str">
        <f>IF(ISNA(VLOOKUP($F651,'Raw Data'!$A:$M,9,0)),"",VLOOKUP($F651,'Raw Data'!$A:$M,9,0))</f>
        <v/>
      </c>
      <c r="J651" t="str">
        <f>IF(ISNA(VLOOKUP($F651,'Raw Data'!$A:$M,10,0)),"",VLOOKUP($F651,'Raw Data'!$A:$M,10,0))</f>
        <v/>
      </c>
      <c r="K651" t="str">
        <f>IF(ISNA(VLOOKUP($F651,'Raw Data'!$A:$M,11,0)),"",VLOOKUP($F651,'Raw Data'!$A:$M,11,0))</f>
        <v/>
      </c>
      <c r="L651" t="str">
        <f>IF(ISNA(VLOOKUP($F651,'Raw Data'!$A:$M,12,0)),"",VLOOKUP($F651,'Raw Data'!$A:$M,12,0))</f>
        <v/>
      </c>
      <c r="M651" t="str">
        <f>IF(ISNA(VLOOKUP($F651,'Raw Data'!$A:$M,13,0)),"",VLOOKUP($F651,'Raw Data'!$A:$M,13,0))</f>
        <v/>
      </c>
    </row>
    <row r="652" spans="1:13" x14ac:dyDescent="0.25">
      <c r="A652" t="s">
        <v>38</v>
      </c>
      <c r="B652">
        <v>2012</v>
      </c>
      <c r="C652">
        <v>4</v>
      </c>
      <c r="D652" s="3">
        <v>660</v>
      </c>
      <c r="E652" s="3">
        <v>90</v>
      </c>
      <c r="F652" s="3" t="str">
        <f t="shared" si="10"/>
        <v>FGU92012466090</v>
      </c>
      <c r="G652" t="str">
        <f>IF(ISNA(VLOOKUP($F652,'Raw Data'!$A:$M,7,0)),"",VLOOKUP($F652,'Raw Data'!$A:$M,7,0))</f>
        <v/>
      </c>
      <c r="H652" t="str">
        <f>IF(ISNA(VLOOKUP($F652,'Raw Data'!$A:$M,8,0)),"",VLOOKUP($F652,'Raw Data'!$A:$M,8,0))</f>
        <v/>
      </c>
      <c r="I652" t="str">
        <f>IF(ISNA(VLOOKUP($F652,'Raw Data'!$A:$M,9,0)),"",VLOOKUP($F652,'Raw Data'!$A:$M,9,0))</f>
        <v/>
      </c>
      <c r="J652" t="str">
        <f>IF(ISNA(VLOOKUP($F652,'Raw Data'!$A:$M,10,0)),"",VLOOKUP($F652,'Raw Data'!$A:$M,10,0))</f>
        <v/>
      </c>
      <c r="K652" t="str">
        <f>IF(ISNA(VLOOKUP($F652,'Raw Data'!$A:$M,11,0)),"",VLOOKUP($F652,'Raw Data'!$A:$M,11,0))</f>
        <v/>
      </c>
      <c r="L652" t="str">
        <f>IF(ISNA(VLOOKUP($F652,'Raw Data'!$A:$M,12,0)),"",VLOOKUP($F652,'Raw Data'!$A:$M,12,0))</f>
        <v/>
      </c>
      <c r="M652" t="str">
        <f>IF(ISNA(VLOOKUP($F652,'Raw Data'!$A:$M,13,0)),"",VLOOKUP($F652,'Raw Data'!$A:$M,13,0))</f>
        <v/>
      </c>
    </row>
    <row r="653" spans="1:13" x14ac:dyDescent="0.25">
      <c r="A653" t="s">
        <v>38</v>
      </c>
      <c r="B653">
        <v>2012</v>
      </c>
      <c r="C653">
        <v>4</v>
      </c>
      <c r="D653" s="3">
        <v>680</v>
      </c>
      <c r="E653" s="3">
        <v>90</v>
      </c>
      <c r="F653" s="3" t="str">
        <f t="shared" si="10"/>
        <v>FGU92012468090</v>
      </c>
      <c r="G653" t="str">
        <f>IF(ISNA(VLOOKUP($F653,'Raw Data'!$A:$M,7,0)),"",VLOOKUP($F653,'Raw Data'!$A:$M,7,0))</f>
        <v/>
      </c>
      <c r="H653" t="str">
        <f>IF(ISNA(VLOOKUP($F653,'Raw Data'!$A:$M,8,0)),"",VLOOKUP($F653,'Raw Data'!$A:$M,8,0))</f>
        <v/>
      </c>
      <c r="I653" t="str">
        <f>IF(ISNA(VLOOKUP($F653,'Raw Data'!$A:$M,9,0)),"",VLOOKUP($F653,'Raw Data'!$A:$M,9,0))</f>
        <v/>
      </c>
      <c r="J653" t="str">
        <f>IF(ISNA(VLOOKUP($F653,'Raw Data'!$A:$M,10,0)),"",VLOOKUP($F653,'Raw Data'!$A:$M,10,0))</f>
        <v/>
      </c>
      <c r="K653" t="str">
        <f>IF(ISNA(VLOOKUP($F653,'Raw Data'!$A:$M,11,0)),"",VLOOKUP($F653,'Raw Data'!$A:$M,11,0))</f>
        <v/>
      </c>
      <c r="L653" t="str">
        <f>IF(ISNA(VLOOKUP($F653,'Raw Data'!$A:$M,12,0)),"",VLOOKUP($F653,'Raw Data'!$A:$M,12,0))</f>
        <v/>
      </c>
      <c r="M653" t="str">
        <f>IF(ISNA(VLOOKUP($F653,'Raw Data'!$A:$M,13,0)),"",VLOOKUP($F653,'Raw Data'!$A:$M,13,0))</f>
        <v/>
      </c>
    </row>
    <row r="654" spans="1:13" x14ac:dyDescent="0.25">
      <c r="A654" t="s">
        <v>38</v>
      </c>
      <c r="B654">
        <v>2012</v>
      </c>
      <c r="C654">
        <v>4</v>
      </c>
      <c r="D654" s="3">
        <v>700</v>
      </c>
      <c r="E654" s="3">
        <v>90</v>
      </c>
      <c r="F654" s="3" t="str">
        <f t="shared" si="10"/>
        <v>FGU92012470090</v>
      </c>
      <c r="G654" t="str">
        <f>IF(ISNA(VLOOKUP($F654,'Raw Data'!$A:$M,7,0)),"",VLOOKUP($F654,'Raw Data'!$A:$M,7,0))</f>
        <v/>
      </c>
      <c r="H654" t="str">
        <f>IF(ISNA(VLOOKUP($F654,'Raw Data'!$A:$M,8,0)),"",VLOOKUP($F654,'Raw Data'!$A:$M,8,0))</f>
        <v/>
      </c>
      <c r="I654" t="str">
        <f>IF(ISNA(VLOOKUP($F654,'Raw Data'!$A:$M,9,0)),"",VLOOKUP($F654,'Raw Data'!$A:$M,9,0))</f>
        <v/>
      </c>
      <c r="J654" t="str">
        <f>IF(ISNA(VLOOKUP($F654,'Raw Data'!$A:$M,10,0)),"",VLOOKUP($F654,'Raw Data'!$A:$M,10,0))</f>
        <v/>
      </c>
      <c r="K654" t="str">
        <f>IF(ISNA(VLOOKUP($F654,'Raw Data'!$A:$M,11,0)),"",VLOOKUP($F654,'Raw Data'!$A:$M,11,0))</f>
        <v/>
      </c>
      <c r="L654" t="str">
        <f>IF(ISNA(VLOOKUP($F654,'Raw Data'!$A:$M,12,0)),"",VLOOKUP($F654,'Raw Data'!$A:$M,12,0))</f>
        <v/>
      </c>
      <c r="M654" t="str">
        <f>IF(ISNA(VLOOKUP($F654,'Raw Data'!$A:$M,13,0)),"",VLOOKUP($F654,'Raw Data'!$A:$M,13,0))</f>
        <v/>
      </c>
    </row>
    <row r="655" spans="1:13" x14ac:dyDescent="0.25">
      <c r="A655" t="s">
        <v>38</v>
      </c>
      <c r="B655">
        <v>2012</v>
      </c>
      <c r="C655">
        <v>4</v>
      </c>
      <c r="D655" s="3">
        <v>720</v>
      </c>
      <c r="E655" s="3">
        <v>90</v>
      </c>
      <c r="F655" s="3" t="str">
        <f t="shared" si="10"/>
        <v>FGU92012472090</v>
      </c>
      <c r="G655" t="str">
        <f>IF(ISNA(VLOOKUP($F655,'Raw Data'!$A:$M,7,0)),"",VLOOKUP($F655,'Raw Data'!$A:$M,7,0))</f>
        <v/>
      </c>
      <c r="H655" t="str">
        <f>IF(ISNA(VLOOKUP($F655,'Raw Data'!$A:$M,8,0)),"",VLOOKUP($F655,'Raw Data'!$A:$M,8,0))</f>
        <v/>
      </c>
      <c r="I655" t="str">
        <f>IF(ISNA(VLOOKUP($F655,'Raw Data'!$A:$M,9,0)),"",VLOOKUP($F655,'Raw Data'!$A:$M,9,0))</f>
        <v/>
      </c>
      <c r="J655" t="str">
        <f>IF(ISNA(VLOOKUP($F655,'Raw Data'!$A:$M,10,0)),"",VLOOKUP($F655,'Raw Data'!$A:$M,10,0))</f>
        <v/>
      </c>
      <c r="K655" t="str">
        <f>IF(ISNA(VLOOKUP($F655,'Raw Data'!$A:$M,11,0)),"",VLOOKUP($F655,'Raw Data'!$A:$M,11,0))</f>
        <v/>
      </c>
      <c r="L655" t="str">
        <f>IF(ISNA(VLOOKUP($F655,'Raw Data'!$A:$M,12,0)),"",VLOOKUP($F655,'Raw Data'!$A:$M,12,0))</f>
        <v/>
      </c>
      <c r="M655" t="str">
        <f>IF(ISNA(VLOOKUP($F655,'Raw Data'!$A:$M,13,0)),"",VLOOKUP($F655,'Raw Data'!$A:$M,13,0))</f>
        <v/>
      </c>
    </row>
    <row r="656" spans="1:13" x14ac:dyDescent="0.25">
      <c r="A656" t="s">
        <v>38</v>
      </c>
      <c r="B656">
        <v>2012</v>
      </c>
      <c r="C656">
        <v>4</v>
      </c>
      <c r="D656" s="3">
        <v>740</v>
      </c>
      <c r="E656" s="3">
        <v>90</v>
      </c>
      <c r="F656" s="3" t="str">
        <f t="shared" si="10"/>
        <v>FGU92012474090</v>
      </c>
      <c r="G656" t="str">
        <f>IF(ISNA(VLOOKUP($F656,'Raw Data'!$A:$M,7,0)),"",VLOOKUP($F656,'Raw Data'!$A:$M,7,0))</f>
        <v/>
      </c>
      <c r="H656" t="str">
        <f>IF(ISNA(VLOOKUP($F656,'Raw Data'!$A:$M,8,0)),"",VLOOKUP($F656,'Raw Data'!$A:$M,8,0))</f>
        <v/>
      </c>
      <c r="I656" t="str">
        <f>IF(ISNA(VLOOKUP($F656,'Raw Data'!$A:$M,9,0)),"",VLOOKUP($F656,'Raw Data'!$A:$M,9,0))</f>
        <v/>
      </c>
      <c r="J656" t="str">
        <f>IF(ISNA(VLOOKUP($F656,'Raw Data'!$A:$M,10,0)),"",VLOOKUP($F656,'Raw Data'!$A:$M,10,0))</f>
        <v/>
      </c>
      <c r="K656" t="str">
        <f>IF(ISNA(VLOOKUP($F656,'Raw Data'!$A:$M,11,0)),"",VLOOKUP($F656,'Raw Data'!$A:$M,11,0))</f>
        <v/>
      </c>
      <c r="L656" t="str">
        <f>IF(ISNA(VLOOKUP($F656,'Raw Data'!$A:$M,12,0)),"",VLOOKUP($F656,'Raw Data'!$A:$M,12,0))</f>
        <v/>
      </c>
      <c r="M656" t="str">
        <f>IF(ISNA(VLOOKUP($F656,'Raw Data'!$A:$M,13,0)),"",VLOOKUP($F656,'Raw Data'!$A:$M,13,0))</f>
        <v/>
      </c>
    </row>
    <row r="657" spans="1:13" x14ac:dyDescent="0.25">
      <c r="A657" t="s">
        <v>38</v>
      </c>
      <c r="B657">
        <v>2012</v>
      </c>
      <c r="C657">
        <v>4</v>
      </c>
      <c r="D657" s="3">
        <v>760</v>
      </c>
      <c r="E657" s="3">
        <v>90</v>
      </c>
      <c r="F657" s="3" t="str">
        <f t="shared" si="10"/>
        <v>FGU92012476090</v>
      </c>
      <c r="G657" t="str">
        <f>IF(ISNA(VLOOKUP($F657,'Raw Data'!$A:$M,7,0)),"",VLOOKUP($F657,'Raw Data'!$A:$M,7,0))</f>
        <v/>
      </c>
      <c r="H657" t="str">
        <f>IF(ISNA(VLOOKUP($F657,'Raw Data'!$A:$M,8,0)),"",VLOOKUP($F657,'Raw Data'!$A:$M,8,0))</f>
        <v/>
      </c>
      <c r="I657" t="str">
        <f>IF(ISNA(VLOOKUP($F657,'Raw Data'!$A:$M,9,0)),"",VLOOKUP($F657,'Raw Data'!$A:$M,9,0))</f>
        <v/>
      </c>
      <c r="J657" t="str">
        <f>IF(ISNA(VLOOKUP($F657,'Raw Data'!$A:$M,10,0)),"",VLOOKUP($F657,'Raw Data'!$A:$M,10,0))</f>
        <v/>
      </c>
      <c r="K657" t="str">
        <f>IF(ISNA(VLOOKUP($F657,'Raw Data'!$A:$M,11,0)),"",VLOOKUP($F657,'Raw Data'!$A:$M,11,0))</f>
        <v/>
      </c>
      <c r="L657" t="str">
        <f>IF(ISNA(VLOOKUP($F657,'Raw Data'!$A:$M,12,0)),"",VLOOKUP($F657,'Raw Data'!$A:$M,12,0))</f>
        <v/>
      </c>
      <c r="M657" t="str">
        <f>IF(ISNA(VLOOKUP($F657,'Raw Data'!$A:$M,13,0)),"",VLOOKUP($F657,'Raw Data'!$A:$M,13,0))</f>
        <v/>
      </c>
    </row>
    <row r="658" spans="1:13" x14ac:dyDescent="0.25">
      <c r="A658" t="s">
        <v>38</v>
      </c>
      <c r="B658">
        <v>2012</v>
      </c>
      <c r="C658">
        <v>4</v>
      </c>
      <c r="D658" s="3">
        <v>780</v>
      </c>
      <c r="E658" s="3">
        <v>90</v>
      </c>
      <c r="F658" s="3" t="str">
        <f t="shared" si="10"/>
        <v>FGU92012478090</v>
      </c>
      <c r="G658" t="str">
        <f>IF(ISNA(VLOOKUP($F658,'Raw Data'!$A:$M,7,0)),"",VLOOKUP($F658,'Raw Data'!$A:$M,7,0))</f>
        <v/>
      </c>
      <c r="H658" t="str">
        <f>IF(ISNA(VLOOKUP($F658,'Raw Data'!$A:$M,8,0)),"",VLOOKUP($F658,'Raw Data'!$A:$M,8,0))</f>
        <v/>
      </c>
      <c r="I658" t="str">
        <f>IF(ISNA(VLOOKUP($F658,'Raw Data'!$A:$M,9,0)),"",VLOOKUP($F658,'Raw Data'!$A:$M,9,0))</f>
        <v/>
      </c>
      <c r="J658" t="str">
        <f>IF(ISNA(VLOOKUP($F658,'Raw Data'!$A:$M,10,0)),"",VLOOKUP($F658,'Raw Data'!$A:$M,10,0))</f>
        <v/>
      </c>
      <c r="K658" t="str">
        <f>IF(ISNA(VLOOKUP($F658,'Raw Data'!$A:$M,11,0)),"",VLOOKUP($F658,'Raw Data'!$A:$M,11,0))</f>
        <v/>
      </c>
      <c r="L658" t="str">
        <f>IF(ISNA(VLOOKUP($F658,'Raw Data'!$A:$M,12,0)),"",VLOOKUP($F658,'Raw Data'!$A:$M,12,0))</f>
        <v/>
      </c>
      <c r="M658" t="str">
        <f>IF(ISNA(VLOOKUP($F658,'Raw Data'!$A:$M,13,0)),"",VLOOKUP($F658,'Raw Data'!$A:$M,13,0))</f>
        <v/>
      </c>
    </row>
    <row r="659" spans="1:13" x14ac:dyDescent="0.25">
      <c r="A659" t="s">
        <v>38</v>
      </c>
      <c r="B659">
        <v>2012</v>
      </c>
      <c r="C659">
        <v>4</v>
      </c>
      <c r="D659" s="3">
        <v>620</v>
      </c>
      <c r="E659" s="3">
        <v>95</v>
      </c>
      <c r="F659" s="3" t="str">
        <f t="shared" si="10"/>
        <v>FGU92012462095</v>
      </c>
      <c r="G659" t="str">
        <f>IF(ISNA(VLOOKUP($F659,'Raw Data'!$A:$M,7,0)),"",VLOOKUP($F659,'Raw Data'!$A:$M,7,0))</f>
        <v/>
      </c>
      <c r="H659" t="str">
        <f>IF(ISNA(VLOOKUP($F659,'Raw Data'!$A:$M,8,0)),"",VLOOKUP($F659,'Raw Data'!$A:$M,8,0))</f>
        <v/>
      </c>
      <c r="I659" t="str">
        <f>IF(ISNA(VLOOKUP($F659,'Raw Data'!$A:$M,9,0)),"",VLOOKUP($F659,'Raw Data'!$A:$M,9,0))</f>
        <v/>
      </c>
      <c r="J659" t="str">
        <f>IF(ISNA(VLOOKUP($F659,'Raw Data'!$A:$M,10,0)),"",VLOOKUP($F659,'Raw Data'!$A:$M,10,0))</f>
        <v/>
      </c>
      <c r="K659" t="str">
        <f>IF(ISNA(VLOOKUP($F659,'Raw Data'!$A:$M,11,0)),"",VLOOKUP($F659,'Raw Data'!$A:$M,11,0))</f>
        <v/>
      </c>
      <c r="L659" t="str">
        <f>IF(ISNA(VLOOKUP($F659,'Raw Data'!$A:$M,12,0)),"",VLOOKUP($F659,'Raw Data'!$A:$M,12,0))</f>
        <v/>
      </c>
      <c r="M659" t="str">
        <f>IF(ISNA(VLOOKUP($F659,'Raw Data'!$A:$M,13,0)),"",VLOOKUP($F659,'Raw Data'!$A:$M,13,0))</f>
        <v/>
      </c>
    </row>
    <row r="660" spans="1:13" x14ac:dyDescent="0.25">
      <c r="A660" t="s">
        <v>38</v>
      </c>
      <c r="B660">
        <v>2012</v>
      </c>
      <c r="C660">
        <v>4</v>
      </c>
      <c r="D660" s="3">
        <v>640</v>
      </c>
      <c r="E660" s="3">
        <v>95</v>
      </c>
      <c r="F660" s="3" t="str">
        <f t="shared" si="10"/>
        <v>FGU92012464095</v>
      </c>
      <c r="G660" t="str">
        <f>IF(ISNA(VLOOKUP($F660,'Raw Data'!$A:$M,7,0)),"",VLOOKUP($F660,'Raw Data'!$A:$M,7,0))</f>
        <v/>
      </c>
      <c r="H660" t="str">
        <f>IF(ISNA(VLOOKUP($F660,'Raw Data'!$A:$M,8,0)),"",VLOOKUP($F660,'Raw Data'!$A:$M,8,0))</f>
        <v/>
      </c>
      <c r="I660" t="str">
        <f>IF(ISNA(VLOOKUP($F660,'Raw Data'!$A:$M,9,0)),"",VLOOKUP($F660,'Raw Data'!$A:$M,9,0))</f>
        <v/>
      </c>
      <c r="J660" t="str">
        <f>IF(ISNA(VLOOKUP($F660,'Raw Data'!$A:$M,10,0)),"",VLOOKUP($F660,'Raw Data'!$A:$M,10,0))</f>
        <v/>
      </c>
      <c r="K660" t="str">
        <f>IF(ISNA(VLOOKUP($F660,'Raw Data'!$A:$M,11,0)),"",VLOOKUP($F660,'Raw Data'!$A:$M,11,0))</f>
        <v/>
      </c>
      <c r="L660" t="str">
        <f>IF(ISNA(VLOOKUP($F660,'Raw Data'!$A:$M,12,0)),"",VLOOKUP($F660,'Raw Data'!$A:$M,12,0))</f>
        <v/>
      </c>
      <c r="M660" t="str">
        <f>IF(ISNA(VLOOKUP($F660,'Raw Data'!$A:$M,13,0)),"",VLOOKUP($F660,'Raw Data'!$A:$M,13,0))</f>
        <v/>
      </c>
    </row>
    <row r="661" spans="1:13" x14ac:dyDescent="0.25">
      <c r="A661" t="s">
        <v>38</v>
      </c>
      <c r="B661">
        <v>2012</v>
      </c>
      <c r="C661">
        <v>4</v>
      </c>
      <c r="D661" s="3">
        <v>660</v>
      </c>
      <c r="E661" s="3">
        <v>95</v>
      </c>
      <c r="F661" s="3" t="str">
        <f t="shared" si="10"/>
        <v>FGU92012466095</v>
      </c>
      <c r="G661" t="str">
        <f>IF(ISNA(VLOOKUP($F661,'Raw Data'!$A:$M,7,0)),"",VLOOKUP($F661,'Raw Data'!$A:$M,7,0))</f>
        <v/>
      </c>
      <c r="H661" t="str">
        <f>IF(ISNA(VLOOKUP($F661,'Raw Data'!$A:$M,8,0)),"",VLOOKUP($F661,'Raw Data'!$A:$M,8,0))</f>
        <v/>
      </c>
      <c r="I661" t="str">
        <f>IF(ISNA(VLOOKUP($F661,'Raw Data'!$A:$M,9,0)),"",VLOOKUP($F661,'Raw Data'!$A:$M,9,0))</f>
        <v/>
      </c>
      <c r="J661" t="str">
        <f>IF(ISNA(VLOOKUP($F661,'Raw Data'!$A:$M,10,0)),"",VLOOKUP($F661,'Raw Data'!$A:$M,10,0))</f>
        <v/>
      </c>
      <c r="K661" t="str">
        <f>IF(ISNA(VLOOKUP($F661,'Raw Data'!$A:$M,11,0)),"",VLOOKUP($F661,'Raw Data'!$A:$M,11,0))</f>
        <v/>
      </c>
      <c r="L661" t="str">
        <f>IF(ISNA(VLOOKUP($F661,'Raw Data'!$A:$M,12,0)),"",VLOOKUP($F661,'Raw Data'!$A:$M,12,0))</f>
        <v/>
      </c>
      <c r="M661" t="str">
        <f>IF(ISNA(VLOOKUP($F661,'Raw Data'!$A:$M,13,0)),"",VLOOKUP($F661,'Raw Data'!$A:$M,13,0))</f>
        <v/>
      </c>
    </row>
    <row r="662" spans="1:13" x14ac:dyDescent="0.25">
      <c r="A662" t="s">
        <v>38</v>
      </c>
      <c r="B662">
        <v>2012</v>
      </c>
      <c r="C662">
        <v>4</v>
      </c>
      <c r="D662" s="3">
        <v>680</v>
      </c>
      <c r="E662" s="3">
        <v>95</v>
      </c>
      <c r="F662" s="3" t="str">
        <f t="shared" si="10"/>
        <v>FGU92012468095</v>
      </c>
      <c r="G662" t="str">
        <f>IF(ISNA(VLOOKUP($F662,'Raw Data'!$A:$M,7,0)),"",VLOOKUP($F662,'Raw Data'!$A:$M,7,0))</f>
        <v/>
      </c>
      <c r="H662" t="str">
        <f>IF(ISNA(VLOOKUP($F662,'Raw Data'!$A:$M,8,0)),"",VLOOKUP($F662,'Raw Data'!$A:$M,8,0))</f>
        <v/>
      </c>
      <c r="I662" t="str">
        <f>IF(ISNA(VLOOKUP($F662,'Raw Data'!$A:$M,9,0)),"",VLOOKUP($F662,'Raw Data'!$A:$M,9,0))</f>
        <v/>
      </c>
      <c r="J662" t="str">
        <f>IF(ISNA(VLOOKUP($F662,'Raw Data'!$A:$M,10,0)),"",VLOOKUP($F662,'Raw Data'!$A:$M,10,0))</f>
        <v/>
      </c>
      <c r="K662" t="str">
        <f>IF(ISNA(VLOOKUP($F662,'Raw Data'!$A:$M,11,0)),"",VLOOKUP($F662,'Raw Data'!$A:$M,11,0))</f>
        <v/>
      </c>
      <c r="L662" t="str">
        <f>IF(ISNA(VLOOKUP($F662,'Raw Data'!$A:$M,12,0)),"",VLOOKUP($F662,'Raw Data'!$A:$M,12,0))</f>
        <v/>
      </c>
      <c r="M662" t="str">
        <f>IF(ISNA(VLOOKUP($F662,'Raw Data'!$A:$M,13,0)),"",VLOOKUP($F662,'Raw Data'!$A:$M,13,0))</f>
        <v/>
      </c>
    </row>
    <row r="663" spans="1:13" x14ac:dyDescent="0.25">
      <c r="A663" t="s">
        <v>38</v>
      </c>
      <c r="B663">
        <v>2012</v>
      </c>
      <c r="C663">
        <v>4</v>
      </c>
      <c r="D663" s="3">
        <v>700</v>
      </c>
      <c r="E663" s="3">
        <v>95</v>
      </c>
      <c r="F663" s="3" t="str">
        <f t="shared" si="10"/>
        <v>FGU92012470095</v>
      </c>
      <c r="G663" t="str">
        <f>IF(ISNA(VLOOKUP($F663,'Raw Data'!$A:$M,7,0)),"",VLOOKUP($F663,'Raw Data'!$A:$M,7,0))</f>
        <v/>
      </c>
      <c r="H663" t="str">
        <f>IF(ISNA(VLOOKUP($F663,'Raw Data'!$A:$M,8,0)),"",VLOOKUP($F663,'Raw Data'!$A:$M,8,0))</f>
        <v/>
      </c>
      <c r="I663" t="str">
        <f>IF(ISNA(VLOOKUP($F663,'Raw Data'!$A:$M,9,0)),"",VLOOKUP($F663,'Raw Data'!$A:$M,9,0))</f>
        <v/>
      </c>
      <c r="J663" t="str">
        <f>IF(ISNA(VLOOKUP($F663,'Raw Data'!$A:$M,10,0)),"",VLOOKUP($F663,'Raw Data'!$A:$M,10,0))</f>
        <v/>
      </c>
      <c r="K663" t="str">
        <f>IF(ISNA(VLOOKUP($F663,'Raw Data'!$A:$M,11,0)),"",VLOOKUP($F663,'Raw Data'!$A:$M,11,0))</f>
        <v/>
      </c>
      <c r="L663" t="str">
        <f>IF(ISNA(VLOOKUP($F663,'Raw Data'!$A:$M,12,0)),"",VLOOKUP($F663,'Raw Data'!$A:$M,12,0))</f>
        <v/>
      </c>
      <c r="M663" t="str">
        <f>IF(ISNA(VLOOKUP($F663,'Raw Data'!$A:$M,13,0)),"",VLOOKUP($F663,'Raw Data'!$A:$M,13,0))</f>
        <v/>
      </c>
    </row>
    <row r="664" spans="1:13" x14ac:dyDescent="0.25">
      <c r="A664" t="s">
        <v>38</v>
      </c>
      <c r="B664">
        <v>2012</v>
      </c>
      <c r="C664">
        <v>4</v>
      </c>
      <c r="D664" s="3">
        <v>720</v>
      </c>
      <c r="E664" s="3">
        <v>95</v>
      </c>
      <c r="F664" s="3" t="str">
        <f t="shared" si="10"/>
        <v>FGU92012472095</v>
      </c>
      <c r="G664" t="str">
        <f>IF(ISNA(VLOOKUP($F664,'Raw Data'!$A:$M,7,0)),"",VLOOKUP($F664,'Raw Data'!$A:$M,7,0))</f>
        <v/>
      </c>
      <c r="H664" t="str">
        <f>IF(ISNA(VLOOKUP($F664,'Raw Data'!$A:$M,8,0)),"",VLOOKUP($F664,'Raw Data'!$A:$M,8,0))</f>
        <v/>
      </c>
      <c r="I664" t="str">
        <f>IF(ISNA(VLOOKUP($F664,'Raw Data'!$A:$M,9,0)),"",VLOOKUP($F664,'Raw Data'!$A:$M,9,0))</f>
        <v/>
      </c>
      <c r="J664" t="str">
        <f>IF(ISNA(VLOOKUP($F664,'Raw Data'!$A:$M,10,0)),"",VLOOKUP($F664,'Raw Data'!$A:$M,10,0))</f>
        <v/>
      </c>
      <c r="K664" t="str">
        <f>IF(ISNA(VLOOKUP($F664,'Raw Data'!$A:$M,11,0)),"",VLOOKUP($F664,'Raw Data'!$A:$M,11,0))</f>
        <v/>
      </c>
      <c r="L664" t="str">
        <f>IF(ISNA(VLOOKUP($F664,'Raw Data'!$A:$M,12,0)),"",VLOOKUP($F664,'Raw Data'!$A:$M,12,0))</f>
        <v/>
      </c>
      <c r="M664" t="str">
        <f>IF(ISNA(VLOOKUP($F664,'Raw Data'!$A:$M,13,0)),"",VLOOKUP($F664,'Raw Data'!$A:$M,13,0))</f>
        <v/>
      </c>
    </row>
    <row r="665" spans="1:13" x14ac:dyDescent="0.25">
      <c r="A665" t="s">
        <v>38</v>
      </c>
      <c r="B665">
        <v>2012</v>
      </c>
      <c r="C665">
        <v>4</v>
      </c>
      <c r="D665" s="3">
        <v>740</v>
      </c>
      <c r="E665" s="3">
        <v>95</v>
      </c>
      <c r="F665" s="3" t="str">
        <f t="shared" si="10"/>
        <v>FGU92012474095</v>
      </c>
      <c r="G665">
        <f>IF(ISNA(VLOOKUP($F665,'Raw Data'!$A:$M,7,0)),"",VLOOKUP($F665,'Raw Data'!$A:$M,7,0))</f>
        <v>859258.68</v>
      </c>
      <c r="H665">
        <f>IF(ISNA(VLOOKUP($F665,'Raw Data'!$A:$M,8,0)),"",VLOOKUP($F665,'Raw Data'!$A:$M,8,0))</f>
        <v>-12.8453</v>
      </c>
      <c r="I665">
        <f>IF(ISNA(VLOOKUP($F665,'Raw Data'!$A:$M,9,0)),"",VLOOKUP($F665,'Raw Data'!$A:$M,9,0))</f>
        <v>12.1495</v>
      </c>
      <c r="J665">
        <f>IF(ISNA(VLOOKUP($F665,'Raw Data'!$A:$M,10,0)),"",VLOOKUP($F665,'Raw Data'!$A:$M,10,0))</f>
        <v>24.994800000000001</v>
      </c>
      <c r="K665">
        <f>IF(ISNA(VLOOKUP($F665,'Raw Data'!$A:$M,11,0)),"",VLOOKUP($F665,'Raw Data'!$A:$M,11,0))</f>
        <v>13.2018</v>
      </c>
      <c r="L665">
        <f>IF(ISNA(VLOOKUP($F665,'Raw Data'!$A:$M,12,0)),"",VLOOKUP($F665,'Raw Data'!$A:$M,12,0))</f>
        <v>26.001200000000001</v>
      </c>
      <c r="M665">
        <f>IF(ISNA(VLOOKUP($F665,'Raw Data'!$A:$M,13,0)),"",VLOOKUP($F665,'Raw Data'!$A:$M,13,0))</f>
        <v>12.7994</v>
      </c>
    </row>
    <row r="666" spans="1:13" x14ac:dyDescent="0.25">
      <c r="A666" t="s">
        <v>38</v>
      </c>
      <c r="B666">
        <v>2012</v>
      </c>
      <c r="C666">
        <v>4</v>
      </c>
      <c r="D666" s="3">
        <v>760</v>
      </c>
      <c r="E666" s="3">
        <v>95</v>
      </c>
      <c r="F666" s="3" t="str">
        <f t="shared" si="10"/>
        <v>FGU92012476095</v>
      </c>
      <c r="G666">
        <f>IF(ISNA(VLOOKUP($F666,'Raw Data'!$A:$M,7,0)),"",VLOOKUP($F666,'Raw Data'!$A:$M,7,0))</f>
        <v>7712001.1900000004</v>
      </c>
      <c r="H666">
        <f>IF(ISNA(VLOOKUP($F666,'Raw Data'!$A:$M,8,0)),"",VLOOKUP($F666,'Raw Data'!$A:$M,8,0))</f>
        <v>-50.8203719255621</v>
      </c>
      <c r="I666">
        <f>IF(ISNA(VLOOKUP($F666,'Raw Data'!$A:$M,9,0)),"",VLOOKUP($F666,'Raw Data'!$A:$M,9,0))</f>
        <v>-25.820711310820698</v>
      </c>
      <c r="J666">
        <f>IF(ISNA(VLOOKUP($F666,'Raw Data'!$A:$M,10,0)),"",VLOOKUP($F666,'Raw Data'!$A:$M,10,0))</f>
        <v>24.999660614741401</v>
      </c>
      <c r="K666">
        <f>IF(ISNA(VLOOKUP($F666,'Raw Data'!$A:$M,11,0)),"",VLOOKUP($F666,'Raw Data'!$A:$M,11,0))</f>
        <v>-13.042820219665</v>
      </c>
      <c r="L666">
        <f>IF(ISNA(VLOOKUP($F666,'Raw Data'!$A:$M,12,0)),"",VLOOKUP($F666,'Raw Data'!$A:$M,12,0))</f>
        <v>-5.24341245528879</v>
      </c>
      <c r="M666">
        <f>IF(ISNA(VLOOKUP($F666,'Raw Data'!$A:$M,13,0)),"",VLOOKUP($F666,'Raw Data'!$A:$M,13,0))</f>
        <v>7.7994077643762596</v>
      </c>
    </row>
    <row r="667" spans="1:13" x14ac:dyDescent="0.25">
      <c r="A667" t="s">
        <v>38</v>
      </c>
      <c r="B667">
        <v>2012</v>
      </c>
      <c r="C667">
        <v>4</v>
      </c>
      <c r="D667" s="3">
        <v>780</v>
      </c>
      <c r="E667" s="3">
        <v>95</v>
      </c>
      <c r="F667" s="3" t="str">
        <f t="shared" si="10"/>
        <v>FGU92012478095</v>
      </c>
      <c r="G667">
        <f>IF(ISNA(VLOOKUP($F667,'Raw Data'!$A:$M,7,0)),"",VLOOKUP($F667,'Raw Data'!$A:$M,7,0))</f>
        <v>49332423.390000001</v>
      </c>
      <c r="H667">
        <f>IF(ISNA(VLOOKUP($F667,'Raw Data'!$A:$M,8,0)),"",VLOOKUP($F667,'Raw Data'!$A:$M,8,0))</f>
        <v>-63.776728944024299</v>
      </c>
      <c r="I667">
        <f>IF(ISNA(VLOOKUP($F667,'Raw Data'!$A:$M,9,0)),"",VLOOKUP($F667,'Raw Data'!$A:$M,9,0))</f>
        <v>-38.776767582211299</v>
      </c>
      <c r="J667">
        <f>IF(ISNA(VLOOKUP($F667,'Raw Data'!$A:$M,10,0)),"",VLOOKUP($F667,'Raw Data'!$A:$M,10,0))</f>
        <v>24.999961361813</v>
      </c>
      <c r="K667">
        <f>IF(ISNA(VLOOKUP($F667,'Raw Data'!$A:$M,11,0)),"",VLOOKUP($F667,'Raw Data'!$A:$M,11,0))</f>
        <v>-27.050356317001501</v>
      </c>
      <c r="L667">
        <f>IF(ISNA(VLOOKUP($F667,'Raw Data'!$A:$M,12,0)),"",VLOOKUP($F667,'Raw Data'!$A:$M,12,0))</f>
        <v>-17.492736188084301</v>
      </c>
      <c r="M667">
        <f>IF(ISNA(VLOOKUP($F667,'Raw Data'!$A:$M,13,0)),"",VLOOKUP($F667,'Raw Data'!$A:$M,13,0))</f>
        <v>9.5576201289171205</v>
      </c>
    </row>
    <row r="668" spans="1:13" x14ac:dyDescent="0.25">
      <c r="A668" t="s">
        <v>38</v>
      </c>
      <c r="B668">
        <v>2012</v>
      </c>
      <c r="C668">
        <v>4</v>
      </c>
      <c r="D668" s="3">
        <v>620</v>
      </c>
      <c r="E668" s="3">
        <v>97</v>
      </c>
      <c r="F668" s="3" t="str">
        <f t="shared" si="10"/>
        <v>FGU92012462097</v>
      </c>
      <c r="G668" t="str">
        <f>IF(ISNA(VLOOKUP($F668,'Raw Data'!$A:$M,7,0)),"",VLOOKUP($F668,'Raw Data'!$A:$M,7,0))</f>
        <v/>
      </c>
      <c r="H668" t="str">
        <f>IF(ISNA(VLOOKUP($F668,'Raw Data'!$A:$M,8,0)),"",VLOOKUP($F668,'Raw Data'!$A:$M,8,0))</f>
        <v/>
      </c>
      <c r="I668" t="str">
        <f>IF(ISNA(VLOOKUP($F668,'Raw Data'!$A:$M,9,0)),"",VLOOKUP($F668,'Raw Data'!$A:$M,9,0))</f>
        <v/>
      </c>
      <c r="J668" t="str">
        <f>IF(ISNA(VLOOKUP($F668,'Raw Data'!$A:$M,10,0)),"",VLOOKUP($F668,'Raw Data'!$A:$M,10,0))</f>
        <v/>
      </c>
      <c r="K668" t="str">
        <f>IF(ISNA(VLOOKUP($F668,'Raw Data'!$A:$M,11,0)),"",VLOOKUP($F668,'Raw Data'!$A:$M,11,0))</f>
        <v/>
      </c>
      <c r="L668" t="str">
        <f>IF(ISNA(VLOOKUP($F668,'Raw Data'!$A:$M,12,0)),"",VLOOKUP($F668,'Raw Data'!$A:$M,12,0))</f>
        <v/>
      </c>
      <c r="M668" t="str">
        <f>IF(ISNA(VLOOKUP($F668,'Raw Data'!$A:$M,13,0)),"",VLOOKUP($F668,'Raw Data'!$A:$M,13,0))</f>
        <v/>
      </c>
    </row>
    <row r="669" spans="1:13" x14ac:dyDescent="0.25">
      <c r="A669" t="s">
        <v>38</v>
      </c>
      <c r="B669">
        <v>2012</v>
      </c>
      <c r="C669">
        <v>4</v>
      </c>
      <c r="D669" s="3">
        <v>640</v>
      </c>
      <c r="E669" s="3">
        <v>97</v>
      </c>
      <c r="F669" s="3" t="str">
        <f t="shared" si="10"/>
        <v>FGU92012464097</v>
      </c>
      <c r="G669" t="str">
        <f>IF(ISNA(VLOOKUP($F669,'Raw Data'!$A:$M,7,0)),"",VLOOKUP($F669,'Raw Data'!$A:$M,7,0))</f>
        <v/>
      </c>
      <c r="H669" t="str">
        <f>IF(ISNA(VLOOKUP($F669,'Raw Data'!$A:$M,8,0)),"",VLOOKUP($F669,'Raw Data'!$A:$M,8,0))</f>
        <v/>
      </c>
      <c r="I669" t="str">
        <f>IF(ISNA(VLOOKUP($F669,'Raw Data'!$A:$M,9,0)),"",VLOOKUP($F669,'Raw Data'!$A:$M,9,0))</f>
        <v/>
      </c>
      <c r="J669" t="str">
        <f>IF(ISNA(VLOOKUP($F669,'Raw Data'!$A:$M,10,0)),"",VLOOKUP($F669,'Raw Data'!$A:$M,10,0))</f>
        <v/>
      </c>
      <c r="K669" t="str">
        <f>IF(ISNA(VLOOKUP($F669,'Raw Data'!$A:$M,11,0)),"",VLOOKUP($F669,'Raw Data'!$A:$M,11,0))</f>
        <v/>
      </c>
      <c r="L669" t="str">
        <f>IF(ISNA(VLOOKUP($F669,'Raw Data'!$A:$M,12,0)),"",VLOOKUP($F669,'Raw Data'!$A:$M,12,0))</f>
        <v/>
      </c>
      <c r="M669" t="str">
        <f>IF(ISNA(VLOOKUP($F669,'Raw Data'!$A:$M,13,0)),"",VLOOKUP($F669,'Raw Data'!$A:$M,13,0))</f>
        <v/>
      </c>
    </row>
    <row r="670" spans="1:13" x14ac:dyDescent="0.25">
      <c r="A670" t="s">
        <v>38</v>
      </c>
      <c r="B670">
        <v>2012</v>
      </c>
      <c r="C670">
        <v>4</v>
      </c>
      <c r="D670" s="3">
        <v>660</v>
      </c>
      <c r="E670" s="3">
        <v>97</v>
      </c>
      <c r="F670" s="3" t="str">
        <f t="shared" si="10"/>
        <v>FGU92012466097</v>
      </c>
      <c r="G670" t="str">
        <f>IF(ISNA(VLOOKUP($F670,'Raw Data'!$A:$M,7,0)),"",VLOOKUP($F670,'Raw Data'!$A:$M,7,0))</f>
        <v/>
      </c>
      <c r="H670" t="str">
        <f>IF(ISNA(VLOOKUP($F670,'Raw Data'!$A:$M,8,0)),"",VLOOKUP($F670,'Raw Data'!$A:$M,8,0))</f>
        <v/>
      </c>
      <c r="I670" t="str">
        <f>IF(ISNA(VLOOKUP($F670,'Raw Data'!$A:$M,9,0)),"",VLOOKUP($F670,'Raw Data'!$A:$M,9,0))</f>
        <v/>
      </c>
      <c r="J670" t="str">
        <f>IF(ISNA(VLOOKUP($F670,'Raw Data'!$A:$M,10,0)),"",VLOOKUP($F670,'Raw Data'!$A:$M,10,0))</f>
        <v/>
      </c>
      <c r="K670" t="str">
        <f>IF(ISNA(VLOOKUP($F670,'Raw Data'!$A:$M,11,0)),"",VLOOKUP($F670,'Raw Data'!$A:$M,11,0))</f>
        <v/>
      </c>
      <c r="L670" t="str">
        <f>IF(ISNA(VLOOKUP($F670,'Raw Data'!$A:$M,12,0)),"",VLOOKUP($F670,'Raw Data'!$A:$M,12,0))</f>
        <v/>
      </c>
      <c r="M670" t="str">
        <f>IF(ISNA(VLOOKUP($F670,'Raw Data'!$A:$M,13,0)),"",VLOOKUP($F670,'Raw Data'!$A:$M,13,0))</f>
        <v/>
      </c>
    </row>
    <row r="671" spans="1:13" x14ac:dyDescent="0.25">
      <c r="A671" t="s">
        <v>38</v>
      </c>
      <c r="B671">
        <v>2012</v>
      </c>
      <c r="C671">
        <v>4</v>
      </c>
      <c r="D671" s="3">
        <v>680</v>
      </c>
      <c r="E671" s="3">
        <v>97</v>
      </c>
      <c r="F671" s="3" t="str">
        <f t="shared" si="10"/>
        <v>FGU92012468097</v>
      </c>
      <c r="G671" t="str">
        <f>IF(ISNA(VLOOKUP($F671,'Raw Data'!$A:$M,7,0)),"",VLOOKUP($F671,'Raw Data'!$A:$M,7,0))</f>
        <v/>
      </c>
      <c r="H671" t="str">
        <f>IF(ISNA(VLOOKUP($F671,'Raw Data'!$A:$M,8,0)),"",VLOOKUP($F671,'Raw Data'!$A:$M,8,0))</f>
        <v/>
      </c>
      <c r="I671" t="str">
        <f>IF(ISNA(VLOOKUP($F671,'Raw Data'!$A:$M,9,0)),"",VLOOKUP($F671,'Raw Data'!$A:$M,9,0))</f>
        <v/>
      </c>
      <c r="J671" t="str">
        <f>IF(ISNA(VLOOKUP($F671,'Raw Data'!$A:$M,10,0)),"",VLOOKUP($F671,'Raw Data'!$A:$M,10,0))</f>
        <v/>
      </c>
      <c r="K671" t="str">
        <f>IF(ISNA(VLOOKUP($F671,'Raw Data'!$A:$M,11,0)),"",VLOOKUP($F671,'Raw Data'!$A:$M,11,0))</f>
        <v/>
      </c>
      <c r="L671" t="str">
        <f>IF(ISNA(VLOOKUP($F671,'Raw Data'!$A:$M,12,0)),"",VLOOKUP($F671,'Raw Data'!$A:$M,12,0))</f>
        <v/>
      </c>
      <c r="M671" t="str">
        <f>IF(ISNA(VLOOKUP($F671,'Raw Data'!$A:$M,13,0)),"",VLOOKUP($F671,'Raw Data'!$A:$M,13,0))</f>
        <v/>
      </c>
    </row>
    <row r="672" spans="1:13" x14ac:dyDescent="0.25">
      <c r="A672" t="s">
        <v>38</v>
      </c>
      <c r="B672">
        <v>2012</v>
      </c>
      <c r="C672">
        <v>4</v>
      </c>
      <c r="D672" s="3">
        <v>700</v>
      </c>
      <c r="E672" s="3">
        <v>97</v>
      </c>
      <c r="F672" s="3" t="str">
        <f t="shared" si="10"/>
        <v>FGU92012470097</v>
      </c>
      <c r="G672" t="str">
        <f>IF(ISNA(VLOOKUP($F672,'Raw Data'!$A:$M,7,0)),"",VLOOKUP($F672,'Raw Data'!$A:$M,7,0))</f>
        <v/>
      </c>
      <c r="H672" t="str">
        <f>IF(ISNA(VLOOKUP($F672,'Raw Data'!$A:$M,8,0)),"",VLOOKUP($F672,'Raw Data'!$A:$M,8,0))</f>
        <v/>
      </c>
      <c r="I672" t="str">
        <f>IF(ISNA(VLOOKUP($F672,'Raw Data'!$A:$M,9,0)),"",VLOOKUP($F672,'Raw Data'!$A:$M,9,0))</f>
        <v/>
      </c>
      <c r="J672" t="str">
        <f>IF(ISNA(VLOOKUP($F672,'Raw Data'!$A:$M,10,0)),"",VLOOKUP($F672,'Raw Data'!$A:$M,10,0))</f>
        <v/>
      </c>
      <c r="K672" t="str">
        <f>IF(ISNA(VLOOKUP($F672,'Raw Data'!$A:$M,11,0)),"",VLOOKUP($F672,'Raw Data'!$A:$M,11,0))</f>
        <v/>
      </c>
      <c r="L672" t="str">
        <f>IF(ISNA(VLOOKUP($F672,'Raw Data'!$A:$M,12,0)),"",VLOOKUP($F672,'Raw Data'!$A:$M,12,0))</f>
        <v/>
      </c>
      <c r="M672" t="str">
        <f>IF(ISNA(VLOOKUP($F672,'Raw Data'!$A:$M,13,0)),"",VLOOKUP($F672,'Raw Data'!$A:$M,13,0))</f>
        <v/>
      </c>
    </row>
    <row r="673" spans="1:13" x14ac:dyDescent="0.25">
      <c r="A673" t="s">
        <v>38</v>
      </c>
      <c r="B673">
        <v>2012</v>
      </c>
      <c r="C673">
        <v>4</v>
      </c>
      <c r="D673" s="3">
        <v>720</v>
      </c>
      <c r="E673" s="3">
        <v>97</v>
      </c>
      <c r="F673" s="3" t="str">
        <f t="shared" si="10"/>
        <v>FGU92012472097</v>
      </c>
      <c r="G673" t="str">
        <f>IF(ISNA(VLOOKUP($F673,'Raw Data'!$A:$M,7,0)),"",VLOOKUP($F673,'Raw Data'!$A:$M,7,0))</f>
        <v/>
      </c>
      <c r="H673" t="str">
        <f>IF(ISNA(VLOOKUP($F673,'Raw Data'!$A:$M,8,0)),"",VLOOKUP($F673,'Raw Data'!$A:$M,8,0))</f>
        <v/>
      </c>
      <c r="I673" t="str">
        <f>IF(ISNA(VLOOKUP($F673,'Raw Data'!$A:$M,9,0)),"",VLOOKUP($F673,'Raw Data'!$A:$M,9,0))</f>
        <v/>
      </c>
      <c r="J673" t="str">
        <f>IF(ISNA(VLOOKUP($F673,'Raw Data'!$A:$M,10,0)),"",VLOOKUP($F673,'Raw Data'!$A:$M,10,0))</f>
        <v/>
      </c>
      <c r="K673" t="str">
        <f>IF(ISNA(VLOOKUP($F673,'Raw Data'!$A:$M,11,0)),"",VLOOKUP($F673,'Raw Data'!$A:$M,11,0))</f>
        <v/>
      </c>
      <c r="L673" t="str">
        <f>IF(ISNA(VLOOKUP($F673,'Raw Data'!$A:$M,12,0)),"",VLOOKUP($F673,'Raw Data'!$A:$M,12,0))</f>
        <v/>
      </c>
      <c r="M673" t="str">
        <f>IF(ISNA(VLOOKUP($F673,'Raw Data'!$A:$M,13,0)),"",VLOOKUP($F673,'Raw Data'!$A:$M,13,0))</f>
        <v/>
      </c>
    </row>
    <row r="674" spans="1:13" x14ac:dyDescent="0.25">
      <c r="A674" t="s">
        <v>38</v>
      </c>
      <c r="B674">
        <v>2012</v>
      </c>
      <c r="C674">
        <v>4</v>
      </c>
      <c r="D674" s="3">
        <v>740</v>
      </c>
      <c r="E674" s="3">
        <v>97</v>
      </c>
      <c r="F674" s="3" t="str">
        <f t="shared" si="10"/>
        <v>FGU92012474097</v>
      </c>
      <c r="G674" t="str">
        <f>IF(ISNA(VLOOKUP($F674,'Raw Data'!$A:$M,7,0)),"",VLOOKUP($F674,'Raw Data'!$A:$M,7,0))</f>
        <v/>
      </c>
      <c r="H674" t="str">
        <f>IF(ISNA(VLOOKUP($F674,'Raw Data'!$A:$M,8,0)),"",VLOOKUP($F674,'Raw Data'!$A:$M,8,0))</f>
        <v/>
      </c>
      <c r="I674" t="str">
        <f>IF(ISNA(VLOOKUP($F674,'Raw Data'!$A:$M,9,0)),"",VLOOKUP($F674,'Raw Data'!$A:$M,9,0))</f>
        <v/>
      </c>
      <c r="J674" t="str">
        <f>IF(ISNA(VLOOKUP($F674,'Raw Data'!$A:$M,10,0)),"",VLOOKUP($F674,'Raw Data'!$A:$M,10,0))</f>
        <v/>
      </c>
      <c r="K674" t="str">
        <f>IF(ISNA(VLOOKUP($F674,'Raw Data'!$A:$M,11,0)),"",VLOOKUP($F674,'Raw Data'!$A:$M,11,0))</f>
        <v/>
      </c>
      <c r="L674" t="str">
        <f>IF(ISNA(VLOOKUP($F674,'Raw Data'!$A:$M,12,0)),"",VLOOKUP($F674,'Raw Data'!$A:$M,12,0))</f>
        <v/>
      </c>
      <c r="M674" t="str">
        <f>IF(ISNA(VLOOKUP($F674,'Raw Data'!$A:$M,13,0)),"",VLOOKUP($F674,'Raw Data'!$A:$M,13,0))</f>
        <v/>
      </c>
    </row>
    <row r="675" spans="1:13" x14ac:dyDescent="0.25">
      <c r="A675" t="s">
        <v>38</v>
      </c>
      <c r="B675">
        <v>2012</v>
      </c>
      <c r="C675">
        <v>4</v>
      </c>
      <c r="D675" s="3">
        <v>760</v>
      </c>
      <c r="E675" s="3">
        <v>97</v>
      </c>
      <c r="F675" s="3" t="str">
        <f t="shared" si="10"/>
        <v>FGU92012476097</v>
      </c>
      <c r="G675" t="str">
        <f>IF(ISNA(VLOOKUP($F675,'Raw Data'!$A:$M,7,0)),"",VLOOKUP($F675,'Raw Data'!$A:$M,7,0))</f>
        <v/>
      </c>
      <c r="H675" t="str">
        <f>IF(ISNA(VLOOKUP($F675,'Raw Data'!$A:$M,8,0)),"",VLOOKUP($F675,'Raw Data'!$A:$M,8,0))</f>
        <v/>
      </c>
      <c r="I675" t="str">
        <f>IF(ISNA(VLOOKUP($F675,'Raw Data'!$A:$M,9,0)),"",VLOOKUP($F675,'Raw Data'!$A:$M,9,0))</f>
        <v/>
      </c>
      <c r="J675" t="str">
        <f>IF(ISNA(VLOOKUP($F675,'Raw Data'!$A:$M,10,0)),"",VLOOKUP($F675,'Raw Data'!$A:$M,10,0))</f>
        <v/>
      </c>
      <c r="K675" t="str">
        <f>IF(ISNA(VLOOKUP($F675,'Raw Data'!$A:$M,11,0)),"",VLOOKUP($F675,'Raw Data'!$A:$M,11,0))</f>
        <v/>
      </c>
      <c r="L675" t="str">
        <f>IF(ISNA(VLOOKUP($F675,'Raw Data'!$A:$M,12,0)),"",VLOOKUP($F675,'Raw Data'!$A:$M,12,0))</f>
        <v/>
      </c>
      <c r="M675" t="str">
        <f>IF(ISNA(VLOOKUP($F675,'Raw Data'!$A:$M,13,0)),"",VLOOKUP($F675,'Raw Data'!$A:$M,13,0))</f>
        <v/>
      </c>
    </row>
    <row r="676" spans="1:13" x14ac:dyDescent="0.25">
      <c r="A676" t="s">
        <v>38</v>
      </c>
      <c r="B676">
        <v>2012</v>
      </c>
      <c r="C676">
        <v>4</v>
      </c>
      <c r="D676" s="3">
        <v>780</v>
      </c>
      <c r="E676" s="3">
        <v>97</v>
      </c>
      <c r="F676" s="3" t="str">
        <f t="shared" si="10"/>
        <v>FGU92012478097</v>
      </c>
      <c r="G676" t="str">
        <f>IF(ISNA(VLOOKUP($F676,'Raw Data'!$A:$M,7,0)),"",VLOOKUP($F676,'Raw Data'!$A:$M,7,0))</f>
        <v/>
      </c>
      <c r="H676" t="str">
        <f>IF(ISNA(VLOOKUP($F676,'Raw Data'!$A:$M,8,0)),"",VLOOKUP($F676,'Raw Data'!$A:$M,8,0))</f>
        <v/>
      </c>
      <c r="I676" t="str">
        <f>IF(ISNA(VLOOKUP($F676,'Raw Data'!$A:$M,9,0)),"",VLOOKUP($F676,'Raw Data'!$A:$M,9,0))</f>
        <v/>
      </c>
      <c r="J676" t="str">
        <f>IF(ISNA(VLOOKUP($F676,'Raw Data'!$A:$M,10,0)),"",VLOOKUP($F676,'Raw Data'!$A:$M,10,0))</f>
        <v/>
      </c>
      <c r="K676" t="str">
        <f>IF(ISNA(VLOOKUP($F676,'Raw Data'!$A:$M,11,0)),"",VLOOKUP($F676,'Raw Data'!$A:$M,11,0))</f>
        <v/>
      </c>
      <c r="L676" t="str">
        <f>IF(ISNA(VLOOKUP($F676,'Raw Data'!$A:$M,12,0)),"",VLOOKUP($F676,'Raw Data'!$A:$M,12,0))</f>
        <v/>
      </c>
      <c r="M676" t="str">
        <f>IF(ISNA(VLOOKUP($F676,'Raw Data'!$A:$M,13,0)),"",VLOOKUP($F676,'Raw Data'!$A:$M,13,0))</f>
        <v/>
      </c>
    </row>
    <row r="677" spans="1:13" x14ac:dyDescent="0.25">
      <c r="A677" t="s">
        <v>38</v>
      </c>
      <c r="B677">
        <v>2012</v>
      </c>
      <c r="C677">
        <v>4</v>
      </c>
      <c r="D677" s="3">
        <v>620</v>
      </c>
      <c r="E677" s="3">
        <v>100</v>
      </c>
      <c r="F677" s="3" t="str">
        <f t="shared" si="10"/>
        <v>FGU920124620100</v>
      </c>
      <c r="G677" t="str">
        <f>IF(ISNA(VLOOKUP($F677,'Raw Data'!$A:$M,7,0)),"",VLOOKUP($F677,'Raw Data'!$A:$M,7,0))</f>
        <v/>
      </c>
      <c r="H677" t="str">
        <f>IF(ISNA(VLOOKUP($F677,'Raw Data'!$A:$M,8,0)),"",VLOOKUP($F677,'Raw Data'!$A:$M,8,0))</f>
        <v/>
      </c>
      <c r="I677" t="str">
        <f>IF(ISNA(VLOOKUP($F677,'Raw Data'!$A:$M,9,0)),"",VLOOKUP($F677,'Raw Data'!$A:$M,9,0))</f>
        <v/>
      </c>
      <c r="J677" t="str">
        <f>IF(ISNA(VLOOKUP($F677,'Raw Data'!$A:$M,10,0)),"",VLOOKUP($F677,'Raw Data'!$A:$M,10,0))</f>
        <v/>
      </c>
      <c r="K677" t="str">
        <f>IF(ISNA(VLOOKUP($F677,'Raw Data'!$A:$M,11,0)),"",VLOOKUP($F677,'Raw Data'!$A:$M,11,0))</f>
        <v/>
      </c>
      <c r="L677" t="str">
        <f>IF(ISNA(VLOOKUP($F677,'Raw Data'!$A:$M,12,0)),"",VLOOKUP($F677,'Raw Data'!$A:$M,12,0))</f>
        <v/>
      </c>
      <c r="M677" t="str">
        <f>IF(ISNA(VLOOKUP($F677,'Raw Data'!$A:$M,13,0)),"",VLOOKUP($F677,'Raw Data'!$A:$M,13,0))</f>
        <v/>
      </c>
    </row>
    <row r="678" spans="1:13" x14ac:dyDescent="0.25">
      <c r="A678" t="s">
        <v>38</v>
      </c>
      <c r="B678">
        <v>2012</v>
      </c>
      <c r="C678">
        <v>4</v>
      </c>
      <c r="D678" s="3">
        <v>640</v>
      </c>
      <c r="E678" s="3">
        <v>100</v>
      </c>
      <c r="F678" s="3" t="str">
        <f t="shared" si="10"/>
        <v>FGU920124640100</v>
      </c>
      <c r="G678" t="str">
        <f>IF(ISNA(VLOOKUP($F678,'Raw Data'!$A:$M,7,0)),"",VLOOKUP($F678,'Raw Data'!$A:$M,7,0))</f>
        <v/>
      </c>
      <c r="H678" t="str">
        <f>IF(ISNA(VLOOKUP($F678,'Raw Data'!$A:$M,8,0)),"",VLOOKUP($F678,'Raw Data'!$A:$M,8,0))</f>
        <v/>
      </c>
      <c r="I678" t="str">
        <f>IF(ISNA(VLOOKUP($F678,'Raw Data'!$A:$M,9,0)),"",VLOOKUP($F678,'Raw Data'!$A:$M,9,0))</f>
        <v/>
      </c>
      <c r="J678" t="str">
        <f>IF(ISNA(VLOOKUP($F678,'Raw Data'!$A:$M,10,0)),"",VLOOKUP($F678,'Raw Data'!$A:$M,10,0))</f>
        <v/>
      </c>
      <c r="K678" t="str">
        <f>IF(ISNA(VLOOKUP($F678,'Raw Data'!$A:$M,11,0)),"",VLOOKUP($F678,'Raw Data'!$A:$M,11,0))</f>
        <v/>
      </c>
      <c r="L678" t="str">
        <f>IF(ISNA(VLOOKUP($F678,'Raw Data'!$A:$M,12,0)),"",VLOOKUP($F678,'Raw Data'!$A:$M,12,0))</f>
        <v/>
      </c>
      <c r="M678" t="str">
        <f>IF(ISNA(VLOOKUP($F678,'Raw Data'!$A:$M,13,0)),"",VLOOKUP($F678,'Raw Data'!$A:$M,13,0))</f>
        <v/>
      </c>
    </row>
    <row r="679" spans="1:13" x14ac:dyDescent="0.25">
      <c r="A679" t="s">
        <v>38</v>
      </c>
      <c r="B679">
        <v>2012</v>
      </c>
      <c r="C679">
        <v>4</v>
      </c>
      <c r="D679" s="3">
        <v>660</v>
      </c>
      <c r="E679" s="3">
        <v>100</v>
      </c>
      <c r="F679" s="3" t="str">
        <f t="shared" si="10"/>
        <v>FGU920124660100</v>
      </c>
      <c r="G679" t="str">
        <f>IF(ISNA(VLOOKUP($F679,'Raw Data'!$A:$M,7,0)),"",VLOOKUP($F679,'Raw Data'!$A:$M,7,0))</f>
        <v/>
      </c>
      <c r="H679" t="str">
        <f>IF(ISNA(VLOOKUP($F679,'Raw Data'!$A:$M,8,0)),"",VLOOKUP($F679,'Raw Data'!$A:$M,8,0))</f>
        <v/>
      </c>
      <c r="I679" t="str">
        <f>IF(ISNA(VLOOKUP($F679,'Raw Data'!$A:$M,9,0)),"",VLOOKUP($F679,'Raw Data'!$A:$M,9,0))</f>
        <v/>
      </c>
      <c r="J679" t="str">
        <f>IF(ISNA(VLOOKUP($F679,'Raw Data'!$A:$M,10,0)),"",VLOOKUP($F679,'Raw Data'!$A:$M,10,0))</f>
        <v/>
      </c>
      <c r="K679" t="str">
        <f>IF(ISNA(VLOOKUP($F679,'Raw Data'!$A:$M,11,0)),"",VLOOKUP($F679,'Raw Data'!$A:$M,11,0))</f>
        <v/>
      </c>
      <c r="L679" t="str">
        <f>IF(ISNA(VLOOKUP($F679,'Raw Data'!$A:$M,12,0)),"",VLOOKUP($F679,'Raw Data'!$A:$M,12,0))</f>
        <v/>
      </c>
      <c r="M679" t="str">
        <f>IF(ISNA(VLOOKUP($F679,'Raw Data'!$A:$M,13,0)),"",VLOOKUP($F679,'Raw Data'!$A:$M,13,0))</f>
        <v/>
      </c>
    </row>
    <row r="680" spans="1:13" x14ac:dyDescent="0.25">
      <c r="A680" t="s">
        <v>38</v>
      </c>
      <c r="B680">
        <v>2012</v>
      </c>
      <c r="C680">
        <v>4</v>
      </c>
      <c r="D680" s="3">
        <v>680</v>
      </c>
      <c r="E680" s="3">
        <v>100</v>
      </c>
      <c r="F680" s="3" t="str">
        <f t="shared" si="10"/>
        <v>FGU920124680100</v>
      </c>
      <c r="G680" t="str">
        <f>IF(ISNA(VLOOKUP($F680,'Raw Data'!$A:$M,7,0)),"",VLOOKUP($F680,'Raw Data'!$A:$M,7,0))</f>
        <v/>
      </c>
      <c r="H680" t="str">
        <f>IF(ISNA(VLOOKUP($F680,'Raw Data'!$A:$M,8,0)),"",VLOOKUP($F680,'Raw Data'!$A:$M,8,0))</f>
        <v/>
      </c>
      <c r="I680" t="str">
        <f>IF(ISNA(VLOOKUP($F680,'Raw Data'!$A:$M,9,0)),"",VLOOKUP($F680,'Raw Data'!$A:$M,9,0))</f>
        <v/>
      </c>
      <c r="J680" t="str">
        <f>IF(ISNA(VLOOKUP($F680,'Raw Data'!$A:$M,10,0)),"",VLOOKUP($F680,'Raw Data'!$A:$M,10,0))</f>
        <v/>
      </c>
      <c r="K680" t="str">
        <f>IF(ISNA(VLOOKUP($F680,'Raw Data'!$A:$M,11,0)),"",VLOOKUP($F680,'Raw Data'!$A:$M,11,0))</f>
        <v/>
      </c>
      <c r="L680" t="str">
        <f>IF(ISNA(VLOOKUP($F680,'Raw Data'!$A:$M,12,0)),"",VLOOKUP($F680,'Raw Data'!$A:$M,12,0))</f>
        <v/>
      </c>
      <c r="M680" t="str">
        <f>IF(ISNA(VLOOKUP($F680,'Raw Data'!$A:$M,13,0)),"",VLOOKUP($F680,'Raw Data'!$A:$M,13,0))</f>
        <v/>
      </c>
    </row>
    <row r="681" spans="1:13" x14ac:dyDescent="0.25">
      <c r="A681" t="s">
        <v>38</v>
      </c>
      <c r="B681">
        <v>2012</v>
      </c>
      <c r="C681">
        <v>4</v>
      </c>
      <c r="D681" s="3">
        <v>700</v>
      </c>
      <c r="E681" s="3">
        <v>100</v>
      </c>
      <c r="F681" s="3" t="str">
        <f t="shared" si="10"/>
        <v>FGU920124700100</v>
      </c>
      <c r="G681" t="str">
        <f>IF(ISNA(VLOOKUP($F681,'Raw Data'!$A:$M,7,0)),"",VLOOKUP($F681,'Raw Data'!$A:$M,7,0))</f>
        <v/>
      </c>
      <c r="H681" t="str">
        <f>IF(ISNA(VLOOKUP($F681,'Raw Data'!$A:$M,8,0)),"",VLOOKUP($F681,'Raw Data'!$A:$M,8,0))</f>
        <v/>
      </c>
      <c r="I681" t="str">
        <f>IF(ISNA(VLOOKUP($F681,'Raw Data'!$A:$M,9,0)),"",VLOOKUP($F681,'Raw Data'!$A:$M,9,0))</f>
        <v/>
      </c>
      <c r="J681" t="str">
        <f>IF(ISNA(VLOOKUP($F681,'Raw Data'!$A:$M,10,0)),"",VLOOKUP($F681,'Raw Data'!$A:$M,10,0))</f>
        <v/>
      </c>
      <c r="K681" t="str">
        <f>IF(ISNA(VLOOKUP($F681,'Raw Data'!$A:$M,11,0)),"",VLOOKUP($F681,'Raw Data'!$A:$M,11,0))</f>
        <v/>
      </c>
      <c r="L681" t="str">
        <f>IF(ISNA(VLOOKUP($F681,'Raw Data'!$A:$M,12,0)),"",VLOOKUP($F681,'Raw Data'!$A:$M,12,0))</f>
        <v/>
      </c>
      <c r="M681" t="str">
        <f>IF(ISNA(VLOOKUP($F681,'Raw Data'!$A:$M,13,0)),"",VLOOKUP($F681,'Raw Data'!$A:$M,13,0))</f>
        <v/>
      </c>
    </row>
    <row r="682" spans="1:13" x14ac:dyDescent="0.25">
      <c r="A682" t="s">
        <v>38</v>
      </c>
      <c r="B682">
        <v>2012</v>
      </c>
      <c r="C682">
        <v>4</v>
      </c>
      <c r="D682" s="3">
        <v>720</v>
      </c>
      <c r="E682" s="3">
        <v>100</v>
      </c>
      <c r="F682" s="3" t="str">
        <f t="shared" si="10"/>
        <v>FGU920124720100</v>
      </c>
      <c r="G682" t="str">
        <f>IF(ISNA(VLOOKUP($F682,'Raw Data'!$A:$M,7,0)),"",VLOOKUP($F682,'Raw Data'!$A:$M,7,0))</f>
        <v/>
      </c>
      <c r="H682" t="str">
        <f>IF(ISNA(VLOOKUP($F682,'Raw Data'!$A:$M,8,0)),"",VLOOKUP($F682,'Raw Data'!$A:$M,8,0))</f>
        <v/>
      </c>
      <c r="I682" t="str">
        <f>IF(ISNA(VLOOKUP($F682,'Raw Data'!$A:$M,9,0)),"",VLOOKUP($F682,'Raw Data'!$A:$M,9,0))</f>
        <v/>
      </c>
      <c r="J682" t="str">
        <f>IF(ISNA(VLOOKUP($F682,'Raw Data'!$A:$M,10,0)),"",VLOOKUP($F682,'Raw Data'!$A:$M,10,0))</f>
        <v/>
      </c>
      <c r="K682" t="str">
        <f>IF(ISNA(VLOOKUP($F682,'Raw Data'!$A:$M,11,0)),"",VLOOKUP($F682,'Raw Data'!$A:$M,11,0))</f>
        <v/>
      </c>
      <c r="L682" t="str">
        <f>IF(ISNA(VLOOKUP($F682,'Raw Data'!$A:$M,12,0)),"",VLOOKUP($F682,'Raw Data'!$A:$M,12,0))</f>
        <v/>
      </c>
      <c r="M682" t="str">
        <f>IF(ISNA(VLOOKUP($F682,'Raw Data'!$A:$M,13,0)),"",VLOOKUP($F682,'Raw Data'!$A:$M,13,0))</f>
        <v/>
      </c>
    </row>
    <row r="683" spans="1:13" x14ac:dyDescent="0.25">
      <c r="A683" t="s">
        <v>38</v>
      </c>
      <c r="B683">
        <v>2012</v>
      </c>
      <c r="C683">
        <v>4</v>
      </c>
      <c r="D683" s="3">
        <v>740</v>
      </c>
      <c r="E683" s="3">
        <v>100</v>
      </c>
      <c r="F683" s="3" t="str">
        <f t="shared" si="10"/>
        <v>FGU920124740100</v>
      </c>
      <c r="G683" t="str">
        <f>IF(ISNA(VLOOKUP($F683,'Raw Data'!$A:$M,7,0)),"",VLOOKUP($F683,'Raw Data'!$A:$M,7,0))</f>
        <v/>
      </c>
      <c r="H683" t="str">
        <f>IF(ISNA(VLOOKUP($F683,'Raw Data'!$A:$M,8,0)),"",VLOOKUP($F683,'Raw Data'!$A:$M,8,0))</f>
        <v/>
      </c>
      <c r="I683" t="str">
        <f>IF(ISNA(VLOOKUP($F683,'Raw Data'!$A:$M,9,0)),"",VLOOKUP($F683,'Raw Data'!$A:$M,9,0))</f>
        <v/>
      </c>
      <c r="J683" t="str">
        <f>IF(ISNA(VLOOKUP($F683,'Raw Data'!$A:$M,10,0)),"",VLOOKUP($F683,'Raw Data'!$A:$M,10,0))</f>
        <v/>
      </c>
      <c r="K683" t="str">
        <f>IF(ISNA(VLOOKUP($F683,'Raw Data'!$A:$M,11,0)),"",VLOOKUP($F683,'Raw Data'!$A:$M,11,0))</f>
        <v/>
      </c>
      <c r="L683" t="str">
        <f>IF(ISNA(VLOOKUP($F683,'Raw Data'!$A:$M,12,0)),"",VLOOKUP($F683,'Raw Data'!$A:$M,12,0))</f>
        <v/>
      </c>
      <c r="M683" t="str">
        <f>IF(ISNA(VLOOKUP($F683,'Raw Data'!$A:$M,13,0)),"",VLOOKUP($F683,'Raw Data'!$A:$M,13,0))</f>
        <v/>
      </c>
    </row>
    <row r="684" spans="1:13" x14ac:dyDescent="0.25">
      <c r="A684" t="s">
        <v>38</v>
      </c>
      <c r="B684">
        <v>2012</v>
      </c>
      <c r="C684">
        <v>4</v>
      </c>
      <c r="D684" s="3">
        <v>760</v>
      </c>
      <c r="E684" s="3">
        <v>100</v>
      </c>
      <c r="F684" s="3" t="str">
        <f t="shared" si="10"/>
        <v>FGU920124760100</v>
      </c>
      <c r="G684" t="str">
        <f>IF(ISNA(VLOOKUP($F684,'Raw Data'!$A:$M,7,0)),"",VLOOKUP($F684,'Raw Data'!$A:$M,7,0))</f>
        <v/>
      </c>
      <c r="H684" t="str">
        <f>IF(ISNA(VLOOKUP($F684,'Raw Data'!$A:$M,8,0)),"",VLOOKUP($F684,'Raw Data'!$A:$M,8,0))</f>
        <v/>
      </c>
      <c r="I684" t="str">
        <f>IF(ISNA(VLOOKUP($F684,'Raw Data'!$A:$M,9,0)),"",VLOOKUP($F684,'Raw Data'!$A:$M,9,0))</f>
        <v/>
      </c>
      <c r="J684" t="str">
        <f>IF(ISNA(VLOOKUP($F684,'Raw Data'!$A:$M,10,0)),"",VLOOKUP($F684,'Raw Data'!$A:$M,10,0))</f>
        <v/>
      </c>
      <c r="K684" t="str">
        <f>IF(ISNA(VLOOKUP($F684,'Raw Data'!$A:$M,11,0)),"",VLOOKUP($F684,'Raw Data'!$A:$M,11,0))</f>
        <v/>
      </c>
      <c r="L684" t="str">
        <f>IF(ISNA(VLOOKUP($F684,'Raw Data'!$A:$M,12,0)),"",VLOOKUP($F684,'Raw Data'!$A:$M,12,0))</f>
        <v/>
      </c>
      <c r="M684" t="str">
        <f>IF(ISNA(VLOOKUP($F684,'Raw Data'!$A:$M,13,0)),"",VLOOKUP($F684,'Raw Data'!$A:$M,13,0))</f>
        <v/>
      </c>
    </row>
    <row r="685" spans="1:13" x14ac:dyDescent="0.25">
      <c r="A685" t="s">
        <v>38</v>
      </c>
      <c r="B685">
        <v>2012</v>
      </c>
      <c r="C685">
        <v>4</v>
      </c>
      <c r="D685" s="3">
        <v>780</v>
      </c>
      <c r="E685" s="3">
        <v>100</v>
      </c>
      <c r="F685" s="3" t="str">
        <f t="shared" si="10"/>
        <v>FGU920124780100</v>
      </c>
      <c r="G685" t="str">
        <f>IF(ISNA(VLOOKUP($F685,'Raw Data'!$A:$M,7,0)),"",VLOOKUP($F685,'Raw Data'!$A:$M,7,0))</f>
        <v/>
      </c>
      <c r="H685" t="str">
        <f>IF(ISNA(VLOOKUP($F685,'Raw Data'!$A:$M,8,0)),"",VLOOKUP($F685,'Raw Data'!$A:$M,8,0))</f>
        <v/>
      </c>
      <c r="I685" t="str">
        <f>IF(ISNA(VLOOKUP($F685,'Raw Data'!$A:$M,9,0)),"",VLOOKUP($F685,'Raw Data'!$A:$M,9,0))</f>
        <v/>
      </c>
      <c r="J685" t="str">
        <f>IF(ISNA(VLOOKUP($F685,'Raw Data'!$A:$M,10,0)),"",VLOOKUP($F685,'Raw Data'!$A:$M,10,0))</f>
        <v/>
      </c>
      <c r="K685" t="str">
        <f>IF(ISNA(VLOOKUP($F685,'Raw Data'!$A:$M,11,0)),"",VLOOKUP($F685,'Raw Data'!$A:$M,11,0))</f>
        <v/>
      </c>
      <c r="L685" t="str">
        <f>IF(ISNA(VLOOKUP($F685,'Raw Data'!$A:$M,12,0)),"",VLOOKUP($F685,'Raw Data'!$A:$M,12,0))</f>
        <v/>
      </c>
      <c r="M685" t="str">
        <f>IF(ISNA(VLOOKUP($F685,'Raw Data'!$A:$M,13,0)),"",VLOOKUP($F685,'Raw Data'!$A:$M,13,0))</f>
        <v/>
      </c>
    </row>
    <row r="686" spans="1:13" x14ac:dyDescent="0.25">
      <c r="A686" t="s">
        <v>38</v>
      </c>
      <c r="B686">
        <v>2012</v>
      </c>
      <c r="C686">
        <v>4</v>
      </c>
      <c r="D686" s="3">
        <v>620</v>
      </c>
      <c r="E686" s="3" t="s">
        <v>9</v>
      </c>
      <c r="F686" s="3" t="str">
        <f t="shared" si="10"/>
        <v>FGU920124620100+</v>
      </c>
      <c r="G686" t="str">
        <f>IF(ISNA(VLOOKUP($F686,'Raw Data'!$A:$M,7,0)),"",VLOOKUP($F686,'Raw Data'!$A:$M,7,0))</f>
        <v/>
      </c>
      <c r="H686" t="str">
        <f>IF(ISNA(VLOOKUP($F686,'Raw Data'!$A:$M,8,0)),"",VLOOKUP($F686,'Raw Data'!$A:$M,8,0))</f>
        <v/>
      </c>
      <c r="I686" t="str">
        <f>IF(ISNA(VLOOKUP($F686,'Raw Data'!$A:$M,9,0)),"",VLOOKUP($F686,'Raw Data'!$A:$M,9,0))</f>
        <v/>
      </c>
      <c r="J686" t="str">
        <f>IF(ISNA(VLOOKUP($F686,'Raw Data'!$A:$M,10,0)),"",VLOOKUP($F686,'Raw Data'!$A:$M,10,0))</f>
        <v/>
      </c>
      <c r="K686" t="str">
        <f>IF(ISNA(VLOOKUP($F686,'Raw Data'!$A:$M,11,0)),"",VLOOKUP($F686,'Raw Data'!$A:$M,11,0))</f>
        <v/>
      </c>
      <c r="L686" t="str">
        <f>IF(ISNA(VLOOKUP($F686,'Raw Data'!$A:$M,12,0)),"",VLOOKUP($F686,'Raw Data'!$A:$M,12,0))</f>
        <v/>
      </c>
      <c r="M686" t="str">
        <f>IF(ISNA(VLOOKUP($F686,'Raw Data'!$A:$M,13,0)),"",VLOOKUP($F686,'Raw Data'!$A:$M,13,0))</f>
        <v/>
      </c>
    </row>
    <row r="687" spans="1:13" x14ac:dyDescent="0.25">
      <c r="A687" t="s">
        <v>38</v>
      </c>
      <c r="B687">
        <v>2012</v>
      </c>
      <c r="C687">
        <v>4</v>
      </c>
      <c r="D687" s="3">
        <v>640</v>
      </c>
      <c r="E687" s="3" t="s">
        <v>9</v>
      </c>
      <c r="F687" s="3" t="str">
        <f t="shared" si="10"/>
        <v>FGU920124640100+</v>
      </c>
      <c r="G687" t="str">
        <f>IF(ISNA(VLOOKUP($F687,'Raw Data'!$A:$M,7,0)),"",VLOOKUP($F687,'Raw Data'!$A:$M,7,0))</f>
        <v/>
      </c>
      <c r="H687" t="str">
        <f>IF(ISNA(VLOOKUP($F687,'Raw Data'!$A:$M,8,0)),"",VLOOKUP($F687,'Raw Data'!$A:$M,8,0))</f>
        <v/>
      </c>
      <c r="I687" t="str">
        <f>IF(ISNA(VLOOKUP($F687,'Raw Data'!$A:$M,9,0)),"",VLOOKUP($F687,'Raw Data'!$A:$M,9,0))</f>
        <v/>
      </c>
      <c r="J687" t="str">
        <f>IF(ISNA(VLOOKUP($F687,'Raw Data'!$A:$M,10,0)),"",VLOOKUP($F687,'Raw Data'!$A:$M,10,0))</f>
        <v/>
      </c>
      <c r="K687" t="str">
        <f>IF(ISNA(VLOOKUP($F687,'Raw Data'!$A:$M,11,0)),"",VLOOKUP($F687,'Raw Data'!$A:$M,11,0))</f>
        <v/>
      </c>
      <c r="L687" t="str">
        <f>IF(ISNA(VLOOKUP($F687,'Raw Data'!$A:$M,12,0)),"",VLOOKUP($F687,'Raw Data'!$A:$M,12,0))</f>
        <v/>
      </c>
      <c r="M687" t="str">
        <f>IF(ISNA(VLOOKUP($F687,'Raw Data'!$A:$M,13,0)),"",VLOOKUP($F687,'Raw Data'!$A:$M,13,0))</f>
        <v/>
      </c>
    </row>
    <row r="688" spans="1:13" x14ac:dyDescent="0.25">
      <c r="A688" t="s">
        <v>38</v>
      </c>
      <c r="B688">
        <v>2012</v>
      </c>
      <c r="C688">
        <v>4</v>
      </c>
      <c r="D688" s="3">
        <v>660</v>
      </c>
      <c r="E688" s="3" t="s">
        <v>9</v>
      </c>
      <c r="F688" s="3" t="str">
        <f t="shared" si="10"/>
        <v>FGU920124660100+</v>
      </c>
      <c r="G688" t="str">
        <f>IF(ISNA(VLOOKUP($F688,'Raw Data'!$A:$M,7,0)),"",VLOOKUP($F688,'Raw Data'!$A:$M,7,0))</f>
        <v/>
      </c>
      <c r="H688" t="str">
        <f>IF(ISNA(VLOOKUP($F688,'Raw Data'!$A:$M,8,0)),"",VLOOKUP($F688,'Raw Data'!$A:$M,8,0))</f>
        <v/>
      </c>
      <c r="I688" t="str">
        <f>IF(ISNA(VLOOKUP($F688,'Raw Data'!$A:$M,9,0)),"",VLOOKUP($F688,'Raw Data'!$A:$M,9,0))</f>
        <v/>
      </c>
      <c r="J688" t="str">
        <f>IF(ISNA(VLOOKUP($F688,'Raw Data'!$A:$M,10,0)),"",VLOOKUP($F688,'Raw Data'!$A:$M,10,0))</f>
        <v/>
      </c>
      <c r="K688" t="str">
        <f>IF(ISNA(VLOOKUP($F688,'Raw Data'!$A:$M,11,0)),"",VLOOKUP($F688,'Raw Data'!$A:$M,11,0))</f>
        <v/>
      </c>
      <c r="L688" t="str">
        <f>IF(ISNA(VLOOKUP($F688,'Raw Data'!$A:$M,12,0)),"",VLOOKUP($F688,'Raw Data'!$A:$M,12,0))</f>
        <v/>
      </c>
      <c r="M688" t="str">
        <f>IF(ISNA(VLOOKUP($F688,'Raw Data'!$A:$M,13,0)),"",VLOOKUP($F688,'Raw Data'!$A:$M,13,0))</f>
        <v/>
      </c>
    </row>
    <row r="689" spans="1:13" x14ac:dyDescent="0.25">
      <c r="A689" t="s">
        <v>38</v>
      </c>
      <c r="B689">
        <v>2012</v>
      </c>
      <c r="C689">
        <v>4</v>
      </c>
      <c r="D689" s="3">
        <v>680</v>
      </c>
      <c r="E689" s="3" t="s">
        <v>9</v>
      </c>
      <c r="F689" s="3" t="str">
        <f t="shared" si="10"/>
        <v>FGU920124680100+</v>
      </c>
      <c r="G689" t="str">
        <f>IF(ISNA(VLOOKUP($F689,'Raw Data'!$A:$M,7,0)),"",VLOOKUP($F689,'Raw Data'!$A:$M,7,0))</f>
        <v/>
      </c>
      <c r="H689" t="str">
        <f>IF(ISNA(VLOOKUP($F689,'Raw Data'!$A:$M,8,0)),"",VLOOKUP($F689,'Raw Data'!$A:$M,8,0))</f>
        <v/>
      </c>
      <c r="I689" t="str">
        <f>IF(ISNA(VLOOKUP($F689,'Raw Data'!$A:$M,9,0)),"",VLOOKUP($F689,'Raw Data'!$A:$M,9,0))</f>
        <v/>
      </c>
      <c r="J689" t="str">
        <f>IF(ISNA(VLOOKUP($F689,'Raw Data'!$A:$M,10,0)),"",VLOOKUP($F689,'Raw Data'!$A:$M,10,0))</f>
        <v/>
      </c>
      <c r="K689" t="str">
        <f>IF(ISNA(VLOOKUP($F689,'Raw Data'!$A:$M,11,0)),"",VLOOKUP($F689,'Raw Data'!$A:$M,11,0))</f>
        <v/>
      </c>
      <c r="L689" t="str">
        <f>IF(ISNA(VLOOKUP($F689,'Raw Data'!$A:$M,12,0)),"",VLOOKUP($F689,'Raw Data'!$A:$M,12,0))</f>
        <v/>
      </c>
      <c r="M689" t="str">
        <f>IF(ISNA(VLOOKUP($F689,'Raw Data'!$A:$M,13,0)),"",VLOOKUP($F689,'Raw Data'!$A:$M,13,0))</f>
        <v/>
      </c>
    </row>
    <row r="690" spans="1:13" x14ac:dyDescent="0.25">
      <c r="A690" t="s">
        <v>38</v>
      </c>
      <c r="B690">
        <v>2012</v>
      </c>
      <c r="C690">
        <v>4</v>
      </c>
      <c r="D690" s="3">
        <v>700</v>
      </c>
      <c r="E690" s="3" t="s">
        <v>9</v>
      </c>
      <c r="F690" s="3" t="str">
        <f t="shared" si="10"/>
        <v>FGU920124700100+</v>
      </c>
      <c r="G690" t="str">
        <f>IF(ISNA(VLOOKUP($F690,'Raw Data'!$A:$M,7,0)),"",VLOOKUP($F690,'Raw Data'!$A:$M,7,0))</f>
        <v/>
      </c>
      <c r="H690" t="str">
        <f>IF(ISNA(VLOOKUP($F690,'Raw Data'!$A:$M,8,0)),"",VLOOKUP($F690,'Raw Data'!$A:$M,8,0))</f>
        <v/>
      </c>
      <c r="I690" t="str">
        <f>IF(ISNA(VLOOKUP($F690,'Raw Data'!$A:$M,9,0)),"",VLOOKUP($F690,'Raw Data'!$A:$M,9,0))</f>
        <v/>
      </c>
      <c r="J690" t="str">
        <f>IF(ISNA(VLOOKUP($F690,'Raw Data'!$A:$M,10,0)),"",VLOOKUP($F690,'Raw Data'!$A:$M,10,0))</f>
        <v/>
      </c>
      <c r="K690" t="str">
        <f>IF(ISNA(VLOOKUP($F690,'Raw Data'!$A:$M,11,0)),"",VLOOKUP($F690,'Raw Data'!$A:$M,11,0))</f>
        <v/>
      </c>
      <c r="L690" t="str">
        <f>IF(ISNA(VLOOKUP($F690,'Raw Data'!$A:$M,12,0)),"",VLOOKUP($F690,'Raw Data'!$A:$M,12,0))</f>
        <v/>
      </c>
      <c r="M690" t="str">
        <f>IF(ISNA(VLOOKUP($F690,'Raw Data'!$A:$M,13,0)),"",VLOOKUP($F690,'Raw Data'!$A:$M,13,0))</f>
        <v/>
      </c>
    </row>
    <row r="691" spans="1:13" x14ac:dyDescent="0.25">
      <c r="A691" t="s">
        <v>38</v>
      </c>
      <c r="B691">
        <v>2012</v>
      </c>
      <c r="C691">
        <v>4</v>
      </c>
      <c r="D691" s="3">
        <v>720</v>
      </c>
      <c r="E691" s="3" t="s">
        <v>9</v>
      </c>
      <c r="F691" s="3" t="str">
        <f t="shared" si="10"/>
        <v>FGU920124720100+</v>
      </c>
      <c r="G691" t="str">
        <f>IF(ISNA(VLOOKUP($F691,'Raw Data'!$A:$M,7,0)),"",VLOOKUP($F691,'Raw Data'!$A:$M,7,0))</f>
        <v/>
      </c>
      <c r="H691" t="str">
        <f>IF(ISNA(VLOOKUP($F691,'Raw Data'!$A:$M,8,0)),"",VLOOKUP($F691,'Raw Data'!$A:$M,8,0))</f>
        <v/>
      </c>
      <c r="I691" t="str">
        <f>IF(ISNA(VLOOKUP($F691,'Raw Data'!$A:$M,9,0)),"",VLOOKUP($F691,'Raw Data'!$A:$M,9,0))</f>
        <v/>
      </c>
      <c r="J691" t="str">
        <f>IF(ISNA(VLOOKUP($F691,'Raw Data'!$A:$M,10,0)),"",VLOOKUP($F691,'Raw Data'!$A:$M,10,0))</f>
        <v/>
      </c>
      <c r="K691" t="str">
        <f>IF(ISNA(VLOOKUP($F691,'Raw Data'!$A:$M,11,0)),"",VLOOKUP($F691,'Raw Data'!$A:$M,11,0))</f>
        <v/>
      </c>
      <c r="L691" t="str">
        <f>IF(ISNA(VLOOKUP($F691,'Raw Data'!$A:$M,12,0)),"",VLOOKUP($F691,'Raw Data'!$A:$M,12,0))</f>
        <v/>
      </c>
      <c r="M691" t="str">
        <f>IF(ISNA(VLOOKUP($F691,'Raw Data'!$A:$M,13,0)),"",VLOOKUP($F691,'Raw Data'!$A:$M,13,0))</f>
        <v/>
      </c>
    </row>
    <row r="692" spans="1:13" x14ac:dyDescent="0.25">
      <c r="A692" t="s">
        <v>38</v>
      </c>
      <c r="B692">
        <v>2012</v>
      </c>
      <c r="C692">
        <v>4</v>
      </c>
      <c r="D692" s="3">
        <v>740</v>
      </c>
      <c r="E692" s="3" t="s">
        <v>9</v>
      </c>
      <c r="F692" s="3" t="str">
        <f t="shared" si="10"/>
        <v>FGU920124740100+</v>
      </c>
      <c r="G692" t="str">
        <f>IF(ISNA(VLOOKUP($F692,'Raw Data'!$A:$M,7,0)),"",VLOOKUP($F692,'Raw Data'!$A:$M,7,0))</f>
        <v/>
      </c>
      <c r="H692" t="str">
        <f>IF(ISNA(VLOOKUP($F692,'Raw Data'!$A:$M,8,0)),"",VLOOKUP($F692,'Raw Data'!$A:$M,8,0))</f>
        <v/>
      </c>
      <c r="I692" t="str">
        <f>IF(ISNA(VLOOKUP($F692,'Raw Data'!$A:$M,9,0)),"",VLOOKUP($F692,'Raw Data'!$A:$M,9,0))</f>
        <v/>
      </c>
      <c r="J692" t="str">
        <f>IF(ISNA(VLOOKUP($F692,'Raw Data'!$A:$M,10,0)),"",VLOOKUP($F692,'Raw Data'!$A:$M,10,0))</f>
        <v/>
      </c>
      <c r="K692" t="str">
        <f>IF(ISNA(VLOOKUP($F692,'Raw Data'!$A:$M,11,0)),"",VLOOKUP($F692,'Raw Data'!$A:$M,11,0))</f>
        <v/>
      </c>
      <c r="L692" t="str">
        <f>IF(ISNA(VLOOKUP($F692,'Raw Data'!$A:$M,12,0)),"",VLOOKUP($F692,'Raw Data'!$A:$M,12,0))</f>
        <v/>
      </c>
      <c r="M692" t="str">
        <f>IF(ISNA(VLOOKUP($F692,'Raw Data'!$A:$M,13,0)),"",VLOOKUP($F692,'Raw Data'!$A:$M,13,0))</f>
        <v/>
      </c>
    </row>
    <row r="693" spans="1:13" x14ac:dyDescent="0.25">
      <c r="A693" t="s">
        <v>38</v>
      </c>
      <c r="B693">
        <v>2012</v>
      </c>
      <c r="C693">
        <v>4</v>
      </c>
      <c r="D693" s="3">
        <v>760</v>
      </c>
      <c r="E693" s="3" t="s">
        <v>9</v>
      </c>
      <c r="F693" s="3" t="str">
        <f t="shared" si="10"/>
        <v>FGU920124760100+</v>
      </c>
      <c r="G693">
        <f>IF(ISNA(VLOOKUP($F693,'Raw Data'!$A:$M,7,0)),"",VLOOKUP($F693,'Raw Data'!$A:$M,7,0))</f>
        <v>6155194.6100000003</v>
      </c>
      <c r="H693">
        <f>IF(ISNA(VLOOKUP($F693,'Raw Data'!$A:$M,8,0)),"",VLOOKUP($F693,'Raw Data'!$A:$M,8,0))</f>
        <v>-44.72</v>
      </c>
      <c r="I693">
        <f>IF(ISNA(VLOOKUP($F693,'Raw Data'!$A:$M,9,0)),"",VLOOKUP($F693,'Raw Data'!$A:$M,9,0))</f>
        <v>-19.721800000000002</v>
      </c>
      <c r="J693">
        <f>IF(ISNA(VLOOKUP($F693,'Raw Data'!$A:$M,10,0)),"",VLOOKUP($F693,'Raw Data'!$A:$M,10,0))</f>
        <v>24.998200000000001</v>
      </c>
      <c r="K693">
        <f>IF(ISNA(VLOOKUP($F693,'Raw Data'!$A:$M,11,0)),"",VLOOKUP($F693,'Raw Data'!$A:$M,11,0))</f>
        <v>-18.0487</v>
      </c>
      <c r="L693">
        <f>IF(ISNA(VLOOKUP($F693,'Raw Data'!$A:$M,12,0)),"",VLOOKUP($F693,'Raw Data'!$A:$M,12,0))</f>
        <v>-3.1945000000000001</v>
      </c>
      <c r="M693">
        <f>IF(ISNA(VLOOKUP($F693,'Raw Data'!$A:$M,13,0)),"",VLOOKUP($F693,'Raw Data'!$A:$M,13,0))</f>
        <v>14.854200000000001</v>
      </c>
    </row>
    <row r="694" spans="1:13" x14ac:dyDescent="0.25">
      <c r="A694" t="s">
        <v>38</v>
      </c>
      <c r="B694">
        <v>2012</v>
      </c>
      <c r="C694">
        <v>4</v>
      </c>
      <c r="D694" s="3">
        <v>780</v>
      </c>
      <c r="E694" s="3" t="s">
        <v>9</v>
      </c>
      <c r="F694" s="3" t="str">
        <f t="shared" si="10"/>
        <v>FGU920124780100+</v>
      </c>
      <c r="G694">
        <f>IF(ISNA(VLOOKUP($F694,'Raw Data'!$A:$M,7,0)),"",VLOOKUP($F694,'Raw Data'!$A:$M,7,0))</f>
        <v>2408820.9300000002</v>
      </c>
      <c r="H694">
        <f>IF(ISNA(VLOOKUP($F694,'Raw Data'!$A:$M,8,0)),"",VLOOKUP($F694,'Raw Data'!$A:$M,8,0))</f>
        <v>-52.4488638010343</v>
      </c>
      <c r="I694">
        <f>IF(ISNA(VLOOKUP($F694,'Raw Data'!$A:$M,9,0)),"",VLOOKUP($F694,'Raw Data'!$A:$M,9,0))</f>
        <v>-27.4488638010343</v>
      </c>
      <c r="J694">
        <f>IF(ISNA(VLOOKUP($F694,'Raw Data'!$A:$M,10,0)),"",VLOOKUP($F694,'Raw Data'!$A:$M,10,0))</f>
        <v>25</v>
      </c>
      <c r="K694">
        <f>IF(ISNA(VLOOKUP($F694,'Raw Data'!$A:$M,11,0)),"",VLOOKUP($F694,'Raw Data'!$A:$M,11,0))</f>
        <v>-28.789341402704402</v>
      </c>
      <c r="L694">
        <f>IF(ISNA(VLOOKUP($F694,'Raw Data'!$A:$M,12,0)),"",VLOOKUP($F694,'Raw Data'!$A:$M,12,0))</f>
        <v>-12.9863589566448</v>
      </c>
      <c r="M694">
        <f>IF(ISNA(VLOOKUP($F694,'Raw Data'!$A:$M,13,0)),"",VLOOKUP($F694,'Raw Data'!$A:$M,13,0))</f>
        <v>15.8029824460596</v>
      </c>
    </row>
    <row r="695" spans="1:13" x14ac:dyDescent="0.25">
      <c r="A695" t="s">
        <v>38</v>
      </c>
      <c r="B695">
        <v>2013</v>
      </c>
      <c r="C695">
        <v>4</v>
      </c>
      <c r="D695" s="3">
        <v>620</v>
      </c>
      <c r="E695" s="3">
        <v>80</v>
      </c>
      <c r="F695" s="3" t="str">
        <f t="shared" si="10"/>
        <v>FGU92013462080</v>
      </c>
      <c r="G695" t="str">
        <f>IF(ISNA(VLOOKUP($F695,'Raw Data'!$A:$M,7,0)),"",VLOOKUP($F695,'Raw Data'!$A:$M,7,0))</f>
        <v/>
      </c>
      <c r="H695" t="str">
        <f>IF(ISNA(VLOOKUP($F695,'Raw Data'!$A:$M,8,0)),"",VLOOKUP($F695,'Raw Data'!$A:$M,8,0))</f>
        <v/>
      </c>
      <c r="I695" t="str">
        <f>IF(ISNA(VLOOKUP($F695,'Raw Data'!$A:$M,9,0)),"",VLOOKUP($F695,'Raw Data'!$A:$M,9,0))</f>
        <v/>
      </c>
      <c r="J695" t="str">
        <f>IF(ISNA(VLOOKUP($F695,'Raw Data'!$A:$M,10,0)),"",VLOOKUP($F695,'Raw Data'!$A:$M,10,0))</f>
        <v/>
      </c>
      <c r="K695" t="str">
        <f>IF(ISNA(VLOOKUP($F695,'Raw Data'!$A:$M,11,0)),"",VLOOKUP($F695,'Raw Data'!$A:$M,11,0))</f>
        <v/>
      </c>
      <c r="L695" t="str">
        <f>IF(ISNA(VLOOKUP($F695,'Raw Data'!$A:$M,12,0)),"",VLOOKUP($F695,'Raw Data'!$A:$M,12,0))</f>
        <v/>
      </c>
      <c r="M695" t="str">
        <f>IF(ISNA(VLOOKUP($F695,'Raw Data'!$A:$M,13,0)),"",VLOOKUP($F695,'Raw Data'!$A:$M,13,0))</f>
        <v/>
      </c>
    </row>
    <row r="696" spans="1:13" x14ac:dyDescent="0.25">
      <c r="A696" t="s">
        <v>38</v>
      </c>
      <c r="B696">
        <v>2013</v>
      </c>
      <c r="C696">
        <v>4</v>
      </c>
      <c r="D696" s="3">
        <v>640</v>
      </c>
      <c r="E696" s="3">
        <v>80</v>
      </c>
      <c r="F696" s="3" t="str">
        <f t="shared" si="10"/>
        <v>FGU92013464080</v>
      </c>
      <c r="G696" t="str">
        <f>IF(ISNA(VLOOKUP($F696,'Raw Data'!$A:$M,7,0)),"",VLOOKUP($F696,'Raw Data'!$A:$M,7,0))</f>
        <v/>
      </c>
      <c r="H696" t="str">
        <f>IF(ISNA(VLOOKUP($F696,'Raw Data'!$A:$M,8,0)),"",VLOOKUP($F696,'Raw Data'!$A:$M,8,0))</f>
        <v/>
      </c>
      <c r="I696" t="str">
        <f>IF(ISNA(VLOOKUP($F696,'Raw Data'!$A:$M,9,0)),"",VLOOKUP($F696,'Raw Data'!$A:$M,9,0))</f>
        <v/>
      </c>
      <c r="J696" t="str">
        <f>IF(ISNA(VLOOKUP($F696,'Raw Data'!$A:$M,10,0)),"",VLOOKUP($F696,'Raw Data'!$A:$M,10,0))</f>
        <v/>
      </c>
      <c r="K696" t="str">
        <f>IF(ISNA(VLOOKUP($F696,'Raw Data'!$A:$M,11,0)),"",VLOOKUP($F696,'Raw Data'!$A:$M,11,0))</f>
        <v/>
      </c>
      <c r="L696" t="str">
        <f>IF(ISNA(VLOOKUP($F696,'Raw Data'!$A:$M,12,0)),"",VLOOKUP($F696,'Raw Data'!$A:$M,12,0))</f>
        <v/>
      </c>
      <c r="M696" t="str">
        <f>IF(ISNA(VLOOKUP($F696,'Raw Data'!$A:$M,13,0)),"",VLOOKUP($F696,'Raw Data'!$A:$M,13,0))</f>
        <v/>
      </c>
    </row>
    <row r="697" spans="1:13" x14ac:dyDescent="0.25">
      <c r="A697" t="s">
        <v>38</v>
      </c>
      <c r="B697">
        <v>2013</v>
      </c>
      <c r="C697">
        <v>4</v>
      </c>
      <c r="D697" s="3">
        <v>660</v>
      </c>
      <c r="E697" s="3">
        <v>80</v>
      </c>
      <c r="F697" s="3" t="str">
        <f t="shared" si="10"/>
        <v>FGU92013466080</v>
      </c>
      <c r="G697" t="str">
        <f>IF(ISNA(VLOOKUP($F697,'Raw Data'!$A:$M,7,0)),"",VLOOKUP($F697,'Raw Data'!$A:$M,7,0))</f>
        <v/>
      </c>
      <c r="H697" t="str">
        <f>IF(ISNA(VLOOKUP($F697,'Raw Data'!$A:$M,8,0)),"",VLOOKUP($F697,'Raw Data'!$A:$M,8,0))</f>
        <v/>
      </c>
      <c r="I697" t="str">
        <f>IF(ISNA(VLOOKUP($F697,'Raw Data'!$A:$M,9,0)),"",VLOOKUP($F697,'Raw Data'!$A:$M,9,0))</f>
        <v/>
      </c>
      <c r="J697" t="str">
        <f>IF(ISNA(VLOOKUP($F697,'Raw Data'!$A:$M,10,0)),"",VLOOKUP($F697,'Raw Data'!$A:$M,10,0))</f>
        <v/>
      </c>
      <c r="K697" t="str">
        <f>IF(ISNA(VLOOKUP($F697,'Raw Data'!$A:$M,11,0)),"",VLOOKUP($F697,'Raw Data'!$A:$M,11,0))</f>
        <v/>
      </c>
      <c r="L697" t="str">
        <f>IF(ISNA(VLOOKUP($F697,'Raw Data'!$A:$M,12,0)),"",VLOOKUP($F697,'Raw Data'!$A:$M,12,0))</f>
        <v/>
      </c>
      <c r="M697" t="str">
        <f>IF(ISNA(VLOOKUP($F697,'Raw Data'!$A:$M,13,0)),"",VLOOKUP($F697,'Raw Data'!$A:$M,13,0))</f>
        <v/>
      </c>
    </row>
    <row r="698" spans="1:13" x14ac:dyDescent="0.25">
      <c r="A698" t="s">
        <v>38</v>
      </c>
      <c r="B698">
        <v>2013</v>
      </c>
      <c r="C698">
        <v>4</v>
      </c>
      <c r="D698" s="3">
        <v>680</v>
      </c>
      <c r="E698" s="3">
        <v>80</v>
      </c>
      <c r="F698" s="3" t="str">
        <f t="shared" si="10"/>
        <v>FGU92013468080</v>
      </c>
      <c r="G698" t="str">
        <f>IF(ISNA(VLOOKUP($F698,'Raw Data'!$A:$M,7,0)),"",VLOOKUP($F698,'Raw Data'!$A:$M,7,0))</f>
        <v/>
      </c>
      <c r="H698" t="str">
        <f>IF(ISNA(VLOOKUP($F698,'Raw Data'!$A:$M,8,0)),"",VLOOKUP($F698,'Raw Data'!$A:$M,8,0))</f>
        <v/>
      </c>
      <c r="I698" t="str">
        <f>IF(ISNA(VLOOKUP($F698,'Raw Data'!$A:$M,9,0)),"",VLOOKUP($F698,'Raw Data'!$A:$M,9,0))</f>
        <v/>
      </c>
      <c r="J698" t="str">
        <f>IF(ISNA(VLOOKUP($F698,'Raw Data'!$A:$M,10,0)),"",VLOOKUP($F698,'Raw Data'!$A:$M,10,0))</f>
        <v/>
      </c>
      <c r="K698" t="str">
        <f>IF(ISNA(VLOOKUP($F698,'Raw Data'!$A:$M,11,0)),"",VLOOKUP($F698,'Raw Data'!$A:$M,11,0))</f>
        <v/>
      </c>
      <c r="L698" t="str">
        <f>IF(ISNA(VLOOKUP($F698,'Raw Data'!$A:$M,12,0)),"",VLOOKUP($F698,'Raw Data'!$A:$M,12,0))</f>
        <v/>
      </c>
      <c r="M698" t="str">
        <f>IF(ISNA(VLOOKUP($F698,'Raw Data'!$A:$M,13,0)),"",VLOOKUP($F698,'Raw Data'!$A:$M,13,0))</f>
        <v/>
      </c>
    </row>
    <row r="699" spans="1:13" x14ac:dyDescent="0.25">
      <c r="A699" t="s">
        <v>38</v>
      </c>
      <c r="B699">
        <v>2013</v>
      </c>
      <c r="C699">
        <v>4</v>
      </c>
      <c r="D699" s="3">
        <v>700</v>
      </c>
      <c r="E699" s="3">
        <v>80</v>
      </c>
      <c r="F699" s="3" t="str">
        <f t="shared" si="10"/>
        <v>FGU92013470080</v>
      </c>
      <c r="G699" t="str">
        <f>IF(ISNA(VLOOKUP($F699,'Raw Data'!$A:$M,7,0)),"",VLOOKUP($F699,'Raw Data'!$A:$M,7,0))</f>
        <v/>
      </c>
      <c r="H699" t="str">
        <f>IF(ISNA(VLOOKUP($F699,'Raw Data'!$A:$M,8,0)),"",VLOOKUP($F699,'Raw Data'!$A:$M,8,0))</f>
        <v/>
      </c>
      <c r="I699" t="str">
        <f>IF(ISNA(VLOOKUP($F699,'Raw Data'!$A:$M,9,0)),"",VLOOKUP($F699,'Raw Data'!$A:$M,9,0))</f>
        <v/>
      </c>
      <c r="J699" t="str">
        <f>IF(ISNA(VLOOKUP($F699,'Raw Data'!$A:$M,10,0)),"",VLOOKUP($F699,'Raw Data'!$A:$M,10,0))</f>
        <v/>
      </c>
      <c r="K699" t="str">
        <f>IF(ISNA(VLOOKUP($F699,'Raw Data'!$A:$M,11,0)),"",VLOOKUP($F699,'Raw Data'!$A:$M,11,0))</f>
        <v/>
      </c>
      <c r="L699" t="str">
        <f>IF(ISNA(VLOOKUP($F699,'Raw Data'!$A:$M,12,0)),"",VLOOKUP($F699,'Raw Data'!$A:$M,12,0))</f>
        <v/>
      </c>
      <c r="M699" t="str">
        <f>IF(ISNA(VLOOKUP($F699,'Raw Data'!$A:$M,13,0)),"",VLOOKUP($F699,'Raw Data'!$A:$M,13,0))</f>
        <v/>
      </c>
    </row>
    <row r="700" spans="1:13" x14ac:dyDescent="0.25">
      <c r="A700" t="s">
        <v>38</v>
      </c>
      <c r="B700">
        <v>2013</v>
      </c>
      <c r="C700">
        <v>4</v>
      </c>
      <c r="D700" s="3">
        <v>720</v>
      </c>
      <c r="E700" s="3">
        <v>80</v>
      </c>
      <c r="F700" s="3" t="str">
        <f t="shared" si="10"/>
        <v>FGU92013472080</v>
      </c>
      <c r="G700" t="str">
        <f>IF(ISNA(VLOOKUP($F700,'Raw Data'!$A:$M,7,0)),"",VLOOKUP($F700,'Raw Data'!$A:$M,7,0))</f>
        <v/>
      </c>
      <c r="H700" t="str">
        <f>IF(ISNA(VLOOKUP($F700,'Raw Data'!$A:$M,8,0)),"",VLOOKUP($F700,'Raw Data'!$A:$M,8,0))</f>
        <v/>
      </c>
      <c r="I700" t="str">
        <f>IF(ISNA(VLOOKUP($F700,'Raw Data'!$A:$M,9,0)),"",VLOOKUP($F700,'Raw Data'!$A:$M,9,0))</f>
        <v/>
      </c>
      <c r="J700" t="str">
        <f>IF(ISNA(VLOOKUP($F700,'Raw Data'!$A:$M,10,0)),"",VLOOKUP($F700,'Raw Data'!$A:$M,10,0))</f>
        <v/>
      </c>
      <c r="K700" t="str">
        <f>IF(ISNA(VLOOKUP($F700,'Raw Data'!$A:$M,11,0)),"",VLOOKUP($F700,'Raw Data'!$A:$M,11,0))</f>
        <v/>
      </c>
      <c r="L700" t="str">
        <f>IF(ISNA(VLOOKUP($F700,'Raw Data'!$A:$M,12,0)),"",VLOOKUP($F700,'Raw Data'!$A:$M,12,0))</f>
        <v/>
      </c>
      <c r="M700" t="str">
        <f>IF(ISNA(VLOOKUP($F700,'Raw Data'!$A:$M,13,0)),"",VLOOKUP($F700,'Raw Data'!$A:$M,13,0))</f>
        <v/>
      </c>
    </row>
    <row r="701" spans="1:13" x14ac:dyDescent="0.25">
      <c r="A701" t="s">
        <v>38</v>
      </c>
      <c r="B701">
        <v>2013</v>
      </c>
      <c r="C701">
        <v>4</v>
      </c>
      <c r="D701" s="3">
        <v>740</v>
      </c>
      <c r="E701" s="3">
        <v>80</v>
      </c>
      <c r="F701" s="3" t="str">
        <f t="shared" si="10"/>
        <v>FGU92013474080</v>
      </c>
      <c r="G701" t="str">
        <f>IF(ISNA(VLOOKUP($F701,'Raw Data'!$A:$M,7,0)),"",VLOOKUP($F701,'Raw Data'!$A:$M,7,0))</f>
        <v/>
      </c>
      <c r="H701" t="str">
        <f>IF(ISNA(VLOOKUP($F701,'Raw Data'!$A:$M,8,0)),"",VLOOKUP($F701,'Raw Data'!$A:$M,8,0))</f>
        <v/>
      </c>
      <c r="I701" t="str">
        <f>IF(ISNA(VLOOKUP($F701,'Raw Data'!$A:$M,9,0)),"",VLOOKUP($F701,'Raw Data'!$A:$M,9,0))</f>
        <v/>
      </c>
      <c r="J701" t="str">
        <f>IF(ISNA(VLOOKUP($F701,'Raw Data'!$A:$M,10,0)),"",VLOOKUP($F701,'Raw Data'!$A:$M,10,0))</f>
        <v/>
      </c>
      <c r="K701" t="str">
        <f>IF(ISNA(VLOOKUP($F701,'Raw Data'!$A:$M,11,0)),"",VLOOKUP($F701,'Raw Data'!$A:$M,11,0))</f>
        <v/>
      </c>
      <c r="L701" t="str">
        <f>IF(ISNA(VLOOKUP($F701,'Raw Data'!$A:$M,12,0)),"",VLOOKUP($F701,'Raw Data'!$A:$M,12,0))</f>
        <v/>
      </c>
      <c r="M701" t="str">
        <f>IF(ISNA(VLOOKUP($F701,'Raw Data'!$A:$M,13,0)),"",VLOOKUP($F701,'Raw Data'!$A:$M,13,0))</f>
        <v/>
      </c>
    </row>
    <row r="702" spans="1:13" x14ac:dyDescent="0.25">
      <c r="A702" t="s">
        <v>38</v>
      </c>
      <c r="B702">
        <v>2013</v>
      </c>
      <c r="C702">
        <v>4</v>
      </c>
      <c r="D702" s="3">
        <v>760</v>
      </c>
      <c r="E702" s="3">
        <v>80</v>
      </c>
      <c r="F702" s="3" t="str">
        <f t="shared" si="10"/>
        <v>FGU92013476080</v>
      </c>
      <c r="G702" t="str">
        <f>IF(ISNA(VLOOKUP($F702,'Raw Data'!$A:$M,7,0)),"",VLOOKUP($F702,'Raw Data'!$A:$M,7,0))</f>
        <v/>
      </c>
      <c r="H702" t="str">
        <f>IF(ISNA(VLOOKUP($F702,'Raw Data'!$A:$M,8,0)),"",VLOOKUP($F702,'Raw Data'!$A:$M,8,0))</f>
        <v/>
      </c>
      <c r="I702" t="str">
        <f>IF(ISNA(VLOOKUP($F702,'Raw Data'!$A:$M,9,0)),"",VLOOKUP($F702,'Raw Data'!$A:$M,9,0))</f>
        <v/>
      </c>
      <c r="J702" t="str">
        <f>IF(ISNA(VLOOKUP($F702,'Raw Data'!$A:$M,10,0)),"",VLOOKUP($F702,'Raw Data'!$A:$M,10,0))</f>
        <v/>
      </c>
      <c r="K702" t="str">
        <f>IF(ISNA(VLOOKUP($F702,'Raw Data'!$A:$M,11,0)),"",VLOOKUP($F702,'Raw Data'!$A:$M,11,0))</f>
        <v/>
      </c>
      <c r="L702" t="str">
        <f>IF(ISNA(VLOOKUP($F702,'Raw Data'!$A:$M,12,0)),"",VLOOKUP($F702,'Raw Data'!$A:$M,12,0))</f>
        <v/>
      </c>
      <c r="M702" t="str">
        <f>IF(ISNA(VLOOKUP($F702,'Raw Data'!$A:$M,13,0)),"",VLOOKUP($F702,'Raw Data'!$A:$M,13,0))</f>
        <v/>
      </c>
    </row>
    <row r="703" spans="1:13" x14ac:dyDescent="0.25">
      <c r="A703" t="s">
        <v>38</v>
      </c>
      <c r="B703">
        <v>2013</v>
      </c>
      <c r="C703">
        <v>4</v>
      </c>
      <c r="D703" s="3">
        <v>780</v>
      </c>
      <c r="E703" s="3">
        <v>80</v>
      </c>
      <c r="F703" s="3" t="str">
        <f t="shared" si="10"/>
        <v>FGU92013478080</v>
      </c>
      <c r="G703" t="str">
        <f>IF(ISNA(VLOOKUP($F703,'Raw Data'!$A:$M,7,0)),"",VLOOKUP($F703,'Raw Data'!$A:$M,7,0))</f>
        <v/>
      </c>
      <c r="H703" t="str">
        <f>IF(ISNA(VLOOKUP($F703,'Raw Data'!$A:$M,8,0)),"",VLOOKUP($F703,'Raw Data'!$A:$M,8,0))</f>
        <v/>
      </c>
      <c r="I703" t="str">
        <f>IF(ISNA(VLOOKUP($F703,'Raw Data'!$A:$M,9,0)),"",VLOOKUP($F703,'Raw Data'!$A:$M,9,0))</f>
        <v/>
      </c>
      <c r="J703" t="str">
        <f>IF(ISNA(VLOOKUP($F703,'Raw Data'!$A:$M,10,0)),"",VLOOKUP($F703,'Raw Data'!$A:$M,10,0))</f>
        <v/>
      </c>
      <c r="K703" t="str">
        <f>IF(ISNA(VLOOKUP($F703,'Raw Data'!$A:$M,11,0)),"",VLOOKUP($F703,'Raw Data'!$A:$M,11,0))</f>
        <v/>
      </c>
      <c r="L703" t="str">
        <f>IF(ISNA(VLOOKUP($F703,'Raw Data'!$A:$M,12,0)),"",VLOOKUP($F703,'Raw Data'!$A:$M,12,0))</f>
        <v/>
      </c>
      <c r="M703" t="str">
        <f>IF(ISNA(VLOOKUP($F703,'Raw Data'!$A:$M,13,0)),"",VLOOKUP($F703,'Raw Data'!$A:$M,13,0))</f>
        <v/>
      </c>
    </row>
    <row r="704" spans="1:13" x14ac:dyDescent="0.25">
      <c r="A704" t="s">
        <v>38</v>
      </c>
      <c r="B704">
        <v>2013</v>
      </c>
      <c r="C704">
        <v>4</v>
      </c>
      <c r="D704" s="3">
        <v>620</v>
      </c>
      <c r="E704" s="3">
        <v>85</v>
      </c>
      <c r="F704" s="3" t="str">
        <f t="shared" si="10"/>
        <v>FGU92013462085</v>
      </c>
      <c r="G704" t="str">
        <f>IF(ISNA(VLOOKUP($F704,'Raw Data'!$A:$M,7,0)),"",VLOOKUP($F704,'Raw Data'!$A:$M,7,0))</f>
        <v/>
      </c>
      <c r="H704" t="str">
        <f>IF(ISNA(VLOOKUP($F704,'Raw Data'!$A:$M,8,0)),"",VLOOKUP($F704,'Raw Data'!$A:$M,8,0))</f>
        <v/>
      </c>
      <c r="I704" t="str">
        <f>IF(ISNA(VLOOKUP($F704,'Raw Data'!$A:$M,9,0)),"",VLOOKUP($F704,'Raw Data'!$A:$M,9,0))</f>
        <v/>
      </c>
      <c r="J704" t="str">
        <f>IF(ISNA(VLOOKUP($F704,'Raw Data'!$A:$M,10,0)),"",VLOOKUP($F704,'Raw Data'!$A:$M,10,0))</f>
        <v/>
      </c>
      <c r="K704" t="str">
        <f>IF(ISNA(VLOOKUP($F704,'Raw Data'!$A:$M,11,0)),"",VLOOKUP($F704,'Raw Data'!$A:$M,11,0))</f>
        <v/>
      </c>
      <c r="L704" t="str">
        <f>IF(ISNA(VLOOKUP($F704,'Raw Data'!$A:$M,12,0)),"",VLOOKUP($F704,'Raw Data'!$A:$M,12,0))</f>
        <v/>
      </c>
      <c r="M704" t="str">
        <f>IF(ISNA(VLOOKUP($F704,'Raw Data'!$A:$M,13,0)),"",VLOOKUP($F704,'Raw Data'!$A:$M,13,0))</f>
        <v/>
      </c>
    </row>
    <row r="705" spans="1:13" x14ac:dyDescent="0.25">
      <c r="A705" t="s">
        <v>38</v>
      </c>
      <c r="B705">
        <v>2013</v>
      </c>
      <c r="C705">
        <v>4</v>
      </c>
      <c r="D705" s="3">
        <v>640</v>
      </c>
      <c r="E705" s="3">
        <v>85</v>
      </c>
      <c r="F705" s="3" t="str">
        <f t="shared" si="10"/>
        <v>FGU92013464085</v>
      </c>
      <c r="G705" t="str">
        <f>IF(ISNA(VLOOKUP($F705,'Raw Data'!$A:$M,7,0)),"",VLOOKUP($F705,'Raw Data'!$A:$M,7,0))</f>
        <v/>
      </c>
      <c r="H705" t="str">
        <f>IF(ISNA(VLOOKUP($F705,'Raw Data'!$A:$M,8,0)),"",VLOOKUP($F705,'Raw Data'!$A:$M,8,0))</f>
        <v/>
      </c>
      <c r="I705" t="str">
        <f>IF(ISNA(VLOOKUP($F705,'Raw Data'!$A:$M,9,0)),"",VLOOKUP($F705,'Raw Data'!$A:$M,9,0))</f>
        <v/>
      </c>
      <c r="J705" t="str">
        <f>IF(ISNA(VLOOKUP($F705,'Raw Data'!$A:$M,10,0)),"",VLOOKUP($F705,'Raw Data'!$A:$M,10,0))</f>
        <v/>
      </c>
      <c r="K705" t="str">
        <f>IF(ISNA(VLOOKUP($F705,'Raw Data'!$A:$M,11,0)),"",VLOOKUP($F705,'Raw Data'!$A:$M,11,0))</f>
        <v/>
      </c>
      <c r="L705" t="str">
        <f>IF(ISNA(VLOOKUP($F705,'Raw Data'!$A:$M,12,0)),"",VLOOKUP($F705,'Raw Data'!$A:$M,12,0))</f>
        <v/>
      </c>
      <c r="M705" t="str">
        <f>IF(ISNA(VLOOKUP($F705,'Raw Data'!$A:$M,13,0)),"",VLOOKUP($F705,'Raw Data'!$A:$M,13,0))</f>
        <v/>
      </c>
    </row>
    <row r="706" spans="1:13" x14ac:dyDescent="0.25">
      <c r="A706" t="s">
        <v>38</v>
      </c>
      <c r="B706">
        <v>2013</v>
      </c>
      <c r="C706">
        <v>4</v>
      </c>
      <c r="D706" s="3">
        <v>660</v>
      </c>
      <c r="E706" s="3">
        <v>85</v>
      </c>
      <c r="F706" s="3" t="str">
        <f t="shared" si="10"/>
        <v>FGU92013466085</v>
      </c>
      <c r="G706" t="str">
        <f>IF(ISNA(VLOOKUP($F706,'Raw Data'!$A:$M,7,0)),"",VLOOKUP($F706,'Raw Data'!$A:$M,7,0))</f>
        <v/>
      </c>
      <c r="H706" t="str">
        <f>IF(ISNA(VLOOKUP($F706,'Raw Data'!$A:$M,8,0)),"",VLOOKUP($F706,'Raw Data'!$A:$M,8,0))</f>
        <v/>
      </c>
      <c r="I706" t="str">
        <f>IF(ISNA(VLOOKUP($F706,'Raw Data'!$A:$M,9,0)),"",VLOOKUP($F706,'Raw Data'!$A:$M,9,0))</f>
        <v/>
      </c>
      <c r="J706" t="str">
        <f>IF(ISNA(VLOOKUP($F706,'Raw Data'!$A:$M,10,0)),"",VLOOKUP($F706,'Raw Data'!$A:$M,10,0))</f>
        <v/>
      </c>
      <c r="K706" t="str">
        <f>IF(ISNA(VLOOKUP($F706,'Raw Data'!$A:$M,11,0)),"",VLOOKUP($F706,'Raw Data'!$A:$M,11,0))</f>
        <v/>
      </c>
      <c r="L706" t="str">
        <f>IF(ISNA(VLOOKUP($F706,'Raw Data'!$A:$M,12,0)),"",VLOOKUP($F706,'Raw Data'!$A:$M,12,0))</f>
        <v/>
      </c>
      <c r="M706" t="str">
        <f>IF(ISNA(VLOOKUP($F706,'Raw Data'!$A:$M,13,0)),"",VLOOKUP($F706,'Raw Data'!$A:$M,13,0))</f>
        <v/>
      </c>
    </row>
    <row r="707" spans="1:13" x14ac:dyDescent="0.25">
      <c r="A707" t="s">
        <v>38</v>
      </c>
      <c r="B707">
        <v>2013</v>
      </c>
      <c r="C707">
        <v>4</v>
      </c>
      <c r="D707" s="3">
        <v>680</v>
      </c>
      <c r="E707" s="3">
        <v>85</v>
      </c>
      <c r="F707" s="3" t="str">
        <f t="shared" si="10"/>
        <v>FGU92013468085</v>
      </c>
      <c r="G707" t="str">
        <f>IF(ISNA(VLOOKUP($F707,'Raw Data'!$A:$M,7,0)),"",VLOOKUP($F707,'Raw Data'!$A:$M,7,0))</f>
        <v/>
      </c>
      <c r="H707" t="str">
        <f>IF(ISNA(VLOOKUP($F707,'Raw Data'!$A:$M,8,0)),"",VLOOKUP($F707,'Raw Data'!$A:$M,8,0))</f>
        <v/>
      </c>
      <c r="I707" t="str">
        <f>IF(ISNA(VLOOKUP($F707,'Raw Data'!$A:$M,9,0)),"",VLOOKUP($F707,'Raw Data'!$A:$M,9,0))</f>
        <v/>
      </c>
      <c r="J707" t="str">
        <f>IF(ISNA(VLOOKUP($F707,'Raw Data'!$A:$M,10,0)),"",VLOOKUP($F707,'Raw Data'!$A:$M,10,0))</f>
        <v/>
      </c>
      <c r="K707" t="str">
        <f>IF(ISNA(VLOOKUP($F707,'Raw Data'!$A:$M,11,0)),"",VLOOKUP($F707,'Raw Data'!$A:$M,11,0))</f>
        <v/>
      </c>
      <c r="L707" t="str">
        <f>IF(ISNA(VLOOKUP($F707,'Raw Data'!$A:$M,12,0)),"",VLOOKUP($F707,'Raw Data'!$A:$M,12,0))</f>
        <v/>
      </c>
      <c r="M707" t="str">
        <f>IF(ISNA(VLOOKUP($F707,'Raw Data'!$A:$M,13,0)),"",VLOOKUP($F707,'Raw Data'!$A:$M,13,0))</f>
        <v/>
      </c>
    </row>
    <row r="708" spans="1:13" x14ac:dyDescent="0.25">
      <c r="A708" t="s">
        <v>38</v>
      </c>
      <c r="B708">
        <v>2013</v>
      </c>
      <c r="C708">
        <v>4</v>
      </c>
      <c r="D708" s="3">
        <v>700</v>
      </c>
      <c r="E708" s="3">
        <v>85</v>
      </c>
      <c r="F708" s="3" t="str">
        <f t="shared" ref="F708:F771" si="11">A708&amp;B708&amp;C708&amp;D708&amp;E708</f>
        <v>FGU92013470085</v>
      </c>
      <c r="G708" t="str">
        <f>IF(ISNA(VLOOKUP($F708,'Raw Data'!$A:$M,7,0)),"",VLOOKUP($F708,'Raw Data'!$A:$M,7,0))</f>
        <v/>
      </c>
      <c r="H708" t="str">
        <f>IF(ISNA(VLOOKUP($F708,'Raw Data'!$A:$M,8,0)),"",VLOOKUP($F708,'Raw Data'!$A:$M,8,0))</f>
        <v/>
      </c>
      <c r="I708" t="str">
        <f>IF(ISNA(VLOOKUP($F708,'Raw Data'!$A:$M,9,0)),"",VLOOKUP($F708,'Raw Data'!$A:$M,9,0))</f>
        <v/>
      </c>
      <c r="J708" t="str">
        <f>IF(ISNA(VLOOKUP($F708,'Raw Data'!$A:$M,10,0)),"",VLOOKUP($F708,'Raw Data'!$A:$M,10,0))</f>
        <v/>
      </c>
      <c r="K708" t="str">
        <f>IF(ISNA(VLOOKUP($F708,'Raw Data'!$A:$M,11,0)),"",VLOOKUP($F708,'Raw Data'!$A:$M,11,0))</f>
        <v/>
      </c>
      <c r="L708" t="str">
        <f>IF(ISNA(VLOOKUP($F708,'Raw Data'!$A:$M,12,0)),"",VLOOKUP($F708,'Raw Data'!$A:$M,12,0))</f>
        <v/>
      </c>
      <c r="M708" t="str">
        <f>IF(ISNA(VLOOKUP($F708,'Raw Data'!$A:$M,13,0)),"",VLOOKUP($F708,'Raw Data'!$A:$M,13,0))</f>
        <v/>
      </c>
    </row>
    <row r="709" spans="1:13" x14ac:dyDescent="0.25">
      <c r="A709" t="s">
        <v>38</v>
      </c>
      <c r="B709">
        <v>2013</v>
      </c>
      <c r="C709">
        <v>4</v>
      </c>
      <c r="D709" s="3">
        <v>720</v>
      </c>
      <c r="E709" s="3">
        <v>85</v>
      </c>
      <c r="F709" s="3" t="str">
        <f t="shared" si="11"/>
        <v>FGU92013472085</v>
      </c>
      <c r="G709" t="str">
        <f>IF(ISNA(VLOOKUP($F709,'Raw Data'!$A:$M,7,0)),"",VLOOKUP($F709,'Raw Data'!$A:$M,7,0))</f>
        <v/>
      </c>
      <c r="H709" t="str">
        <f>IF(ISNA(VLOOKUP($F709,'Raw Data'!$A:$M,8,0)),"",VLOOKUP($F709,'Raw Data'!$A:$M,8,0))</f>
        <v/>
      </c>
      <c r="I709" t="str">
        <f>IF(ISNA(VLOOKUP($F709,'Raw Data'!$A:$M,9,0)),"",VLOOKUP($F709,'Raw Data'!$A:$M,9,0))</f>
        <v/>
      </c>
      <c r="J709" t="str">
        <f>IF(ISNA(VLOOKUP($F709,'Raw Data'!$A:$M,10,0)),"",VLOOKUP($F709,'Raw Data'!$A:$M,10,0))</f>
        <v/>
      </c>
      <c r="K709" t="str">
        <f>IF(ISNA(VLOOKUP($F709,'Raw Data'!$A:$M,11,0)),"",VLOOKUP($F709,'Raw Data'!$A:$M,11,0))</f>
        <v/>
      </c>
      <c r="L709" t="str">
        <f>IF(ISNA(VLOOKUP($F709,'Raw Data'!$A:$M,12,0)),"",VLOOKUP($F709,'Raw Data'!$A:$M,12,0))</f>
        <v/>
      </c>
      <c r="M709" t="str">
        <f>IF(ISNA(VLOOKUP($F709,'Raw Data'!$A:$M,13,0)),"",VLOOKUP($F709,'Raw Data'!$A:$M,13,0))</f>
        <v/>
      </c>
    </row>
    <row r="710" spans="1:13" x14ac:dyDescent="0.25">
      <c r="A710" t="s">
        <v>38</v>
      </c>
      <c r="B710">
        <v>2013</v>
      </c>
      <c r="C710">
        <v>4</v>
      </c>
      <c r="D710" s="3">
        <v>740</v>
      </c>
      <c r="E710" s="3">
        <v>85</v>
      </c>
      <c r="F710" s="3" t="str">
        <f t="shared" si="11"/>
        <v>FGU92013474085</v>
      </c>
      <c r="G710" t="str">
        <f>IF(ISNA(VLOOKUP($F710,'Raw Data'!$A:$M,7,0)),"",VLOOKUP($F710,'Raw Data'!$A:$M,7,0))</f>
        <v/>
      </c>
      <c r="H710" t="str">
        <f>IF(ISNA(VLOOKUP($F710,'Raw Data'!$A:$M,8,0)),"",VLOOKUP($F710,'Raw Data'!$A:$M,8,0))</f>
        <v/>
      </c>
      <c r="I710" t="str">
        <f>IF(ISNA(VLOOKUP($F710,'Raw Data'!$A:$M,9,0)),"",VLOOKUP($F710,'Raw Data'!$A:$M,9,0))</f>
        <v/>
      </c>
      <c r="J710" t="str">
        <f>IF(ISNA(VLOOKUP($F710,'Raw Data'!$A:$M,10,0)),"",VLOOKUP($F710,'Raw Data'!$A:$M,10,0))</f>
        <v/>
      </c>
      <c r="K710" t="str">
        <f>IF(ISNA(VLOOKUP($F710,'Raw Data'!$A:$M,11,0)),"",VLOOKUP($F710,'Raw Data'!$A:$M,11,0))</f>
        <v/>
      </c>
      <c r="L710" t="str">
        <f>IF(ISNA(VLOOKUP($F710,'Raw Data'!$A:$M,12,0)),"",VLOOKUP($F710,'Raw Data'!$A:$M,12,0))</f>
        <v/>
      </c>
      <c r="M710" t="str">
        <f>IF(ISNA(VLOOKUP($F710,'Raw Data'!$A:$M,13,0)),"",VLOOKUP($F710,'Raw Data'!$A:$M,13,0))</f>
        <v/>
      </c>
    </row>
    <row r="711" spans="1:13" x14ac:dyDescent="0.25">
      <c r="A711" t="s">
        <v>38</v>
      </c>
      <c r="B711">
        <v>2013</v>
      </c>
      <c r="C711">
        <v>4</v>
      </c>
      <c r="D711" s="3">
        <v>760</v>
      </c>
      <c r="E711" s="3">
        <v>85</v>
      </c>
      <c r="F711" s="3" t="str">
        <f t="shared" si="11"/>
        <v>FGU92013476085</v>
      </c>
      <c r="G711" t="str">
        <f>IF(ISNA(VLOOKUP($F711,'Raw Data'!$A:$M,7,0)),"",VLOOKUP($F711,'Raw Data'!$A:$M,7,0))</f>
        <v/>
      </c>
      <c r="H711" t="str">
        <f>IF(ISNA(VLOOKUP($F711,'Raw Data'!$A:$M,8,0)),"",VLOOKUP($F711,'Raw Data'!$A:$M,8,0))</f>
        <v/>
      </c>
      <c r="I711" t="str">
        <f>IF(ISNA(VLOOKUP($F711,'Raw Data'!$A:$M,9,0)),"",VLOOKUP($F711,'Raw Data'!$A:$M,9,0))</f>
        <v/>
      </c>
      <c r="J711" t="str">
        <f>IF(ISNA(VLOOKUP($F711,'Raw Data'!$A:$M,10,0)),"",VLOOKUP($F711,'Raw Data'!$A:$M,10,0))</f>
        <v/>
      </c>
      <c r="K711" t="str">
        <f>IF(ISNA(VLOOKUP($F711,'Raw Data'!$A:$M,11,0)),"",VLOOKUP($F711,'Raw Data'!$A:$M,11,0))</f>
        <v/>
      </c>
      <c r="L711" t="str">
        <f>IF(ISNA(VLOOKUP($F711,'Raw Data'!$A:$M,12,0)),"",VLOOKUP($F711,'Raw Data'!$A:$M,12,0))</f>
        <v/>
      </c>
      <c r="M711" t="str">
        <f>IF(ISNA(VLOOKUP($F711,'Raw Data'!$A:$M,13,0)),"",VLOOKUP($F711,'Raw Data'!$A:$M,13,0))</f>
        <v/>
      </c>
    </row>
    <row r="712" spans="1:13" x14ac:dyDescent="0.25">
      <c r="A712" t="s">
        <v>38</v>
      </c>
      <c r="B712">
        <v>2013</v>
      </c>
      <c r="C712">
        <v>4</v>
      </c>
      <c r="D712" s="3">
        <v>780</v>
      </c>
      <c r="E712" s="3">
        <v>85</v>
      </c>
      <c r="F712" s="3" t="str">
        <f t="shared" si="11"/>
        <v>FGU92013478085</v>
      </c>
      <c r="G712" t="str">
        <f>IF(ISNA(VLOOKUP($F712,'Raw Data'!$A:$M,7,0)),"",VLOOKUP($F712,'Raw Data'!$A:$M,7,0))</f>
        <v/>
      </c>
      <c r="H712" t="str">
        <f>IF(ISNA(VLOOKUP($F712,'Raw Data'!$A:$M,8,0)),"",VLOOKUP($F712,'Raw Data'!$A:$M,8,0))</f>
        <v/>
      </c>
      <c r="I712" t="str">
        <f>IF(ISNA(VLOOKUP($F712,'Raw Data'!$A:$M,9,0)),"",VLOOKUP($F712,'Raw Data'!$A:$M,9,0))</f>
        <v/>
      </c>
      <c r="J712" t="str">
        <f>IF(ISNA(VLOOKUP($F712,'Raw Data'!$A:$M,10,0)),"",VLOOKUP($F712,'Raw Data'!$A:$M,10,0))</f>
        <v/>
      </c>
      <c r="K712" t="str">
        <f>IF(ISNA(VLOOKUP($F712,'Raw Data'!$A:$M,11,0)),"",VLOOKUP($F712,'Raw Data'!$A:$M,11,0))</f>
        <v/>
      </c>
      <c r="L712" t="str">
        <f>IF(ISNA(VLOOKUP($F712,'Raw Data'!$A:$M,12,0)),"",VLOOKUP($F712,'Raw Data'!$A:$M,12,0))</f>
        <v/>
      </c>
      <c r="M712" t="str">
        <f>IF(ISNA(VLOOKUP($F712,'Raw Data'!$A:$M,13,0)),"",VLOOKUP($F712,'Raw Data'!$A:$M,13,0))</f>
        <v/>
      </c>
    </row>
    <row r="713" spans="1:13" x14ac:dyDescent="0.25">
      <c r="A713" t="s">
        <v>38</v>
      </c>
      <c r="B713">
        <v>2013</v>
      </c>
      <c r="C713">
        <v>4</v>
      </c>
      <c r="D713" s="3">
        <v>620</v>
      </c>
      <c r="E713" s="3">
        <v>90</v>
      </c>
      <c r="F713" s="3" t="str">
        <f t="shared" si="11"/>
        <v>FGU92013462090</v>
      </c>
      <c r="G713" t="str">
        <f>IF(ISNA(VLOOKUP($F713,'Raw Data'!$A:$M,7,0)),"",VLOOKUP($F713,'Raw Data'!$A:$M,7,0))</f>
        <v/>
      </c>
      <c r="H713" t="str">
        <f>IF(ISNA(VLOOKUP($F713,'Raw Data'!$A:$M,8,0)),"",VLOOKUP($F713,'Raw Data'!$A:$M,8,0))</f>
        <v/>
      </c>
      <c r="I713" t="str">
        <f>IF(ISNA(VLOOKUP($F713,'Raw Data'!$A:$M,9,0)),"",VLOOKUP($F713,'Raw Data'!$A:$M,9,0))</f>
        <v/>
      </c>
      <c r="J713" t="str">
        <f>IF(ISNA(VLOOKUP($F713,'Raw Data'!$A:$M,10,0)),"",VLOOKUP($F713,'Raw Data'!$A:$M,10,0))</f>
        <v/>
      </c>
      <c r="K713" t="str">
        <f>IF(ISNA(VLOOKUP($F713,'Raw Data'!$A:$M,11,0)),"",VLOOKUP($F713,'Raw Data'!$A:$M,11,0))</f>
        <v/>
      </c>
      <c r="L713" t="str">
        <f>IF(ISNA(VLOOKUP($F713,'Raw Data'!$A:$M,12,0)),"",VLOOKUP($F713,'Raw Data'!$A:$M,12,0))</f>
        <v/>
      </c>
      <c r="M713" t="str">
        <f>IF(ISNA(VLOOKUP($F713,'Raw Data'!$A:$M,13,0)),"",VLOOKUP($F713,'Raw Data'!$A:$M,13,0))</f>
        <v/>
      </c>
    </row>
    <row r="714" spans="1:13" x14ac:dyDescent="0.25">
      <c r="A714" t="s">
        <v>38</v>
      </c>
      <c r="B714">
        <v>2013</v>
      </c>
      <c r="C714">
        <v>4</v>
      </c>
      <c r="D714" s="3">
        <v>640</v>
      </c>
      <c r="E714" s="3">
        <v>90</v>
      </c>
      <c r="F714" s="3" t="str">
        <f t="shared" si="11"/>
        <v>FGU92013464090</v>
      </c>
      <c r="G714" t="str">
        <f>IF(ISNA(VLOOKUP($F714,'Raw Data'!$A:$M,7,0)),"",VLOOKUP($F714,'Raw Data'!$A:$M,7,0))</f>
        <v/>
      </c>
      <c r="H714" t="str">
        <f>IF(ISNA(VLOOKUP($F714,'Raw Data'!$A:$M,8,0)),"",VLOOKUP($F714,'Raw Data'!$A:$M,8,0))</f>
        <v/>
      </c>
      <c r="I714" t="str">
        <f>IF(ISNA(VLOOKUP($F714,'Raw Data'!$A:$M,9,0)),"",VLOOKUP($F714,'Raw Data'!$A:$M,9,0))</f>
        <v/>
      </c>
      <c r="J714" t="str">
        <f>IF(ISNA(VLOOKUP($F714,'Raw Data'!$A:$M,10,0)),"",VLOOKUP($F714,'Raw Data'!$A:$M,10,0))</f>
        <v/>
      </c>
      <c r="K714" t="str">
        <f>IF(ISNA(VLOOKUP($F714,'Raw Data'!$A:$M,11,0)),"",VLOOKUP($F714,'Raw Data'!$A:$M,11,0))</f>
        <v/>
      </c>
      <c r="L714" t="str">
        <f>IF(ISNA(VLOOKUP($F714,'Raw Data'!$A:$M,12,0)),"",VLOOKUP($F714,'Raw Data'!$A:$M,12,0))</f>
        <v/>
      </c>
      <c r="M714" t="str">
        <f>IF(ISNA(VLOOKUP($F714,'Raw Data'!$A:$M,13,0)),"",VLOOKUP($F714,'Raw Data'!$A:$M,13,0))</f>
        <v/>
      </c>
    </row>
    <row r="715" spans="1:13" x14ac:dyDescent="0.25">
      <c r="A715" t="s">
        <v>38</v>
      </c>
      <c r="B715">
        <v>2013</v>
      </c>
      <c r="C715">
        <v>4</v>
      </c>
      <c r="D715" s="3">
        <v>660</v>
      </c>
      <c r="E715" s="3">
        <v>90</v>
      </c>
      <c r="F715" s="3" t="str">
        <f t="shared" si="11"/>
        <v>FGU92013466090</v>
      </c>
      <c r="G715" t="str">
        <f>IF(ISNA(VLOOKUP($F715,'Raw Data'!$A:$M,7,0)),"",VLOOKUP($F715,'Raw Data'!$A:$M,7,0))</f>
        <v/>
      </c>
      <c r="H715" t="str">
        <f>IF(ISNA(VLOOKUP($F715,'Raw Data'!$A:$M,8,0)),"",VLOOKUP($F715,'Raw Data'!$A:$M,8,0))</f>
        <v/>
      </c>
      <c r="I715" t="str">
        <f>IF(ISNA(VLOOKUP($F715,'Raw Data'!$A:$M,9,0)),"",VLOOKUP($F715,'Raw Data'!$A:$M,9,0))</f>
        <v/>
      </c>
      <c r="J715" t="str">
        <f>IF(ISNA(VLOOKUP($F715,'Raw Data'!$A:$M,10,0)),"",VLOOKUP($F715,'Raw Data'!$A:$M,10,0))</f>
        <v/>
      </c>
      <c r="K715" t="str">
        <f>IF(ISNA(VLOOKUP($F715,'Raw Data'!$A:$M,11,0)),"",VLOOKUP($F715,'Raw Data'!$A:$M,11,0))</f>
        <v/>
      </c>
      <c r="L715" t="str">
        <f>IF(ISNA(VLOOKUP($F715,'Raw Data'!$A:$M,12,0)),"",VLOOKUP($F715,'Raw Data'!$A:$M,12,0))</f>
        <v/>
      </c>
      <c r="M715" t="str">
        <f>IF(ISNA(VLOOKUP($F715,'Raw Data'!$A:$M,13,0)),"",VLOOKUP($F715,'Raw Data'!$A:$M,13,0))</f>
        <v/>
      </c>
    </row>
    <row r="716" spans="1:13" x14ac:dyDescent="0.25">
      <c r="A716" t="s">
        <v>38</v>
      </c>
      <c r="B716">
        <v>2013</v>
      </c>
      <c r="C716">
        <v>4</v>
      </c>
      <c r="D716" s="3">
        <v>680</v>
      </c>
      <c r="E716" s="3">
        <v>90</v>
      </c>
      <c r="F716" s="3" t="str">
        <f t="shared" si="11"/>
        <v>FGU92013468090</v>
      </c>
      <c r="G716" t="str">
        <f>IF(ISNA(VLOOKUP($F716,'Raw Data'!$A:$M,7,0)),"",VLOOKUP($F716,'Raw Data'!$A:$M,7,0))</f>
        <v/>
      </c>
      <c r="H716" t="str">
        <f>IF(ISNA(VLOOKUP($F716,'Raw Data'!$A:$M,8,0)),"",VLOOKUP($F716,'Raw Data'!$A:$M,8,0))</f>
        <v/>
      </c>
      <c r="I716" t="str">
        <f>IF(ISNA(VLOOKUP($F716,'Raw Data'!$A:$M,9,0)),"",VLOOKUP($F716,'Raw Data'!$A:$M,9,0))</f>
        <v/>
      </c>
      <c r="J716" t="str">
        <f>IF(ISNA(VLOOKUP($F716,'Raw Data'!$A:$M,10,0)),"",VLOOKUP($F716,'Raw Data'!$A:$M,10,0))</f>
        <v/>
      </c>
      <c r="K716" t="str">
        <f>IF(ISNA(VLOOKUP($F716,'Raw Data'!$A:$M,11,0)),"",VLOOKUP($F716,'Raw Data'!$A:$M,11,0))</f>
        <v/>
      </c>
      <c r="L716" t="str">
        <f>IF(ISNA(VLOOKUP($F716,'Raw Data'!$A:$M,12,0)),"",VLOOKUP($F716,'Raw Data'!$A:$M,12,0))</f>
        <v/>
      </c>
      <c r="M716" t="str">
        <f>IF(ISNA(VLOOKUP($F716,'Raw Data'!$A:$M,13,0)),"",VLOOKUP($F716,'Raw Data'!$A:$M,13,0))</f>
        <v/>
      </c>
    </row>
    <row r="717" spans="1:13" x14ac:dyDescent="0.25">
      <c r="A717" t="s">
        <v>38</v>
      </c>
      <c r="B717">
        <v>2013</v>
      </c>
      <c r="C717">
        <v>4</v>
      </c>
      <c r="D717" s="3">
        <v>700</v>
      </c>
      <c r="E717" s="3">
        <v>90</v>
      </c>
      <c r="F717" s="3" t="str">
        <f t="shared" si="11"/>
        <v>FGU92013470090</v>
      </c>
      <c r="G717" t="str">
        <f>IF(ISNA(VLOOKUP($F717,'Raw Data'!$A:$M,7,0)),"",VLOOKUP($F717,'Raw Data'!$A:$M,7,0))</f>
        <v/>
      </c>
      <c r="H717" t="str">
        <f>IF(ISNA(VLOOKUP($F717,'Raw Data'!$A:$M,8,0)),"",VLOOKUP($F717,'Raw Data'!$A:$M,8,0))</f>
        <v/>
      </c>
      <c r="I717" t="str">
        <f>IF(ISNA(VLOOKUP($F717,'Raw Data'!$A:$M,9,0)),"",VLOOKUP($F717,'Raw Data'!$A:$M,9,0))</f>
        <v/>
      </c>
      <c r="J717" t="str">
        <f>IF(ISNA(VLOOKUP($F717,'Raw Data'!$A:$M,10,0)),"",VLOOKUP($F717,'Raw Data'!$A:$M,10,0))</f>
        <v/>
      </c>
      <c r="K717" t="str">
        <f>IF(ISNA(VLOOKUP($F717,'Raw Data'!$A:$M,11,0)),"",VLOOKUP($F717,'Raw Data'!$A:$M,11,0))</f>
        <v/>
      </c>
      <c r="L717" t="str">
        <f>IF(ISNA(VLOOKUP($F717,'Raw Data'!$A:$M,12,0)),"",VLOOKUP($F717,'Raw Data'!$A:$M,12,0))</f>
        <v/>
      </c>
      <c r="M717" t="str">
        <f>IF(ISNA(VLOOKUP($F717,'Raw Data'!$A:$M,13,0)),"",VLOOKUP($F717,'Raw Data'!$A:$M,13,0))</f>
        <v/>
      </c>
    </row>
    <row r="718" spans="1:13" x14ac:dyDescent="0.25">
      <c r="A718" t="s">
        <v>38</v>
      </c>
      <c r="B718">
        <v>2013</v>
      </c>
      <c r="C718">
        <v>4</v>
      </c>
      <c r="D718" s="3">
        <v>720</v>
      </c>
      <c r="E718" s="3">
        <v>90</v>
      </c>
      <c r="F718" s="3" t="str">
        <f t="shared" si="11"/>
        <v>FGU92013472090</v>
      </c>
      <c r="G718" t="str">
        <f>IF(ISNA(VLOOKUP($F718,'Raw Data'!$A:$M,7,0)),"",VLOOKUP($F718,'Raw Data'!$A:$M,7,0))</f>
        <v/>
      </c>
      <c r="H718" t="str">
        <f>IF(ISNA(VLOOKUP($F718,'Raw Data'!$A:$M,8,0)),"",VLOOKUP($F718,'Raw Data'!$A:$M,8,0))</f>
        <v/>
      </c>
      <c r="I718" t="str">
        <f>IF(ISNA(VLOOKUP($F718,'Raw Data'!$A:$M,9,0)),"",VLOOKUP($F718,'Raw Data'!$A:$M,9,0))</f>
        <v/>
      </c>
      <c r="J718" t="str">
        <f>IF(ISNA(VLOOKUP($F718,'Raw Data'!$A:$M,10,0)),"",VLOOKUP($F718,'Raw Data'!$A:$M,10,0))</f>
        <v/>
      </c>
      <c r="K718" t="str">
        <f>IF(ISNA(VLOOKUP($F718,'Raw Data'!$A:$M,11,0)),"",VLOOKUP($F718,'Raw Data'!$A:$M,11,0))</f>
        <v/>
      </c>
      <c r="L718" t="str">
        <f>IF(ISNA(VLOOKUP($F718,'Raw Data'!$A:$M,12,0)),"",VLOOKUP($F718,'Raw Data'!$A:$M,12,0))</f>
        <v/>
      </c>
      <c r="M718" t="str">
        <f>IF(ISNA(VLOOKUP($F718,'Raw Data'!$A:$M,13,0)),"",VLOOKUP($F718,'Raw Data'!$A:$M,13,0))</f>
        <v/>
      </c>
    </row>
    <row r="719" spans="1:13" x14ac:dyDescent="0.25">
      <c r="A719" t="s">
        <v>38</v>
      </c>
      <c r="B719">
        <v>2013</v>
      </c>
      <c r="C719">
        <v>4</v>
      </c>
      <c r="D719" s="3">
        <v>740</v>
      </c>
      <c r="E719" s="3">
        <v>90</v>
      </c>
      <c r="F719" s="3" t="str">
        <f t="shared" si="11"/>
        <v>FGU92013474090</v>
      </c>
      <c r="G719" t="str">
        <f>IF(ISNA(VLOOKUP($F719,'Raw Data'!$A:$M,7,0)),"",VLOOKUP($F719,'Raw Data'!$A:$M,7,0))</f>
        <v/>
      </c>
      <c r="H719" t="str">
        <f>IF(ISNA(VLOOKUP($F719,'Raw Data'!$A:$M,8,0)),"",VLOOKUP($F719,'Raw Data'!$A:$M,8,0))</f>
        <v/>
      </c>
      <c r="I719" t="str">
        <f>IF(ISNA(VLOOKUP($F719,'Raw Data'!$A:$M,9,0)),"",VLOOKUP($F719,'Raw Data'!$A:$M,9,0))</f>
        <v/>
      </c>
      <c r="J719" t="str">
        <f>IF(ISNA(VLOOKUP($F719,'Raw Data'!$A:$M,10,0)),"",VLOOKUP($F719,'Raw Data'!$A:$M,10,0))</f>
        <v/>
      </c>
      <c r="K719" t="str">
        <f>IF(ISNA(VLOOKUP($F719,'Raw Data'!$A:$M,11,0)),"",VLOOKUP($F719,'Raw Data'!$A:$M,11,0))</f>
        <v/>
      </c>
      <c r="L719" t="str">
        <f>IF(ISNA(VLOOKUP($F719,'Raw Data'!$A:$M,12,0)),"",VLOOKUP($F719,'Raw Data'!$A:$M,12,0))</f>
        <v/>
      </c>
      <c r="M719" t="str">
        <f>IF(ISNA(VLOOKUP($F719,'Raw Data'!$A:$M,13,0)),"",VLOOKUP($F719,'Raw Data'!$A:$M,13,0))</f>
        <v/>
      </c>
    </row>
    <row r="720" spans="1:13" x14ac:dyDescent="0.25">
      <c r="A720" t="s">
        <v>38</v>
      </c>
      <c r="B720">
        <v>2013</v>
      </c>
      <c r="C720">
        <v>4</v>
      </c>
      <c r="D720" s="3">
        <v>760</v>
      </c>
      <c r="E720" s="3">
        <v>90</v>
      </c>
      <c r="F720" s="3" t="str">
        <f t="shared" si="11"/>
        <v>FGU92013476090</v>
      </c>
      <c r="G720" t="str">
        <f>IF(ISNA(VLOOKUP($F720,'Raw Data'!$A:$M,7,0)),"",VLOOKUP($F720,'Raw Data'!$A:$M,7,0))</f>
        <v/>
      </c>
      <c r="H720" t="str">
        <f>IF(ISNA(VLOOKUP($F720,'Raw Data'!$A:$M,8,0)),"",VLOOKUP($F720,'Raw Data'!$A:$M,8,0))</f>
        <v/>
      </c>
      <c r="I720" t="str">
        <f>IF(ISNA(VLOOKUP($F720,'Raw Data'!$A:$M,9,0)),"",VLOOKUP($F720,'Raw Data'!$A:$M,9,0))</f>
        <v/>
      </c>
      <c r="J720" t="str">
        <f>IF(ISNA(VLOOKUP($F720,'Raw Data'!$A:$M,10,0)),"",VLOOKUP($F720,'Raw Data'!$A:$M,10,0))</f>
        <v/>
      </c>
      <c r="K720" t="str">
        <f>IF(ISNA(VLOOKUP($F720,'Raw Data'!$A:$M,11,0)),"",VLOOKUP($F720,'Raw Data'!$A:$M,11,0))</f>
        <v/>
      </c>
      <c r="L720" t="str">
        <f>IF(ISNA(VLOOKUP($F720,'Raw Data'!$A:$M,12,0)),"",VLOOKUP($F720,'Raw Data'!$A:$M,12,0))</f>
        <v/>
      </c>
      <c r="M720" t="str">
        <f>IF(ISNA(VLOOKUP($F720,'Raw Data'!$A:$M,13,0)),"",VLOOKUP($F720,'Raw Data'!$A:$M,13,0))</f>
        <v/>
      </c>
    </row>
    <row r="721" spans="1:13" x14ac:dyDescent="0.25">
      <c r="A721" t="s">
        <v>38</v>
      </c>
      <c r="B721">
        <v>2013</v>
      </c>
      <c r="C721">
        <v>4</v>
      </c>
      <c r="D721" s="3">
        <v>780</v>
      </c>
      <c r="E721" s="3">
        <v>90</v>
      </c>
      <c r="F721" s="3" t="str">
        <f t="shared" si="11"/>
        <v>FGU92013478090</v>
      </c>
      <c r="G721" t="str">
        <f>IF(ISNA(VLOOKUP($F721,'Raw Data'!$A:$M,7,0)),"",VLOOKUP($F721,'Raw Data'!$A:$M,7,0))</f>
        <v/>
      </c>
      <c r="H721" t="str">
        <f>IF(ISNA(VLOOKUP($F721,'Raw Data'!$A:$M,8,0)),"",VLOOKUP($F721,'Raw Data'!$A:$M,8,0))</f>
        <v/>
      </c>
      <c r="I721" t="str">
        <f>IF(ISNA(VLOOKUP($F721,'Raw Data'!$A:$M,9,0)),"",VLOOKUP($F721,'Raw Data'!$A:$M,9,0))</f>
        <v/>
      </c>
      <c r="J721" t="str">
        <f>IF(ISNA(VLOOKUP($F721,'Raw Data'!$A:$M,10,0)),"",VLOOKUP($F721,'Raw Data'!$A:$M,10,0))</f>
        <v/>
      </c>
      <c r="K721" t="str">
        <f>IF(ISNA(VLOOKUP($F721,'Raw Data'!$A:$M,11,0)),"",VLOOKUP($F721,'Raw Data'!$A:$M,11,0))</f>
        <v/>
      </c>
      <c r="L721" t="str">
        <f>IF(ISNA(VLOOKUP($F721,'Raw Data'!$A:$M,12,0)),"",VLOOKUP($F721,'Raw Data'!$A:$M,12,0))</f>
        <v/>
      </c>
      <c r="M721" t="str">
        <f>IF(ISNA(VLOOKUP($F721,'Raw Data'!$A:$M,13,0)),"",VLOOKUP($F721,'Raw Data'!$A:$M,13,0))</f>
        <v/>
      </c>
    </row>
    <row r="722" spans="1:13" x14ac:dyDescent="0.25">
      <c r="A722" t="s">
        <v>38</v>
      </c>
      <c r="B722">
        <v>2013</v>
      </c>
      <c r="C722">
        <v>4</v>
      </c>
      <c r="D722" s="3">
        <v>620</v>
      </c>
      <c r="E722" s="3">
        <v>95</v>
      </c>
      <c r="F722" s="3" t="str">
        <f t="shared" si="11"/>
        <v>FGU92013462095</v>
      </c>
      <c r="G722" t="str">
        <f>IF(ISNA(VLOOKUP($F722,'Raw Data'!$A:$M,7,0)),"",VLOOKUP($F722,'Raw Data'!$A:$M,7,0))</f>
        <v/>
      </c>
      <c r="H722" t="str">
        <f>IF(ISNA(VLOOKUP($F722,'Raw Data'!$A:$M,8,0)),"",VLOOKUP($F722,'Raw Data'!$A:$M,8,0))</f>
        <v/>
      </c>
      <c r="I722" t="str">
        <f>IF(ISNA(VLOOKUP($F722,'Raw Data'!$A:$M,9,0)),"",VLOOKUP($F722,'Raw Data'!$A:$M,9,0))</f>
        <v/>
      </c>
      <c r="J722" t="str">
        <f>IF(ISNA(VLOOKUP($F722,'Raw Data'!$A:$M,10,0)),"",VLOOKUP($F722,'Raw Data'!$A:$M,10,0))</f>
        <v/>
      </c>
      <c r="K722" t="str">
        <f>IF(ISNA(VLOOKUP($F722,'Raw Data'!$A:$M,11,0)),"",VLOOKUP($F722,'Raw Data'!$A:$M,11,0))</f>
        <v/>
      </c>
      <c r="L722" t="str">
        <f>IF(ISNA(VLOOKUP($F722,'Raw Data'!$A:$M,12,0)),"",VLOOKUP($F722,'Raw Data'!$A:$M,12,0))</f>
        <v/>
      </c>
      <c r="M722" t="str">
        <f>IF(ISNA(VLOOKUP($F722,'Raw Data'!$A:$M,13,0)),"",VLOOKUP($F722,'Raw Data'!$A:$M,13,0))</f>
        <v/>
      </c>
    </row>
    <row r="723" spans="1:13" x14ac:dyDescent="0.25">
      <c r="A723" t="s">
        <v>38</v>
      </c>
      <c r="B723">
        <v>2013</v>
      </c>
      <c r="C723">
        <v>4</v>
      </c>
      <c r="D723" s="3">
        <v>640</v>
      </c>
      <c r="E723" s="3">
        <v>95</v>
      </c>
      <c r="F723" s="3" t="str">
        <f t="shared" si="11"/>
        <v>FGU92013464095</v>
      </c>
      <c r="G723" t="str">
        <f>IF(ISNA(VLOOKUP($F723,'Raw Data'!$A:$M,7,0)),"",VLOOKUP($F723,'Raw Data'!$A:$M,7,0))</f>
        <v/>
      </c>
      <c r="H723" t="str">
        <f>IF(ISNA(VLOOKUP($F723,'Raw Data'!$A:$M,8,0)),"",VLOOKUP($F723,'Raw Data'!$A:$M,8,0))</f>
        <v/>
      </c>
      <c r="I723" t="str">
        <f>IF(ISNA(VLOOKUP($F723,'Raw Data'!$A:$M,9,0)),"",VLOOKUP($F723,'Raw Data'!$A:$M,9,0))</f>
        <v/>
      </c>
      <c r="J723" t="str">
        <f>IF(ISNA(VLOOKUP($F723,'Raw Data'!$A:$M,10,0)),"",VLOOKUP($F723,'Raw Data'!$A:$M,10,0))</f>
        <v/>
      </c>
      <c r="K723" t="str">
        <f>IF(ISNA(VLOOKUP($F723,'Raw Data'!$A:$M,11,0)),"",VLOOKUP($F723,'Raw Data'!$A:$M,11,0))</f>
        <v/>
      </c>
      <c r="L723" t="str">
        <f>IF(ISNA(VLOOKUP($F723,'Raw Data'!$A:$M,12,0)),"",VLOOKUP($F723,'Raw Data'!$A:$M,12,0))</f>
        <v/>
      </c>
      <c r="M723" t="str">
        <f>IF(ISNA(VLOOKUP($F723,'Raw Data'!$A:$M,13,0)),"",VLOOKUP($F723,'Raw Data'!$A:$M,13,0))</f>
        <v/>
      </c>
    </row>
    <row r="724" spans="1:13" x14ac:dyDescent="0.25">
      <c r="A724" t="s">
        <v>38</v>
      </c>
      <c r="B724">
        <v>2013</v>
      </c>
      <c r="C724">
        <v>4</v>
      </c>
      <c r="D724" s="3">
        <v>660</v>
      </c>
      <c r="E724" s="3">
        <v>95</v>
      </c>
      <c r="F724" s="3" t="str">
        <f t="shared" si="11"/>
        <v>FGU92013466095</v>
      </c>
      <c r="G724" t="str">
        <f>IF(ISNA(VLOOKUP($F724,'Raw Data'!$A:$M,7,0)),"",VLOOKUP($F724,'Raw Data'!$A:$M,7,0))</f>
        <v/>
      </c>
      <c r="H724" t="str">
        <f>IF(ISNA(VLOOKUP($F724,'Raw Data'!$A:$M,8,0)),"",VLOOKUP($F724,'Raw Data'!$A:$M,8,0))</f>
        <v/>
      </c>
      <c r="I724" t="str">
        <f>IF(ISNA(VLOOKUP($F724,'Raw Data'!$A:$M,9,0)),"",VLOOKUP($F724,'Raw Data'!$A:$M,9,0))</f>
        <v/>
      </c>
      <c r="J724" t="str">
        <f>IF(ISNA(VLOOKUP($F724,'Raw Data'!$A:$M,10,0)),"",VLOOKUP($F724,'Raw Data'!$A:$M,10,0))</f>
        <v/>
      </c>
      <c r="K724" t="str">
        <f>IF(ISNA(VLOOKUP($F724,'Raw Data'!$A:$M,11,0)),"",VLOOKUP($F724,'Raw Data'!$A:$M,11,0))</f>
        <v/>
      </c>
      <c r="L724" t="str">
        <f>IF(ISNA(VLOOKUP($F724,'Raw Data'!$A:$M,12,0)),"",VLOOKUP($F724,'Raw Data'!$A:$M,12,0))</f>
        <v/>
      </c>
      <c r="M724" t="str">
        <f>IF(ISNA(VLOOKUP($F724,'Raw Data'!$A:$M,13,0)),"",VLOOKUP($F724,'Raw Data'!$A:$M,13,0))</f>
        <v/>
      </c>
    </row>
    <row r="725" spans="1:13" x14ac:dyDescent="0.25">
      <c r="A725" t="s">
        <v>38</v>
      </c>
      <c r="B725">
        <v>2013</v>
      </c>
      <c r="C725">
        <v>4</v>
      </c>
      <c r="D725" s="3">
        <v>680</v>
      </c>
      <c r="E725" s="3">
        <v>95</v>
      </c>
      <c r="F725" s="3" t="str">
        <f t="shared" si="11"/>
        <v>FGU92013468095</v>
      </c>
      <c r="G725" t="str">
        <f>IF(ISNA(VLOOKUP($F725,'Raw Data'!$A:$M,7,0)),"",VLOOKUP($F725,'Raw Data'!$A:$M,7,0))</f>
        <v/>
      </c>
      <c r="H725" t="str">
        <f>IF(ISNA(VLOOKUP($F725,'Raw Data'!$A:$M,8,0)),"",VLOOKUP($F725,'Raw Data'!$A:$M,8,0))</f>
        <v/>
      </c>
      <c r="I725" t="str">
        <f>IF(ISNA(VLOOKUP($F725,'Raw Data'!$A:$M,9,0)),"",VLOOKUP($F725,'Raw Data'!$A:$M,9,0))</f>
        <v/>
      </c>
      <c r="J725" t="str">
        <f>IF(ISNA(VLOOKUP($F725,'Raw Data'!$A:$M,10,0)),"",VLOOKUP($F725,'Raw Data'!$A:$M,10,0))</f>
        <v/>
      </c>
      <c r="K725" t="str">
        <f>IF(ISNA(VLOOKUP($F725,'Raw Data'!$A:$M,11,0)),"",VLOOKUP($F725,'Raw Data'!$A:$M,11,0))</f>
        <v/>
      </c>
      <c r="L725" t="str">
        <f>IF(ISNA(VLOOKUP($F725,'Raw Data'!$A:$M,12,0)),"",VLOOKUP($F725,'Raw Data'!$A:$M,12,0))</f>
        <v/>
      </c>
      <c r="M725" t="str">
        <f>IF(ISNA(VLOOKUP($F725,'Raw Data'!$A:$M,13,0)),"",VLOOKUP($F725,'Raw Data'!$A:$M,13,0))</f>
        <v/>
      </c>
    </row>
    <row r="726" spans="1:13" x14ac:dyDescent="0.25">
      <c r="A726" t="s">
        <v>38</v>
      </c>
      <c r="B726">
        <v>2013</v>
      </c>
      <c r="C726">
        <v>4</v>
      </c>
      <c r="D726" s="3">
        <v>700</v>
      </c>
      <c r="E726" s="3">
        <v>95</v>
      </c>
      <c r="F726" s="3" t="str">
        <f t="shared" si="11"/>
        <v>FGU92013470095</v>
      </c>
      <c r="G726" t="str">
        <f>IF(ISNA(VLOOKUP($F726,'Raw Data'!$A:$M,7,0)),"",VLOOKUP($F726,'Raw Data'!$A:$M,7,0))</f>
        <v/>
      </c>
      <c r="H726" t="str">
        <f>IF(ISNA(VLOOKUP($F726,'Raw Data'!$A:$M,8,0)),"",VLOOKUP($F726,'Raw Data'!$A:$M,8,0))</f>
        <v/>
      </c>
      <c r="I726" t="str">
        <f>IF(ISNA(VLOOKUP($F726,'Raw Data'!$A:$M,9,0)),"",VLOOKUP($F726,'Raw Data'!$A:$M,9,0))</f>
        <v/>
      </c>
      <c r="J726" t="str">
        <f>IF(ISNA(VLOOKUP($F726,'Raw Data'!$A:$M,10,0)),"",VLOOKUP($F726,'Raw Data'!$A:$M,10,0))</f>
        <v/>
      </c>
      <c r="K726" t="str">
        <f>IF(ISNA(VLOOKUP($F726,'Raw Data'!$A:$M,11,0)),"",VLOOKUP($F726,'Raw Data'!$A:$M,11,0))</f>
        <v/>
      </c>
      <c r="L726" t="str">
        <f>IF(ISNA(VLOOKUP($F726,'Raw Data'!$A:$M,12,0)),"",VLOOKUP($F726,'Raw Data'!$A:$M,12,0))</f>
        <v/>
      </c>
      <c r="M726" t="str">
        <f>IF(ISNA(VLOOKUP($F726,'Raw Data'!$A:$M,13,0)),"",VLOOKUP($F726,'Raw Data'!$A:$M,13,0))</f>
        <v/>
      </c>
    </row>
    <row r="727" spans="1:13" x14ac:dyDescent="0.25">
      <c r="A727" t="s">
        <v>38</v>
      </c>
      <c r="B727">
        <v>2013</v>
      </c>
      <c r="C727">
        <v>4</v>
      </c>
      <c r="D727" s="3">
        <v>720</v>
      </c>
      <c r="E727" s="3">
        <v>95</v>
      </c>
      <c r="F727" s="3" t="str">
        <f t="shared" si="11"/>
        <v>FGU92013472095</v>
      </c>
      <c r="G727" t="str">
        <f>IF(ISNA(VLOOKUP($F727,'Raw Data'!$A:$M,7,0)),"",VLOOKUP($F727,'Raw Data'!$A:$M,7,0))</f>
        <v/>
      </c>
      <c r="H727" t="str">
        <f>IF(ISNA(VLOOKUP($F727,'Raw Data'!$A:$M,8,0)),"",VLOOKUP($F727,'Raw Data'!$A:$M,8,0))</f>
        <v/>
      </c>
      <c r="I727" t="str">
        <f>IF(ISNA(VLOOKUP($F727,'Raw Data'!$A:$M,9,0)),"",VLOOKUP($F727,'Raw Data'!$A:$M,9,0))</f>
        <v/>
      </c>
      <c r="J727" t="str">
        <f>IF(ISNA(VLOOKUP($F727,'Raw Data'!$A:$M,10,0)),"",VLOOKUP($F727,'Raw Data'!$A:$M,10,0))</f>
        <v/>
      </c>
      <c r="K727" t="str">
        <f>IF(ISNA(VLOOKUP($F727,'Raw Data'!$A:$M,11,0)),"",VLOOKUP($F727,'Raw Data'!$A:$M,11,0))</f>
        <v/>
      </c>
      <c r="L727" t="str">
        <f>IF(ISNA(VLOOKUP($F727,'Raw Data'!$A:$M,12,0)),"",VLOOKUP($F727,'Raw Data'!$A:$M,12,0))</f>
        <v/>
      </c>
      <c r="M727" t="str">
        <f>IF(ISNA(VLOOKUP($F727,'Raw Data'!$A:$M,13,0)),"",VLOOKUP($F727,'Raw Data'!$A:$M,13,0))</f>
        <v/>
      </c>
    </row>
    <row r="728" spans="1:13" x14ac:dyDescent="0.25">
      <c r="A728" t="s">
        <v>38</v>
      </c>
      <c r="B728">
        <v>2013</v>
      </c>
      <c r="C728">
        <v>4</v>
      </c>
      <c r="D728" s="3">
        <v>740</v>
      </c>
      <c r="E728" s="3">
        <v>95</v>
      </c>
      <c r="F728" s="3" t="str">
        <f t="shared" si="11"/>
        <v>FGU92013474095</v>
      </c>
      <c r="G728" t="str">
        <f>IF(ISNA(VLOOKUP($F728,'Raw Data'!$A:$M,7,0)),"",VLOOKUP($F728,'Raw Data'!$A:$M,7,0))</f>
        <v/>
      </c>
      <c r="H728" t="str">
        <f>IF(ISNA(VLOOKUP($F728,'Raw Data'!$A:$M,8,0)),"",VLOOKUP($F728,'Raw Data'!$A:$M,8,0))</f>
        <v/>
      </c>
      <c r="I728" t="str">
        <f>IF(ISNA(VLOOKUP($F728,'Raw Data'!$A:$M,9,0)),"",VLOOKUP($F728,'Raw Data'!$A:$M,9,0))</f>
        <v/>
      </c>
      <c r="J728" t="str">
        <f>IF(ISNA(VLOOKUP($F728,'Raw Data'!$A:$M,10,0)),"",VLOOKUP($F728,'Raw Data'!$A:$M,10,0))</f>
        <v/>
      </c>
      <c r="K728" t="str">
        <f>IF(ISNA(VLOOKUP($F728,'Raw Data'!$A:$M,11,0)),"",VLOOKUP($F728,'Raw Data'!$A:$M,11,0))</f>
        <v/>
      </c>
      <c r="L728" t="str">
        <f>IF(ISNA(VLOOKUP($F728,'Raw Data'!$A:$M,12,0)),"",VLOOKUP($F728,'Raw Data'!$A:$M,12,0))</f>
        <v/>
      </c>
      <c r="M728" t="str">
        <f>IF(ISNA(VLOOKUP($F728,'Raw Data'!$A:$M,13,0)),"",VLOOKUP($F728,'Raw Data'!$A:$M,13,0))</f>
        <v/>
      </c>
    </row>
    <row r="729" spans="1:13" x14ac:dyDescent="0.25">
      <c r="A729" t="s">
        <v>38</v>
      </c>
      <c r="B729">
        <v>2013</v>
      </c>
      <c r="C729">
        <v>4</v>
      </c>
      <c r="D729" s="3">
        <v>760</v>
      </c>
      <c r="E729" s="3">
        <v>95</v>
      </c>
      <c r="F729" s="3" t="str">
        <f t="shared" si="11"/>
        <v>FGU92013476095</v>
      </c>
      <c r="G729" t="str">
        <f>IF(ISNA(VLOOKUP($F729,'Raw Data'!$A:$M,7,0)),"",VLOOKUP($F729,'Raw Data'!$A:$M,7,0))</f>
        <v/>
      </c>
      <c r="H729" t="str">
        <f>IF(ISNA(VLOOKUP($F729,'Raw Data'!$A:$M,8,0)),"",VLOOKUP($F729,'Raw Data'!$A:$M,8,0))</f>
        <v/>
      </c>
      <c r="I729" t="str">
        <f>IF(ISNA(VLOOKUP($F729,'Raw Data'!$A:$M,9,0)),"",VLOOKUP($F729,'Raw Data'!$A:$M,9,0))</f>
        <v/>
      </c>
      <c r="J729" t="str">
        <f>IF(ISNA(VLOOKUP($F729,'Raw Data'!$A:$M,10,0)),"",VLOOKUP($F729,'Raw Data'!$A:$M,10,0))</f>
        <v/>
      </c>
      <c r="K729" t="str">
        <f>IF(ISNA(VLOOKUP($F729,'Raw Data'!$A:$M,11,0)),"",VLOOKUP($F729,'Raw Data'!$A:$M,11,0))</f>
        <v/>
      </c>
      <c r="L729" t="str">
        <f>IF(ISNA(VLOOKUP($F729,'Raw Data'!$A:$M,12,0)),"",VLOOKUP($F729,'Raw Data'!$A:$M,12,0))</f>
        <v/>
      </c>
      <c r="M729" t="str">
        <f>IF(ISNA(VLOOKUP($F729,'Raw Data'!$A:$M,13,0)),"",VLOOKUP($F729,'Raw Data'!$A:$M,13,0))</f>
        <v/>
      </c>
    </row>
    <row r="730" spans="1:13" x14ac:dyDescent="0.25">
      <c r="A730" t="s">
        <v>38</v>
      </c>
      <c r="B730">
        <v>2013</v>
      </c>
      <c r="C730">
        <v>4</v>
      </c>
      <c r="D730" s="3">
        <v>780</v>
      </c>
      <c r="E730" s="3">
        <v>95</v>
      </c>
      <c r="F730" s="3" t="str">
        <f t="shared" si="11"/>
        <v>FGU92013478095</v>
      </c>
      <c r="G730" t="str">
        <f>IF(ISNA(VLOOKUP($F730,'Raw Data'!$A:$M,7,0)),"",VLOOKUP($F730,'Raw Data'!$A:$M,7,0))</f>
        <v/>
      </c>
      <c r="H730" t="str">
        <f>IF(ISNA(VLOOKUP($F730,'Raw Data'!$A:$M,8,0)),"",VLOOKUP($F730,'Raw Data'!$A:$M,8,0))</f>
        <v/>
      </c>
      <c r="I730" t="str">
        <f>IF(ISNA(VLOOKUP($F730,'Raw Data'!$A:$M,9,0)),"",VLOOKUP($F730,'Raw Data'!$A:$M,9,0))</f>
        <v/>
      </c>
      <c r="J730" t="str">
        <f>IF(ISNA(VLOOKUP($F730,'Raw Data'!$A:$M,10,0)),"",VLOOKUP($F730,'Raw Data'!$A:$M,10,0))</f>
        <v/>
      </c>
      <c r="K730" t="str">
        <f>IF(ISNA(VLOOKUP($F730,'Raw Data'!$A:$M,11,0)),"",VLOOKUP($F730,'Raw Data'!$A:$M,11,0))</f>
        <v/>
      </c>
      <c r="L730" t="str">
        <f>IF(ISNA(VLOOKUP($F730,'Raw Data'!$A:$M,12,0)),"",VLOOKUP($F730,'Raw Data'!$A:$M,12,0))</f>
        <v/>
      </c>
      <c r="M730" t="str">
        <f>IF(ISNA(VLOOKUP($F730,'Raw Data'!$A:$M,13,0)),"",VLOOKUP($F730,'Raw Data'!$A:$M,13,0))</f>
        <v/>
      </c>
    </row>
    <row r="731" spans="1:13" x14ac:dyDescent="0.25">
      <c r="A731" t="s">
        <v>38</v>
      </c>
      <c r="B731">
        <v>2013</v>
      </c>
      <c r="C731">
        <v>4</v>
      </c>
      <c r="D731" s="3">
        <v>620</v>
      </c>
      <c r="E731" s="3">
        <v>97</v>
      </c>
      <c r="F731" s="3" t="str">
        <f t="shared" si="11"/>
        <v>FGU92013462097</v>
      </c>
      <c r="G731" t="str">
        <f>IF(ISNA(VLOOKUP($F731,'Raw Data'!$A:$M,7,0)),"",VLOOKUP($F731,'Raw Data'!$A:$M,7,0))</f>
        <v/>
      </c>
      <c r="H731" t="str">
        <f>IF(ISNA(VLOOKUP($F731,'Raw Data'!$A:$M,8,0)),"",VLOOKUP($F731,'Raw Data'!$A:$M,8,0))</f>
        <v/>
      </c>
      <c r="I731" t="str">
        <f>IF(ISNA(VLOOKUP($F731,'Raw Data'!$A:$M,9,0)),"",VLOOKUP($F731,'Raw Data'!$A:$M,9,0))</f>
        <v/>
      </c>
      <c r="J731" t="str">
        <f>IF(ISNA(VLOOKUP($F731,'Raw Data'!$A:$M,10,0)),"",VLOOKUP($F731,'Raw Data'!$A:$M,10,0))</f>
        <v/>
      </c>
      <c r="K731" t="str">
        <f>IF(ISNA(VLOOKUP($F731,'Raw Data'!$A:$M,11,0)),"",VLOOKUP($F731,'Raw Data'!$A:$M,11,0))</f>
        <v/>
      </c>
      <c r="L731" t="str">
        <f>IF(ISNA(VLOOKUP($F731,'Raw Data'!$A:$M,12,0)),"",VLOOKUP($F731,'Raw Data'!$A:$M,12,0))</f>
        <v/>
      </c>
      <c r="M731" t="str">
        <f>IF(ISNA(VLOOKUP($F731,'Raw Data'!$A:$M,13,0)),"",VLOOKUP($F731,'Raw Data'!$A:$M,13,0))</f>
        <v/>
      </c>
    </row>
    <row r="732" spans="1:13" x14ac:dyDescent="0.25">
      <c r="A732" t="s">
        <v>38</v>
      </c>
      <c r="B732">
        <v>2013</v>
      </c>
      <c r="C732">
        <v>4</v>
      </c>
      <c r="D732" s="3">
        <v>640</v>
      </c>
      <c r="E732" s="3">
        <v>97</v>
      </c>
      <c r="F732" s="3" t="str">
        <f t="shared" si="11"/>
        <v>FGU92013464097</v>
      </c>
      <c r="G732" t="str">
        <f>IF(ISNA(VLOOKUP($F732,'Raw Data'!$A:$M,7,0)),"",VLOOKUP($F732,'Raw Data'!$A:$M,7,0))</f>
        <v/>
      </c>
      <c r="H732" t="str">
        <f>IF(ISNA(VLOOKUP($F732,'Raw Data'!$A:$M,8,0)),"",VLOOKUP($F732,'Raw Data'!$A:$M,8,0))</f>
        <v/>
      </c>
      <c r="I732" t="str">
        <f>IF(ISNA(VLOOKUP($F732,'Raw Data'!$A:$M,9,0)),"",VLOOKUP($F732,'Raw Data'!$A:$M,9,0))</f>
        <v/>
      </c>
      <c r="J732" t="str">
        <f>IF(ISNA(VLOOKUP($F732,'Raw Data'!$A:$M,10,0)),"",VLOOKUP($F732,'Raw Data'!$A:$M,10,0))</f>
        <v/>
      </c>
      <c r="K732" t="str">
        <f>IF(ISNA(VLOOKUP($F732,'Raw Data'!$A:$M,11,0)),"",VLOOKUP($F732,'Raw Data'!$A:$M,11,0))</f>
        <v/>
      </c>
      <c r="L732" t="str">
        <f>IF(ISNA(VLOOKUP($F732,'Raw Data'!$A:$M,12,0)),"",VLOOKUP($F732,'Raw Data'!$A:$M,12,0))</f>
        <v/>
      </c>
      <c r="M732" t="str">
        <f>IF(ISNA(VLOOKUP($F732,'Raw Data'!$A:$M,13,0)),"",VLOOKUP($F732,'Raw Data'!$A:$M,13,0))</f>
        <v/>
      </c>
    </row>
    <row r="733" spans="1:13" x14ac:dyDescent="0.25">
      <c r="A733" t="s">
        <v>38</v>
      </c>
      <c r="B733">
        <v>2013</v>
      </c>
      <c r="C733">
        <v>4</v>
      </c>
      <c r="D733" s="3">
        <v>660</v>
      </c>
      <c r="E733" s="3">
        <v>97</v>
      </c>
      <c r="F733" s="3" t="str">
        <f t="shared" si="11"/>
        <v>FGU92013466097</v>
      </c>
      <c r="G733" t="str">
        <f>IF(ISNA(VLOOKUP($F733,'Raw Data'!$A:$M,7,0)),"",VLOOKUP($F733,'Raw Data'!$A:$M,7,0))</f>
        <v/>
      </c>
      <c r="H733" t="str">
        <f>IF(ISNA(VLOOKUP($F733,'Raw Data'!$A:$M,8,0)),"",VLOOKUP($F733,'Raw Data'!$A:$M,8,0))</f>
        <v/>
      </c>
      <c r="I733" t="str">
        <f>IF(ISNA(VLOOKUP($F733,'Raw Data'!$A:$M,9,0)),"",VLOOKUP($F733,'Raw Data'!$A:$M,9,0))</f>
        <v/>
      </c>
      <c r="J733" t="str">
        <f>IF(ISNA(VLOOKUP($F733,'Raw Data'!$A:$M,10,0)),"",VLOOKUP($F733,'Raw Data'!$A:$M,10,0))</f>
        <v/>
      </c>
      <c r="K733" t="str">
        <f>IF(ISNA(VLOOKUP($F733,'Raw Data'!$A:$M,11,0)),"",VLOOKUP($F733,'Raw Data'!$A:$M,11,0))</f>
        <v/>
      </c>
      <c r="L733" t="str">
        <f>IF(ISNA(VLOOKUP($F733,'Raw Data'!$A:$M,12,0)),"",VLOOKUP($F733,'Raw Data'!$A:$M,12,0))</f>
        <v/>
      </c>
      <c r="M733" t="str">
        <f>IF(ISNA(VLOOKUP($F733,'Raw Data'!$A:$M,13,0)),"",VLOOKUP($F733,'Raw Data'!$A:$M,13,0))</f>
        <v/>
      </c>
    </row>
    <row r="734" spans="1:13" x14ac:dyDescent="0.25">
      <c r="A734" t="s">
        <v>38</v>
      </c>
      <c r="B734">
        <v>2013</v>
      </c>
      <c r="C734">
        <v>4</v>
      </c>
      <c r="D734" s="3">
        <v>680</v>
      </c>
      <c r="E734" s="3">
        <v>97</v>
      </c>
      <c r="F734" s="3" t="str">
        <f t="shared" si="11"/>
        <v>FGU92013468097</v>
      </c>
      <c r="G734" t="str">
        <f>IF(ISNA(VLOOKUP($F734,'Raw Data'!$A:$M,7,0)),"",VLOOKUP($F734,'Raw Data'!$A:$M,7,0))</f>
        <v/>
      </c>
      <c r="H734" t="str">
        <f>IF(ISNA(VLOOKUP($F734,'Raw Data'!$A:$M,8,0)),"",VLOOKUP($F734,'Raw Data'!$A:$M,8,0))</f>
        <v/>
      </c>
      <c r="I734" t="str">
        <f>IF(ISNA(VLOOKUP($F734,'Raw Data'!$A:$M,9,0)),"",VLOOKUP($F734,'Raw Data'!$A:$M,9,0))</f>
        <v/>
      </c>
      <c r="J734" t="str">
        <f>IF(ISNA(VLOOKUP($F734,'Raw Data'!$A:$M,10,0)),"",VLOOKUP($F734,'Raw Data'!$A:$M,10,0))</f>
        <v/>
      </c>
      <c r="K734" t="str">
        <f>IF(ISNA(VLOOKUP($F734,'Raw Data'!$A:$M,11,0)),"",VLOOKUP($F734,'Raw Data'!$A:$M,11,0))</f>
        <v/>
      </c>
      <c r="L734" t="str">
        <f>IF(ISNA(VLOOKUP($F734,'Raw Data'!$A:$M,12,0)),"",VLOOKUP($F734,'Raw Data'!$A:$M,12,0))</f>
        <v/>
      </c>
      <c r="M734" t="str">
        <f>IF(ISNA(VLOOKUP($F734,'Raw Data'!$A:$M,13,0)),"",VLOOKUP($F734,'Raw Data'!$A:$M,13,0))</f>
        <v/>
      </c>
    </row>
    <row r="735" spans="1:13" x14ac:dyDescent="0.25">
      <c r="A735" t="s">
        <v>38</v>
      </c>
      <c r="B735">
        <v>2013</v>
      </c>
      <c r="C735">
        <v>4</v>
      </c>
      <c r="D735" s="3">
        <v>700</v>
      </c>
      <c r="E735" s="3">
        <v>97</v>
      </c>
      <c r="F735" s="3" t="str">
        <f t="shared" si="11"/>
        <v>FGU92013470097</v>
      </c>
      <c r="G735" t="str">
        <f>IF(ISNA(VLOOKUP($F735,'Raw Data'!$A:$M,7,0)),"",VLOOKUP($F735,'Raw Data'!$A:$M,7,0))</f>
        <v/>
      </c>
      <c r="H735" t="str">
        <f>IF(ISNA(VLOOKUP($F735,'Raw Data'!$A:$M,8,0)),"",VLOOKUP($F735,'Raw Data'!$A:$M,8,0))</f>
        <v/>
      </c>
      <c r="I735" t="str">
        <f>IF(ISNA(VLOOKUP($F735,'Raw Data'!$A:$M,9,0)),"",VLOOKUP($F735,'Raw Data'!$A:$M,9,0))</f>
        <v/>
      </c>
      <c r="J735" t="str">
        <f>IF(ISNA(VLOOKUP($F735,'Raw Data'!$A:$M,10,0)),"",VLOOKUP($F735,'Raw Data'!$A:$M,10,0))</f>
        <v/>
      </c>
      <c r="K735" t="str">
        <f>IF(ISNA(VLOOKUP($F735,'Raw Data'!$A:$M,11,0)),"",VLOOKUP($F735,'Raw Data'!$A:$M,11,0))</f>
        <v/>
      </c>
      <c r="L735" t="str">
        <f>IF(ISNA(VLOOKUP($F735,'Raw Data'!$A:$M,12,0)),"",VLOOKUP($F735,'Raw Data'!$A:$M,12,0))</f>
        <v/>
      </c>
      <c r="M735" t="str">
        <f>IF(ISNA(VLOOKUP($F735,'Raw Data'!$A:$M,13,0)),"",VLOOKUP($F735,'Raw Data'!$A:$M,13,0))</f>
        <v/>
      </c>
    </row>
    <row r="736" spans="1:13" x14ac:dyDescent="0.25">
      <c r="A736" t="s">
        <v>38</v>
      </c>
      <c r="B736">
        <v>2013</v>
      </c>
      <c r="C736">
        <v>4</v>
      </c>
      <c r="D736" s="3">
        <v>720</v>
      </c>
      <c r="E736" s="3">
        <v>97</v>
      </c>
      <c r="F736" s="3" t="str">
        <f t="shared" si="11"/>
        <v>FGU92013472097</v>
      </c>
      <c r="G736" t="str">
        <f>IF(ISNA(VLOOKUP($F736,'Raw Data'!$A:$M,7,0)),"",VLOOKUP($F736,'Raw Data'!$A:$M,7,0))</f>
        <v/>
      </c>
      <c r="H736" t="str">
        <f>IF(ISNA(VLOOKUP($F736,'Raw Data'!$A:$M,8,0)),"",VLOOKUP($F736,'Raw Data'!$A:$M,8,0))</f>
        <v/>
      </c>
      <c r="I736" t="str">
        <f>IF(ISNA(VLOOKUP($F736,'Raw Data'!$A:$M,9,0)),"",VLOOKUP($F736,'Raw Data'!$A:$M,9,0))</f>
        <v/>
      </c>
      <c r="J736" t="str">
        <f>IF(ISNA(VLOOKUP($F736,'Raw Data'!$A:$M,10,0)),"",VLOOKUP($F736,'Raw Data'!$A:$M,10,0))</f>
        <v/>
      </c>
      <c r="K736" t="str">
        <f>IF(ISNA(VLOOKUP($F736,'Raw Data'!$A:$M,11,0)),"",VLOOKUP($F736,'Raw Data'!$A:$M,11,0))</f>
        <v/>
      </c>
      <c r="L736" t="str">
        <f>IF(ISNA(VLOOKUP($F736,'Raw Data'!$A:$M,12,0)),"",VLOOKUP($F736,'Raw Data'!$A:$M,12,0))</f>
        <v/>
      </c>
      <c r="M736" t="str">
        <f>IF(ISNA(VLOOKUP($F736,'Raw Data'!$A:$M,13,0)),"",VLOOKUP($F736,'Raw Data'!$A:$M,13,0))</f>
        <v/>
      </c>
    </row>
    <row r="737" spans="1:13" x14ac:dyDescent="0.25">
      <c r="A737" t="s">
        <v>38</v>
      </c>
      <c r="B737">
        <v>2013</v>
      </c>
      <c r="C737">
        <v>4</v>
      </c>
      <c r="D737" s="3">
        <v>740</v>
      </c>
      <c r="E737" s="3">
        <v>97</v>
      </c>
      <c r="F737" s="3" t="str">
        <f t="shared" si="11"/>
        <v>FGU92013474097</v>
      </c>
      <c r="G737" t="str">
        <f>IF(ISNA(VLOOKUP($F737,'Raw Data'!$A:$M,7,0)),"",VLOOKUP($F737,'Raw Data'!$A:$M,7,0))</f>
        <v/>
      </c>
      <c r="H737" t="str">
        <f>IF(ISNA(VLOOKUP($F737,'Raw Data'!$A:$M,8,0)),"",VLOOKUP($F737,'Raw Data'!$A:$M,8,0))</f>
        <v/>
      </c>
      <c r="I737" t="str">
        <f>IF(ISNA(VLOOKUP($F737,'Raw Data'!$A:$M,9,0)),"",VLOOKUP($F737,'Raw Data'!$A:$M,9,0))</f>
        <v/>
      </c>
      <c r="J737" t="str">
        <f>IF(ISNA(VLOOKUP($F737,'Raw Data'!$A:$M,10,0)),"",VLOOKUP($F737,'Raw Data'!$A:$M,10,0))</f>
        <v/>
      </c>
      <c r="K737" t="str">
        <f>IF(ISNA(VLOOKUP($F737,'Raw Data'!$A:$M,11,0)),"",VLOOKUP($F737,'Raw Data'!$A:$M,11,0))</f>
        <v/>
      </c>
      <c r="L737" t="str">
        <f>IF(ISNA(VLOOKUP($F737,'Raw Data'!$A:$M,12,0)),"",VLOOKUP($F737,'Raw Data'!$A:$M,12,0))</f>
        <v/>
      </c>
      <c r="M737" t="str">
        <f>IF(ISNA(VLOOKUP($F737,'Raw Data'!$A:$M,13,0)),"",VLOOKUP($F737,'Raw Data'!$A:$M,13,0))</f>
        <v/>
      </c>
    </row>
    <row r="738" spans="1:13" x14ac:dyDescent="0.25">
      <c r="A738" t="s">
        <v>38</v>
      </c>
      <c r="B738">
        <v>2013</v>
      </c>
      <c r="C738">
        <v>4</v>
      </c>
      <c r="D738" s="3">
        <v>760</v>
      </c>
      <c r="E738" s="3">
        <v>97</v>
      </c>
      <c r="F738" s="3" t="str">
        <f t="shared" si="11"/>
        <v>FGU92013476097</v>
      </c>
      <c r="G738" t="str">
        <f>IF(ISNA(VLOOKUP($F738,'Raw Data'!$A:$M,7,0)),"",VLOOKUP($F738,'Raw Data'!$A:$M,7,0))</f>
        <v/>
      </c>
      <c r="H738" t="str">
        <f>IF(ISNA(VLOOKUP($F738,'Raw Data'!$A:$M,8,0)),"",VLOOKUP($F738,'Raw Data'!$A:$M,8,0))</f>
        <v/>
      </c>
      <c r="I738" t="str">
        <f>IF(ISNA(VLOOKUP($F738,'Raw Data'!$A:$M,9,0)),"",VLOOKUP($F738,'Raw Data'!$A:$M,9,0))</f>
        <v/>
      </c>
      <c r="J738" t="str">
        <f>IF(ISNA(VLOOKUP($F738,'Raw Data'!$A:$M,10,0)),"",VLOOKUP($F738,'Raw Data'!$A:$M,10,0))</f>
        <v/>
      </c>
      <c r="K738" t="str">
        <f>IF(ISNA(VLOOKUP($F738,'Raw Data'!$A:$M,11,0)),"",VLOOKUP($F738,'Raw Data'!$A:$M,11,0))</f>
        <v/>
      </c>
      <c r="L738" t="str">
        <f>IF(ISNA(VLOOKUP($F738,'Raw Data'!$A:$M,12,0)),"",VLOOKUP($F738,'Raw Data'!$A:$M,12,0))</f>
        <v/>
      </c>
      <c r="M738" t="str">
        <f>IF(ISNA(VLOOKUP($F738,'Raw Data'!$A:$M,13,0)),"",VLOOKUP($F738,'Raw Data'!$A:$M,13,0))</f>
        <v/>
      </c>
    </row>
    <row r="739" spans="1:13" x14ac:dyDescent="0.25">
      <c r="A739" t="s">
        <v>38</v>
      </c>
      <c r="B739">
        <v>2013</v>
      </c>
      <c r="C739">
        <v>4</v>
      </c>
      <c r="D739" s="3">
        <v>780</v>
      </c>
      <c r="E739" s="3">
        <v>97</v>
      </c>
      <c r="F739" s="3" t="str">
        <f t="shared" si="11"/>
        <v>FGU92013478097</v>
      </c>
      <c r="G739" t="str">
        <f>IF(ISNA(VLOOKUP($F739,'Raw Data'!$A:$M,7,0)),"",VLOOKUP($F739,'Raw Data'!$A:$M,7,0))</f>
        <v/>
      </c>
      <c r="H739" t="str">
        <f>IF(ISNA(VLOOKUP($F739,'Raw Data'!$A:$M,8,0)),"",VLOOKUP($F739,'Raw Data'!$A:$M,8,0))</f>
        <v/>
      </c>
      <c r="I739" t="str">
        <f>IF(ISNA(VLOOKUP($F739,'Raw Data'!$A:$M,9,0)),"",VLOOKUP($F739,'Raw Data'!$A:$M,9,0))</f>
        <v/>
      </c>
      <c r="J739" t="str">
        <f>IF(ISNA(VLOOKUP($F739,'Raw Data'!$A:$M,10,0)),"",VLOOKUP($F739,'Raw Data'!$A:$M,10,0))</f>
        <v/>
      </c>
      <c r="K739" t="str">
        <f>IF(ISNA(VLOOKUP($F739,'Raw Data'!$A:$M,11,0)),"",VLOOKUP($F739,'Raw Data'!$A:$M,11,0))</f>
        <v/>
      </c>
      <c r="L739" t="str">
        <f>IF(ISNA(VLOOKUP($F739,'Raw Data'!$A:$M,12,0)),"",VLOOKUP($F739,'Raw Data'!$A:$M,12,0))</f>
        <v/>
      </c>
      <c r="M739" t="str">
        <f>IF(ISNA(VLOOKUP($F739,'Raw Data'!$A:$M,13,0)),"",VLOOKUP($F739,'Raw Data'!$A:$M,13,0))</f>
        <v/>
      </c>
    </row>
    <row r="740" spans="1:13" x14ac:dyDescent="0.25">
      <c r="A740" t="s">
        <v>38</v>
      </c>
      <c r="B740">
        <v>2013</v>
      </c>
      <c r="C740">
        <v>4</v>
      </c>
      <c r="D740" s="3">
        <v>620</v>
      </c>
      <c r="E740" s="3">
        <v>100</v>
      </c>
      <c r="F740" s="3" t="str">
        <f t="shared" si="11"/>
        <v>FGU920134620100</v>
      </c>
      <c r="G740" t="str">
        <f>IF(ISNA(VLOOKUP($F740,'Raw Data'!$A:$M,7,0)),"",VLOOKUP($F740,'Raw Data'!$A:$M,7,0))</f>
        <v/>
      </c>
      <c r="H740" t="str">
        <f>IF(ISNA(VLOOKUP($F740,'Raw Data'!$A:$M,8,0)),"",VLOOKUP($F740,'Raw Data'!$A:$M,8,0))</f>
        <v/>
      </c>
      <c r="I740" t="str">
        <f>IF(ISNA(VLOOKUP($F740,'Raw Data'!$A:$M,9,0)),"",VLOOKUP($F740,'Raw Data'!$A:$M,9,0))</f>
        <v/>
      </c>
      <c r="J740" t="str">
        <f>IF(ISNA(VLOOKUP($F740,'Raw Data'!$A:$M,10,0)),"",VLOOKUP($F740,'Raw Data'!$A:$M,10,0))</f>
        <v/>
      </c>
      <c r="K740" t="str">
        <f>IF(ISNA(VLOOKUP($F740,'Raw Data'!$A:$M,11,0)),"",VLOOKUP($F740,'Raw Data'!$A:$M,11,0))</f>
        <v/>
      </c>
      <c r="L740" t="str">
        <f>IF(ISNA(VLOOKUP($F740,'Raw Data'!$A:$M,12,0)),"",VLOOKUP($F740,'Raw Data'!$A:$M,12,0))</f>
        <v/>
      </c>
      <c r="M740" t="str">
        <f>IF(ISNA(VLOOKUP($F740,'Raw Data'!$A:$M,13,0)),"",VLOOKUP($F740,'Raw Data'!$A:$M,13,0))</f>
        <v/>
      </c>
    </row>
    <row r="741" spans="1:13" x14ac:dyDescent="0.25">
      <c r="A741" t="s">
        <v>38</v>
      </c>
      <c r="B741">
        <v>2013</v>
      </c>
      <c r="C741">
        <v>4</v>
      </c>
      <c r="D741" s="3">
        <v>640</v>
      </c>
      <c r="E741" s="3">
        <v>100</v>
      </c>
      <c r="F741" s="3" t="str">
        <f t="shared" si="11"/>
        <v>FGU920134640100</v>
      </c>
      <c r="G741" t="str">
        <f>IF(ISNA(VLOOKUP($F741,'Raw Data'!$A:$M,7,0)),"",VLOOKUP($F741,'Raw Data'!$A:$M,7,0))</f>
        <v/>
      </c>
      <c r="H741" t="str">
        <f>IF(ISNA(VLOOKUP($F741,'Raw Data'!$A:$M,8,0)),"",VLOOKUP($F741,'Raw Data'!$A:$M,8,0))</f>
        <v/>
      </c>
      <c r="I741" t="str">
        <f>IF(ISNA(VLOOKUP($F741,'Raw Data'!$A:$M,9,0)),"",VLOOKUP($F741,'Raw Data'!$A:$M,9,0))</f>
        <v/>
      </c>
      <c r="J741" t="str">
        <f>IF(ISNA(VLOOKUP($F741,'Raw Data'!$A:$M,10,0)),"",VLOOKUP($F741,'Raw Data'!$A:$M,10,0))</f>
        <v/>
      </c>
      <c r="K741" t="str">
        <f>IF(ISNA(VLOOKUP($F741,'Raw Data'!$A:$M,11,0)),"",VLOOKUP($F741,'Raw Data'!$A:$M,11,0))</f>
        <v/>
      </c>
      <c r="L741" t="str">
        <f>IF(ISNA(VLOOKUP($F741,'Raw Data'!$A:$M,12,0)),"",VLOOKUP($F741,'Raw Data'!$A:$M,12,0))</f>
        <v/>
      </c>
      <c r="M741" t="str">
        <f>IF(ISNA(VLOOKUP($F741,'Raw Data'!$A:$M,13,0)),"",VLOOKUP($F741,'Raw Data'!$A:$M,13,0))</f>
        <v/>
      </c>
    </row>
    <row r="742" spans="1:13" x14ac:dyDescent="0.25">
      <c r="A742" t="s">
        <v>38</v>
      </c>
      <c r="B742">
        <v>2013</v>
      </c>
      <c r="C742">
        <v>4</v>
      </c>
      <c r="D742" s="3">
        <v>660</v>
      </c>
      <c r="E742" s="3">
        <v>100</v>
      </c>
      <c r="F742" s="3" t="str">
        <f t="shared" si="11"/>
        <v>FGU920134660100</v>
      </c>
      <c r="G742" t="str">
        <f>IF(ISNA(VLOOKUP($F742,'Raw Data'!$A:$M,7,0)),"",VLOOKUP($F742,'Raw Data'!$A:$M,7,0))</f>
        <v/>
      </c>
      <c r="H742" t="str">
        <f>IF(ISNA(VLOOKUP($F742,'Raw Data'!$A:$M,8,0)),"",VLOOKUP($F742,'Raw Data'!$A:$M,8,0))</f>
        <v/>
      </c>
      <c r="I742" t="str">
        <f>IF(ISNA(VLOOKUP($F742,'Raw Data'!$A:$M,9,0)),"",VLOOKUP($F742,'Raw Data'!$A:$M,9,0))</f>
        <v/>
      </c>
      <c r="J742" t="str">
        <f>IF(ISNA(VLOOKUP($F742,'Raw Data'!$A:$M,10,0)),"",VLOOKUP($F742,'Raw Data'!$A:$M,10,0))</f>
        <v/>
      </c>
      <c r="K742" t="str">
        <f>IF(ISNA(VLOOKUP($F742,'Raw Data'!$A:$M,11,0)),"",VLOOKUP($F742,'Raw Data'!$A:$M,11,0))</f>
        <v/>
      </c>
      <c r="L742" t="str">
        <f>IF(ISNA(VLOOKUP($F742,'Raw Data'!$A:$M,12,0)),"",VLOOKUP($F742,'Raw Data'!$A:$M,12,0))</f>
        <v/>
      </c>
      <c r="M742" t="str">
        <f>IF(ISNA(VLOOKUP($F742,'Raw Data'!$A:$M,13,0)),"",VLOOKUP($F742,'Raw Data'!$A:$M,13,0))</f>
        <v/>
      </c>
    </row>
    <row r="743" spans="1:13" x14ac:dyDescent="0.25">
      <c r="A743" t="s">
        <v>38</v>
      </c>
      <c r="B743">
        <v>2013</v>
      </c>
      <c r="C743">
        <v>4</v>
      </c>
      <c r="D743" s="3">
        <v>680</v>
      </c>
      <c r="E743" s="3">
        <v>100</v>
      </c>
      <c r="F743" s="3" t="str">
        <f t="shared" si="11"/>
        <v>FGU920134680100</v>
      </c>
      <c r="G743" t="str">
        <f>IF(ISNA(VLOOKUP($F743,'Raw Data'!$A:$M,7,0)),"",VLOOKUP($F743,'Raw Data'!$A:$M,7,0))</f>
        <v/>
      </c>
      <c r="H743" t="str">
        <f>IF(ISNA(VLOOKUP($F743,'Raw Data'!$A:$M,8,0)),"",VLOOKUP($F743,'Raw Data'!$A:$M,8,0))</f>
        <v/>
      </c>
      <c r="I743" t="str">
        <f>IF(ISNA(VLOOKUP($F743,'Raw Data'!$A:$M,9,0)),"",VLOOKUP($F743,'Raw Data'!$A:$M,9,0))</f>
        <v/>
      </c>
      <c r="J743" t="str">
        <f>IF(ISNA(VLOOKUP($F743,'Raw Data'!$A:$M,10,0)),"",VLOOKUP($F743,'Raw Data'!$A:$M,10,0))</f>
        <v/>
      </c>
      <c r="K743" t="str">
        <f>IF(ISNA(VLOOKUP($F743,'Raw Data'!$A:$M,11,0)),"",VLOOKUP($F743,'Raw Data'!$A:$M,11,0))</f>
        <v/>
      </c>
      <c r="L743" t="str">
        <f>IF(ISNA(VLOOKUP($F743,'Raw Data'!$A:$M,12,0)),"",VLOOKUP($F743,'Raw Data'!$A:$M,12,0))</f>
        <v/>
      </c>
      <c r="M743" t="str">
        <f>IF(ISNA(VLOOKUP($F743,'Raw Data'!$A:$M,13,0)),"",VLOOKUP($F743,'Raw Data'!$A:$M,13,0))</f>
        <v/>
      </c>
    </row>
    <row r="744" spans="1:13" x14ac:dyDescent="0.25">
      <c r="A744" t="s">
        <v>38</v>
      </c>
      <c r="B744">
        <v>2013</v>
      </c>
      <c r="C744">
        <v>4</v>
      </c>
      <c r="D744" s="3">
        <v>700</v>
      </c>
      <c r="E744" s="3">
        <v>100</v>
      </c>
      <c r="F744" s="3" t="str">
        <f t="shared" si="11"/>
        <v>FGU920134700100</v>
      </c>
      <c r="G744" t="str">
        <f>IF(ISNA(VLOOKUP($F744,'Raw Data'!$A:$M,7,0)),"",VLOOKUP($F744,'Raw Data'!$A:$M,7,0))</f>
        <v/>
      </c>
      <c r="H744" t="str">
        <f>IF(ISNA(VLOOKUP($F744,'Raw Data'!$A:$M,8,0)),"",VLOOKUP($F744,'Raw Data'!$A:$M,8,0))</f>
        <v/>
      </c>
      <c r="I744" t="str">
        <f>IF(ISNA(VLOOKUP($F744,'Raw Data'!$A:$M,9,0)),"",VLOOKUP($F744,'Raw Data'!$A:$M,9,0))</f>
        <v/>
      </c>
      <c r="J744" t="str">
        <f>IF(ISNA(VLOOKUP($F744,'Raw Data'!$A:$M,10,0)),"",VLOOKUP($F744,'Raw Data'!$A:$M,10,0))</f>
        <v/>
      </c>
      <c r="K744" t="str">
        <f>IF(ISNA(VLOOKUP($F744,'Raw Data'!$A:$M,11,0)),"",VLOOKUP($F744,'Raw Data'!$A:$M,11,0))</f>
        <v/>
      </c>
      <c r="L744" t="str">
        <f>IF(ISNA(VLOOKUP($F744,'Raw Data'!$A:$M,12,0)),"",VLOOKUP($F744,'Raw Data'!$A:$M,12,0))</f>
        <v/>
      </c>
      <c r="M744" t="str">
        <f>IF(ISNA(VLOOKUP($F744,'Raw Data'!$A:$M,13,0)),"",VLOOKUP($F744,'Raw Data'!$A:$M,13,0))</f>
        <v/>
      </c>
    </row>
    <row r="745" spans="1:13" x14ac:dyDescent="0.25">
      <c r="A745" t="s">
        <v>38</v>
      </c>
      <c r="B745">
        <v>2013</v>
      </c>
      <c r="C745">
        <v>4</v>
      </c>
      <c r="D745" s="3">
        <v>720</v>
      </c>
      <c r="E745" s="3">
        <v>100</v>
      </c>
      <c r="F745" s="3" t="str">
        <f t="shared" si="11"/>
        <v>FGU920134720100</v>
      </c>
      <c r="G745">
        <f>IF(ISNA(VLOOKUP($F745,'Raw Data'!$A:$M,7,0)),"",VLOOKUP($F745,'Raw Data'!$A:$M,7,0))</f>
        <v>9861007.8100000005</v>
      </c>
      <c r="H745">
        <f>IF(ISNA(VLOOKUP($F745,'Raw Data'!$A:$M,8,0)),"",VLOOKUP($F745,'Raw Data'!$A:$M,8,0))</f>
        <v>-55.9709</v>
      </c>
      <c r="I745">
        <f>IF(ISNA(VLOOKUP($F745,'Raw Data'!$A:$M,9,0)),"",VLOOKUP($F745,'Raw Data'!$A:$M,9,0))</f>
        <v>-30.971699999999998</v>
      </c>
      <c r="J745">
        <f>IF(ISNA(VLOOKUP($F745,'Raw Data'!$A:$M,10,0)),"",VLOOKUP($F745,'Raw Data'!$A:$M,10,0))</f>
        <v>24.999199999999998</v>
      </c>
      <c r="K745">
        <f>IF(ISNA(VLOOKUP($F745,'Raw Data'!$A:$M,11,0)),"",VLOOKUP($F745,'Raw Data'!$A:$M,11,0))</f>
        <v>-39.497599999999998</v>
      </c>
      <c r="L745">
        <f>IF(ISNA(VLOOKUP($F745,'Raw Data'!$A:$M,12,0)),"",VLOOKUP($F745,'Raw Data'!$A:$M,12,0))</f>
        <v>-23.298500000000001</v>
      </c>
      <c r="M745">
        <f>IF(ISNA(VLOOKUP($F745,'Raw Data'!$A:$M,13,0)),"",VLOOKUP($F745,'Raw Data'!$A:$M,13,0))</f>
        <v>16.199100000000001</v>
      </c>
    </row>
    <row r="746" spans="1:13" x14ac:dyDescent="0.25">
      <c r="A746" t="s">
        <v>38</v>
      </c>
      <c r="B746">
        <v>2013</v>
      </c>
      <c r="C746">
        <v>4</v>
      </c>
      <c r="D746" s="3">
        <v>740</v>
      </c>
      <c r="E746" s="3">
        <v>100</v>
      </c>
      <c r="F746" s="3" t="str">
        <f t="shared" si="11"/>
        <v>FGU920134740100</v>
      </c>
      <c r="G746">
        <f>IF(ISNA(VLOOKUP($F746,'Raw Data'!$A:$M,7,0)),"",VLOOKUP($F746,'Raw Data'!$A:$M,7,0))</f>
        <v>8997663.9199999999</v>
      </c>
      <c r="H746">
        <f>IF(ISNA(VLOOKUP($F746,'Raw Data'!$A:$M,8,0)),"",VLOOKUP($F746,'Raw Data'!$A:$M,8,0))</f>
        <v>-43.403500000000001</v>
      </c>
      <c r="I746">
        <f>IF(ISNA(VLOOKUP($F746,'Raw Data'!$A:$M,9,0)),"",VLOOKUP($F746,'Raw Data'!$A:$M,9,0))</f>
        <v>-18.404199999999999</v>
      </c>
      <c r="J746">
        <f>IF(ISNA(VLOOKUP($F746,'Raw Data'!$A:$M,10,0)),"",VLOOKUP($F746,'Raw Data'!$A:$M,10,0))</f>
        <v>24.999300000000002</v>
      </c>
      <c r="K746">
        <f>IF(ISNA(VLOOKUP($F746,'Raw Data'!$A:$M,11,0)),"",VLOOKUP($F746,'Raw Data'!$A:$M,11,0))</f>
        <v>-25.3368</v>
      </c>
      <c r="L746">
        <f>IF(ISNA(VLOOKUP($F746,'Raw Data'!$A:$M,12,0)),"",VLOOKUP($F746,'Raw Data'!$A:$M,12,0))</f>
        <v>-8.9673999999999996</v>
      </c>
      <c r="M746">
        <f>IF(ISNA(VLOOKUP($F746,'Raw Data'!$A:$M,13,0)),"",VLOOKUP($F746,'Raw Data'!$A:$M,13,0))</f>
        <v>16.369399999999999</v>
      </c>
    </row>
    <row r="747" spans="1:13" x14ac:dyDescent="0.25">
      <c r="A747" t="s">
        <v>38</v>
      </c>
      <c r="B747">
        <v>2013</v>
      </c>
      <c r="C747">
        <v>4</v>
      </c>
      <c r="D747" s="3">
        <v>760</v>
      </c>
      <c r="E747" s="3">
        <v>100</v>
      </c>
      <c r="F747" s="3" t="str">
        <f t="shared" si="11"/>
        <v>FGU920134760100</v>
      </c>
      <c r="G747">
        <f>IF(ISNA(VLOOKUP($F747,'Raw Data'!$A:$M,7,0)),"",VLOOKUP($F747,'Raw Data'!$A:$M,7,0))</f>
        <v>4622251.0199999996</v>
      </c>
      <c r="H747">
        <f>IF(ISNA(VLOOKUP($F747,'Raw Data'!$A:$M,8,0)),"",VLOOKUP($F747,'Raw Data'!$A:$M,8,0))</f>
        <v>-40.321800000000003</v>
      </c>
      <c r="I747">
        <f>IF(ISNA(VLOOKUP($F747,'Raw Data'!$A:$M,9,0)),"",VLOOKUP($F747,'Raw Data'!$A:$M,9,0))</f>
        <v>-15.322800000000001</v>
      </c>
      <c r="J747">
        <f>IF(ISNA(VLOOKUP($F747,'Raw Data'!$A:$M,10,0)),"",VLOOKUP($F747,'Raw Data'!$A:$M,10,0))</f>
        <v>24.998999999999999</v>
      </c>
      <c r="K747">
        <f>IF(ISNA(VLOOKUP($F747,'Raw Data'!$A:$M,11,0)),"",VLOOKUP($F747,'Raw Data'!$A:$M,11,0))</f>
        <v>-24.814800000000002</v>
      </c>
      <c r="L747">
        <f>IF(ISNA(VLOOKUP($F747,'Raw Data'!$A:$M,12,0)),"",VLOOKUP($F747,'Raw Data'!$A:$M,12,0))</f>
        <v>-7.9321999999999999</v>
      </c>
      <c r="M747">
        <f>IF(ISNA(VLOOKUP($F747,'Raw Data'!$A:$M,13,0)),"",VLOOKUP($F747,'Raw Data'!$A:$M,13,0))</f>
        <v>16.8826</v>
      </c>
    </row>
    <row r="748" spans="1:13" x14ac:dyDescent="0.25">
      <c r="A748" t="s">
        <v>38</v>
      </c>
      <c r="B748">
        <v>2013</v>
      </c>
      <c r="C748">
        <v>4</v>
      </c>
      <c r="D748" s="3">
        <v>780</v>
      </c>
      <c r="E748" s="3">
        <v>100</v>
      </c>
      <c r="F748" s="3" t="str">
        <f t="shared" si="11"/>
        <v>FGU920134780100</v>
      </c>
      <c r="G748" t="str">
        <f>IF(ISNA(VLOOKUP($F748,'Raw Data'!$A:$M,7,0)),"",VLOOKUP($F748,'Raw Data'!$A:$M,7,0))</f>
        <v/>
      </c>
      <c r="H748" t="str">
        <f>IF(ISNA(VLOOKUP($F748,'Raw Data'!$A:$M,8,0)),"",VLOOKUP($F748,'Raw Data'!$A:$M,8,0))</f>
        <v/>
      </c>
      <c r="I748" t="str">
        <f>IF(ISNA(VLOOKUP($F748,'Raw Data'!$A:$M,9,0)),"",VLOOKUP($F748,'Raw Data'!$A:$M,9,0))</f>
        <v/>
      </c>
      <c r="J748" t="str">
        <f>IF(ISNA(VLOOKUP($F748,'Raw Data'!$A:$M,10,0)),"",VLOOKUP($F748,'Raw Data'!$A:$M,10,0))</f>
        <v/>
      </c>
      <c r="K748" t="str">
        <f>IF(ISNA(VLOOKUP($F748,'Raw Data'!$A:$M,11,0)),"",VLOOKUP($F748,'Raw Data'!$A:$M,11,0))</f>
        <v/>
      </c>
      <c r="L748" t="str">
        <f>IF(ISNA(VLOOKUP($F748,'Raw Data'!$A:$M,12,0)),"",VLOOKUP($F748,'Raw Data'!$A:$M,12,0))</f>
        <v/>
      </c>
      <c r="M748" t="str">
        <f>IF(ISNA(VLOOKUP($F748,'Raw Data'!$A:$M,13,0)),"",VLOOKUP($F748,'Raw Data'!$A:$M,13,0))</f>
        <v/>
      </c>
    </row>
    <row r="749" spans="1:13" x14ac:dyDescent="0.25">
      <c r="A749" t="s">
        <v>38</v>
      </c>
      <c r="B749">
        <v>2013</v>
      </c>
      <c r="C749">
        <v>4</v>
      </c>
      <c r="D749" s="3">
        <v>620</v>
      </c>
      <c r="E749" s="3" t="s">
        <v>9</v>
      </c>
      <c r="F749" s="3" t="str">
        <f t="shared" si="11"/>
        <v>FGU920134620100+</v>
      </c>
      <c r="G749" t="str">
        <f>IF(ISNA(VLOOKUP($F749,'Raw Data'!$A:$M,7,0)),"",VLOOKUP($F749,'Raw Data'!$A:$M,7,0))</f>
        <v/>
      </c>
      <c r="H749" t="str">
        <f>IF(ISNA(VLOOKUP($F749,'Raw Data'!$A:$M,8,0)),"",VLOOKUP($F749,'Raw Data'!$A:$M,8,0))</f>
        <v/>
      </c>
      <c r="I749" t="str">
        <f>IF(ISNA(VLOOKUP($F749,'Raw Data'!$A:$M,9,0)),"",VLOOKUP($F749,'Raw Data'!$A:$M,9,0))</f>
        <v/>
      </c>
      <c r="J749" t="str">
        <f>IF(ISNA(VLOOKUP($F749,'Raw Data'!$A:$M,10,0)),"",VLOOKUP($F749,'Raw Data'!$A:$M,10,0))</f>
        <v/>
      </c>
      <c r="K749" t="str">
        <f>IF(ISNA(VLOOKUP($F749,'Raw Data'!$A:$M,11,0)),"",VLOOKUP($F749,'Raw Data'!$A:$M,11,0))</f>
        <v/>
      </c>
      <c r="L749" t="str">
        <f>IF(ISNA(VLOOKUP($F749,'Raw Data'!$A:$M,12,0)),"",VLOOKUP($F749,'Raw Data'!$A:$M,12,0))</f>
        <v/>
      </c>
      <c r="M749" t="str">
        <f>IF(ISNA(VLOOKUP($F749,'Raw Data'!$A:$M,13,0)),"",VLOOKUP($F749,'Raw Data'!$A:$M,13,0))</f>
        <v/>
      </c>
    </row>
    <row r="750" spans="1:13" x14ac:dyDescent="0.25">
      <c r="A750" t="s">
        <v>38</v>
      </c>
      <c r="B750">
        <v>2013</v>
      </c>
      <c r="C750">
        <v>4</v>
      </c>
      <c r="D750" s="3">
        <v>640</v>
      </c>
      <c r="E750" s="3" t="s">
        <v>9</v>
      </c>
      <c r="F750" s="3" t="str">
        <f t="shared" si="11"/>
        <v>FGU920134640100+</v>
      </c>
      <c r="G750" t="str">
        <f>IF(ISNA(VLOOKUP($F750,'Raw Data'!$A:$M,7,0)),"",VLOOKUP($F750,'Raw Data'!$A:$M,7,0))</f>
        <v/>
      </c>
      <c r="H750" t="str">
        <f>IF(ISNA(VLOOKUP($F750,'Raw Data'!$A:$M,8,0)),"",VLOOKUP($F750,'Raw Data'!$A:$M,8,0))</f>
        <v/>
      </c>
      <c r="I750" t="str">
        <f>IF(ISNA(VLOOKUP($F750,'Raw Data'!$A:$M,9,0)),"",VLOOKUP($F750,'Raw Data'!$A:$M,9,0))</f>
        <v/>
      </c>
      <c r="J750" t="str">
        <f>IF(ISNA(VLOOKUP($F750,'Raw Data'!$A:$M,10,0)),"",VLOOKUP($F750,'Raw Data'!$A:$M,10,0))</f>
        <v/>
      </c>
      <c r="K750" t="str">
        <f>IF(ISNA(VLOOKUP($F750,'Raw Data'!$A:$M,11,0)),"",VLOOKUP($F750,'Raw Data'!$A:$M,11,0))</f>
        <v/>
      </c>
      <c r="L750" t="str">
        <f>IF(ISNA(VLOOKUP($F750,'Raw Data'!$A:$M,12,0)),"",VLOOKUP($F750,'Raw Data'!$A:$M,12,0))</f>
        <v/>
      </c>
      <c r="M750" t="str">
        <f>IF(ISNA(VLOOKUP($F750,'Raw Data'!$A:$M,13,0)),"",VLOOKUP($F750,'Raw Data'!$A:$M,13,0))</f>
        <v/>
      </c>
    </row>
    <row r="751" spans="1:13" x14ac:dyDescent="0.25">
      <c r="A751" t="s">
        <v>38</v>
      </c>
      <c r="B751">
        <v>2013</v>
      </c>
      <c r="C751">
        <v>4</v>
      </c>
      <c r="D751" s="3">
        <v>660</v>
      </c>
      <c r="E751" s="3" t="s">
        <v>9</v>
      </c>
      <c r="F751" s="3" t="str">
        <f t="shared" si="11"/>
        <v>FGU920134660100+</v>
      </c>
      <c r="G751" t="str">
        <f>IF(ISNA(VLOOKUP($F751,'Raw Data'!$A:$M,7,0)),"",VLOOKUP($F751,'Raw Data'!$A:$M,7,0))</f>
        <v/>
      </c>
      <c r="H751" t="str">
        <f>IF(ISNA(VLOOKUP($F751,'Raw Data'!$A:$M,8,0)),"",VLOOKUP($F751,'Raw Data'!$A:$M,8,0))</f>
        <v/>
      </c>
      <c r="I751" t="str">
        <f>IF(ISNA(VLOOKUP($F751,'Raw Data'!$A:$M,9,0)),"",VLOOKUP($F751,'Raw Data'!$A:$M,9,0))</f>
        <v/>
      </c>
      <c r="J751" t="str">
        <f>IF(ISNA(VLOOKUP($F751,'Raw Data'!$A:$M,10,0)),"",VLOOKUP($F751,'Raw Data'!$A:$M,10,0))</f>
        <v/>
      </c>
      <c r="K751" t="str">
        <f>IF(ISNA(VLOOKUP($F751,'Raw Data'!$A:$M,11,0)),"",VLOOKUP($F751,'Raw Data'!$A:$M,11,0))</f>
        <v/>
      </c>
      <c r="L751" t="str">
        <f>IF(ISNA(VLOOKUP($F751,'Raw Data'!$A:$M,12,0)),"",VLOOKUP($F751,'Raw Data'!$A:$M,12,0))</f>
        <v/>
      </c>
      <c r="M751" t="str">
        <f>IF(ISNA(VLOOKUP($F751,'Raw Data'!$A:$M,13,0)),"",VLOOKUP($F751,'Raw Data'!$A:$M,13,0))</f>
        <v/>
      </c>
    </row>
    <row r="752" spans="1:13" x14ac:dyDescent="0.25">
      <c r="A752" t="s">
        <v>38</v>
      </c>
      <c r="B752">
        <v>2013</v>
      </c>
      <c r="C752">
        <v>4</v>
      </c>
      <c r="D752" s="3">
        <v>680</v>
      </c>
      <c r="E752" s="3" t="s">
        <v>9</v>
      </c>
      <c r="F752" s="3" t="str">
        <f t="shared" si="11"/>
        <v>FGU920134680100+</v>
      </c>
      <c r="G752">
        <f>IF(ISNA(VLOOKUP($F752,'Raw Data'!$A:$M,7,0)),"",VLOOKUP($F752,'Raw Data'!$A:$M,7,0))</f>
        <v>2069224.22</v>
      </c>
      <c r="H752">
        <f>IF(ISNA(VLOOKUP($F752,'Raw Data'!$A:$M,8,0)),"",VLOOKUP($F752,'Raw Data'!$A:$M,8,0))</f>
        <v>-30.067359626664299</v>
      </c>
      <c r="I752">
        <f>IF(ISNA(VLOOKUP($F752,'Raw Data'!$A:$M,9,0)),"",VLOOKUP($F752,'Raw Data'!$A:$M,9,0))</f>
        <v>-5.0677175996750998</v>
      </c>
      <c r="J752">
        <f>IF(ISNA(VLOOKUP($F752,'Raw Data'!$A:$M,10,0)),"",VLOOKUP($F752,'Raw Data'!$A:$M,10,0))</f>
        <v>24.9996420269892</v>
      </c>
      <c r="K752">
        <f>IF(ISNA(VLOOKUP($F752,'Raw Data'!$A:$M,11,0)),"",VLOOKUP($F752,'Raw Data'!$A:$M,11,0))</f>
        <v>-29.098491719654699</v>
      </c>
      <c r="L752">
        <f>IF(ISNA(VLOOKUP($F752,'Raw Data'!$A:$M,12,0)),"",VLOOKUP($F752,'Raw Data'!$A:$M,12,0))</f>
        <v>-5.0366099503083301</v>
      </c>
      <c r="M752">
        <f>IF(ISNA(VLOOKUP($F752,'Raw Data'!$A:$M,13,0)),"",VLOOKUP($F752,'Raw Data'!$A:$M,13,0))</f>
        <v>24.0618817693463</v>
      </c>
    </row>
    <row r="753" spans="1:13" x14ac:dyDescent="0.25">
      <c r="A753" t="s">
        <v>38</v>
      </c>
      <c r="B753">
        <v>2013</v>
      </c>
      <c r="C753">
        <v>4</v>
      </c>
      <c r="D753" s="3">
        <v>700</v>
      </c>
      <c r="E753" s="3" t="s">
        <v>9</v>
      </c>
      <c r="F753" s="3" t="str">
        <f t="shared" si="11"/>
        <v>FGU920134700100+</v>
      </c>
      <c r="G753" t="str">
        <f>IF(ISNA(VLOOKUP($F753,'Raw Data'!$A:$M,7,0)),"",VLOOKUP($F753,'Raw Data'!$A:$M,7,0))</f>
        <v/>
      </c>
      <c r="H753" t="str">
        <f>IF(ISNA(VLOOKUP($F753,'Raw Data'!$A:$M,8,0)),"",VLOOKUP($F753,'Raw Data'!$A:$M,8,0))</f>
        <v/>
      </c>
      <c r="I753" t="str">
        <f>IF(ISNA(VLOOKUP($F753,'Raw Data'!$A:$M,9,0)),"",VLOOKUP($F753,'Raw Data'!$A:$M,9,0))</f>
        <v/>
      </c>
      <c r="J753" t="str">
        <f>IF(ISNA(VLOOKUP($F753,'Raw Data'!$A:$M,10,0)),"",VLOOKUP($F753,'Raw Data'!$A:$M,10,0))</f>
        <v/>
      </c>
      <c r="K753" t="str">
        <f>IF(ISNA(VLOOKUP($F753,'Raw Data'!$A:$M,11,0)),"",VLOOKUP($F753,'Raw Data'!$A:$M,11,0))</f>
        <v/>
      </c>
      <c r="L753" t="str">
        <f>IF(ISNA(VLOOKUP($F753,'Raw Data'!$A:$M,12,0)),"",VLOOKUP($F753,'Raw Data'!$A:$M,12,0))</f>
        <v/>
      </c>
      <c r="M753" t="str">
        <f>IF(ISNA(VLOOKUP($F753,'Raw Data'!$A:$M,13,0)),"",VLOOKUP($F753,'Raw Data'!$A:$M,13,0))</f>
        <v/>
      </c>
    </row>
    <row r="754" spans="1:13" x14ac:dyDescent="0.25">
      <c r="A754" t="s">
        <v>38</v>
      </c>
      <c r="B754">
        <v>2013</v>
      </c>
      <c r="C754">
        <v>4</v>
      </c>
      <c r="D754" s="3">
        <v>720</v>
      </c>
      <c r="E754" s="3" t="s">
        <v>9</v>
      </c>
      <c r="F754" s="3" t="str">
        <f t="shared" si="11"/>
        <v>FGU920134720100+</v>
      </c>
      <c r="G754" t="str">
        <f>IF(ISNA(VLOOKUP($F754,'Raw Data'!$A:$M,7,0)),"",VLOOKUP($F754,'Raw Data'!$A:$M,7,0))</f>
        <v/>
      </c>
      <c r="H754" t="str">
        <f>IF(ISNA(VLOOKUP($F754,'Raw Data'!$A:$M,8,0)),"",VLOOKUP($F754,'Raw Data'!$A:$M,8,0))</f>
        <v/>
      </c>
      <c r="I754" t="str">
        <f>IF(ISNA(VLOOKUP($F754,'Raw Data'!$A:$M,9,0)),"",VLOOKUP($F754,'Raw Data'!$A:$M,9,0))</f>
        <v/>
      </c>
      <c r="J754" t="str">
        <f>IF(ISNA(VLOOKUP($F754,'Raw Data'!$A:$M,10,0)),"",VLOOKUP($F754,'Raw Data'!$A:$M,10,0))</f>
        <v/>
      </c>
      <c r="K754" t="str">
        <f>IF(ISNA(VLOOKUP($F754,'Raw Data'!$A:$M,11,0)),"",VLOOKUP($F754,'Raw Data'!$A:$M,11,0))</f>
        <v/>
      </c>
      <c r="L754" t="str">
        <f>IF(ISNA(VLOOKUP($F754,'Raw Data'!$A:$M,12,0)),"",VLOOKUP($F754,'Raw Data'!$A:$M,12,0))</f>
        <v/>
      </c>
      <c r="M754" t="str">
        <f>IF(ISNA(VLOOKUP($F754,'Raw Data'!$A:$M,13,0)),"",VLOOKUP($F754,'Raw Data'!$A:$M,13,0))</f>
        <v/>
      </c>
    </row>
    <row r="755" spans="1:13" x14ac:dyDescent="0.25">
      <c r="A755" t="s">
        <v>38</v>
      </c>
      <c r="B755">
        <v>2013</v>
      </c>
      <c r="C755">
        <v>4</v>
      </c>
      <c r="D755" s="3">
        <v>740</v>
      </c>
      <c r="E755" s="3" t="s">
        <v>9</v>
      </c>
      <c r="F755" s="3" t="str">
        <f t="shared" si="11"/>
        <v>FGU920134740100+</v>
      </c>
      <c r="G755">
        <f>IF(ISNA(VLOOKUP($F755,'Raw Data'!$A:$M,7,0)),"",VLOOKUP($F755,'Raw Data'!$A:$M,7,0))</f>
        <v>234762406.55000001</v>
      </c>
      <c r="H755">
        <f>IF(ISNA(VLOOKUP($F755,'Raw Data'!$A:$M,8,0)),"",VLOOKUP($F755,'Raw Data'!$A:$M,8,0))</f>
        <v>-46.894666193268101</v>
      </c>
      <c r="I755">
        <f>IF(ISNA(VLOOKUP($F755,'Raw Data'!$A:$M,9,0)),"",VLOOKUP($F755,'Raw Data'!$A:$M,9,0))</f>
        <v>-21.895214899664801</v>
      </c>
      <c r="J755">
        <f>IF(ISNA(VLOOKUP($F755,'Raw Data'!$A:$M,10,0)),"",VLOOKUP($F755,'Raw Data'!$A:$M,10,0))</f>
        <v>24.9994512936033</v>
      </c>
      <c r="K755">
        <f>IF(ISNA(VLOOKUP($F755,'Raw Data'!$A:$M,11,0)),"",VLOOKUP($F755,'Raw Data'!$A:$M,11,0))</f>
        <v>-38.790572771700198</v>
      </c>
      <c r="L755">
        <f>IF(ISNA(VLOOKUP($F755,'Raw Data'!$A:$M,12,0)),"",VLOOKUP($F755,'Raw Data'!$A:$M,12,0))</f>
        <v>-18.152672967025602</v>
      </c>
      <c r="M755">
        <f>IF(ISNA(VLOOKUP($F755,'Raw Data'!$A:$M,13,0)),"",VLOOKUP($F755,'Raw Data'!$A:$M,13,0))</f>
        <v>20.6378998046746</v>
      </c>
    </row>
    <row r="756" spans="1:13" x14ac:dyDescent="0.25">
      <c r="A756" t="s">
        <v>38</v>
      </c>
      <c r="B756">
        <v>2013</v>
      </c>
      <c r="C756">
        <v>4</v>
      </c>
      <c r="D756" s="3">
        <v>760</v>
      </c>
      <c r="E756" s="3" t="s">
        <v>9</v>
      </c>
      <c r="F756" s="3" t="str">
        <f t="shared" si="11"/>
        <v>FGU920134760100+</v>
      </c>
      <c r="G756">
        <f>IF(ISNA(VLOOKUP($F756,'Raw Data'!$A:$M,7,0)),"",VLOOKUP($F756,'Raw Data'!$A:$M,7,0))</f>
        <v>8943822.4000000004</v>
      </c>
      <c r="H756">
        <f>IF(ISNA(VLOOKUP($F756,'Raw Data'!$A:$M,8,0)),"",VLOOKUP($F756,'Raw Data'!$A:$M,8,0))</f>
        <v>-48.1907</v>
      </c>
      <c r="I756">
        <f>IF(ISNA(VLOOKUP($F756,'Raw Data'!$A:$M,9,0)),"",VLOOKUP($F756,'Raw Data'!$A:$M,9,0))</f>
        <v>-23.191800000000001</v>
      </c>
      <c r="J756">
        <f>IF(ISNA(VLOOKUP($F756,'Raw Data'!$A:$M,10,0)),"",VLOOKUP($F756,'Raw Data'!$A:$M,10,0))</f>
        <v>24.998899999999999</v>
      </c>
      <c r="K756">
        <f>IF(ISNA(VLOOKUP($F756,'Raw Data'!$A:$M,11,0)),"",VLOOKUP($F756,'Raw Data'!$A:$M,11,0))</f>
        <v>-43.133600000000001</v>
      </c>
      <c r="L756">
        <f>IF(ISNA(VLOOKUP($F756,'Raw Data'!$A:$M,12,0)),"",VLOOKUP($F756,'Raw Data'!$A:$M,12,0))</f>
        <v>-21.0274</v>
      </c>
      <c r="M756">
        <f>IF(ISNA(VLOOKUP($F756,'Raw Data'!$A:$M,13,0)),"",VLOOKUP($F756,'Raw Data'!$A:$M,13,0))</f>
        <v>22.106200000000001</v>
      </c>
    </row>
    <row r="757" spans="1:13" x14ac:dyDescent="0.25">
      <c r="A757" t="s">
        <v>38</v>
      </c>
      <c r="B757">
        <v>2013</v>
      </c>
      <c r="C757">
        <v>4</v>
      </c>
      <c r="D757" s="3">
        <v>780</v>
      </c>
      <c r="E757" s="3" t="s">
        <v>9</v>
      </c>
      <c r="F757" s="3" t="str">
        <f t="shared" si="11"/>
        <v>FGU920134780100+</v>
      </c>
      <c r="G757">
        <f>IF(ISNA(VLOOKUP($F757,'Raw Data'!$A:$M,7,0)),"",VLOOKUP($F757,'Raw Data'!$A:$M,7,0))</f>
        <v>459973.58</v>
      </c>
      <c r="H757">
        <f>IF(ISNA(VLOOKUP($F757,'Raw Data'!$A:$M,8,0)),"",VLOOKUP($F757,'Raw Data'!$A:$M,8,0))</f>
        <v>-12.414099999999999</v>
      </c>
      <c r="I757">
        <f>IF(ISNA(VLOOKUP($F757,'Raw Data'!$A:$M,9,0)),"",VLOOKUP($F757,'Raw Data'!$A:$M,9,0))</f>
        <v>12.585800000000001</v>
      </c>
      <c r="J757">
        <f>IF(ISNA(VLOOKUP($F757,'Raw Data'!$A:$M,10,0)),"",VLOOKUP($F757,'Raw Data'!$A:$M,10,0))</f>
        <v>24.9999</v>
      </c>
      <c r="K757">
        <f>IF(ISNA(VLOOKUP($F757,'Raw Data'!$A:$M,11,0)),"",VLOOKUP($F757,'Raw Data'!$A:$M,11,0))</f>
        <v>2.9226000000000001</v>
      </c>
      <c r="L757">
        <f>IF(ISNA(VLOOKUP($F757,'Raw Data'!$A:$M,12,0)),"",VLOOKUP($F757,'Raw Data'!$A:$M,12,0))</f>
        <v>21.349299999999999</v>
      </c>
      <c r="M757">
        <f>IF(ISNA(VLOOKUP($F757,'Raw Data'!$A:$M,13,0)),"",VLOOKUP($F757,'Raw Data'!$A:$M,13,0))</f>
        <v>18.4267</v>
      </c>
    </row>
    <row r="758" spans="1:13" x14ac:dyDescent="0.25">
      <c r="A758" t="s">
        <v>38</v>
      </c>
      <c r="B758">
        <v>2014</v>
      </c>
      <c r="C758">
        <v>4</v>
      </c>
      <c r="D758" s="3">
        <v>620</v>
      </c>
      <c r="E758" s="3">
        <v>80</v>
      </c>
      <c r="F758" s="3" t="str">
        <f t="shared" si="11"/>
        <v>FGU92014462080</v>
      </c>
      <c r="G758" t="str">
        <f>IF(ISNA(VLOOKUP($F758,'Raw Data'!$A:$M,7,0)),"",VLOOKUP($F758,'Raw Data'!$A:$M,7,0))</f>
        <v/>
      </c>
      <c r="H758" t="str">
        <f>IF(ISNA(VLOOKUP($F758,'Raw Data'!$A:$M,8,0)),"",VLOOKUP($F758,'Raw Data'!$A:$M,8,0))</f>
        <v/>
      </c>
      <c r="I758" t="str">
        <f>IF(ISNA(VLOOKUP($F758,'Raw Data'!$A:$M,9,0)),"",VLOOKUP($F758,'Raw Data'!$A:$M,9,0))</f>
        <v/>
      </c>
      <c r="J758" t="str">
        <f>IF(ISNA(VLOOKUP($F758,'Raw Data'!$A:$M,10,0)),"",VLOOKUP($F758,'Raw Data'!$A:$M,10,0))</f>
        <v/>
      </c>
      <c r="K758" t="str">
        <f>IF(ISNA(VLOOKUP($F758,'Raw Data'!$A:$M,11,0)),"",VLOOKUP($F758,'Raw Data'!$A:$M,11,0))</f>
        <v/>
      </c>
      <c r="L758" t="str">
        <f>IF(ISNA(VLOOKUP($F758,'Raw Data'!$A:$M,12,0)),"",VLOOKUP($F758,'Raw Data'!$A:$M,12,0))</f>
        <v/>
      </c>
      <c r="M758" t="str">
        <f>IF(ISNA(VLOOKUP($F758,'Raw Data'!$A:$M,13,0)),"",VLOOKUP($F758,'Raw Data'!$A:$M,13,0))</f>
        <v/>
      </c>
    </row>
    <row r="759" spans="1:13" x14ac:dyDescent="0.25">
      <c r="A759" t="s">
        <v>38</v>
      </c>
      <c r="B759">
        <v>2014</v>
      </c>
      <c r="C759">
        <v>4</v>
      </c>
      <c r="D759" s="3">
        <v>640</v>
      </c>
      <c r="E759" s="3">
        <v>80</v>
      </c>
      <c r="F759" s="3" t="str">
        <f t="shared" si="11"/>
        <v>FGU92014464080</v>
      </c>
      <c r="G759" t="str">
        <f>IF(ISNA(VLOOKUP($F759,'Raw Data'!$A:$M,7,0)),"",VLOOKUP($F759,'Raw Data'!$A:$M,7,0))</f>
        <v/>
      </c>
      <c r="H759" t="str">
        <f>IF(ISNA(VLOOKUP($F759,'Raw Data'!$A:$M,8,0)),"",VLOOKUP($F759,'Raw Data'!$A:$M,8,0))</f>
        <v/>
      </c>
      <c r="I759" t="str">
        <f>IF(ISNA(VLOOKUP($F759,'Raw Data'!$A:$M,9,0)),"",VLOOKUP($F759,'Raw Data'!$A:$M,9,0))</f>
        <v/>
      </c>
      <c r="J759" t="str">
        <f>IF(ISNA(VLOOKUP($F759,'Raw Data'!$A:$M,10,0)),"",VLOOKUP($F759,'Raw Data'!$A:$M,10,0))</f>
        <v/>
      </c>
      <c r="K759" t="str">
        <f>IF(ISNA(VLOOKUP($F759,'Raw Data'!$A:$M,11,0)),"",VLOOKUP($F759,'Raw Data'!$A:$M,11,0))</f>
        <v/>
      </c>
      <c r="L759" t="str">
        <f>IF(ISNA(VLOOKUP($F759,'Raw Data'!$A:$M,12,0)),"",VLOOKUP($F759,'Raw Data'!$A:$M,12,0))</f>
        <v/>
      </c>
      <c r="M759" t="str">
        <f>IF(ISNA(VLOOKUP($F759,'Raw Data'!$A:$M,13,0)),"",VLOOKUP($F759,'Raw Data'!$A:$M,13,0))</f>
        <v/>
      </c>
    </row>
    <row r="760" spans="1:13" x14ac:dyDescent="0.25">
      <c r="A760" t="s">
        <v>38</v>
      </c>
      <c r="B760">
        <v>2014</v>
      </c>
      <c r="C760">
        <v>4</v>
      </c>
      <c r="D760" s="3">
        <v>660</v>
      </c>
      <c r="E760" s="3">
        <v>80</v>
      </c>
      <c r="F760" s="3" t="str">
        <f t="shared" si="11"/>
        <v>FGU92014466080</v>
      </c>
      <c r="G760" t="str">
        <f>IF(ISNA(VLOOKUP($F760,'Raw Data'!$A:$M,7,0)),"",VLOOKUP($F760,'Raw Data'!$A:$M,7,0))</f>
        <v/>
      </c>
      <c r="H760" t="str">
        <f>IF(ISNA(VLOOKUP($F760,'Raw Data'!$A:$M,8,0)),"",VLOOKUP($F760,'Raw Data'!$A:$M,8,0))</f>
        <v/>
      </c>
      <c r="I760" t="str">
        <f>IF(ISNA(VLOOKUP($F760,'Raw Data'!$A:$M,9,0)),"",VLOOKUP($F760,'Raw Data'!$A:$M,9,0))</f>
        <v/>
      </c>
      <c r="J760" t="str">
        <f>IF(ISNA(VLOOKUP($F760,'Raw Data'!$A:$M,10,0)),"",VLOOKUP($F760,'Raw Data'!$A:$M,10,0))</f>
        <v/>
      </c>
      <c r="K760" t="str">
        <f>IF(ISNA(VLOOKUP($F760,'Raw Data'!$A:$M,11,0)),"",VLOOKUP($F760,'Raw Data'!$A:$M,11,0))</f>
        <v/>
      </c>
      <c r="L760" t="str">
        <f>IF(ISNA(VLOOKUP($F760,'Raw Data'!$A:$M,12,0)),"",VLOOKUP($F760,'Raw Data'!$A:$M,12,0))</f>
        <v/>
      </c>
      <c r="M760" t="str">
        <f>IF(ISNA(VLOOKUP($F760,'Raw Data'!$A:$M,13,0)),"",VLOOKUP($F760,'Raw Data'!$A:$M,13,0))</f>
        <v/>
      </c>
    </row>
    <row r="761" spans="1:13" x14ac:dyDescent="0.25">
      <c r="A761" t="s">
        <v>38</v>
      </c>
      <c r="B761">
        <v>2014</v>
      </c>
      <c r="C761">
        <v>4</v>
      </c>
      <c r="D761" s="3">
        <v>680</v>
      </c>
      <c r="E761" s="3">
        <v>80</v>
      </c>
      <c r="F761" s="3" t="str">
        <f t="shared" si="11"/>
        <v>FGU92014468080</v>
      </c>
      <c r="G761" t="str">
        <f>IF(ISNA(VLOOKUP($F761,'Raw Data'!$A:$M,7,0)),"",VLOOKUP($F761,'Raw Data'!$A:$M,7,0))</f>
        <v/>
      </c>
      <c r="H761" t="str">
        <f>IF(ISNA(VLOOKUP($F761,'Raw Data'!$A:$M,8,0)),"",VLOOKUP($F761,'Raw Data'!$A:$M,8,0))</f>
        <v/>
      </c>
      <c r="I761" t="str">
        <f>IF(ISNA(VLOOKUP($F761,'Raw Data'!$A:$M,9,0)),"",VLOOKUP($F761,'Raw Data'!$A:$M,9,0))</f>
        <v/>
      </c>
      <c r="J761" t="str">
        <f>IF(ISNA(VLOOKUP($F761,'Raw Data'!$A:$M,10,0)),"",VLOOKUP($F761,'Raw Data'!$A:$M,10,0))</f>
        <v/>
      </c>
      <c r="K761" t="str">
        <f>IF(ISNA(VLOOKUP($F761,'Raw Data'!$A:$M,11,0)),"",VLOOKUP($F761,'Raw Data'!$A:$M,11,0))</f>
        <v/>
      </c>
      <c r="L761" t="str">
        <f>IF(ISNA(VLOOKUP($F761,'Raw Data'!$A:$M,12,0)),"",VLOOKUP($F761,'Raw Data'!$A:$M,12,0))</f>
        <v/>
      </c>
      <c r="M761" t="str">
        <f>IF(ISNA(VLOOKUP($F761,'Raw Data'!$A:$M,13,0)),"",VLOOKUP($F761,'Raw Data'!$A:$M,13,0))</f>
        <v/>
      </c>
    </row>
    <row r="762" spans="1:13" x14ac:dyDescent="0.25">
      <c r="A762" t="s">
        <v>38</v>
      </c>
      <c r="B762">
        <v>2014</v>
      </c>
      <c r="C762">
        <v>4</v>
      </c>
      <c r="D762" s="3">
        <v>700</v>
      </c>
      <c r="E762" s="3">
        <v>80</v>
      </c>
      <c r="F762" s="3" t="str">
        <f t="shared" si="11"/>
        <v>FGU92014470080</v>
      </c>
      <c r="G762" t="str">
        <f>IF(ISNA(VLOOKUP($F762,'Raw Data'!$A:$M,7,0)),"",VLOOKUP($F762,'Raw Data'!$A:$M,7,0))</f>
        <v/>
      </c>
      <c r="H762" t="str">
        <f>IF(ISNA(VLOOKUP($F762,'Raw Data'!$A:$M,8,0)),"",VLOOKUP($F762,'Raw Data'!$A:$M,8,0))</f>
        <v/>
      </c>
      <c r="I762" t="str">
        <f>IF(ISNA(VLOOKUP($F762,'Raw Data'!$A:$M,9,0)),"",VLOOKUP($F762,'Raw Data'!$A:$M,9,0))</f>
        <v/>
      </c>
      <c r="J762" t="str">
        <f>IF(ISNA(VLOOKUP($F762,'Raw Data'!$A:$M,10,0)),"",VLOOKUP($F762,'Raw Data'!$A:$M,10,0))</f>
        <v/>
      </c>
      <c r="K762" t="str">
        <f>IF(ISNA(VLOOKUP($F762,'Raw Data'!$A:$M,11,0)),"",VLOOKUP($F762,'Raw Data'!$A:$M,11,0))</f>
        <v/>
      </c>
      <c r="L762" t="str">
        <f>IF(ISNA(VLOOKUP($F762,'Raw Data'!$A:$M,12,0)),"",VLOOKUP($F762,'Raw Data'!$A:$M,12,0))</f>
        <v/>
      </c>
      <c r="M762" t="str">
        <f>IF(ISNA(VLOOKUP($F762,'Raw Data'!$A:$M,13,0)),"",VLOOKUP($F762,'Raw Data'!$A:$M,13,0))</f>
        <v/>
      </c>
    </row>
    <row r="763" spans="1:13" x14ac:dyDescent="0.25">
      <c r="A763" t="s">
        <v>38</v>
      </c>
      <c r="B763">
        <v>2014</v>
      </c>
      <c r="C763">
        <v>4</v>
      </c>
      <c r="D763" s="3">
        <v>720</v>
      </c>
      <c r="E763" s="3">
        <v>80</v>
      </c>
      <c r="F763" s="3" t="str">
        <f t="shared" si="11"/>
        <v>FGU92014472080</v>
      </c>
      <c r="G763" t="str">
        <f>IF(ISNA(VLOOKUP($F763,'Raw Data'!$A:$M,7,0)),"",VLOOKUP($F763,'Raw Data'!$A:$M,7,0))</f>
        <v/>
      </c>
      <c r="H763" t="str">
        <f>IF(ISNA(VLOOKUP($F763,'Raw Data'!$A:$M,8,0)),"",VLOOKUP($F763,'Raw Data'!$A:$M,8,0))</f>
        <v/>
      </c>
      <c r="I763" t="str">
        <f>IF(ISNA(VLOOKUP($F763,'Raw Data'!$A:$M,9,0)),"",VLOOKUP($F763,'Raw Data'!$A:$M,9,0))</f>
        <v/>
      </c>
      <c r="J763" t="str">
        <f>IF(ISNA(VLOOKUP($F763,'Raw Data'!$A:$M,10,0)),"",VLOOKUP($F763,'Raw Data'!$A:$M,10,0))</f>
        <v/>
      </c>
      <c r="K763" t="str">
        <f>IF(ISNA(VLOOKUP($F763,'Raw Data'!$A:$M,11,0)),"",VLOOKUP($F763,'Raw Data'!$A:$M,11,0))</f>
        <v/>
      </c>
      <c r="L763" t="str">
        <f>IF(ISNA(VLOOKUP($F763,'Raw Data'!$A:$M,12,0)),"",VLOOKUP($F763,'Raw Data'!$A:$M,12,0))</f>
        <v/>
      </c>
      <c r="M763" t="str">
        <f>IF(ISNA(VLOOKUP($F763,'Raw Data'!$A:$M,13,0)),"",VLOOKUP($F763,'Raw Data'!$A:$M,13,0))</f>
        <v/>
      </c>
    </row>
    <row r="764" spans="1:13" x14ac:dyDescent="0.25">
      <c r="A764" t="s">
        <v>38</v>
      </c>
      <c r="B764">
        <v>2014</v>
      </c>
      <c r="C764">
        <v>4</v>
      </c>
      <c r="D764" s="3">
        <v>740</v>
      </c>
      <c r="E764" s="3">
        <v>80</v>
      </c>
      <c r="F764" s="3" t="str">
        <f t="shared" si="11"/>
        <v>FGU92014474080</v>
      </c>
      <c r="G764" t="str">
        <f>IF(ISNA(VLOOKUP($F764,'Raw Data'!$A:$M,7,0)),"",VLOOKUP($F764,'Raw Data'!$A:$M,7,0))</f>
        <v/>
      </c>
      <c r="H764" t="str">
        <f>IF(ISNA(VLOOKUP($F764,'Raw Data'!$A:$M,8,0)),"",VLOOKUP($F764,'Raw Data'!$A:$M,8,0))</f>
        <v/>
      </c>
      <c r="I764" t="str">
        <f>IF(ISNA(VLOOKUP($F764,'Raw Data'!$A:$M,9,0)),"",VLOOKUP($F764,'Raw Data'!$A:$M,9,0))</f>
        <v/>
      </c>
      <c r="J764" t="str">
        <f>IF(ISNA(VLOOKUP($F764,'Raw Data'!$A:$M,10,0)),"",VLOOKUP($F764,'Raw Data'!$A:$M,10,0))</f>
        <v/>
      </c>
      <c r="K764" t="str">
        <f>IF(ISNA(VLOOKUP($F764,'Raw Data'!$A:$M,11,0)),"",VLOOKUP($F764,'Raw Data'!$A:$M,11,0))</f>
        <v/>
      </c>
      <c r="L764" t="str">
        <f>IF(ISNA(VLOOKUP($F764,'Raw Data'!$A:$M,12,0)),"",VLOOKUP($F764,'Raw Data'!$A:$M,12,0))</f>
        <v/>
      </c>
      <c r="M764" t="str">
        <f>IF(ISNA(VLOOKUP($F764,'Raw Data'!$A:$M,13,0)),"",VLOOKUP($F764,'Raw Data'!$A:$M,13,0))</f>
        <v/>
      </c>
    </row>
    <row r="765" spans="1:13" x14ac:dyDescent="0.25">
      <c r="A765" t="s">
        <v>38</v>
      </c>
      <c r="B765">
        <v>2014</v>
      </c>
      <c r="C765">
        <v>4</v>
      </c>
      <c r="D765" s="3">
        <v>760</v>
      </c>
      <c r="E765" s="3">
        <v>80</v>
      </c>
      <c r="F765" s="3" t="str">
        <f t="shared" si="11"/>
        <v>FGU92014476080</v>
      </c>
      <c r="G765" t="str">
        <f>IF(ISNA(VLOOKUP($F765,'Raw Data'!$A:$M,7,0)),"",VLOOKUP($F765,'Raw Data'!$A:$M,7,0))</f>
        <v/>
      </c>
      <c r="H765" t="str">
        <f>IF(ISNA(VLOOKUP($F765,'Raw Data'!$A:$M,8,0)),"",VLOOKUP($F765,'Raw Data'!$A:$M,8,0))</f>
        <v/>
      </c>
      <c r="I765" t="str">
        <f>IF(ISNA(VLOOKUP($F765,'Raw Data'!$A:$M,9,0)),"",VLOOKUP($F765,'Raw Data'!$A:$M,9,0))</f>
        <v/>
      </c>
      <c r="J765" t="str">
        <f>IF(ISNA(VLOOKUP($F765,'Raw Data'!$A:$M,10,0)),"",VLOOKUP($F765,'Raw Data'!$A:$M,10,0))</f>
        <v/>
      </c>
      <c r="K765" t="str">
        <f>IF(ISNA(VLOOKUP($F765,'Raw Data'!$A:$M,11,0)),"",VLOOKUP($F765,'Raw Data'!$A:$M,11,0))</f>
        <v/>
      </c>
      <c r="L765" t="str">
        <f>IF(ISNA(VLOOKUP($F765,'Raw Data'!$A:$M,12,0)),"",VLOOKUP($F765,'Raw Data'!$A:$M,12,0))</f>
        <v/>
      </c>
      <c r="M765" t="str">
        <f>IF(ISNA(VLOOKUP($F765,'Raw Data'!$A:$M,13,0)),"",VLOOKUP($F765,'Raw Data'!$A:$M,13,0))</f>
        <v/>
      </c>
    </row>
    <row r="766" spans="1:13" x14ac:dyDescent="0.25">
      <c r="A766" t="s">
        <v>38</v>
      </c>
      <c r="B766">
        <v>2014</v>
      </c>
      <c r="C766">
        <v>4</v>
      </c>
      <c r="D766" s="3">
        <v>780</v>
      </c>
      <c r="E766" s="3">
        <v>80</v>
      </c>
      <c r="F766" s="3" t="str">
        <f t="shared" si="11"/>
        <v>FGU92014478080</v>
      </c>
      <c r="G766" t="str">
        <f>IF(ISNA(VLOOKUP($F766,'Raw Data'!$A:$M,7,0)),"",VLOOKUP($F766,'Raw Data'!$A:$M,7,0))</f>
        <v/>
      </c>
      <c r="H766" t="str">
        <f>IF(ISNA(VLOOKUP($F766,'Raw Data'!$A:$M,8,0)),"",VLOOKUP($F766,'Raw Data'!$A:$M,8,0))</f>
        <v/>
      </c>
      <c r="I766" t="str">
        <f>IF(ISNA(VLOOKUP($F766,'Raw Data'!$A:$M,9,0)),"",VLOOKUP($F766,'Raw Data'!$A:$M,9,0))</f>
        <v/>
      </c>
      <c r="J766" t="str">
        <f>IF(ISNA(VLOOKUP($F766,'Raw Data'!$A:$M,10,0)),"",VLOOKUP($F766,'Raw Data'!$A:$M,10,0))</f>
        <v/>
      </c>
      <c r="K766" t="str">
        <f>IF(ISNA(VLOOKUP($F766,'Raw Data'!$A:$M,11,0)),"",VLOOKUP($F766,'Raw Data'!$A:$M,11,0))</f>
        <v/>
      </c>
      <c r="L766" t="str">
        <f>IF(ISNA(VLOOKUP($F766,'Raw Data'!$A:$M,12,0)),"",VLOOKUP($F766,'Raw Data'!$A:$M,12,0))</f>
        <v/>
      </c>
      <c r="M766" t="str">
        <f>IF(ISNA(VLOOKUP($F766,'Raw Data'!$A:$M,13,0)),"",VLOOKUP($F766,'Raw Data'!$A:$M,13,0))</f>
        <v/>
      </c>
    </row>
    <row r="767" spans="1:13" x14ac:dyDescent="0.25">
      <c r="A767" t="s">
        <v>38</v>
      </c>
      <c r="B767">
        <v>2014</v>
      </c>
      <c r="C767">
        <v>4</v>
      </c>
      <c r="D767" s="3">
        <v>620</v>
      </c>
      <c r="E767" s="3">
        <v>85</v>
      </c>
      <c r="F767" s="3" t="str">
        <f t="shared" si="11"/>
        <v>FGU92014462085</v>
      </c>
      <c r="G767" t="str">
        <f>IF(ISNA(VLOOKUP($F767,'Raw Data'!$A:$M,7,0)),"",VLOOKUP($F767,'Raw Data'!$A:$M,7,0))</f>
        <v/>
      </c>
      <c r="H767" t="str">
        <f>IF(ISNA(VLOOKUP($F767,'Raw Data'!$A:$M,8,0)),"",VLOOKUP($F767,'Raw Data'!$A:$M,8,0))</f>
        <v/>
      </c>
      <c r="I767" t="str">
        <f>IF(ISNA(VLOOKUP($F767,'Raw Data'!$A:$M,9,0)),"",VLOOKUP($F767,'Raw Data'!$A:$M,9,0))</f>
        <v/>
      </c>
      <c r="J767" t="str">
        <f>IF(ISNA(VLOOKUP($F767,'Raw Data'!$A:$M,10,0)),"",VLOOKUP($F767,'Raw Data'!$A:$M,10,0))</f>
        <v/>
      </c>
      <c r="K767" t="str">
        <f>IF(ISNA(VLOOKUP($F767,'Raw Data'!$A:$M,11,0)),"",VLOOKUP($F767,'Raw Data'!$A:$M,11,0))</f>
        <v/>
      </c>
      <c r="L767" t="str">
        <f>IF(ISNA(VLOOKUP($F767,'Raw Data'!$A:$M,12,0)),"",VLOOKUP($F767,'Raw Data'!$A:$M,12,0))</f>
        <v/>
      </c>
      <c r="M767" t="str">
        <f>IF(ISNA(VLOOKUP($F767,'Raw Data'!$A:$M,13,0)),"",VLOOKUP($F767,'Raw Data'!$A:$M,13,0))</f>
        <v/>
      </c>
    </row>
    <row r="768" spans="1:13" x14ac:dyDescent="0.25">
      <c r="A768" t="s">
        <v>38</v>
      </c>
      <c r="B768">
        <v>2014</v>
      </c>
      <c r="C768">
        <v>4</v>
      </c>
      <c r="D768" s="3">
        <v>640</v>
      </c>
      <c r="E768" s="3">
        <v>85</v>
      </c>
      <c r="F768" s="3" t="str">
        <f t="shared" si="11"/>
        <v>FGU92014464085</v>
      </c>
      <c r="G768" t="str">
        <f>IF(ISNA(VLOOKUP($F768,'Raw Data'!$A:$M,7,0)),"",VLOOKUP($F768,'Raw Data'!$A:$M,7,0))</f>
        <v/>
      </c>
      <c r="H768" t="str">
        <f>IF(ISNA(VLOOKUP($F768,'Raw Data'!$A:$M,8,0)),"",VLOOKUP($F768,'Raw Data'!$A:$M,8,0))</f>
        <v/>
      </c>
      <c r="I768" t="str">
        <f>IF(ISNA(VLOOKUP($F768,'Raw Data'!$A:$M,9,0)),"",VLOOKUP($F768,'Raw Data'!$A:$M,9,0))</f>
        <v/>
      </c>
      <c r="J768" t="str">
        <f>IF(ISNA(VLOOKUP($F768,'Raw Data'!$A:$M,10,0)),"",VLOOKUP($F768,'Raw Data'!$A:$M,10,0))</f>
        <v/>
      </c>
      <c r="K768" t="str">
        <f>IF(ISNA(VLOOKUP($F768,'Raw Data'!$A:$M,11,0)),"",VLOOKUP($F768,'Raw Data'!$A:$M,11,0))</f>
        <v/>
      </c>
      <c r="L768" t="str">
        <f>IF(ISNA(VLOOKUP($F768,'Raw Data'!$A:$M,12,0)),"",VLOOKUP($F768,'Raw Data'!$A:$M,12,0))</f>
        <v/>
      </c>
      <c r="M768" t="str">
        <f>IF(ISNA(VLOOKUP($F768,'Raw Data'!$A:$M,13,0)),"",VLOOKUP($F768,'Raw Data'!$A:$M,13,0))</f>
        <v/>
      </c>
    </row>
    <row r="769" spans="1:13" x14ac:dyDescent="0.25">
      <c r="A769" t="s">
        <v>38</v>
      </c>
      <c r="B769">
        <v>2014</v>
      </c>
      <c r="C769">
        <v>4</v>
      </c>
      <c r="D769" s="3">
        <v>660</v>
      </c>
      <c r="E769" s="3">
        <v>85</v>
      </c>
      <c r="F769" s="3" t="str">
        <f t="shared" si="11"/>
        <v>FGU92014466085</v>
      </c>
      <c r="G769" t="str">
        <f>IF(ISNA(VLOOKUP($F769,'Raw Data'!$A:$M,7,0)),"",VLOOKUP($F769,'Raw Data'!$A:$M,7,0))</f>
        <v/>
      </c>
      <c r="H769" t="str">
        <f>IF(ISNA(VLOOKUP($F769,'Raw Data'!$A:$M,8,0)),"",VLOOKUP($F769,'Raw Data'!$A:$M,8,0))</f>
        <v/>
      </c>
      <c r="I769" t="str">
        <f>IF(ISNA(VLOOKUP($F769,'Raw Data'!$A:$M,9,0)),"",VLOOKUP($F769,'Raw Data'!$A:$M,9,0))</f>
        <v/>
      </c>
      <c r="J769" t="str">
        <f>IF(ISNA(VLOOKUP($F769,'Raw Data'!$A:$M,10,0)),"",VLOOKUP($F769,'Raw Data'!$A:$M,10,0))</f>
        <v/>
      </c>
      <c r="K769" t="str">
        <f>IF(ISNA(VLOOKUP($F769,'Raw Data'!$A:$M,11,0)),"",VLOOKUP($F769,'Raw Data'!$A:$M,11,0))</f>
        <v/>
      </c>
      <c r="L769" t="str">
        <f>IF(ISNA(VLOOKUP($F769,'Raw Data'!$A:$M,12,0)),"",VLOOKUP($F769,'Raw Data'!$A:$M,12,0))</f>
        <v/>
      </c>
      <c r="M769" t="str">
        <f>IF(ISNA(VLOOKUP($F769,'Raw Data'!$A:$M,13,0)),"",VLOOKUP($F769,'Raw Data'!$A:$M,13,0))</f>
        <v/>
      </c>
    </row>
    <row r="770" spans="1:13" x14ac:dyDescent="0.25">
      <c r="A770" t="s">
        <v>38</v>
      </c>
      <c r="B770">
        <v>2014</v>
      </c>
      <c r="C770">
        <v>4</v>
      </c>
      <c r="D770" s="3">
        <v>680</v>
      </c>
      <c r="E770" s="3">
        <v>85</v>
      </c>
      <c r="F770" s="3" t="str">
        <f t="shared" si="11"/>
        <v>FGU92014468085</v>
      </c>
      <c r="G770" t="str">
        <f>IF(ISNA(VLOOKUP($F770,'Raw Data'!$A:$M,7,0)),"",VLOOKUP($F770,'Raw Data'!$A:$M,7,0))</f>
        <v/>
      </c>
      <c r="H770" t="str">
        <f>IF(ISNA(VLOOKUP($F770,'Raw Data'!$A:$M,8,0)),"",VLOOKUP($F770,'Raw Data'!$A:$M,8,0))</f>
        <v/>
      </c>
      <c r="I770" t="str">
        <f>IF(ISNA(VLOOKUP($F770,'Raw Data'!$A:$M,9,0)),"",VLOOKUP($F770,'Raw Data'!$A:$M,9,0))</f>
        <v/>
      </c>
      <c r="J770" t="str">
        <f>IF(ISNA(VLOOKUP($F770,'Raw Data'!$A:$M,10,0)),"",VLOOKUP($F770,'Raw Data'!$A:$M,10,0))</f>
        <v/>
      </c>
      <c r="K770" t="str">
        <f>IF(ISNA(VLOOKUP($F770,'Raw Data'!$A:$M,11,0)),"",VLOOKUP($F770,'Raw Data'!$A:$M,11,0))</f>
        <v/>
      </c>
      <c r="L770" t="str">
        <f>IF(ISNA(VLOOKUP($F770,'Raw Data'!$A:$M,12,0)),"",VLOOKUP($F770,'Raw Data'!$A:$M,12,0))</f>
        <v/>
      </c>
      <c r="M770" t="str">
        <f>IF(ISNA(VLOOKUP($F770,'Raw Data'!$A:$M,13,0)),"",VLOOKUP($F770,'Raw Data'!$A:$M,13,0))</f>
        <v/>
      </c>
    </row>
    <row r="771" spans="1:13" x14ac:dyDescent="0.25">
      <c r="A771" t="s">
        <v>38</v>
      </c>
      <c r="B771">
        <v>2014</v>
      </c>
      <c r="C771">
        <v>4</v>
      </c>
      <c r="D771" s="3">
        <v>700</v>
      </c>
      <c r="E771" s="3">
        <v>85</v>
      </c>
      <c r="F771" s="3" t="str">
        <f t="shared" si="11"/>
        <v>FGU92014470085</v>
      </c>
      <c r="G771" t="str">
        <f>IF(ISNA(VLOOKUP($F771,'Raw Data'!$A:$M,7,0)),"",VLOOKUP($F771,'Raw Data'!$A:$M,7,0))</f>
        <v/>
      </c>
      <c r="H771" t="str">
        <f>IF(ISNA(VLOOKUP($F771,'Raw Data'!$A:$M,8,0)),"",VLOOKUP($F771,'Raw Data'!$A:$M,8,0))</f>
        <v/>
      </c>
      <c r="I771" t="str">
        <f>IF(ISNA(VLOOKUP($F771,'Raw Data'!$A:$M,9,0)),"",VLOOKUP($F771,'Raw Data'!$A:$M,9,0))</f>
        <v/>
      </c>
      <c r="J771" t="str">
        <f>IF(ISNA(VLOOKUP($F771,'Raw Data'!$A:$M,10,0)),"",VLOOKUP($F771,'Raw Data'!$A:$M,10,0))</f>
        <v/>
      </c>
      <c r="K771" t="str">
        <f>IF(ISNA(VLOOKUP($F771,'Raw Data'!$A:$M,11,0)),"",VLOOKUP($F771,'Raw Data'!$A:$M,11,0))</f>
        <v/>
      </c>
      <c r="L771" t="str">
        <f>IF(ISNA(VLOOKUP($F771,'Raw Data'!$A:$M,12,0)),"",VLOOKUP($F771,'Raw Data'!$A:$M,12,0))</f>
        <v/>
      </c>
      <c r="M771" t="str">
        <f>IF(ISNA(VLOOKUP($F771,'Raw Data'!$A:$M,13,0)),"",VLOOKUP($F771,'Raw Data'!$A:$M,13,0))</f>
        <v/>
      </c>
    </row>
    <row r="772" spans="1:13" x14ac:dyDescent="0.25">
      <c r="A772" t="s">
        <v>38</v>
      </c>
      <c r="B772">
        <v>2014</v>
      </c>
      <c r="C772">
        <v>4</v>
      </c>
      <c r="D772" s="3">
        <v>720</v>
      </c>
      <c r="E772" s="3">
        <v>85</v>
      </c>
      <c r="F772" s="3" t="str">
        <f t="shared" ref="F772:F835" si="12">A772&amp;B772&amp;C772&amp;D772&amp;E772</f>
        <v>FGU92014472085</v>
      </c>
      <c r="G772" t="str">
        <f>IF(ISNA(VLOOKUP($F772,'Raw Data'!$A:$M,7,0)),"",VLOOKUP($F772,'Raw Data'!$A:$M,7,0))</f>
        <v/>
      </c>
      <c r="H772" t="str">
        <f>IF(ISNA(VLOOKUP($F772,'Raw Data'!$A:$M,8,0)),"",VLOOKUP($F772,'Raw Data'!$A:$M,8,0))</f>
        <v/>
      </c>
      <c r="I772" t="str">
        <f>IF(ISNA(VLOOKUP($F772,'Raw Data'!$A:$M,9,0)),"",VLOOKUP($F772,'Raw Data'!$A:$M,9,0))</f>
        <v/>
      </c>
      <c r="J772" t="str">
        <f>IF(ISNA(VLOOKUP($F772,'Raw Data'!$A:$M,10,0)),"",VLOOKUP($F772,'Raw Data'!$A:$M,10,0))</f>
        <v/>
      </c>
      <c r="K772" t="str">
        <f>IF(ISNA(VLOOKUP($F772,'Raw Data'!$A:$M,11,0)),"",VLOOKUP($F772,'Raw Data'!$A:$M,11,0))</f>
        <v/>
      </c>
      <c r="L772" t="str">
        <f>IF(ISNA(VLOOKUP($F772,'Raw Data'!$A:$M,12,0)),"",VLOOKUP($F772,'Raw Data'!$A:$M,12,0))</f>
        <v/>
      </c>
      <c r="M772" t="str">
        <f>IF(ISNA(VLOOKUP($F772,'Raw Data'!$A:$M,13,0)),"",VLOOKUP($F772,'Raw Data'!$A:$M,13,0))</f>
        <v/>
      </c>
    </row>
    <row r="773" spans="1:13" x14ac:dyDescent="0.25">
      <c r="A773" t="s">
        <v>38</v>
      </c>
      <c r="B773">
        <v>2014</v>
      </c>
      <c r="C773">
        <v>4</v>
      </c>
      <c r="D773" s="3">
        <v>740</v>
      </c>
      <c r="E773" s="3">
        <v>85</v>
      </c>
      <c r="F773" s="3" t="str">
        <f t="shared" si="12"/>
        <v>FGU92014474085</v>
      </c>
      <c r="G773" t="str">
        <f>IF(ISNA(VLOOKUP($F773,'Raw Data'!$A:$M,7,0)),"",VLOOKUP($F773,'Raw Data'!$A:$M,7,0))</f>
        <v/>
      </c>
      <c r="H773" t="str">
        <f>IF(ISNA(VLOOKUP($F773,'Raw Data'!$A:$M,8,0)),"",VLOOKUP($F773,'Raw Data'!$A:$M,8,0))</f>
        <v/>
      </c>
      <c r="I773" t="str">
        <f>IF(ISNA(VLOOKUP($F773,'Raw Data'!$A:$M,9,0)),"",VLOOKUP($F773,'Raw Data'!$A:$M,9,0))</f>
        <v/>
      </c>
      <c r="J773" t="str">
        <f>IF(ISNA(VLOOKUP($F773,'Raw Data'!$A:$M,10,0)),"",VLOOKUP($F773,'Raw Data'!$A:$M,10,0))</f>
        <v/>
      </c>
      <c r="K773" t="str">
        <f>IF(ISNA(VLOOKUP($F773,'Raw Data'!$A:$M,11,0)),"",VLOOKUP($F773,'Raw Data'!$A:$M,11,0))</f>
        <v/>
      </c>
      <c r="L773" t="str">
        <f>IF(ISNA(VLOOKUP($F773,'Raw Data'!$A:$M,12,0)),"",VLOOKUP($F773,'Raw Data'!$A:$M,12,0))</f>
        <v/>
      </c>
      <c r="M773" t="str">
        <f>IF(ISNA(VLOOKUP($F773,'Raw Data'!$A:$M,13,0)),"",VLOOKUP($F773,'Raw Data'!$A:$M,13,0))</f>
        <v/>
      </c>
    </row>
    <row r="774" spans="1:13" x14ac:dyDescent="0.25">
      <c r="A774" t="s">
        <v>38</v>
      </c>
      <c r="B774">
        <v>2014</v>
      </c>
      <c r="C774">
        <v>4</v>
      </c>
      <c r="D774" s="3">
        <v>760</v>
      </c>
      <c r="E774" s="3">
        <v>85</v>
      </c>
      <c r="F774" s="3" t="str">
        <f t="shared" si="12"/>
        <v>FGU92014476085</v>
      </c>
      <c r="G774" t="str">
        <f>IF(ISNA(VLOOKUP($F774,'Raw Data'!$A:$M,7,0)),"",VLOOKUP($F774,'Raw Data'!$A:$M,7,0))</f>
        <v/>
      </c>
      <c r="H774" t="str">
        <f>IF(ISNA(VLOOKUP($F774,'Raw Data'!$A:$M,8,0)),"",VLOOKUP($F774,'Raw Data'!$A:$M,8,0))</f>
        <v/>
      </c>
      <c r="I774" t="str">
        <f>IF(ISNA(VLOOKUP($F774,'Raw Data'!$A:$M,9,0)),"",VLOOKUP($F774,'Raw Data'!$A:$M,9,0))</f>
        <v/>
      </c>
      <c r="J774" t="str">
        <f>IF(ISNA(VLOOKUP($F774,'Raw Data'!$A:$M,10,0)),"",VLOOKUP($F774,'Raw Data'!$A:$M,10,0))</f>
        <v/>
      </c>
      <c r="K774" t="str">
        <f>IF(ISNA(VLOOKUP($F774,'Raw Data'!$A:$M,11,0)),"",VLOOKUP($F774,'Raw Data'!$A:$M,11,0))</f>
        <v/>
      </c>
      <c r="L774" t="str">
        <f>IF(ISNA(VLOOKUP($F774,'Raw Data'!$A:$M,12,0)),"",VLOOKUP($F774,'Raw Data'!$A:$M,12,0))</f>
        <v/>
      </c>
      <c r="M774" t="str">
        <f>IF(ISNA(VLOOKUP($F774,'Raw Data'!$A:$M,13,0)),"",VLOOKUP($F774,'Raw Data'!$A:$M,13,0))</f>
        <v/>
      </c>
    </row>
    <row r="775" spans="1:13" x14ac:dyDescent="0.25">
      <c r="A775" t="s">
        <v>38</v>
      </c>
      <c r="B775">
        <v>2014</v>
      </c>
      <c r="C775">
        <v>4</v>
      </c>
      <c r="D775" s="3">
        <v>780</v>
      </c>
      <c r="E775" s="3">
        <v>85</v>
      </c>
      <c r="F775" s="3" t="str">
        <f t="shared" si="12"/>
        <v>FGU92014478085</v>
      </c>
      <c r="G775" t="str">
        <f>IF(ISNA(VLOOKUP($F775,'Raw Data'!$A:$M,7,0)),"",VLOOKUP($F775,'Raw Data'!$A:$M,7,0))</f>
        <v/>
      </c>
      <c r="H775" t="str">
        <f>IF(ISNA(VLOOKUP($F775,'Raw Data'!$A:$M,8,0)),"",VLOOKUP($F775,'Raw Data'!$A:$M,8,0))</f>
        <v/>
      </c>
      <c r="I775" t="str">
        <f>IF(ISNA(VLOOKUP($F775,'Raw Data'!$A:$M,9,0)),"",VLOOKUP($F775,'Raw Data'!$A:$M,9,0))</f>
        <v/>
      </c>
      <c r="J775" t="str">
        <f>IF(ISNA(VLOOKUP($F775,'Raw Data'!$A:$M,10,0)),"",VLOOKUP($F775,'Raw Data'!$A:$M,10,0))</f>
        <v/>
      </c>
      <c r="K775" t="str">
        <f>IF(ISNA(VLOOKUP($F775,'Raw Data'!$A:$M,11,0)),"",VLOOKUP($F775,'Raw Data'!$A:$M,11,0))</f>
        <v/>
      </c>
      <c r="L775" t="str">
        <f>IF(ISNA(VLOOKUP($F775,'Raw Data'!$A:$M,12,0)),"",VLOOKUP($F775,'Raw Data'!$A:$M,12,0))</f>
        <v/>
      </c>
      <c r="M775" t="str">
        <f>IF(ISNA(VLOOKUP($F775,'Raw Data'!$A:$M,13,0)),"",VLOOKUP($F775,'Raw Data'!$A:$M,13,0))</f>
        <v/>
      </c>
    </row>
    <row r="776" spans="1:13" x14ac:dyDescent="0.25">
      <c r="A776" t="s">
        <v>38</v>
      </c>
      <c r="B776">
        <v>2014</v>
      </c>
      <c r="C776">
        <v>4</v>
      </c>
      <c r="D776" s="3">
        <v>620</v>
      </c>
      <c r="E776" s="3">
        <v>90</v>
      </c>
      <c r="F776" s="3" t="str">
        <f t="shared" si="12"/>
        <v>FGU92014462090</v>
      </c>
      <c r="G776" t="str">
        <f>IF(ISNA(VLOOKUP($F776,'Raw Data'!$A:$M,7,0)),"",VLOOKUP($F776,'Raw Data'!$A:$M,7,0))</f>
        <v/>
      </c>
      <c r="H776" t="str">
        <f>IF(ISNA(VLOOKUP($F776,'Raw Data'!$A:$M,8,0)),"",VLOOKUP($F776,'Raw Data'!$A:$M,8,0))</f>
        <v/>
      </c>
      <c r="I776" t="str">
        <f>IF(ISNA(VLOOKUP($F776,'Raw Data'!$A:$M,9,0)),"",VLOOKUP($F776,'Raw Data'!$A:$M,9,0))</f>
        <v/>
      </c>
      <c r="J776" t="str">
        <f>IF(ISNA(VLOOKUP($F776,'Raw Data'!$A:$M,10,0)),"",VLOOKUP($F776,'Raw Data'!$A:$M,10,0))</f>
        <v/>
      </c>
      <c r="K776" t="str">
        <f>IF(ISNA(VLOOKUP($F776,'Raw Data'!$A:$M,11,0)),"",VLOOKUP($F776,'Raw Data'!$A:$M,11,0))</f>
        <v/>
      </c>
      <c r="L776" t="str">
        <f>IF(ISNA(VLOOKUP($F776,'Raw Data'!$A:$M,12,0)),"",VLOOKUP($F776,'Raw Data'!$A:$M,12,0))</f>
        <v/>
      </c>
      <c r="M776" t="str">
        <f>IF(ISNA(VLOOKUP($F776,'Raw Data'!$A:$M,13,0)),"",VLOOKUP($F776,'Raw Data'!$A:$M,13,0))</f>
        <v/>
      </c>
    </row>
    <row r="777" spans="1:13" x14ac:dyDescent="0.25">
      <c r="A777" t="s">
        <v>38</v>
      </c>
      <c r="B777">
        <v>2014</v>
      </c>
      <c r="C777">
        <v>4</v>
      </c>
      <c r="D777" s="3">
        <v>640</v>
      </c>
      <c r="E777" s="3">
        <v>90</v>
      </c>
      <c r="F777" s="3" t="str">
        <f t="shared" si="12"/>
        <v>FGU92014464090</v>
      </c>
      <c r="G777" t="str">
        <f>IF(ISNA(VLOOKUP($F777,'Raw Data'!$A:$M,7,0)),"",VLOOKUP($F777,'Raw Data'!$A:$M,7,0))</f>
        <v/>
      </c>
      <c r="H777" t="str">
        <f>IF(ISNA(VLOOKUP($F777,'Raw Data'!$A:$M,8,0)),"",VLOOKUP($F777,'Raw Data'!$A:$M,8,0))</f>
        <v/>
      </c>
      <c r="I777" t="str">
        <f>IF(ISNA(VLOOKUP($F777,'Raw Data'!$A:$M,9,0)),"",VLOOKUP($F777,'Raw Data'!$A:$M,9,0))</f>
        <v/>
      </c>
      <c r="J777" t="str">
        <f>IF(ISNA(VLOOKUP($F777,'Raw Data'!$A:$M,10,0)),"",VLOOKUP($F777,'Raw Data'!$A:$M,10,0))</f>
        <v/>
      </c>
      <c r="K777" t="str">
        <f>IF(ISNA(VLOOKUP($F777,'Raw Data'!$A:$M,11,0)),"",VLOOKUP($F777,'Raw Data'!$A:$M,11,0))</f>
        <v/>
      </c>
      <c r="L777" t="str">
        <f>IF(ISNA(VLOOKUP($F777,'Raw Data'!$A:$M,12,0)),"",VLOOKUP($F777,'Raw Data'!$A:$M,12,0))</f>
        <v/>
      </c>
      <c r="M777" t="str">
        <f>IF(ISNA(VLOOKUP($F777,'Raw Data'!$A:$M,13,0)),"",VLOOKUP($F777,'Raw Data'!$A:$M,13,0))</f>
        <v/>
      </c>
    </row>
    <row r="778" spans="1:13" x14ac:dyDescent="0.25">
      <c r="A778" t="s">
        <v>38</v>
      </c>
      <c r="B778">
        <v>2014</v>
      </c>
      <c r="C778">
        <v>4</v>
      </c>
      <c r="D778" s="3">
        <v>660</v>
      </c>
      <c r="E778" s="3">
        <v>90</v>
      </c>
      <c r="F778" s="3" t="str">
        <f t="shared" si="12"/>
        <v>FGU92014466090</v>
      </c>
      <c r="G778" t="str">
        <f>IF(ISNA(VLOOKUP($F778,'Raw Data'!$A:$M,7,0)),"",VLOOKUP($F778,'Raw Data'!$A:$M,7,0))</f>
        <v/>
      </c>
      <c r="H778" t="str">
        <f>IF(ISNA(VLOOKUP($F778,'Raw Data'!$A:$M,8,0)),"",VLOOKUP($F778,'Raw Data'!$A:$M,8,0))</f>
        <v/>
      </c>
      <c r="I778" t="str">
        <f>IF(ISNA(VLOOKUP($F778,'Raw Data'!$A:$M,9,0)),"",VLOOKUP($F778,'Raw Data'!$A:$M,9,0))</f>
        <v/>
      </c>
      <c r="J778" t="str">
        <f>IF(ISNA(VLOOKUP($F778,'Raw Data'!$A:$M,10,0)),"",VLOOKUP($F778,'Raw Data'!$A:$M,10,0))</f>
        <v/>
      </c>
      <c r="K778" t="str">
        <f>IF(ISNA(VLOOKUP($F778,'Raw Data'!$A:$M,11,0)),"",VLOOKUP($F778,'Raw Data'!$A:$M,11,0))</f>
        <v/>
      </c>
      <c r="L778" t="str">
        <f>IF(ISNA(VLOOKUP($F778,'Raw Data'!$A:$M,12,0)),"",VLOOKUP($F778,'Raw Data'!$A:$M,12,0))</f>
        <v/>
      </c>
      <c r="M778" t="str">
        <f>IF(ISNA(VLOOKUP($F778,'Raw Data'!$A:$M,13,0)),"",VLOOKUP($F778,'Raw Data'!$A:$M,13,0))</f>
        <v/>
      </c>
    </row>
    <row r="779" spans="1:13" x14ac:dyDescent="0.25">
      <c r="A779" t="s">
        <v>38</v>
      </c>
      <c r="B779">
        <v>2014</v>
      </c>
      <c r="C779">
        <v>4</v>
      </c>
      <c r="D779" s="3">
        <v>680</v>
      </c>
      <c r="E779" s="3">
        <v>90</v>
      </c>
      <c r="F779" s="3" t="str">
        <f t="shared" si="12"/>
        <v>FGU92014468090</v>
      </c>
      <c r="G779" t="str">
        <f>IF(ISNA(VLOOKUP($F779,'Raw Data'!$A:$M,7,0)),"",VLOOKUP($F779,'Raw Data'!$A:$M,7,0))</f>
        <v/>
      </c>
      <c r="H779" t="str">
        <f>IF(ISNA(VLOOKUP($F779,'Raw Data'!$A:$M,8,0)),"",VLOOKUP($F779,'Raw Data'!$A:$M,8,0))</f>
        <v/>
      </c>
      <c r="I779" t="str">
        <f>IF(ISNA(VLOOKUP($F779,'Raw Data'!$A:$M,9,0)),"",VLOOKUP($F779,'Raw Data'!$A:$M,9,0))</f>
        <v/>
      </c>
      <c r="J779" t="str">
        <f>IF(ISNA(VLOOKUP($F779,'Raw Data'!$A:$M,10,0)),"",VLOOKUP($F779,'Raw Data'!$A:$M,10,0))</f>
        <v/>
      </c>
      <c r="K779" t="str">
        <f>IF(ISNA(VLOOKUP($F779,'Raw Data'!$A:$M,11,0)),"",VLOOKUP($F779,'Raw Data'!$A:$M,11,0))</f>
        <v/>
      </c>
      <c r="L779" t="str">
        <f>IF(ISNA(VLOOKUP($F779,'Raw Data'!$A:$M,12,0)),"",VLOOKUP($F779,'Raw Data'!$A:$M,12,0))</f>
        <v/>
      </c>
      <c r="M779" t="str">
        <f>IF(ISNA(VLOOKUP($F779,'Raw Data'!$A:$M,13,0)),"",VLOOKUP($F779,'Raw Data'!$A:$M,13,0))</f>
        <v/>
      </c>
    </row>
    <row r="780" spans="1:13" x14ac:dyDescent="0.25">
      <c r="A780" t="s">
        <v>38</v>
      </c>
      <c r="B780">
        <v>2014</v>
      </c>
      <c r="C780">
        <v>4</v>
      </c>
      <c r="D780" s="3">
        <v>700</v>
      </c>
      <c r="E780" s="3">
        <v>90</v>
      </c>
      <c r="F780" s="3" t="str">
        <f t="shared" si="12"/>
        <v>FGU92014470090</v>
      </c>
      <c r="G780" t="str">
        <f>IF(ISNA(VLOOKUP($F780,'Raw Data'!$A:$M,7,0)),"",VLOOKUP($F780,'Raw Data'!$A:$M,7,0))</f>
        <v/>
      </c>
      <c r="H780" t="str">
        <f>IF(ISNA(VLOOKUP($F780,'Raw Data'!$A:$M,8,0)),"",VLOOKUP($F780,'Raw Data'!$A:$M,8,0))</f>
        <v/>
      </c>
      <c r="I780" t="str">
        <f>IF(ISNA(VLOOKUP($F780,'Raw Data'!$A:$M,9,0)),"",VLOOKUP($F780,'Raw Data'!$A:$M,9,0))</f>
        <v/>
      </c>
      <c r="J780" t="str">
        <f>IF(ISNA(VLOOKUP($F780,'Raw Data'!$A:$M,10,0)),"",VLOOKUP($F780,'Raw Data'!$A:$M,10,0))</f>
        <v/>
      </c>
      <c r="K780" t="str">
        <f>IF(ISNA(VLOOKUP($F780,'Raw Data'!$A:$M,11,0)),"",VLOOKUP($F780,'Raw Data'!$A:$M,11,0))</f>
        <v/>
      </c>
      <c r="L780" t="str">
        <f>IF(ISNA(VLOOKUP($F780,'Raw Data'!$A:$M,12,0)),"",VLOOKUP($F780,'Raw Data'!$A:$M,12,0))</f>
        <v/>
      </c>
      <c r="M780" t="str">
        <f>IF(ISNA(VLOOKUP($F780,'Raw Data'!$A:$M,13,0)),"",VLOOKUP($F780,'Raw Data'!$A:$M,13,0))</f>
        <v/>
      </c>
    </row>
    <row r="781" spans="1:13" x14ac:dyDescent="0.25">
      <c r="A781" t="s">
        <v>38</v>
      </c>
      <c r="B781">
        <v>2014</v>
      </c>
      <c r="C781">
        <v>4</v>
      </c>
      <c r="D781" s="3">
        <v>720</v>
      </c>
      <c r="E781" s="3">
        <v>90</v>
      </c>
      <c r="F781" s="3" t="str">
        <f t="shared" si="12"/>
        <v>FGU92014472090</v>
      </c>
      <c r="G781" t="str">
        <f>IF(ISNA(VLOOKUP($F781,'Raw Data'!$A:$M,7,0)),"",VLOOKUP($F781,'Raw Data'!$A:$M,7,0))</f>
        <v/>
      </c>
      <c r="H781" t="str">
        <f>IF(ISNA(VLOOKUP($F781,'Raw Data'!$A:$M,8,0)),"",VLOOKUP($F781,'Raw Data'!$A:$M,8,0))</f>
        <v/>
      </c>
      <c r="I781" t="str">
        <f>IF(ISNA(VLOOKUP($F781,'Raw Data'!$A:$M,9,0)),"",VLOOKUP($F781,'Raw Data'!$A:$M,9,0))</f>
        <v/>
      </c>
      <c r="J781" t="str">
        <f>IF(ISNA(VLOOKUP($F781,'Raw Data'!$A:$M,10,0)),"",VLOOKUP($F781,'Raw Data'!$A:$M,10,0))</f>
        <v/>
      </c>
      <c r="K781" t="str">
        <f>IF(ISNA(VLOOKUP($F781,'Raw Data'!$A:$M,11,0)),"",VLOOKUP($F781,'Raw Data'!$A:$M,11,0))</f>
        <v/>
      </c>
      <c r="L781" t="str">
        <f>IF(ISNA(VLOOKUP($F781,'Raw Data'!$A:$M,12,0)),"",VLOOKUP($F781,'Raw Data'!$A:$M,12,0))</f>
        <v/>
      </c>
      <c r="M781" t="str">
        <f>IF(ISNA(VLOOKUP($F781,'Raw Data'!$A:$M,13,0)),"",VLOOKUP($F781,'Raw Data'!$A:$M,13,0))</f>
        <v/>
      </c>
    </row>
    <row r="782" spans="1:13" x14ac:dyDescent="0.25">
      <c r="A782" t="s">
        <v>38</v>
      </c>
      <c r="B782">
        <v>2014</v>
      </c>
      <c r="C782">
        <v>4</v>
      </c>
      <c r="D782" s="3">
        <v>740</v>
      </c>
      <c r="E782" s="3">
        <v>90</v>
      </c>
      <c r="F782" s="3" t="str">
        <f t="shared" si="12"/>
        <v>FGU92014474090</v>
      </c>
      <c r="G782" t="str">
        <f>IF(ISNA(VLOOKUP($F782,'Raw Data'!$A:$M,7,0)),"",VLOOKUP($F782,'Raw Data'!$A:$M,7,0))</f>
        <v/>
      </c>
      <c r="H782" t="str">
        <f>IF(ISNA(VLOOKUP($F782,'Raw Data'!$A:$M,8,0)),"",VLOOKUP($F782,'Raw Data'!$A:$M,8,0))</f>
        <v/>
      </c>
      <c r="I782" t="str">
        <f>IF(ISNA(VLOOKUP($F782,'Raw Data'!$A:$M,9,0)),"",VLOOKUP($F782,'Raw Data'!$A:$M,9,0))</f>
        <v/>
      </c>
      <c r="J782" t="str">
        <f>IF(ISNA(VLOOKUP($F782,'Raw Data'!$A:$M,10,0)),"",VLOOKUP($F782,'Raw Data'!$A:$M,10,0))</f>
        <v/>
      </c>
      <c r="K782" t="str">
        <f>IF(ISNA(VLOOKUP($F782,'Raw Data'!$A:$M,11,0)),"",VLOOKUP($F782,'Raw Data'!$A:$M,11,0))</f>
        <v/>
      </c>
      <c r="L782" t="str">
        <f>IF(ISNA(VLOOKUP($F782,'Raw Data'!$A:$M,12,0)),"",VLOOKUP($F782,'Raw Data'!$A:$M,12,0))</f>
        <v/>
      </c>
      <c r="M782" t="str">
        <f>IF(ISNA(VLOOKUP($F782,'Raw Data'!$A:$M,13,0)),"",VLOOKUP($F782,'Raw Data'!$A:$M,13,0))</f>
        <v/>
      </c>
    </row>
    <row r="783" spans="1:13" x14ac:dyDescent="0.25">
      <c r="A783" t="s">
        <v>38</v>
      </c>
      <c r="B783">
        <v>2014</v>
      </c>
      <c r="C783">
        <v>4</v>
      </c>
      <c r="D783" s="3">
        <v>760</v>
      </c>
      <c r="E783" s="3">
        <v>90</v>
      </c>
      <c r="F783" s="3" t="str">
        <f t="shared" si="12"/>
        <v>FGU92014476090</v>
      </c>
      <c r="G783" t="str">
        <f>IF(ISNA(VLOOKUP($F783,'Raw Data'!$A:$M,7,0)),"",VLOOKUP($F783,'Raw Data'!$A:$M,7,0))</f>
        <v/>
      </c>
      <c r="H783" t="str">
        <f>IF(ISNA(VLOOKUP($F783,'Raw Data'!$A:$M,8,0)),"",VLOOKUP($F783,'Raw Data'!$A:$M,8,0))</f>
        <v/>
      </c>
      <c r="I783" t="str">
        <f>IF(ISNA(VLOOKUP($F783,'Raw Data'!$A:$M,9,0)),"",VLOOKUP($F783,'Raw Data'!$A:$M,9,0))</f>
        <v/>
      </c>
      <c r="J783" t="str">
        <f>IF(ISNA(VLOOKUP($F783,'Raw Data'!$A:$M,10,0)),"",VLOOKUP($F783,'Raw Data'!$A:$M,10,0))</f>
        <v/>
      </c>
      <c r="K783" t="str">
        <f>IF(ISNA(VLOOKUP($F783,'Raw Data'!$A:$M,11,0)),"",VLOOKUP($F783,'Raw Data'!$A:$M,11,0))</f>
        <v/>
      </c>
      <c r="L783" t="str">
        <f>IF(ISNA(VLOOKUP($F783,'Raw Data'!$A:$M,12,0)),"",VLOOKUP($F783,'Raw Data'!$A:$M,12,0))</f>
        <v/>
      </c>
      <c r="M783" t="str">
        <f>IF(ISNA(VLOOKUP($F783,'Raw Data'!$A:$M,13,0)),"",VLOOKUP($F783,'Raw Data'!$A:$M,13,0))</f>
        <v/>
      </c>
    </row>
    <row r="784" spans="1:13" x14ac:dyDescent="0.25">
      <c r="A784" t="s">
        <v>38</v>
      </c>
      <c r="B784">
        <v>2014</v>
      </c>
      <c r="C784">
        <v>4</v>
      </c>
      <c r="D784" s="3">
        <v>780</v>
      </c>
      <c r="E784" s="3">
        <v>90</v>
      </c>
      <c r="F784" s="3" t="str">
        <f t="shared" si="12"/>
        <v>FGU92014478090</v>
      </c>
      <c r="G784" t="str">
        <f>IF(ISNA(VLOOKUP($F784,'Raw Data'!$A:$M,7,0)),"",VLOOKUP($F784,'Raw Data'!$A:$M,7,0))</f>
        <v/>
      </c>
      <c r="H784" t="str">
        <f>IF(ISNA(VLOOKUP($F784,'Raw Data'!$A:$M,8,0)),"",VLOOKUP($F784,'Raw Data'!$A:$M,8,0))</f>
        <v/>
      </c>
      <c r="I784" t="str">
        <f>IF(ISNA(VLOOKUP($F784,'Raw Data'!$A:$M,9,0)),"",VLOOKUP($F784,'Raw Data'!$A:$M,9,0))</f>
        <v/>
      </c>
      <c r="J784" t="str">
        <f>IF(ISNA(VLOOKUP($F784,'Raw Data'!$A:$M,10,0)),"",VLOOKUP($F784,'Raw Data'!$A:$M,10,0))</f>
        <v/>
      </c>
      <c r="K784" t="str">
        <f>IF(ISNA(VLOOKUP($F784,'Raw Data'!$A:$M,11,0)),"",VLOOKUP($F784,'Raw Data'!$A:$M,11,0))</f>
        <v/>
      </c>
      <c r="L784" t="str">
        <f>IF(ISNA(VLOOKUP($F784,'Raw Data'!$A:$M,12,0)),"",VLOOKUP($F784,'Raw Data'!$A:$M,12,0))</f>
        <v/>
      </c>
      <c r="M784" t="str">
        <f>IF(ISNA(VLOOKUP($F784,'Raw Data'!$A:$M,13,0)),"",VLOOKUP($F784,'Raw Data'!$A:$M,13,0))</f>
        <v/>
      </c>
    </row>
    <row r="785" spans="1:13" x14ac:dyDescent="0.25">
      <c r="A785" t="s">
        <v>38</v>
      </c>
      <c r="B785">
        <v>2014</v>
      </c>
      <c r="C785">
        <v>4</v>
      </c>
      <c r="D785" s="3">
        <v>620</v>
      </c>
      <c r="E785" s="3">
        <v>95</v>
      </c>
      <c r="F785" s="3" t="str">
        <f t="shared" si="12"/>
        <v>FGU92014462095</v>
      </c>
      <c r="G785" t="str">
        <f>IF(ISNA(VLOOKUP($F785,'Raw Data'!$A:$M,7,0)),"",VLOOKUP($F785,'Raw Data'!$A:$M,7,0))</f>
        <v/>
      </c>
      <c r="H785" t="str">
        <f>IF(ISNA(VLOOKUP($F785,'Raw Data'!$A:$M,8,0)),"",VLOOKUP($F785,'Raw Data'!$A:$M,8,0))</f>
        <v/>
      </c>
      <c r="I785" t="str">
        <f>IF(ISNA(VLOOKUP($F785,'Raw Data'!$A:$M,9,0)),"",VLOOKUP($F785,'Raw Data'!$A:$M,9,0))</f>
        <v/>
      </c>
      <c r="J785" t="str">
        <f>IF(ISNA(VLOOKUP($F785,'Raw Data'!$A:$M,10,0)),"",VLOOKUP($F785,'Raw Data'!$A:$M,10,0))</f>
        <v/>
      </c>
      <c r="K785" t="str">
        <f>IF(ISNA(VLOOKUP($F785,'Raw Data'!$A:$M,11,0)),"",VLOOKUP($F785,'Raw Data'!$A:$M,11,0))</f>
        <v/>
      </c>
      <c r="L785" t="str">
        <f>IF(ISNA(VLOOKUP($F785,'Raw Data'!$A:$M,12,0)),"",VLOOKUP($F785,'Raw Data'!$A:$M,12,0))</f>
        <v/>
      </c>
      <c r="M785" t="str">
        <f>IF(ISNA(VLOOKUP($F785,'Raw Data'!$A:$M,13,0)),"",VLOOKUP($F785,'Raw Data'!$A:$M,13,0))</f>
        <v/>
      </c>
    </row>
    <row r="786" spans="1:13" x14ac:dyDescent="0.25">
      <c r="A786" t="s">
        <v>38</v>
      </c>
      <c r="B786">
        <v>2014</v>
      </c>
      <c r="C786">
        <v>4</v>
      </c>
      <c r="D786" s="3">
        <v>640</v>
      </c>
      <c r="E786" s="3">
        <v>95</v>
      </c>
      <c r="F786" s="3" t="str">
        <f t="shared" si="12"/>
        <v>FGU92014464095</v>
      </c>
      <c r="G786" t="str">
        <f>IF(ISNA(VLOOKUP($F786,'Raw Data'!$A:$M,7,0)),"",VLOOKUP($F786,'Raw Data'!$A:$M,7,0))</f>
        <v/>
      </c>
      <c r="H786" t="str">
        <f>IF(ISNA(VLOOKUP($F786,'Raw Data'!$A:$M,8,0)),"",VLOOKUP($F786,'Raw Data'!$A:$M,8,0))</f>
        <v/>
      </c>
      <c r="I786" t="str">
        <f>IF(ISNA(VLOOKUP($F786,'Raw Data'!$A:$M,9,0)),"",VLOOKUP($F786,'Raw Data'!$A:$M,9,0))</f>
        <v/>
      </c>
      <c r="J786" t="str">
        <f>IF(ISNA(VLOOKUP($F786,'Raw Data'!$A:$M,10,0)),"",VLOOKUP($F786,'Raw Data'!$A:$M,10,0))</f>
        <v/>
      </c>
      <c r="K786" t="str">
        <f>IF(ISNA(VLOOKUP($F786,'Raw Data'!$A:$M,11,0)),"",VLOOKUP($F786,'Raw Data'!$A:$M,11,0))</f>
        <v/>
      </c>
      <c r="L786" t="str">
        <f>IF(ISNA(VLOOKUP($F786,'Raw Data'!$A:$M,12,0)),"",VLOOKUP($F786,'Raw Data'!$A:$M,12,0))</f>
        <v/>
      </c>
      <c r="M786" t="str">
        <f>IF(ISNA(VLOOKUP($F786,'Raw Data'!$A:$M,13,0)),"",VLOOKUP($F786,'Raw Data'!$A:$M,13,0))</f>
        <v/>
      </c>
    </row>
    <row r="787" spans="1:13" x14ac:dyDescent="0.25">
      <c r="A787" t="s">
        <v>38</v>
      </c>
      <c r="B787">
        <v>2014</v>
      </c>
      <c r="C787">
        <v>4</v>
      </c>
      <c r="D787" s="3">
        <v>660</v>
      </c>
      <c r="E787" s="3">
        <v>95</v>
      </c>
      <c r="F787" s="3" t="str">
        <f t="shared" si="12"/>
        <v>FGU92014466095</v>
      </c>
      <c r="G787" t="str">
        <f>IF(ISNA(VLOOKUP($F787,'Raw Data'!$A:$M,7,0)),"",VLOOKUP($F787,'Raw Data'!$A:$M,7,0))</f>
        <v/>
      </c>
      <c r="H787" t="str">
        <f>IF(ISNA(VLOOKUP($F787,'Raw Data'!$A:$M,8,0)),"",VLOOKUP($F787,'Raw Data'!$A:$M,8,0))</f>
        <v/>
      </c>
      <c r="I787" t="str">
        <f>IF(ISNA(VLOOKUP($F787,'Raw Data'!$A:$M,9,0)),"",VLOOKUP($F787,'Raw Data'!$A:$M,9,0))</f>
        <v/>
      </c>
      <c r="J787" t="str">
        <f>IF(ISNA(VLOOKUP($F787,'Raw Data'!$A:$M,10,0)),"",VLOOKUP($F787,'Raw Data'!$A:$M,10,0))</f>
        <v/>
      </c>
      <c r="K787" t="str">
        <f>IF(ISNA(VLOOKUP($F787,'Raw Data'!$A:$M,11,0)),"",VLOOKUP($F787,'Raw Data'!$A:$M,11,0))</f>
        <v/>
      </c>
      <c r="L787" t="str">
        <f>IF(ISNA(VLOOKUP($F787,'Raw Data'!$A:$M,12,0)),"",VLOOKUP($F787,'Raw Data'!$A:$M,12,0))</f>
        <v/>
      </c>
      <c r="M787" t="str">
        <f>IF(ISNA(VLOOKUP($F787,'Raw Data'!$A:$M,13,0)),"",VLOOKUP($F787,'Raw Data'!$A:$M,13,0))</f>
        <v/>
      </c>
    </row>
    <row r="788" spans="1:13" x14ac:dyDescent="0.25">
      <c r="A788" t="s">
        <v>38</v>
      </c>
      <c r="B788">
        <v>2014</v>
      </c>
      <c r="C788">
        <v>4</v>
      </c>
      <c r="D788" s="3">
        <v>680</v>
      </c>
      <c r="E788" s="3">
        <v>95</v>
      </c>
      <c r="F788" s="3" t="str">
        <f t="shared" si="12"/>
        <v>FGU92014468095</v>
      </c>
      <c r="G788" t="str">
        <f>IF(ISNA(VLOOKUP($F788,'Raw Data'!$A:$M,7,0)),"",VLOOKUP($F788,'Raw Data'!$A:$M,7,0))</f>
        <v/>
      </c>
      <c r="H788" t="str">
        <f>IF(ISNA(VLOOKUP($F788,'Raw Data'!$A:$M,8,0)),"",VLOOKUP($F788,'Raw Data'!$A:$M,8,0))</f>
        <v/>
      </c>
      <c r="I788" t="str">
        <f>IF(ISNA(VLOOKUP($F788,'Raw Data'!$A:$M,9,0)),"",VLOOKUP($F788,'Raw Data'!$A:$M,9,0))</f>
        <v/>
      </c>
      <c r="J788" t="str">
        <f>IF(ISNA(VLOOKUP($F788,'Raw Data'!$A:$M,10,0)),"",VLOOKUP($F788,'Raw Data'!$A:$M,10,0))</f>
        <v/>
      </c>
      <c r="K788" t="str">
        <f>IF(ISNA(VLOOKUP($F788,'Raw Data'!$A:$M,11,0)),"",VLOOKUP($F788,'Raw Data'!$A:$M,11,0))</f>
        <v/>
      </c>
      <c r="L788" t="str">
        <f>IF(ISNA(VLOOKUP($F788,'Raw Data'!$A:$M,12,0)),"",VLOOKUP($F788,'Raw Data'!$A:$M,12,0))</f>
        <v/>
      </c>
      <c r="M788" t="str">
        <f>IF(ISNA(VLOOKUP($F788,'Raw Data'!$A:$M,13,0)),"",VLOOKUP($F788,'Raw Data'!$A:$M,13,0))</f>
        <v/>
      </c>
    </row>
    <row r="789" spans="1:13" x14ac:dyDescent="0.25">
      <c r="A789" t="s">
        <v>38</v>
      </c>
      <c r="B789">
        <v>2014</v>
      </c>
      <c r="C789">
        <v>4</v>
      </c>
      <c r="D789" s="3">
        <v>700</v>
      </c>
      <c r="E789" s="3">
        <v>95</v>
      </c>
      <c r="F789" s="3" t="str">
        <f t="shared" si="12"/>
        <v>FGU92014470095</v>
      </c>
      <c r="G789" t="str">
        <f>IF(ISNA(VLOOKUP($F789,'Raw Data'!$A:$M,7,0)),"",VLOOKUP($F789,'Raw Data'!$A:$M,7,0))</f>
        <v/>
      </c>
      <c r="H789" t="str">
        <f>IF(ISNA(VLOOKUP($F789,'Raw Data'!$A:$M,8,0)),"",VLOOKUP($F789,'Raw Data'!$A:$M,8,0))</f>
        <v/>
      </c>
      <c r="I789" t="str">
        <f>IF(ISNA(VLOOKUP($F789,'Raw Data'!$A:$M,9,0)),"",VLOOKUP($F789,'Raw Data'!$A:$M,9,0))</f>
        <v/>
      </c>
      <c r="J789" t="str">
        <f>IF(ISNA(VLOOKUP($F789,'Raw Data'!$A:$M,10,0)),"",VLOOKUP($F789,'Raw Data'!$A:$M,10,0))</f>
        <v/>
      </c>
      <c r="K789" t="str">
        <f>IF(ISNA(VLOOKUP($F789,'Raw Data'!$A:$M,11,0)),"",VLOOKUP($F789,'Raw Data'!$A:$M,11,0))</f>
        <v/>
      </c>
      <c r="L789" t="str">
        <f>IF(ISNA(VLOOKUP($F789,'Raw Data'!$A:$M,12,0)),"",VLOOKUP($F789,'Raw Data'!$A:$M,12,0))</f>
        <v/>
      </c>
      <c r="M789" t="str">
        <f>IF(ISNA(VLOOKUP($F789,'Raw Data'!$A:$M,13,0)),"",VLOOKUP($F789,'Raw Data'!$A:$M,13,0))</f>
        <v/>
      </c>
    </row>
    <row r="790" spans="1:13" x14ac:dyDescent="0.25">
      <c r="A790" t="s">
        <v>38</v>
      </c>
      <c r="B790">
        <v>2014</v>
      </c>
      <c r="C790">
        <v>4</v>
      </c>
      <c r="D790" s="3">
        <v>720</v>
      </c>
      <c r="E790" s="3">
        <v>95</v>
      </c>
      <c r="F790" s="3" t="str">
        <f t="shared" si="12"/>
        <v>FGU92014472095</v>
      </c>
      <c r="G790" t="str">
        <f>IF(ISNA(VLOOKUP($F790,'Raw Data'!$A:$M,7,0)),"",VLOOKUP($F790,'Raw Data'!$A:$M,7,0))</f>
        <v/>
      </c>
      <c r="H790" t="str">
        <f>IF(ISNA(VLOOKUP($F790,'Raw Data'!$A:$M,8,0)),"",VLOOKUP($F790,'Raw Data'!$A:$M,8,0))</f>
        <v/>
      </c>
      <c r="I790" t="str">
        <f>IF(ISNA(VLOOKUP($F790,'Raw Data'!$A:$M,9,0)),"",VLOOKUP($F790,'Raw Data'!$A:$M,9,0))</f>
        <v/>
      </c>
      <c r="J790" t="str">
        <f>IF(ISNA(VLOOKUP($F790,'Raw Data'!$A:$M,10,0)),"",VLOOKUP($F790,'Raw Data'!$A:$M,10,0))</f>
        <v/>
      </c>
      <c r="K790" t="str">
        <f>IF(ISNA(VLOOKUP($F790,'Raw Data'!$A:$M,11,0)),"",VLOOKUP($F790,'Raw Data'!$A:$M,11,0))</f>
        <v/>
      </c>
      <c r="L790" t="str">
        <f>IF(ISNA(VLOOKUP($F790,'Raw Data'!$A:$M,12,0)),"",VLOOKUP($F790,'Raw Data'!$A:$M,12,0))</f>
        <v/>
      </c>
      <c r="M790" t="str">
        <f>IF(ISNA(VLOOKUP($F790,'Raw Data'!$A:$M,13,0)),"",VLOOKUP($F790,'Raw Data'!$A:$M,13,0))</f>
        <v/>
      </c>
    </row>
    <row r="791" spans="1:13" x14ac:dyDescent="0.25">
      <c r="A791" t="s">
        <v>38</v>
      </c>
      <c r="B791">
        <v>2014</v>
      </c>
      <c r="C791">
        <v>4</v>
      </c>
      <c r="D791" s="3">
        <v>740</v>
      </c>
      <c r="E791" s="3">
        <v>95</v>
      </c>
      <c r="F791" s="3" t="str">
        <f t="shared" si="12"/>
        <v>FGU92014474095</v>
      </c>
      <c r="G791" t="str">
        <f>IF(ISNA(VLOOKUP($F791,'Raw Data'!$A:$M,7,0)),"",VLOOKUP($F791,'Raw Data'!$A:$M,7,0))</f>
        <v/>
      </c>
      <c r="H791" t="str">
        <f>IF(ISNA(VLOOKUP($F791,'Raw Data'!$A:$M,8,0)),"",VLOOKUP($F791,'Raw Data'!$A:$M,8,0))</f>
        <v/>
      </c>
      <c r="I791" t="str">
        <f>IF(ISNA(VLOOKUP($F791,'Raw Data'!$A:$M,9,0)),"",VLOOKUP($F791,'Raw Data'!$A:$M,9,0))</f>
        <v/>
      </c>
      <c r="J791" t="str">
        <f>IF(ISNA(VLOOKUP($F791,'Raw Data'!$A:$M,10,0)),"",VLOOKUP($F791,'Raw Data'!$A:$M,10,0))</f>
        <v/>
      </c>
      <c r="K791" t="str">
        <f>IF(ISNA(VLOOKUP($F791,'Raw Data'!$A:$M,11,0)),"",VLOOKUP($F791,'Raw Data'!$A:$M,11,0))</f>
        <v/>
      </c>
      <c r="L791" t="str">
        <f>IF(ISNA(VLOOKUP($F791,'Raw Data'!$A:$M,12,0)),"",VLOOKUP($F791,'Raw Data'!$A:$M,12,0))</f>
        <v/>
      </c>
      <c r="M791" t="str">
        <f>IF(ISNA(VLOOKUP($F791,'Raw Data'!$A:$M,13,0)),"",VLOOKUP($F791,'Raw Data'!$A:$M,13,0))</f>
        <v/>
      </c>
    </row>
    <row r="792" spans="1:13" x14ac:dyDescent="0.25">
      <c r="A792" t="s">
        <v>38</v>
      </c>
      <c r="B792">
        <v>2014</v>
      </c>
      <c r="C792">
        <v>4</v>
      </c>
      <c r="D792" s="3">
        <v>760</v>
      </c>
      <c r="E792" s="3">
        <v>95</v>
      </c>
      <c r="F792" s="3" t="str">
        <f t="shared" si="12"/>
        <v>FGU92014476095</v>
      </c>
      <c r="G792" t="str">
        <f>IF(ISNA(VLOOKUP($F792,'Raw Data'!$A:$M,7,0)),"",VLOOKUP($F792,'Raw Data'!$A:$M,7,0))</f>
        <v/>
      </c>
      <c r="H792" t="str">
        <f>IF(ISNA(VLOOKUP($F792,'Raw Data'!$A:$M,8,0)),"",VLOOKUP($F792,'Raw Data'!$A:$M,8,0))</f>
        <v/>
      </c>
      <c r="I792" t="str">
        <f>IF(ISNA(VLOOKUP($F792,'Raw Data'!$A:$M,9,0)),"",VLOOKUP($F792,'Raw Data'!$A:$M,9,0))</f>
        <v/>
      </c>
      <c r="J792" t="str">
        <f>IF(ISNA(VLOOKUP($F792,'Raw Data'!$A:$M,10,0)),"",VLOOKUP($F792,'Raw Data'!$A:$M,10,0))</f>
        <v/>
      </c>
      <c r="K792" t="str">
        <f>IF(ISNA(VLOOKUP($F792,'Raw Data'!$A:$M,11,0)),"",VLOOKUP($F792,'Raw Data'!$A:$M,11,0))</f>
        <v/>
      </c>
      <c r="L792" t="str">
        <f>IF(ISNA(VLOOKUP($F792,'Raw Data'!$A:$M,12,0)),"",VLOOKUP($F792,'Raw Data'!$A:$M,12,0))</f>
        <v/>
      </c>
      <c r="M792" t="str">
        <f>IF(ISNA(VLOOKUP($F792,'Raw Data'!$A:$M,13,0)),"",VLOOKUP($F792,'Raw Data'!$A:$M,13,0))</f>
        <v/>
      </c>
    </row>
    <row r="793" spans="1:13" x14ac:dyDescent="0.25">
      <c r="A793" t="s">
        <v>38</v>
      </c>
      <c r="B793">
        <v>2014</v>
      </c>
      <c r="C793">
        <v>4</v>
      </c>
      <c r="D793" s="3">
        <v>780</v>
      </c>
      <c r="E793" s="3">
        <v>95</v>
      </c>
      <c r="F793" s="3" t="str">
        <f t="shared" si="12"/>
        <v>FGU92014478095</v>
      </c>
      <c r="G793" t="str">
        <f>IF(ISNA(VLOOKUP($F793,'Raw Data'!$A:$M,7,0)),"",VLOOKUP($F793,'Raw Data'!$A:$M,7,0))</f>
        <v/>
      </c>
      <c r="H793" t="str">
        <f>IF(ISNA(VLOOKUP($F793,'Raw Data'!$A:$M,8,0)),"",VLOOKUP($F793,'Raw Data'!$A:$M,8,0))</f>
        <v/>
      </c>
      <c r="I793" t="str">
        <f>IF(ISNA(VLOOKUP($F793,'Raw Data'!$A:$M,9,0)),"",VLOOKUP($F793,'Raw Data'!$A:$M,9,0))</f>
        <v/>
      </c>
      <c r="J793" t="str">
        <f>IF(ISNA(VLOOKUP($F793,'Raw Data'!$A:$M,10,0)),"",VLOOKUP($F793,'Raw Data'!$A:$M,10,0))</f>
        <v/>
      </c>
      <c r="K793" t="str">
        <f>IF(ISNA(VLOOKUP($F793,'Raw Data'!$A:$M,11,0)),"",VLOOKUP($F793,'Raw Data'!$A:$M,11,0))</f>
        <v/>
      </c>
      <c r="L793" t="str">
        <f>IF(ISNA(VLOOKUP($F793,'Raw Data'!$A:$M,12,0)),"",VLOOKUP($F793,'Raw Data'!$A:$M,12,0))</f>
        <v/>
      </c>
      <c r="M793" t="str">
        <f>IF(ISNA(VLOOKUP($F793,'Raw Data'!$A:$M,13,0)),"",VLOOKUP($F793,'Raw Data'!$A:$M,13,0))</f>
        <v/>
      </c>
    </row>
    <row r="794" spans="1:13" x14ac:dyDescent="0.25">
      <c r="A794" t="s">
        <v>38</v>
      </c>
      <c r="B794">
        <v>2014</v>
      </c>
      <c r="C794">
        <v>4</v>
      </c>
      <c r="D794" s="3">
        <v>620</v>
      </c>
      <c r="E794" s="3">
        <v>97</v>
      </c>
      <c r="F794" s="3" t="str">
        <f t="shared" si="12"/>
        <v>FGU92014462097</v>
      </c>
      <c r="G794" t="str">
        <f>IF(ISNA(VLOOKUP($F794,'Raw Data'!$A:$M,7,0)),"",VLOOKUP($F794,'Raw Data'!$A:$M,7,0))</f>
        <v/>
      </c>
      <c r="H794" t="str">
        <f>IF(ISNA(VLOOKUP($F794,'Raw Data'!$A:$M,8,0)),"",VLOOKUP($F794,'Raw Data'!$A:$M,8,0))</f>
        <v/>
      </c>
      <c r="I794" t="str">
        <f>IF(ISNA(VLOOKUP($F794,'Raw Data'!$A:$M,9,0)),"",VLOOKUP($F794,'Raw Data'!$A:$M,9,0))</f>
        <v/>
      </c>
      <c r="J794" t="str">
        <f>IF(ISNA(VLOOKUP($F794,'Raw Data'!$A:$M,10,0)),"",VLOOKUP($F794,'Raw Data'!$A:$M,10,0))</f>
        <v/>
      </c>
      <c r="K794" t="str">
        <f>IF(ISNA(VLOOKUP($F794,'Raw Data'!$A:$M,11,0)),"",VLOOKUP($F794,'Raw Data'!$A:$M,11,0))</f>
        <v/>
      </c>
      <c r="L794" t="str">
        <f>IF(ISNA(VLOOKUP($F794,'Raw Data'!$A:$M,12,0)),"",VLOOKUP($F794,'Raw Data'!$A:$M,12,0))</f>
        <v/>
      </c>
      <c r="M794" t="str">
        <f>IF(ISNA(VLOOKUP($F794,'Raw Data'!$A:$M,13,0)),"",VLOOKUP($F794,'Raw Data'!$A:$M,13,0))</f>
        <v/>
      </c>
    </row>
    <row r="795" spans="1:13" x14ac:dyDescent="0.25">
      <c r="A795" t="s">
        <v>38</v>
      </c>
      <c r="B795">
        <v>2014</v>
      </c>
      <c r="C795">
        <v>4</v>
      </c>
      <c r="D795" s="3">
        <v>640</v>
      </c>
      <c r="E795" s="3">
        <v>97</v>
      </c>
      <c r="F795" s="3" t="str">
        <f t="shared" si="12"/>
        <v>FGU92014464097</v>
      </c>
      <c r="G795" t="str">
        <f>IF(ISNA(VLOOKUP($F795,'Raw Data'!$A:$M,7,0)),"",VLOOKUP($F795,'Raw Data'!$A:$M,7,0))</f>
        <v/>
      </c>
      <c r="H795" t="str">
        <f>IF(ISNA(VLOOKUP($F795,'Raw Data'!$A:$M,8,0)),"",VLOOKUP($F795,'Raw Data'!$A:$M,8,0))</f>
        <v/>
      </c>
      <c r="I795" t="str">
        <f>IF(ISNA(VLOOKUP($F795,'Raw Data'!$A:$M,9,0)),"",VLOOKUP($F795,'Raw Data'!$A:$M,9,0))</f>
        <v/>
      </c>
      <c r="J795" t="str">
        <f>IF(ISNA(VLOOKUP($F795,'Raw Data'!$A:$M,10,0)),"",VLOOKUP($F795,'Raw Data'!$A:$M,10,0))</f>
        <v/>
      </c>
      <c r="K795" t="str">
        <f>IF(ISNA(VLOOKUP($F795,'Raw Data'!$A:$M,11,0)),"",VLOOKUP($F795,'Raw Data'!$A:$M,11,0))</f>
        <v/>
      </c>
      <c r="L795" t="str">
        <f>IF(ISNA(VLOOKUP($F795,'Raw Data'!$A:$M,12,0)),"",VLOOKUP($F795,'Raw Data'!$A:$M,12,0))</f>
        <v/>
      </c>
      <c r="M795" t="str">
        <f>IF(ISNA(VLOOKUP($F795,'Raw Data'!$A:$M,13,0)),"",VLOOKUP($F795,'Raw Data'!$A:$M,13,0))</f>
        <v/>
      </c>
    </row>
    <row r="796" spans="1:13" x14ac:dyDescent="0.25">
      <c r="A796" t="s">
        <v>38</v>
      </c>
      <c r="B796">
        <v>2014</v>
      </c>
      <c r="C796">
        <v>4</v>
      </c>
      <c r="D796" s="3">
        <v>660</v>
      </c>
      <c r="E796" s="3">
        <v>97</v>
      </c>
      <c r="F796" s="3" t="str">
        <f t="shared" si="12"/>
        <v>FGU92014466097</v>
      </c>
      <c r="G796" t="str">
        <f>IF(ISNA(VLOOKUP($F796,'Raw Data'!$A:$M,7,0)),"",VLOOKUP($F796,'Raw Data'!$A:$M,7,0))</f>
        <v/>
      </c>
      <c r="H796" t="str">
        <f>IF(ISNA(VLOOKUP($F796,'Raw Data'!$A:$M,8,0)),"",VLOOKUP($F796,'Raw Data'!$A:$M,8,0))</f>
        <v/>
      </c>
      <c r="I796" t="str">
        <f>IF(ISNA(VLOOKUP($F796,'Raw Data'!$A:$M,9,0)),"",VLOOKUP($F796,'Raw Data'!$A:$M,9,0))</f>
        <v/>
      </c>
      <c r="J796" t="str">
        <f>IF(ISNA(VLOOKUP($F796,'Raw Data'!$A:$M,10,0)),"",VLOOKUP($F796,'Raw Data'!$A:$M,10,0))</f>
        <v/>
      </c>
      <c r="K796" t="str">
        <f>IF(ISNA(VLOOKUP($F796,'Raw Data'!$A:$M,11,0)),"",VLOOKUP($F796,'Raw Data'!$A:$M,11,0))</f>
        <v/>
      </c>
      <c r="L796" t="str">
        <f>IF(ISNA(VLOOKUP($F796,'Raw Data'!$A:$M,12,0)),"",VLOOKUP($F796,'Raw Data'!$A:$M,12,0))</f>
        <v/>
      </c>
      <c r="M796" t="str">
        <f>IF(ISNA(VLOOKUP($F796,'Raw Data'!$A:$M,13,0)),"",VLOOKUP($F796,'Raw Data'!$A:$M,13,0))</f>
        <v/>
      </c>
    </row>
    <row r="797" spans="1:13" x14ac:dyDescent="0.25">
      <c r="A797" t="s">
        <v>38</v>
      </c>
      <c r="B797">
        <v>2014</v>
      </c>
      <c r="C797">
        <v>4</v>
      </c>
      <c r="D797" s="3">
        <v>680</v>
      </c>
      <c r="E797" s="3">
        <v>97</v>
      </c>
      <c r="F797" s="3" t="str">
        <f t="shared" si="12"/>
        <v>FGU92014468097</v>
      </c>
      <c r="G797" t="str">
        <f>IF(ISNA(VLOOKUP($F797,'Raw Data'!$A:$M,7,0)),"",VLOOKUP($F797,'Raw Data'!$A:$M,7,0))</f>
        <v/>
      </c>
      <c r="H797" t="str">
        <f>IF(ISNA(VLOOKUP($F797,'Raw Data'!$A:$M,8,0)),"",VLOOKUP($F797,'Raw Data'!$A:$M,8,0))</f>
        <v/>
      </c>
      <c r="I797" t="str">
        <f>IF(ISNA(VLOOKUP($F797,'Raw Data'!$A:$M,9,0)),"",VLOOKUP($F797,'Raw Data'!$A:$M,9,0))</f>
        <v/>
      </c>
      <c r="J797" t="str">
        <f>IF(ISNA(VLOOKUP($F797,'Raw Data'!$A:$M,10,0)),"",VLOOKUP($F797,'Raw Data'!$A:$M,10,0))</f>
        <v/>
      </c>
      <c r="K797" t="str">
        <f>IF(ISNA(VLOOKUP($F797,'Raw Data'!$A:$M,11,0)),"",VLOOKUP($F797,'Raw Data'!$A:$M,11,0))</f>
        <v/>
      </c>
      <c r="L797" t="str">
        <f>IF(ISNA(VLOOKUP($F797,'Raw Data'!$A:$M,12,0)),"",VLOOKUP($F797,'Raw Data'!$A:$M,12,0))</f>
        <v/>
      </c>
      <c r="M797" t="str">
        <f>IF(ISNA(VLOOKUP($F797,'Raw Data'!$A:$M,13,0)),"",VLOOKUP($F797,'Raw Data'!$A:$M,13,0))</f>
        <v/>
      </c>
    </row>
    <row r="798" spans="1:13" x14ac:dyDescent="0.25">
      <c r="A798" t="s">
        <v>38</v>
      </c>
      <c r="B798">
        <v>2014</v>
      </c>
      <c r="C798">
        <v>4</v>
      </c>
      <c r="D798" s="3">
        <v>700</v>
      </c>
      <c r="E798" s="3">
        <v>97</v>
      </c>
      <c r="F798" s="3" t="str">
        <f t="shared" si="12"/>
        <v>FGU92014470097</v>
      </c>
      <c r="G798" t="str">
        <f>IF(ISNA(VLOOKUP($F798,'Raw Data'!$A:$M,7,0)),"",VLOOKUP($F798,'Raw Data'!$A:$M,7,0))</f>
        <v/>
      </c>
      <c r="H798" t="str">
        <f>IF(ISNA(VLOOKUP($F798,'Raw Data'!$A:$M,8,0)),"",VLOOKUP($F798,'Raw Data'!$A:$M,8,0))</f>
        <v/>
      </c>
      <c r="I798" t="str">
        <f>IF(ISNA(VLOOKUP($F798,'Raw Data'!$A:$M,9,0)),"",VLOOKUP($F798,'Raw Data'!$A:$M,9,0))</f>
        <v/>
      </c>
      <c r="J798" t="str">
        <f>IF(ISNA(VLOOKUP($F798,'Raw Data'!$A:$M,10,0)),"",VLOOKUP($F798,'Raw Data'!$A:$M,10,0))</f>
        <v/>
      </c>
      <c r="K798" t="str">
        <f>IF(ISNA(VLOOKUP($F798,'Raw Data'!$A:$M,11,0)),"",VLOOKUP($F798,'Raw Data'!$A:$M,11,0))</f>
        <v/>
      </c>
      <c r="L798" t="str">
        <f>IF(ISNA(VLOOKUP($F798,'Raw Data'!$A:$M,12,0)),"",VLOOKUP($F798,'Raw Data'!$A:$M,12,0))</f>
        <v/>
      </c>
      <c r="M798" t="str">
        <f>IF(ISNA(VLOOKUP($F798,'Raw Data'!$A:$M,13,0)),"",VLOOKUP($F798,'Raw Data'!$A:$M,13,0))</f>
        <v/>
      </c>
    </row>
    <row r="799" spans="1:13" x14ac:dyDescent="0.25">
      <c r="A799" t="s">
        <v>38</v>
      </c>
      <c r="B799">
        <v>2014</v>
      </c>
      <c r="C799">
        <v>4</v>
      </c>
      <c r="D799" s="3">
        <v>720</v>
      </c>
      <c r="E799" s="3">
        <v>97</v>
      </c>
      <c r="F799" s="3" t="str">
        <f t="shared" si="12"/>
        <v>FGU92014472097</v>
      </c>
      <c r="G799" t="str">
        <f>IF(ISNA(VLOOKUP($F799,'Raw Data'!$A:$M,7,0)),"",VLOOKUP($F799,'Raw Data'!$A:$M,7,0))</f>
        <v/>
      </c>
      <c r="H799" t="str">
        <f>IF(ISNA(VLOOKUP($F799,'Raw Data'!$A:$M,8,0)),"",VLOOKUP($F799,'Raw Data'!$A:$M,8,0))</f>
        <v/>
      </c>
      <c r="I799" t="str">
        <f>IF(ISNA(VLOOKUP($F799,'Raw Data'!$A:$M,9,0)),"",VLOOKUP($F799,'Raw Data'!$A:$M,9,0))</f>
        <v/>
      </c>
      <c r="J799" t="str">
        <f>IF(ISNA(VLOOKUP($F799,'Raw Data'!$A:$M,10,0)),"",VLOOKUP($F799,'Raw Data'!$A:$M,10,0))</f>
        <v/>
      </c>
      <c r="K799" t="str">
        <f>IF(ISNA(VLOOKUP($F799,'Raw Data'!$A:$M,11,0)),"",VLOOKUP($F799,'Raw Data'!$A:$M,11,0))</f>
        <v/>
      </c>
      <c r="L799" t="str">
        <f>IF(ISNA(VLOOKUP($F799,'Raw Data'!$A:$M,12,0)),"",VLOOKUP($F799,'Raw Data'!$A:$M,12,0))</f>
        <v/>
      </c>
      <c r="M799" t="str">
        <f>IF(ISNA(VLOOKUP($F799,'Raw Data'!$A:$M,13,0)),"",VLOOKUP($F799,'Raw Data'!$A:$M,13,0))</f>
        <v/>
      </c>
    </row>
    <row r="800" spans="1:13" x14ac:dyDescent="0.25">
      <c r="A800" t="s">
        <v>38</v>
      </c>
      <c r="B800">
        <v>2014</v>
      </c>
      <c r="C800">
        <v>4</v>
      </c>
      <c r="D800" s="3">
        <v>740</v>
      </c>
      <c r="E800" s="3">
        <v>97</v>
      </c>
      <c r="F800" s="3" t="str">
        <f t="shared" si="12"/>
        <v>FGU92014474097</v>
      </c>
      <c r="G800" t="str">
        <f>IF(ISNA(VLOOKUP($F800,'Raw Data'!$A:$M,7,0)),"",VLOOKUP($F800,'Raw Data'!$A:$M,7,0))</f>
        <v/>
      </c>
      <c r="H800" t="str">
        <f>IF(ISNA(VLOOKUP($F800,'Raw Data'!$A:$M,8,0)),"",VLOOKUP($F800,'Raw Data'!$A:$M,8,0))</f>
        <v/>
      </c>
      <c r="I800" t="str">
        <f>IF(ISNA(VLOOKUP($F800,'Raw Data'!$A:$M,9,0)),"",VLOOKUP($F800,'Raw Data'!$A:$M,9,0))</f>
        <v/>
      </c>
      <c r="J800" t="str">
        <f>IF(ISNA(VLOOKUP($F800,'Raw Data'!$A:$M,10,0)),"",VLOOKUP($F800,'Raw Data'!$A:$M,10,0))</f>
        <v/>
      </c>
      <c r="K800" t="str">
        <f>IF(ISNA(VLOOKUP($F800,'Raw Data'!$A:$M,11,0)),"",VLOOKUP($F800,'Raw Data'!$A:$M,11,0))</f>
        <v/>
      </c>
      <c r="L800" t="str">
        <f>IF(ISNA(VLOOKUP($F800,'Raw Data'!$A:$M,12,0)),"",VLOOKUP($F800,'Raw Data'!$A:$M,12,0))</f>
        <v/>
      </c>
      <c r="M800" t="str">
        <f>IF(ISNA(VLOOKUP($F800,'Raw Data'!$A:$M,13,0)),"",VLOOKUP($F800,'Raw Data'!$A:$M,13,0))</f>
        <v/>
      </c>
    </row>
    <row r="801" spans="1:13" x14ac:dyDescent="0.25">
      <c r="A801" t="s">
        <v>38</v>
      </c>
      <c r="B801">
        <v>2014</v>
      </c>
      <c r="C801">
        <v>4</v>
      </c>
      <c r="D801" s="3">
        <v>760</v>
      </c>
      <c r="E801" s="3">
        <v>97</v>
      </c>
      <c r="F801" s="3" t="str">
        <f t="shared" si="12"/>
        <v>FGU92014476097</v>
      </c>
      <c r="G801" t="str">
        <f>IF(ISNA(VLOOKUP($F801,'Raw Data'!$A:$M,7,0)),"",VLOOKUP($F801,'Raw Data'!$A:$M,7,0))</f>
        <v/>
      </c>
      <c r="H801" t="str">
        <f>IF(ISNA(VLOOKUP($F801,'Raw Data'!$A:$M,8,0)),"",VLOOKUP($F801,'Raw Data'!$A:$M,8,0))</f>
        <v/>
      </c>
      <c r="I801" t="str">
        <f>IF(ISNA(VLOOKUP($F801,'Raw Data'!$A:$M,9,0)),"",VLOOKUP($F801,'Raw Data'!$A:$M,9,0))</f>
        <v/>
      </c>
      <c r="J801" t="str">
        <f>IF(ISNA(VLOOKUP($F801,'Raw Data'!$A:$M,10,0)),"",VLOOKUP($F801,'Raw Data'!$A:$M,10,0))</f>
        <v/>
      </c>
      <c r="K801" t="str">
        <f>IF(ISNA(VLOOKUP($F801,'Raw Data'!$A:$M,11,0)),"",VLOOKUP($F801,'Raw Data'!$A:$M,11,0))</f>
        <v/>
      </c>
      <c r="L801" t="str">
        <f>IF(ISNA(VLOOKUP($F801,'Raw Data'!$A:$M,12,0)),"",VLOOKUP($F801,'Raw Data'!$A:$M,12,0))</f>
        <v/>
      </c>
      <c r="M801" t="str">
        <f>IF(ISNA(VLOOKUP($F801,'Raw Data'!$A:$M,13,0)),"",VLOOKUP($F801,'Raw Data'!$A:$M,13,0))</f>
        <v/>
      </c>
    </row>
    <row r="802" spans="1:13" x14ac:dyDescent="0.25">
      <c r="A802" t="s">
        <v>38</v>
      </c>
      <c r="B802">
        <v>2014</v>
      </c>
      <c r="C802">
        <v>4</v>
      </c>
      <c r="D802" s="3">
        <v>780</v>
      </c>
      <c r="E802" s="3">
        <v>97</v>
      </c>
      <c r="F802" s="3" t="str">
        <f t="shared" si="12"/>
        <v>FGU92014478097</v>
      </c>
      <c r="G802" t="str">
        <f>IF(ISNA(VLOOKUP($F802,'Raw Data'!$A:$M,7,0)),"",VLOOKUP($F802,'Raw Data'!$A:$M,7,0))</f>
        <v/>
      </c>
      <c r="H802" t="str">
        <f>IF(ISNA(VLOOKUP($F802,'Raw Data'!$A:$M,8,0)),"",VLOOKUP($F802,'Raw Data'!$A:$M,8,0))</f>
        <v/>
      </c>
      <c r="I802" t="str">
        <f>IF(ISNA(VLOOKUP($F802,'Raw Data'!$A:$M,9,0)),"",VLOOKUP($F802,'Raw Data'!$A:$M,9,0))</f>
        <v/>
      </c>
      <c r="J802" t="str">
        <f>IF(ISNA(VLOOKUP($F802,'Raw Data'!$A:$M,10,0)),"",VLOOKUP($F802,'Raw Data'!$A:$M,10,0))</f>
        <v/>
      </c>
      <c r="K802" t="str">
        <f>IF(ISNA(VLOOKUP($F802,'Raw Data'!$A:$M,11,0)),"",VLOOKUP($F802,'Raw Data'!$A:$M,11,0))</f>
        <v/>
      </c>
      <c r="L802" t="str">
        <f>IF(ISNA(VLOOKUP($F802,'Raw Data'!$A:$M,12,0)),"",VLOOKUP($F802,'Raw Data'!$A:$M,12,0))</f>
        <v/>
      </c>
      <c r="M802" t="str">
        <f>IF(ISNA(VLOOKUP($F802,'Raw Data'!$A:$M,13,0)),"",VLOOKUP($F802,'Raw Data'!$A:$M,13,0))</f>
        <v/>
      </c>
    </row>
    <row r="803" spans="1:13" x14ac:dyDescent="0.25">
      <c r="A803" t="s">
        <v>38</v>
      </c>
      <c r="B803">
        <v>2014</v>
      </c>
      <c r="C803">
        <v>4</v>
      </c>
      <c r="D803" s="3">
        <v>620</v>
      </c>
      <c r="E803" s="3">
        <v>100</v>
      </c>
      <c r="F803" s="3" t="str">
        <f t="shared" si="12"/>
        <v>FGU920144620100</v>
      </c>
      <c r="G803" t="str">
        <f>IF(ISNA(VLOOKUP($F803,'Raw Data'!$A:$M,7,0)),"",VLOOKUP($F803,'Raw Data'!$A:$M,7,0))</f>
        <v/>
      </c>
      <c r="H803" t="str">
        <f>IF(ISNA(VLOOKUP($F803,'Raw Data'!$A:$M,8,0)),"",VLOOKUP($F803,'Raw Data'!$A:$M,8,0))</f>
        <v/>
      </c>
      <c r="I803" t="str">
        <f>IF(ISNA(VLOOKUP($F803,'Raw Data'!$A:$M,9,0)),"",VLOOKUP($F803,'Raw Data'!$A:$M,9,0))</f>
        <v/>
      </c>
      <c r="J803" t="str">
        <f>IF(ISNA(VLOOKUP($F803,'Raw Data'!$A:$M,10,0)),"",VLOOKUP($F803,'Raw Data'!$A:$M,10,0))</f>
        <v/>
      </c>
      <c r="K803" t="str">
        <f>IF(ISNA(VLOOKUP($F803,'Raw Data'!$A:$M,11,0)),"",VLOOKUP($F803,'Raw Data'!$A:$M,11,0))</f>
        <v/>
      </c>
      <c r="L803" t="str">
        <f>IF(ISNA(VLOOKUP($F803,'Raw Data'!$A:$M,12,0)),"",VLOOKUP($F803,'Raw Data'!$A:$M,12,0))</f>
        <v/>
      </c>
      <c r="M803" t="str">
        <f>IF(ISNA(VLOOKUP($F803,'Raw Data'!$A:$M,13,0)),"",VLOOKUP($F803,'Raw Data'!$A:$M,13,0))</f>
        <v/>
      </c>
    </row>
    <row r="804" spans="1:13" x14ac:dyDescent="0.25">
      <c r="A804" t="s">
        <v>38</v>
      </c>
      <c r="B804">
        <v>2014</v>
      </c>
      <c r="C804">
        <v>4</v>
      </c>
      <c r="D804" s="3">
        <v>640</v>
      </c>
      <c r="E804" s="3">
        <v>100</v>
      </c>
      <c r="F804" s="3" t="str">
        <f t="shared" si="12"/>
        <v>FGU920144640100</v>
      </c>
      <c r="G804" t="str">
        <f>IF(ISNA(VLOOKUP($F804,'Raw Data'!$A:$M,7,0)),"",VLOOKUP($F804,'Raw Data'!$A:$M,7,0))</f>
        <v/>
      </c>
      <c r="H804" t="str">
        <f>IF(ISNA(VLOOKUP($F804,'Raw Data'!$A:$M,8,0)),"",VLOOKUP($F804,'Raw Data'!$A:$M,8,0))</f>
        <v/>
      </c>
      <c r="I804" t="str">
        <f>IF(ISNA(VLOOKUP($F804,'Raw Data'!$A:$M,9,0)),"",VLOOKUP($F804,'Raw Data'!$A:$M,9,0))</f>
        <v/>
      </c>
      <c r="J804" t="str">
        <f>IF(ISNA(VLOOKUP($F804,'Raw Data'!$A:$M,10,0)),"",VLOOKUP($F804,'Raw Data'!$A:$M,10,0))</f>
        <v/>
      </c>
      <c r="K804" t="str">
        <f>IF(ISNA(VLOOKUP($F804,'Raw Data'!$A:$M,11,0)),"",VLOOKUP($F804,'Raw Data'!$A:$M,11,0))</f>
        <v/>
      </c>
      <c r="L804" t="str">
        <f>IF(ISNA(VLOOKUP($F804,'Raw Data'!$A:$M,12,0)),"",VLOOKUP($F804,'Raw Data'!$A:$M,12,0))</f>
        <v/>
      </c>
      <c r="M804" t="str">
        <f>IF(ISNA(VLOOKUP($F804,'Raw Data'!$A:$M,13,0)),"",VLOOKUP($F804,'Raw Data'!$A:$M,13,0))</f>
        <v/>
      </c>
    </row>
    <row r="805" spans="1:13" x14ac:dyDescent="0.25">
      <c r="A805" t="s">
        <v>38</v>
      </c>
      <c r="B805">
        <v>2014</v>
      </c>
      <c r="C805">
        <v>4</v>
      </c>
      <c r="D805" s="3">
        <v>660</v>
      </c>
      <c r="E805" s="3">
        <v>100</v>
      </c>
      <c r="F805" s="3" t="str">
        <f t="shared" si="12"/>
        <v>FGU920144660100</v>
      </c>
      <c r="G805" t="str">
        <f>IF(ISNA(VLOOKUP($F805,'Raw Data'!$A:$M,7,0)),"",VLOOKUP($F805,'Raw Data'!$A:$M,7,0))</f>
        <v/>
      </c>
      <c r="H805" t="str">
        <f>IF(ISNA(VLOOKUP($F805,'Raw Data'!$A:$M,8,0)),"",VLOOKUP($F805,'Raw Data'!$A:$M,8,0))</f>
        <v/>
      </c>
      <c r="I805" t="str">
        <f>IF(ISNA(VLOOKUP($F805,'Raw Data'!$A:$M,9,0)),"",VLOOKUP($F805,'Raw Data'!$A:$M,9,0))</f>
        <v/>
      </c>
      <c r="J805" t="str">
        <f>IF(ISNA(VLOOKUP($F805,'Raw Data'!$A:$M,10,0)),"",VLOOKUP($F805,'Raw Data'!$A:$M,10,0))</f>
        <v/>
      </c>
      <c r="K805" t="str">
        <f>IF(ISNA(VLOOKUP($F805,'Raw Data'!$A:$M,11,0)),"",VLOOKUP($F805,'Raw Data'!$A:$M,11,0))</f>
        <v/>
      </c>
      <c r="L805" t="str">
        <f>IF(ISNA(VLOOKUP($F805,'Raw Data'!$A:$M,12,0)),"",VLOOKUP($F805,'Raw Data'!$A:$M,12,0))</f>
        <v/>
      </c>
      <c r="M805" t="str">
        <f>IF(ISNA(VLOOKUP($F805,'Raw Data'!$A:$M,13,0)),"",VLOOKUP($F805,'Raw Data'!$A:$M,13,0))</f>
        <v/>
      </c>
    </row>
    <row r="806" spans="1:13" x14ac:dyDescent="0.25">
      <c r="A806" t="s">
        <v>38</v>
      </c>
      <c r="B806">
        <v>2014</v>
      </c>
      <c r="C806">
        <v>4</v>
      </c>
      <c r="D806" s="3">
        <v>680</v>
      </c>
      <c r="E806" s="3">
        <v>100</v>
      </c>
      <c r="F806" s="3" t="str">
        <f t="shared" si="12"/>
        <v>FGU920144680100</v>
      </c>
      <c r="G806" t="str">
        <f>IF(ISNA(VLOOKUP($F806,'Raw Data'!$A:$M,7,0)),"",VLOOKUP($F806,'Raw Data'!$A:$M,7,0))</f>
        <v/>
      </c>
      <c r="H806" t="str">
        <f>IF(ISNA(VLOOKUP($F806,'Raw Data'!$A:$M,8,0)),"",VLOOKUP($F806,'Raw Data'!$A:$M,8,0))</f>
        <v/>
      </c>
      <c r="I806" t="str">
        <f>IF(ISNA(VLOOKUP($F806,'Raw Data'!$A:$M,9,0)),"",VLOOKUP($F806,'Raw Data'!$A:$M,9,0))</f>
        <v/>
      </c>
      <c r="J806" t="str">
        <f>IF(ISNA(VLOOKUP($F806,'Raw Data'!$A:$M,10,0)),"",VLOOKUP($F806,'Raw Data'!$A:$M,10,0))</f>
        <v/>
      </c>
      <c r="K806" t="str">
        <f>IF(ISNA(VLOOKUP($F806,'Raw Data'!$A:$M,11,0)),"",VLOOKUP($F806,'Raw Data'!$A:$M,11,0))</f>
        <v/>
      </c>
      <c r="L806" t="str">
        <f>IF(ISNA(VLOOKUP($F806,'Raw Data'!$A:$M,12,0)),"",VLOOKUP($F806,'Raw Data'!$A:$M,12,0))</f>
        <v/>
      </c>
      <c r="M806" t="str">
        <f>IF(ISNA(VLOOKUP($F806,'Raw Data'!$A:$M,13,0)),"",VLOOKUP($F806,'Raw Data'!$A:$M,13,0))</f>
        <v/>
      </c>
    </row>
    <row r="807" spans="1:13" x14ac:dyDescent="0.25">
      <c r="A807" t="s">
        <v>38</v>
      </c>
      <c r="B807">
        <v>2014</v>
      </c>
      <c r="C807">
        <v>4</v>
      </c>
      <c r="D807" s="3">
        <v>700</v>
      </c>
      <c r="E807" s="3">
        <v>100</v>
      </c>
      <c r="F807" s="3" t="str">
        <f t="shared" si="12"/>
        <v>FGU920144700100</v>
      </c>
      <c r="G807" t="str">
        <f>IF(ISNA(VLOOKUP($F807,'Raw Data'!$A:$M,7,0)),"",VLOOKUP($F807,'Raw Data'!$A:$M,7,0))</f>
        <v/>
      </c>
      <c r="H807" t="str">
        <f>IF(ISNA(VLOOKUP($F807,'Raw Data'!$A:$M,8,0)),"",VLOOKUP($F807,'Raw Data'!$A:$M,8,0))</f>
        <v/>
      </c>
      <c r="I807" t="str">
        <f>IF(ISNA(VLOOKUP($F807,'Raw Data'!$A:$M,9,0)),"",VLOOKUP($F807,'Raw Data'!$A:$M,9,0))</f>
        <v/>
      </c>
      <c r="J807" t="str">
        <f>IF(ISNA(VLOOKUP($F807,'Raw Data'!$A:$M,10,0)),"",VLOOKUP($F807,'Raw Data'!$A:$M,10,0))</f>
        <v/>
      </c>
      <c r="K807" t="str">
        <f>IF(ISNA(VLOOKUP($F807,'Raw Data'!$A:$M,11,0)),"",VLOOKUP($F807,'Raw Data'!$A:$M,11,0))</f>
        <v/>
      </c>
      <c r="L807" t="str">
        <f>IF(ISNA(VLOOKUP($F807,'Raw Data'!$A:$M,12,0)),"",VLOOKUP($F807,'Raw Data'!$A:$M,12,0))</f>
        <v/>
      </c>
      <c r="M807" t="str">
        <f>IF(ISNA(VLOOKUP($F807,'Raw Data'!$A:$M,13,0)),"",VLOOKUP($F807,'Raw Data'!$A:$M,13,0))</f>
        <v/>
      </c>
    </row>
    <row r="808" spans="1:13" x14ac:dyDescent="0.25">
      <c r="A808" t="s">
        <v>38</v>
      </c>
      <c r="B808">
        <v>2014</v>
      </c>
      <c r="C808">
        <v>4</v>
      </c>
      <c r="D808" s="3">
        <v>720</v>
      </c>
      <c r="E808" s="3">
        <v>100</v>
      </c>
      <c r="F808" s="3" t="str">
        <f t="shared" si="12"/>
        <v>FGU920144720100</v>
      </c>
      <c r="G808" t="str">
        <f>IF(ISNA(VLOOKUP($F808,'Raw Data'!$A:$M,7,0)),"",VLOOKUP($F808,'Raw Data'!$A:$M,7,0))</f>
        <v/>
      </c>
      <c r="H808" t="str">
        <f>IF(ISNA(VLOOKUP($F808,'Raw Data'!$A:$M,8,0)),"",VLOOKUP($F808,'Raw Data'!$A:$M,8,0))</f>
        <v/>
      </c>
      <c r="I808" t="str">
        <f>IF(ISNA(VLOOKUP($F808,'Raw Data'!$A:$M,9,0)),"",VLOOKUP($F808,'Raw Data'!$A:$M,9,0))</f>
        <v/>
      </c>
      <c r="J808" t="str">
        <f>IF(ISNA(VLOOKUP($F808,'Raw Data'!$A:$M,10,0)),"",VLOOKUP($F808,'Raw Data'!$A:$M,10,0))</f>
        <v/>
      </c>
      <c r="K808" t="str">
        <f>IF(ISNA(VLOOKUP($F808,'Raw Data'!$A:$M,11,0)),"",VLOOKUP($F808,'Raw Data'!$A:$M,11,0))</f>
        <v/>
      </c>
      <c r="L808" t="str">
        <f>IF(ISNA(VLOOKUP($F808,'Raw Data'!$A:$M,12,0)),"",VLOOKUP($F808,'Raw Data'!$A:$M,12,0))</f>
        <v/>
      </c>
      <c r="M808" t="str">
        <f>IF(ISNA(VLOOKUP($F808,'Raw Data'!$A:$M,13,0)),"",VLOOKUP($F808,'Raw Data'!$A:$M,13,0))</f>
        <v/>
      </c>
    </row>
    <row r="809" spans="1:13" x14ac:dyDescent="0.25">
      <c r="A809" t="s">
        <v>38</v>
      </c>
      <c r="B809">
        <v>2014</v>
      </c>
      <c r="C809">
        <v>4</v>
      </c>
      <c r="D809" s="3">
        <v>740</v>
      </c>
      <c r="E809" s="3">
        <v>100</v>
      </c>
      <c r="F809" s="3" t="str">
        <f t="shared" si="12"/>
        <v>FGU920144740100</v>
      </c>
      <c r="G809" t="str">
        <f>IF(ISNA(VLOOKUP($F809,'Raw Data'!$A:$M,7,0)),"",VLOOKUP($F809,'Raw Data'!$A:$M,7,0))</f>
        <v/>
      </c>
      <c r="H809" t="str">
        <f>IF(ISNA(VLOOKUP($F809,'Raw Data'!$A:$M,8,0)),"",VLOOKUP($F809,'Raw Data'!$A:$M,8,0))</f>
        <v/>
      </c>
      <c r="I809" t="str">
        <f>IF(ISNA(VLOOKUP($F809,'Raw Data'!$A:$M,9,0)),"",VLOOKUP($F809,'Raw Data'!$A:$M,9,0))</f>
        <v/>
      </c>
      <c r="J809" t="str">
        <f>IF(ISNA(VLOOKUP($F809,'Raw Data'!$A:$M,10,0)),"",VLOOKUP($F809,'Raw Data'!$A:$M,10,0))</f>
        <v/>
      </c>
      <c r="K809" t="str">
        <f>IF(ISNA(VLOOKUP($F809,'Raw Data'!$A:$M,11,0)),"",VLOOKUP($F809,'Raw Data'!$A:$M,11,0))</f>
        <v/>
      </c>
      <c r="L809" t="str">
        <f>IF(ISNA(VLOOKUP($F809,'Raw Data'!$A:$M,12,0)),"",VLOOKUP($F809,'Raw Data'!$A:$M,12,0))</f>
        <v/>
      </c>
      <c r="M809" t="str">
        <f>IF(ISNA(VLOOKUP($F809,'Raw Data'!$A:$M,13,0)),"",VLOOKUP($F809,'Raw Data'!$A:$M,13,0))</f>
        <v/>
      </c>
    </row>
    <row r="810" spans="1:13" x14ac:dyDescent="0.25">
      <c r="A810" t="s">
        <v>38</v>
      </c>
      <c r="B810">
        <v>2014</v>
      </c>
      <c r="C810">
        <v>4</v>
      </c>
      <c r="D810" s="3">
        <v>760</v>
      </c>
      <c r="E810" s="3">
        <v>100</v>
      </c>
      <c r="F810" s="3" t="str">
        <f t="shared" si="12"/>
        <v>FGU920144760100</v>
      </c>
      <c r="G810" t="str">
        <f>IF(ISNA(VLOOKUP($F810,'Raw Data'!$A:$M,7,0)),"",VLOOKUP($F810,'Raw Data'!$A:$M,7,0))</f>
        <v/>
      </c>
      <c r="H810" t="str">
        <f>IF(ISNA(VLOOKUP($F810,'Raw Data'!$A:$M,8,0)),"",VLOOKUP($F810,'Raw Data'!$A:$M,8,0))</f>
        <v/>
      </c>
      <c r="I810" t="str">
        <f>IF(ISNA(VLOOKUP($F810,'Raw Data'!$A:$M,9,0)),"",VLOOKUP($F810,'Raw Data'!$A:$M,9,0))</f>
        <v/>
      </c>
      <c r="J810" t="str">
        <f>IF(ISNA(VLOOKUP($F810,'Raw Data'!$A:$M,10,0)),"",VLOOKUP($F810,'Raw Data'!$A:$M,10,0))</f>
        <v/>
      </c>
      <c r="K810" t="str">
        <f>IF(ISNA(VLOOKUP($F810,'Raw Data'!$A:$M,11,0)),"",VLOOKUP($F810,'Raw Data'!$A:$M,11,0))</f>
        <v/>
      </c>
      <c r="L810" t="str">
        <f>IF(ISNA(VLOOKUP($F810,'Raw Data'!$A:$M,12,0)),"",VLOOKUP($F810,'Raw Data'!$A:$M,12,0))</f>
        <v/>
      </c>
      <c r="M810" t="str">
        <f>IF(ISNA(VLOOKUP($F810,'Raw Data'!$A:$M,13,0)),"",VLOOKUP($F810,'Raw Data'!$A:$M,13,0))</f>
        <v/>
      </c>
    </row>
    <row r="811" spans="1:13" x14ac:dyDescent="0.25">
      <c r="A811" t="s">
        <v>38</v>
      </c>
      <c r="B811">
        <v>2014</v>
      </c>
      <c r="C811">
        <v>4</v>
      </c>
      <c r="D811" s="3">
        <v>780</v>
      </c>
      <c r="E811" s="3">
        <v>100</v>
      </c>
      <c r="F811" s="3" t="str">
        <f t="shared" si="12"/>
        <v>FGU920144780100</v>
      </c>
      <c r="G811" t="str">
        <f>IF(ISNA(VLOOKUP($F811,'Raw Data'!$A:$M,7,0)),"",VLOOKUP($F811,'Raw Data'!$A:$M,7,0))</f>
        <v/>
      </c>
      <c r="H811" t="str">
        <f>IF(ISNA(VLOOKUP($F811,'Raw Data'!$A:$M,8,0)),"",VLOOKUP($F811,'Raw Data'!$A:$M,8,0))</f>
        <v/>
      </c>
      <c r="I811" t="str">
        <f>IF(ISNA(VLOOKUP($F811,'Raw Data'!$A:$M,9,0)),"",VLOOKUP($F811,'Raw Data'!$A:$M,9,0))</f>
        <v/>
      </c>
      <c r="J811" t="str">
        <f>IF(ISNA(VLOOKUP($F811,'Raw Data'!$A:$M,10,0)),"",VLOOKUP($F811,'Raw Data'!$A:$M,10,0))</f>
        <v/>
      </c>
      <c r="K811" t="str">
        <f>IF(ISNA(VLOOKUP($F811,'Raw Data'!$A:$M,11,0)),"",VLOOKUP($F811,'Raw Data'!$A:$M,11,0))</f>
        <v/>
      </c>
      <c r="L811" t="str">
        <f>IF(ISNA(VLOOKUP($F811,'Raw Data'!$A:$M,12,0)),"",VLOOKUP($F811,'Raw Data'!$A:$M,12,0))</f>
        <v/>
      </c>
      <c r="M811" t="str">
        <f>IF(ISNA(VLOOKUP($F811,'Raw Data'!$A:$M,13,0)),"",VLOOKUP($F811,'Raw Data'!$A:$M,13,0))</f>
        <v/>
      </c>
    </row>
    <row r="812" spans="1:13" x14ac:dyDescent="0.25">
      <c r="A812" t="s">
        <v>38</v>
      </c>
      <c r="B812">
        <v>2014</v>
      </c>
      <c r="C812">
        <v>4</v>
      </c>
      <c r="D812" s="3">
        <v>620</v>
      </c>
      <c r="E812" s="3" t="s">
        <v>9</v>
      </c>
      <c r="F812" s="3" t="str">
        <f t="shared" si="12"/>
        <v>FGU920144620100+</v>
      </c>
      <c r="G812" t="str">
        <f>IF(ISNA(VLOOKUP($F812,'Raw Data'!$A:$M,7,0)),"",VLOOKUP($F812,'Raw Data'!$A:$M,7,0))</f>
        <v/>
      </c>
      <c r="H812" t="str">
        <f>IF(ISNA(VLOOKUP($F812,'Raw Data'!$A:$M,8,0)),"",VLOOKUP($F812,'Raw Data'!$A:$M,8,0))</f>
        <v/>
      </c>
      <c r="I812" t="str">
        <f>IF(ISNA(VLOOKUP($F812,'Raw Data'!$A:$M,9,0)),"",VLOOKUP($F812,'Raw Data'!$A:$M,9,0))</f>
        <v/>
      </c>
      <c r="J812" t="str">
        <f>IF(ISNA(VLOOKUP($F812,'Raw Data'!$A:$M,10,0)),"",VLOOKUP($F812,'Raw Data'!$A:$M,10,0))</f>
        <v/>
      </c>
      <c r="K812" t="str">
        <f>IF(ISNA(VLOOKUP($F812,'Raw Data'!$A:$M,11,0)),"",VLOOKUP($F812,'Raw Data'!$A:$M,11,0))</f>
        <v/>
      </c>
      <c r="L812" t="str">
        <f>IF(ISNA(VLOOKUP($F812,'Raw Data'!$A:$M,12,0)),"",VLOOKUP($F812,'Raw Data'!$A:$M,12,0))</f>
        <v/>
      </c>
      <c r="M812" t="str">
        <f>IF(ISNA(VLOOKUP($F812,'Raw Data'!$A:$M,13,0)),"",VLOOKUP($F812,'Raw Data'!$A:$M,13,0))</f>
        <v/>
      </c>
    </row>
    <row r="813" spans="1:13" x14ac:dyDescent="0.25">
      <c r="A813" t="s">
        <v>38</v>
      </c>
      <c r="B813">
        <v>2014</v>
      </c>
      <c r="C813">
        <v>4</v>
      </c>
      <c r="D813" s="3">
        <v>640</v>
      </c>
      <c r="E813" s="3" t="s">
        <v>9</v>
      </c>
      <c r="F813" s="3" t="str">
        <f t="shared" si="12"/>
        <v>FGU920144640100+</v>
      </c>
      <c r="G813" t="str">
        <f>IF(ISNA(VLOOKUP($F813,'Raw Data'!$A:$M,7,0)),"",VLOOKUP($F813,'Raw Data'!$A:$M,7,0))</f>
        <v/>
      </c>
      <c r="H813" t="str">
        <f>IF(ISNA(VLOOKUP($F813,'Raw Data'!$A:$M,8,0)),"",VLOOKUP($F813,'Raw Data'!$A:$M,8,0))</f>
        <v/>
      </c>
      <c r="I813" t="str">
        <f>IF(ISNA(VLOOKUP($F813,'Raw Data'!$A:$M,9,0)),"",VLOOKUP($F813,'Raw Data'!$A:$M,9,0))</f>
        <v/>
      </c>
      <c r="J813" t="str">
        <f>IF(ISNA(VLOOKUP($F813,'Raw Data'!$A:$M,10,0)),"",VLOOKUP($F813,'Raw Data'!$A:$M,10,0))</f>
        <v/>
      </c>
      <c r="K813" t="str">
        <f>IF(ISNA(VLOOKUP($F813,'Raw Data'!$A:$M,11,0)),"",VLOOKUP($F813,'Raw Data'!$A:$M,11,0))</f>
        <v/>
      </c>
      <c r="L813" t="str">
        <f>IF(ISNA(VLOOKUP($F813,'Raw Data'!$A:$M,12,0)),"",VLOOKUP($F813,'Raw Data'!$A:$M,12,0))</f>
        <v/>
      </c>
      <c r="M813" t="str">
        <f>IF(ISNA(VLOOKUP($F813,'Raw Data'!$A:$M,13,0)),"",VLOOKUP($F813,'Raw Data'!$A:$M,13,0))</f>
        <v/>
      </c>
    </row>
    <row r="814" spans="1:13" x14ac:dyDescent="0.25">
      <c r="A814" t="s">
        <v>38</v>
      </c>
      <c r="B814">
        <v>2014</v>
      </c>
      <c r="C814">
        <v>4</v>
      </c>
      <c r="D814" s="3">
        <v>660</v>
      </c>
      <c r="E814" s="3" t="s">
        <v>9</v>
      </c>
      <c r="F814" s="3" t="str">
        <f t="shared" si="12"/>
        <v>FGU920144660100+</v>
      </c>
      <c r="G814" t="str">
        <f>IF(ISNA(VLOOKUP($F814,'Raw Data'!$A:$M,7,0)),"",VLOOKUP($F814,'Raw Data'!$A:$M,7,0))</f>
        <v/>
      </c>
      <c r="H814" t="str">
        <f>IF(ISNA(VLOOKUP($F814,'Raw Data'!$A:$M,8,0)),"",VLOOKUP($F814,'Raw Data'!$A:$M,8,0))</f>
        <v/>
      </c>
      <c r="I814" t="str">
        <f>IF(ISNA(VLOOKUP($F814,'Raw Data'!$A:$M,9,0)),"",VLOOKUP($F814,'Raw Data'!$A:$M,9,0))</f>
        <v/>
      </c>
      <c r="J814" t="str">
        <f>IF(ISNA(VLOOKUP($F814,'Raw Data'!$A:$M,10,0)),"",VLOOKUP($F814,'Raw Data'!$A:$M,10,0))</f>
        <v/>
      </c>
      <c r="K814" t="str">
        <f>IF(ISNA(VLOOKUP($F814,'Raw Data'!$A:$M,11,0)),"",VLOOKUP($F814,'Raw Data'!$A:$M,11,0))</f>
        <v/>
      </c>
      <c r="L814" t="str">
        <f>IF(ISNA(VLOOKUP($F814,'Raw Data'!$A:$M,12,0)),"",VLOOKUP($F814,'Raw Data'!$A:$M,12,0))</f>
        <v/>
      </c>
      <c r="M814" t="str">
        <f>IF(ISNA(VLOOKUP($F814,'Raw Data'!$A:$M,13,0)),"",VLOOKUP($F814,'Raw Data'!$A:$M,13,0))</f>
        <v/>
      </c>
    </row>
    <row r="815" spans="1:13" x14ac:dyDescent="0.25">
      <c r="A815" t="s">
        <v>38</v>
      </c>
      <c r="B815">
        <v>2014</v>
      </c>
      <c r="C815">
        <v>4</v>
      </c>
      <c r="D815" s="3">
        <v>680</v>
      </c>
      <c r="E815" s="3" t="s">
        <v>9</v>
      </c>
      <c r="F815" s="3" t="str">
        <f t="shared" si="12"/>
        <v>FGU920144680100+</v>
      </c>
      <c r="G815" t="str">
        <f>IF(ISNA(VLOOKUP($F815,'Raw Data'!$A:$M,7,0)),"",VLOOKUP($F815,'Raw Data'!$A:$M,7,0))</f>
        <v/>
      </c>
      <c r="H815" t="str">
        <f>IF(ISNA(VLOOKUP($F815,'Raw Data'!$A:$M,8,0)),"",VLOOKUP($F815,'Raw Data'!$A:$M,8,0))</f>
        <v/>
      </c>
      <c r="I815" t="str">
        <f>IF(ISNA(VLOOKUP($F815,'Raw Data'!$A:$M,9,0)),"",VLOOKUP($F815,'Raw Data'!$A:$M,9,0))</f>
        <v/>
      </c>
      <c r="J815" t="str">
        <f>IF(ISNA(VLOOKUP($F815,'Raw Data'!$A:$M,10,0)),"",VLOOKUP($F815,'Raw Data'!$A:$M,10,0))</f>
        <v/>
      </c>
      <c r="K815" t="str">
        <f>IF(ISNA(VLOOKUP($F815,'Raw Data'!$A:$M,11,0)),"",VLOOKUP($F815,'Raw Data'!$A:$M,11,0))</f>
        <v/>
      </c>
      <c r="L815" t="str">
        <f>IF(ISNA(VLOOKUP($F815,'Raw Data'!$A:$M,12,0)),"",VLOOKUP($F815,'Raw Data'!$A:$M,12,0))</f>
        <v/>
      </c>
      <c r="M815" t="str">
        <f>IF(ISNA(VLOOKUP($F815,'Raw Data'!$A:$M,13,0)),"",VLOOKUP($F815,'Raw Data'!$A:$M,13,0))</f>
        <v/>
      </c>
    </row>
    <row r="816" spans="1:13" x14ac:dyDescent="0.25">
      <c r="A816" t="s">
        <v>38</v>
      </c>
      <c r="B816">
        <v>2014</v>
      </c>
      <c r="C816">
        <v>4</v>
      </c>
      <c r="D816" s="3">
        <v>700</v>
      </c>
      <c r="E816" s="3" t="s">
        <v>9</v>
      </c>
      <c r="F816" s="3" t="str">
        <f t="shared" si="12"/>
        <v>FGU920144700100+</v>
      </c>
      <c r="G816" t="str">
        <f>IF(ISNA(VLOOKUP($F816,'Raw Data'!$A:$M,7,0)),"",VLOOKUP($F816,'Raw Data'!$A:$M,7,0))</f>
        <v/>
      </c>
      <c r="H816" t="str">
        <f>IF(ISNA(VLOOKUP($F816,'Raw Data'!$A:$M,8,0)),"",VLOOKUP($F816,'Raw Data'!$A:$M,8,0))</f>
        <v/>
      </c>
      <c r="I816" t="str">
        <f>IF(ISNA(VLOOKUP($F816,'Raw Data'!$A:$M,9,0)),"",VLOOKUP($F816,'Raw Data'!$A:$M,9,0))</f>
        <v/>
      </c>
      <c r="J816" t="str">
        <f>IF(ISNA(VLOOKUP($F816,'Raw Data'!$A:$M,10,0)),"",VLOOKUP($F816,'Raw Data'!$A:$M,10,0))</f>
        <v/>
      </c>
      <c r="K816" t="str">
        <f>IF(ISNA(VLOOKUP($F816,'Raw Data'!$A:$M,11,0)),"",VLOOKUP($F816,'Raw Data'!$A:$M,11,0))</f>
        <v/>
      </c>
      <c r="L816" t="str">
        <f>IF(ISNA(VLOOKUP($F816,'Raw Data'!$A:$M,12,0)),"",VLOOKUP($F816,'Raw Data'!$A:$M,12,0))</f>
        <v/>
      </c>
      <c r="M816" t="str">
        <f>IF(ISNA(VLOOKUP($F816,'Raw Data'!$A:$M,13,0)),"",VLOOKUP($F816,'Raw Data'!$A:$M,13,0))</f>
        <v/>
      </c>
    </row>
    <row r="817" spans="1:13" x14ac:dyDescent="0.25">
      <c r="A817" t="s">
        <v>38</v>
      </c>
      <c r="B817">
        <v>2014</v>
      </c>
      <c r="C817">
        <v>4</v>
      </c>
      <c r="D817" s="3">
        <v>720</v>
      </c>
      <c r="E817" s="3" t="s">
        <v>9</v>
      </c>
      <c r="F817" s="3" t="str">
        <f t="shared" si="12"/>
        <v>FGU920144720100+</v>
      </c>
      <c r="G817" t="str">
        <f>IF(ISNA(VLOOKUP($F817,'Raw Data'!$A:$M,7,0)),"",VLOOKUP($F817,'Raw Data'!$A:$M,7,0))</f>
        <v/>
      </c>
      <c r="H817" t="str">
        <f>IF(ISNA(VLOOKUP($F817,'Raw Data'!$A:$M,8,0)),"",VLOOKUP($F817,'Raw Data'!$A:$M,8,0))</f>
        <v/>
      </c>
      <c r="I817" t="str">
        <f>IF(ISNA(VLOOKUP($F817,'Raw Data'!$A:$M,9,0)),"",VLOOKUP($F817,'Raw Data'!$A:$M,9,0))</f>
        <v/>
      </c>
      <c r="J817" t="str">
        <f>IF(ISNA(VLOOKUP($F817,'Raw Data'!$A:$M,10,0)),"",VLOOKUP($F817,'Raw Data'!$A:$M,10,0))</f>
        <v/>
      </c>
      <c r="K817" t="str">
        <f>IF(ISNA(VLOOKUP($F817,'Raw Data'!$A:$M,11,0)),"",VLOOKUP($F817,'Raw Data'!$A:$M,11,0))</f>
        <v/>
      </c>
      <c r="L817" t="str">
        <f>IF(ISNA(VLOOKUP($F817,'Raw Data'!$A:$M,12,0)),"",VLOOKUP($F817,'Raw Data'!$A:$M,12,0))</f>
        <v/>
      </c>
      <c r="M817" t="str">
        <f>IF(ISNA(VLOOKUP($F817,'Raw Data'!$A:$M,13,0)),"",VLOOKUP($F817,'Raw Data'!$A:$M,13,0))</f>
        <v/>
      </c>
    </row>
    <row r="818" spans="1:13" x14ac:dyDescent="0.25">
      <c r="A818" t="s">
        <v>38</v>
      </c>
      <c r="B818">
        <v>2014</v>
      </c>
      <c r="C818">
        <v>4</v>
      </c>
      <c r="D818" s="3">
        <v>740</v>
      </c>
      <c r="E818" s="3" t="s">
        <v>9</v>
      </c>
      <c r="F818" s="3" t="str">
        <f t="shared" si="12"/>
        <v>FGU920144740100+</v>
      </c>
      <c r="G818" t="str">
        <f>IF(ISNA(VLOOKUP($F818,'Raw Data'!$A:$M,7,0)),"",VLOOKUP($F818,'Raw Data'!$A:$M,7,0))</f>
        <v/>
      </c>
      <c r="H818" t="str">
        <f>IF(ISNA(VLOOKUP($F818,'Raw Data'!$A:$M,8,0)),"",VLOOKUP($F818,'Raw Data'!$A:$M,8,0))</f>
        <v/>
      </c>
      <c r="I818" t="str">
        <f>IF(ISNA(VLOOKUP($F818,'Raw Data'!$A:$M,9,0)),"",VLOOKUP($F818,'Raw Data'!$A:$M,9,0))</f>
        <v/>
      </c>
      <c r="J818" t="str">
        <f>IF(ISNA(VLOOKUP($F818,'Raw Data'!$A:$M,10,0)),"",VLOOKUP($F818,'Raw Data'!$A:$M,10,0))</f>
        <v/>
      </c>
      <c r="K818" t="str">
        <f>IF(ISNA(VLOOKUP($F818,'Raw Data'!$A:$M,11,0)),"",VLOOKUP($F818,'Raw Data'!$A:$M,11,0))</f>
        <v/>
      </c>
      <c r="L818" t="str">
        <f>IF(ISNA(VLOOKUP($F818,'Raw Data'!$A:$M,12,0)),"",VLOOKUP($F818,'Raw Data'!$A:$M,12,0))</f>
        <v/>
      </c>
      <c r="M818" t="str">
        <f>IF(ISNA(VLOOKUP($F818,'Raw Data'!$A:$M,13,0)),"",VLOOKUP($F818,'Raw Data'!$A:$M,13,0))</f>
        <v/>
      </c>
    </row>
    <row r="819" spans="1:13" x14ac:dyDescent="0.25">
      <c r="A819" t="s">
        <v>38</v>
      </c>
      <c r="B819">
        <v>2014</v>
      </c>
      <c r="C819">
        <v>4</v>
      </c>
      <c r="D819" s="3">
        <v>760</v>
      </c>
      <c r="E819" s="3" t="s">
        <v>9</v>
      </c>
      <c r="F819" s="3" t="str">
        <f t="shared" si="12"/>
        <v>FGU920144760100+</v>
      </c>
      <c r="G819" t="str">
        <f>IF(ISNA(VLOOKUP($F819,'Raw Data'!$A:$M,7,0)),"",VLOOKUP($F819,'Raw Data'!$A:$M,7,0))</f>
        <v/>
      </c>
      <c r="H819" t="str">
        <f>IF(ISNA(VLOOKUP($F819,'Raw Data'!$A:$M,8,0)),"",VLOOKUP($F819,'Raw Data'!$A:$M,8,0))</f>
        <v/>
      </c>
      <c r="I819" t="str">
        <f>IF(ISNA(VLOOKUP($F819,'Raw Data'!$A:$M,9,0)),"",VLOOKUP($F819,'Raw Data'!$A:$M,9,0))</f>
        <v/>
      </c>
      <c r="J819" t="str">
        <f>IF(ISNA(VLOOKUP($F819,'Raw Data'!$A:$M,10,0)),"",VLOOKUP($F819,'Raw Data'!$A:$M,10,0))</f>
        <v/>
      </c>
      <c r="K819" t="str">
        <f>IF(ISNA(VLOOKUP($F819,'Raw Data'!$A:$M,11,0)),"",VLOOKUP($F819,'Raw Data'!$A:$M,11,0))</f>
        <v/>
      </c>
      <c r="L819" t="str">
        <f>IF(ISNA(VLOOKUP($F819,'Raw Data'!$A:$M,12,0)),"",VLOOKUP($F819,'Raw Data'!$A:$M,12,0))</f>
        <v/>
      </c>
      <c r="M819" t="str">
        <f>IF(ISNA(VLOOKUP($F819,'Raw Data'!$A:$M,13,0)),"",VLOOKUP($F819,'Raw Data'!$A:$M,13,0))</f>
        <v/>
      </c>
    </row>
    <row r="820" spans="1:13" x14ac:dyDescent="0.25">
      <c r="A820" t="s">
        <v>38</v>
      </c>
      <c r="B820">
        <v>2014</v>
      </c>
      <c r="C820">
        <v>4</v>
      </c>
      <c r="D820" s="3">
        <v>780</v>
      </c>
      <c r="E820" s="3" t="s">
        <v>9</v>
      </c>
      <c r="F820" s="3" t="str">
        <f t="shared" si="12"/>
        <v>FGU920144780100+</v>
      </c>
      <c r="G820" t="str">
        <f>IF(ISNA(VLOOKUP($F820,'Raw Data'!$A:$M,7,0)),"",VLOOKUP($F820,'Raw Data'!$A:$M,7,0))</f>
        <v/>
      </c>
      <c r="H820" t="str">
        <f>IF(ISNA(VLOOKUP($F820,'Raw Data'!$A:$M,8,0)),"",VLOOKUP($F820,'Raw Data'!$A:$M,8,0))</f>
        <v/>
      </c>
      <c r="I820" t="str">
        <f>IF(ISNA(VLOOKUP($F820,'Raw Data'!$A:$M,9,0)),"",VLOOKUP($F820,'Raw Data'!$A:$M,9,0))</f>
        <v/>
      </c>
      <c r="J820" t="str">
        <f>IF(ISNA(VLOOKUP($F820,'Raw Data'!$A:$M,10,0)),"",VLOOKUP($F820,'Raw Data'!$A:$M,10,0))</f>
        <v/>
      </c>
      <c r="K820" t="str">
        <f>IF(ISNA(VLOOKUP($F820,'Raw Data'!$A:$M,11,0)),"",VLOOKUP($F820,'Raw Data'!$A:$M,11,0))</f>
        <v/>
      </c>
      <c r="L820" t="str">
        <f>IF(ISNA(VLOOKUP($F820,'Raw Data'!$A:$M,12,0)),"",VLOOKUP($F820,'Raw Data'!$A:$M,12,0))</f>
        <v/>
      </c>
      <c r="M820" t="str">
        <f>IF(ISNA(VLOOKUP($F820,'Raw Data'!$A:$M,13,0)),"",VLOOKUP($F820,'Raw Data'!$A:$M,13,0))</f>
        <v/>
      </c>
    </row>
    <row r="821" spans="1:13" x14ac:dyDescent="0.25">
      <c r="A821" t="s">
        <v>38</v>
      </c>
      <c r="B821">
        <v>2012</v>
      </c>
      <c r="C821">
        <v>4.5</v>
      </c>
      <c r="D821" s="3">
        <v>620</v>
      </c>
      <c r="E821" s="3">
        <v>80</v>
      </c>
      <c r="F821" s="3" t="str">
        <f t="shared" si="12"/>
        <v>FGU920124.562080</v>
      </c>
      <c r="G821" t="str">
        <f>IF(ISNA(VLOOKUP($F821,'Raw Data'!$A:$M,7,0)),"",VLOOKUP($F821,'Raw Data'!$A:$M,7,0))</f>
        <v/>
      </c>
      <c r="H821" t="str">
        <f>IF(ISNA(VLOOKUP($F821,'Raw Data'!$A:$M,8,0)),"",VLOOKUP($F821,'Raw Data'!$A:$M,8,0))</f>
        <v/>
      </c>
      <c r="I821" t="str">
        <f>IF(ISNA(VLOOKUP($F821,'Raw Data'!$A:$M,9,0)),"",VLOOKUP($F821,'Raw Data'!$A:$M,9,0))</f>
        <v/>
      </c>
      <c r="J821" t="str">
        <f>IF(ISNA(VLOOKUP($F821,'Raw Data'!$A:$M,10,0)),"",VLOOKUP($F821,'Raw Data'!$A:$M,10,0))</f>
        <v/>
      </c>
      <c r="K821" t="str">
        <f>IF(ISNA(VLOOKUP($F821,'Raw Data'!$A:$M,11,0)),"",VLOOKUP($F821,'Raw Data'!$A:$M,11,0))</f>
        <v/>
      </c>
      <c r="L821" t="str">
        <f>IF(ISNA(VLOOKUP($F821,'Raw Data'!$A:$M,12,0)),"",VLOOKUP($F821,'Raw Data'!$A:$M,12,0))</f>
        <v/>
      </c>
      <c r="M821" t="str">
        <f>IF(ISNA(VLOOKUP($F821,'Raw Data'!$A:$M,13,0)),"",VLOOKUP($F821,'Raw Data'!$A:$M,13,0))</f>
        <v/>
      </c>
    </row>
    <row r="822" spans="1:13" x14ac:dyDescent="0.25">
      <c r="A822" t="s">
        <v>38</v>
      </c>
      <c r="B822">
        <v>2012</v>
      </c>
      <c r="C822">
        <v>4.5</v>
      </c>
      <c r="D822" s="3">
        <v>640</v>
      </c>
      <c r="E822" s="3">
        <v>80</v>
      </c>
      <c r="F822" s="3" t="str">
        <f t="shared" si="12"/>
        <v>FGU920124.564080</v>
      </c>
      <c r="G822" t="str">
        <f>IF(ISNA(VLOOKUP($F822,'Raw Data'!$A:$M,7,0)),"",VLOOKUP($F822,'Raw Data'!$A:$M,7,0))</f>
        <v/>
      </c>
      <c r="H822" t="str">
        <f>IF(ISNA(VLOOKUP($F822,'Raw Data'!$A:$M,8,0)),"",VLOOKUP($F822,'Raw Data'!$A:$M,8,0))</f>
        <v/>
      </c>
      <c r="I822" t="str">
        <f>IF(ISNA(VLOOKUP($F822,'Raw Data'!$A:$M,9,0)),"",VLOOKUP($F822,'Raw Data'!$A:$M,9,0))</f>
        <v/>
      </c>
      <c r="J822" t="str">
        <f>IF(ISNA(VLOOKUP($F822,'Raw Data'!$A:$M,10,0)),"",VLOOKUP($F822,'Raw Data'!$A:$M,10,0))</f>
        <v/>
      </c>
      <c r="K822" t="str">
        <f>IF(ISNA(VLOOKUP($F822,'Raw Data'!$A:$M,11,0)),"",VLOOKUP($F822,'Raw Data'!$A:$M,11,0))</f>
        <v/>
      </c>
      <c r="L822" t="str">
        <f>IF(ISNA(VLOOKUP($F822,'Raw Data'!$A:$M,12,0)),"",VLOOKUP($F822,'Raw Data'!$A:$M,12,0))</f>
        <v/>
      </c>
      <c r="M822" t="str">
        <f>IF(ISNA(VLOOKUP($F822,'Raw Data'!$A:$M,13,0)),"",VLOOKUP($F822,'Raw Data'!$A:$M,13,0))</f>
        <v/>
      </c>
    </row>
    <row r="823" spans="1:13" x14ac:dyDescent="0.25">
      <c r="A823" t="s">
        <v>38</v>
      </c>
      <c r="B823">
        <v>2012</v>
      </c>
      <c r="C823">
        <v>4.5</v>
      </c>
      <c r="D823" s="3">
        <v>660</v>
      </c>
      <c r="E823" s="3">
        <v>80</v>
      </c>
      <c r="F823" s="3" t="str">
        <f t="shared" si="12"/>
        <v>FGU920124.566080</v>
      </c>
      <c r="G823" t="str">
        <f>IF(ISNA(VLOOKUP($F823,'Raw Data'!$A:$M,7,0)),"",VLOOKUP($F823,'Raw Data'!$A:$M,7,0))</f>
        <v/>
      </c>
      <c r="H823" t="str">
        <f>IF(ISNA(VLOOKUP($F823,'Raw Data'!$A:$M,8,0)),"",VLOOKUP($F823,'Raw Data'!$A:$M,8,0))</f>
        <v/>
      </c>
      <c r="I823" t="str">
        <f>IF(ISNA(VLOOKUP($F823,'Raw Data'!$A:$M,9,0)),"",VLOOKUP($F823,'Raw Data'!$A:$M,9,0))</f>
        <v/>
      </c>
      <c r="J823" t="str">
        <f>IF(ISNA(VLOOKUP($F823,'Raw Data'!$A:$M,10,0)),"",VLOOKUP($F823,'Raw Data'!$A:$M,10,0))</f>
        <v/>
      </c>
      <c r="K823" t="str">
        <f>IF(ISNA(VLOOKUP($F823,'Raw Data'!$A:$M,11,0)),"",VLOOKUP($F823,'Raw Data'!$A:$M,11,0))</f>
        <v/>
      </c>
      <c r="L823" t="str">
        <f>IF(ISNA(VLOOKUP($F823,'Raw Data'!$A:$M,12,0)),"",VLOOKUP($F823,'Raw Data'!$A:$M,12,0))</f>
        <v/>
      </c>
      <c r="M823" t="str">
        <f>IF(ISNA(VLOOKUP($F823,'Raw Data'!$A:$M,13,0)),"",VLOOKUP($F823,'Raw Data'!$A:$M,13,0))</f>
        <v/>
      </c>
    </row>
    <row r="824" spans="1:13" x14ac:dyDescent="0.25">
      <c r="A824" t="s">
        <v>38</v>
      </c>
      <c r="B824">
        <v>2012</v>
      </c>
      <c r="C824">
        <v>4.5</v>
      </c>
      <c r="D824" s="3">
        <v>680</v>
      </c>
      <c r="E824" s="3">
        <v>80</v>
      </c>
      <c r="F824" s="3" t="str">
        <f t="shared" si="12"/>
        <v>FGU920124.568080</v>
      </c>
      <c r="G824" t="str">
        <f>IF(ISNA(VLOOKUP($F824,'Raw Data'!$A:$M,7,0)),"",VLOOKUP($F824,'Raw Data'!$A:$M,7,0))</f>
        <v/>
      </c>
      <c r="H824" t="str">
        <f>IF(ISNA(VLOOKUP($F824,'Raw Data'!$A:$M,8,0)),"",VLOOKUP($F824,'Raw Data'!$A:$M,8,0))</f>
        <v/>
      </c>
      <c r="I824" t="str">
        <f>IF(ISNA(VLOOKUP($F824,'Raw Data'!$A:$M,9,0)),"",VLOOKUP($F824,'Raw Data'!$A:$M,9,0))</f>
        <v/>
      </c>
      <c r="J824" t="str">
        <f>IF(ISNA(VLOOKUP($F824,'Raw Data'!$A:$M,10,0)),"",VLOOKUP($F824,'Raw Data'!$A:$M,10,0))</f>
        <v/>
      </c>
      <c r="K824" t="str">
        <f>IF(ISNA(VLOOKUP($F824,'Raw Data'!$A:$M,11,0)),"",VLOOKUP($F824,'Raw Data'!$A:$M,11,0))</f>
        <v/>
      </c>
      <c r="L824" t="str">
        <f>IF(ISNA(VLOOKUP($F824,'Raw Data'!$A:$M,12,0)),"",VLOOKUP($F824,'Raw Data'!$A:$M,12,0))</f>
        <v/>
      </c>
      <c r="M824" t="str">
        <f>IF(ISNA(VLOOKUP($F824,'Raw Data'!$A:$M,13,0)),"",VLOOKUP($F824,'Raw Data'!$A:$M,13,0))</f>
        <v/>
      </c>
    </row>
    <row r="825" spans="1:13" x14ac:dyDescent="0.25">
      <c r="A825" t="s">
        <v>38</v>
      </c>
      <c r="B825">
        <v>2012</v>
      </c>
      <c r="C825">
        <v>4.5</v>
      </c>
      <c r="D825" s="3">
        <v>700</v>
      </c>
      <c r="E825" s="3">
        <v>80</v>
      </c>
      <c r="F825" s="3" t="str">
        <f t="shared" si="12"/>
        <v>FGU920124.570080</v>
      </c>
      <c r="G825" t="str">
        <f>IF(ISNA(VLOOKUP($F825,'Raw Data'!$A:$M,7,0)),"",VLOOKUP($F825,'Raw Data'!$A:$M,7,0))</f>
        <v/>
      </c>
      <c r="H825" t="str">
        <f>IF(ISNA(VLOOKUP($F825,'Raw Data'!$A:$M,8,0)),"",VLOOKUP($F825,'Raw Data'!$A:$M,8,0))</f>
        <v/>
      </c>
      <c r="I825" t="str">
        <f>IF(ISNA(VLOOKUP($F825,'Raw Data'!$A:$M,9,0)),"",VLOOKUP($F825,'Raw Data'!$A:$M,9,0))</f>
        <v/>
      </c>
      <c r="J825" t="str">
        <f>IF(ISNA(VLOOKUP($F825,'Raw Data'!$A:$M,10,0)),"",VLOOKUP($F825,'Raw Data'!$A:$M,10,0))</f>
        <v/>
      </c>
      <c r="K825" t="str">
        <f>IF(ISNA(VLOOKUP($F825,'Raw Data'!$A:$M,11,0)),"",VLOOKUP($F825,'Raw Data'!$A:$M,11,0))</f>
        <v/>
      </c>
      <c r="L825" t="str">
        <f>IF(ISNA(VLOOKUP($F825,'Raw Data'!$A:$M,12,0)),"",VLOOKUP($F825,'Raw Data'!$A:$M,12,0))</f>
        <v/>
      </c>
      <c r="M825" t="str">
        <f>IF(ISNA(VLOOKUP($F825,'Raw Data'!$A:$M,13,0)),"",VLOOKUP($F825,'Raw Data'!$A:$M,13,0))</f>
        <v/>
      </c>
    </row>
    <row r="826" spans="1:13" x14ac:dyDescent="0.25">
      <c r="A826" t="s">
        <v>38</v>
      </c>
      <c r="B826">
        <v>2012</v>
      </c>
      <c r="C826">
        <v>4.5</v>
      </c>
      <c r="D826" s="3">
        <v>720</v>
      </c>
      <c r="E826" s="3">
        <v>80</v>
      </c>
      <c r="F826" s="3" t="str">
        <f t="shared" si="12"/>
        <v>FGU920124.572080</v>
      </c>
      <c r="G826" t="str">
        <f>IF(ISNA(VLOOKUP($F826,'Raw Data'!$A:$M,7,0)),"",VLOOKUP($F826,'Raw Data'!$A:$M,7,0))</f>
        <v/>
      </c>
      <c r="H826" t="str">
        <f>IF(ISNA(VLOOKUP($F826,'Raw Data'!$A:$M,8,0)),"",VLOOKUP($F826,'Raw Data'!$A:$M,8,0))</f>
        <v/>
      </c>
      <c r="I826" t="str">
        <f>IF(ISNA(VLOOKUP($F826,'Raw Data'!$A:$M,9,0)),"",VLOOKUP($F826,'Raw Data'!$A:$M,9,0))</f>
        <v/>
      </c>
      <c r="J826" t="str">
        <f>IF(ISNA(VLOOKUP($F826,'Raw Data'!$A:$M,10,0)),"",VLOOKUP($F826,'Raw Data'!$A:$M,10,0))</f>
        <v/>
      </c>
      <c r="K826" t="str">
        <f>IF(ISNA(VLOOKUP($F826,'Raw Data'!$A:$M,11,0)),"",VLOOKUP($F826,'Raw Data'!$A:$M,11,0))</f>
        <v/>
      </c>
      <c r="L826" t="str">
        <f>IF(ISNA(VLOOKUP($F826,'Raw Data'!$A:$M,12,0)),"",VLOOKUP($F826,'Raw Data'!$A:$M,12,0))</f>
        <v/>
      </c>
      <c r="M826" t="str">
        <f>IF(ISNA(VLOOKUP($F826,'Raw Data'!$A:$M,13,0)),"",VLOOKUP($F826,'Raw Data'!$A:$M,13,0))</f>
        <v/>
      </c>
    </row>
    <row r="827" spans="1:13" x14ac:dyDescent="0.25">
      <c r="A827" t="s">
        <v>38</v>
      </c>
      <c r="B827">
        <v>2012</v>
      </c>
      <c r="C827">
        <v>4.5</v>
      </c>
      <c r="D827" s="3">
        <v>740</v>
      </c>
      <c r="E827" s="3">
        <v>80</v>
      </c>
      <c r="F827" s="3" t="str">
        <f t="shared" si="12"/>
        <v>FGU920124.574080</v>
      </c>
      <c r="G827" t="str">
        <f>IF(ISNA(VLOOKUP($F827,'Raw Data'!$A:$M,7,0)),"",VLOOKUP($F827,'Raw Data'!$A:$M,7,0))</f>
        <v/>
      </c>
      <c r="H827" t="str">
        <f>IF(ISNA(VLOOKUP($F827,'Raw Data'!$A:$M,8,0)),"",VLOOKUP($F827,'Raw Data'!$A:$M,8,0))</f>
        <v/>
      </c>
      <c r="I827" t="str">
        <f>IF(ISNA(VLOOKUP($F827,'Raw Data'!$A:$M,9,0)),"",VLOOKUP($F827,'Raw Data'!$A:$M,9,0))</f>
        <v/>
      </c>
      <c r="J827" t="str">
        <f>IF(ISNA(VLOOKUP($F827,'Raw Data'!$A:$M,10,0)),"",VLOOKUP($F827,'Raw Data'!$A:$M,10,0))</f>
        <v/>
      </c>
      <c r="K827" t="str">
        <f>IF(ISNA(VLOOKUP($F827,'Raw Data'!$A:$M,11,0)),"",VLOOKUP($F827,'Raw Data'!$A:$M,11,0))</f>
        <v/>
      </c>
      <c r="L827" t="str">
        <f>IF(ISNA(VLOOKUP($F827,'Raw Data'!$A:$M,12,0)),"",VLOOKUP($F827,'Raw Data'!$A:$M,12,0))</f>
        <v/>
      </c>
      <c r="M827" t="str">
        <f>IF(ISNA(VLOOKUP($F827,'Raw Data'!$A:$M,13,0)),"",VLOOKUP($F827,'Raw Data'!$A:$M,13,0))</f>
        <v/>
      </c>
    </row>
    <row r="828" spans="1:13" x14ac:dyDescent="0.25">
      <c r="A828" t="s">
        <v>38</v>
      </c>
      <c r="B828">
        <v>2012</v>
      </c>
      <c r="C828">
        <v>4.5</v>
      </c>
      <c r="D828" s="3">
        <v>760</v>
      </c>
      <c r="E828" s="3">
        <v>80</v>
      </c>
      <c r="F828" s="3" t="str">
        <f t="shared" si="12"/>
        <v>FGU920124.576080</v>
      </c>
      <c r="G828" t="str">
        <f>IF(ISNA(VLOOKUP($F828,'Raw Data'!$A:$M,7,0)),"",VLOOKUP($F828,'Raw Data'!$A:$M,7,0))</f>
        <v/>
      </c>
      <c r="H828" t="str">
        <f>IF(ISNA(VLOOKUP($F828,'Raw Data'!$A:$M,8,0)),"",VLOOKUP($F828,'Raw Data'!$A:$M,8,0))</f>
        <v/>
      </c>
      <c r="I828" t="str">
        <f>IF(ISNA(VLOOKUP($F828,'Raw Data'!$A:$M,9,0)),"",VLOOKUP($F828,'Raw Data'!$A:$M,9,0))</f>
        <v/>
      </c>
      <c r="J828" t="str">
        <f>IF(ISNA(VLOOKUP($F828,'Raw Data'!$A:$M,10,0)),"",VLOOKUP($F828,'Raw Data'!$A:$M,10,0))</f>
        <v/>
      </c>
      <c r="K828" t="str">
        <f>IF(ISNA(VLOOKUP($F828,'Raw Data'!$A:$M,11,0)),"",VLOOKUP($F828,'Raw Data'!$A:$M,11,0))</f>
        <v/>
      </c>
      <c r="L828" t="str">
        <f>IF(ISNA(VLOOKUP($F828,'Raw Data'!$A:$M,12,0)),"",VLOOKUP($F828,'Raw Data'!$A:$M,12,0))</f>
        <v/>
      </c>
      <c r="M828" t="str">
        <f>IF(ISNA(VLOOKUP($F828,'Raw Data'!$A:$M,13,0)),"",VLOOKUP($F828,'Raw Data'!$A:$M,13,0))</f>
        <v/>
      </c>
    </row>
    <row r="829" spans="1:13" x14ac:dyDescent="0.25">
      <c r="A829" t="s">
        <v>38</v>
      </c>
      <c r="B829">
        <v>2012</v>
      </c>
      <c r="C829">
        <v>4.5</v>
      </c>
      <c r="D829" s="3">
        <v>780</v>
      </c>
      <c r="E829" s="3">
        <v>80</v>
      </c>
      <c r="F829" s="3" t="str">
        <f t="shared" si="12"/>
        <v>FGU920124.578080</v>
      </c>
      <c r="G829" t="str">
        <f>IF(ISNA(VLOOKUP($F829,'Raw Data'!$A:$M,7,0)),"",VLOOKUP($F829,'Raw Data'!$A:$M,7,0))</f>
        <v/>
      </c>
      <c r="H829" t="str">
        <f>IF(ISNA(VLOOKUP($F829,'Raw Data'!$A:$M,8,0)),"",VLOOKUP($F829,'Raw Data'!$A:$M,8,0))</f>
        <v/>
      </c>
      <c r="I829" t="str">
        <f>IF(ISNA(VLOOKUP($F829,'Raw Data'!$A:$M,9,0)),"",VLOOKUP($F829,'Raw Data'!$A:$M,9,0))</f>
        <v/>
      </c>
      <c r="J829" t="str">
        <f>IF(ISNA(VLOOKUP($F829,'Raw Data'!$A:$M,10,0)),"",VLOOKUP($F829,'Raw Data'!$A:$M,10,0))</f>
        <v/>
      </c>
      <c r="K829" t="str">
        <f>IF(ISNA(VLOOKUP($F829,'Raw Data'!$A:$M,11,0)),"",VLOOKUP($F829,'Raw Data'!$A:$M,11,0))</f>
        <v/>
      </c>
      <c r="L829" t="str">
        <f>IF(ISNA(VLOOKUP($F829,'Raw Data'!$A:$M,12,0)),"",VLOOKUP($F829,'Raw Data'!$A:$M,12,0))</f>
        <v/>
      </c>
      <c r="M829" t="str">
        <f>IF(ISNA(VLOOKUP($F829,'Raw Data'!$A:$M,13,0)),"",VLOOKUP($F829,'Raw Data'!$A:$M,13,0))</f>
        <v/>
      </c>
    </row>
    <row r="830" spans="1:13" x14ac:dyDescent="0.25">
      <c r="A830" t="s">
        <v>38</v>
      </c>
      <c r="B830">
        <v>2012</v>
      </c>
      <c r="C830">
        <v>4.5</v>
      </c>
      <c r="D830" s="3">
        <v>620</v>
      </c>
      <c r="E830" s="3">
        <v>85</v>
      </c>
      <c r="F830" s="3" t="str">
        <f t="shared" si="12"/>
        <v>FGU920124.562085</v>
      </c>
      <c r="G830" t="str">
        <f>IF(ISNA(VLOOKUP($F830,'Raw Data'!$A:$M,7,0)),"",VLOOKUP($F830,'Raw Data'!$A:$M,7,0))</f>
        <v/>
      </c>
      <c r="H830" t="str">
        <f>IF(ISNA(VLOOKUP($F830,'Raw Data'!$A:$M,8,0)),"",VLOOKUP($F830,'Raw Data'!$A:$M,8,0))</f>
        <v/>
      </c>
      <c r="I830" t="str">
        <f>IF(ISNA(VLOOKUP($F830,'Raw Data'!$A:$M,9,0)),"",VLOOKUP($F830,'Raw Data'!$A:$M,9,0))</f>
        <v/>
      </c>
      <c r="J830" t="str">
        <f>IF(ISNA(VLOOKUP($F830,'Raw Data'!$A:$M,10,0)),"",VLOOKUP($F830,'Raw Data'!$A:$M,10,0))</f>
        <v/>
      </c>
      <c r="K830" t="str">
        <f>IF(ISNA(VLOOKUP($F830,'Raw Data'!$A:$M,11,0)),"",VLOOKUP($F830,'Raw Data'!$A:$M,11,0))</f>
        <v/>
      </c>
      <c r="L830" t="str">
        <f>IF(ISNA(VLOOKUP($F830,'Raw Data'!$A:$M,12,0)),"",VLOOKUP($F830,'Raw Data'!$A:$M,12,0))</f>
        <v/>
      </c>
      <c r="M830" t="str">
        <f>IF(ISNA(VLOOKUP($F830,'Raw Data'!$A:$M,13,0)),"",VLOOKUP($F830,'Raw Data'!$A:$M,13,0))</f>
        <v/>
      </c>
    </row>
    <row r="831" spans="1:13" x14ac:dyDescent="0.25">
      <c r="A831" t="s">
        <v>38</v>
      </c>
      <c r="B831">
        <v>2012</v>
      </c>
      <c r="C831">
        <v>4.5</v>
      </c>
      <c r="D831" s="3">
        <v>640</v>
      </c>
      <c r="E831" s="3">
        <v>85</v>
      </c>
      <c r="F831" s="3" t="str">
        <f t="shared" si="12"/>
        <v>FGU920124.564085</v>
      </c>
      <c r="G831" t="str">
        <f>IF(ISNA(VLOOKUP($F831,'Raw Data'!$A:$M,7,0)),"",VLOOKUP($F831,'Raw Data'!$A:$M,7,0))</f>
        <v/>
      </c>
      <c r="H831" t="str">
        <f>IF(ISNA(VLOOKUP($F831,'Raw Data'!$A:$M,8,0)),"",VLOOKUP($F831,'Raw Data'!$A:$M,8,0))</f>
        <v/>
      </c>
      <c r="I831" t="str">
        <f>IF(ISNA(VLOOKUP($F831,'Raw Data'!$A:$M,9,0)),"",VLOOKUP($F831,'Raw Data'!$A:$M,9,0))</f>
        <v/>
      </c>
      <c r="J831" t="str">
        <f>IF(ISNA(VLOOKUP($F831,'Raw Data'!$A:$M,10,0)),"",VLOOKUP($F831,'Raw Data'!$A:$M,10,0))</f>
        <v/>
      </c>
      <c r="K831" t="str">
        <f>IF(ISNA(VLOOKUP($F831,'Raw Data'!$A:$M,11,0)),"",VLOOKUP($F831,'Raw Data'!$A:$M,11,0))</f>
        <v/>
      </c>
      <c r="L831" t="str">
        <f>IF(ISNA(VLOOKUP($F831,'Raw Data'!$A:$M,12,0)),"",VLOOKUP($F831,'Raw Data'!$A:$M,12,0))</f>
        <v/>
      </c>
      <c r="M831" t="str">
        <f>IF(ISNA(VLOOKUP($F831,'Raw Data'!$A:$M,13,0)),"",VLOOKUP($F831,'Raw Data'!$A:$M,13,0))</f>
        <v/>
      </c>
    </row>
    <row r="832" spans="1:13" x14ac:dyDescent="0.25">
      <c r="A832" t="s">
        <v>38</v>
      </c>
      <c r="B832">
        <v>2012</v>
      </c>
      <c r="C832">
        <v>4.5</v>
      </c>
      <c r="D832" s="3">
        <v>660</v>
      </c>
      <c r="E832" s="3">
        <v>85</v>
      </c>
      <c r="F832" s="3" t="str">
        <f t="shared" si="12"/>
        <v>FGU920124.566085</v>
      </c>
      <c r="G832" t="str">
        <f>IF(ISNA(VLOOKUP($F832,'Raw Data'!$A:$M,7,0)),"",VLOOKUP($F832,'Raw Data'!$A:$M,7,0))</f>
        <v/>
      </c>
      <c r="H832" t="str">
        <f>IF(ISNA(VLOOKUP($F832,'Raw Data'!$A:$M,8,0)),"",VLOOKUP($F832,'Raw Data'!$A:$M,8,0))</f>
        <v/>
      </c>
      <c r="I832" t="str">
        <f>IF(ISNA(VLOOKUP($F832,'Raw Data'!$A:$M,9,0)),"",VLOOKUP($F832,'Raw Data'!$A:$M,9,0))</f>
        <v/>
      </c>
      <c r="J832" t="str">
        <f>IF(ISNA(VLOOKUP($F832,'Raw Data'!$A:$M,10,0)),"",VLOOKUP($F832,'Raw Data'!$A:$M,10,0))</f>
        <v/>
      </c>
      <c r="K832" t="str">
        <f>IF(ISNA(VLOOKUP($F832,'Raw Data'!$A:$M,11,0)),"",VLOOKUP($F832,'Raw Data'!$A:$M,11,0))</f>
        <v/>
      </c>
      <c r="L832" t="str">
        <f>IF(ISNA(VLOOKUP($F832,'Raw Data'!$A:$M,12,0)),"",VLOOKUP($F832,'Raw Data'!$A:$M,12,0))</f>
        <v/>
      </c>
      <c r="M832" t="str">
        <f>IF(ISNA(VLOOKUP($F832,'Raw Data'!$A:$M,13,0)),"",VLOOKUP($F832,'Raw Data'!$A:$M,13,0))</f>
        <v/>
      </c>
    </row>
    <row r="833" spans="1:13" x14ac:dyDescent="0.25">
      <c r="A833" t="s">
        <v>38</v>
      </c>
      <c r="B833">
        <v>2012</v>
      </c>
      <c r="C833">
        <v>4.5</v>
      </c>
      <c r="D833" s="3">
        <v>680</v>
      </c>
      <c r="E833" s="3">
        <v>85</v>
      </c>
      <c r="F833" s="3" t="str">
        <f t="shared" si="12"/>
        <v>FGU920124.568085</v>
      </c>
      <c r="G833" t="str">
        <f>IF(ISNA(VLOOKUP($F833,'Raw Data'!$A:$M,7,0)),"",VLOOKUP($F833,'Raw Data'!$A:$M,7,0))</f>
        <v/>
      </c>
      <c r="H833" t="str">
        <f>IF(ISNA(VLOOKUP($F833,'Raw Data'!$A:$M,8,0)),"",VLOOKUP($F833,'Raw Data'!$A:$M,8,0))</f>
        <v/>
      </c>
      <c r="I833" t="str">
        <f>IF(ISNA(VLOOKUP($F833,'Raw Data'!$A:$M,9,0)),"",VLOOKUP($F833,'Raw Data'!$A:$M,9,0))</f>
        <v/>
      </c>
      <c r="J833" t="str">
        <f>IF(ISNA(VLOOKUP($F833,'Raw Data'!$A:$M,10,0)),"",VLOOKUP($F833,'Raw Data'!$A:$M,10,0))</f>
        <v/>
      </c>
      <c r="K833" t="str">
        <f>IF(ISNA(VLOOKUP($F833,'Raw Data'!$A:$M,11,0)),"",VLOOKUP($F833,'Raw Data'!$A:$M,11,0))</f>
        <v/>
      </c>
      <c r="L833" t="str">
        <f>IF(ISNA(VLOOKUP($F833,'Raw Data'!$A:$M,12,0)),"",VLOOKUP($F833,'Raw Data'!$A:$M,12,0))</f>
        <v/>
      </c>
      <c r="M833" t="str">
        <f>IF(ISNA(VLOOKUP($F833,'Raw Data'!$A:$M,13,0)),"",VLOOKUP($F833,'Raw Data'!$A:$M,13,0))</f>
        <v/>
      </c>
    </row>
    <row r="834" spans="1:13" x14ac:dyDescent="0.25">
      <c r="A834" t="s">
        <v>38</v>
      </c>
      <c r="B834">
        <v>2012</v>
      </c>
      <c r="C834">
        <v>4.5</v>
      </c>
      <c r="D834" s="3">
        <v>700</v>
      </c>
      <c r="E834" s="3">
        <v>85</v>
      </c>
      <c r="F834" s="3" t="str">
        <f t="shared" si="12"/>
        <v>FGU920124.570085</v>
      </c>
      <c r="G834" t="str">
        <f>IF(ISNA(VLOOKUP($F834,'Raw Data'!$A:$M,7,0)),"",VLOOKUP($F834,'Raw Data'!$A:$M,7,0))</f>
        <v/>
      </c>
      <c r="H834" t="str">
        <f>IF(ISNA(VLOOKUP($F834,'Raw Data'!$A:$M,8,0)),"",VLOOKUP($F834,'Raw Data'!$A:$M,8,0))</f>
        <v/>
      </c>
      <c r="I834" t="str">
        <f>IF(ISNA(VLOOKUP($F834,'Raw Data'!$A:$M,9,0)),"",VLOOKUP($F834,'Raw Data'!$A:$M,9,0))</f>
        <v/>
      </c>
      <c r="J834" t="str">
        <f>IF(ISNA(VLOOKUP($F834,'Raw Data'!$A:$M,10,0)),"",VLOOKUP($F834,'Raw Data'!$A:$M,10,0))</f>
        <v/>
      </c>
      <c r="K834" t="str">
        <f>IF(ISNA(VLOOKUP($F834,'Raw Data'!$A:$M,11,0)),"",VLOOKUP($F834,'Raw Data'!$A:$M,11,0))</f>
        <v/>
      </c>
      <c r="L834" t="str">
        <f>IF(ISNA(VLOOKUP($F834,'Raw Data'!$A:$M,12,0)),"",VLOOKUP($F834,'Raw Data'!$A:$M,12,0))</f>
        <v/>
      </c>
      <c r="M834" t="str">
        <f>IF(ISNA(VLOOKUP($F834,'Raw Data'!$A:$M,13,0)),"",VLOOKUP($F834,'Raw Data'!$A:$M,13,0))</f>
        <v/>
      </c>
    </row>
    <row r="835" spans="1:13" x14ac:dyDescent="0.25">
      <c r="A835" t="s">
        <v>38</v>
      </c>
      <c r="B835">
        <v>2012</v>
      </c>
      <c r="C835">
        <v>4.5</v>
      </c>
      <c r="D835" s="3">
        <v>720</v>
      </c>
      <c r="E835" s="3">
        <v>85</v>
      </c>
      <c r="F835" s="3" t="str">
        <f t="shared" si="12"/>
        <v>FGU920124.572085</v>
      </c>
      <c r="G835" t="str">
        <f>IF(ISNA(VLOOKUP($F835,'Raw Data'!$A:$M,7,0)),"",VLOOKUP($F835,'Raw Data'!$A:$M,7,0))</f>
        <v/>
      </c>
      <c r="H835" t="str">
        <f>IF(ISNA(VLOOKUP($F835,'Raw Data'!$A:$M,8,0)),"",VLOOKUP($F835,'Raw Data'!$A:$M,8,0))</f>
        <v/>
      </c>
      <c r="I835" t="str">
        <f>IF(ISNA(VLOOKUP($F835,'Raw Data'!$A:$M,9,0)),"",VLOOKUP($F835,'Raw Data'!$A:$M,9,0))</f>
        <v/>
      </c>
      <c r="J835" t="str">
        <f>IF(ISNA(VLOOKUP($F835,'Raw Data'!$A:$M,10,0)),"",VLOOKUP($F835,'Raw Data'!$A:$M,10,0))</f>
        <v/>
      </c>
      <c r="K835" t="str">
        <f>IF(ISNA(VLOOKUP($F835,'Raw Data'!$A:$M,11,0)),"",VLOOKUP($F835,'Raw Data'!$A:$M,11,0))</f>
        <v/>
      </c>
      <c r="L835" t="str">
        <f>IF(ISNA(VLOOKUP($F835,'Raw Data'!$A:$M,12,0)),"",VLOOKUP($F835,'Raw Data'!$A:$M,12,0))</f>
        <v/>
      </c>
      <c r="M835" t="str">
        <f>IF(ISNA(VLOOKUP($F835,'Raw Data'!$A:$M,13,0)),"",VLOOKUP($F835,'Raw Data'!$A:$M,13,0))</f>
        <v/>
      </c>
    </row>
    <row r="836" spans="1:13" x14ac:dyDescent="0.25">
      <c r="A836" t="s">
        <v>38</v>
      </c>
      <c r="B836">
        <v>2012</v>
      </c>
      <c r="C836">
        <v>4.5</v>
      </c>
      <c r="D836" s="3">
        <v>740</v>
      </c>
      <c r="E836" s="3">
        <v>85</v>
      </c>
      <c r="F836" s="3" t="str">
        <f t="shared" ref="F836:F899" si="13">A836&amp;B836&amp;C836&amp;D836&amp;E836</f>
        <v>FGU920124.574085</v>
      </c>
      <c r="G836" t="str">
        <f>IF(ISNA(VLOOKUP($F836,'Raw Data'!$A:$M,7,0)),"",VLOOKUP($F836,'Raw Data'!$A:$M,7,0))</f>
        <v/>
      </c>
      <c r="H836" t="str">
        <f>IF(ISNA(VLOOKUP($F836,'Raw Data'!$A:$M,8,0)),"",VLOOKUP($F836,'Raw Data'!$A:$M,8,0))</f>
        <v/>
      </c>
      <c r="I836" t="str">
        <f>IF(ISNA(VLOOKUP($F836,'Raw Data'!$A:$M,9,0)),"",VLOOKUP($F836,'Raw Data'!$A:$M,9,0))</f>
        <v/>
      </c>
      <c r="J836" t="str">
        <f>IF(ISNA(VLOOKUP($F836,'Raw Data'!$A:$M,10,0)),"",VLOOKUP($F836,'Raw Data'!$A:$M,10,0))</f>
        <v/>
      </c>
      <c r="K836" t="str">
        <f>IF(ISNA(VLOOKUP($F836,'Raw Data'!$A:$M,11,0)),"",VLOOKUP($F836,'Raw Data'!$A:$M,11,0))</f>
        <v/>
      </c>
      <c r="L836" t="str">
        <f>IF(ISNA(VLOOKUP($F836,'Raw Data'!$A:$M,12,0)),"",VLOOKUP($F836,'Raw Data'!$A:$M,12,0))</f>
        <v/>
      </c>
      <c r="M836" t="str">
        <f>IF(ISNA(VLOOKUP($F836,'Raw Data'!$A:$M,13,0)),"",VLOOKUP($F836,'Raw Data'!$A:$M,13,0))</f>
        <v/>
      </c>
    </row>
    <row r="837" spans="1:13" x14ac:dyDescent="0.25">
      <c r="A837" t="s">
        <v>38</v>
      </c>
      <c r="B837">
        <v>2012</v>
      </c>
      <c r="C837">
        <v>4.5</v>
      </c>
      <c r="D837" s="3">
        <v>760</v>
      </c>
      <c r="E837" s="3">
        <v>85</v>
      </c>
      <c r="F837" s="3" t="str">
        <f t="shared" si="13"/>
        <v>FGU920124.576085</v>
      </c>
      <c r="G837" t="str">
        <f>IF(ISNA(VLOOKUP($F837,'Raw Data'!$A:$M,7,0)),"",VLOOKUP($F837,'Raw Data'!$A:$M,7,0))</f>
        <v/>
      </c>
      <c r="H837" t="str">
        <f>IF(ISNA(VLOOKUP($F837,'Raw Data'!$A:$M,8,0)),"",VLOOKUP($F837,'Raw Data'!$A:$M,8,0))</f>
        <v/>
      </c>
      <c r="I837" t="str">
        <f>IF(ISNA(VLOOKUP($F837,'Raw Data'!$A:$M,9,0)),"",VLOOKUP($F837,'Raw Data'!$A:$M,9,0))</f>
        <v/>
      </c>
      <c r="J837" t="str">
        <f>IF(ISNA(VLOOKUP($F837,'Raw Data'!$A:$M,10,0)),"",VLOOKUP($F837,'Raw Data'!$A:$M,10,0))</f>
        <v/>
      </c>
      <c r="K837" t="str">
        <f>IF(ISNA(VLOOKUP($F837,'Raw Data'!$A:$M,11,0)),"",VLOOKUP($F837,'Raw Data'!$A:$M,11,0))</f>
        <v/>
      </c>
      <c r="L837" t="str">
        <f>IF(ISNA(VLOOKUP($F837,'Raw Data'!$A:$M,12,0)),"",VLOOKUP($F837,'Raw Data'!$A:$M,12,0))</f>
        <v/>
      </c>
      <c r="M837" t="str">
        <f>IF(ISNA(VLOOKUP($F837,'Raw Data'!$A:$M,13,0)),"",VLOOKUP($F837,'Raw Data'!$A:$M,13,0))</f>
        <v/>
      </c>
    </row>
    <row r="838" spans="1:13" x14ac:dyDescent="0.25">
      <c r="A838" t="s">
        <v>38</v>
      </c>
      <c r="B838">
        <v>2012</v>
      </c>
      <c r="C838">
        <v>4.5</v>
      </c>
      <c r="D838" s="3">
        <v>780</v>
      </c>
      <c r="E838" s="3">
        <v>85</v>
      </c>
      <c r="F838" s="3" t="str">
        <f t="shared" si="13"/>
        <v>FGU920124.578085</v>
      </c>
      <c r="G838" t="str">
        <f>IF(ISNA(VLOOKUP($F838,'Raw Data'!$A:$M,7,0)),"",VLOOKUP($F838,'Raw Data'!$A:$M,7,0))</f>
        <v/>
      </c>
      <c r="H838" t="str">
        <f>IF(ISNA(VLOOKUP($F838,'Raw Data'!$A:$M,8,0)),"",VLOOKUP($F838,'Raw Data'!$A:$M,8,0))</f>
        <v/>
      </c>
      <c r="I838" t="str">
        <f>IF(ISNA(VLOOKUP($F838,'Raw Data'!$A:$M,9,0)),"",VLOOKUP($F838,'Raw Data'!$A:$M,9,0))</f>
        <v/>
      </c>
      <c r="J838" t="str">
        <f>IF(ISNA(VLOOKUP($F838,'Raw Data'!$A:$M,10,0)),"",VLOOKUP($F838,'Raw Data'!$A:$M,10,0))</f>
        <v/>
      </c>
      <c r="K838" t="str">
        <f>IF(ISNA(VLOOKUP($F838,'Raw Data'!$A:$M,11,0)),"",VLOOKUP($F838,'Raw Data'!$A:$M,11,0))</f>
        <v/>
      </c>
      <c r="L838" t="str">
        <f>IF(ISNA(VLOOKUP($F838,'Raw Data'!$A:$M,12,0)),"",VLOOKUP($F838,'Raw Data'!$A:$M,12,0))</f>
        <v/>
      </c>
      <c r="M838" t="str">
        <f>IF(ISNA(VLOOKUP($F838,'Raw Data'!$A:$M,13,0)),"",VLOOKUP($F838,'Raw Data'!$A:$M,13,0))</f>
        <v/>
      </c>
    </row>
    <row r="839" spans="1:13" x14ac:dyDescent="0.25">
      <c r="A839" t="s">
        <v>38</v>
      </c>
      <c r="B839">
        <v>2012</v>
      </c>
      <c r="C839">
        <v>4.5</v>
      </c>
      <c r="D839" s="3">
        <v>620</v>
      </c>
      <c r="E839" s="3">
        <v>90</v>
      </c>
      <c r="F839" s="3" t="str">
        <f t="shared" si="13"/>
        <v>FGU920124.562090</v>
      </c>
      <c r="G839" t="str">
        <f>IF(ISNA(VLOOKUP($F839,'Raw Data'!$A:$M,7,0)),"",VLOOKUP($F839,'Raw Data'!$A:$M,7,0))</f>
        <v/>
      </c>
      <c r="H839" t="str">
        <f>IF(ISNA(VLOOKUP($F839,'Raw Data'!$A:$M,8,0)),"",VLOOKUP($F839,'Raw Data'!$A:$M,8,0))</f>
        <v/>
      </c>
      <c r="I839" t="str">
        <f>IF(ISNA(VLOOKUP($F839,'Raw Data'!$A:$M,9,0)),"",VLOOKUP($F839,'Raw Data'!$A:$M,9,0))</f>
        <v/>
      </c>
      <c r="J839" t="str">
        <f>IF(ISNA(VLOOKUP($F839,'Raw Data'!$A:$M,10,0)),"",VLOOKUP($F839,'Raw Data'!$A:$M,10,0))</f>
        <v/>
      </c>
      <c r="K839" t="str">
        <f>IF(ISNA(VLOOKUP($F839,'Raw Data'!$A:$M,11,0)),"",VLOOKUP($F839,'Raw Data'!$A:$M,11,0))</f>
        <v/>
      </c>
      <c r="L839" t="str">
        <f>IF(ISNA(VLOOKUP($F839,'Raw Data'!$A:$M,12,0)),"",VLOOKUP($F839,'Raw Data'!$A:$M,12,0))</f>
        <v/>
      </c>
      <c r="M839" t="str">
        <f>IF(ISNA(VLOOKUP($F839,'Raw Data'!$A:$M,13,0)),"",VLOOKUP($F839,'Raw Data'!$A:$M,13,0))</f>
        <v/>
      </c>
    </row>
    <row r="840" spans="1:13" x14ac:dyDescent="0.25">
      <c r="A840" t="s">
        <v>38</v>
      </c>
      <c r="B840">
        <v>2012</v>
      </c>
      <c r="C840">
        <v>4.5</v>
      </c>
      <c r="D840" s="3">
        <v>640</v>
      </c>
      <c r="E840" s="3">
        <v>90</v>
      </c>
      <c r="F840" s="3" t="str">
        <f t="shared" si="13"/>
        <v>FGU920124.564090</v>
      </c>
      <c r="G840" t="str">
        <f>IF(ISNA(VLOOKUP($F840,'Raw Data'!$A:$M,7,0)),"",VLOOKUP($F840,'Raw Data'!$A:$M,7,0))</f>
        <v/>
      </c>
      <c r="H840" t="str">
        <f>IF(ISNA(VLOOKUP($F840,'Raw Data'!$A:$M,8,0)),"",VLOOKUP($F840,'Raw Data'!$A:$M,8,0))</f>
        <v/>
      </c>
      <c r="I840" t="str">
        <f>IF(ISNA(VLOOKUP($F840,'Raw Data'!$A:$M,9,0)),"",VLOOKUP($F840,'Raw Data'!$A:$M,9,0))</f>
        <v/>
      </c>
      <c r="J840" t="str">
        <f>IF(ISNA(VLOOKUP($F840,'Raw Data'!$A:$M,10,0)),"",VLOOKUP($F840,'Raw Data'!$A:$M,10,0))</f>
        <v/>
      </c>
      <c r="K840" t="str">
        <f>IF(ISNA(VLOOKUP($F840,'Raw Data'!$A:$M,11,0)),"",VLOOKUP($F840,'Raw Data'!$A:$M,11,0))</f>
        <v/>
      </c>
      <c r="L840" t="str">
        <f>IF(ISNA(VLOOKUP($F840,'Raw Data'!$A:$M,12,0)),"",VLOOKUP($F840,'Raw Data'!$A:$M,12,0))</f>
        <v/>
      </c>
      <c r="M840" t="str">
        <f>IF(ISNA(VLOOKUP($F840,'Raw Data'!$A:$M,13,0)),"",VLOOKUP($F840,'Raw Data'!$A:$M,13,0))</f>
        <v/>
      </c>
    </row>
    <row r="841" spans="1:13" x14ac:dyDescent="0.25">
      <c r="A841" t="s">
        <v>38</v>
      </c>
      <c r="B841">
        <v>2012</v>
      </c>
      <c r="C841">
        <v>4.5</v>
      </c>
      <c r="D841" s="3">
        <v>660</v>
      </c>
      <c r="E841" s="3">
        <v>90</v>
      </c>
      <c r="F841" s="3" t="str">
        <f t="shared" si="13"/>
        <v>FGU920124.566090</v>
      </c>
      <c r="G841" t="str">
        <f>IF(ISNA(VLOOKUP($F841,'Raw Data'!$A:$M,7,0)),"",VLOOKUP($F841,'Raw Data'!$A:$M,7,0))</f>
        <v/>
      </c>
      <c r="H841" t="str">
        <f>IF(ISNA(VLOOKUP($F841,'Raw Data'!$A:$M,8,0)),"",VLOOKUP($F841,'Raw Data'!$A:$M,8,0))</f>
        <v/>
      </c>
      <c r="I841" t="str">
        <f>IF(ISNA(VLOOKUP($F841,'Raw Data'!$A:$M,9,0)),"",VLOOKUP($F841,'Raw Data'!$A:$M,9,0))</f>
        <v/>
      </c>
      <c r="J841" t="str">
        <f>IF(ISNA(VLOOKUP($F841,'Raw Data'!$A:$M,10,0)),"",VLOOKUP($F841,'Raw Data'!$A:$M,10,0))</f>
        <v/>
      </c>
      <c r="K841" t="str">
        <f>IF(ISNA(VLOOKUP($F841,'Raw Data'!$A:$M,11,0)),"",VLOOKUP($F841,'Raw Data'!$A:$M,11,0))</f>
        <v/>
      </c>
      <c r="L841" t="str">
        <f>IF(ISNA(VLOOKUP($F841,'Raw Data'!$A:$M,12,0)),"",VLOOKUP($F841,'Raw Data'!$A:$M,12,0))</f>
        <v/>
      </c>
      <c r="M841" t="str">
        <f>IF(ISNA(VLOOKUP($F841,'Raw Data'!$A:$M,13,0)),"",VLOOKUP($F841,'Raw Data'!$A:$M,13,0))</f>
        <v/>
      </c>
    </row>
    <row r="842" spans="1:13" x14ac:dyDescent="0.25">
      <c r="A842" t="s">
        <v>38</v>
      </c>
      <c r="B842">
        <v>2012</v>
      </c>
      <c r="C842">
        <v>4.5</v>
      </c>
      <c r="D842" s="3">
        <v>680</v>
      </c>
      <c r="E842" s="3">
        <v>90</v>
      </c>
      <c r="F842" s="3" t="str">
        <f t="shared" si="13"/>
        <v>FGU920124.568090</v>
      </c>
      <c r="G842" t="str">
        <f>IF(ISNA(VLOOKUP($F842,'Raw Data'!$A:$M,7,0)),"",VLOOKUP($F842,'Raw Data'!$A:$M,7,0))</f>
        <v/>
      </c>
      <c r="H842" t="str">
        <f>IF(ISNA(VLOOKUP($F842,'Raw Data'!$A:$M,8,0)),"",VLOOKUP($F842,'Raw Data'!$A:$M,8,0))</f>
        <v/>
      </c>
      <c r="I842" t="str">
        <f>IF(ISNA(VLOOKUP($F842,'Raw Data'!$A:$M,9,0)),"",VLOOKUP($F842,'Raw Data'!$A:$M,9,0))</f>
        <v/>
      </c>
      <c r="J842" t="str">
        <f>IF(ISNA(VLOOKUP($F842,'Raw Data'!$A:$M,10,0)),"",VLOOKUP($F842,'Raw Data'!$A:$M,10,0))</f>
        <v/>
      </c>
      <c r="K842" t="str">
        <f>IF(ISNA(VLOOKUP($F842,'Raw Data'!$A:$M,11,0)),"",VLOOKUP($F842,'Raw Data'!$A:$M,11,0))</f>
        <v/>
      </c>
      <c r="L842" t="str">
        <f>IF(ISNA(VLOOKUP($F842,'Raw Data'!$A:$M,12,0)),"",VLOOKUP($F842,'Raw Data'!$A:$M,12,0))</f>
        <v/>
      </c>
      <c r="M842" t="str">
        <f>IF(ISNA(VLOOKUP($F842,'Raw Data'!$A:$M,13,0)),"",VLOOKUP($F842,'Raw Data'!$A:$M,13,0))</f>
        <v/>
      </c>
    </row>
    <row r="843" spans="1:13" x14ac:dyDescent="0.25">
      <c r="A843" t="s">
        <v>38</v>
      </c>
      <c r="B843">
        <v>2012</v>
      </c>
      <c r="C843">
        <v>4.5</v>
      </c>
      <c r="D843" s="3">
        <v>700</v>
      </c>
      <c r="E843" s="3">
        <v>90</v>
      </c>
      <c r="F843" s="3" t="str">
        <f t="shared" si="13"/>
        <v>FGU920124.570090</v>
      </c>
      <c r="G843" t="str">
        <f>IF(ISNA(VLOOKUP($F843,'Raw Data'!$A:$M,7,0)),"",VLOOKUP($F843,'Raw Data'!$A:$M,7,0))</f>
        <v/>
      </c>
      <c r="H843" t="str">
        <f>IF(ISNA(VLOOKUP($F843,'Raw Data'!$A:$M,8,0)),"",VLOOKUP($F843,'Raw Data'!$A:$M,8,0))</f>
        <v/>
      </c>
      <c r="I843" t="str">
        <f>IF(ISNA(VLOOKUP($F843,'Raw Data'!$A:$M,9,0)),"",VLOOKUP($F843,'Raw Data'!$A:$M,9,0))</f>
        <v/>
      </c>
      <c r="J843" t="str">
        <f>IF(ISNA(VLOOKUP($F843,'Raw Data'!$A:$M,10,0)),"",VLOOKUP($F843,'Raw Data'!$A:$M,10,0))</f>
        <v/>
      </c>
      <c r="K843" t="str">
        <f>IF(ISNA(VLOOKUP($F843,'Raw Data'!$A:$M,11,0)),"",VLOOKUP($F843,'Raw Data'!$A:$M,11,0))</f>
        <v/>
      </c>
      <c r="L843" t="str">
        <f>IF(ISNA(VLOOKUP($F843,'Raw Data'!$A:$M,12,0)),"",VLOOKUP($F843,'Raw Data'!$A:$M,12,0))</f>
        <v/>
      </c>
      <c r="M843" t="str">
        <f>IF(ISNA(VLOOKUP($F843,'Raw Data'!$A:$M,13,0)),"",VLOOKUP($F843,'Raw Data'!$A:$M,13,0))</f>
        <v/>
      </c>
    </row>
    <row r="844" spans="1:13" x14ac:dyDescent="0.25">
      <c r="A844" t="s">
        <v>38</v>
      </c>
      <c r="B844">
        <v>2012</v>
      </c>
      <c r="C844">
        <v>4.5</v>
      </c>
      <c r="D844" s="3">
        <v>720</v>
      </c>
      <c r="E844" s="3">
        <v>90</v>
      </c>
      <c r="F844" s="3" t="str">
        <f t="shared" si="13"/>
        <v>FGU920124.572090</v>
      </c>
      <c r="G844" t="str">
        <f>IF(ISNA(VLOOKUP($F844,'Raw Data'!$A:$M,7,0)),"",VLOOKUP($F844,'Raw Data'!$A:$M,7,0))</f>
        <v/>
      </c>
      <c r="H844" t="str">
        <f>IF(ISNA(VLOOKUP($F844,'Raw Data'!$A:$M,8,0)),"",VLOOKUP($F844,'Raw Data'!$A:$M,8,0))</f>
        <v/>
      </c>
      <c r="I844" t="str">
        <f>IF(ISNA(VLOOKUP($F844,'Raw Data'!$A:$M,9,0)),"",VLOOKUP($F844,'Raw Data'!$A:$M,9,0))</f>
        <v/>
      </c>
      <c r="J844" t="str">
        <f>IF(ISNA(VLOOKUP($F844,'Raw Data'!$A:$M,10,0)),"",VLOOKUP($F844,'Raw Data'!$A:$M,10,0))</f>
        <v/>
      </c>
      <c r="K844" t="str">
        <f>IF(ISNA(VLOOKUP($F844,'Raw Data'!$A:$M,11,0)),"",VLOOKUP($F844,'Raw Data'!$A:$M,11,0))</f>
        <v/>
      </c>
      <c r="L844" t="str">
        <f>IF(ISNA(VLOOKUP($F844,'Raw Data'!$A:$M,12,0)),"",VLOOKUP($F844,'Raw Data'!$A:$M,12,0))</f>
        <v/>
      </c>
      <c r="M844" t="str">
        <f>IF(ISNA(VLOOKUP($F844,'Raw Data'!$A:$M,13,0)),"",VLOOKUP($F844,'Raw Data'!$A:$M,13,0))</f>
        <v/>
      </c>
    </row>
    <row r="845" spans="1:13" x14ac:dyDescent="0.25">
      <c r="A845" t="s">
        <v>38</v>
      </c>
      <c r="B845">
        <v>2012</v>
      </c>
      <c r="C845">
        <v>4.5</v>
      </c>
      <c r="D845" s="3">
        <v>740</v>
      </c>
      <c r="E845" s="3">
        <v>90</v>
      </c>
      <c r="F845" s="3" t="str">
        <f t="shared" si="13"/>
        <v>FGU920124.574090</v>
      </c>
      <c r="G845" t="str">
        <f>IF(ISNA(VLOOKUP($F845,'Raw Data'!$A:$M,7,0)),"",VLOOKUP($F845,'Raw Data'!$A:$M,7,0))</f>
        <v/>
      </c>
      <c r="H845" t="str">
        <f>IF(ISNA(VLOOKUP($F845,'Raw Data'!$A:$M,8,0)),"",VLOOKUP($F845,'Raw Data'!$A:$M,8,0))</f>
        <v/>
      </c>
      <c r="I845" t="str">
        <f>IF(ISNA(VLOOKUP($F845,'Raw Data'!$A:$M,9,0)),"",VLOOKUP($F845,'Raw Data'!$A:$M,9,0))</f>
        <v/>
      </c>
      <c r="J845" t="str">
        <f>IF(ISNA(VLOOKUP($F845,'Raw Data'!$A:$M,10,0)),"",VLOOKUP($F845,'Raw Data'!$A:$M,10,0))</f>
        <v/>
      </c>
      <c r="K845" t="str">
        <f>IF(ISNA(VLOOKUP($F845,'Raw Data'!$A:$M,11,0)),"",VLOOKUP($F845,'Raw Data'!$A:$M,11,0))</f>
        <v/>
      </c>
      <c r="L845" t="str">
        <f>IF(ISNA(VLOOKUP($F845,'Raw Data'!$A:$M,12,0)),"",VLOOKUP($F845,'Raw Data'!$A:$M,12,0))</f>
        <v/>
      </c>
      <c r="M845" t="str">
        <f>IF(ISNA(VLOOKUP($F845,'Raw Data'!$A:$M,13,0)),"",VLOOKUP($F845,'Raw Data'!$A:$M,13,0))</f>
        <v/>
      </c>
    </row>
    <row r="846" spans="1:13" x14ac:dyDescent="0.25">
      <c r="A846" t="s">
        <v>38</v>
      </c>
      <c r="B846">
        <v>2012</v>
      </c>
      <c r="C846">
        <v>4.5</v>
      </c>
      <c r="D846" s="3">
        <v>760</v>
      </c>
      <c r="E846" s="3">
        <v>90</v>
      </c>
      <c r="F846" s="3" t="str">
        <f t="shared" si="13"/>
        <v>FGU920124.576090</v>
      </c>
      <c r="G846" t="str">
        <f>IF(ISNA(VLOOKUP($F846,'Raw Data'!$A:$M,7,0)),"",VLOOKUP($F846,'Raw Data'!$A:$M,7,0))</f>
        <v/>
      </c>
      <c r="H846" t="str">
        <f>IF(ISNA(VLOOKUP($F846,'Raw Data'!$A:$M,8,0)),"",VLOOKUP($F846,'Raw Data'!$A:$M,8,0))</f>
        <v/>
      </c>
      <c r="I846" t="str">
        <f>IF(ISNA(VLOOKUP($F846,'Raw Data'!$A:$M,9,0)),"",VLOOKUP($F846,'Raw Data'!$A:$M,9,0))</f>
        <v/>
      </c>
      <c r="J846" t="str">
        <f>IF(ISNA(VLOOKUP($F846,'Raw Data'!$A:$M,10,0)),"",VLOOKUP($F846,'Raw Data'!$A:$M,10,0))</f>
        <v/>
      </c>
      <c r="K846" t="str">
        <f>IF(ISNA(VLOOKUP($F846,'Raw Data'!$A:$M,11,0)),"",VLOOKUP($F846,'Raw Data'!$A:$M,11,0))</f>
        <v/>
      </c>
      <c r="L846" t="str">
        <f>IF(ISNA(VLOOKUP($F846,'Raw Data'!$A:$M,12,0)),"",VLOOKUP($F846,'Raw Data'!$A:$M,12,0))</f>
        <v/>
      </c>
      <c r="M846" t="str">
        <f>IF(ISNA(VLOOKUP($F846,'Raw Data'!$A:$M,13,0)),"",VLOOKUP($F846,'Raw Data'!$A:$M,13,0))</f>
        <v/>
      </c>
    </row>
    <row r="847" spans="1:13" x14ac:dyDescent="0.25">
      <c r="A847" t="s">
        <v>38</v>
      </c>
      <c r="B847">
        <v>2012</v>
      </c>
      <c r="C847">
        <v>4.5</v>
      </c>
      <c r="D847" s="3">
        <v>780</v>
      </c>
      <c r="E847" s="3">
        <v>90</v>
      </c>
      <c r="F847" s="3" t="str">
        <f t="shared" si="13"/>
        <v>FGU920124.578090</v>
      </c>
      <c r="G847" t="str">
        <f>IF(ISNA(VLOOKUP($F847,'Raw Data'!$A:$M,7,0)),"",VLOOKUP($F847,'Raw Data'!$A:$M,7,0))</f>
        <v/>
      </c>
      <c r="H847" t="str">
        <f>IF(ISNA(VLOOKUP($F847,'Raw Data'!$A:$M,8,0)),"",VLOOKUP($F847,'Raw Data'!$A:$M,8,0))</f>
        <v/>
      </c>
      <c r="I847" t="str">
        <f>IF(ISNA(VLOOKUP($F847,'Raw Data'!$A:$M,9,0)),"",VLOOKUP($F847,'Raw Data'!$A:$M,9,0))</f>
        <v/>
      </c>
      <c r="J847" t="str">
        <f>IF(ISNA(VLOOKUP($F847,'Raw Data'!$A:$M,10,0)),"",VLOOKUP($F847,'Raw Data'!$A:$M,10,0))</f>
        <v/>
      </c>
      <c r="K847" t="str">
        <f>IF(ISNA(VLOOKUP($F847,'Raw Data'!$A:$M,11,0)),"",VLOOKUP($F847,'Raw Data'!$A:$M,11,0))</f>
        <v/>
      </c>
      <c r="L847" t="str">
        <f>IF(ISNA(VLOOKUP($F847,'Raw Data'!$A:$M,12,0)),"",VLOOKUP($F847,'Raw Data'!$A:$M,12,0))</f>
        <v/>
      </c>
      <c r="M847" t="str">
        <f>IF(ISNA(VLOOKUP($F847,'Raw Data'!$A:$M,13,0)),"",VLOOKUP($F847,'Raw Data'!$A:$M,13,0))</f>
        <v/>
      </c>
    </row>
    <row r="848" spans="1:13" x14ac:dyDescent="0.25">
      <c r="A848" t="s">
        <v>38</v>
      </c>
      <c r="B848">
        <v>2012</v>
      </c>
      <c r="C848">
        <v>4.5</v>
      </c>
      <c r="D848" s="3">
        <v>620</v>
      </c>
      <c r="E848" s="3">
        <v>95</v>
      </c>
      <c r="F848" s="3" t="str">
        <f t="shared" si="13"/>
        <v>FGU920124.562095</v>
      </c>
      <c r="G848" t="str">
        <f>IF(ISNA(VLOOKUP($F848,'Raw Data'!$A:$M,7,0)),"",VLOOKUP($F848,'Raw Data'!$A:$M,7,0))</f>
        <v/>
      </c>
      <c r="H848" t="str">
        <f>IF(ISNA(VLOOKUP($F848,'Raw Data'!$A:$M,8,0)),"",VLOOKUP($F848,'Raw Data'!$A:$M,8,0))</f>
        <v/>
      </c>
      <c r="I848" t="str">
        <f>IF(ISNA(VLOOKUP($F848,'Raw Data'!$A:$M,9,0)),"",VLOOKUP($F848,'Raw Data'!$A:$M,9,0))</f>
        <v/>
      </c>
      <c r="J848" t="str">
        <f>IF(ISNA(VLOOKUP($F848,'Raw Data'!$A:$M,10,0)),"",VLOOKUP($F848,'Raw Data'!$A:$M,10,0))</f>
        <v/>
      </c>
      <c r="K848" t="str">
        <f>IF(ISNA(VLOOKUP($F848,'Raw Data'!$A:$M,11,0)),"",VLOOKUP($F848,'Raw Data'!$A:$M,11,0))</f>
        <v/>
      </c>
      <c r="L848" t="str">
        <f>IF(ISNA(VLOOKUP($F848,'Raw Data'!$A:$M,12,0)),"",VLOOKUP($F848,'Raw Data'!$A:$M,12,0))</f>
        <v/>
      </c>
      <c r="M848" t="str">
        <f>IF(ISNA(VLOOKUP($F848,'Raw Data'!$A:$M,13,0)),"",VLOOKUP($F848,'Raw Data'!$A:$M,13,0))</f>
        <v/>
      </c>
    </row>
    <row r="849" spans="1:13" x14ac:dyDescent="0.25">
      <c r="A849" t="s">
        <v>38</v>
      </c>
      <c r="B849">
        <v>2012</v>
      </c>
      <c r="C849">
        <v>4.5</v>
      </c>
      <c r="D849" s="3">
        <v>640</v>
      </c>
      <c r="E849" s="3">
        <v>95</v>
      </c>
      <c r="F849" s="3" t="str">
        <f t="shared" si="13"/>
        <v>FGU920124.564095</v>
      </c>
      <c r="G849" t="str">
        <f>IF(ISNA(VLOOKUP($F849,'Raw Data'!$A:$M,7,0)),"",VLOOKUP($F849,'Raw Data'!$A:$M,7,0))</f>
        <v/>
      </c>
      <c r="H849" t="str">
        <f>IF(ISNA(VLOOKUP($F849,'Raw Data'!$A:$M,8,0)),"",VLOOKUP($F849,'Raw Data'!$A:$M,8,0))</f>
        <v/>
      </c>
      <c r="I849" t="str">
        <f>IF(ISNA(VLOOKUP($F849,'Raw Data'!$A:$M,9,0)),"",VLOOKUP($F849,'Raw Data'!$A:$M,9,0))</f>
        <v/>
      </c>
      <c r="J849" t="str">
        <f>IF(ISNA(VLOOKUP($F849,'Raw Data'!$A:$M,10,0)),"",VLOOKUP($F849,'Raw Data'!$A:$M,10,0))</f>
        <v/>
      </c>
      <c r="K849" t="str">
        <f>IF(ISNA(VLOOKUP($F849,'Raw Data'!$A:$M,11,0)),"",VLOOKUP($F849,'Raw Data'!$A:$M,11,0))</f>
        <v/>
      </c>
      <c r="L849" t="str">
        <f>IF(ISNA(VLOOKUP($F849,'Raw Data'!$A:$M,12,0)),"",VLOOKUP($F849,'Raw Data'!$A:$M,12,0))</f>
        <v/>
      </c>
      <c r="M849" t="str">
        <f>IF(ISNA(VLOOKUP($F849,'Raw Data'!$A:$M,13,0)),"",VLOOKUP($F849,'Raw Data'!$A:$M,13,0))</f>
        <v/>
      </c>
    </row>
    <row r="850" spans="1:13" x14ac:dyDescent="0.25">
      <c r="A850" t="s">
        <v>38</v>
      </c>
      <c r="B850">
        <v>2012</v>
      </c>
      <c r="C850">
        <v>4.5</v>
      </c>
      <c r="D850" s="3">
        <v>660</v>
      </c>
      <c r="E850" s="3">
        <v>95</v>
      </c>
      <c r="F850" s="3" t="str">
        <f t="shared" si="13"/>
        <v>FGU920124.566095</v>
      </c>
      <c r="G850" t="str">
        <f>IF(ISNA(VLOOKUP($F850,'Raw Data'!$A:$M,7,0)),"",VLOOKUP($F850,'Raw Data'!$A:$M,7,0))</f>
        <v/>
      </c>
      <c r="H850" t="str">
        <f>IF(ISNA(VLOOKUP($F850,'Raw Data'!$A:$M,8,0)),"",VLOOKUP($F850,'Raw Data'!$A:$M,8,0))</f>
        <v/>
      </c>
      <c r="I850" t="str">
        <f>IF(ISNA(VLOOKUP($F850,'Raw Data'!$A:$M,9,0)),"",VLOOKUP($F850,'Raw Data'!$A:$M,9,0))</f>
        <v/>
      </c>
      <c r="J850" t="str">
        <f>IF(ISNA(VLOOKUP($F850,'Raw Data'!$A:$M,10,0)),"",VLOOKUP($F850,'Raw Data'!$A:$M,10,0))</f>
        <v/>
      </c>
      <c r="K850" t="str">
        <f>IF(ISNA(VLOOKUP($F850,'Raw Data'!$A:$M,11,0)),"",VLOOKUP($F850,'Raw Data'!$A:$M,11,0))</f>
        <v/>
      </c>
      <c r="L850" t="str">
        <f>IF(ISNA(VLOOKUP($F850,'Raw Data'!$A:$M,12,0)),"",VLOOKUP($F850,'Raw Data'!$A:$M,12,0))</f>
        <v/>
      </c>
      <c r="M850" t="str">
        <f>IF(ISNA(VLOOKUP($F850,'Raw Data'!$A:$M,13,0)),"",VLOOKUP($F850,'Raw Data'!$A:$M,13,0))</f>
        <v/>
      </c>
    </row>
    <row r="851" spans="1:13" x14ac:dyDescent="0.25">
      <c r="A851" t="s">
        <v>38</v>
      </c>
      <c r="B851">
        <v>2012</v>
      </c>
      <c r="C851">
        <v>4.5</v>
      </c>
      <c r="D851" s="3">
        <v>680</v>
      </c>
      <c r="E851" s="3">
        <v>95</v>
      </c>
      <c r="F851" s="3" t="str">
        <f t="shared" si="13"/>
        <v>FGU920124.568095</v>
      </c>
      <c r="G851" t="str">
        <f>IF(ISNA(VLOOKUP($F851,'Raw Data'!$A:$M,7,0)),"",VLOOKUP($F851,'Raw Data'!$A:$M,7,0))</f>
        <v/>
      </c>
      <c r="H851" t="str">
        <f>IF(ISNA(VLOOKUP($F851,'Raw Data'!$A:$M,8,0)),"",VLOOKUP($F851,'Raw Data'!$A:$M,8,0))</f>
        <v/>
      </c>
      <c r="I851" t="str">
        <f>IF(ISNA(VLOOKUP($F851,'Raw Data'!$A:$M,9,0)),"",VLOOKUP($F851,'Raw Data'!$A:$M,9,0))</f>
        <v/>
      </c>
      <c r="J851" t="str">
        <f>IF(ISNA(VLOOKUP($F851,'Raw Data'!$A:$M,10,0)),"",VLOOKUP($F851,'Raw Data'!$A:$M,10,0))</f>
        <v/>
      </c>
      <c r="K851" t="str">
        <f>IF(ISNA(VLOOKUP($F851,'Raw Data'!$A:$M,11,0)),"",VLOOKUP($F851,'Raw Data'!$A:$M,11,0))</f>
        <v/>
      </c>
      <c r="L851" t="str">
        <f>IF(ISNA(VLOOKUP($F851,'Raw Data'!$A:$M,12,0)),"",VLOOKUP($F851,'Raw Data'!$A:$M,12,0))</f>
        <v/>
      </c>
      <c r="M851" t="str">
        <f>IF(ISNA(VLOOKUP($F851,'Raw Data'!$A:$M,13,0)),"",VLOOKUP($F851,'Raw Data'!$A:$M,13,0))</f>
        <v/>
      </c>
    </row>
    <row r="852" spans="1:13" x14ac:dyDescent="0.25">
      <c r="A852" t="s">
        <v>38</v>
      </c>
      <c r="B852">
        <v>2012</v>
      </c>
      <c r="C852">
        <v>4.5</v>
      </c>
      <c r="D852" s="3">
        <v>700</v>
      </c>
      <c r="E852" s="3">
        <v>95</v>
      </c>
      <c r="F852" s="3" t="str">
        <f t="shared" si="13"/>
        <v>FGU920124.570095</v>
      </c>
      <c r="G852">
        <f>IF(ISNA(VLOOKUP($F852,'Raw Data'!$A:$M,7,0)),"",VLOOKUP($F852,'Raw Data'!$A:$M,7,0))</f>
        <v>2286334.84</v>
      </c>
      <c r="H852">
        <f>IF(ISNA(VLOOKUP($F852,'Raw Data'!$A:$M,8,0)),"",VLOOKUP($F852,'Raw Data'!$A:$M,8,0))</f>
        <v>21.018599999999999</v>
      </c>
      <c r="I852">
        <f>IF(ISNA(VLOOKUP($F852,'Raw Data'!$A:$M,9,0)),"",VLOOKUP($F852,'Raw Data'!$A:$M,9,0))</f>
        <v>46.018099999999997</v>
      </c>
      <c r="J852">
        <f>IF(ISNA(VLOOKUP($F852,'Raw Data'!$A:$M,10,0)),"",VLOOKUP($F852,'Raw Data'!$A:$M,10,0))</f>
        <v>24.999500000000001</v>
      </c>
      <c r="K852">
        <f>IF(ISNA(VLOOKUP($F852,'Raw Data'!$A:$M,11,0)),"",VLOOKUP($F852,'Raw Data'!$A:$M,11,0))</f>
        <v>37.465299999999999</v>
      </c>
      <c r="L852">
        <f>IF(ISNA(VLOOKUP($F852,'Raw Data'!$A:$M,12,0)),"",VLOOKUP($F852,'Raw Data'!$A:$M,12,0))</f>
        <v>55.555599999999998</v>
      </c>
      <c r="M852">
        <f>IF(ISNA(VLOOKUP($F852,'Raw Data'!$A:$M,13,0)),"",VLOOKUP($F852,'Raw Data'!$A:$M,13,0))</f>
        <v>18.090299999999999</v>
      </c>
    </row>
    <row r="853" spans="1:13" x14ac:dyDescent="0.25">
      <c r="A853" t="s">
        <v>38</v>
      </c>
      <c r="B853">
        <v>2012</v>
      </c>
      <c r="C853">
        <v>4.5</v>
      </c>
      <c r="D853" s="3">
        <v>720</v>
      </c>
      <c r="E853" s="3">
        <v>95</v>
      </c>
      <c r="F853" s="3" t="str">
        <f t="shared" si="13"/>
        <v>FGU920124.572095</v>
      </c>
      <c r="G853" t="str">
        <f>IF(ISNA(VLOOKUP($F853,'Raw Data'!$A:$M,7,0)),"",VLOOKUP($F853,'Raw Data'!$A:$M,7,0))</f>
        <v/>
      </c>
      <c r="H853" t="str">
        <f>IF(ISNA(VLOOKUP($F853,'Raw Data'!$A:$M,8,0)),"",VLOOKUP($F853,'Raw Data'!$A:$M,8,0))</f>
        <v/>
      </c>
      <c r="I853" t="str">
        <f>IF(ISNA(VLOOKUP($F853,'Raw Data'!$A:$M,9,0)),"",VLOOKUP($F853,'Raw Data'!$A:$M,9,0))</f>
        <v/>
      </c>
      <c r="J853" t="str">
        <f>IF(ISNA(VLOOKUP($F853,'Raw Data'!$A:$M,10,0)),"",VLOOKUP($F853,'Raw Data'!$A:$M,10,0))</f>
        <v/>
      </c>
      <c r="K853" t="str">
        <f>IF(ISNA(VLOOKUP($F853,'Raw Data'!$A:$M,11,0)),"",VLOOKUP($F853,'Raw Data'!$A:$M,11,0))</f>
        <v/>
      </c>
      <c r="L853" t="str">
        <f>IF(ISNA(VLOOKUP($F853,'Raw Data'!$A:$M,12,0)),"",VLOOKUP($F853,'Raw Data'!$A:$M,12,0))</f>
        <v/>
      </c>
      <c r="M853" t="str">
        <f>IF(ISNA(VLOOKUP($F853,'Raw Data'!$A:$M,13,0)),"",VLOOKUP($F853,'Raw Data'!$A:$M,13,0))</f>
        <v/>
      </c>
    </row>
    <row r="854" spans="1:13" x14ac:dyDescent="0.25">
      <c r="A854" t="s">
        <v>38</v>
      </c>
      <c r="B854">
        <v>2012</v>
      </c>
      <c r="C854">
        <v>4.5</v>
      </c>
      <c r="D854" s="3">
        <v>740</v>
      </c>
      <c r="E854" s="3">
        <v>95</v>
      </c>
      <c r="F854" s="3" t="str">
        <f t="shared" si="13"/>
        <v>FGU920124.574095</v>
      </c>
      <c r="G854">
        <f>IF(ISNA(VLOOKUP($F854,'Raw Data'!$A:$M,7,0)),"",VLOOKUP($F854,'Raw Data'!$A:$M,7,0))</f>
        <v>9690401.4800000004</v>
      </c>
      <c r="H854">
        <f>IF(ISNA(VLOOKUP($F854,'Raw Data'!$A:$M,8,0)),"",VLOOKUP($F854,'Raw Data'!$A:$M,8,0))</f>
        <v>-1.8287</v>
      </c>
      <c r="I854">
        <f>IF(ISNA(VLOOKUP($F854,'Raw Data'!$A:$M,9,0)),"",VLOOKUP($F854,'Raw Data'!$A:$M,9,0))</f>
        <v>23.1645</v>
      </c>
      <c r="J854">
        <f>IF(ISNA(VLOOKUP($F854,'Raw Data'!$A:$M,10,0)),"",VLOOKUP($F854,'Raw Data'!$A:$M,10,0))</f>
        <v>24.993200000000002</v>
      </c>
      <c r="K854">
        <f>IF(ISNA(VLOOKUP($F854,'Raw Data'!$A:$M,11,0)),"",VLOOKUP($F854,'Raw Data'!$A:$M,11,0))</f>
        <v>24.6983</v>
      </c>
      <c r="L854">
        <f>IF(ISNA(VLOOKUP($F854,'Raw Data'!$A:$M,12,0)),"",VLOOKUP($F854,'Raw Data'!$A:$M,12,0))</f>
        <v>38.083300000000001</v>
      </c>
      <c r="M854">
        <f>IF(ISNA(VLOOKUP($F854,'Raw Data'!$A:$M,13,0)),"",VLOOKUP($F854,'Raw Data'!$A:$M,13,0))</f>
        <v>13.385</v>
      </c>
    </row>
    <row r="855" spans="1:13" x14ac:dyDescent="0.25">
      <c r="A855" t="s">
        <v>38</v>
      </c>
      <c r="B855">
        <v>2012</v>
      </c>
      <c r="C855">
        <v>4.5</v>
      </c>
      <c r="D855" s="3">
        <v>760</v>
      </c>
      <c r="E855" s="3">
        <v>95</v>
      </c>
      <c r="F855" s="3" t="str">
        <f t="shared" si="13"/>
        <v>FGU920124.576095</v>
      </c>
      <c r="G855" t="str">
        <f>IF(ISNA(VLOOKUP($F855,'Raw Data'!$A:$M,7,0)),"",VLOOKUP($F855,'Raw Data'!$A:$M,7,0))</f>
        <v/>
      </c>
      <c r="H855" t="str">
        <f>IF(ISNA(VLOOKUP($F855,'Raw Data'!$A:$M,8,0)),"",VLOOKUP($F855,'Raw Data'!$A:$M,8,0))</f>
        <v/>
      </c>
      <c r="I855" t="str">
        <f>IF(ISNA(VLOOKUP($F855,'Raw Data'!$A:$M,9,0)),"",VLOOKUP($F855,'Raw Data'!$A:$M,9,0))</f>
        <v/>
      </c>
      <c r="J855" t="str">
        <f>IF(ISNA(VLOOKUP($F855,'Raw Data'!$A:$M,10,0)),"",VLOOKUP($F855,'Raw Data'!$A:$M,10,0))</f>
        <v/>
      </c>
      <c r="K855" t="str">
        <f>IF(ISNA(VLOOKUP($F855,'Raw Data'!$A:$M,11,0)),"",VLOOKUP($F855,'Raw Data'!$A:$M,11,0))</f>
        <v/>
      </c>
      <c r="L855" t="str">
        <f>IF(ISNA(VLOOKUP($F855,'Raw Data'!$A:$M,12,0)),"",VLOOKUP($F855,'Raw Data'!$A:$M,12,0))</f>
        <v/>
      </c>
      <c r="M855" t="str">
        <f>IF(ISNA(VLOOKUP($F855,'Raw Data'!$A:$M,13,0)),"",VLOOKUP($F855,'Raw Data'!$A:$M,13,0))</f>
        <v/>
      </c>
    </row>
    <row r="856" spans="1:13" x14ac:dyDescent="0.25">
      <c r="A856" t="s">
        <v>38</v>
      </c>
      <c r="B856">
        <v>2012</v>
      </c>
      <c r="C856">
        <v>4.5</v>
      </c>
      <c r="D856" s="3">
        <v>780</v>
      </c>
      <c r="E856" s="3">
        <v>95</v>
      </c>
      <c r="F856" s="3" t="str">
        <f t="shared" si="13"/>
        <v>FGU920124.578095</v>
      </c>
      <c r="G856" t="str">
        <f>IF(ISNA(VLOOKUP($F856,'Raw Data'!$A:$M,7,0)),"",VLOOKUP($F856,'Raw Data'!$A:$M,7,0))</f>
        <v/>
      </c>
      <c r="H856" t="str">
        <f>IF(ISNA(VLOOKUP($F856,'Raw Data'!$A:$M,8,0)),"",VLOOKUP($F856,'Raw Data'!$A:$M,8,0))</f>
        <v/>
      </c>
      <c r="I856" t="str">
        <f>IF(ISNA(VLOOKUP($F856,'Raw Data'!$A:$M,9,0)),"",VLOOKUP($F856,'Raw Data'!$A:$M,9,0))</f>
        <v/>
      </c>
      <c r="J856" t="str">
        <f>IF(ISNA(VLOOKUP($F856,'Raw Data'!$A:$M,10,0)),"",VLOOKUP($F856,'Raw Data'!$A:$M,10,0))</f>
        <v/>
      </c>
      <c r="K856" t="str">
        <f>IF(ISNA(VLOOKUP($F856,'Raw Data'!$A:$M,11,0)),"",VLOOKUP($F856,'Raw Data'!$A:$M,11,0))</f>
        <v/>
      </c>
      <c r="L856" t="str">
        <f>IF(ISNA(VLOOKUP($F856,'Raw Data'!$A:$M,12,0)),"",VLOOKUP($F856,'Raw Data'!$A:$M,12,0))</f>
        <v/>
      </c>
      <c r="M856" t="str">
        <f>IF(ISNA(VLOOKUP($F856,'Raw Data'!$A:$M,13,0)),"",VLOOKUP($F856,'Raw Data'!$A:$M,13,0))</f>
        <v/>
      </c>
    </row>
    <row r="857" spans="1:13" x14ac:dyDescent="0.25">
      <c r="A857" t="s">
        <v>38</v>
      </c>
      <c r="B857">
        <v>2012</v>
      </c>
      <c r="C857">
        <v>4.5</v>
      </c>
      <c r="D857" s="3">
        <v>620</v>
      </c>
      <c r="E857" s="3">
        <v>97</v>
      </c>
      <c r="F857" s="3" t="str">
        <f t="shared" si="13"/>
        <v>FGU920124.562097</v>
      </c>
      <c r="G857" t="str">
        <f>IF(ISNA(VLOOKUP($F857,'Raw Data'!$A:$M,7,0)),"",VLOOKUP($F857,'Raw Data'!$A:$M,7,0))</f>
        <v/>
      </c>
      <c r="H857" t="str">
        <f>IF(ISNA(VLOOKUP($F857,'Raw Data'!$A:$M,8,0)),"",VLOOKUP($F857,'Raw Data'!$A:$M,8,0))</f>
        <v/>
      </c>
      <c r="I857" t="str">
        <f>IF(ISNA(VLOOKUP($F857,'Raw Data'!$A:$M,9,0)),"",VLOOKUP($F857,'Raw Data'!$A:$M,9,0))</f>
        <v/>
      </c>
      <c r="J857" t="str">
        <f>IF(ISNA(VLOOKUP($F857,'Raw Data'!$A:$M,10,0)),"",VLOOKUP($F857,'Raw Data'!$A:$M,10,0))</f>
        <v/>
      </c>
      <c r="K857" t="str">
        <f>IF(ISNA(VLOOKUP($F857,'Raw Data'!$A:$M,11,0)),"",VLOOKUP($F857,'Raw Data'!$A:$M,11,0))</f>
        <v/>
      </c>
      <c r="L857" t="str">
        <f>IF(ISNA(VLOOKUP($F857,'Raw Data'!$A:$M,12,0)),"",VLOOKUP($F857,'Raw Data'!$A:$M,12,0))</f>
        <v/>
      </c>
      <c r="M857" t="str">
        <f>IF(ISNA(VLOOKUP($F857,'Raw Data'!$A:$M,13,0)),"",VLOOKUP($F857,'Raw Data'!$A:$M,13,0))</f>
        <v/>
      </c>
    </row>
    <row r="858" spans="1:13" x14ac:dyDescent="0.25">
      <c r="A858" t="s">
        <v>38</v>
      </c>
      <c r="B858">
        <v>2012</v>
      </c>
      <c r="C858">
        <v>4.5</v>
      </c>
      <c r="D858" s="3">
        <v>640</v>
      </c>
      <c r="E858" s="3">
        <v>97</v>
      </c>
      <c r="F858" s="3" t="str">
        <f t="shared" si="13"/>
        <v>FGU920124.564097</v>
      </c>
      <c r="G858" t="str">
        <f>IF(ISNA(VLOOKUP($F858,'Raw Data'!$A:$M,7,0)),"",VLOOKUP($F858,'Raw Data'!$A:$M,7,0))</f>
        <v/>
      </c>
      <c r="H858" t="str">
        <f>IF(ISNA(VLOOKUP($F858,'Raw Data'!$A:$M,8,0)),"",VLOOKUP($F858,'Raw Data'!$A:$M,8,0))</f>
        <v/>
      </c>
      <c r="I858" t="str">
        <f>IF(ISNA(VLOOKUP($F858,'Raw Data'!$A:$M,9,0)),"",VLOOKUP($F858,'Raw Data'!$A:$M,9,0))</f>
        <v/>
      </c>
      <c r="J858" t="str">
        <f>IF(ISNA(VLOOKUP($F858,'Raw Data'!$A:$M,10,0)),"",VLOOKUP($F858,'Raw Data'!$A:$M,10,0))</f>
        <v/>
      </c>
      <c r="K858" t="str">
        <f>IF(ISNA(VLOOKUP($F858,'Raw Data'!$A:$M,11,0)),"",VLOOKUP($F858,'Raw Data'!$A:$M,11,0))</f>
        <v/>
      </c>
      <c r="L858" t="str">
        <f>IF(ISNA(VLOOKUP($F858,'Raw Data'!$A:$M,12,0)),"",VLOOKUP($F858,'Raw Data'!$A:$M,12,0))</f>
        <v/>
      </c>
      <c r="M858" t="str">
        <f>IF(ISNA(VLOOKUP($F858,'Raw Data'!$A:$M,13,0)),"",VLOOKUP($F858,'Raw Data'!$A:$M,13,0))</f>
        <v/>
      </c>
    </row>
    <row r="859" spans="1:13" x14ac:dyDescent="0.25">
      <c r="A859" t="s">
        <v>38</v>
      </c>
      <c r="B859">
        <v>2012</v>
      </c>
      <c r="C859">
        <v>4.5</v>
      </c>
      <c r="D859" s="3">
        <v>660</v>
      </c>
      <c r="E859" s="3">
        <v>97</v>
      </c>
      <c r="F859" s="3" t="str">
        <f t="shared" si="13"/>
        <v>FGU920124.566097</v>
      </c>
      <c r="G859" t="str">
        <f>IF(ISNA(VLOOKUP($F859,'Raw Data'!$A:$M,7,0)),"",VLOOKUP($F859,'Raw Data'!$A:$M,7,0))</f>
        <v/>
      </c>
      <c r="H859" t="str">
        <f>IF(ISNA(VLOOKUP($F859,'Raw Data'!$A:$M,8,0)),"",VLOOKUP($F859,'Raw Data'!$A:$M,8,0))</f>
        <v/>
      </c>
      <c r="I859" t="str">
        <f>IF(ISNA(VLOOKUP($F859,'Raw Data'!$A:$M,9,0)),"",VLOOKUP($F859,'Raw Data'!$A:$M,9,0))</f>
        <v/>
      </c>
      <c r="J859" t="str">
        <f>IF(ISNA(VLOOKUP($F859,'Raw Data'!$A:$M,10,0)),"",VLOOKUP($F859,'Raw Data'!$A:$M,10,0))</f>
        <v/>
      </c>
      <c r="K859" t="str">
        <f>IF(ISNA(VLOOKUP($F859,'Raw Data'!$A:$M,11,0)),"",VLOOKUP($F859,'Raw Data'!$A:$M,11,0))</f>
        <v/>
      </c>
      <c r="L859" t="str">
        <f>IF(ISNA(VLOOKUP($F859,'Raw Data'!$A:$M,12,0)),"",VLOOKUP($F859,'Raw Data'!$A:$M,12,0))</f>
        <v/>
      </c>
      <c r="M859" t="str">
        <f>IF(ISNA(VLOOKUP($F859,'Raw Data'!$A:$M,13,0)),"",VLOOKUP($F859,'Raw Data'!$A:$M,13,0))</f>
        <v/>
      </c>
    </row>
    <row r="860" spans="1:13" x14ac:dyDescent="0.25">
      <c r="A860" t="s">
        <v>38</v>
      </c>
      <c r="B860">
        <v>2012</v>
      </c>
      <c r="C860">
        <v>4.5</v>
      </c>
      <c r="D860" s="3">
        <v>680</v>
      </c>
      <c r="E860" s="3">
        <v>97</v>
      </c>
      <c r="F860" s="3" t="str">
        <f t="shared" si="13"/>
        <v>FGU920124.568097</v>
      </c>
      <c r="G860" t="str">
        <f>IF(ISNA(VLOOKUP($F860,'Raw Data'!$A:$M,7,0)),"",VLOOKUP($F860,'Raw Data'!$A:$M,7,0))</f>
        <v/>
      </c>
      <c r="H860" t="str">
        <f>IF(ISNA(VLOOKUP($F860,'Raw Data'!$A:$M,8,0)),"",VLOOKUP($F860,'Raw Data'!$A:$M,8,0))</f>
        <v/>
      </c>
      <c r="I860" t="str">
        <f>IF(ISNA(VLOOKUP($F860,'Raw Data'!$A:$M,9,0)),"",VLOOKUP($F860,'Raw Data'!$A:$M,9,0))</f>
        <v/>
      </c>
      <c r="J860" t="str">
        <f>IF(ISNA(VLOOKUP($F860,'Raw Data'!$A:$M,10,0)),"",VLOOKUP($F860,'Raw Data'!$A:$M,10,0))</f>
        <v/>
      </c>
      <c r="K860" t="str">
        <f>IF(ISNA(VLOOKUP($F860,'Raw Data'!$A:$M,11,0)),"",VLOOKUP($F860,'Raw Data'!$A:$M,11,0))</f>
        <v/>
      </c>
      <c r="L860" t="str">
        <f>IF(ISNA(VLOOKUP($F860,'Raw Data'!$A:$M,12,0)),"",VLOOKUP($F860,'Raw Data'!$A:$M,12,0))</f>
        <v/>
      </c>
      <c r="M860" t="str">
        <f>IF(ISNA(VLOOKUP($F860,'Raw Data'!$A:$M,13,0)),"",VLOOKUP($F860,'Raw Data'!$A:$M,13,0))</f>
        <v/>
      </c>
    </row>
    <row r="861" spans="1:13" x14ac:dyDescent="0.25">
      <c r="A861" t="s">
        <v>38</v>
      </c>
      <c r="B861">
        <v>2012</v>
      </c>
      <c r="C861">
        <v>4.5</v>
      </c>
      <c r="D861" s="3">
        <v>700</v>
      </c>
      <c r="E861" s="3">
        <v>97</v>
      </c>
      <c r="F861" s="3" t="str">
        <f t="shared" si="13"/>
        <v>FGU920124.570097</v>
      </c>
      <c r="G861" t="str">
        <f>IF(ISNA(VLOOKUP($F861,'Raw Data'!$A:$M,7,0)),"",VLOOKUP($F861,'Raw Data'!$A:$M,7,0))</f>
        <v/>
      </c>
      <c r="H861" t="str">
        <f>IF(ISNA(VLOOKUP($F861,'Raw Data'!$A:$M,8,0)),"",VLOOKUP($F861,'Raw Data'!$A:$M,8,0))</f>
        <v/>
      </c>
      <c r="I861" t="str">
        <f>IF(ISNA(VLOOKUP($F861,'Raw Data'!$A:$M,9,0)),"",VLOOKUP($F861,'Raw Data'!$A:$M,9,0))</f>
        <v/>
      </c>
      <c r="J861" t="str">
        <f>IF(ISNA(VLOOKUP($F861,'Raw Data'!$A:$M,10,0)),"",VLOOKUP($F861,'Raw Data'!$A:$M,10,0))</f>
        <v/>
      </c>
      <c r="K861" t="str">
        <f>IF(ISNA(VLOOKUP($F861,'Raw Data'!$A:$M,11,0)),"",VLOOKUP($F861,'Raw Data'!$A:$M,11,0))</f>
        <v/>
      </c>
      <c r="L861" t="str">
        <f>IF(ISNA(VLOOKUP($F861,'Raw Data'!$A:$M,12,0)),"",VLOOKUP($F861,'Raw Data'!$A:$M,12,0))</f>
        <v/>
      </c>
      <c r="M861" t="str">
        <f>IF(ISNA(VLOOKUP($F861,'Raw Data'!$A:$M,13,0)),"",VLOOKUP($F861,'Raw Data'!$A:$M,13,0))</f>
        <v/>
      </c>
    </row>
    <row r="862" spans="1:13" x14ac:dyDescent="0.25">
      <c r="A862" t="s">
        <v>38</v>
      </c>
      <c r="B862">
        <v>2012</v>
      </c>
      <c r="C862">
        <v>4.5</v>
      </c>
      <c r="D862" s="3">
        <v>720</v>
      </c>
      <c r="E862" s="3">
        <v>97</v>
      </c>
      <c r="F862" s="3" t="str">
        <f t="shared" si="13"/>
        <v>FGU920124.572097</v>
      </c>
      <c r="G862" t="str">
        <f>IF(ISNA(VLOOKUP($F862,'Raw Data'!$A:$M,7,0)),"",VLOOKUP($F862,'Raw Data'!$A:$M,7,0))</f>
        <v/>
      </c>
      <c r="H862" t="str">
        <f>IF(ISNA(VLOOKUP($F862,'Raw Data'!$A:$M,8,0)),"",VLOOKUP($F862,'Raw Data'!$A:$M,8,0))</f>
        <v/>
      </c>
      <c r="I862" t="str">
        <f>IF(ISNA(VLOOKUP($F862,'Raw Data'!$A:$M,9,0)),"",VLOOKUP($F862,'Raw Data'!$A:$M,9,0))</f>
        <v/>
      </c>
      <c r="J862" t="str">
        <f>IF(ISNA(VLOOKUP($F862,'Raw Data'!$A:$M,10,0)),"",VLOOKUP($F862,'Raw Data'!$A:$M,10,0))</f>
        <v/>
      </c>
      <c r="K862" t="str">
        <f>IF(ISNA(VLOOKUP($F862,'Raw Data'!$A:$M,11,0)),"",VLOOKUP($F862,'Raw Data'!$A:$M,11,0))</f>
        <v/>
      </c>
      <c r="L862" t="str">
        <f>IF(ISNA(VLOOKUP($F862,'Raw Data'!$A:$M,12,0)),"",VLOOKUP($F862,'Raw Data'!$A:$M,12,0))</f>
        <v/>
      </c>
      <c r="M862" t="str">
        <f>IF(ISNA(VLOOKUP($F862,'Raw Data'!$A:$M,13,0)),"",VLOOKUP($F862,'Raw Data'!$A:$M,13,0))</f>
        <v/>
      </c>
    </row>
    <row r="863" spans="1:13" x14ac:dyDescent="0.25">
      <c r="A863" t="s">
        <v>38</v>
      </c>
      <c r="B863">
        <v>2012</v>
      </c>
      <c r="C863">
        <v>4.5</v>
      </c>
      <c r="D863" s="3">
        <v>740</v>
      </c>
      <c r="E863" s="3">
        <v>97</v>
      </c>
      <c r="F863" s="3" t="str">
        <f t="shared" si="13"/>
        <v>FGU920124.574097</v>
      </c>
      <c r="G863" t="str">
        <f>IF(ISNA(VLOOKUP($F863,'Raw Data'!$A:$M,7,0)),"",VLOOKUP($F863,'Raw Data'!$A:$M,7,0))</f>
        <v/>
      </c>
      <c r="H863" t="str">
        <f>IF(ISNA(VLOOKUP($F863,'Raw Data'!$A:$M,8,0)),"",VLOOKUP($F863,'Raw Data'!$A:$M,8,0))</f>
        <v/>
      </c>
      <c r="I863" t="str">
        <f>IF(ISNA(VLOOKUP($F863,'Raw Data'!$A:$M,9,0)),"",VLOOKUP($F863,'Raw Data'!$A:$M,9,0))</f>
        <v/>
      </c>
      <c r="J863" t="str">
        <f>IF(ISNA(VLOOKUP($F863,'Raw Data'!$A:$M,10,0)),"",VLOOKUP($F863,'Raw Data'!$A:$M,10,0))</f>
        <v/>
      </c>
      <c r="K863" t="str">
        <f>IF(ISNA(VLOOKUP($F863,'Raw Data'!$A:$M,11,0)),"",VLOOKUP($F863,'Raw Data'!$A:$M,11,0))</f>
        <v/>
      </c>
      <c r="L863" t="str">
        <f>IF(ISNA(VLOOKUP($F863,'Raw Data'!$A:$M,12,0)),"",VLOOKUP($F863,'Raw Data'!$A:$M,12,0))</f>
        <v/>
      </c>
      <c r="M863" t="str">
        <f>IF(ISNA(VLOOKUP($F863,'Raw Data'!$A:$M,13,0)),"",VLOOKUP($F863,'Raw Data'!$A:$M,13,0))</f>
        <v/>
      </c>
    </row>
    <row r="864" spans="1:13" x14ac:dyDescent="0.25">
      <c r="A864" t="s">
        <v>38</v>
      </c>
      <c r="B864">
        <v>2012</v>
      </c>
      <c r="C864">
        <v>4.5</v>
      </c>
      <c r="D864" s="3">
        <v>760</v>
      </c>
      <c r="E864" s="3">
        <v>97</v>
      </c>
      <c r="F864" s="3" t="str">
        <f t="shared" si="13"/>
        <v>FGU920124.576097</v>
      </c>
      <c r="G864">
        <f>IF(ISNA(VLOOKUP($F864,'Raw Data'!$A:$M,7,0)),"",VLOOKUP($F864,'Raw Data'!$A:$M,7,0))</f>
        <v>133974803.22</v>
      </c>
      <c r="H864">
        <f>IF(ISNA(VLOOKUP($F864,'Raw Data'!$A:$M,8,0)),"",VLOOKUP($F864,'Raw Data'!$A:$M,8,0))</f>
        <v>-4.0640000000000001</v>
      </c>
      <c r="I864">
        <f>IF(ISNA(VLOOKUP($F864,'Raw Data'!$A:$M,9,0)),"",VLOOKUP($F864,'Raw Data'!$A:$M,9,0))</f>
        <v>20.927700000000002</v>
      </c>
      <c r="J864">
        <f>IF(ISNA(VLOOKUP($F864,'Raw Data'!$A:$M,10,0)),"",VLOOKUP($F864,'Raw Data'!$A:$M,10,0))</f>
        <v>24.991700000000002</v>
      </c>
      <c r="K864">
        <f>IF(ISNA(VLOOKUP($F864,'Raw Data'!$A:$M,11,0)),"",VLOOKUP($F864,'Raw Data'!$A:$M,11,0))</f>
        <v>24.796199999999999</v>
      </c>
      <c r="L864">
        <f>IF(ISNA(VLOOKUP($F864,'Raw Data'!$A:$M,12,0)),"",VLOOKUP($F864,'Raw Data'!$A:$M,12,0))</f>
        <v>37.615400000000001</v>
      </c>
      <c r="M864">
        <f>IF(ISNA(VLOOKUP($F864,'Raw Data'!$A:$M,13,0)),"",VLOOKUP($F864,'Raw Data'!$A:$M,13,0))</f>
        <v>12.8192</v>
      </c>
    </row>
    <row r="865" spans="1:13" x14ac:dyDescent="0.25">
      <c r="A865" t="s">
        <v>38</v>
      </c>
      <c r="B865">
        <v>2012</v>
      </c>
      <c r="C865">
        <v>4.5</v>
      </c>
      <c r="D865" s="3">
        <v>780</v>
      </c>
      <c r="E865" s="3">
        <v>97</v>
      </c>
      <c r="F865" s="3" t="str">
        <f t="shared" si="13"/>
        <v>FGU920124.578097</v>
      </c>
      <c r="G865" t="str">
        <f>IF(ISNA(VLOOKUP($F865,'Raw Data'!$A:$M,7,0)),"",VLOOKUP($F865,'Raw Data'!$A:$M,7,0))</f>
        <v/>
      </c>
      <c r="H865" t="str">
        <f>IF(ISNA(VLOOKUP($F865,'Raw Data'!$A:$M,8,0)),"",VLOOKUP($F865,'Raw Data'!$A:$M,8,0))</f>
        <v/>
      </c>
      <c r="I865" t="str">
        <f>IF(ISNA(VLOOKUP($F865,'Raw Data'!$A:$M,9,0)),"",VLOOKUP($F865,'Raw Data'!$A:$M,9,0))</f>
        <v/>
      </c>
      <c r="J865" t="str">
        <f>IF(ISNA(VLOOKUP($F865,'Raw Data'!$A:$M,10,0)),"",VLOOKUP($F865,'Raw Data'!$A:$M,10,0))</f>
        <v/>
      </c>
      <c r="K865" t="str">
        <f>IF(ISNA(VLOOKUP($F865,'Raw Data'!$A:$M,11,0)),"",VLOOKUP($F865,'Raw Data'!$A:$M,11,0))</f>
        <v/>
      </c>
      <c r="L865" t="str">
        <f>IF(ISNA(VLOOKUP($F865,'Raw Data'!$A:$M,12,0)),"",VLOOKUP($F865,'Raw Data'!$A:$M,12,0))</f>
        <v/>
      </c>
      <c r="M865" t="str">
        <f>IF(ISNA(VLOOKUP($F865,'Raw Data'!$A:$M,13,0)),"",VLOOKUP($F865,'Raw Data'!$A:$M,13,0))</f>
        <v/>
      </c>
    </row>
    <row r="866" spans="1:13" x14ac:dyDescent="0.25">
      <c r="A866" t="s">
        <v>38</v>
      </c>
      <c r="B866">
        <v>2012</v>
      </c>
      <c r="C866">
        <v>4.5</v>
      </c>
      <c r="D866" s="3">
        <v>620</v>
      </c>
      <c r="E866" s="3">
        <v>100</v>
      </c>
      <c r="F866" s="3" t="str">
        <f t="shared" si="13"/>
        <v>FGU920124.5620100</v>
      </c>
      <c r="G866" t="str">
        <f>IF(ISNA(VLOOKUP($F866,'Raw Data'!$A:$M,7,0)),"",VLOOKUP($F866,'Raw Data'!$A:$M,7,0))</f>
        <v/>
      </c>
      <c r="H866" t="str">
        <f>IF(ISNA(VLOOKUP($F866,'Raw Data'!$A:$M,8,0)),"",VLOOKUP($F866,'Raw Data'!$A:$M,8,0))</f>
        <v/>
      </c>
      <c r="I866" t="str">
        <f>IF(ISNA(VLOOKUP($F866,'Raw Data'!$A:$M,9,0)),"",VLOOKUP($F866,'Raw Data'!$A:$M,9,0))</f>
        <v/>
      </c>
      <c r="J866" t="str">
        <f>IF(ISNA(VLOOKUP($F866,'Raw Data'!$A:$M,10,0)),"",VLOOKUP($F866,'Raw Data'!$A:$M,10,0))</f>
        <v/>
      </c>
      <c r="K866" t="str">
        <f>IF(ISNA(VLOOKUP($F866,'Raw Data'!$A:$M,11,0)),"",VLOOKUP($F866,'Raw Data'!$A:$M,11,0))</f>
        <v/>
      </c>
      <c r="L866" t="str">
        <f>IF(ISNA(VLOOKUP($F866,'Raw Data'!$A:$M,12,0)),"",VLOOKUP($F866,'Raw Data'!$A:$M,12,0))</f>
        <v/>
      </c>
      <c r="M866" t="str">
        <f>IF(ISNA(VLOOKUP($F866,'Raw Data'!$A:$M,13,0)),"",VLOOKUP($F866,'Raw Data'!$A:$M,13,0))</f>
        <v/>
      </c>
    </row>
    <row r="867" spans="1:13" x14ac:dyDescent="0.25">
      <c r="A867" t="s">
        <v>38</v>
      </c>
      <c r="B867">
        <v>2012</v>
      </c>
      <c r="C867">
        <v>4.5</v>
      </c>
      <c r="D867" s="3">
        <v>640</v>
      </c>
      <c r="E867" s="3">
        <v>100</v>
      </c>
      <c r="F867" s="3" t="str">
        <f t="shared" si="13"/>
        <v>FGU920124.5640100</v>
      </c>
      <c r="G867" t="str">
        <f>IF(ISNA(VLOOKUP($F867,'Raw Data'!$A:$M,7,0)),"",VLOOKUP($F867,'Raw Data'!$A:$M,7,0))</f>
        <v/>
      </c>
      <c r="H867" t="str">
        <f>IF(ISNA(VLOOKUP($F867,'Raw Data'!$A:$M,8,0)),"",VLOOKUP($F867,'Raw Data'!$A:$M,8,0))</f>
        <v/>
      </c>
      <c r="I867" t="str">
        <f>IF(ISNA(VLOOKUP($F867,'Raw Data'!$A:$M,9,0)),"",VLOOKUP($F867,'Raw Data'!$A:$M,9,0))</f>
        <v/>
      </c>
      <c r="J867" t="str">
        <f>IF(ISNA(VLOOKUP($F867,'Raw Data'!$A:$M,10,0)),"",VLOOKUP($F867,'Raw Data'!$A:$M,10,0))</f>
        <v/>
      </c>
      <c r="K867" t="str">
        <f>IF(ISNA(VLOOKUP($F867,'Raw Data'!$A:$M,11,0)),"",VLOOKUP($F867,'Raw Data'!$A:$M,11,0))</f>
        <v/>
      </c>
      <c r="L867" t="str">
        <f>IF(ISNA(VLOOKUP($F867,'Raw Data'!$A:$M,12,0)),"",VLOOKUP($F867,'Raw Data'!$A:$M,12,0))</f>
        <v/>
      </c>
      <c r="M867" t="str">
        <f>IF(ISNA(VLOOKUP($F867,'Raw Data'!$A:$M,13,0)),"",VLOOKUP($F867,'Raw Data'!$A:$M,13,0))</f>
        <v/>
      </c>
    </row>
    <row r="868" spans="1:13" x14ac:dyDescent="0.25">
      <c r="A868" t="s">
        <v>38</v>
      </c>
      <c r="B868">
        <v>2012</v>
      </c>
      <c r="C868">
        <v>4.5</v>
      </c>
      <c r="D868" s="3">
        <v>660</v>
      </c>
      <c r="E868" s="3">
        <v>100</v>
      </c>
      <c r="F868" s="3" t="str">
        <f t="shared" si="13"/>
        <v>FGU920124.5660100</v>
      </c>
      <c r="G868" t="str">
        <f>IF(ISNA(VLOOKUP($F868,'Raw Data'!$A:$M,7,0)),"",VLOOKUP($F868,'Raw Data'!$A:$M,7,0))</f>
        <v/>
      </c>
      <c r="H868" t="str">
        <f>IF(ISNA(VLOOKUP($F868,'Raw Data'!$A:$M,8,0)),"",VLOOKUP($F868,'Raw Data'!$A:$M,8,0))</f>
        <v/>
      </c>
      <c r="I868" t="str">
        <f>IF(ISNA(VLOOKUP($F868,'Raw Data'!$A:$M,9,0)),"",VLOOKUP($F868,'Raw Data'!$A:$M,9,0))</f>
        <v/>
      </c>
      <c r="J868" t="str">
        <f>IF(ISNA(VLOOKUP($F868,'Raw Data'!$A:$M,10,0)),"",VLOOKUP($F868,'Raw Data'!$A:$M,10,0))</f>
        <v/>
      </c>
      <c r="K868" t="str">
        <f>IF(ISNA(VLOOKUP($F868,'Raw Data'!$A:$M,11,0)),"",VLOOKUP($F868,'Raw Data'!$A:$M,11,0))</f>
        <v/>
      </c>
      <c r="L868" t="str">
        <f>IF(ISNA(VLOOKUP($F868,'Raw Data'!$A:$M,12,0)),"",VLOOKUP($F868,'Raw Data'!$A:$M,12,0))</f>
        <v/>
      </c>
      <c r="M868" t="str">
        <f>IF(ISNA(VLOOKUP($F868,'Raw Data'!$A:$M,13,0)),"",VLOOKUP($F868,'Raw Data'!$A:$M,13,0))</f>
        <v/>
      </c>
    </row>
    <row r="869" spans="1:13" x14ac:dyDescent="0.25">
      <c r="A869" t="s">
        <v>38</v>
      </c>
      <c r="B869">
        <v>2012</v>
      </c>
      <c r="C869">
        <v>4.5</v>
      </c>
      <c r="D869" s="3">
        <v>680</v>
      </c>
      <c r="E869" s="3">
        <v>100</v>
      </c>
      <c r="F869" s="3" t="str">
        <f t="shared" si="13"/>
        <v>FGU920124.5680100</v>
      </c>
      <c r="G869" t="str">
        <f>IF(ISNA(VLOOKUP($F869,'Raw Data'!$A:$M,7,0)),"",VLOOKUP($F869,'Raw Data'!$A:$M,7,0))</f>
        <v/>
      </c>
      <c r="H869" t="str">
        <f>IF(ISNA(VLOOKUP($F869,'Raw Data'!$A:$M,8,0)),"",VLOOKUP($F869,'Raw Data'!$A:$M,8,0))</f>
        <v/>
      </c>
      <c r="I869" t="str">
        <f>IF(ISNA(VLOOKUP($F869,'Raw Data'!$A:$M,9,0)),"",VLOOKUP($F869,'Raw Data'!$A:$M,9,0))</f>
        <v/>
      </c>
      <c r="J869" t="str">
        <f>IF(ISNA(VLOOKUP($F869,'Raw Data'!$A:$M,10,0)),"",VLOOKUP($F869,'Raw Data'!$A:$M,10,0))</f>
        <v/>
      </c>
      <c r="K869" t="str">
        <f>IF(ISNA(VLOOKUP($F869,'Raw Data'!$A:$M,11,0)),"",VLOOKUP($F869,'Raw Data'!$A:$M,11,0))</f>
        <v/>
      </c>
      <c r="L869" t="str">
        <f>IF(ISNA(VLOOKUP($F869,'Raw Data'!$A:$M,12,0)),"",VLOOKUP($F869,'Raw Data'!$A:$M,12,0))</f>
        <v/>
      </c>
      <c r="M869" t="str">
        <f>IF(ISNA(VLOOKUP($F869,'Raw Data'!$A:$M,13,0)),"",VLOOKUP($F869,'Raw Data'!$A:$M,13,0))</f>
        <v/>
      </c>
    </row>
    <row r="870" spans="1:13" x14ac:dyDescent="0.25">
      <c r="A870" t="s">
        <v>38</v>
      </c>
      <c r="B870">
        <v>2012</v>
      </c>
      <c r="C870">
        <v>4.5</v>
      </c>
      <c r="D870" s="3">
        <v>700</v>
      </c>
      <c r="E870" s="3">
        <v>100</v>
      </c>
      <c r="F870" s="3" t="str">
        <f t="shared" si="13"/>
        <v>FGU920124.5700100</v>
      </c>
      <c r="G870" t="str">
        <f>IF(ISNA(VLOOKUP($F870,'Raw Data'!$A:$M,7,0)),"",VLOOKUP($F870,'Raw Data'!$A:$M,7,0))</f>
        <v/>
      </c>
      <c r="H870" t="str">
        <f>IF(ISNA(VLOOKUP($F870,'Raw Data'!$A:$M,8,0)),"",VLOOKUP($F870,'Raw Data'!$A:$M,8,0))</f>
        <v/>
      </c>
      <c r="I870" t="str">
        <f>IF(ISNA(VLOOKUP($F870,'Raw Data'!$A:$M,9,0)),"",VLOOKUP($F870,'Raw Data'!$A:$M,9,0))</f>
        <v/>
      </c>
      <c r="J870" t="str">
        <f>IF(ISNA(VLOOKUP($F870,'Raw Data'!$A:$M,10,0)),"",VLOOKUP($F870,'Raw Data'!$A:$M,10,0))</f>
        <v/>
      </c>
      <c r="K870" t="str">
        <f>IF(ISNA(VLOOKUP($F870,'Raw Data'!$A:$M,11,0)),"",VLOOKUP($F870,'Raw Data'!$A:$M,11,0))</f>
        <v/>
      </c>
      <c r="L870" t="str">
        <f>IF(ISNA(VLOOKUP($F870,'Raw Data'!$A:$M,12,0)),"",VLOOKUP($F870,'Raw Data'!$A:$M,12,0))</f>
        <v/>
      </c>
      <c r="M870" t="str">
        <f>IF(ISNA(VLOOKUP($F870,'Raw Data'!$A:$M,13,0)),"",VLOOKUP($F870,'Raw Data'!$A:$M,13,0))</f>
        <v/>
      </c>
    </row>
    <row r="871" spans="1:13" x14ac:dyDescent="0.25">
      <c r="A871" t="s">
        <v>38</v>
      </c>
      <c r="B871">
        <v>2012</v>
      </c>
      <c r="C871">
        <v>4.5</v>
      </c>
      <c r="D871" s="3">
        <v>720</v>
      </c>
      <c r="E871" s="3">
        <v>100</v>
      </c>
      <c r="F871" s="3" t="str">
        <f t="shared" si="13"/>
        <v>FGU920124.5720100</v>
      </c>
      <c r="G871">
        <f>IF(ISNA(VLOOKUP($F871,'Raw Data'!$A:$M,7,0)),"",VLOOKUP($F871,'Raw Data'!$A:$M,7,0))</f>
        <v>15595419.300000001</v>
      </c>
      <c r="H871">
        <f>IF(ISNA(VLOOKUP($F871,'Raw Data'!$A:$M,8,0)),"",VLOOKUP($F871,'Raw Data'!$A:$M,8,0))</f>
        <v>9.4287265530064897</v>
      </c>
      <c r="I871">
        <f>IF(ISNA(VLOOKUP($F871,'Raw Data'!$A:$M,9,0)),"",VLOOKUP($F871,'Raw Data'!$A:$M,9,0))</f>
        <v>34.423707492256298</v>
      </c>
      <c r="J871">
        <f>IF(ISNA(VLOOKUP($F871,'Raw Data'!$A:$M,10,0)),"",VLOOKUP($F871,'Raw Data'!$A:$M,10,0))</f>
        <v>24.9949809392498</v>
      </c>
      <c r="K871">
        <f>IF(ISNA(VLOOKUP($F871,'Raw Data'!$A:$M,11,0)),"",VLOOKUP($F871,'Raw Data'!$A:$M,11,0))</f>
        <v>22.8978734789582</v>
      </c>
      <c r="L871">
        <f>IF(ISNA(VLOOKUP($F871,'Raw Data'!$A:$M,12,0)),"",VLOOKUP($F871,'Raw Data'!$A:$M,12,0))</f>
        <v>41.585059665295297</v>
      </c>
      <c r="M871">
        <f>IF(ISNA(VLOOKUP($F871,'Raw Data'!$A:$M,13,0)),"",VLOOKUP($F871,'Raw Data'!$A:$M,13,0))</f>
        <v>18.687186186337001</v>
      </c>
    </row>
    <row r="872" spans="1:13" x14ac:dyDescent="0.25">
      <c r="A872" t="s">
        <v>38</v>
      </c>
      <c r="B872">
        <v>2012</v>
      </c>
      <c r="C872">
        <v>4.5</v>
      </c>
      <c r="D872" s="3">
        <v>740</v>
      </c>
      <c r="E872" s="3">
        <v>100</v>
      </c>
      <c r="F872" s="3" t="str">
        <f t="shared" si="13"/>
        <v>FGU920124.5740100</v>
      </c>
      <c r="G872">
        <f>IF(ISNA(VLOOKUP($F872,'Raw Data'!$A:$M,7,0)),"",VLOOKUP($F872,'Raw Data'!$A:$M,7,0))</f>
        <v>2807505.53</v>
      </c>
      <c r="H872">
        <f>IF(ISNA(VLOOKUP($F872,'Raw Data'!$A:$M,8,0)),"",VLOOKUP($F872,'Raw Data'!$A:$M,8,0))</f>
        <v>20.382000000000001</v>
      </c>
      <c r="I872">
        <f>IF(ISNA(VLOOKUP($F872,'Raw Data'!$A:$M,9,0)),"",VLOOKUP($F872,'Raw Data'!$A:$M,9,0))</f>
        <v>45.378900000000002</v>
      </c>
      <c r="J872">
        <f>IF(ISNA(VLOOKUP($F872,'Raw Data'!$A:$M,10,0)),"",VLOOKUP($F872,'Raw Data'!$A:$M,10,0))</f>
        <v>24.9969</v>
      </c>
      <c r="K872">
        <f>IF(ISNA(VLOOKUP($F872,'Raw Data'!$A:$M,11,0)),"",VLOOKUP($F872,'Raw Data'!$A:$M,11,0))</f>
        <v>27.901900000000001</v>
      </c>
      <c r="L872">
        <f>IF(ISNA(VLOOKUP($F872,'Raw Data'!$A:$M,12,0)),"",VLOOKUP($F872,'Raw Data'!$A:$M,12,0))</f>
        <v>49.250500000000002</v>
      </c>
      <c r="M872">
        <f>IF(ISNA(VLOOKUP($F872,'Raw Data'!$A:$M,13,0)),"",VLOOKUP($F872,'Raw Data'!$A:$M,13,0))</f>
        <v>21.348600000000001</v>
      </c>
    </row>
    <row r="873" spans="1:13" x14ac:dyDescent="0.25">
      <c r="A873" t="s">
        <v>38</v>
      </c>
      <c r="B873">
        <v>2012</v>
      </c>
      <c r="C873">
        <v>4.5</v>
      </c>
      <c r="D873" s="3">
        <v>760</v>
      </c>
      <c r="E873" s="3">
        <v>100</v>
      </c>
      <c r="F873" s="3" t="str">
        <f t="shared" si="13"/>
        <v>FGU920124.5760100</v>
      </c>
      <c r="G873" t="str">
        <f>IF(ISNA(VLOOKUP($F873,'Raw Data'!$A:$M,7,0)),"",VLOOKUP($F873,'Raw Data'!$A:$M,7,0))</f>
        <v/>
      </c>
      <c r="H873" t="str">
        <f>IF(ISNA(VLOOKUP($F873,'Raw Data'!$A:$M,8,0)),"",VLOOKUP($F873,'Raw Data'!$A:$M,8,0))</f>
        <v/>
      </c>
      <c r="I873" t="str">
        <f>IF(ISNA(VLOOKUP($F873,'Raw Data'!$A:$M,9,0)),"",VLOOKUP($F873,'Raw Data'!$A:$M,9,0))</f>
        <v/>
      </c>
      <c r="J873" t="str">
        <f>IF(ISNA(VLOOKUP($F873,'Raw Data'!$A:$M,10,0)),"",VLOOKUP($F873,'Raw Data'!$A:$M,10,0))</f>
        <v/>
      </c>
      <c r="K873" t="str">
        <f>IF(ISNA(VLOOKUP($F873,'Raw Data'!$A:$M,11,0)),"",VLOOKUP($F873,'Raw Data'!$A:$M,11,0))</f>
        <v/>
      </c>
      <c r="L873" t="str">
        <f>IF(ISNA(VLOOKUP($F873,'Raw Data'!$A:$M,12,0)),"",VLOOKUP($F873,'Raw Data'!$A:$M,12,0))</f>
        <v/>
      </c>
      <c r="M873" t="str">
        <f>IF(ISNA(VLOOKUP($F873,'Raw Data'!$A:$M,13,0)),"",VLOOKUP($F873,'Raw Data'!$A:$M,13,0))</f>
        <v/>
      </c>
    </row>
    <row r="874" spans="1:13" x14ac:dyDescent="0.25">
      <c r="A874" t="s">
        <v>38</v>
      </c>
      <c r="B874">
        <v>2012</v>
      </c>
      <c r="C874">
        <v>4.5</v>
      </c>
      <c r="D874" s="3">
        <v>780</v>
      </c>
      <c r="E874" s="3">
        <v>100</v>
      </c>
      <c r="F874" s="3" t="str">
        <f t="shared" si="13"/>
        <v>FGU920124.5780100</v>
      </c>
      <c r="G874" t="str">
        <f>IF(ISNA(VLOOKUP($F874,'Raw Data'!$A:$M,7,0)),"",VLOOKUP($F874,'Raw Data'!$A:$M,7,0))</f>
        <v/>
      </c>
      <c r="H874" t="str">
        <f>IF(ISNA(VLOOKUP($F874,'Raw Data'!$A:$M,8,0)),"",VLOOKUP($F874,'Raw Data'!$A:$M,8,0))</f>
        <v/>
      </c>
      <c r="I874" t="str">
        <f>IF(ISNA(VLOOKUP($F874,'Raw Data'!$A:$M,9,0)),"",VLOOKUP($F874,'Raw Data'!$A:$M,9,0))</f>
        <v/>
      </c>
      <c r="J874" t="str">
        <f>IF(ISNA(VLOOKUP($F874,'Raw Data'!$A:$M,10,0)),"",VLOOKUP($F874,'Raw Data'!$A:$M,10,0))</f>
        <v/>
      </c>
      <c r="K874" t="str">
        <f>IF(ISNA(VLOOKUP($F874,'Raw Data'!$A:$M,11,0)),"",VLOOKUP($F874,'Raw Data'!$A:$M,11,0))</f>
        <v/>
      </c>
      <c r="L874" t="str">
        <f>IF(ISNA(VLOOKUP($F874,'Raw Data'!$A:$M,12,0)),"",VLOOKUP($F874,'Raw Data'!$A:$M,12,0))</f>
        <v/>
      </c>
      <c r="M874" t="str">
        <f>IF(ISNA(VLOOKUP($F874,'Raw Data'!$A:$M,13,0)),"",VLOOKUP($F874,'Raw Data'!$A:$M,13,0))</f>
        <v/>
      </c>
    </row>
    <row r="875" spans="1:13" x14ac:dyDescent="0.25">
      <c r="A875" t="s">
        <v>38</v>
      </c>
      <c r="B875">
        <v>2012</v>
      </c>
      <c r="C875">
        <v>4.5</v>
      </c>
      <c r="D875" s="3">
        <v>620</v>
      </c>
      <c r="E875" s="3" t="s">
        <v>9</v>
      </c>
      <c r="F875" s="3" t="str">
        <f t="shared" si="13"/>
        <v>FGU920124.5620100+</v>
      </c>
      <c r="G875" t="str">
        <f>IF(ISNA(VLOOKUP($F875,'Raw Data'!$A:$M,7,0)),"",VLOOKUP($F875,'Raw Data'!$A:$M,7,0))</f>
        <v/>
      </c>
      <c r="H875" t="str">
        <f>IF(ISNA(VLOOKUP($F875,'Raw Data'!$A:$M,8,0)),"",VLOOKUP($F875,'Raw Data'!$A:$M,8,0))</f>
        <v/>
      </c>
      <c r="I875" t="str">
        <f>IF(ISNA(VLOOKUP($F875,'Raw Data'!$A:$M,9,0)),"",VLOOKUP($F875,'Raw Data'!$A:$M,9,0))</f>
        <v/>
      </c>
      <c r="J875" t="str">
        <f>IF(ISNA(VLOOKUP($F875,'Raw Data'!$A:$M,10,0)),"",VLOOKUP($F875,'Raw Data'!$A:$M,10,0))</f>
        <v/>
      </c>
      <c r="K875" t="str">
        <f>IF(ISNA(VLOOKUP($F875,'Raw Data'!$A:$M,11,0)),"",VLOOKUP($F875,'Raw Data'!$A:$M,11,0))</f>
        <v/>
      </c>
      <c r="L875" t="str">
        <f>IF(ISNA(VLOOKUP($F875,'Raw Data'!$A:$M,12,0)),"",VLOOKUP($F875,'Raw Data'!$A:$M,12,0))</f>
        <v/>
      </c>
      <c r="M875" t="str">
        <f>IF(ISNA(VLOOKUP($F875,'Raw Data'!$A:$M,13,0)),"",VLOOKUP($F875,'Raw Data'!$A:$M,13,0))</f>
        <v/>
      </c>
    </row>
    <row r="876" spans="1:13" x14ac:dyDescent="0.25">
      <c r="A876" t="s">
        <v>38</v>
      </c>
      <c r="B876">
        <v>2012</v>
      </c>
      <c r="C876">
        <v>4.5</v>
      </c>
      <c r="D876" s="3">
        <v>640</v>
      </c>
      <c r="E876" s="3" t="s">
        <v>9</v>
      </c>
      <c r="F876" s="3" t="str">
        <f t="shared" si="13"/>
        <v>FGU920124.5640100+</v>
      </c>
      <c r="G876" t="str">
        <f>IF(ISNA(VLOOKUP($F876,'Raw Data'!$A:$M,7,0)),"",VLOOKUP($F876,'Raw Data'!$A:$M,7,0))</f>
        <v/>
      </c>
      <c r="H876" t="str">
        <f>IF(ISNA(VLOOKUP($F876,'Raw Data'!$A:$M,8,0)),"",VLOOKUP($F876,'Raw Data'!$A:$M,8,0))</f>
        <v/>
      </c>
      <c r="I876" t="str">
        <f>IF(ISNA(VLOOKUP($F876,'Raw Data'!$A:$M,9,0)),"",VLOOKUP($F876,'Raw Data'!$A:$M,9,0))</f>
        <v/>
      </c>
      <c r="J876" t="str">
        <f>IF(ISNA(VLOOKUP($F876,'Raw Data'!$A:$M,10,0)),"",VLOOKUP($F876,'Raw Data'!$A:$M,10,0))</f>
        <v/>
      </c>
      <c r="K876" t="str">
        <f>IF(ISNA(VLOOKUP($F876,'Raw Data'!$A:$M,11,0)),"",VLOOKUP($F876,'Raw Data'!$A:$M,11,0))</f>
        <v/>
      </c>
      <c r="L876" t="str">
        <f>IF(ISNA(VLOOKUP($F876,'Raw Data'!$A:$M,12,0)),"",VLOOKUP($F876,'Raw Data'!$A:$M,12,0))</f>
        <v/>
      </c>
      <c r="M876" t="str">
        <f>IF(ISNA(VLOOKUP($F876,'Raw Data'!$A:$M,13,0)),"",VLOOKUP($F876,'Raw Data'!$A:$M,13,0))</f>
        <v/>
      </c>
    </row>
    <row r="877" spans="1:13" x14ac:dyDescent="0.25">
      <c r="A877" t="s">
        <v>38</v>
      </c>
      <c r="B877">
        <v>2012</v>
      </c>
      <c r="C877">
        <v>4.5</v>
      </c>
      <c r="D877" s="3">
        <v>660</v>
      </c>
      <c r="E877" s="3" t="s">
        <v>9</v>
      </c>
      <c r="F877" s="3" t="str">
        <f t="shared" si="13"/>
        <v>FGU920124.5660100+</v>
      </c>
      <c r="G877" t="str">
        <f>IF(ISNA(VLOOKUP($F877,'Raw Data'!$A:$M,7,0)),"",VLOOKUP($F877,'Raw Data'!$A:$M,7,0))</f>
        <v/>
      </c>
      <c r="H877" t="str">
        <f>IF(ISNA(VLOOKUP($F877,'Raw Data'!$A:$M,8,0)),"",VLOOKUP($F877,'Raw Data'!$A:$M,8,0))</f>
        <v/>
      </c>
      <c r="I877" t="str">
        <f>IF(ISNA(VLOOKUP($F877,'Raw Data'!$A:$M,9,0)),"",VLOOKUP($F877,'Raw Data'!$A:$M,9,0))</f>
        <v/>
      </c>
      <c r="J877" t="str">
        <f>IF(ISNA(VLOOKUP($F877,'Raw Data'!$A:$M,10,0)),"",VLOOKUP($F877,'Raw Data'!$A:$M,10,0))</f>
        <v/>
      </c>
      <c r="K877" t="str">
        <f>IF(ISNA(VLOOKUP($F877,'Raw Data'!$A:$M,11,0)),"",VLOOKUP($F877,'Raw Data'!$A:$M,11,0))</f>
        <v/>
      </c>
      <c r="L877" t="str">
        <f>IF(ISNA(VLOOKUP($F877,'Raw Data'!$A:$M,12,0)),"",VLOOKUP($F877,'Raw Data'!$A:$M,12,0))</f>
        <v/>
      </c>
      <c r="M877" t="str">
        <f>IF(ISNA(VLOOKUP($F877,'Raw Data'!$A:$M,13,0)),"",VLOOKUP($F877,'Raw Data'!$A:$M,13,0))</f>
        <v/>
      </c>
    </row>
    <row r="878" spans="1:13" x14ac:dyDescent="0.25">
      <c r="A878" t="s">
        <v>38</v>
      </c>
      <c r="B878">
        <v>2012</v>
      </c>
      <c r="C878">
        <v>4.5</v>
      </c>
      <c r="D878" s="3">
        <v>680</v>
      </c>
      <c r="E878" s="3" t="s">
        <v>9</v>
      </c>
      <c r="F878" s="3" t="str">
        <f t="shared" si="13"/>
        <v>FGU920124.5680100+</v>
      </c>
      <c r="G878" t="str">
        <f>IF(ISNA(VLOOKUP($F878,'Raw Data'!$A:$M,7,0)),"",VLOOKUP($F878,'Raw Data'!$A:$M,7,0))</f>
        <v/>
      </c>
      <c r="H878" t="str">
        <f>IF(ISNA(VLOOKUP($F878,'Raw Data'!$A:$M,8,0)),"",VLOOKUP($F878,'Raw Data'!$A:$M,8,0))</f>
        <v/>
      </c>
      <c r="I878" t="str">
        <f>IF(ISNA(VLOOKUP($F878,'Raw Data'!$A:$M,9,0)),"",VLOOKUP($F878,'Raw Data'!$A:$M,9,0))</f>
        <v/>
      </c>
      <c r="J878" t="str">
        <f>IF(ISNA(VLOOKUP($F878,'Raw Data'!$A:$M,10,0)),"",VLOOKUP($F878,'Raw Data'!$A:$M,10,0))</f>
        <v/>
      </c>
      <c r="K878" t="str">
        <f>IF(ISNA(VLOOKUP($F878,'Raw Data'!$A:$M,11,0)),"",VLOOKUP($F878,'Raw Data'!$A:$M,11,0))</f>
        <v/>
      </c>
      <c r="L878" t="str">
        <f>IF(ISNA(VLOOKUP($F878,'Raw Data'!$A:$M,12,0)),"",VLOOKUP($F878,'Raw Data'!$A:$M,12,0))</f>
        <v/>
      </c>
      <c r="M878" t="str">
        <f>IF(ISNA(VLOOKUP($F878,'Raw Data'!$A:$M,13,0)),"",VLOOKUP($F878,'Raw Data'!$A:$M,13,0))</f>
        <v/>
      </c>
    </row>
    <row r="879" spans="1:13" x14ac:dyDescent="0.25">
      <c r="A879" t="s">
        <v>38</v>
      </c>
      <c r="B879">
        <v>2012</v>
      </c>
      <c r="C879">
        <v>4.5</v>
      </c>
      <c r="D879" s="3">
        <v>700</v>
      </c>
      <c r="E879" s="3" t="s">
        <v>9</v>
      </c>
      <c r="F879" s="3" t="str">
        <f t="shared" si="13"/>
        <v>FGU920124.5700100+</v>
      </c>
      <c r="G879" t="str">
        <f>IF(ISNA(VLOOKUP($F879,'Raw Data'!$A:$M,7,0)),"",VLOOKUP($F879,'Raw Data'!$A:$M,7,0))</f>
        <v/>
      </c>
      <c r="H879" t="str">
        <f>IF(ISNA(VLOOKUP($F879,'Raw Data'!$A:$M,8,0)),"",VLOOKUP($F879,'Raw Data'!$A:$M,8,0))</f>
        <v/>
      </c>
      <c r="I879" t="str">
        <f>IF(ISNA(VLOOKUP($F879,'Raw Data'!$A:$M,9,0)),"",VLOOKUP($F879,'Raw Data'!$A:$M,9,0))</f>
        <v/>
      </c>
      <c r="J879" t="str">
        <f>IF(ISNA(VLOOKUP($F879,'Raw Data'!$A:$M,10,0)),"",VLOOKUP($F879,'Raw Data'!$A:$M,10,0))</f>
        <v/>
      </c>
      <c r="K879" t="str">
        <f>IF(ISNA(VLOOKUP($F879,'Raw Data'!$A:$M,11,0)),"",VLOOKUP($F879,'Raw Data'!$A:$M,11,0))</f>
        <v/>
      </c>
      <c r="L879" t="str">
        <f>IF(ISNA(VLOOKUP($F879,'Raw Data'!$A:$M,12,0)),"",VLOOKUP($F879,'Raw Data'!$A:$M,12,0))</f>
        <v/>
      </c>
      <c r="M879" t="str">
        <f>IF(ISNA(VLOOKUP($F879,'Raw Data'!$A:$M,13,0)),"",VLOOKUP($F879,'Raw Data'!$A:$M,13,0))</f>
        <v/>
      </c>
    </row>
    <row r="880" spans="1:13" x14ac:dyDescent="0.25">
      <c r="A880" t="s">
        <v>38</v>
      </c>
      <c r="B880">
        <v>2012</v>
      </c>
      <c r="C880">
        <v>4.5</v>
      </c>
      <c r="D880" s="3">
        <v>720</v>
      </c>
      <c r="E880" s="3" t="s">
        <v>9</v>
      </c>
      <c r="F880" s="3" t="str">
        <f t="shared" si="13"/>
        <v>FGU920124.5720100+</v>
      </c>
      <c r="G880">
        <f>IF(ISNA(VLOOKUP($F880,'Raw Data'!$A:$M,7,0)),"",VLOOKUP($F880,'Raw Data'!$A:$M,7,0))</f>
        <v>8145104.8899999997</v>
      </c>
      <c r="H880">
        <f>IF(ISNA(VLOOKUP($F880,'Raw Data'!$A:$M,8,0)),"",VLOOKUP($F880,'Raw Data'!$A:$M,8,0))</f>
        <v>-3.8733</v>
      </c>
      <c r="I880">
        <f>IF(ISNA(VLOOKUP($F880,'Raw Data'!$A:$M,9,0)),"",VLOOKUP($F880,'Raw Data'!$A:$M,9,0))</f>
        <v>21.124099999999999</v>
      </c>
      <c r="J880">
        <f>IF(ISNA(VLOOKUP($F880,'Raw Data'!$A:$M,10,0)),"",VLOOKUP($F880,'Raw Data'!$A:$M,10,0))</f>
        <v>24.997399999999999</v>
      </c>
      <c r="K880">
        <f>IF(ISNA(VLOOKUP($F880,'Raw Data'!$A:$M,11,0)),"",VLOOKUP($F880,'Raw Data'!$A:$M,11,0))</f>
        <v>12.1027</v>
      </c>
      <c r="L880">
        <f>IF(ISNA(VLOOKUP($F880,'Raw Data'!$A:$M,12,0)),"",VLOOKUP($F880,'Raw Data'!$A:$M,12,0))</f>
        <v>30.241700000000002</v>
      </c>
      <c r="M880">
        <f>IF(ISNA(VLOOKUP($F880,'Raw Data'!$A:$M,13,0)),"",VLOOKUP($F880,'Raw Data'!$A:$M,13,0))</f>
        <v>18.138999999999999</v>
      </c>
    </row>
    <row r="881" spans="1:13" x14ac:dyDescent="0.25">
      <c r="A881" t="s">
        <v>38</v>
      </c>
      <c r="B881">
        <v>2012</v>
      </c>
      <c r="C881">
        <v>4.5</v>
      </c>
      <c r="D881" s="3">
        <v>740</v>
      </c>
      <c r="E881" s="3" t="s">
        <v>9</v>
      </c>
      <c r="F881" s="3" t="str">
        <f t="shared" si="13"/>
        <v>FGU920124.5740100+</v>
      </c>
      <c r="G881">
        <f>IF(ISNA(VLOOKUP($F881,'Raw Data'!$A:$M,7,0)),"",VLOOKUP($F881,'Raw Data'!$A:$M,7,0))</f>
        <v>88943742.379999995</v>
      </c>
      <c r="H881">
        <f>IF(ISNA(VLOOKUP($F881,'Raw Data'!$A:$M,8,0)),"",VLOOKUP($F881,'Raw Data'!$A:$M,8,0))</f>
        <v>-2.08040496920913</v>
      </c>
      <c r="I881">
        <f>IF(ISNA(VLOOKUP($F881,'Raw Data'!$A:$M,9,0)),"",VLOOKUP($F881,'Raw Data'!$A:$M,9,0))</f>
        <v>22.915629197267101</v>
      </c>
      <c r="J881">
        <f>IF(ISNA(VLOOKUP($F881,'Raw Data'!$A:$M,10,0)),"",VLOOKUP($F881,'Raw Data'!$A:$M,10,0))</f>
        <v>24.9960341664762</v>
      </c>
      <c r="K881">
        <f>IF(ISNA(VLOOKUP($F881,'Raw Data'!$A:$M,11,0)),"",VLOOKUP($F881,'Raw Data'!$A:$M,11,0))</f>
        <v>10.451983047353099</v>
      </c>
      <c r="L881">
        <f>IF(ISNA(VLOOKUP($F881,'Raw Data'!$A:$M,12,0)),"",VLOOKUP($F881,'Raw Data'!$A:$M,12,0))</f>
        <v>29.022975712695299</v>
      </c>
      <c r="M881">
        <f>IF(ISNA(VLOOKUP($F881,'Raw Data'!$A:$M,13,0)),"",VLOOKUP($F881,'Raw Data'!$A:$M,13,0))</f>
        <v>18.5709926653422</v>
      </c>
    </row>
    <row r="882" spans="1:13" x14ac:dyDescent="0.25">
      <c r="A882" t="s">
        <v>38</v>
      </c>
      <c r="B882">
        <v>2012</v>
      </c>
      <c r="C882">
        <v>4.5</v>
      </c>
      <c r="D882" s="3">
        <v>760</v>
      </c>
      <c r="E882" s="3" t="s">
        <v>9</v>
      </c>
      <c r="F882" s="3" t="str">
        <f t="shared" si="13"/>
        <v>FGU920124.5760100+</v>
      </c>
      <c r="G882">
        <f>IF(ISNA(VLOOKUP($F882,'Raw Data'!$A:$M,7,0)),"",VLOOKUP($F882,'Raw Data'!$A:$M,7,0))</f>
        <v>47050527.600000001</v>
      </c>
      <c r="H882">
        <f>IF(ISNA(VLOOKUP($F882,'Raw Data'!$A:$M,8,0)),"",VLOOKUP($F882,'Raw Data'!$A:$M,8,0))</f>
        <v>15.8198663818275</v>
      </c>
      <c r="I882">
        <f>IF(ISNA(VLOOKUP($F882,'Raw Data'!$A:$M,9,0)),"",VLOOKUP($F882,'Raw Data'!$A:$M,9,0))</f>
        <v>40.815215492866201</v>
      </c>
      <c r="J882">
        <f>IF(ISNA(VLOOKUP($F882,'Raw Data'!$A:$M,10,0)),"",VLOOKUP($F882,'Raw Data'!$A:$M,10,0))</f>
        <v>24.9953491110386</v>
      </c>
      <c r="K882">
        <f>IF(ISNA(VLOOKUP($F882,'Raw Data'!$A:$M,11,0)),"",VLOOKUP($F882,'Raw Data'!$A:$M,11,0))</f>
        <v>31.276532492269201</v>
      </c>
      <c r="L882">
        <f>IF(ISNA(VLOOKUP($F882,'Raw Data'!$A:$M,12,0)),"",VLOOKUP($F882,'Raw Data'!$A:$M,12,0))</f>
        <v>48.6584141483591</v>
      </c>
      <c r="M882">
        <f>IF(ISNA(VLOOKUP($F882,'Raw Data'!$A:$M,13,0)),"",VLOOKUP($F882,'Raw Data'!$A:$M,13,0))</f>
        <v>17.381881656089799</v>
      </c>
    </row>
    <row r="883" spans="1:13" x14ac:dyDescent="0.25">
      <c r="A883" t="s">
        <v>38</v>
      </c>
      <c r="B883">
        <v>2012</v>
      </c>
      <c r="C883">
        <v>4.5</v>
      </c>
      <c r="D883" s="3">
        <v>780</v>
      </c>
      <c r="E883" s="3" t="s">
        <v>9</v>
      </c>
      <c r="F883" s="3" t="str">
        <f t="shared" si="13"/>
        <v>FGU920124.5780100+</v>
      </c>
      <c r="G883">
        <f>IF(ISNA(VLOOKUP($F883,'Raw Data'!$A:$M,7,0)),"",VLOOKUP($F883,'Raw Data'!$A:$M,7,0))</f>
        <v>5537165.9100000001</v>
      </c>
      <c r="H883">
        <f>IF(ISNA(VLOOKUP($F883,'Raw Data'!$A:$M,8,0)),"",VLOOKUP($F883,'Raw Data'!$A:$M,8,0))</f>
        <v>23.8748745947027</v>
      </c>
      <c r="I883">
        <f>IF(ISNA(VLOOKUP($F883,'Raw Data'!$A:$M,9,0)),"",VLOOKUP($F883,'Raw Data'!$A:$M,9,0))</f>
        <v>48.871697019973702</v>
      </c>
      <c r="J883">
        <f>IF(ISNA(VLOOKUP($F883,'Raw Data'!$A:$M,10,0)),"",VLOOKUP($F883,'Raw Data'!$A:$M,10,0))</f>
        <v>24.996822425270899</v>
      </c>
      <c r="K883">
        <f>IF(ISNA(VLOOKUP($F883,'Raw Data'!$A:$M,11,0)),"",VLOOKUP($F883,'Raw Data'!$A:$M,11,0))</f>
        <v>40.063766877131101</v>
      </c>
      <c r="L883">
        <f>IF(ISNA(VLOOKUP($F883,'Raw Data'!$A:$M,12,0)),"",VLOOKUP($F883,'Raw Data'!$A:$M,12,0))</f>
        <v>58.0246940392298</v>
      </c>
      <c r="M883">
        <f>IF(ISNA(VLOOKUP($F883,'Raw Data'!$A:$M,13,0)),"",VLOOKUP($F883,'Raw Data'!$A:$M,13,0))</f>
        <v>17.960927162098699</v>
      </c>
    </row>
    <row r="884" spans="1:13" x14ac:dyDescent="0.25">
      <c r="A884" t="s">
        <v>38</v>
      </c>
      <c r="B884">
        <v>2013</v>
      </c>
      <c r="C884">
        <v>4.5</v>
      </c>
      <c r="D884" s="3">
        <v>620</v>
      </c>
      <c r="E884" s="3">
        <v>80</v>
      </c>
      <c r="F884" s="3" t="str">
        <f t="shared" si="13"/>
        <v>FGU920134.562080</v>
      </c>
      <c r="G884" t="str">
        <f>IF(ISNA(VLOOKUP($F884,'Raw Data'!$A:$M,7,0)),"",VLOOKUP($F884,'Raw Data'!$A:$M,7,0))</f>
        <v/>
      </c>
      <c r="H884" t="str">
        <f>IF(ISNA(VLOOKUP($F884,'Raw Data'!$A:$M,8,0)),"",VLOOKUP($F884,'Raw Data'!$A:$M,8,0))</f>
        <v/>
      </c>
      <c r="I884" t="str">
        <f>IF(ISNA(VLOOKUP($F884,'Raw Data'!$A:$M,9,0)),"",VLOOKUP($F884,'Raw Data'!$A:$M,9,0))</f>
        <v/>
      </c>
      <c r="J884" t="str">
        <f>IF(ISNA(VLOOKUP($F884,'Raw Data'!$A:$M,10,0)),"",VLOOKUP($F884,'Raw Data'!$A:$M,10,0))</f>
        <v/>
      </c>
      <c r="K884" t="str">
        <f>IF(ISNA(VLOOKUP($F884,'Raw Data'!$A:$M,11,0)),"",VLOOKUP($F884,'Raw Data'!$A:$M,11,0))</f>
        <v/>
      </c>
      <c r="L884" t="str">
        <f>IF(ISNA(VLOOKUP($F884,'Raw Data'!$A:$M,12,0)),"",VLOOKUP($F884,'Raw Data'!$A:$M,12,0))</f>
        <v/>
      </c>
      <c r="M884" t="str">
        <f>IF(ISNA(VLOOKUP($F884,'Raw Data'!$A:$M,13,0)),"",VLOOKUP($F884,'Raw Data'!$A:$M,13,0))</f>
        <v/>
      </c>
    </row>
    <row r="885" spans="1:13" x14ac:dyDescent="0.25">
      <c r="A885" t="s">
        <v>38</v>
      </c>
      <c r="B885">
        <v>2013</v>
      </c>
      <c r="C885">
        <v>4.5</v>
      </c>
      <c r="D885" s="3">
        <v>640</v>
      </c>
      <c r="E885" s="3">
        <v>80</v>
      </c>
      <c r="F885" s="3" t="str">
        <f t="shared" si="13"/>
        <v>FGU920134.564080</v>
      </c>
      <c r="G885" t="str">
        <f>IF(ISNA(VLOOKUP($F885,'Raw Data'!$A:$M,7,0)),"",VLOOKUP($F885,'Raw Data'!$A:$M,7,0))</f>
        <v/>
      </c>
      <c r="H885" t="str">
        <f>IF(ISNA(VLOOKUP($F885,'Raw Data'!$A:$M,8,0)),"",VLOOKUP($F885,'Raw Data'!$A:$M,8,0))</f>
        <v/>
      </c>
      <c r="I885" t="str">
        <f>IF(ISNA(VLOOKUP($F885,'Raw Data'!$A:$M,9,0)),"",VLOOKUP($F885,'Raw Data'!$A:$M,9,0))</f>
        <v/>
      </c>
      <c r="J885" t="str">
        <f>IF(ISNA(VLOOKUP($F885,'Raw Data'!$A:$M,10,0)),"",VLOOKUP($F885,'Raw Data'!$A:$M,10,0))</f>
        <v/>
      </c>
      <c r="K885" t="str">
        <f>IF(ISNA(VLOOKUP($F885,'Raw Data'!$A:$M,11,0)),"",VLOOKUP($F885,'Raw Data'!$A:$M,11,0))</f>
        <v/>
      </c>
      <c r="L885" t="str">
        <f>IF(ISNA(VLOOKUP($F885,'Raw Data'!$A:$M,12,0)),"",VLOOKUP($F885,'Raw Data'!$A:$M,12,0))</f>
        <v/>
      </c>
      <c r="M885" t="str">
        <f>IF(ISNA(VLOOKUP($F885,'Raw Data'!$A:$M,13,0)),"",VLOOKUP($F885,'Raw Data'!$A:$M,13,0))</f>
        <v/>
      </c>
    </row>
    <row r="886" spans="1:13" x14ac:dyDescent="0.25">
      <c r="A886" t="s">
        <v>38</v>
      </c>
      <c r="B886">
        <v>2013</v>
      </c>
      <c r="C886">
        <v>4.5</v>
      </c>
      <c r="D886" s="3">
        <v>660</v>
      </c>
      <c r="E886" s="3">
        <v>80</v>
      </c>
      <c r="F886" s="3" t="str">
        <f t="shared" si="13"/>
        <v>FGU920134.566080</v>
      </c>
      <c r="G886" t="str">
        <f>IF(ISNA(VLOOKUP($F886,'Raw Data'!$A:$M,7,0)),"",VLOOKUP($F886,'Raw Data'!$A:$M,7,0))</f>
        <v/>
      </c>
      <c r="H886" t="str">
        <f>IF(ISNA(VLOOKUP($F886,'Raw Data'!$A:$M,8,0)),"",VLOOKUP($F886,'Raw Data'!$A:$M,8,0))</f>
        <v/>
      </c>
      <c r="I886" t="str">
        <f>IF(ISNA(VLOOKUP($F886,'Raw Data'!$A:$M,9,0)),"",VLOOKUP($F886,'Raw Data'!$A:$M,9,0))</f>
        <v/>
      </c>
      <c r="J886" t="str">
        <f>IF(ISNA(VLOOKUP($F886,'Raw Data'!$A:$M,10,0)),"",VLOOKUP($F886,'Raw Data'!$A:$M,10,0))</f>
        <v/>
      </c>
      <c r="K886" t="str">
        <f>IF(ISNA(VLOOKUP($F886,'Raw Data'!$A:$M,11,0)),"",VLOOKUP($F886,'Raw Data'!$A:$M,11,0))</f>
        <v/>
      </c>
      <c r="L886" t="str">
        <f>IF(ISNA(VLOOKUP($F886,'Raw Data'!$A:$M,12,0)),"",VLOOKUP($F886,'Raw Data'!$A:$M,12,0))</f>
        <v/>
      </c>
      <c r="M886" t="str">
        <f>IF(ISNA(VLOOKUP($F886,'Raw Data'!$A:$M,13,0)),"",VLOOKUP($F886,'Raw Data'!$A:$M,13,0))</f>
        <v/>
      </c>
    </row>
    <row r="887" spans="1:13" x14ac:dyDescent="0.25">
      <c r="A887" t="s">
        <v>38</v>
      </c>
      <c r="B887">
        <v>2013</v>
      </c>
      <c r="C887">
        <v>4.5</v>
      </c>
      <c r="D887" s="3">
        <v>680</v>
      </c>
      <c r="E887" s="3">
        <v>80</v>
      </c>
      <c r="F887" s="3" t="str">
        <f t="shared" si="13"/>
        <v>FGU920134.568080</v>
      </c>
      <c r="G887" t="str">
        <f>IF(ISNA(VLOOKUP($F887,'Raw Data'!$A:$M,7,0)),"",VLOOKUP($F887,'Raw Data'!$A:$M,7,0))</f>
        <v/>
      </c>
      <c r="H887" t="str">
        <f>IF(ISNA(VLOOKUP($F887,'Raw Data'!$A:$M,8,0)),"",VLOOKUP($F887,'Raw Data'!$A:$M,8,0))</f>
        <v/>
      </c>
      <c r="I887" t="str">
        <f>IF(ISNA(VLOOKUP($F887,'Raw Data'!$A:$M,9,0)),"",VLOOKUP($F887,'Raw Data'!$A:$M,9,0))</f>
        <v/>
      </c>
      <c r="J887" t="str">
        <f>IF(ISNA(VLOOKUP($F887,'Raw Data'!$A:$M,10,0)),"",VLOOKUP($F887,'Raw Data'!$A:$M,10,0))</f>
        <v/>
      </c>
      <c r="K887" t="str">
        <f>IF(ISNA(VLOOKUP($F887,'Raw Data'!$A:$M,11,0)),"",VLOOKUP($F887,'Raw Data'!$A:$M,11,0))</f>
        <v/>
      </c>
      <c r="L887" t="str">
        <f>IF(ISNA(VLOOKUP($F887,'Raw Data'!$A:$M,12,0)),"",VLOOKUP($F887,'Raw Data'!$A:$M,12,0))</f>
        <v/>
      </c>
      <c r="M887" t="str">
        <f>IF(ISNA(VLOOKUP($F887,'Raw Data'!$A:$M,13,0)),"",VLOOKUP($F887,'Raw Data'!$A:$M,13,0))</f>
        <v/>
      </c>
    </row>
    <row r="888" spans="1:13" x14ac:dyDescent="0.25">
      <c r="A888" t="s">
        <v>38</v>
      </c>
      <c r="B888">
        <v>2013</v>
      </c>
      <c r="C888">
        <v>4.5</v>
      </c>
      <c r="D888" s="3">
        <v>700</v>
      </c>
      <c r="E888" s="3">
        <v>80</v>
      </c>
      <c r="F888" s="3" t="str">
        <f t="shared" si="13"/>
        <v>FGU920134.570080</v>
      </c>
      <c r="G888" t="str">
        <f>IF(ISNA(VLOOKUP($F888,'Raw Data'!$A:$M,7,0)),"",VLOOKUP($F888,'Raw Data'!$A:$M,7,0))</f>
        <v/>
      </c>
      <c r="H888" t="str">
        <f>IF(ISNA(VLOOKUP($F888,'Raw Data'!$A:$M,8,0)),"",VLOOKUP($F888,'Raw Data'!$A:$M,8,0))</f>
        <v/>
      </c>
      <c r="I888" t="str">
        <f>IF(ISNA(VLOOKUP($F888,'Raw Data'!$A:$M,9,0)),"",VLOOKUP($F888,'Raw Data'!$A:$M,9,0))</f>
        <v/>
      </c>
      <c r="J888" t="str">
        <f>IF(ISNA(VLOOKUP($F888,'Raw Data'!$A:$M,10,0)),"",VLOOKUP($F888,'Raw Data'!$A:$M,10,0))</f>
        <v/>
      </c>
      <c r="K888" t="str">
        <f>IF(ISNA(VLOOKUP($F888,'Raw Data'!$A:$M,11,0)),"",VLOOKUP($F888,'Raw Data'!$A:$M,11,0))</f>
        <v/>
      </c>
      <c r="L888" t="str">
        <f>IF(ISNA(VLOOKUP($F888,'Raw Data'!$A:$M,12,0)),"",VLOOKUP($F888,'Raw Data'!$A:$M,12,0))</f>
        <v/>
      </c>
      <c r="M888" t="str">
        <f>IF(ISNA(VLOOKUP($F888,'Raw Data'!$A:$M,13,0)),"",VLOOKUP($F888,'Raw Data'!$A:$M,13,0))</f>
        <v/>
      </c>
    </row>
    <row r="889" spans="1:13" x14ac:dyDescent="0.25">
      <c r="A889" t="s">
        <v>38</v>
      </c>
      <c r="B889">
        <v>2013</v>
      </c>
      <c r="C889">
        <v>4.5</v>
      </c>
      <c r="D889" s="3">
        <v>720</v>
      </c>
      <c r="E889" s="3">
        <v>80</v>
      </c>
      <c r="F889" s="3" t="str">
        <f t="shared" si="13"/>
        <v>FGU920134.572080</v>
      </c>
      <c r="G889" t="str">
        <f>IF(ISNA(VLOOKUP($F889,'Raw Data'!$A:$M,7,0)),"",VLOOKUP($F889,'Raw Data'!$A:$M,7,0))</f>
        <v/>
      </c>
      <c r="H889" t="str">
        <f>IF(ISNA(VLOOKUP($F889,'Raw Data'!$A:$M,8,0)),"",VLOOKUP($F889,'Raw Data'!$A:$M,8,0))</f>
        <v/>
      </c>
      <c r="I889" t="str">
        <f>IF(ISNA(VLOOKUP($F889,'Raw Data'!$A:$M,9,0)),"",VLOOKUP($F889,'Raw Data'!$A:$M,9,0))</f>
        <v/>
      </c>
      <c r="J889" t="str">
        <f>IF(ISNA(VLOOKUP($F889,'Raw Data'!$A:$M,10,0)),"",VLOOKUP($F889,'Raw Data'!$A:$M,10,0))</f>
        <v/>
      </c>
      <c r="K889" t="str">
        <f>IF(ISNA(VLOOKUP($F889,'Raw Data'!$A:$M,11,0)),"",VLOOKUP($F889,'Raw Data'!$A:$M,11,0))</f>
        <v/>
      </c>
      <c r="L889" t="str">
        <f>IF(ISNA(VLOOKUP($F889,'Raw Data'!$A:$M,12,0)),"",VLOOKUP($F889,'Raw Data'!$A:$M,12,0))</f>
        <v/>
      </c>
      <c r="M889" t="str">
        <f>IF(ISNA(VLOOKUP($F889,'Raw Data'!$A:$M,13,0)),"",VLOOKUP($F889,'Raw Data'!$A:$M,13,0))</f>
        <v/>
      </c>
    </row>
    <row r="890" spans="1:13" x14ac:dyDescent="0.25">
      <c r="A890" t="s">
        <v>38</v>
      </c>
      <c r="B890">
        <v>2013</v>
      </c>
      <c r="C890">
        <v>4.5</v>
      </c>
      <c r="D890" s="3">
        <v>740</v>
      </c>
      <c r="E890" s="3">
        <v>80</v>
      </c>
      <c r="F890" s="3" t="str">
        <f t="shared" si="13"/>
        <v>FGU920134.574080</v>
      </c>
      <c r="G890" t="str">
        <f>IF(ISNA(VLOOKUP($F890,'Raw Data'!$A:$M,7,0)),"",VLOOKUP($F890,'Raw Data'!$A:$M,7,0))</f>
        <v/>
      </c>
      <c r="H890" t="str">
        <f>IF(ISNA(VLOOKUP($F890,'Raw Data'!$A:$M,8,0)),"",VLOOKUP($F890,'Raw Data'!$A:$M,8,0))</f>
        <v/>
      </c>
      <c r="I890" t="str">
        <f>IF(ISNA(VLOOKUP($F890,'Raw Data'!$A:$M,9,0)),"",VLOOKUP($F890,'Raw Data'!$A:$M,9,0))</f>
        <v/>
      </c>
      <c r="J890" t="str">
        <f>IF(ISNA(VLOOKUP($F890,'Raw Data'!$A:$M,10,0)),"",VLOOKUP($F890,'Raw Data'!$A:$M,10,0))</f>
        <v/>
      </c>
      <c r="K890" t="str">
        <f>IF(ISNA(VLOOKUP($F890,'Raw Data'!$A:$M,11,0)),"",VLOOKUP($F890,'Raw Data'!$A:$M,11,0))</f>
        <v/>
      </c>
      <c r="L890" t="str">
        <f>IF(ISNA(VLOOKUP($F890,'Raw Data'!$A:$M,12,0)),"",VLOOKUP($F890,'Raw Data'!$A:$M,12,0))</f>
        <v/>
      </c>
      <c r="M890" t="str">
        <f>IF(ISNA(VLOOKUP($F890,'Raw Data'!$A:$M,13,0)),"",VLOOKUP($F890,'Raw Data'!$A:$M,13,0))</f>
        <v/>
      </c>
    </row>
    <row r="891" spans="1:13" x14ac:dyDescent="0.25">
      <c r="A891" t="s">
        <v>38</v>
      </c>
      <c r="B891">
        <v>2013</v>
      </c>
      <c r="C891">
        <v>4.5</v>
      </c>
      <c r="D891" s="3">
        <v>760</v>
      </c>
      <c r="E891" s="3">
        <v>80</v>
      </c>
      <c r="F891" s="3" t="str">
        <f t="shared" si="13"/>
        <v>FGU920134.576080</v>
      </c>
      <c r="G891" t="str">
        <f>IF(ISNA(VLOOKUP($F891,'Raw Data'!$A:$M,7,0)),"",VLOOKUP($F891,'Raw Data'!$A:$M,7,0))</f>
        <v/>
      </c>
      <c r="H891" t="str">
        <f>IF(ISNA(VLOOKUP($F891,'Raw Data'!$A:$M,8,0)),"",VLOOKUP($F891,'Raw Data'!$A:$M,8,0))</f>
        <v/>
      </c>
      <c r="I891" t="str">
        <f>IF(ISNA(VLOOKUP($F891,'Raw Data'!$A:$M,9,0)),"",VLOOKUP($F891,'Raw Data'!$A:$M,9,0))</f>
        <v/>
      </c>
      <c r="J891" t="str">
        <f>IF(ISNA(VLOOKUP($F891,'Raw Data'!$A:$M,10,0)),"",VLOOKUP($F891,'Raw Data'!$A:$M,10,0))</f>
        <v/>
      </c>
      <c r="K891" t="str">
        <f>IF(ISNA(VLOOKUP($F891,'Raw Data'!$A:$M,11,0)),"",VLOOKUP($F891,'Raw Data'!$A:$M,11,0))</f>
        <v/>
      </c>
      <c r="L891" t="str">
        <f>IF(ISNA(VLOOKUP($F891,'Raw Data'!$A:$M,12,0)),"",VLOOKUP($F891,'Raw Data'!$A:$M,12,0))</f>
        <v/>
      </c>
      <c r="M891" t="str">
        <f>IF(ISNA(VLOOKUP($F891,'Raw Data'!$A:$M,13,0)),"",VLOOKUP($F891,'Raw Data'!$A:$M,13,0))</f>
        <v/>
      </c>
    </row>
    <row r="892" spans="1:13" x14ac:dyDescent="0.25">
      <c r="A892" t="s">
        <v>38</v>
      </c>
      <c r="B892">
        <v>2013</v>
      </c>
      <c r="C892">
        <v>4.5</v>
      </c>
      <c r="D892" s="3">
        <v>780</v>
      </c>
      <c r="E892" s="3">
        <v>80</v>
      </c>
      <c r="F892" s="3" t="str">
        <f t="shared" si="13"/>
        <v>FGU920134.578080</v>
      </c>
      <c r="G892" t="str">
        <f>IF(ISNA(VLOOKUP($F892,'Raw Data'!$A:$M,7,0)),"",VLOOKUP($F892,'Raw Data'!$A:$M,7,0))</f>
        <v/>
      </c>
      <c r="H892" t="str">
        <f>IF(ISNA(VLOOKUP($F892,'Raw Data'!$A:$M,8,0)),"",VLOOKUP($F892,'Raw Data'!$A:$M,8,0))</f>
        <v/>
      </c>
      <c r="I892" t="str">
        <f>IF(ISNA(VLOOKUP($F892,'Raw Data'!$A:$M,9,0)),"",VLOOKUP($F892,'Raw Data'!$A:$M,9,0))</f>
        <v/>
      </c>
      <c r="J892" t="str">
        <f>IF(ISNA(VLOOKUP($F892,'Raw Data'!$A:$M,10,0)),"",VLOOKUP($F892,'Raw Data'!$A:$M,10,0))</f>
        <v/>
      </c>
      <c r="K892" t="str">
        <f>IF(ISNA(VLOOKUP($F892,'Raw Data'!$A:$M,11,0)),"",VLOOKUP($F892,'Raw Data'!$A:$M,11,0))</f>
        <v/>
      </c>
      <c r="L892" t="str">
        <f>IF(ISNA(VLOOKUP($F892,'Raw Data'!$A:$M,12,0)),"",VLOOKUP($F892,'Raw Data'!$A:$M,12,0))</f>
        <v/>
      </c>
      <c r="M892" t="str">
        <f>IF(ISNA(VLOOKUP($F892,'Raw Data'!$A:$M,13,0)),"",VLOOKUP($F892,'Raw Data'!$A:$M,13,0))</f>
        <v/>
      </c>
    </row>
    <row r="893" spans="1:13" x14ac:dyDescent="0.25">
      <c r="A893" t="s">
        <v>38</v>
      </c>
      <c r="B893">
        <v>2013</v>
      </c>
      <c r="C893">
        <v>4.5</v>
      </c>
      <c r="D893" s="3">
        <v>620</v>
      </c>
      <c r="E893" s="3">
        <v>85</v>
      </c>
      <c r="F893" s="3" t="str">
        <f t="shared" si="13"/>
        <v>FGU920134.562085</v>
      </c>
      <c r="G893" t="str">
        <f>IF(ISNA(VLOOKUP($F893,'Raw Data'!$A:$M,7,0)),"",VLOOKUP($F893,'Raw Data'!$A:$M,7,0))</f>
        <v/>
      </c>
      <c r="H893" t="str">
        <f>IF(ISNA(VLOOKUP($F893,'Raw Data'!$A:$M,8,0)),"",VLOOKUP($F893,'Raw Data'!$A:$M,8,0))</f>
        <v/>
      </c>
      <c r="I893" t="str">
        <f>IF(ISNA(VLOOKUP($F893,'Raw Data'!$A:$M,9,0)),"",VLOOKUP($F893,'Raw Data'!$A:$M,9,0))</f>
        <v/>
      </c>
      <c r="J893" t="str">
        <f>IF(ISNA(VLOOKUP($F893,'Raw Data'!$A:$M,10,0)),"",VLOOKUP($F893,'Raw Data'!$A:$M,10,0))</f>
        <v/>
      </c>
      <c r="K893" t="str">
        <f>IF(ISNA(VLOOKUP($F893,'Raw Data'!$A:$M,11,0)),"",VLOOKUP($F893,'Raw Data'!$A:$M,11,0))</f>
        <v/>
      </c>
      <c r="L893" t="str">
        <f>IF(ISNA(VLOOKUP($F893,'Raw Data'!$A:$M,12,0)),"",VLOOKUP($F893,'Raw Data'!$A:$M,12,0))</f>
        <v/>
      </c>
      <c r="M893" t="str">
        <f>IF(ISNA(VLOOKUP($F893,'Raw Data'!$A:$M,13,0)),"",VLOOKUP($F893,'Raw Data'!$A:$M,13,0))</f>
        <v/>
      </c>
    </row>
    <row r="894" spans="1:13" x14ac:dyDescent="0.25">
      <c r="A894" t="s">
        <v>38</v>
      </c>
      <c r="B894">
        <v>2013</v>
      </c>
      <c r="C894">
        <v>4.5</v>
      </c>
      <c r="D894" s="3">
        <v>640</v>
      </c>
      <c r="E894" s="3">
        <v>85</v>
      </c>
      <c r="F894" s="3" t="str">
        <f t="shared" si="13"/>
        <v>FGU920134.564085</v>
      </c>
      <c r="G894" t="str">
        <f>IF(ISNA(VLOOKUP($F894,'Raw Data'!$A:$M,7,0)),"",VLOOKUP($F894,'Raw Data'!$A:$M,7,0))</f>
        <v/>
      </c>
      <c r="H894" t="str">
        <f>IF(ISNA(VLOOKUP($F894,'Raw Data'!$A:$M,8,0)),"",VLOOKUP($F894,'Raw Data'!$A:$M,8,0))</f>
        <v/>
      </c>
      <c r="I894" t="str">
        <f>IF(ISNA(VLOOKUP($F894,'Raw Data'!$A:$M,9,0)),"",VLOOKUP($F894,'Raw Data'!$A:$M,9,0))</f>
        <v/>
      </c>
      <c r="J894" t="str">
        <f>IF(ISNA(VLOOKUP($F894,'Raw Data'!$A:$M,10,0)),"",VLOOKUP($F894,'Raw Data'!$A:$M,10,0))</f>
        <v/>
      </c>
      <c r="K894" t="str">
        <f>IF(ISNA(VLOOKUP($F894,'Raw Data'!$A:$M,11,0)),"",VLOOKUP($F894,'Raw Data'!$A:$M,11,0))</f>
        <v/>
      </c>
      <c r="L894" t="str">
        <f>IF(ISNA(VLOOKUP($F894,'Raw Data'!$A:$M,12,0)),"",VLOOKUP($F894,'Raw Data'!$A:$M,12,0))</f>
        <v/>
      </c>
      <c r="M894" t="str">
        <f>IF(ISNA(VLOOKUP($F894,'Raw Data'!$A:$M,13,0)),"",VLOOKUP($F894,'Raw Data'!$A:$M,13,0))</f>
        <v/>
      </c>
    </row>
    <row r="895" spans="1:13" x14ac:dyDescent="0.25">
      <c r="A895" t="s">
        <v>38</v>
      </c>
      <c r="B895">
        <v>2013</v>
      </c>
      <c r="C895">
        <v>4.5</v>
      </c>
      <c r="D895" s="3">
        <v>660</v>
      </c>
      <c r="E895" s="3">
        <v>85</v>
      </c>
      <c r="F895" s="3" t="str">
        <f t="shared" si="13"/>
        <v>FGU920134.566085</v>
      </c>
      <c r="G895" t="str">
        <f>IF(ISNA(VLOOKUP($F895,'Raw Data'!$A:$M,7,0)),"",VLOOKUP($F895,'Raw Data'!$A:$M,7,0))</f>
        <v/>
      </c>
      <c r="H895" t="str">
        <f>IF(ISNA(VLOOKUP($F895,'Raw Data'!$A:$M,8,0)),"",VLOOKUP($F895,'Raw Data'!$A:$M,8,0))</f>
        <v/>
      </c>
      <c r="I895" t="str">
        <f>IF(ISNA(VLOOKUP($F895,'Raw Data'!$A:$M,9,0)),"",VLOOKUP($F895,'Raw Data'!$A:$M,9,0))</f>
        <v/>
      </c>
      <c r="J895" t="str">
        <f>IF(ISNA(VLOOKUP($F895,'Raw Data'!$A:$M,10,0)),"",VLOOKUP($F895,'Raw Data'!$A:$M,10,0))</f>
        <v/>
      </c>
      <c r="K895" t="str">
        <f>IF(ISNA(VLOOKUP($F895,'Raw Data'!$A:$M,11,0)),"",VLOOKUP($F895,'Raw Data'!$A:$M,11,0))</f>
        <v/>
      </c>
      <c r="L895" t="str">
        <f>IF(ISNA(VLOOKUP($F895,'Raw Data'!$A:$M,12,0)),"",VLOOKUP($F895,'Raw Data'!$A:$M,12,0))</f>
        <v/>
      </c>
      <c r="M895" t="str">
        <f>IF(ISNA(VLOOKUP($F895,'Raw Data'!$A:$M,13,0)),"",VLOOKUP($F895,'Raw Data'!$A:$M,13,0))</f>
        <v/>
      </c>
    </row>
    <row r="896" spans="1:13" x14ac:dyDescent="0.25">
      <c r="A896" t="s">
        <v>38</v>
      </c>
      <c r="B896">
        <v>2013</v>
      </c>
      <c r="C896">
        <v>4.5</v>
      </c>
      <c r="D896" s="3">
        <v>680</v>
      </c>
      <c r="E896" s="3">
        <v>85</v>
      </c>
      <c r="F896" s="3" t="str">
        <f t="shared" si="13"/>
        <v>FGU920134.568085</v>
      </c>
      <c r="G896" t="str">
        <f>IF(ISNA(VLOOKUP($F896,'Raw Data'!$A:$M,7,0)),"",VLOOKUP($F896,'Raw Data'!$A:$M,7,0))</f>
        <v/>
      </c>
      <c r="H896" t="str">
        <f>IF(ISNA(VLOOKUP($F896,'Raw Data'!$A:$M,8,0)),"",VLOOKUP($F896,'Raw Data'!$A:$M,8,0))</f>
        <v/>
      </c>
      <c r="I896" t="str">
        <f>IF(ISNA(VLOOKUP($F896,'Raw Data'!$A:$M,9,0)),"",VLOOKUP($F896,'Raw Data'!$A:$M,9,0))</f>
        <v/>
      </c>
      <c r="J896" t="str">
        <f>IF(ISNA(VLOOKUP($F896,'Raw Data'!$A:$M,10,0)),"",VLOOKUP($F896,'Raw Data'!$A:$M,10,0))</f>
        <v/>
      </c>
      <c r="K896" t="str">
        <f>IF(ISNA(VLOOKUP($F896,'Raw Data'!$A:$M,11,0)),"",VLOOKUP($F896,'Raw Data'!$A:$M,11,0))</f>
        <v/>
      </c>
      <c r="L896" t="str">
        <f>IF(ISNA(VLOOKUP($F896,'Raw Data'!$A:$M,12,0)),"",VLOOKUP($F896,'Raw Data'!$A:$M,12,0))</f>
        <v/>
      </c>
      <c r="M896" t="str">
        <f>IF(ISNA(VLOOKUP($F896,'Raw Data'!$A:$M,13,0)),"",VLOOKUP($F896,'Raw Data'!$A:$M,13,0))</f>
        <v/>
      </c>
    </row>
    <row r="897" spans="1:13" x14ac:dyDescent="0.25">
      <c r="A897" t="s">
        <v>38</v>
      </c>
      <c r="B897">
        <v>2013</v>
      </c>
      <c r="C897">
        <v>4.5</v>
      </c>
      <c r="D897" s="3">
        <v>700</v>
      </c>
      <c r="E897" s="3">
        <v>85</v>
      </c>
      <c r="F897" s="3" t="str">
        <f t="shared" si="13"/>
        <v>FGU920134.570085</v>
      </c>
      <c r="G897" t="str">
        <f>IF(ISNA(VLOOKUP($F897,'Raw Data'!$A:$M,7,0)),"",VLOOKUP($F897,'Raw Data'!$A:$M,7,0))</f>
        <v/>
      </c>
      <c r="H897" t="str">
        <f>IF(ISNA(VLOOKUP($F897,'Raw Data'!$A:$M,8,0)),"",VLOOKUP($F897,'Raw Data'!$A:$M,8,0))</f>
        <v/>
      </c>
      <c r="I897" t="str">
        <f>IF(ISNA(VLOOKUP($F897,'Raw Data'!$A:$M,9,0)),"",VLOOKUP($F897,'Raw Data'!$A:$M,9,0))</f>
        <v/>
      </c>
      <c r="J897" t="str">
        <f>IF(ISNA(VLOOKUP($F897,'Raw Data'!$A:$M,10,0)),"",VLOOKUP($F897,'Raw Data'!$A:$M,10,0))</f>
        <v/>
      </c>
      <c r="K897" t="str">
        <f>IF(ISNA(VLOOKUP($F897,'Raw Data'!$A:$M,11,0)),"",VLOOKUP($F897,'Raw Data'!$A:$M,11,0))</f>
        <v/>
      </c>
      <c r="L897" t="str">
        <f>IF(ISNA(VLOOKUP($F897,'Raw Data'!$A:$M,12,0)),"",VLOOKUP($F897,'Raw Data'!$A:$M,12,0))</f>
        <v/>
      </c>
      <c r="M897" t="str">
        <f>IF(ISNA(VLOOKUP($F897,'Raw Data'!$A:$M,13,0)),"",VLOOKUP($F897,'Raw Data'!$A:$M,13,0))</f>
        <v/>
      </c>
    </row>
    <row r="898" spans="1:13" x14ac:dyDescent="0.25">
      <c r="A898" t="s">
        <v>38</v>
      </c>
      <c r="B898">
        <v>2013</v>
      </c>
      <c r="C898">
        <v>4.5</v>
      </c>
      <c r="D898" s="3">
        <v>720</v>
      </c>
      <c r="E898" s="3">
        <v>85</v>
      </c>
      <c r="F898" s="3" t="str">
        <f t="shared" si="13"/>
        <v>FGU920134.572085</v>
      </c>
      <c r="G898" t="str">
        <f>IF(ISNA(VLOOKUP($F898,'Raw Data'!$A:$M,7,0)),"",VLOOKUP($F898,'Raw Data'!$A:$M,7,0))</f>
        <v/>
      </c>
      <c r="H898" t="str">
        <f>IF(ISNA(VLOOKUP($F898,'Raw Data'!$A:$M,8,0)),"",VLOOKUP($F898,'Raw Data'!$A:$M,8,0))</f>
        <v/>
      </c>
      <c r="I898" t="str">
        <f>IF(ISNA(VLOOKUP($F898,'Raw Data'!$A:$M,9,0)),"",VLOOKUP($F898,'Raw Data'!$A:$M,9,0))</f>
        <v/>
      </c>
      <c r="J898" t="str">
        <f>IF(ISNA(VLOOKUP($F898,'Raw Data'!$A:$M,10,0)),"",VLOOKUP($F898,'Raw Data'!$A:$M,10,0))</f>
        <v/>
      </c>
      <c r="K898" t="str">
        <f>IF(ISNA(VLOOKUP($F898,'Raw Data'!$A:$M,11,0)),"",VLOOKUP($F898,'Raw Data'!$A:$M,11,0))</f>
        <v/>
      </c>
      <c r="L898" t="str">
        <f>IF(ISNA(VLOOKUP($F898,'Raw Data'!$A:$M,12,0)),"",VLOOKUP($F898,'Raw Data'!$A:$M,12,0))</f>
        <v/>
      </c>
      <c r="M898" t="str">
        <f>IF(ISNA(VLOOKUP($F898,'Raw Data'!$A:$M,13,0)),"",VLOOKUP($F898,'Raw Data'!$A:$M,13,0))</f>
        <v/>
      </c>
    </row>
    <row r="899" spans="1:13" x14ac:dyDescent="0.25">
      <c r="A899" t="s">
        <v>38</v>
      </c>
      <c r="B899">
        <v>2013</v>
      </c>
      <c r="C899">
        <v>4.5</v>
      </c>
      <c r="D899" s="3">
        <v>740</v>
      </c>
      <c r="E899" s="3">
        <v>85</v>
      </c>
      <c r="F899" s="3" t="str">
        <f t="shared" si="13"/>
        <v>FGU920134.574085</v>
      </c>
      <c r="G899" t="str">
        <f>IF(ISNA(VLOOKUP($F899,'Raw Data'!$A:$M,7,0)),"",VLOOKUP($F899,'Raw Data'!$A:$M,7,0))</f>
        <v/>
      </c>
      <c r="H899" t="str">
        <f>IF(ISNA(VLOOKUP($F899,'Raw Data'!$A:$M,8,0)),"",VLOOKUP($F899,'Raw Data'!$A:$M,8,0))</f>
        <v/>
      </c>
      <c r="I899" t="str">
        <f>IF(ISNA(VLOOKUP($F899,'Raw Data'!$A:$M,9,0)),"",VLOOKUP($F899,'Raw Data'!$A:$M,9,0))</f>
        <v/>
      </c>
      <c r="J899" t="str">
        <f>IF(ISNA(VLOOKUP($F899,'Raw Data'!$A:$M,10,0)),"",VLOOKUP($F899,'Raw Data'!$A:$M,10,0))</f>
        <v/>
      </c>
      <c r="K899" t="str">
        <f>IF(ISNA(VLOOKUP($F899,'Raw Data'!$A:$M,11,0)),"",VLOOKUP($F899,'Raw Data'!$A:$M,11,0))</f>
        <v/>
      </c>
      <c r="L899" t="str">
        <f>IF(ISNA(VLOOKUP($F899,'Raw Data'!$A:$M,12,0)),"",VLOOKUP($F899,'Raw Data'!$A:$M,12,0))</f>
        <v/>
      </c>
      <c r="M899" t="str">
        <f>IF(ISNA(VLOOKUP($F899,'Raw Data'!$A:$M,13,0)),"",VLOOKUP($F899,'Raw Data'!$A:$M,13,0))</f>
        <v/>
      </c>
    </row>
    <row r="900" spans="1:13" x14ac:dyDescent="0.25">
      <c r="A900" t="s">
        <v>38</v>
      </c>
      <c r="B900">
        <v>2013</v>
      </c>
      <c r="C900">
        <v>4.5</v>
      </c>
      <c r="D900" s="3">
        <v>760</v>
      </c>
      <c r="E900" s="3">
        <v>85</v>
      </c>
      <c r="F900" s="3" t="str">
        <f t="shared" ref="F900:F963" si="14">A900&amp;B900&amp;C900&amp;D900&amp;E900</f>
        <v>FGU920134.576085</v>
      </c>
      <c r="G900" t="str">
        <f>IF(ISNA(VLOOKUP($F900,'Raw Data'!$A:$M,7,0)),"",VLOOKUP($F900,'Raw Data'!$A:$M,7,0))</f>
        <v/>
      </c>
      <c r="H900" t="str">
        <f>IF(ISNA(VLOOKUP($F900,'Raw Data'!$A:$M,8,0)),"",VLOOKUP($F900,'Raw Data'!$A:$M,8,0))</f>
        <v/>
      </c>
      <c r="I900" t="str">
        <f>IF(ISNA(VLOOKUP($F900,'Raw Data'!$A:$M,9,0)),"",VLOOKUP($F900,'Raw Data'!$A:$M,9,0))</f>
        <v/>
      </c>
      <c r="J900" t="str">
        <f>IF(ISNA(VLOOKUP($F900,'Raw Data'!$A:$M,10,0)),"",VLOOKUP($F900,'Raw Data'!$A:$M,10,0))</f>
        <v/>
      </c>
      <c r="K900" t="str">
        <f>IF(ISNA(VLOOKUP($F900,'Raw Data'!$A:$M,11,0)),"",VLOOKUP($F900,'Raw Data'!$A:$M,11,0))</f>
        <v/>
      </c>
      <c r="L900" t="str">
        <f>IF(ISNA(VLOOKUP($F900,'Raw Data'!$A:$M,12,0)),"",VLOOKUP($F900,'Raw Data'!$A:$M,12,0))</f>
        <v/>
      </c>
      <c r="M900" t="str">
        <f>IF(ISNA(VLOOKUP($F900,'Raw Data'!$A:$M,13,0)),"",VLOOKUP($F900,'Raw Data'!$A:$M,13,0))</f>
        <v/>
      </c>
    </row>
    <row r="901" spans="1:13" x14ac:dyDescent="0.25">
      <c r="A901" t="s">
        <v>38</v>
      </c>
      <c r="B901">
        <v>2013</v>
      </c>
      <c r="C901">
        <v>4.5</v>
      </c>
      <c r="D901" s="3">
        <v>780</v>
      </c>
      <c r="E901" s="3">
        <v>85</v>
      </c>
      <c r="F901" s="3" t="str">
        <f t="shared" si="14"/>
        <v>FGU920134.578085</v>
      </c>
      <c r="G901" t="str">
        <f>IF(ISNA(VLOOKUP($F901,'Raw Data'!$A:$M,7,0)),"",VLOOKUP($F901,'Raw Data'!$A:$M,7,0))</f>
        <v/>
      </c>
      <c r="H901" t="str">
        <f>IF(ISNA(VLOOKUP($F901,'Raw Data'!$A:$M,8,0)),"",VLOOKUP($F901,'Raw Data'!$A:$M,8,0))</f>
        <v/>
      </c>
      <c r="I901" t="str">
        <f>IF(ISNA(VLOOKUP($F901,'Raw Data'!$A:$M,9,0)),"",VLOOKUP($F901,'Raw Data'!$A:$M,9,0))</f>
        <v/>
      </c>
      <c r="J901" t="str">
        <f>IF(ISNA(VLOOKUP($F901,'Raw Data'!$A:$M,10,0)),"",VLOOKUP($F901,'Raw Data'!$A:$M,10,0))</f>
        <v/>
      </c>
      <c r="K901" t="str">
        <f>IF(ISNA(VLOOKUP($F901,'Raw Data'!$A:$M,11,0)),"",VLOOKUP($F901,'Raw Data'!$A:$M,11,0))</f>
        <v/>
      </c>
      <c r="L901" t="str">
        <f>IF(ISNA(VLOOKUP($F901,'Raw Data'!$A:$M,12,0)),"",VLOOKUP($F901,'Raw Data'!$A:$M,12,0))</f>
        <v/>
      </c>
      <c r="M901" t="str">
        <f>IF(ISNA(VLOOKUP($F901,'Raw Data'!$A:$M,13,0)),"",VLOOKUP($F901,'Raw Data'!$A:$M,13,0))</f>
        <v/>
      </c>
    </row>
    <row r="902" spans="1:13" x14ac:dyDescent="0.25">
      <c r="A902" t="s">
        <v>38</v>
      </c>
      <c r="B902">
        <v>2013</v>
      </c>
      <c r="C902">
        <v>4.5</v>
      </c>
      <c r="D902" s="3">
        <v>620</v>
      </c>
      <c r="E902" s="3">
        <v>90</v>
      </c>
      <c r="F902" s="3" t="str">
        <f t="shared" si="14"/>
        <v>FGU920134.562090</v>
      </c>
      <c r="G902" t="str">
        <f>IF(ISNA(VLOOKUP($F902,'Raw Data'!$A:$M,7,0)),"",VLOOKUP($F902,'Raw Data'!$A:$M,7,0))</f>
        <v/>
      </c>
      <c r="H902" t="str">
        <f>IF(ISNA(VLOOKUP($F902,'Raw Data'!$A:$M,8,0)),"",VLOOKUP($F902,'Raw Data'!$A:$M,8,0))</f>
        <v/>
      </c>
      <c r="I902" t="str">
        <f>IF(ISNA(VLOOKUP($F902,'Raw Data'!$A:$M,9,0)),"",VLOOKUP($F902,'Raw Data'!$A:$M,9,0))</f>
        <v/>
      </c>
      <c r="J902" t="str">
        <f>IF(ISNA(VLOOKUP($F902,'Raw Data'!$A:$M,10,0)),"",VLOOKUP($F902,'Raw Data'!$A:$M,10,0))</f>
        <v/>
      </c>
      <c r="K902" t="str">
        <f>IF(ISNA(VLOOKUP($F902,'Raw Data'!$A:$M,11,0)),"",VLOOKUP($F902,'Raw Data'!$A:$M,11,0))</f>
        <v/>
      </c>
      <c r="L902" t="str">
        <f>IF(ISNA(VLOOKUP($F902,'Raw Data'!$A:$M,12,0)),"",VLOOKUP($F902,'Raw Data'!$A:$M,12,0))</f>
        <v/>
      </c>
      <c r="M902" t="str">
        <f>IF(ISNA(VLOOKUP($F902,'Raw Data'!$A:$M,13,0)),"",VLOOKUP($F902,'Raw Data'!$A:$M,13,0))</f>
        <v/>
      </c>
    </row>
    <row r="903" spans="1:13" x14ac:dyDescent="0.25">
      <c r="A903" t="s">
        <v>38</v>
      </c>
      <c r="B903">
        <v>2013</v>
      </c>
      <c r="C903">
        <v>4.5</v>
      </c>
      <c r="D903" s="3">
        <v>640</v>
      </c>
      <c r="E903" s="3">
        <v>90</v>
      </c>
      <c r="F903" s="3" t="str">
        <f t="shared" si="14"/>
        <v>FGU920134.564090</v>
      </c>
      <c r="G903" t="str">
        <f>IF(ISNA(VLOOKUP($F903,'Raw Data'!$A:$M,7,0)),"",VLOOKUP($F903,'Raw Data'!$A:$M,7,0))</f>
        <v/>
      </c>
      <c r="H903" t="str">
        <f>IF(ISNA(VLOOKUP($F903,'Raw Data'!$A:$M,8,0)),"",VLOOKUP($F903,'Raw Data'!$A:$M,8,0))</f>
        <v/>
      </c>
      <c r="I903" t="str">
        <f>IF(ISNA(VLOOKUP($F903,'Raw Data'!$A:$M,9,0)),"",VLOOKUP($F903,'Raw Data'!$A:$M,9,0))</f>
        <v/>
      </c>
      <c r="J903" t="str">
        <f>IF(ISNA(VLOOKUP($F903,'Raw Data'!$A:$M,10,0)),"",VLOOKUP($F903,'Raw Data'!$A:$M,10,0))</f>
        <v/>
      </c>
      <c r="K903" t="str">
        <f>IF(ISNA(VLOOKUP($F903,'Raw Data'!$A:$M,11,0)),"",VLOOKUP($F903,'Raw Data'!$A:$M,11,0))</f>
        <v/>
      </c>
      <c r="L903" t="str">
        <f>IF(ISNA(VLOOKUP($F903,'Raw Data'!$A:$M,12,0)),"",VLOOKUP($F903,'Raw Data'!$A:$M,12,0))</f>
        <v/>
      </c>
      <c r="M903" t="str">
        <f>IF(ISNA(VLOOKUP($F903,'Raw Data'!$A:$M,13,0)),"",VLOOKUP($F903,'Raw Data'!$A:$M,13,0))</f>
        <v/>
      </c>
    </row>
    <row r="904" spans="1:13" x14ac:dyDescent="0.25">
      <c r="A904" t="s">
        <v>38</v>
      </c>
      <c r="B904">
        <v>2013</v>
      </c>
      <c r="C904">
        <v>4.5</v>
      </c>
      <c r="D904" s="3">
        <v>660</v>
      </c>
      <c r="E904" s="3">
        <v>90</v>
      </c>
      <c r="F904" s="3" t="str">
        <f t="shared" si="14"/>
        <v>FGU920134.566090</v>
      </c>
      <c r="G904" t="str">
        <f>IF(ISNA(VLOOKUP($F904,'Raw Data'!$A:$M,7,0)),"",VLOOKUP($F904,'Raw Data'!$A:$M,7,0))</f>
        <v/>
      </c>
      <c r="H904" t="str">
        <f>IF(ISNA(VLOOKUP($F904,'Raw Data'!$A:$M,8,0)),"",VLOOKUP($F904,'Raw Data'!$A:$M,8,0))</f>
        <v/>
      </c>
      <c r="I904" t="str">
        <f>IF(ISNA(VLOOKUP($F904,'Raw Data'!$A:$M,9,0)),"",VLOOKUP($F904,'Raw Data'!$A:$M,9,0))</f>
        <v/>
      </c>
      <c r="J904" t="str">
        <f>IF(ISNA(VLOOKUP($F904,'Raw Data'!$A:$M,10,0)),"",VLOOKUP($F904,'Raw Data'!$A:$M,10,0))</f>
        <v/>
      </c>
      <c r="K904" t="str">
        <f>IF(ISNA(VLOOKUP($F904,'Raw Data'!$A:$M,11,0)),"",VLOOKUP($F904,'Raw Data'!$A:$M,11,0))</f>
        <v/>
      </c>
      <c r="L904" t="str">
        <f>IF(ISNA(VLOOKUP($F904,'Raw Data'!$A:$M,12,0)),"",VLOOKUP($F904,'Raw Data'!$A:$M,12,0))</f>
        <v/>
      </c>
      <c r="M904" t="str">
        <f>IF(ISNA(VLOOKUP($F904,'Raw Data'!$A:$M,13,0)),"",VLOOKUP($F904,'Raw Data'!$A:$M,13,0))</f>
        <v/>
      </c>
    </row>
    <row r="905" spans="1:13" x14ac:dyDescent="0.25">
      <c r="A905" t="s">
        <v>38</v>
      </c>
      <c r="B905">
        <v>2013</v>
      </c>
      <c r="C905">
        <v>4.5</v>
      </c>
      <c r="D905" s="3">
        <v>680</v>
      </c>
      <c r="E905" s="3">
        <v>90</v>
      </c>
      <c r="F905" s="3" t="str">
        <f t="shared" si="14"/>
        <v>FGU920134.568090</v>
      </c>
      <c r="G905" t="str">
        <f>IF(ISNA(VLOOKUP($F905,'Raw Data'!$A:$M,7,0)),"",VLOOKUP($F905,'Raw Data'!$A:$M,7,0))</f>
        <v/>
      </c>
      <c r="H905" t="str">
        <f>IF(ISNA(VLOOKUP($F905,'Raw Data'!$A:$M,8,0)),"",VLOOKUP($F905,'Raw Data'!$A:$M,8,0))</f>
        <v/>
      </c>
      <c r="I905" t="str">
        <f>IF(ISNA(VLOOKUP($F905,'Raw Data'!$A:$M,9,0)),"",VLOOKUP($F905,'Raw Data'!$A:$M,9,0))</f>
        <v/>
      </c>
      <c r="J905" t="str">
        <f>IF(ISNA(VLOOKUP($F905,'Raw Data'!$A:$M,10,0)),"",VLOOKUP($F905,'Raw Data'!$A:$M,10,0))</f>
        <v/>
      </c>
      <c r="K905" t="str">
        <f>IF(ISNA(VLOOKUP($F905,'Raw Data'!$A:$M,11,0)),"",VLOOKUP($F905,'Raw Data'!$A:$M,11,0))</f>
        <v/>
      </c>
      <c r="L905" t="str">
        <f>IF(ISNA(VLOOKUP($F905,'Raw Data'!$A:$M,12,0)),"",VLOOKUP($F905,'Raw Data'!$A:$M,12,0))</f>
        <v/>
      </c>
      <c r="M905" t="str">
        <f>IF(ISNA(VLOOKUP($F905,'Raw Data'!$A:$M,13,0)),"",VLOOKUP($F905,'Raw Data'!$A:$M,13,0))</f>
        <v/>
      </c>
    </row>
    <row r="906" spans="1:13" x14ac:dyDescent="0.25">
      <c r="A906" t="s">
        <v>38</v>
      </c>
      <c r="B906">
        <v>2013</v>
      </c>
      <c r="C906">
        <v>4.5</v>
      </c>
      <c r="D906" s="3">
        <v>700</v>
      </c>
      <c r="E906" s="3">
        <v>90</v>
      </c>
      <c r="F906" s="3" t="str">
        <f t="shared" si="14"/>
        <v>FGU920134.570090</v>
      </c>
      <c r="G906" t="str">
        <f>IF(ISNA(VLOOKUP($F906,'Raw Data'!$A:$M,7,0)),"",VLOOKUP($F906,'Raw Data'!$A:$M,7,0))</f>
        <v/>
      </c>
      <c r="H906" t="str">
        <f>IF(ISNA(VLOOKUP($F906,'Raw Data'!$A:$M,8,0)),"",VLOOKUP($F906,'Raw Data'!$A:$M,8,0))</f>
        <v/>
      </c>
      <c r="I906" t="str">
        <f>IF(ISNA(VLOOKUP($F906,'Raw Data'!$A:$M,9,0)),"",VLOOKUP($F906,'Raw Data'!$A:$M,9,0))</f>
        <v/>
      </c>
      <c r="J906" t="str">
        <f>IF(ISNA(VLOOKUP($F906,'Raw Data'!$A:$M,10,0)),"",VLOOKUP($F906,'Raw Data'!$A:$M,10,0))</f>
        <v/>
      </c>
      <c r="K906" t="str">
        <f>IF(ISNA(VLOOKUP($F906,'Raw Data'!$A:$M,11,0)),"",VLOOKUP($F906,'Raw Data'!$A:$M,11,0))</f>
        <v/>
      </c>
      <c r="L906" t="str">
        <f>IF(ISNA(VLOOKUP($F906,'Raw Data'!$A:$M,12,0)),"",VLOOKUP($F906,'Raw Data'!$A:$M,12,0))</f>
        <v/>
      </c>
      <c r="M906" t="str">
        <f>IF(ISNA(VLOOKUP($F906,'Raw Data'!$A:$M,13,0)),"",VLOOKUP($F906,'Raw Data'!$A:$M,13,0))</f>
        <v/>
      </c>
    </row>
    <row r="907" spans="1:13" x14ac:dyDescent="0.25">
      <c r="A907" t="s">
        <v>38</v>
      </c>
      <c r="B907">
        <v>2013</v>
      </c>
      <c r="C907">
        <v>4.5</v>
      </c>
      <c r="D907" s="3">
        <v>720</v>
      </c>
      <c r="E907" s="3">
        <v>90</v>
      </c>
      <c r="F907" s="3" t="str">
        <f t="shared" si="14"/>
        <v>FGU920134.572090</v>
      </c>
      <c r="G907" t="str">
        <f>IF(ISNA(VLOOKUP($F907,'Raw Data'!$A:$M,7,0)),"",VLOOKUP($F907,'Raw Data'!$A:$M,7,0))</f>
        <v/>
      </c>
      <c r="H907" t="str">
        <f>IF(ISNA(VLOOKUP($F907,'Raw Data'!$A:$M,8,0)),"",VLOOKUP($F907,'Raw Data'!$A:$M,8,0))</f>
        <v/>
      </c>
      <c r="I907" t="str">
        <f>IF(ISNA(VLOOKUP($F907,'Raw Data'!$A:$M,9,0)),"",VLOOKUP($F907,'Raw Data'!$A:$M,9,0))</f>
        <v/>
      </c>
      <c r="J907" t="str">
        <f>IF(ISNA(VLOOKUP($F907,'Raw Data'!$A:$M,10,0)),"",VLOOKUP($F907,'Raw Data'!$A:$M,10,0))</f>
        <v/>
      </c>
      <c r="K907" t="str">
        <f>IF(ISNA(VLOOKUP($F907,'Raw Data'!$A:$M,11,0)),"",VLOOKUP($F907,'Raw Data'!$A:$M,11,0))</f>
        <v/>
      </c>
      <c r="L907" t="str">
        <f>IF(ISNA(VLOOKUP($F907,'Raw Data'!$A:$M,12,0)),"",VLOOKUP($F907,'Raw Data'!$A:$M,12,0))</f>
        <v/>
      </c>
      <c r="M907" t="str">
        <f>IF(ISNA(VLOOKUP($F907,'Raw Data'!$A:$M,13,0)),"",VLOOKUP($F907,'Raw Data'!$A:$M,13,0))</f>
        <v/>
      </c>
    </row>
    <row r="908" spans="1:13" x14ac:dyDescent="0.25">
      <c r="A908" t="s">
        <v>38</v>
      </c>
      <c r="B908">
        <v>2013</v>
      </c>
      <c r="C908">
        <v>4.5</v>
      </c>
      <c r="D908" s="3">
        <v>740</v>
      </c>
      <c r="E908" s="3">
        <v>90</v>
      </c>
      <c r="F908" s="3" t="str">
        <f t="shared" si="14"/>
        <v>FGU920134.574090</v>
      </c>
      <c r="G908" t="str">
        <f>IF(ISNA(VLOOKUP($F908,'Raw Data'!$A:$M,7,0)),"",VLOOKUP($F908,'Raw Data'!$A:$M,7,0))</f>
        <v/>
      </c>
      <c r="H908" t="str">
        <f>IF(ISNA(VLOOKUP($F908,'Raw Data'!$A:$M,8,0)),"",VLOOKUP($F908,'Raw Data'!$A:$M,8,0))</f>
        <v/>
      </c>
      <c r="I908" t="str">
        <f>IF(ISNA(VLOOKUP($F908,'Raw Data'!$A:$M,9,0)),"",VLOOKUP($F908,'Raw Data'!$A:$M,9,0))</f>
        <v/>
      </c>
      <c r="J908" t="str">
        <f>IF(ISNA(VLOOKUP($F908,'Raw Data'!$A:$M,10,0)),"",VLOOKUP($F908,'Raw Data'!$A:$M,10,0))</f>
        <v/>
      </c>
      <c r="K908" t="str">
        <f>IF(ISNA(VLOOKUP($F908,'Raw Data'!$A:$M,11,0)),"",VLOOKUP($F908,'Raw Data'!$A:$M,11,0))</f>
        <v/>
      </c>
      <c r="L908" t="str">
        <f>IF(ISNA(VLOOKUP($F908,'Raw Data'!$A:$M,12,0)),"",VLOOKUP($F908,'Raw Data'!$A:$M,12,0))</f>
        <v/>
      </c>
      <c r="M908" t="str">
        <f>IF(ISNA(VLOOKUP($F908,'Raw Data'!$A:$M,13,0)),"",VLOOKUP($F908,'Raw Data'!$A:$M,13,0))</f>
        <v/>
      </c>
    </row>
    <row r="909" spans="1:13" x14ac:dyDescent="0.25">
      <c r="A909" t="s">
        <v>38</v>
      </c>
      <c r="B909">
        <v>2013</v>
      </c>
      <c r="C909">
        <v>4.5</v>
      </c>
      <c r="D909" s="3">
        <v>760</v>
      </c>
      <c r="E909" s="3">
        <v>90</v>
      </c>
      <c r="F909" s="3" t="str">
        <f t="shared" si="14"/>
        <v>FGU920134.576090</v>
      </c>
      <c r="G909" t="str">
        <f>IF(ISNA(VLOOKUP($F909,'Raw Data'!$A:$M,7,0)),"",VLOOKUP($F909,'Raw Data'!$A:$M,7,0))</f>
        <v/>
      </c>
      <c r="H909" t="str">
        <f>IF(ISNA(VLOOKUP($F909,'Raw Data'!$A:$M,8,0)),"",VLOOKUP($F909,'Raw Data'!$A:$M,8,0))</f>
        <v/>
      </c>
      <c r="I909" t="str">
        <f>IF(ISNA(VLOOKUP($F909,'Raw Data'!$A:$M,9,0)),"",VLOOKUP($F909,'Raw Data'!$A:$M,9,0))</f>
        <v/>
      </c>
      <c r="J909" t="str">
        <f>IF(ISNA(VLOOKUP($F909,'Raw Data'!$A:$M,10,0)),"",VLOOKUP($F909,'Raw Data'!$A:$M,10,0))</f>
        <v/>
      </c>
      <c r="K909" t="str">
        <f>IF(ISNA(VLOOKUP($F909,'Raw Data'!$A:$M,11,0)),"",VLOOKUP($F909,'Raw Data'!$A:$M,11,0))</f>
        <v/>
      </c>
      <c r="L909" t="str">
        <f>IF(ISNA(VLOOKUP($F909,'Raw Data'!$A:$M,12,0)),"",VLOOKUP($F909,'Raw Data'!$A:$M,12,0))</f>
        <v/>
      </c>
      <c r="M909" t="str">
        <f>IF(ISNA(VLOOKUP($F909,'Raw Data'!$A:$M,13,0)),"",VLOOKUP($F909,'Raw Data'!$A:$M,13,0))</f>
        <v/>
      </c>
    </row>
    <row r="910" spans="1:13" x14ac:dyDescent="0.25">
      <c r="A910" t="s">
        <v>38</v>
      </c>
      <c r="B910">
        <v>2013</v>
      </c>
      <c r="C910">
        <v>4.5</v>
      </c>
      <c r="D910" s="3">
        <v>780</v>
      </c>
      <c r="E910" s="3">
        <v>90</v>
      </c>
      <c r="F910" s="3" t="str">
        <f t="shared" si="14"/>
        <v>FGU920134.578090</v>
      </c>
      <c r="G910" t="str">
        <f>IF(ISNA(VLOOKUP($F910,'Raw Data'!$A:$M,7,0)),"",VLOOKUP($F910,'Raw Data'!$A:$M,7,0))</f>
        <v/>
      </c>
      <c r="H910" t="str">
        <f>IF(ISNA(VLOOKUP($F910,'Raw Data'!$A:$M,8,0)),"",VLOOKUP($F910,'Raw Data'!$A:$M,8,0))</f>
        <v/>
      </c>
      <c r="I910" t="str">
        <f>IF(ISNA(VLOOKUP($F910,'Raw Data'!$A:$M,9,0)),"",VLOOKUP($F910,'Raw Data'!$A:$M,9,0))</f>
        <v/>
      </c>
      <c r="J910" t="str">
        <f>IF(ISNA(VLOOKUP($F910,'Raw Data'!$A:$M,10,0)),"",VLOOKUP($F910,'Raw Data'!$A:$M,10,0))</f>
        <v/>
      </c>
      <c r="K910" t="str">
        <f>IF(ISNA(VLOOKUP($F910,'Raw Data'!$A:$M,11,0)),"",VLOOKUP($F910,'Raw Data'!$A:$M,11,0))</f>
        <v/>
      </c>
      <c r="L910" t="str">
        <f>IF(ISNA(VLOOKUP($F910,'Raw Data'!$A:$M,12,0)),"",VLOOKUP($F910,'Raw Data'!$A:$M,12,0))</f>
        <v/>
      </c>
      <c r="M910" t="str">
        <f>IF(ISNA(VLOOKUP($F910,'Raw Data'!$A:$M,13,0)),"",VLOOKUP($F910,'Raw Data'!$A:$M,13,0))</f>
        <v/>
      </c>
    </row>
    <row r="911" spans="1:13" x14ac:dyDescent="0.25">
      <c r="A911" t="s">
        <v>38</v>
      </c>
      <c r="B911">
        <v>2013</v>
      </c>
      <c r="C911">
        <v>4.5</v>
      </c>
      <c r="D911" s="3">
        <v>620</v>
      </c>
      <c r="E911" s="3">
        <v>95</v>
      </c>
      <c r="F911" s="3" t="str">
        <f t="shared" si="14"/>
        <v>FGU920134.562095</v>
      </c>
      <c r="G911" t="str">
        <f>IF(ISNA(VLOOKUP($F911,'Raw Data'!$A:$M,7,0)),"",VLOOKUP($F911,'Raw Data'!$A:$M,7,0))</f>
        <v/>
      </c>
      <c r="H911" t="str">
        <f>IF(ISNA(VLOOKUP($F911,'Raw Data'!$A:$M,8,0)),"",VLOOKUP($F911,'Raw Data'!$A:$M,8,0))</f>
        <v/>
      </c>
      <c r="I911" t="str">
        <f>IF(ISNA(VLOOKUP($F911,'Raw Data'!$A:$M,9,0)),"",VLOOKUP($F911,'Raw Data'!$A:$M,9,0))</f>
        <v/>
      </c>
      <c r="J911" t="str">
        <f>IF(ISNA(VLOOKUP($F911,'Raw Data'!$A:$M,10,0)),"",VLOOKUP($F911,'Raw Data'!$A:$M,10,0))</f>
        <v/>
      </c>
      <c r="K911" t="str">
        <f>IF(ISNA(VLOOKUP($F911,'Raw Data'!$A:$M,11,0)),"",VLOOKUP($F911,'Raw Data'!$A:$M,11,0))</f>
        <v/>
      </c>
      <c r="L911" t="str">
        <f>IF(ISNA(VLOOKUP($F911,'Raw Data'!$A:$M,12,0)),"",VLOOKUP($F911,'Raw Data'!$A:$M,12,0))</f>
        <v/>
      </c>
      <c r="M911" t="str">
        <f>IF(ISNA(VLOOKUP($F911,'Raw Data'!$A:$M,13,0)),"",VLOOKUP($F911,'Raw Data'!$A:$M,13,0))</f>
        <v/>
      </c>
    </row>
    <row r="912" spans="1:13" x14ac:dyDescent="0.25">
      <c r="A912" t="s">
        <v>38</v>
      </c>
      <c r="B912">
        <v>2013</v>
      </c>
      <c r="C912">
        <v>4.5</v>
      </c>
      <c r="D912" s="3">
        <v>640</v>
      </c>
      <c r="E912" s="3">
        <v>95</v>
      </c>
      <c r="F912" s="3" t="str">
        <f t="shared" si="14"/>
        <v>FGU920134.564095</v>
      </c>
      <c r="G912" t="str">
        <f>IF(ISNA(VLOOKUP($F912,'Raw Data'!$A:$M,7,0)),"",VLOOKUP($F912,'Raw Data'!$A:$M,7,0))</f>
        <v/>
      </c>
      <c r="H912" t="str">
        <f>IF(ISNA(VLOOKUP($F912,'Raw Data'!$A:$M,8,0)),"",VLOOKUP($F912,'Raw Data'!$A:$M,8,0))</f>
        <v/>
      </c>
      <c r="I912" t="str">
        <f>IF(ISNA(VLOOKUP($F912,'Raw Data'!$A:$M,9,0)),"",VLOOKUP($F912,'Raw Data'!$A:$M,9,0))</f>
        <v/>
      </c>
      <c r="J912" t="str">
        <f>IF(ISNA(VLOOKUP($F912,'Raw Data'!$A:$M,10,0)),"",VLOOKUP($F912,'Raw Data'!$A:$M,10,0))</f>
        <v/>
      </c>
      <c r="K912" t="str">
        <f>IF(ISNA(VLOOKUP($F912,'Raw Data'!$A:$M,11,0)),"",VLOOKUP($F912,'Raw Data'!$A:$M,11,0))</f>
        <v/>
      </c>
      <c r="L912" t="str">
        <f>IF(ISNA(VLOOKUP($F912,'Raw Data'!$A:$M,12,0)),"",VLOOKUP($F912,'Raw Data'!$A:$M,12,0))</f>
        <v/>
      </c>
      <c r="M912" t="str">
        <f>IF(ISNA(VLOOKUP($F912,'Raw Data'!$A:$M,13,0)),"",VLOOKUP($F912,'Raw Data'!$A:$M,13,0))</f>
        <v/>
      </c>
    </row>
    <row r="913" spans="1:13" x14ac:dyDescent="0.25">
      <c r="A913" t="s">
        <v>38</v>
      </c>
      <c r="B913">
        <v>2013</v>
      </c>
      <c r="C913">
        <v>4.5</v>
      </c>
      <c r="D913" s="3">
        <v>660</v>
      </c>
      <c r="E913" s="3">
        <v>95</v>
      </c>
      <c r="F913" s="3" t="str">
        <f t="shared" si="14"/>
        <v>FGU920134.566095</v>
      </c>
      <c r="G913" t="str">
        <f>IF(ISNA(VLOOKUP($F913,'Raw Data'!$A:$M,7,0)),"",VLOOKUP($F913,'Raw Data'!$A:$M,7,0))</f>
        <v/>
      </c>
      <c r="H913" t="str">
        <f>IF(ISNA(VLOOKUP($F913,'Raw Data'!$A:$M,8,0)),"",VLOOKUP($F913,'Raw Data'!$A:$M,8,0))</f>
        <v/>
      </c>
      <c r="I913" t="str">
        <f>IF(ISNA(VLOOKUP($F913,'Raw Data'!$A:$M,9,0)),"",VLOOKUP($F913,'Raw Data'!$A:$M,9,0))</f>
        <v/>
      </c>
      <c r="J913" t="str">
        <f>IF(ISNA(VLOOKUP($F913,'Raw Data'!$A:$M,10,0)),"",VLOOKUP($F913,'Raw Data'!$A:$M,10,0))</f>
        <v/>
      </c>
      <c r="K913" t="str">
        <f>IF(ISNA(VLOOKUP($F913,'Raw Data'!$A:$M,11,0)),"",VLOOKUP($F913,'Raw Data'!$A:$M,11,0))</f>
        <v/>
      </c>
      <c r="L913" t="str">
        <f>IF(ISNA(VLOOKUP($F913,'Raw Data'!$A:$M,12,0)),"",VLOOKUP($F913,'Raw Data'!$A:$M,12,0))</f>
        <v/>
      </c>
      <c r="M913" t="str">
        <f>IF(ISNA(VLOOKUP($F913,'Raw Data'!$A:$M,13,0)),"",VLOOKUP($F913,'Raw Data'!$A:$M,13,0))</f>
        <v/>
      </c>
    </row>
    <row r="914" spans="1:13" x14ac:dyDescent="0.25">
      <c r="A914" t="s">
        <v>38</v>
      </c>
      <c r="B914">
        <v>2013</v>
      </c>
      <c r="C914">
        <v>4.5</v>
      </c>
      <c r="D914" s="3">
        <v>680</v>
      </c>
      <c r="E914" s="3">
        <v>95</v>
      </c>
      <c r="F914" s="3" t="str">
        <f t="shared" si="14"/>
        <v>FGU920134.568095</v>
      </c>
      <c r="G914" t="str">
        <f>IF(ISNA(VLOOKUP($F914,'Raw Data'!$A:$M,7,0)),"",VLOOKUP($F914,'Raw Data'!$A:$M,7,0))</f>
        <v/>
      </c>
      <c r="H914" t="str">
        <f>IF(ISNA(VLOOKUP($F914,'Raw Data'!$A:$M,8,0)),"",VLOOKUP($F914,'Raw Data'!$A:$M,8,0))</f>
        <v/>
      </c>
      <c r="I914" t="str">
        <f>IF(ISNA(VLOOKUP($F914,'Raw Data'!$A:$M,9,0)),"",VLOOKUP($F914,'Raw Data'!$A:$M,9,0))</f>
        <v/>
      </c>
      <c r="J914" t="str">
        <f>IF(ISNA(VLOOKUP($F914,'Raw Data'!$A:$M,10,0)),"",VLOOKUP($F914,'Raw Data'!$A:$M,10,0))</f>
        <v/>
      </c>
      <c r="K914" t="str">
        <f>IF(ISNA(VLOOKUP($F914,'Raw Data'!$A:$M,11,0)),"",VLOOKUP($F914,'Raw Data'!$A:$M,11,0))</f>
        <v/>
      </c>
      <c r="L914" t="str">
        <f>IF(ISNA(VLOOKUP($F914,'Raw Data'!$A:$M,12,0)),"",VLOOKUP($F914,'Raw Data'!$A:$M,12,0))</f>
        <v/>
      </c>
      <c r="M914" t="str">
        <f>IF(ISNA(VLOOKUP($F914,'Raw Data'!$A:$M,13,0)),"",VLOOKUP($F914,'Raw Data'!$A:$M,13,0))</f>
        <v/>
      </c>
    </row>
    <row r="915" spans="1:13" x14ac:dyDescent="0.25">
      <c r="A915" t="s">
        <v>38</v>
      </c>
      <c r="B915">
        <v>2013</v>
      </c>
      <c r="C915">
        <v>4.5</v>
      </c>
      <c r="D915" s="3">
        <v>700</v>
      </c>
      <c r="E915" s="3">
        <v>95</v>
      </c>
      <c r="F915" s="3" t="str">
        <f t="shared" si="14"/>
        <v>FGU920134.570095</v>
      </c>
      <c r="G915" t="str">
        <f>IF(ISNA(VLOOKUP($F915,'Raw Data'!$A:$M,7,0)),"",VLOOKUP($F915,'Raw Data'!$A:$M,7,0))</f>
        <v/>
      </c>
      <c r="H915" t="str">
        <f>IF(ISNA(VLOOKUP($F915,'Raw Data'!$A:$M,8,0)),"",VLOOKUP($F915,'Raw Data'!$A:$M,8,0))</f>
        <v/>
      </c>
      <c r="I915" t="str">
        <f>IF(ISNA(VLOOKUP($F915,'Raw Data'!$A:$M,9,0)),"",VLOOKUP($F915,'Raw Data'!$A:$M,9,0))</f>
        <v/>
      </c>
      <c r="J915" t="str">
        <f>IF(ISNA(VLOOKUP($F915,'Raw Data'!$A:$M,10,0)),"",VLOOKUP($F915,'Raw Data'!$A:$M,10,0))</f>
        <v/>
      </c>
      <c r="K915" t="str">
        <f>IF(ISNA(VLOOKUP($F915,'Raw Data'!$A:$M,11,0)),"",VLOOKUP($F915,'Raw Data'!$A:$M,11,0))</f>
        <v/>
      </c>
      <c r="L915" t="str">
        <f>IF(ISNA(VLOOKUP($F915,'Raw Data'!$A:$M,12,0)),"",VLOOKUP($F915,'Raw Data'!$A:$M,12,0))</f>
        <v/>
      </c>
      <c r="M915" t="str">
        <f>IF(ISNA(VLOOKUP($F915,'Raw Data'!$A:$M,13,0)),"",VLOOKUP($F915,'Raw Data'!$A:$M,13,0))</f>
        <v/>
      </c>
    </row>
    <row r="916" spans="1:13" x14ac:dyDescent="0.25">
      <c r="A916" t="s">
        <v>38</v>
      </c>
      <c r="B916">
        <v>2013</v>
      </c>
      <c r="C916">
        <v>4.5</v>
      </c>
      <c r="D916" s="3">
        <v>720</v>
      </c>
      <c r="E916" s="3">
        <v>95</v>
      </c>
      <c r="F916" s="3" t="str">
        <f t="shared" si="14"/>
        <v>FGU920134.572095</v>
      </c>
      <c r="G916" t="str">
        <f>IF(ISNA(VLOOKUP($F916,'Raw Data'!$A:$M,7,0)),"",VLOOKUP($F916,'Raw Data'!$A:$M,7,0))</f>
        <v/>
      </c>
      <c r="H916" t="str">
        <f>IF(ISNA(VLOOKUP($F916,'Raw Data'!$A:$M,8,0)),"",VLOOKUP($F916,'Raw Data'!$A:$M,8,0))</f>
        <v/>
      </c>
      <c r="I916" t="str">
        <f>IF(ISNA(VLOOKUP($F916,'Raw Data'!$A:$M,9,0)),"",VLOOKUP($F916,'Raw Data'!$A:$M,9,0))</f>
        <v/>
      </c>
      <c r="J916" t="str">
        <f>IF(ISNA(VLOOKUP($F916,'Raw Data'!$A:$M,10,0)),"",VLOOKUP($F916,'Raw Data'!$A:$M,10,0))</f>
        <v/>
      </c>
      <c r="K916" t="str">
        <f>IF(ISNA(VLOOKUP($F916,'Raw Data'!$A:$M,11,0)),"",VLOOKUP($F916,'Raw Data'!$A:$M,11,0))</f>
        <v/>
      </c>
      <c r="L916" t="str">
        <f>IF(ISNA(VLOOKUP($F916,'Raw Data'!$A:$M,12,0)),"",VLOOKUP($F916,'Raw Data'!$A:$M,12,0))</f>
        <v/>
      </c>
      <c r="M916" t="str">
        <f>IF(ISNA(VLOOKUP($F916,'Raw Data'!$A:$M,13,0)),"",VLOOKUP($F916,'Raw Data'!$A:$M,13,0))</f>
        <v/>
      </c>
    </row>
    <row r="917" spans="1:13" x14ac:dyDescent="0.25">
      <c r="A917" t="s">
        <v>38</v>
      </c>
      <c r="B917">
        <v>2013</v>
      </c>
      <c r="C917">
        <v>4.5</v>
      </c>
      <c r="D917" s="3">
        <v>740</v>
      </c>
      <c r="E917" s="3">
        <v>95</v>
      </c>
      <c r="F917" s="3" t="str">
        <f t="shared" si="14"/>
        <v>FGU920134.574095</v>
      </c>
      <c r="G917" t="str">
        <f>IF(ISNA(VLOOKUP($F917,'Raw Data'!$A:$M,7,0)),"",VLOOKUP($F917,'Raw Data'!$A:$M,7,0))</f>
        <v/>
      </c>
      <c r="H917" t="str">
        <f>IF(ISNA(VLOOKUP($F917,'Raw Data'!$A:$M,8,0)),"",VLOOKUP($F917,'Raw Data'!$A:$M,8,0))</f>
        <v/>
      </c>
      <c r="I917" t="str">
        <f>IF(ISNA(VLOOKUP($F917,'Raw Data'!$A:$M,9,0)),"",VLOOKUP($F917,'Raw Data'!$A:$M,9,0))</f>
        <v/>
      </c>
      <c r="J917" t="str">
        <f>IF(ISNA(VLOOKUP($F917,'Raw Data'!$A:$M,10,0)),"",VLOOKUP($F917,'Raw Data'!$A:$M,10,0))</f>
        <v/>
      </c>
      <c r="K917" t="str">
        <f>IF(ISNA(VLOOKUP($F917,'Raw Data'!$A:$M,11,0)),"",VLOOKUP($F917,'Raw Data'!$A:$M,11,0))</f>
        <v/>
      </c>
      <c r="L917" t="str">
        <f>IF(ISNA(VLOOKUP($F917,'Raw Data'!$A:$M,12,0)),"",VLOOKUP($F917,'Raw Data'!$A:$M,12,0))</f>
        <v/>
      </c>
      <c r="M917" t="str">
        <f>IF(ISNA(VLOOKUP($F917,'Raw Data'!$A:$M,13,0)),"",VLOOKUP($F917,'Raw Data'!$A:$M,13,0))</f>
        <v/>
      </c>
    </row>
    <row r="918" spans="1:13" x14ac:dyDescent="0.25">
      <c r="A918" t="s">
        <v>38</v>
      </c>
      <c r="B918">
        <v>2013</v>
      </c>
      <c r="C918">
        <v>4.5</v>
      </c>
      <c r="D918" s="3">
        <v>760</v>
      </c>
      <c r="E918" s="3">
        <v>95</v>
      </c>
      <c r="F918" s="3" t="str">
        <f t="shared" si="14"/>
        <v>FGU920134.576095</v>
      </c>
      <c r="G918" t="str">
        <f>IF(ISNA(VLOOKUP($F918,'Raw Data'!$A:$M,7,0)),"",VLOOKUP($F918,'Raw Data'!$A:$M,7,0))</f>
        <v/>
      </c>
      <c r="H918" t="str">
        <f>IF(ISNA(VLOOKUP($F918,'Raw Data'!$A:$M,8,0)),"",VLOOKUP($F918,'Raw Data'!$A:$M,8,0))</f>
        <v/>
      </c>
      <c r="I918" t="str">
        <f>IF(ISNA(VLOOKUP($F918,'Raw Data'!$A:$M,9,0)),"",VLOOKUP($F918,'Raw Data'!$A:$M,9,0))</f>
        <v/>
      </c>
      <c r="J918" t="str">
        <f>IF(ISNA(VLOOKUP($F918,'Raw Data'!$A:$M,10,0)),"",VLOOKUP($F918,'Raw Data'!$A:$M,10,0))</f>
        <v/>
      </c>
      <c r="K918" t="str">
        <f>IF(ISNA(VLOOKUP($F918,'Raw Data'!$A:$M,11,0)),"",VLOOKUP($F918,'Raw Data'!$A:$M,11,0))</f>
        <v/>
      </c>
      <c r="L918" t="str">
        <f>IF(ISNA(VLOOKUP($F918,'Raw Data'!$A:$M,12,0)),"",VLOOKUP($F918,'Raw Data'!$A:$M,12,0))</f>
        <v/>
      </c>
      <c r="M918" t="str">
        <f>IF(ISNA(VLOOKUP($F918,'Raw Data'!$A:$M,13,0)),"",VLOOKUP($F918,'Raw Data'!$A:$M,13,0))</f>
        <v/>
      </c>
    </row>
    <row r="919" spans="1:13" x14ac:dyDescent="0.25">
      <c r="A919" t="s">
        <v>38</v>
      </c>
      <c r="B919">
        <v>2013</v>
      </c>
      <c r="C919">
        <v>4.5</v>
      </c>
      <c r="D919" s="3">
        <v>780</v>
      </c>
      <c r="E919" s="3">
        <v>95</v>
      </c>
      <c r="F919" s="3" t="str">
        <f t="shared" si="14"/>
        <v>FGU920134.578095</v>
      </c>
      <c r="G919" t="str">
        <f>IF(ISNA(VLOOKUP($F919,'Raw Data'!$A:$M,7,0)),"",VLOOKUP($F919,'Raw Data'!$A:$M,7,0))</f>
        <v/>
      </c>
      <c r="H919" t="str">
        <f>IF(ISNA(VLOOKUP($F919,'Raw Data'!$A:$M,8,0)),"",VLOOKUP($F919,'Raw Data'!$A:$M,8,0))</f>
        <v/>
      </c>
      <c r="I919" t="str">
        <f>IF(ISNA(VLOOKUP($F919,'Raw Data'!$A:$M,9,0)),"",VLOOKUP($F919,'Raw Data'!$A:$M,9,0))</f>
        <v/>
      </c>
      <c r="J919" t="str">
        <f>IF(ISNA(VLOOKUP($F919,'Raw Data'!$A:$M,10,0)),"",VLOOKUP($F919,'Raw Data'!$A:$M,10,0))</f>
        <v/>
      </c>
      <c r="K919" t="str">
        <f>IF(ISNA(VLOOKUP($F919,'Raw Data'!$A:$M,11,0)),"",VLOOKUP($F919,'Raw Data'!$A:$M,11,0))</f>
        <v/>
      </c>
      <c r="L919" t="str">
        <f>IF(ISNA(VLOOKUP($F919,'Raw Data'!$A:$M,12,0)),"",VLOOKUP($F919,'Raw Data'!$A:$M,12,0))</f>
        <v/>
      </c>
      <c r="M919" t="str">
        <f>IF(ISNA(VLOOKUP($F919,'Raw Data'!$A:$M,13,0)),"",VLOOKUP($F919,'Raw Data'!$A:$M,13,0))</f>
        <v/>
      </c>
    </row>
    <row r="920" spans="1:13" x14ac:dyDescent="0.25">
      <c r="A920" t="s">
        <v>38</v>
      </c>
      <c r="B920">
        <v>2013</v>
      </c>
      <c r="C920">
        <v>4.5</v>
      </c>
      <c r="D920" s="3">
        <v>620</v>
      </c>
      <c r="E920" s="3">
        <v>97</v>
      </c>
      <c r="F920" s="3" t="str">
        <f t="shared" si="14"/>
        <v>FGU920134.562097</v>
      </c>
      <c r="G920" t="str">
        <f>IF(ISNA(VLOOKUP($F920,'Raw Data'!$A:$M,7,0)),"",VLOOKUP($F920,'Raw Data'!$A:$M,7,0))</f>
        <v/>
      </c>
      <c r="H920" t="str">
        <f>IF(ISNA(VLOOKUP($F920,'Raw Data'!$A:$M,8,0)),"",VLOOKUP($F920,'Raw Data'!$A:$M,8,0))</f>
        <v/>
      </c>
      <c r="I920" t="str">
        <f>IF(ISNA(VLOOKUP($F920,'Raw Data'!$A:$M,9,0)),"",VLOOKUP($F920,'Raw Data'!$A:$M,9,0))</f>
        <v/>
      </c>
      <c r="J920" t="str">
        <f>IF(ISNA(VLOOKUP($F920,'Raw Data'!$A:$M,10,0)),"",VLOOKUP($F920,'Raw Data'!$A:$M,10,0))</f>
        <v/>
      </c>
      <c r="K920" t="str">
        <f>IF(ISNA(VLOOKUP($F920,'Raw Data'!$A:$M,11,0)),"",VLOOKUP($F920,'Raw Data'!$A:$M,11,0))</f>
        <v/>
      </c>
      <c r="L920" t="str">
        <f>IF(ISNA(VLOOKUP($F920,'Raw Data'!$A:$M,12,0)),"",VLOOKUP($F920,'Raw Data'!$A:$M,12,0))</f>
        <v/>
      </c>
      <c r="M920" t="str">
        <f>IF(ISNA(VLOOKUP($F920,'Raw Data'!$A:$M,13,0)),"",VLOOKUP($F920,'Raw Data'!$A:$M,13,0))</f>
        <v/>
      </c>
    </row>
    <row r="921" spans="1:13" x14ac:dyDescent="0.25">
      <c r="A921" t="s">
        <v>38</v>
      </c>
      <c r="B921">
        <v>2013</v>
      </c>
      <c r="C921">
        <v>4.5</v>
      </c>
      <c r="D921" s="3">
        <v>640</v>
      </c>
      <c r="E921" s="3">
        <v>97</v>
      </c>
      <c r="F921" s="3" t="str">
        <f t="shared" si="14"/>
        <v>FGU920134.564097</v>
      </c>
      <c r="G921" t="str">
        <f>IF(ISNA(VLOOKUP($F921,'Raw Data'!$A:$M,7,0)),"",VLOOKUP($F921,'Raw Data'!$A:$M,7,0))</f>
        <v/>
      </c>
      <c r="H921" t="str">
        <f>IF(ISNA(VLOOKUP($F921,'Raw Data'!$A:$M,8,0)),"",VLOOKUP($F921,'Raw Data'!$A:$M,8,0))</f>
        <v/>
      </c>
      <c r="I921" t="str">
        <f>IF(ISNA(VLOOKUP($F921,'Raw Data'!$A:$M,9,0)),"",VLOOKUP($F921,'Raw Data'!$A:$M,9,0))</f>
        <v/>
      </c>
      <c r="J921" t="str">
        <f>IF(ISNA(VLOOKUP($F921,'Raw Data'!$A:$M,10,0)),"",VLOOKUP($F921,'Raw Data'!$A:$M,10,0))</f>
        <v/>
      </c>
      <c r="K921" t="str">
        <f>IF(ISNA(VLOOKUP($F921,'Raw Data'!$A:$M,11,0)),"",VLOOKUP($F921,'Raw Data'!$A:$M,11,0))</f>
        <v/>
      </c>
      <c r="L921" t="str">
        <f>IF(ISNA(VLOOKUP($F921,'Raw Data'!$A:$M,12,0)),"",VLOOKUP($F921,'Raw Data'!$A:$M,12,0))</f>
        <v/>
      </c>
      <c r="M921" t="str">
        <f>IF(ISNA(VLOOKUP($F921,'Raw Data'!$A:$M,13,0)),"",VLOOKUP($F921,'Raw Data'!$A:$M,13,0))</f>
        <v/>
      </c>
    </row>
    <row r="922" spans="1:13" x14ac:dyDescent="0.25">
      <c r="A922" t="s">
        <v>38</v>
      </c>
      <c r="B922">
        <v>2013</v>
      </c>
      <c r="C922">
        <v>4.5</v>
      </c>
      <c r="D922" s="3">
        <v>660</v>
      </c>
      <c r="E922" s="3">
        <v>97</v>
      </c>
      <c r="F922" s="3" t="str">
        <f t="shared" si="14"/>
        <v>FGU920134.566097</v>
      </c>
      <c r="G922" t="str">
        <f>IF(ISNA(VLOOKUP($F922,'Raw Data'!$A:$M,7,0)),"",VLOOKUP($F922,'Raw Data'!$A:$M,7,0))</f>
        <v/>
      </c>
      <c r="H922" t="str">
        <f>IF(ISNA(VLOOKUP($F922,'Raw Data'!$A:$M,8,0)),"",VLOOKUP($F922,'Raw Data'!$A:$M,8,0))</f>
        <v/>
      </c>
      <c r="I922" t="str">
        <f>IF(ISNA(VLOOKUP($F922,'Raw Data'!$A:$M,9,0)),"",VLOOKUP($F922,'Raw Data'!$A:$M,9,0))</f>
        <v/>
      </c>
      <c r="J922" t="str">
        <f>IF(ISNA(VLOOKUP($F922,'Raw Data'!$A:$M,10,0)),"",VLOOKUP($F922,'Raw Data'!$A:$M,10,0))</f>
        <v/>
      </c>
      <c r="K922" t="str">
        <f>IF(ISNA(VLOOKUP($F922,'Raw Data'!$A:$M,11,0)),"",VLOOKUP($F922,'Raw Data'!$A:$M,11,0))</f>
        <v/>
      </c>
      <c r="L922" t="str">
        <f>IF(ISNA(VLOOKUP($F922,'Raw Data'!$A:$M,12,0)),"",VLOOKUP($F922,'Raw Data'!$A:$M,12,0))</f>
        <v/>
      </c>
      <c r="M922" t="str">
        <f>IF(ISNA(VLOOKUP($F922,'Raw Data'!$A:$M,13,0)),"",VLOOKUP($F922,'Raw Data'!$A:$M,13,0))</f>
        <v/>
      </c>
    </row>
    <row r="923" spans="1:13" x14ac:dyDescent="0.25">
      <c r="A923" t="s">
        <v>38</v>
      </c>
      <c r="B923">
        <v>2013</v>
      </c>
      <c r="C923">
        <v>4.5</v>
      </c>
      <c r="D923" s="3">
        <v>680</v>
      </c>
      <c r="E923" s="3">
        <v>97</v>
      </c>
      <c r="F923" s="3" t="str">
        <f t="shared" si="14"/>
        <v>FGU920134.568097</v>
      </c>
      <c r="G923" t="str">
        <f>IF(ISNA(VLOOKUP($F923,'Raw Data'!$A:$M,7,0)),"",VLOOKUP($F923,'Raw Data'!$A:$M,7,0))</f>
        <v/>
      </c>
      <c r="H923" t="str">
        <f>IF(ISNA(VLOOKUP($F923,'Raw Data'!$A:$M,8,0)),"",VLOOKUP($F923,'Raw Data'!$A:$M,8,0))</f>
        <v/>
      </c>
      <c r="I923" t="str">
        <f>IF(ISNA(VLOOKUP($F923,'Raw Data'!$A:$M,9,0)),"",VLOOKUP($F923,'Raw Data'!$A:$M,9,0))</f>
        <v/>
      </c>
      <c r="J923" t="str">
        <f>IF(ISNA(VLOOKUP($F923,'Raw Data'!$A:$M,10,0)),"",VLOOKUP($F923,'Raw Data'!$A:$M,10,0))</f>
        <v/>
      </c>
      <c r="K923" t="str">
        <f>IF(ISNA(VLOOKUP($F923,'Raw Data'!$A:$M,11,0)),"",VLOOKUP($F923,'Raw Data'!$A:$M,11,0))</f>
        <v/>
      </c>
      <c r="L923" t="str">
        <f>IF(ISNA(VLOOKUP($F923,'Raw Data'!$A:$M,12,0)),"",VLOOKUP($F923,'Raw Data'!$A:$M,12,0))</f>
        <v/>
      </c>
      <c r="M923" t="str">
        <f>IF(ISNA(VLOOKUP($F923,'Raw Data'!$A:$M,13,0)),"",VLOOKUP($F923,'Raw Data'!$A:$M,13,0))</f>
        <v/>
      </c>
    </row>
    <row r="924" spans="1:13" x14ac:dyDescent="0.25">
      <c r="A924" t="s">
        <v>38</v>
      </c>
      <c r="B924">
        <v>2013</v>
      </c>
      <c r="C924">
        <v>4.5</v>
      </c>
      <c r="D924" s="3">
        <v>700</v>
      </c>
      <c r="E924" s="3">
        <v>97</v>
      </c>
      <c r="F924" s="3" t="str">
        <f t="shared" si="14"/>
        <v>FGU920134.570097</v>
      </c>
      <c r="G924" t="str">
        <f>IF(ISNA(VLOOKUP($F924,'Raw Data'!$A:$M,7,0)),"",VLOOKUP($F924,'Raw Data'!$A:$M,7,0))</f>
        <v/>
      </c>
      <c r="H924" t="str">
        <f>IF(ISNA(VLOOKUP($F924,'Raw Data'!$A:$M,8,0)),"",VLOOKUP($F924,'Raw Data'!$A:$M,8,0))</f>
        <v/>
      </c>
      <c r="I924" t="str">
        <f>IF(ISNA(VLOOKUP($F924,'Raw Data'!$A:$M,9,0)),"",VLOOKUP($F924,'Raw Data'!$A:$M,9,0))</f>
        <v/>
      </c>
      <c r="J924" t="str">
        <f>IF(ISNA(VLOOKUP($F924,'Raw Data'!$A:$M,10,0)),"",VLOOKUP($F924,'Raw Data'!$A:$M,10,0))</f>
        <v/>
      </c>
      <c r="K924" t="str">
        <f>IF(ISNA(VLOOKUP($F924,'Raw Data'!$A:$M,11,0)),"",VLOOKUP($F924,'Raw Data'!$A:$M,11,0))</f>
        <v/>
      </c>
      <c r="L924" t="str">
        <f>IF(ISNA(VLOOKUP($F924,'Raw Data'!$A:$M,12,0)),"",VLOOKUP($F924,'Raw Data'!$A:$M,12,0))</f>
        <v/>
      </c>
      <c r="M924" t="str">
        <f>IF(ISNA(VLOOKUP($F924,'Raw Data'!$A:$M,13,0)),"",VLOOKUP($F924,'Raw Data'!$A:$M,13,0))</f>
        <v/>
      </c>
    </row>
    <row r="925" spans="1:13" x14ac:dyDescent="0.25">
      <c r="A925" t="s">
        <v>38</v>
      </c>
      <c r="B925">
        <v>2013</v>
      </c>
      <c r="C925">
        <v>4.5</v>
      </c>
      <c r="D925" s="3">
        <v>720</v>
      </c>
      <c r="E925" s="3">
        <v>97</v>
      </c>
      <c r="F925" s="3" t="str">
        <f t="shared" si="14"/>
        <v>FGU920134.572097</v>
      </c>
      <c r="G925" t="str">
        <f>IF(ISNA(VLOOKUP($F925,'Raw Data'!$A:$M,7,0)),"",VLOOKUP($F925,'Raw Data'!$A:$M,7,0))</f>
        <v/>
      </c>
      <c r="H925" t="str">
        <f>IF(ISNA(VLOOKUP($F925,'Raw Data'!$A:$M,8,0)),"",VLOOKUP($F925,'Raw Data'!$A:$M,8,0))</f>
        <v/>
      </c>
      <c r="I925" t="str">
        <f>IF(ISNA(VLOOKUP($F925,'Raw Data'!$A:$M,9,0)),"",VLOOKUP($F925,'Raw Data'!$A:$M,9,0))</f>
        <v/>
      </c>
      <c r="J925" t="str">
        <f>IF(ISNA(VLOOKUP($F925,'Raw Data'!$A:$M,10,0)),"",VLOOKUP($F925,'Raw Data'!$A:$M,10,0))</f>
        <v/>
      </c>
      <c r="K925" t="str">
        <f>IF(ISNA(VLOOKUP($F925,'Raw Data'!$A:$M,11,0)),"",VLOOKUP($F925,'Raw Data'!$A:$M,11,0))</f>
        <v/>
      </c>
      <c r="L925" t="str">
        <f>IF(ISNA(VLOOKUP($F925,'Raw Data'!$A:$M,12,0)),"",VLOOKUP($F925,'Raw Data'!$A:$M,12,0))</f>
        <v/>
      </c>
      <c r="M925" t="str">
        <f>IF(ISNA(VLOOKUP($F925,'Raw Data'!$A:$M,13,0)),"",VLOOKUP($F925,'Raw Data'!$A:$M,13,0))</f>
        <v/>
      </c>
    </row>
    <row r="926" spans="1:13" x14ac:dyDescent="0.25">
      <c r="A926" t="s">
        <v>38</v>
      </c>
      <c r="B926">
        <v>2013</v>
      </c>
      <c r="C926">
        <v>4.5</v>
      </c>
      <c r="D926" s="3">
        <v>740</v>
      </c>
      <c r="E926" s="3">
        <v>97</v>
      </c>
      <c r="F926" s="3" t="str">
        <f t="shared" si="14"/>
        <v>FGU920134.574097</v>
      </c>
      <c r="G926">
        <f>IF(ISNA(VLOOKUP($F926,'Raw Data'!$A:$M,7,0)),"",VLOOKUP($F926,'Raw Data'!$A:$M,7,0))</f>
        <v>1775850.79</v>
      </c>
      <c r="H926">
        <f>IF(ISNA(VLOOKUP($F926,'Raw Data'!$A:$M,8,0)),"",VLOOKUP($F926,'Raw Data'!$A:$M,8,0))</f>
        <v>11.5892</v>
      </c>
      <c r="I926">
        <f>IF(ISNA(VLOOKUP($F926,'Raw Data'!$A:$M,9,0)),"",VLOOKUP($F926,'Raw Data'!$A:$M,9,0))</f>
        <v>36.5871</v>
      </c>
      <c r="J926">
        <f>IF(ISNA(VLOOKUP($F926,'Raw Data'!$A:$M,10,0)),"",VLOOKUP($F926,'Raw Data'!$A:$M,10,0))</f>
        <v>24.997900000000001</v>
      </c>
      <c r="K926">
        <f>IF(ISNA(VLOOKUP($F926,'Raw Data'!$A:$M,11,0)),"",VLOOKUP($F926,'Raw Data'!$A:$M,11,0))</f>
        <v>23.555900000000001</v>
      </c>
      <c r="L926">
        <f>IF(ISNA(VLOOKUP($F926,'Raw Data'!$A:$M,12,0)),"",VLOOKUP($F926,'Raw Data'!$A:$M,12,0))</f>
        <v>42.5961</v>
      </c>
      <c r="M926">
        <f>IF(ISNA(VLOOKUP($F926,'Raw Data'!$A:$M,13,0)),"",VLOOKUP($F926,'Raw Data'!$A:$M,13,0))</f>
        <v>19.040199999999999</v>
      </c>
    </row>
    <row r="927" spans="1:13" x14ac:dyDescent="0.25">
      <c r="A927" t="s">
        <v>38</v>
      </c>
      <c r="B927">
        <v>2013</v>
      </c>
      <c r="C927">
        <v>4.5</v>
      </c>
      <c r="D927" s="3">
        <v>760</v>
      </c>
      <c r="E927" s="3">
        <v>97</v>
      </c>
      <c r="F927" s="3" t="str">
        <f t="shared" si="14"/>
        <v>FGU920134.576097</v>
      </c>
      <c r="G927" t="str">
        <f>IF(ISNA(VLOOKUP($F927,'Raw Data'!$A:$M,7,0)),"",VLOOKUP($F927,'Raw Data'!$A:$M,7,0))</f>
        <v/>
      </c>
      <c r="H927" t="str">
        <f>IF(ISNA(VLOOKUP($F927,'Raw Data'!$A:$M,8,0)),"",VLOOKUP($F927,'Raw Data'!$A:$M,8,0))</f>
        <v/>
      </c>
      <c r="I927" t="str">
        <f>IF(ISNA(VLOOKUP($F927,'Raw Data'!$A:$M,9,0)),"",VLOOKUP($F927,'Raw Data'!$A:$M,9,0))</f>
        <v/>
      </c>
      <c r="J927" t="str">
        <f>IF(ISNA(VLOOKUP($F927,'Raw Data'!$A:$M,10,0)),"",VLOOKUP($F927,'Raw Data'!$A:$M,10,0))</f>
        <v/>
      </c>
      <c r="K927" t="str">
        <f>IF(ISNA(VLOOKUP($F927,'Raw Data'!$A:$M,11,0)),"",VLOOKUP($F927,'Raw Data'!$A:$M,11,0))</f>
        <v/>
      </c>
      <c r="L927" t="str">
        <f>IF(ISNA(VLOOKUP($F927,'Raw Data'!$A:$M,12,0)),"",VLOOKUP($F927,'Raw Data'!$A:$M,12,0))</f>
        <v/>
      </c>
      <c r="M927" t="str">
        <f>IF(ISNA(VLOOKUP($F927,'Raw Data'!$A:$M,13,0)),"",VLOOKUP($F927,'Raw Data'!$A:$M,13,0))</f>
        <v/>
      </c>
    </row>
    <row r="928" spans="1:13" x14ac:dyDescent="0.25">
      <c r="A928" t="s">
        <v>38</v>
      </c>
      <c r="B928">
        <v>2013</v>
      </c>
      <c r="C928">
        <v>4.5</v>
      </c>
      <c r="D928" s="3">
        <v>780</v>
      </c>
      <c r="E928" s="3">
        <v>97</v>
      </c>
      <c r="F928" s="3" t="str">
        <f t="shared" si="14"/>
        <v>FGU920134.578097</v>
      </c>
      <c r="G928" t="str">
        <f>IF(ISNA(VLOOKUP($F928,'Raw Data'!$A:$M,7,0)),"",VLOOKUP($F928,'Raw Data'!$A:$M,7,0))</f>
        <v/>
      </c>
      <c r="H928" t="str">
        <f>IF(ISNA(VLOOKUP($F928,'Raw Data'!$A:$M,8,0)),"",VLOOKUP($F928,'Raw Data'!$A:$M,8,0))</f>
        <v/>
      </c>
      <c r="I928" t="str">
        <f>IF(ISNA(VLOOKUP($F928,'Raw Data'!$A:$M,9,0)),"",VLOOKUP($F928,'Raw Data'!$A:$M,9,0))</f>
        <v/>
      </c>
      <c r="J928" t="str">
        <f>IF(ISNA(VLOOKUP($F928,'Raw Data'!$A:$M,10,0)),"",VLOOKUP($F928,'Raw Data'!$A:$M,10,0))</f>
        <v/>
      </c>
      <c r="K928" t="str">
        <f>IF(ISNA(VLOOKUP($F928,'Raw Data'!$A:$M,11,0)),"",VLOOKUP($F928,'Raw Data'!$A:$M,11,0))</f>
        <v/>
      </c>
      <c r="L928" t="str">
        <f>IF(ISNA(VLOOKUP($F928,'Raw Data'!$A:$M,12,0)),"",VLOOKUP($F928,'Raw Data'!$A:$M,12,0))</f>
        <v/>
      </c>
      <c r="M928" t="str">
        <f>IF(ISNA(VLOOKUP($F928,'Raw Data'!$A:$M,13,0)),"",VLOOKUP($F928,'Raw Data'!$A:$M,13,0))</f>
        <v/>
      </c>
    </row>
    <row r="929" spans="1:13" x14ac:dyDescent="0.25">
      <c r="A929" t="s">
        <v>38</v>
      </c>
      <c r="B929">
        <v>2013</v>
      </c>
      <c r="C929">
        <v>4.5</v>
      </c>
      <c r="D929" s="3">
        <v>620</v>
      </c>
      <c r="E929" s="3">
        <v>100</v>
      </c>
      <c r="F929" s="3" t="str">
        <f t="shared" si="14"/>
        <v>FGU920134.5620100</v>
      </c>
      <c r="G929" t="str">
        <f>IF(ISNA(VLOOKUP($F929,'Raw Data'!$A:$M,7,0)),"",VLOOKUP($F929,'Raw Data'!$A:$M,7,0))</f>
        <v/>
      </c>
      <c r="H929" t="str">
        <f>IF(ISNA(VLOOKUP($F929,'Raw Data'!$A:$M,8,0)),"",VLOOKUP($F929,'Raw Data'!$A:$M,8,0))</f>
        <v/>
      </c>
      <c r="I929" t="str">
        <f>IF(ISNA(VLOOKUP($F929,'Raw Data'!$A:$M,9,0)),"",VLOOKUP($F929,'Raw Data'!$A:$M,9,0))</f>
        <v/>
      </c>
      <c r="J929" t="str">
        <f>IF(ISNA(VLOOKUP($F929,'Raw Data'!$A:$M,10,0)),"",VLOOKUP($F929,'Raw Data'!$A:$M,10,0))</f>
        <v/>
      </c>
      <c r="K929" t="str">
        <f>IF(ISNA(VLOOKUP($F929,'Raw Data'!$A:$M,11,0)),"",VLOOKUP($F929,'Raw Data'!$A:$M,11,0))</f>
        <v/>
      </c>
      <c r="L929" t="str">
        <f>IF(ISNA(VLOOKUP($F929,'Raw Data'!$A:$M,12,0)),"",VLOOKUP($F929,'Raw Data'!$A:$M,12,0))</f>
        <v/>
      </c>
      <c r="M929" t="str">
        <f>IF(ISNA(VLOOKUP($F929,'Raw Data'!$A:$M,13,0)),"",VLOOKUP($F929,'Raw Data'!$A:$M,13,0))</f>
        <v/>
      </c>
    </row>
    <row r="930" spans="1:13" x14ac:dyDescent="0.25">
      <c r="A930" t="s">
        <v>38</v>
      </c>
      <c r="B930">
        <v>2013</v>
      </c>
      <c r="C930">
        <v>4.5</v>
      </c>
      <c r="D930" s="3">
        <v>640</v>
      </c>
      <c r="E930" s="3">
        <v>100</v>
      </c>
      <c r="F930" s="3" t="str">
        <f t="shared" si="14"/>
        <v>FGU920134.5640100</v>
      </c>
      <c r="G930" t="str">
        <f>IF(ISNA(VLOOKUP($F930,'Raw Data'!$A:$M,7,0)),"",VLOOKUP($F930,'Raw Data'!$A:$M,7,0))</f>
        <v/>
      </c>
      <c r="H930" t="str">
        <f>IF(ISNA(VLOOKUP($F930,'Raw Data'!$A:$M,8,0)),"",VLOOKUP($F930,'Raw Data'!$A:$M,8,0))</f>
        <v/>
      </c>
      <c r="I930" t="str">
        <f>IF(ISNA(VLOOKUP($F930,'Raw Data'!$A:$M,9,0)),"",VLOOKUP($F930,'Raw Data'!$A:$M,9,0))</f>
        <v/>
      </c>
      <c r="J930" t="str">
        <f>IF(ISNA(VLOOKUP($F930,'Raw Data'!$A:$M,10,0)),"",VLOOKUP($F930,'Raw Data'!$A:$M,10,0))</f>
        <v/>
      </c>
      <c r="K930" t="str">
        <f>IF(ISNA(VLOOKUP($F930,'Raw Data'!$A:$M,11,0)),"",VLOOKUP($F930,'Raw Data'!$A:$M,11,0))</f>
        <v/>
      </c>
      <c r="L930" t="str">
        <f>IF(ISNA(VLOOKUP($F930,'Raw Data'!$A:$M,12,0)),"",VLOOKUP($F930,'Raw Data'!$A:$M,12,0))</f>
        <v/>
      </c>
      <c r="M930" t="str">
        <f>IF(ISNA(VLOOKUP($F930,'Raw Data'!$A:$M,13,0)),"",VLOOKUP($F930,'Raw Data'!$A:$M,13,0))</f>
        <v/>
      </c>
    </row>
    <row r="931" spans="1:13" x14ac:dyDescent="0.25">
      <c r="A931" t="s">
        <v>38</v>
      </c>
      <c r="B931">
        <v>2013</v>
      </c>
      <c r="C931">
        <v>4.5</v>
      </c>
      <c r="D931" s="3">
        <v>660</v>
      </c>
      <c r="E931" s="3">
        <v>100</v>
      </c>
      <c r="F931" s="3" t="str">
        <f t="shared" si="14"/>
        <v>FGU920134.5660100</v>
      </c>
      <c r="G931" t="str">
        <f>IF(ISNA(VLOOKUP($F931,'Raw Data'!$A:$M,7,0)),"",VLOOKUP($F931,'Raw Data'!$A:$M,7,0))</f>
        <v/>
      </c>
      <c r="H931" t="str">
        <f>IF(ISNA(VLOOKUP($F931,'Raw Data'!$A:$M,8,0)),"",VLOOKUP($F931,'Raw Data'!$A:$M,8,0))</f>
        <v/>
      </c>
      <c r="I931" t="str">
        <f>IF(ISNA(VLOOKUP($F931,'Raw Data'!$A:$M,9,0)),"",VLOOKUP($F931,'Raw Data'!$A:$M,9,0))</f>
        <v/>
      </c>
      <c r="J931" t="str">
        <f>IF(ISNA(VLOOKUP($F931,'Raw Data'!$A:$M,10,0)),"",VLOOKUP($F931,'Raw Data'!$A:$M,10,0))</f>
        <v/>
      </c>
      <c r="K931" t="str">
        <f>IF(ISNA(VLOOKUP($F931,'Raw Data'!$A:$M,11,0)),"",VLOOKUP($F931,'Raw Data'!$A:$M,11,0))</f>
        <v/>
      </c>
      <c r="L931" t="str">
        <f>IF(ISNA(VLOOKUP($F931,'Raw Data'!$A:$M,12,0)),"",VLOOKUP($F931,'Raw Data'!$A:$M,12,0))</f>
        <v/>
      </c>
      <c r="M931" t="str">
        <f>IF(ISNA(VLOOKUP($F931,'Raw Data'!$A:$M,13,0)),"",VLOOKUP($F931,'Raw Data'!$A:$M,13,0))</f>
        <v/>
      </c>
    </row>
    <row r="932" spans="1:13" x14ac:dyDescent="0.25">
      <c r="A932" t="s">
        <v>38</v>
      </c>
      <c r="B932">
        <v>2013</v>
      </c>
      <c r="C932">
        <v>4.5</v>
      </c>
      <c r="D932" s="3">
        <v>680</v>
      </c>
      <c r="E932" s="3">
        <v>100</v>
      </c>
      <c r="F932" s="3" t="str">
        <f t="shared" si="14"/>
        <v>FGU920134.5680100</v>
      </c>
      <c r="G932" t="str">
        <f>IF(ISNA(VLOOKUP($F932,'Raw Data'!$A:$M,7,0)),"",VLOOKUP($F932,'Raw Data'!$A:$M,7,0))</f>
        <v/>
      </c>
      <c r="H932" t="str">
        <f>IF(ISNA(VLOOKUP($F932,'Raw Data'!$A:$M,8,0)),"",VLOOKUP($F932,'Raw Data'!$A:$M,8,0))</f>
        <v/>
      </c>
      <c r="I932" t="str">
        <f>IF(ISNA(VLOOKUP($F932,'Raw Data'!$A:$M,9,0)),"",VLOOKUP($F932,'Raw Data'!$A:$M,9,0))</f>
        <v/>
      </c>
      <c r="J932" t="str">
        <f>IF(ISNA(VLOOKUP($F932,'Raw Data'!$A:$M,10,0)),"",VLOOKUP($F932,'Raw Data'!$A:$M,10,0))</f>
        <v/>
      </c>
      <c r="K932" t="str">
        <f>IF(ISNA(VLOOKUP($F932,'Raw Data'!$A:$M,11,0)),"",VLOOKUP($F932,'Raw Data'!$A:$M,11,0))</f>
        <v/>
      </c>
      <c r="L932" t="str">
        <f>IF(ISNA(VLOOKUP($F932,'Raw Data'!$A:$M,12,0)),"",VLOOKUP($F932,'Raw Data'!$A:$M,12,0))</f>
        <v/>
      </c>
      <c r="M932" t="str">
        <f>IF(ISNA(VLOOKUP($F932,'Raw Data'!$A:$M,13,0)),"",VLOOKUP($F932,'Raw Data'!$A:$M,13,0))</f>
        <v/>
      </c>
    </row>
    <row r="933" spans="1:13" x14ac:dyDescent="0.25">
      <c r="A933" t="s">
        <v>38</v>
      </c>
      <c r="B933">
        <v>2013</v>
      </c>
      <c r="C933">
        <v>4.5</v>
      </c>
      <c r="D933" s="3">
        <v>700</v>
      </c>
      <c r="E933" s="3">
        <v>100</v>
      </c>
      <c r="F933" s="3" t="str">
        <f t="shared" si="14"/>
        <v>FGU920134.5700100</v>
      </c>
      <c r="G933" t="str">
        <f>IF(ISNA(VLOOKUP($F933,'Raw Data'!$A:$M,7,0)),"",VLOOKUP($F933,'Raw Data'!$A:$M,7,0))</f>
        <v/>
      </c>
      <c r="H933" t="str">
        <f>IF(ISNA(VLOOKUP($F933,'Raw Data'!$A:$M,8,0)),"",VLOOKUP($F933,'Raw Data'!$A:$M,8,0))</f>
        <v/>
      </c>
      <c r="I933" t="str">
        <f>IF(ISNA(VLOOKUP($F933,'Raw Data'!$A:$M,9,0)),"",VLOOKUP($F933,'Raw Data'!$A:$M,9,0))</f>
        <v/>
      </c>
      <c r="J933" t="str">
        <f>IF(ISNA(VLOOKUP($F933,'Raw Data'!$A:$M,10,0)),"",VLOOKUP($F933,'Raw Data'!$A:$M,10,0))</f>
        <v/>
      </c>
      <c r="K933" t="str">
        <f>IF(ISNA(VLOOKUP($F933,'Raw Data'!$A:$M,11,0)),"",VLOOKUP($F933,'Raw Data'!$A:$M,11,0))</f>
        <v/>
      </c>
      <c r="L933" t="str">
        <f>IF(ISNA(VLOOKUP($F933,'Raw Data'!$A:$M,12,0)),"",VLOOKUP($F933,'Raw Data'!$A:$M,12,0))</f>
        <v/>
      </c>
      <c r="M933" t="str">
        <f>IF(ISNA(VLOOKUP($F933,'Raw Data'!$A:$M,13,0)),"",VLOOKUP($F933,'Raw Data'!$A:$M,13,0))</f>
        <v/>
      </c>
    </row>
    <row r="934" spans="1:13" x14ac:dyDescent="0.25">
      <c r="A934" t="s">
        <v>38</v>
      </c>
      <c r="B934">
        <v>2013</v>
      </c>
      <c r="C934">
        <v>4.5</v>
      </c>
      <c r="D934" s="3">
        <v>720</v>
      </c>
      <c r="E934" s="3">
        <v>100</v>
      </c>
      <c r="F934" s="3" t="str">
        <f t="shared" si="14"/>
        <v>FGU920134.5720100</v>
      </c>
      <c r="G934" t="str">
        <f>IF(ISNA(VLOOKUP($F934,'Raw Data'!$A:$M,7,0)),"",VLOOKUP($F934,'Raw Data'!$A:$M,7,0))</f>
        <v/>
      </c>
      <c r="H934" t="str">
        <f>IF(ISNA(VLOOKUP($F934,'Raw Data'!$A:$M,8,0)),"",VLOOKUP($F934,'Raw Data'!$A:$M,8,0))</f>
        <v/>
      </c>
      <c r="I934" t="str">
        <f>IF(ISNA(VLOOKUP($F934,'Raw Data'!$A:$M,9,0)),"",VLOOKUP($F934,'Raw Data'!$A:$M,9,0))</f>
        <v/>
      </c>
      <c r="J934" t="str">
        <f>IF(ISNA(VLOOKUP($F934,'Raw Data'!$A:$M,10,0)),"",VLOOKUP($F934,'Raw Data'!$A:$M,10,0))</f>
        <v/>
      </c>
      <c r="K934" t="str">
        <f>IF(ISNA(VLOOKUP($F934,'Raw Data'!$A:$M,11,0)),"",VLOOKUP($F934,'Raw Data'!$A:$M,11,0))</f>
        <v/>
      </c>
      <c r="L934" t="str">
        <f>IF(ISNA(VLOOKUP($F934,'Raw Data'!$A:$M,12,0)),"",VLOOKUP($F934,'Raw Data'!$A:$M,12,0))</f>
        <v/>
      </c>
      <c r="M934" t="str">
        <f>IF(ISNA(VLOOKUP($F934,'Raw Data'!$A:$M,13,0)),"",VLOOKUP($F934,'Raw Data'!$A:$M,13,0))</f>
        <v/>
      </c>
    </row>
    <row r="935" spans="1:13" x14ac:dyDescent="0.25">
      <c r="A935" t="s">
        <v>38</v>
      </c>
      <c r="B935">
        <v>2013</v>
      </c>
      <c r="C935">
        <v>4.5</v>
      </c>
      <c r="D935" s="3">
        <v>740</v>
      </c>
      <c r="E935" s="3">
        <v>100</v>
      </c>
      <c r="F935" s="3" t="str">
        <f t="shared" si="14"/>
        <v>FGU920134.5740100</v>
      </c>
      <c r="G935" t="str">
        <f>IF(ISNA(VLOOKUP($F935,'Raw Data'!$A:$M,7,0)),"",VLOOKUP($F935,'Raw Data'!$A:$M,7,0))</f>
        <v/>
      </c>
      <c r="H935" t="str">
        <f>IF(ISNA(VLOOKUP($F935,'Raw Data'!$A:$M,8,0)),"",VLOOKUP($F935,'Raw Data'!$A:$M,8,0))</f>
        <v/>
      </c>
      <c r="I935" t="str">
        <f>IF(ISNA(VLOOKUP($F935,'Raw Data'!$A:$M,9,0)),"",VLOOKUP($F935,'Raw Data'!$A:$M,9,0))</f>
        <v/>
      </c>
      <c r="J935" t="str">
        <f>IF(ISNA(VLOOKUP($F935,'Raw Data'!$A:$M,10,0)),"",VLOOKUP($F935,'Raw Data'!$A:$M,10,0))</f>
        <v/>
      </c>
      <c r="K935" t="str">
        <f>IF(ISNA(VLOOKUP($F935,'Raw Data'!$A:$M,11,0)),"",VLOOKUP($F935,'Raw Data'!$A:$M,11,0))</f>
        <v/>
      </c>
      <c r="L935" t="str">
        <f>IF(ISNA(VLOOKUP($F935,'Raw Data'!$A:$M,12,0)),"",VLOOKUP($F935,'Raw Data'!$A:$M,12,0))</f>
        <v/>
      </c>
      <c r="M935" t="str">
        <f>IF(ISNA(VLOOKUP($F935,'Raw Data'!$A:$M,13,0)),"",VLOOKUP($F935,'Raw Data'!$A:$M,13,0))</f>
        <v/>
      </c>
    </row>
    <row r="936" spans="1:13" x14ac:dyDescent="0.25">
      <c r="A936" t="s">
        <v>38</v>
      </c>
      <c r="B936">
        <v>2013</v>
      </c>
      <c r="C936">
        <v>4.5</v>
      </c>
      <c r="D936" s="3">
        <v>760</v>
      </c>
      <c r="E936" s="3">
        <v>100</v>
      </c>
      <c r="F936" s="3" t="str">
        <f t="shared" si="14"/>
        <v>FGU920134.5760100</v>
      </c>
      <c r="G936" t="str">
        <f>IF(ISNA(VLOOKUP($F936,'Raw Data'!$A:$M,7,0)),"",VLOOKUP($F936,'Raw Data'!$A:$M,7,0))</f>
        <v/>
      </c>
      <c r="H936" t="str">
        <f>IF(ISNA(VLOOKUP($F936,'Raw Data'!$A:$M,8,0)),"",VLOOKUP($F936,'Raw Data'!$A:$M,8,0))</f>
        <v/>
      </c>
      <c r="I936" t="str">
        <f>IF(ISNA(VLOOKUP($F936,'Raw Data'!$A:$M,9,0)),"",VLOOKUP($F936,'Raw Data'!$A:$M,9,0))</f>
        <v/>
      </c>
      <c r="J936" t="str">
        <f>IF(ISNA(VLOOKUP($F936,'Raw Data'!$A:$M,10,0)),"",VLOOKUP($F936,'Raw Data'!$A:$M,10,0))</f>
        <v/>
      </c>
      <c r="K936" t="str">
        <f>IF(ISNA(VLOOKUP($F936,'Raw Data'!$A:$M,11,0)),"",VLOOKUP($F936,'Raw Data'!$A:$M,11,0))</f>
        <v/>
      </c>
      <c r="L936" t="str">
        <f>IF(ISNA(VLOOKUP($F936,'Raw Data'!$A:$M,12,0)),"",VLOOKUP($F936,'Raw Data'!$A:$M,12,0))</f>
        <v/>
      </c>
      <c r="M936" t="str">
        <f>IF(ISNA(VLOOKUP($F936,'Raw Data'!$A:$M,13,0)),"",VLOOKUP($F936,'Raw Data'!$A:$M,13,0))</f>
        <v/>
      </c>
    </row>
    <row r="937" spans="1:13" x14ac:dyDescent="0.25">
      <c r="A937" t="s">
        <v>38</v>
      </c>
      <c r="B937">
        <v>2013</v>
      </c>
      <c r="C937">
        <v>4.5</v>
      </c>
      <c r="D937" s="3">
        <v>780</v>
      </c>
      <c r="E937" s="3">
        <v>100</v>
      </c>
      <c r="F937" s="3" t="str">
        <f t="shared" si="14"/>
        <v>FGU920134.5780100</v>
      </c>
      <c r="G937" t="str">
        <f>IF(ISNA(VLOOKUP($F937,'Raw Data'!$A:$M,7,0)),"",VLOOKUP($F937,'Raw Data'!$A:$M,7,0))</f>
        <v/>
      </c>
      <c r="H937" t="str">
        <f>IF(ISNA(VLOOKUP($F937,'Raw Data'!$A:$M,8,0)),"",VLOOKUP($F937,'Raw Data'!$A:$M,8,0))</f>
        <v/>
      </c>
      <c r="I937" t="str">
        <f>IF(ISNA(VLOOKUP($F937,'Raw Data'!$A:$M,9,0)),"",VLOOKUP($F937,'Raw Data'!$A:$M,9,0))</f>
        <v/>
      </c>
      <c r="J937" t="str">
        <f>IF(ISNA(VLOOKUP($F937,'Raw Data'!$A:$M,10,0)),"",VLOOKUP($F937,'Raw Data'!$A:$M,10,0))</f>
        <v/>
      </c>
      <c r="K937" t="str">
        <f>IF(ISNA(VLOOKUP($F937,'Raw Data'!$A:$M,11,0)),"",VLOOKUP($F937,'Raw Data'!$A:$M,11,0))</f>
        <v/>
      </c>
      <c r="L937" t="str">
        <f>IF(ISNA(VLOOKUP($F937,'Raw Data'!$A:$M,12,0)),"",VLOOKUP($F937,'Raw Data'!$A:$M,12,0))</f>
        <v/>
      </c>
      <c r="M937" t="str">
        <f>IF(ISNA(VLOOKUP($F937,'Raw Data'!$A:$M,13,0)),"",VLOOKUP($F937,'Raw Data'!$A:$M,13,0))</f>
        <v/>
      </c>
    </row>
    <row r="938" spans="1:13" x14ac:dyDescent="0.25">
      <c r="A938" t="s">
        <v>38</v>
      </c>
      <c r="B938">
        <v>2013</v>
      </c>
      <c r="C938">
        <v>4.5</v>
      </c>
      <c r="D938" s="3">
        <v>620</v>
      </c>
      <c r="E938" s="3" t="s">
        <v>9</v>
      </c>
      <c r="F938" s="3" t="str">
        <f t="shared" si="14"/>
        <v>FGU920134.5620100+</v>
      </c>
      <c r="G938" t="str">
        <f>IF(ISNA(VLOOKUP($F938,'Raw Data'!$A:$M,7,0)),"",VLOOKUP($F938,'Raw Data'!$A:$M,7,0))</f>
        <v/>
      </c>
      <c r="H938" t="str">
        <f>IF(ISNA(VLOOKUP($F938,'Raw Data'!$A:$M,8,0)),"",VLOOKUP($F938,'Raw Data'!$A:$M,8,0))</f>
        <v/>
      </c>
      <c r="I938" t="str">
        <f>IF(ISNA(VLOOKUP($F938,'Raw Data'!$A:$M,9,0)),"",VLOOKUP($F938,'Raw Data'!$A:$M,9,0))</f>
        <v/>
      </c>
      <c r="J938" t="str">
        <f>IF(ISNA(VLOOKUP($F938,'Raw Data'!$A:$M,10,0)),"",VLOOKUP($F938,'Raw Data'!$A:$M,10,0))</f>
        <v/>
      </c>
      <c r="K938" t="str">
        <f>IF(ISNA(VLOOKUP($F938,'Raw Data'!$A:$M,11,0)),"",VLOOKUP($F938,'Raw Data'!$A:$M,11,0))</f>
        <v/>
      </c>
      <c r="L938" t="str">
        <f>IF(ISNA(VLOOKUP($F938,'Raw Data'!$A:$M,12,0)),"",VLOOKUP($F938,'Raw Data'!$A:$M,12,0))</f>
        <v/>
      </c>
      <c r="M938" t="str">
        <f>IF(ISNA(VLOOKUP($F938,'Raw Data'!$A:$M,13,0)),"",VLOOKUP($F938,'Raw Data'!$A:$M,13,0))</f>
        <v/>
      </c>
    </row>
    <row r="939" spans="1:13" x14ac:dyDescent="0.25">
      <c r="A939" t="s">
        <v>38</v>
      </c>
      <c r="B939">
        <v>2013</v>
      </c>
      <c r="C939">
        <v>4.5</v>
      </c>
      <c r="D939" s="3">
        <v>640</v>
      </c>
      <c r="E939" s="3" t="s">
        <v>9</v>
      </c>
      <c r="F939" s="3" t="str">
        <f t="shared" si="14"/>
        <v>FGU920134.5640100+</v>
      </c>
      <c r="G939" t="str">
        <f>IF(ISNA(VLOOKUP($F939,'Raw Data'!$A:$M,7,0)),"",VLOOKUP($F939,'Raw Data'!$A:$M,7,0))</f>
        <v/>
      </c>
      <c r="H939" t="str">
        <f>IF(ISNA(VLOOKUP($F939,'Raw Data'!$A:$M,8,0)),"",VLOOKUP($F939,'Raw Data'!$A:$M,8,0))</f>
        <v/>
      </c>
      <c r="I939" t="str">
        <f>IF(ISNA(VLOOKUP($F939,'Raw Data'!$A:$M,9,0)),"",VLOOKUP($F939,'Raw Data'!$A:$M,9,0))</f>
        <v/>
      </c>
      <c r="J939" t="str">
        <f>IF(ISNA(VLOOKUP($F939,'Raw Data'!$A:$M,10,0)),"",VLOOKUP($F939,'Raw Data'!$A:$M,10,0))</f>
        <v/>
      </c>
      <c r="K939" t="str">
        <f>IF(ISNA(VLOOKUP($F939,'Raw Data'!$A:$M,11,0)),"",VLOOKUP($F939,'Raw Data'!$A:$M,11,0))</f>
        <v/>
      </c>
      <c r="L939" t="str">
        <f>IF(ISNA(VLOOKUP($F939,'Raw Data'!$A:$M,12,0)),"",VLOOKUP($F939,'Raw Data'!$A:$M,12,0))</f>
        <v/>
      </c>
      <c r="M939" t="str">
        <f>IF(ISNA(VLOOKUP($F939,'Raw Data'!$A:$M,13,0)),"",VLOOKUP($F939,'Raw Data'!$A:$M,13,0))</f>
        <v/>
      </c>
    </row>
    <row r="940" spans="1:13" x14ac:dyDescent="0.25">
      <c r="A940" t="s">
        <v>38</v>
      </c>
      <c r="B940">
        <v>2013</v>
      </c>
      <c r="C940">
        <v>4.5</v>
      </c>
      <c r="D940" s="3">
        <v>660</v>
      </c>
      <c r="E940" s="3" t="s">
        <v>9</v>
      </c>
      <c r="F940" s="3" t="str">
        <f t="shared" si="14"/>
        <v>FGU920134.5660100+</v>
      </c>
      <c r="G940" t="str">
        <f>IF(ISNA(VLOOKUP($F940,'Raw Data'!$A:$M,7,0)),"",VLOOKUP($F940,'Raw Data'!$A:$M,7,0))</f>
        <v/>
      </c>
      <c r="H940" t="str">
        <f>IF(ISNA(VLOOKUP($F940,'Raw Data'!$A:$M,8,0)),"",VLOOKUP($F940,'Raw Data'!$A:$M,8,0))</f>
        <v/>
      </c>
      <c r="I940" t="str">
        <f>IF(ISNA(VLOOKUP($F940,'Raw Data'!$A:$M,9,0)),"",VLOOKUP($F940,'Raw Data'!$A:$M,9,0))</f>
        <v/>
      </c>
      <c r="J940" t="str">
        <f>IF(ISNA(VLOOKUP($F940,'Raw Data'!$A:$M,10,0)),"",VLOOKUP($F940,'Raw Data'!$A:$M,10,0))</f>
        <v/>
      </c>
      <c r="K940" t="str">
        <f>IF(ISNA(VLOOKUP($F940,'Raw Data'!$A:$M,11,0)),"",VLOOKUP($F940,'Raw Data'!$A:$M,11,0))</f>
        <v/>
      </c>
      <c r="L940" t="str">
        <f>IF(ISNA(VLOOKUP($F940,'Raw Data'!$A:$M,12,0)),"",VLOOKUP($F940,'Raw Data'!$A:$M,12,0))</f>
        <v/>
      </c>
      <c r="M940" t="str">
        <f>IF(ISNA(VLOOKUP($F940,'Raw Data'!$A:$M,13,0)),"",VLOOKUP($F940,'Raw Data'!$A:$M,13,0))</f>
        <v/>
      </c>
    </row>
    <row r="941" spans="1:13" x14ac:dyDescent="0.25">
      <c r="A941" t="s">
        <v>38</v>
      </c>
      <c r="B941">
        <v>2013</v>
      </c>
      <c r="C941">
        <v>4.5</v>
      </c>
      <c r="D941" s="3">
        <v>680</v>
      </c>
      <c r="E941" s="3" t="s">
        <v>9</v>
      </c>
      <c r="F941" s="3" t="str">
        <f t="shared" si="14"/>
        <v>FGU920134.5680100+</v>
      </c>
      <c r="G941" t="str">
        <f>IF(ISNA(VLOOKUP($F941,'Raw Data'!$A:$M,7,0)),"",VLOOKUP($F941,'Raw Data'!$A:$M,7,0))</f>
        <v/>
      </c>
      <c r="H941" t="str">
        <f>IF(ISNA(VLOOKUP($F941,'Raw Data'!$A:$M,8,0)),"",VLOOKUP($F941,'Raw Data'!$A:$M,8,0))</f>
        <v/>
      </c>
      <c r="I941" t="str">
        <f>IF(ISNA(VLOOKUP($F941,'Raw Data'!$A:$M,9,0)),"",VLOOKUP($F941,'Raw Data'!$A:$M,9,0))</f>
        <v/>
      </c>
      <c r="J941" t="str">
        <f>IF(ISNA(VLOOKUP($F941,'Raw Data'!$A:$M,10,0)),"",VLOOKUP($F941,'Raw Data'!$A:$M,10,0))</f>
        <v/>
      </c>
      <c r="K941" t="str">
        <f>IF(ISNA(VLOOKUP($F941,'Raw Data'!$A:$M,11,0)),"",VLOOKUP($F941,'Raw Data'!$A:$M,11,0))</f>
        <v/>
      </c>
      <c r="L941" t="str">
        <f>IF(ISNA(VLOOKUP($F941,'Raw Data'!$A:$M,12,0)),"",VLOOKUP($F941,'Raw Data'!$A:$M,12,0))</f>
        <v/>
      </c>
      <c r="M941" t="str">
        <f>IF(ISNA(VLOOKUP($F941,'Raw Data'!$A:$M,13,0)),"",VLOOKUP($F941,'Raw Data'!$A:$M,13,0))</f>
        <v/>
      </c>
    </row>
    <row r="942" spans="1:13" x14ac:dyDescent="0.25">
      <c r="A942" t="s">
        <v>38</v>
      </c>
      <c r="B942">
        <v>2013</v>
      </c>
      <c r="C942">
        <v>4.5</v>
      </c>
      <c r="D942" s="3">
        <v>700</v>
      </c>
      <c r="E942" s="3" t="s">
        <v>9</v>
      </c>
      <c r="F942" s="3" t="str">
        <f t="shared" si="14"/>
        <v>FGU920134.5700100+</v>
      </c>
      <c r="G942">
        <f>IF(ISNA(VLOOKUP($F942,'Raw Data'!$A:$M,7,0)),"",VLOOKUP($F942,'Raw Data'!$A:$M,7,0))</f>
        <v>16154593.050000001</v>
      </c>
      <c r="H942">
        <f>IF(ISNA(VLOOKUP($F942,'Raw Data'!$A:$M,8,0)),"",VLOOKUP($F942,'Raw Data'!$A:$M,8,0))</f>
        <v>-5.5854014572199899</v>
      </c>
      <c r="I942">
        <f>IF(ISNA(VLOOKUP($F942,'Raw Data'!$A:$M,9,0)),"",VLOOKUP($F942,'Raw Data'!$A:$M,9,0))</f>
        <v>19.408296907951001</v>
      </c>
      <c r="J942">
        <f>IF(ISNA(VLOOKUP($F942,'Raw Data'!$A:$M,10,0)),"",VLOOKUP($F942,'Raw Data'!$A:$M,10,0))</f>
        <v>24.993698365170999</v>
      </c>
      <c r="K942">
        <f>IF(ISNA(VLOOKUP($F942,'Raw Data'!$A:$M,11,0)),"",VLOOKUP($F942,'Raw Data'!$A:$M,11,0))</f>
        <v>-5.4860352732989401</v>
      </c>
      <c r="L942">
        <f>IF(ISNA(VLOOKUP($F942,'Raw Data'!$A:$M,12,0)),"",VLOOKUP($F942,'Raw Data'!$A:$M,12,0))</f>
        <v>19.408296907951001</v>
      </c>
      <c r="M942">
        <f>IF(ISNA(VLOOKUP($F942,'Raw Data'!$A:$M,13,0)),"",VLOOKUP($F942,'Raw Data'!$A:$M,13,0))</f>
        <v>24.89433218125</v>
      </c>
    </row>
    <row r="943" spans="1:13" x14ac:dyDescent="0.25">
      <c r="A943" t="s">
        <v>38</v>
      </c>
      <c r="B943">
        <v>2013</v>
      </c>
      <c r="C943">
        <v>4.5</v>
      </c>
      <c r="D943" s="3">
        <v>720</v>
      </c>
      <c r="E943" s="3" t="s">
        <v>9</v>
      </c>
      <c r="F943" s="3" t="str">
        <f t="shared" si="14"/>
        <v>FGU920134.5720100+</v>
      </c>
      <c r="G943">
        <f>IF(ISNA(VLOOKUP($F943,'Raw Data'!$A:$M,7,0)),"",VLOOKUP($F943,'Raw Data'!$A:$M,7,0))</f>
        <v>4053124.57</v>
      </c>
      <c r="H943">
        <f>IF(ISNA(VLOOKUP($F943,'Raw Data'!$A:$M,8,0)),"",VLOOKUP($F943,'Raw Data'!$A:$M,8,0))</f>
        <v>5.1044998006792</v>
      </c>
      <c r="I943">
        <f>IF(ISNA(VLOOKUP($F943,'Raw Data'!$A:$M,9,0)),"",VLOOKUP($F943,'Raw Data'!$A:$M,9,0))</f>
        <v>30.098991423977299</v>
      </c>
      <c r="J943">
        <f>IF(ISNA(VLOOKUP($F943,'Raw Data'!$A:$M,10,0)),"",VLOOKUP($F943,'Raw Data'!$A:$M,10,0))</f>
        <v>24.994491623298099</v>
      </c>
      <c r="K943">
        <f>IF(ISNA(VLOOKUP($F943,'Raw Data'!$A:$M,11,0)),"",VLOOKUP($F943,'Raw Data'!$A:$M,11,0))</f>
        <v>6.3890202271031997</v>
      </c>
      <c r="L943">
        <f>IF(ISNA(VLOOKUP($F943,'Raw Data'!$A:$M,12,0)),"",VLOOKUP($F943,'Raw Data'!$A:$M,12,0))</f>
        <v>30.288731843576102</v>
      </c>
      <c r="M943">
        <f>IF(ISNA(VLOOKUP($F943,'Raw Data'!$A:$M,13,0)),"",VLOOKUP($F943,'Raw Data'!$A:$M,13,0))</f>
        <v>23.899711616472899</v>
      </c>
    </row>
    <row r="944" spans="1:13" x14ac:dyDescent="0.25">
      <c r="A944" t="s">
        <v>38</v>
      </c>
      <c r="B944">
        <v>2013</v>
      </c>
      <c r="C944">
        <v>4.5</v>
      </c>
      <c r="D944" s="3">
        <v>740</v>
      </c>
      <c r="E944" s="3" t="s">
        <v>9</v>
      </c>
      <c r="F944" s="3" t="str">
        <f t="shared" si="14"/>
        <v>FGU920134.5740100+</v>
      </c>
      <c r="G944">
        <f>IF(ISNA(VLOOKUP($F944,'Raw Data'!$A:$M,7,0)),"",VLOOKUP($F944,'Raw Data'!$A:$M,7,0))</f>
        <v>38290048.479999997</v>
      </c>
      <c r="H944">
        <f>IF(ISNA(VLOOKUP($F944,'Raw Data'!$A:$M,8,0)),"",VLOOKUP($F944,'Raw Data'!$A:$M,8,0))</f>
        <v>11.0954929814104</v>
      </c>
      <c r="I944">
        <f>IF(ISNA(VLOOKUP($F944,'Raw Data'!$A:$M,9,0)),"",VLOOKUP($F944,'Raw Data'!$A:$M,9,0))</f>
        <v>36.092018591906701</v>
      </c>
      <c r="J944">
        <f>IF(ISNA(VLOOKUP($F944,'Raw Data'!$A:$M,10,0)),"",VLOOKUP($F944,'Raw Data'!$A:$M,10,0))</f>
        <v>24.996525610496199</v>
      </c>
      <c r="K944">
        <f>IF(ISNA(VLOOKUP($F944,'Raw Data'!$A:$M,11,0)),"",VLOOKUP($F944,'Raw Data'!$A:$M,11,0))</f>
        <v>14.902224625472099</v>
      </c>
      <c r="L944">
        <f>IF(ISNA(VLOOKUP($F944,'Raw Data'!$A:$M,12,0)),"",VLOOKUP($F944,'Raw Data'!$A:$M,12,0))</f>
        <v>37.718529981069402</v>
      </c>
      <c r="M944">
        <f>IF(ISNA(VLOOKUP($F944,'Raw Data'!$A:$M,13,0)),"",VLOOKUP($F944,'Raw Data'!$A:$M,13,0))</f>
        <v>22.816305355597201</v>
      </c>
    </row>
    <row r="945" spans="1:13" x14ac:dyDescent="0.25">
      <c r="A945" t="s">
        <v>38</v>
      </c>
      <c r="B945">
        <v>2013</v>
      </c>
      <c r="C945">
        <v>4.5</v>
      </c>
      <c r="D945" s="3">
        <v>760</v>
      </c>
      <c r="E945" s="3" t="s">
        <v>9</v>
      </c>
      <c r="F945" s="3" t="str">
        <f t="shared" si="14"/>
        <v>FGU920134.5760100+</v>
      </c>
      <c r="G945" t="str">
        <f>IF(ISNA(VLOOKUP($F945,'Raw Data'!$A:$M,7,0)),"",VLOOKUP($F945,'Raw Data'!$A:$M,7,0))</f>
        <v/>
      </c>
      <c r="H945" t="str">
        <f>IF(ISNA(VLOOKUP($F945,'Raw Data'!$A:$M,8,0)),"",VLOOKUP($F945,'Raw Data'!$A:$M,8,0))</f>
        <v/>
      </c>
      <c r="I945" t="str">
        <f>IF(ISNA(VLOOKUP($F945,'Raw Data'!$A:$M,9,0)),"",VLOOKUP($F945,'Raw Data'!$A:$M,9,0))</f>
        <v/>
      </c>
      <c r="J945" t="str">
        <f>IF(ISNA(VLOOKUP($F945,'Raw Data'!$A:$M,10,0)),"",VLOOKUP($F945,'Raw Data'!$A:$M,10,0))</f>
        <v/>
      </c>
      <c r="K945" t="str">
        <f>IF(ISNA(VLOOKUP($F945,'Raw Data'!$A:$M,11,0)),"",VLOOKUP($F945,'Raw Data'!$A:$M,11,0))</f>
        <v/>
      </c>
      <c r="L945" t="str">
        <f>IF(ISNA(VLOOKUP($F945,'Raw Data'!$A:$M,12,0)),"",VLOOKUP($F945,'Raw Data'!$A:$M,12,0))</f>
        <v/>
      </c>
      <c r="M945" t="str">
        <f>IF(ISNA(VLOOKUP($F945,'Raw Data'!$A:$M,13,0)),"",VLOOKUP($F945,'Raw Data'!$A:$M,13,0))</f>
        <v/>
      </c>
    </row>
    <row r="946" spans="1:13" x14ac:dyDescent="0.25">
      <c r="A946" t="s">
        <v>38</v>
      </c>
      <c r="B946">
        <v>2013</v>
      </c>
      <c r="C946">
        <v>4.5</v>
      </c>
      <c r="D946" s="3">
        <v>780</v>
      </c>
      <c r="E946" s="3" t="s">
        <v>9</v>
      </c>
      <c r="F946" s="3" t="str">
        <f t="shared" si="14"/>
        <v>FGU920134.5780100+</v>
      </c>
      <c r="G946">
        <f>IF(ISNA(VLOOKUP($F946,'Raw Data'!$A:$M,7,0)),"",VLOOKUP($F946,'Raw Data'!$A:$M,7,0))</f>
        <v>2909842.88</v>
      </c>
      <c r="H946">
        <f>IF(ISNA(VLOOKUP($F946,'Raw Data'!$A:$M,8,0)),"",VLOOKUP($F946,'Raw Data'!$A:$M,8,0))</f>
        <v>6.6021525240056897</v>
      </c>
      <c r="I946">
        <f>IF(ISNA(VLOOKUP($F946,'Raw Data'!$A:$M,9,0)),"",VLOOKUP($F946,'Raw Data'!$A:$M,9,0))</f>
        <v>31.601440431062699</v>
      </c>
      <c r="J946">
        <f>IF(ISNA(VLOOKUP($F946,'Raw Data'!$A:$M,10,0)),"",VLOOKUP($F946,'Raw Data'!$A:$M,10,0))</f>
        <v>24.999287907056999</v>
      </c>
      <c r="K946">
        <f>IF(ISNA(VLOOKUP($F946,'Raw Data'!$A:$M,11,0)),"",VLOOKUP($F946,'Raw Data'!$A:$M,11,0))</f>
        <v>13.1861638747079</v>
      </c>
      <c r="L946">
        <f>IF(ISNA(VLOOKUP($F946,'Raw Data'!$A:$M,12,0)),"",VLOOKUP($F946,'Raw Data'!$A:$M,12,0))</f>
        <v>33.8662844040403</v>
      </c>
      <c r="M946">
        <f>IF(ISNA(VLOOKUP($F946,'Raw Data'!$A:$M,13,0)),"",VLOOKUP($F946,'Raw Data'!$A:$M,13,0))</f>
        <v>20.680120529332399</v>
      </c>
    </row>
    <row r="947" spans="1:13" x14ac:dyDescent="0.25">
      <c r="A947" t="s">
        <v>38</v>
      </c>
      <c r="B947">
        <v>2014</v>
      </c>
      <c r="C947">
        <v>4.5</v>
      </c>
      <c r="D947" s="3">
        <v>620</v>
      </c>
      <c r="E947" s="3">
        <v>80</v>
      </c>
      <c r="F947" s="3" t="str">
        <f t="shared" si="14"/>
        <v>FGU920144.562080</v>
      </c>
      <c r="G947" t="str">
        <f>IF(ISNA(VLOOKUP($F947,'Raw Data'!$A:$M,7,0)),"",VLOOKUP($F947,'Raw Data'!$A:$M,7,0))</f>
        <v/>
      </c>
      <c r="H947" t="str">
        <f>IF(ISNA(VLOOKUP($F947,'Raw Data'!$A:$M,8,0)),"",VLOOKUP($F947,'Raw Data'!$A:$M,8,0))</f>
        <v/>
      </c>
      <c r="I947" t="str">
        <f>IF(ISNA(VLOOKUP($F947,'Raw Data'!$A:$M,9,0)),"",VLOOKUP($F947,'Raw Data'!$A:$M,9,0))</f>
        <v/>
      </c>
      <c r="J947" t="str">
        <f>IF(ISNA(VLOOKUP($F947,'Raw Data'!$A:$M,10,0)),"",VLOOKUP($F947,'Raw Data'!$A:$M,10,0))</f>
        <v/>
      </c>
      <c r="K947" t="str">
        <f>IF(ISNA(VLOOKUP($F947,'Raw Data'!$A:$M,11,0)),"",VLOOKUP($F947,'Raw Data'!$A:$M,11,0))</f>
        <v/>
      </c>
      <c r="L947" t="str">
        <f>IF(ISNA(VLOOKUP($F947,'Raw Data'!$A:$M,12,0)),"",VLOOKUP($F947,'Raw Data'!$A:$M,12,0))</f>
        <v/>
      </c>
      <c r="M947" t="str">
        <f>IF(ISNA(VLOOKUP($F947,'Raw Data'!$A:$M,13,0)),"",VLOOKUP($F947,'Raw Data'!$A:$M,13,0))</f>
        <v/>
      </c>
    </row>
    <row r="948" spans="1:13" x14ac:dyDescent="0.25">
      <c r="A948" t="s">
        <v>38</v>
      </c>
      <c r="B948">
        <v>2014</v>
      </c>
      <c r="C948">
        <v>4.5</v>
      </c>
      <c r="D948" s="3">
        <v>640</v>
      </c>
      <c r="E948" s="3">
        <v>80</v>
      </c>
      <c r="F948" s="3" t="str">
        <f t="shared" si="14"/>
        <v>FGU920144.564080</v>
      </c>
      <c r="G948" t="str">
        <f>IF(ISNA(VLOOKUP($F948,'Raw Data'!$A:$M,7,0)),"",VLOOKUP($F948,'Raw Data'!$A:$M,7,0))</f>
        <v/>
      </c>
      <c r="H948" t="str">
        <f>IF(ISNA(VLOOKUP($F948,'Raw Data'!$A:$M,8,0)),"",VLOOKUP($F948,'Raw Data'!$A:$M,8,0))</f>
        <v/>
      </c>
      <c r="I948" t="str">
        <f>IF(ISNA(VLOOKUP($F948,'Raw Data'!$A:$M,9,0)),"",VLOOKUP($F948,'Raw Data'!$A:$M,9,0))</f>
        <v/>
      </c>
      <c r="J948" t="str">
        <f>IF(ISNA(VLOOKUP($F948,'Raw Data'!$A:$M,10,0)),"",VLOOKUP($F948,'Raw Data'!$A:$M,10,0))</f>
        <v/>
      </c>
      <c r="K948" t="str">
        <f>IF(ISNA(VLOOKUP($F948,'Raw Data'!$A:$M,11,0)),"",VLOOKUP($F948,'Raw Data'!$A:$M,11,0))</f>
        <v/>
      </c>
      <c r="L948" t="str">
        <f>IF(ISNA(VLOOKUP($F948,'Raw Data'!$A:$M,12,0)),"",VLOOKUP($F948,'Raw Data'!$A:$M,12,0))</f>
        <v/>
      </c>
      <c r="M948" t="str">
        <f>IF(ISNA(VLOOKUP($F948,'Raw Data'!$A:$M,13,0)),"",VLOOKUP($F948,'Raw Data'!$A:$M,13,0))</f>
        <v/>
      </c>
    </row>
    <row r="949" spans="1:13" x14ac:dyDescent="0.25">
      <c r="A949" t="s">
        <v>38</v>
      </c>
      <c r="B949">
        <v>2014</v>
      </c>
      <c r="C949">
        <v>4.5</v>
      </c>
      <c r="D949" s="3">
        <v>660</v>
      </c>
      <c r="E949" s="3">
        <v>80</v>
      </c>
      <c r="F949" s="3" t="str">
        <f t="shared" si="14"/>
        <v>FGU920144.566080</v>
      </c>
      <c r="G949" t="str">
        <f>IF(ISNA(VLOOKUP($F949,'Raw Data'!$A:$M,7,0)),"",VLOOKUP($F949,'Raw Data'!$A:$M,7,0))</f>
        <v/>
      </c>
      <c r="H949" t="str">
        <f>IF(ISNA(VLOOKUP($F949,'Raw Data'!$A:$M,8,0)),"",VLOOKUP($F949,'Raw Data'!$A:$M,8,0))</f>
        <v/>
      </c>
      <c r="I949" t="str">
        <f>IF(ISNA(VLOOKUP($F949,'Raw Data'!$A:$M,9,0)),"",VLOOKUP($F949,'Raw Data'!$A:$M,9,0))</f>
        <v/>
      </c>
      <c r="J949" t="str">
        <f>IF(ISNA(VLOOKUP($F949,'Raw Data'!$A:$M,10,0)),"",VLOOKUP($F949,'Raw Data'!$A:$M,10,0))</f>
        <v/>
      </c>
      <c r="K949" t="str">
        <f>IF(ISNA(VLOOKUP($F949,'Raw Data'!$A:$M,11,0)),"",VLOOKUP($F949,'Raw Data'!$A:$M,11,0))</f>
        <v/>
      </c>
      <c r="L949" t="str">
        <f>IF(ISNA(VLOOKUP($F949,'Raw Data'!$A:$M,12,0)),"",VLOOKUP($F949,'Raw Data'!$A:$M,12,0))</f>
        <v/>
      </c>
      <c r="M949" t="str">
        <f>IF(ISNA(VLOOKUP($F949,'Raw Data'!$A:$M,13,0)),"",VLOOKUP($F949,'Raw Data'!$A:$M,13,0))</f>
        <v/>
      </c>
    </row>
    <row r="950" spans="1:13" x14ac:dyDescent="0.25">
      <c r="A950" t="s">
        <v>38</v>
      </c>
      <c r="B950">
        <v>2014</v>
      </c>
      <c r="C950">
        <v>4.5</v>
      </c>
      <c r="D950" s="3">
        <v>680</v>
      </c>
      <c r="E950" s="3">
        <v>80</v>
      </c>
      <c r="F950" s="3" t="str">
        <f t="shared" si="14"/>
        <v>FGU920144.568080</v>
      </c>
      <c r="G950" t="str">
        <f>IF(ISNA(VLOOKUP($F950,'Raw Data'!$A:$M,7,0)),"",VLOOKUP($F950,'Raw Data'!$A:$M,7,0))</f>
        <v/>
      </c>
      <c r="H950" t="str">
        <f>IF(ISNA(VLOOKUP($F950,'Raw Data'!$A:$M,8,0)),"",VLOOKUP($F950,'Raw Data'!$A:$M,8,0))</f>
        <v/>
      </c>
      <c r="I950" t="str">
        <f>IF(ISNA(VLOOKUP($F950,'Raw Data'!$A:$M,9,0)),"",VLOOKUP($F950,'Raw Data'!$A:$M,9,0))</f>
        <v/>
      </c>
      <c r="J950" t="str">
        <f>IF(ISNA(VLOOKUP($F950,'Raw Data'!$A:$M,10,0)),"",VLOOKUP($F950,'Raw Data'!$A:$M,10,0))</f>
        <v/>
      </c>
      <c r="K950" t="str">
        <f>IF(ISNA(VLOOKUP($F950,'Raw Data'!$A:$M,11,0)),"",VLOOKUP($F950,'Raw Data'!$A:$M,11,0))</f>
        <v/>
      </c>
      <c r="L950" t="str">
        <f>IF(ISNA(VLOOKUP($F950,'Raw Data'!$A:$M,12,0)),"",VLOOKUP($F950,'Raw Data'!$A:$M,12,0))</f>
        <v/>
      </c>
      <c r="M950" t="str">
        <f>IF(ISNA(VLOOKUP($F950,'Raw Data'!$A:$M,13,0)),"",VLOOKUP($F950,'Raw Data'!$A:$M,13,0))</f>
        <v/>
      </c>
    </row>
    <row r="951" spans="1:13" x14ac:dyDescent="0.25">
      <c r="A951" t="s">
        <v>38</v>
      </c>
      <c r="B951">
        <v>2014</v>
      </c>
      <c r="C951">
        <v>4.5</v>
      </c>
      <c r="D951" s="3">
        <v>700</v>
      </c>
      <c r="E951" s="3">
        <v>80</v>
      </c>
      <c r="F951" s="3" t="str">
        <f t="shared" si="14"/>
        <v>FGU920144.570080</v>
      </c>
      <c r="G951" t="str">
        <f>IF(ISNA(VLOOKUP($F951,'Raw Data'!$A:$M,7,0)),"",VLOOKUP($F951,'Raw Data'!$A:$M,7,0))</f>
        <v/>
      </c>
      <c r="H951" t="str">
        <f>IF(ISNA(VLOOKUP($F951,'Raw Data'!$A:$M,8,0)),"",VLOOKUP($F951,'Raw Data'!$A:$M,8,0))</f>
        <v/>
      </c>
      <c r="I951" t="str">
        <f>IF(ISNA(VLOOKUP($F951,'Raw Data'!$A:$M,9,0)),"",VLOOKUP($F951,'Raw Data'!$A:$M,9,0))</f>
        <v/>
      </c>
      <c r="J951" t="str">
        <f>IF(ISNA(VLOOKUP($F951,'Raw Data'!$A:$M,10,0)),"",VLOOKUP($F951,'Raw Data'!$A:$M,10,0))</f>
        <v/>
      </c>
      <c r="K951" t="str">
        <f>IF(ISNA(VLOOKUP($F951,'Raw Data'!$A:$M,11,0)),"",VLOOKUP($F951,'Raw Data'!$A:$M,11,0))</f>
        <v/>
      </c>
      <c r="L951" t="str">
        <f>IF(ISNA(VLOOKUP($F951,'Raw Data'!$A:$M,12,0)),"",VLOOKUP($F951,'Raw Data'!$A:$M,12,0))</f>
        <v/>
      </c>
      <c r="M951" t="str">
        <f>IF(ISNA(VLOOKUP($F951,'Raw Data'!$A:$M,13,0)),"",VLOOKUP($F951,'Raw Data'!$A:$M,13,0))</f>
        <v/>
      </c>
    </row>
    <row r="952" spans="1:13" x14ac:dyDescent="0.25">
      <c r="A952" t="s">
        <v>38</v>
      </c>
      <c r="B952">
        <v>2014</v>
      </c>
      <c r="C952">
        <v>4.5</v>
      </c>
      <c r="D952" s="3">
        <v>720</v>
      </c>
      <c r="E952" s="3">
        <v>80</v>
      </c>
      <c r="F952" s="3" t="str">
        <f t="shared" si="14"/>
        <v>FGU920144.572080</v>
      </c>
      <c r="G952" t="str">
        <f>IF(ISNA(VLOOKUP($F952,'Raw Data'!$A:$M,7,0)),"",VLOOKUP($F952,'Raw Data'!$A:$M,7,0))</f>
        <v/>
      </c>
      <c r="H952" t="str">
        <f>IF(ISNA(VLOOKUP($F952,'Raw Data'!$A:$M,8,0)),"",VLOOKUP($F952,'Raw Data'!$A:$M,8,0))</f>
        <v/>
      </c>
      <c r="I952" t="str">
        <f>IF(ISNA(VLOOKUP($F952,'Raw Data'!$A:$M,9,0)),"",VLOOKUP($F952,'Raw Data'!$A:$M,9,0))</f>
        <v/>
      </c>
      <c r="J952" t="str">
        <f>IF(ISNA(VLOOKUP($F952,'Raw Data'!$A:$M,10,0)),"",VLOOKUP($F952,'Raw Data'!$A:$M,10,0))</f>
        <v/>
      </c>
      <c r="K952" t="str">
        <f>IF(ISNA(VLOOKUP($F952,'Raw Data'!$A:$M,11,0)),"",VLOOKUP($F952,'Raw Data'!$A:$M,11,0))</f>
        <v/>
      </c>
      <c r="L952" t="str">
        <f>IF(ISNA(VLOOKUP($F952,'Raw Data'!$A:$M,12,0)),"",VLOOKUP($F952,'Raw Data'!$A:$M,12,0))</f>
        <v/>
      </c>
      <c r="M952" t="str">
        <f>IF(ISNA(VLOOKUP($F952,'Raw Data'!$A:$M,13,0)),"",VLOOKUP($F952,'Raw Data'!$A:$M,13,0))</f>
        <v/>
      </c>
    </row>
    <row r="953" spans="1:13" x14ac:dyDescent="0.25">
      <c r="A953" t="s">
        <v>38</v>
      </c>
      <c r="B953">
        <v>2014</v>
      </c>
      <c r="C953">
        <v>4.5</v>
      </c>
      <c r="D953" s="3">
        <v>740</v>
      </c>
      <c r="E953" s="3">
        <v>80</v>
      </c>
      <c r="F953" s="3" t="str">
        <f t="shared" si="14"/>
        <v>FGU920144.574080</v>
      </c>
      <c r="G953" t="str">
        <f>IF(ISNA(VLOOKUP($F953,'Raw Data'!$A:$M,7,0)),"",VLOOKUP($F953,'Raw Data'!$A:$M,7,0))</f>
        <v/>
      </c>
      <c r="H953" t="str">
        <f>IF(ISNA(VLOOKUP($F953,'Raw Data'!$A:$M,8,0)),"",VLOOKUP($F953,'Raw Data'!$A:$M,8,0))</f>
        <v/>
      </c>
      <c r="I953" t="str">
        <f>IF(ISNA(VLOOKUP($F953,'Raw Data'!$A:$M,9,0)),"",VLOOKUP($F953,'Raw Data'!$A:$M,9,0))</f>
        <v/>
      </c>
      <c r="J953" t="str">
        <f>IF(ISNA(VLOOKUP($F953,'Raw Data'!$A:$M,10,0)),"",VLOOKUP($F953,'Raw Data'!$A:$M,10,0))</f>
        <v/>
      </c>
      <c r="K953" t="str">
        <f>IF(ISNA(VLOOKUP($F953,'Raw Data'!$A:$M,11,0)),"",VLOOKUP($F953,'Raw Data'!$A:$M,11,0))</f>
        <v/>
      </c>
      <c r="L953" t="str">
        <f>IF(ISNA(VLOOKUP($F953,'Raw Data'!$A:$M,12,0)),"",VLOOKUP($F953,'Raw Data'!$A:$M,12,0))</f>
        <v/>
      </c>
      <c r="M953" t="str">
        <f>IF(ISNA(VLOOKUP($F953,'Raw Data'!$A:$M,13,0)),"",VLOOKUP($F953,'Raw Data'!$A:$M,13,0))</f>
        <v/>
      </c>
    </row>
    <row r="954" spans="1:13" x14ac:dyDescent="0.25">
      <c r="A954" t="s">
        <v>38</v>
      </c>
      <c r="B954">
        <v>2014</v>
      </c>
      <c r="C954">
        <v>4.5</v>
      </c>
      <c r="D954" s="3">
        <v>760</v>
      </c>
      <c r="E954" s="3">
        <v>80</v>
      </c>
      <c r="F954" s="3" t="str">
        <f t="shared" si="14"/>
        <v>FGU920144.576080</v>
      </c>
      <c r="G954" t="str">
        <f>IF(ISNA(VLOOKUP($F954,'Raw Data'!$A:$M,7,0)),"",VLOOKUP($F954,'Raw Data'!$A:$M,7,0))</f>
        <v/>
      </c>
      <c r="H954" t="str">
        <f>IF(ISNA(VLOOKUP($F954,'Raw Data'!$A:$M,8,0)),"",VLOOKUP($F954,'Raw Data'!$A:$M,8,0))</f>
        <v/>
      </c>
      <c r="I954" t="str">
        <f>IF(ISNA(VLOOKUP($F954,'Raw Data'!$A:$M,9,0)),"",VLOOKUP($F954,'Raw Data'!$A:$M,9,0))</f>
        <v/>
      </c>
      <c r="J954" t="str">
        <f>IF(ISNA(VLOOKUP($F954,'Raw Data'!$A:$M,10,0)),"",VLOOKUP($F954,'Raw Data'!$A:$M,10,0))</f>
        <v/>
      </c>
      <c r="K954" t="str">
        <f>IF(ISNA(VLOOKUP($F954,'Raw Data'!$A:$M,11,0)),"",VLOOKUP($F954,'Raw Data'!$A:$M,11,0))</f>
        <v/>
      </c>
      <c r="L954" t="str">
        <f>IF(ISNA(VLOOKUP($F954,'Raw Data'!$A:$M,12,0)),"",VLOOKUP($F954,'Raw Data'!$A:$M,12,0))</f>
        <v/>
      </c>
      <c r="M954" t="str">
        <f>IF(ISNA(VLOOKUP($F954,'Raw Data'!$A:$M,13,0)),"",VLOOKUP($F954,'Raw Data'!$A:$M,13,0))</f>
        <v/>
      </c>
    </row>
    <row r="955" spans="1:13" x14ac:dyDescent="0.25">
      <c r="A955" t="s">
        <v>38</v>
      </c>
      <c r="B955">
        <v>2014</v>
      </c>
      <c r="C955">
        <v>4.5</v>
      </c>
      <c r="D955" s="3">
        <v>780</v>
      </c>
      <c r="E955" s="3">
        <v>80</v>
      </c>
      <c r="F955" s="3" t="str">
        <f t="shared" si="14"/>
        <v>FGU920144.578080</v>
      </c>
      <c r="G955" t="str">
        <f>IF(ISNA(VLOOKUP($F955,'Raw Data'!$A:$M,7,0)),"",VLOOKUP($F955,'Raw Data'!$A:$M,7,0))</f>
        <v/>
      </c>
      <c r="H955" t="str">
        <f>IF(ISNA(VLOOKUP($F955,'Raw Data'!$A:$M,8,0)),"",VLOOKUP($F955,'Raw Data'!$A:$M,8,0))</f>
        <v/>
      </c>
      <c r="I955" t="str">
        <f>IF(ISNA(VLOOKUP($F955,'Raw Data'!$A:$M,9,0)),"",VLOOKUP($F955,'Raw Data'!$A:$M,9,0))</f>
        <v/>
      </c>
      <c r="J955" t="str">
        <f>IF(ISNA(VLOOKUP($F955,'Raw Data'!$A:$M,10,0)),"",VLOOKUP($F955,'Raw Data'!$A:$M,10,0))</f>
        <v/>
      </c>
      <c r="K955" t="str">
        <f>IF(ISNA(VLOOKUP($F955,'Raw Data'!$A:$M,11,0)),"",VLOOKUP($F955,'Raw Data'!$A:$M,11,0))</f>
        <v/>
      </c>
      <c r="L955" t="str">
        <f>IF(ISNA(VLOOKUP($F955,'Raw Data'!$A:$M,12,0)),"",VLOOKUP($F955,'Raw Data'!$A:$M,12,0))</f>
        <v/>
      </c>
      <c r="M955" t="str">
        <f>IF(ISNA(VLOOKUP($F955,'Raw Data'!$A:$M,13,0)),"",VLOOKUP($F955,'Raw Data'!$A:$M,13,0))</f>
        <v/>
      </c>
    </row>
    <row r="956" spans="1:13" x14ac:dyDescent="0.25">
      <c r="A956" t="s">
        <v>38</v>
      </c>
      <c r="B956">
        <v>2014</v>
      </c>
      <c r="C956">
        <v>4.5</v>
      </c>
      <c r="D956" s="3">
        <v>620</v>
      </c>
      <c r="E956" s="3">
        <v>85</v>
      </c>
      <c r="F956" s="3" t="str">
        <f t="shared" si="14"/>
        <v>FGU920144.562085</v>
      </c>
      <c r="G956" t="str">
        <f>IF(ISNA(VLOOKUP($F956,'Raw Data'!$A:$M,7,0)),"",VLOOKUP($F956,'Raw Data'!$A:$M,7,0))</f>
        <v/>
      </c>
      <c r="H956" t="str">
        <f>IF(ISNA(VLOOKUP($F956,'Raw Data'!$A:$M,8,0)),"",VLOOKUP($F956,'Raw Data'!$A:$M,8,0))</f>
        <v/>
      </c>
      <c r="I956" t="str">
        <f>IF(ISNA(VLOOKUP($F956,'Raw Data'!$A:$M,9,0)),"",VLOOKUP($F956,'Raw Data'!$A:$M,9,0))</f>
        <v/>
      </c>
      <c r="J956" t="str">
        <f>IF(ISNA(VLOOKUP($F956,'Raw Data'!$A:$M,10,0)),"",VLOOKUP($F956,'Raw Data'!$A:$M,10,0))</f>
        <v/>
      </c>
      <c r="K956" t="str">
        <f>IF(ISNA(VLOOKUP($F956,'Raw Data'!$A:$M,11,0)),"",VLOOKUP($F956,'Raw Data'!$A:$M,11,0))</f>
        <v/>
      </c>
      <c r="L956" t="str">
        <f>IF(ISNA(VLOOKUP($F956,'Raw Data'!$A:$M,12,0)),"",VLOOKUP($F956,'Raw Data'!$A:$M,12,0))</f>
        <v/>
      </c>
      <c r="M956" t="str">
        <f>IF(ISNA(VLOOKUP($F956,'Raw Data'!$A:$M,13,0)),"",VLOOKUP($F956,'Raw Data'!$A:$M,13,0))</f>
        <v/>
      </c>
    </row>
    <row r="957" spans="1:13" x14ac:dyDescent="0.25">
      <c r="A957" t="s">
        <v>38</v>
      </c>
      <c r="B957">
        <v>2014</v>
      </c>
      <c r="C957">
        <v>4.5</v>
      </c>
      <c r="D957" s="3">
        <v>640</v>
      </c>
      <c r="E957" s="3">
        <v>85</v>
      </c>
      <c r="F957" s="3" t="str">
        <f t="shared" si="14"/>
        <v>FGU920144.564085</v>
      </c>
      <c r="G957" t="str">
        <f>IF(ISNA(VLOOKUP($F957,'Raw Data'!$A:$M,7,0)),"",VLOOKUP($F957,'Raw Data'!$A:$M,7,0))</f>
        <v/>
      </c>
      <c r="H957" t="str">
        <f>IF(ISNA(VLOOKUP($F957,'Raw Data'!$A:$M,8,0)),"",VLOOKUP($F957,'Raw Data'!$A:$M,8,0))</f>
        <v/>
      </c>
      <c r="I957" t="str">
        <f>IF(ISNA(VLOOKUP($F957,'Raw Data'!$A:$M,9,0)),"",VLOOKUP($F957,'Raw Data'!$A:$M,9,0))</f>
        <v/>
      </c>
      <c r="J957" t="str">
        <f>IF(ISNA(VLOOKUP($F957,'Raw Data'!$A:$M,10,0)),"",VLOOKUP($F957,'Raw Data'!$A:$M,10,0))</f>
        <v/>
      </c>
      <c r="K957" t="str">
        <f>IF(ISNA(VLOOKUP($F957,'Raw Data'!$A:$M,11,0)),"",VLOOKUP($F957,'Raw Data'!$A:$M,11,0))</f>
        <v/>
      </c>
      <c r="L957" t="str">
        <f>IF(ISNA(VLOOKUP($F957,'Raw Data'!$A:$M,12,0)),"",VLOOKUP($F957,'Raw Data'!$A:$M,12,0))</f>
        <v/>
      </c>
      <c r="M957" t="str">
        <f>IF(ISNA(VLOOKUP($F957,'Raw Data'!$A:$M,13,0)),"",VLOOKUP($F957,'Raw Data'!$A:$M,13,0))</f>
        <v/>
      </c>
    </row>
    <row r="958" spans="1:13" x14ac:dyDescent="0.25">
      <c r="A958" t="s">
        <v>38</v>
      </c>
      <c r="B958">
        <v>2014</v>
      </c>
      <c r="C958">
        <v>4.5</v>
      </c>
      <c r="D958" s="3">
        <v>660</v>
      </c>
      <c r="E958" s="3">
        <v>85</v>
      </c>
      <c r="F958" s="3" t="str">
        <f t="shared" si="14"/>
        <v>FGU920144.566085</v>
      </c>
      <c r="G958" t="str">
        <f>IF(ISNA(VLOOKUP($F958,'Raw Data'!$A:$M,7,0)),"",VLOOKUP($F958,'Raw Data'!$A:$M,7,0))</f>
        <v/>
      </c>
      <c r="H958" t="str">
        <f>IF(ISNA(VLOOKUP($F958,'Raw Data'!$A:$M,8,0)),"",VLOOKUP($F958,'Raw Data'!$A:$M,8,0))</f>
        <v/>
      </c>
      <c r="I958" t="str">
        <f>IF(ISNA(VLOOKUP($F958,'Raw Data'!$A:$M,9,0)),"",VLOOKUP($F958,'Raw Data'!$A:$M,9,0))</f>
        <v/>
      </c>
      <c r="J958" t="str">
        <f>IF(ISNA(VLOOKUP($F958,'Raw Data'!$A:$M,10,0)),"",VLOOKUP($F958,'Raw Data'!$A:$M,10,0))</f>
        <v/>
      </c>
      <c r="K958" t="str">
        <f>IF(ISNA(VLOOKUP($F958,'Raw Data'!$A:$M,11,0)),"",VLOOKUP($F958,'Raw Data'!$A:$M,11,0))</f>
        <v/>
      </c>
      <c r="L958" t="str">
        <f>IF(ISNA(VLOOKUP($F958,'Raw Data'!$A:$M,12,0)),"",VLOOKUP($F958,'Raw Data'!$A:$M,12,0))</f>
        <v/>
      </c>
      <c r="M958" t="str">
        <f>IF(ISNA(VLOOKUP($F958,'Raw Data'!$A:$M,13,0)),"",VLOOKUP($F958,'Raw Data'!$A:$M,13,0))</f>
        <v/>
      </c>
    </row>
    <row r="959" spans="1:13" x14ac:dyDescent="0.25">
      <c r="A959" t="s">
        <v>38</v>
      </c>
      <c r="B959">
        <v>2014</v>
      </c>
      <c r="C959">
        <v>4.5</v>
      </c>
      <c r="D959" s="3">
        <v>680</v>
      </c>
      <c r="E959" s="3">
        <v>85</v>
      </c>
      <c r="F959" s="3" t="str">
        <f t="shared" si="14"/>
        <v>FGU920144.568085</v>
      </c>
      <c r="G959" t="str">
        <f>IF(ISNA(VLOOKUP($F959,'Raw Data'!$A:$M,7,0)),"",VLOOKUP($F959,'Raw Data'!$A:$M,7,0))</f>
        <v/>
      </c>
      <c r="H959" t="str">
        <f>IF(ISNA(VLOOKUP($F959,'Raw Data'!$A:$M,8,0)),"",VLOOKUP($F959,'Raw Data'!$A:$M,8,0))</f>
        <v/>
      </c>
      <c r="I959" t="str">
        <f>IF(ISNA(VLOOKUP($F959,'Raw Data'!$A:$M,9,0)),"",VLOOKUP($F959,'Raw Data'!$A:$M,9,0))</f>
        <v/>
      </c>
      <c r="J959" t="str">
        <f>IF(ISNA(VLOOKUP($F959,'Raw Data'!$A:$M,10,0)),"",VLOOKUP($F959,'Raw Data'!$A:$M,10,0))</f>
        <v/>
      </c>
      <c r="K959" t="str">
        <f>IF(ISNA(VLOOKUP($F959,'Raw Data'!$A:$M,11,0)),"",VLOOKUP($F959,'Raw Data'!$A:$M,11,0))</f>
        <v/>
      </c>
      <c r="L959" t="str">
        <f>IF(ISNA(VLOOKUP($F959,'Raw Data'!$A:$M,12,0)),"",VLOOKUP($F959,'Raw Data'!$A:$M,12,0))</f>
        <v/>
      </c>
      <c r="M959" t="str">
        <f>IF(ISNA(VLOOKUP($F959,'Raw Data'!$A:$M,13,0)),"",VLOOKUP($F959,'Raw Data'!$A:$M,13,0))</f>
        <v/>
      </c>
    </row>
    <row r="960" spans="1:13" x14ac:dyDescent="0.25">
      <c r="A960" t="s">
        <v>38</v>
      </c>
      <c r="B960">
        <v>2014</v>
      </c>
      <c r="C960">
        <v>4.5</v>
      </c>
      <c r="D960" s="3">
        <v>700</v>
      </c>
      <c r="E960" s="3">
        <v>85</v>
      </c>
      <c r="F960" s="3" t="str">
        <f t="shared" si="14"/>
        <v>FGU920144.570085</v>
      </c>
      <c r="G960" t="str">
        <f>IF(ISNA(VLOOKUP($F960,'Raw Data'!$A:$M,7,0)),"",VLOOKUP($F960,'Raw Data'!$A:$M,7,0))</f>
        <v/>
      </c>
      <c r="H960" t="str">
        <f>IF(ISNA(VLOOKUP($F960,'Raw Data'!$A:$M,8,0)),"",VLOOKUP($F960,'Raw Data'!$A:$M,8,0))</f>
        <v/>
      </c>
      <c r="I960" t="str">
        <f>IF(ISNA(VLOOKUP($F960,'Raw Data'!$A:$M,9,0)),"",VLOOKUP($F960,'Raw Data'!$A:$M,9,0))</f>
        <v/>
      </c>
      <c r="J960" t="str">
        <f>IF(ISNA(VLOOKUP($F960,'Raw Data'!$A:$M,10,0)),"",VLOOKUP($F960,'Raw Data'!$A:$M,10,0))</f>
        <v/>
      </c>
      <c r="K960" t="str">
        <f>IF(ISNA(VLOOKUP($F960,'Raw Data'!$A:$M,11,0)),"",VLOOKUP($F960,'Raw Data'!$A:$M,11,0))</f>
        <v/>
      </c>
      <c r="L960" t="str">
        <f>IF(ISNA(VLOOKUP($F960,'Raw Data'!$A:$M,12,0)),"",VLOOKUP($F960,'Raw Data'!$A:$M,12,0))</f>
        <v/>
      </c>
      <c r="M960" t="str">
        <f>IF(ISNA(VLOOKUP($F960,'Raw Data'!$A:$M,13,0)),"",VLOOKUP($F960,'Raw Data'!$A:$M,13,0))</f>
        <v/>
      </c>
    </row>
    <row r="961" spans="1:13" x14ac:dyDescent="0.25">
      <c r="A961" t="s">
        <v>38</v>
      </c>
      <c r="B961">
        <v>2014</v>
      </c>
      <c r="C961">
        <v>4.5</v>
      </c>
      <c r="D961" s="3">
        <v>720</v>
      </c>
      <c r="E961" s="3">
        <v>85</v>
      </c>
      <c r="F961" s="3" t="str">
        <f t="shared" si="14"/>
        <v>FGU920144.572085</v>
      </c>
      <c r="G961" t="str">
        <f>IF(ISNA(VLOOKUP($F961,'Raw Data'!$A:$M,7,0)),"",VLOOKUP($F961,'Raw Data'!$A:$M,7,0))</f>
        <v/>
      </c>
      <c r="H961" t="str">
        <f>IF(ISNA(VLOOKUP($F961,'Raw Data'!$A:$M,8,0)),"",VLOOKUP($F961,'Raw Data'!$A:$M,8,0))</f>
        <v/>
      </c>
      <c r="I961" t="str">
        <f>IF(ISNA(VLOOKUP($F961,'Raw Data'!$A:$M,9,0)),"",VLOOKUP($F961,'Raw Data'!$A:$M,9,0))</f>
        <v/>
      </c>
      <c r="J961" t="str">
        <f>IF(ISNA(VLOOKUP($F961,'Raw Data'!$A:$M,10,0)),"",VLOOKUP($F961,'Raw Data'!$A:$M,10,0))</f>
        <v/>
      </c>
      <c r="K961" t="str">
        <f>IF(ISNA(VLOOKUP($F961,'Raw Data'!$A:$M,11,0)),"",VLOOKUP($F961,'Raw Data'!$A:$M,11,0))</f>
        <v/>
      </c>
      <c r="L961" t="str">
        <f>IF(ISNA(VLOOKUP($F961,'Raw Data'!$A:$M,12,0)),"",VLOOKUP($F961,'Raw Data'!$A:$M,12,0))</f>
        <v/>
      </c>
      <c r="M961" t="str">
        <f>IF(ISNA(VLOOKUP($F961,'Raw Data'!$A:$M,13,0)),"",VLOOKUP($F961,'Raw Data'!$A:$M,13,0))</f>
        <v/>
      </c>
    </row>
    <row r="962" spans="1:13" x14ac:dyDescent="0.25">
      <c r="A962" t="s">
        <v>38</v>
      </c>
      <c r="B962">
        <v>2014</v>
      </c>
      <c r="C962">
        <v>4.5</v>
      </c>
      <c r="D962" s="3">
        <v>740</v>
      </c>
      <c r="E962" s="3">
        <v>85</v>
      </c>
      <c r="F962" s="3" t="str">
        <f t="shared" si="14"/>
        <v>FGU920144.574085</v>
      </c>
      <c r="G962" t="str">
        <f>IF(ISNA(VLOOKUP($F962,'Raw Data'!$A:$M,7,0)),"",VLOOKUP($F962,'Raw Data'!$A:$M,7,0))</f>
        <v/>
      </c>
      <c r="H962" t="str">
        <f>IF(ISNA(VLOOKUP($F962,'Raw Data'!$A:$M,8,0)),"",VLOOKUP($F962,'Raw Data'!$A:$M,8,0))</f>
        <v/>
      </c>
      <c r="I962" t="str">
        <f>IF(ISNA(VLOOKUP($F962,'Raw Data'!$A:$M,9,0)),"",VLOOKUP($F962,'Raw Data'!$A:$M,9,0))</f>
        <v/>
      </c>
      <c r="J962" t="str">
        <f>IF(ISNA(VLOOKUP($F962,'Raw Data'!$A:$M,10,0)),"",VLOOKUP($F962,'Raw Data'!$A:$M,10,0))</f>
        <v/>
      </c>
      <c r="K962" t="str">
        <f>IF(ISNA(VLOOKUP($F962,'Raw Data'!$A:$M,11,0)),"",VLOOKUP($F962,'Raw Data'!$A:$M,11,0))</f>
        <v/>
      </c>
      <c r="L962" t="str">
        <f>IF(ISNA(VLOOKUP($F962,'Raw Data'!$A:$M,12,0)),"",VLOOKUP($F962,'Raw Data'!$A:$M,12,0))</f>
        <v/>
      </c>
      <c r="M962" t="str">
        <f>IF(ISNA(VLOOKUP($F962,'Raw Data'!$A:$M,13,0)),"",VLOOKUP($F962,'Raw Data'!$A:$M,13,0))</f>
        <v/>
      </c>
    </row>
    <row r="963" spans="1:13" x14ac:dyDescent="0.25">
      <c r="A963" t="s">
        <v>38</v>
      </c>
      <c r="B963">
        <v>2014</v>
      </c>
      <c r="C963">
        <v>4.5</v>
      </c>
      <c r="D963" s="3">
        <v>760</v>
      </c>
      <c r="E963" s="3">
        <v>85</v>
      </c>
      <c r="F963" s="3" t="str">
        <f t="shared" si="14"/>
        <v>FGU920144.576085</v>
      </c>
      <c r="G963" t="str">
        <f>IF(ISNA(VLOOKUP($F963,'Raw Data'!$A:$M,7,0)),"",VLOOKUP($F963,'Raw Data'!$A:$M,7,0))</f>
        <v/>
      </c>
      <c r="H963" t="str">
        <f>IF(ISNA(VLOOKUP($F963,'Raw Data'!$A:$M,8,0)),"",VLOOKUP($F963,'Raw Data'!$A:$M,8,0))</f>
        <v/>
      </c>
      <c r="I963" t="str">
        <f>IF(ISNA(VLOOKUP($F963,'Raw Data'!$A:$M,9,0)),"",VLOOKUP($F963,'Raw Data'!$A:$M,9,0))</f>
        <v/>
      </c>
      <c r="J963" t="str">
        <f>IF(ISNA(VLOOKUP($F963,'Raw Data'!$A:$M,10,0)),"",VLOOKUP($F963,'Raw Data'!$A:$M,10,0))</f>
        <v/>
      </c>
      <c r="K963" t="str">
        <f>IF(ISNA(VLOOKUP($F963,'Raw Data'!$A:$M,11,0)),"",VLOOKUP($F963,'Raw Data'!$A:$M,11,0))</f>
        <v/>
      </c>
      <c r="L963" t="str">
        <f>IF(ISNA(VLOOKUP($F963,'Raw Data'!$A:$M,12,0)),"",VLOOKUP($F963,'Raw Data'!$A:$M,12,0))</f>
        <v/>
      </c>
      <c r="M963" t="str">
        <f>IF(ISNA(VLOOKUP($F963,'Raw Data'!$A:$M,13,0)),"",VLOOKUP($F963,'Raw Data'!$A:$M,13,0))</f>
        <v/>
      </c>
    </row>
    <row r="964" spans="1:13" x14ac:dyDescent="0.25">
      <c r="A964" t="s">
        <v>38</v>
      </c>
      <c r="B964">
        <v>2014</v>
      </c>
      <c r="C964">
        <v>4.5</v>
      </c>
      <c r="D964" s="3">
        <v>780</v>
      </c>
      <c r="E964" s="3">
        <v>85</v>
      </c>
      <c r="F964" s="3" t="str">
        <f t="shared" ref="F964:F1009" si="15">A964&amp;B964&amp;C964&amp;D964&amp;E964</f>
        <v>FGU920144.578085</v>
      </c>
      <c r="G964" t="str">
        <f>IF(ISNA(VLOOKUP($F964,'Raw Data'!$A:$M,7,0)),"",VLOOKUP($F964,'Raw Data'!$A:$M,7,0))</f>
        <v/>
      </c>
      <c r="H964" t="str">
        <f>IF(ISNA(VLOOKUP($F964,'Raw Data'!$A:$M,8,0)),"",VLOOKUP($F964,'Raw Data'!$A:$M,8,0))</f>
        <v/>
      </c>
      <c r="I964" t="str">
        <f>IF(ISNA(VLOOKUP($F964,'Raw Data'!$A:$M,9,0)),"",VLOOKUP($F964,'Raw Data'!$A:$M,9,0))</f>
        <v/>
      </c>
      <c r="J964" t="str">
        <f>IF(ISNA(VLOOKUP($F964,'Raw Data'!$A:$M,10,0)),"",VLOOKUP($F964,'Raw Data'!$A:$M,10,0))</f>
        <v/>
      </c>
      <c r="K964" t="str">
        <f>IF(ISNA(VLOOKUP($F964,'Raw Data'!$A:$M,11,0)),"",VLOOKUP($F964,'Raw Data'!$A:$M,11,0))</f>
        <v/>
      </c>
      <c r="L964" t="str">
        <f>IF(ISNA(VLOOKUP($F964,'Raw Data'!$A:$M,12,0)),"",VLOOKUP($F964,'Raw Data'!$A:$M,12,0))</f>
        <v/>
      </c>
      <c r="M964" t="str">
        <f>IF(ISNA(VLOOKUP($F964,'Raw Data'!$A:$M,13,0)),"",VLOOKUP($F964,'Raw Data'!$A:$M,13,0))</f>
        <v/>
      </c>
    </row>
    <row r="965" spans="1:13" x14ac:dyDescent="0.25">
      <c r="A965" t="s">
        <v>38</v>
      </c>
      <c r="B965">
        <v>2014</v>
      </c>
      <c r="C965">
        <v>4.5</v>
      </c>
      <c r="D965" s="3">
        <v>620</v>
      </c>
      <c r="E965" s="3">
        <v>90</v>
      </c>
      <c r="F965" s="3" t="str">
        <f t="shared" si="15"/>
        <v>FGU920144.562090</v>
      </c>
      <c r="G965" t="str">
        <f>IF(ISNA(VLOOKUP($F965,'Raw Data'!$A:$M,7,0)),"",VLOOKUP($F965,'Raw Data'!$A:$M,7,0))</f>
        <v/>
      </c>
      <c r="H965" t="str">
        <f>IF(ISNA(VLOOKUP($F965,'Raw Data'!$A:$M,8,0)),"",VLOOKUP($F965,'Raw Data'!$A:$M,8,0))</f>
        <v/>
      </c>
      <c r="I965" t="str">
        <f>IF(ISNA(VLOOKUP($F965,'Raw Data'!$A:$M,9,0)),"",VLOOKUP($F965,'Raw Data'!$A:$M,9,0))</f>
        <v/>
      </c>
      <c r="J965" t="str">
        <f>IF(ISNA(VLOOKUP($F965,'Raw Data'!$A:$M,10,0)),"",VLOOKUP($F965,'Raw Data'!$A:$M,10,0))</f>
        <v/>
      </c>
      <c r="K965" t="str">
        <f>IF(ISNA(VLOOKUP($F965,'Raw Data'!$A:$M,11,0)),"",VLOOKUP($F965,'Raw Data'!$A:$M,11,0))</f>
        <v/>
      </c>
      <c r="L965" t="str">
        <f>IF(ISNA(VLOOKUP($F965,'Raw Data'!$A:$M,12,0)),"",VLOOKUP($F965,'Raw Data'!$A:$M,12,0))</f>
        <v/>
      </c>
      <c r="M965" t="str">
        <f>IF(ISNA(VLOOKUP($F965,'Raw Data'!$A:$M,13,0)),"",VLOOKUP($F965,'Raw Data'!$A:$M,13,0))</f>
        <v/>
      </c>
    </row>
    <row r="966" spans="1:13" x14ac:dyDescent="0.25">
      <c r="A966" t="s">
        <v>38</v>
      </c>
      <c r="B966">
        <v>2014</v>
      </c>
      <c r="C966">
        <v>4.5</v>
      </c>
      <c r="D966" s="3">
        <v>640</v>
      </c>
      <c r="E966" s="3">
        <v>90</v>
      </c>
      <c r="F966" s="3" t="str">
        <f t="shared" si="15"/>
        <v>FGU920144.564090</v>
      </c>
      <c r="G966" t="str">
        <f>IF(ISNA(VLOOKUP($F966,'Raw Data'!$A:$M,7,0)),"",VLOOKUP($F966,'Raw Data'!$A:$M,7,0))</f>
        <v/>
      </c>
      <c r="H966" t="str">
        <f>IF(ISNA(VLOOKUP($F966,'Raw Data'!$A:$M,8,0)),"",VLOOKUP($F966,'Raw Data'!$A:$M,8,0))</f>
        <v/>
      </c>
      <c r="I966" t="str">
        <f>IF(ISNA(VLOOKUP($F966,'Raw Data'!$A:$M,9,0)),"",VLOOKUP($F966,'Raw Data'!$A:$M,9,0))</f>
        <v/>
      </c>
      <c r="J966" t="str">
        <f>IF(ISNA(VLOOKUP($F966,'Raw Data'!$A:$M,10,0)),"",VLOOKUP($F966,'Raw Data'!$A:$M,10,0))</f>
        <v/>
      </c>
      <c r="K966" t="str">
        <f>IF(ISNA(VLOOKUP($F966,'Raw Data'!$A:$M,11,0)),"",VLOOKUP($F966,'Raw Data'!$A:$M,11,0))</f>
        <v/>
      </c>
      <c r="L966" t="str">
        <f>IF(ISNA(VLOOKUP($F966,'Raw Data'!$A:$M,12,0)),"",VLOOKUP($F966,'Raw Data'!$A:$M,12,0))</f>
        <v/>
      </c>
      <c r="M966" t="str">
        <f>IF(ISNA(VLOOKUP($F966,'Raw Data'!$A:$M,13,0)),"",VLOOKUP($F966,'Raw Data'!$A:$M,13,0))</f>
        <v/>
      </c>
    </row>
    <row r="967" spans="1:13" x14ac:dyDescent="0.25">
      <c r="A967" t="s">
        <v>38</v>
      </c>
      <c r="B967">
        <v>2014</v>
      </c>
      <c r="C967">
        <v>4.5</v>
      </c>
      <c r="D967" s="3">
        <v>660</v>
      </c>
      <c r="E967" s="3">
        <v>90</v>
      </c>
      <c r="F967" s="3" t="str">
        <f t="shared" si="15"/>
        <v>FGU920144.566090</v>
      </c>
      <c r="G967" t="str">
        <f>IF(ISNA(VLOOKUP($F967,'Raw Data'!$A:$M,7,0)),"",VLOOKUP($F967,'Raw Data'!$A:$M,7,0))</f>
        <v/>
      </c>
      <c r="H967" t="str">
        <f>IF(ISNA(VLOOKUP($F967,'Raw Data'!$A:$M,8,0)),"",VLOOKUP($F967,'Raw Data'!$A:$M,8,0))</f>
        <v/>
      </c>
      <c r="I967" t="str">
        <f>IF(ISNA(VLOOKUP($F967,'Raw Data'!$A:$M,9,0)),"",VLOOKUP($F967,'Raw Data'!$A:$M,9,0))</f>
        <v/>
      </c>
      <c r="J967" t="str">
        <f>IF(ISNA(VLOOKUP($F967,'Raw Data'!$A:$M,10,0)),"",VLOOKUP($F967,'Raw Data'!$A:$M,10,0))</f>
        <v/>
      </c>
      <c r="K967" t="str">
        <f>IF(ISNA(VLOOKUP($F967,'Raw Data'!$A:$M,11,0)),"",VLOOKUP($F967,'Raw Data'!$A:$M,11,0))</f>
        <v/>
      </c>
      <c r="L967" t="str">
        <f>IF(ISNA(VLOOKUP($F967,'Raw Data'!$A:$M,12,0)),"",VLOOKUP($F967,'Raw Data'!$A:$M,12,0))</f>
        <v/>
      </c>
      <c r="M967" t="str">
        <f>IF(ISNA(VLOOKUP($F967,'Raw Data'!$A:$M,13,0)),"",VLOOKUP($F967,'Raw Data'!$A:$M,13,0))</f>
        <v/>
      </c>
    </row>
    <row r="968" spans="1:13" x14ac:dyDescent="0.25">
      <c r="A968" t="s">
        <v>38</v>
      </c>
      <c r="B968">
        <v>2014</v>
      </c>
      <c r="C968">
        <v>4.5</v>
      </c>
      <c r="D968" s="3">
        <v>680</v>
      </c>
      <c r="E968" s="3">
        <v>90</v>
      </c>
      <c r="F968" s="3" t="str">
        <f t="shared" si="15"/>
        <v>FGU920144.568090</v>
      </c>
      <c r="G968" t="str">
        <f>IF(ISNA(VLOOKUP($F968,'Raw Data'!$A:$M,7,0)),"",VLOOKUP($F968,'Raw Data'!$A:$M,7,0))</f>
        <v/>
      </c>
      <c r="H968" t="str">
        <f>IF(ISNA(VLOOKUP($F968,'Raw Data'!$A:$M,8,0)),"",VLOOKUP($F968,'Raw Data'!$A:$M,8,0))</f>
        <v/>
      </c>
      <c r="I968" t="str">
        <f>IF(ISNA(VLOOKUP($F968,'Raw Data'!$A:$M,9,0)),"",VLOOKUP($F968,'Raw Data'!$A:$M,9,0))</f>
        <v/>
      </c>
      <c r="J968" t="str">
        <f>IF(ISNA(VLOOKUP($F968,'Raw Data'!$A:$M,10,0)),"",VLOOKUP($F968,'Raw Data'!$A:$M,10,0))</f>
        <v/>
      </c>
      <c r="K968" t="str">
        <f>IF(ISNA(VLOOKUP($F968,'Raw Data'!$A:$M,11,0)),"",VLOOKUP($F968,'Raw Data'!$A:$M,11,0))</f>
        <v/>
      </c>
      <c r="L968" t="str">
        <f>IF(ISNA(VLOOKUP($F968,'Raw Data'!$A:$M,12,0)),"",VLOOKUP($F968,'Raw Data'!$A:$M,12,0))</f>
        <v/>
      </c>
      <c r="M968" t="str">
        <f>IF(ISNA(VLOOKUP($F968,'Raw Data'!$A:$M,13,0)),"",VLOOKUP($F968,'Raw Data'!$A:$M,13,0))</f>
        <v/>
      </c>
    </row>
    <row r="969" spans="1:13" x14ac:dyDescent="0.25">
      <c r="A969" t="s">
        <v>38</v>
      </c>
      <c r="B969">
        <v>2014</v>
      </c>
      <c r="C969">
        <v>4.5</v>
      </c>
      <c r="D969" s="3">
        <v>700</v>
      </c>
      <c r="E969" s="3">
        <v>90</v>
      </c>
      <c r="F969" s="3" t="str">
        <f t="shared" si="15"/>
        <v>FGU920144.570090</v>
      </c>
      <c r="G969" t="str">
        <f>IF(ISNA(VLOOKUP($F969,'Raw Data'!$A:$M,7,0)),"",VLOOKUP($F969,'Raw Data'!$A:$M,7,0))</f>
        <v/>
      </c>
      <c r="H969" t="str">
        <f>IF(ISNA(VLOOKUP($F969,'Raw Data'!$A:$M,8,0)),"",VLOOKUP($F969,'Raw Data'!$A:$M,8,0))</f>
        <v/>
      </c>
      <c r="I969" t="str">
        <f>IF(ISNA(VLOOKUP($F969,'Raw Data'!$A:$M,9,0)),"",VLOOKUP($F969,'Raw Data'!$A:$M,9,0))</f>
        <v/>
      </c>
      <c r="J969" t="str">
        <f>IF(ISNA(VLOOKUP($F969,'Raw Data'!$A:$M,10,0)),"",VLOOKUP($F969,'Raw Data'!$A:$M,10,0))</f>
        <v/>
      </c>
      <c r="K969" t="str">
        <f>IF(ISNA(VLOOKUP($F969,'Raw Data'!$A:$M,11,0)),"",VLOOKUP($F969,'Raw Data'!$A:$M,11,0))</f>
        <v/>
      </c>
      <c r="L969" t="str">
        <f>IF(ISNA(VLOOKUP($F969,'Raw Data'!$A:$M,12,0)),"",VLOOKUP($F969,'Raw Data'!$A:$M,12,0))</f>
        <v/>
      </c>
      <c r="M969" t="str">
        <f>IF(ISNA(VLOOKUP($F969,'Raw Data'!$A:$M,13,0)),"",VLOOKUP($F969,'Raw Data'!$A:$M,13,0))</f>
        <v/>
      </c>
    </row>
    <row r="970" spans="1:13" x14ac:dyDescent="0.25">
      <c r="A970" t="s">
        <v>38</v>
      </c>
      <c r="B970">
        <v>2014</v>
      </c>
      <c r="C970">
        <v>4.5</v>
      </c>
      <c r="D970" s="3">
        <v>720</v>
      </c>
      <c r="E970" s="3">
        <v>90</v>
      </c>
      <c r="F970" s="3" t="str">
        <f t="shared" si="15"/>
        <v>FGU920144.572090</v>
      </c>
      <c r="G970" t="str">
        <f>IF(ISNA(VLOOKUP($F970,'Raw Data'!$A:$M,7,0)),"",VLOOKUP($F970,'Raw Data'!$A:$M,7,0))</f>
        <v/>
      </c>
      <c r="H970" t="str">
        <f>IF(ISNA(VLOOKUP($F970,'Raw Data'!$A:$M,8,0)),"",VLOOKUP($F970,'Raw Data'!$A:$M,8,0))</f>
        <v/>
      </c>
      <c r="I970" t="str">
        <f>IF(ISNA(VLOOKUP($F970,'Raw Data'!$A:$M,9,0)),"",VLOOKUP($F970,'Raw Data'!$A:$M,9,0))</f>
        <v/>
      </c>
      <c r="J970" t="str">
        <f>IF(ISNA(VLOOKUP($F970,'Raw Data'!$A:$M,10,0)),"",VLOOKUP($F970,'Raw Data'!$A:$M,10,0))</f>
        <v/>
      </c>
      <c r="K970" t="str">
        <f>IF(ISNA(VLOOKUP($F970,'Raw Data'!$A:$M,11,0)),"",VLOOKUP($F970,'Raw Data'!$A:$M,11,0))</f>
        <v/>
      </c>
      <c r="L970" t="str">
        <f>IF(ISNA(VLOOKUP($F970,'Raw Data'!$A:$M,12,0)),"",VLOOKUP($F970,'Raw Data'!$A:$M,12,0))</f>
        <v/>
      </c>
      <c r="M970" t="str">
        <f>IF(ISNA(VLOOKUP($F970,'Raw Data'!$A:$M,13,0)),"",VLOOKUP($F970,'Raw Data'!$A:$M,13,0))</f>
        <v/>
      </c>
    </row>
    <row r="971" spans="1:13" x14ac:dyDescent="0.25">
      <c r="A971" t="s">
        <v>38</v>
      </c>
      <c r="B971">
        <v>2014</v>
      </c>
      <c r="C971">
        <v>4.5</v>
      </c>
      <c r="D971" s="3">
        <v>740</v>
      </c>
      <c r="E971" s="3">
        <v>90</v>
      </c>
      <c r="F971" s="3" t="str">
        <f t="shared" si="15"/>
        <v>FGU920144.574090</v>
      </c>
      <c r="G971" t="str">
        <f>IF(ISNA(VLOOKUP($F971,'Raw Data'!$A:$M,7,0)),"",VLOOKUP($F971,'Raw Data'!$A:$M,7,0))</f>
        <v/>
      </c>
      <c r="H971" t="str">
        <f>IF(ISNA(VLOOKUP($F971,'Raw Data'!$A:$M,8,0)),"",VLOOKUP($F971,'Raw Data'!$A:$M,8,0))</f>
        <v/>
      </c>
      <c r="I971" t="str">
        <f>IF(ISNA(VLOOKUP($F971,'Raw Data'!$A:$M,9,0)),"",VLOOKUP($F971,'Raw Data'!$A:$M,9,0))</f>
        <v/>
      </c>
      <c r="J971" t="str">
        <f>IF(ISNA(VLOOKUP($F971,'Raw Data'!$A:$M,10,0)),"",VLOOKUP($F971,'Raw Data'!$A:$M,10,0))</f>
        <v/>
      </c>
      <c r="K971" t="str">
        <f>IF(ISNA(VLOOKUP($F971,'Raw Data'!$A:$M,11,0)),"",VLOOKUP($F971,'Raw Data'!$A:$M,11,0))</f>
        <v/>
      </c>
      <c r="L971" t="str">
        <f>IF(ISNA(VLOOKUP($F971,'Raw Data'!$A:$M,12,0)),"",VLOOKUP($F971,'Raw Data'!$A:$M,12,0))</f>
        <v/>
      </c>
      <c r="M971" t="str">
        <f>IF(ISNA(VLOOKUP($F971,'Raw Data'!$A:$M,13,0)),"",VLOOKUP($F971,'Raw Data'!$A:$M,13,0))</f>
        <v/>
      </c>
    </row>
    <row r="972" spans="1:13" x14ac:dyDescent="0.25">
      <c r="A972" t="s">
        <v>38</v>
      </c>
      <c r="B972">
        <v>2014</v>
      </c>
      <c r="C972">
        <v>4.5</v>
      </c>
      <c r="D972" s="3">
        <v>760</v>
      </c>
      <c r="E972" s="3">
        <v>90</v>
      </c>
      <c r="F972" s="3" t="str">
        <f t="shared" si="15"/>
        <v>FGU920144.576090</v>
      </c>
      <c r="G972" t="str">
        <f>IF(ISNA(VLOOKUP($F972,'Raw Data'!$A:$M,7,0)),"",VLOOKUP($F972,'Raw Data'!$A:$M,7,0))</f>
        <v/>
      </c>
      <c r="H972" t="str">
        <f>IF(ISNA(VLOOKUP($F972,'Raw Data'!$A:$M,8,0)),"",VLOOKUP($F972,'Raw Data'!$A:$M,8,0))</f>
        <v/>
      </c>
      <c r="I972" t="str">
        <f>IF(ISNA(VLOOKUP($F972,'Raw Data'!$A:$M,9,0)),"",VLOOKUP($F972,'Raw Data'!$A:$M,9,0))</f>
        <v/>
      </c>
      <c r="J972" t="str">
        <f>IF(ISNA(VLOOKUP($F972,'Raw Data'!$A:$M,10,0)),"",VLOOKUP($F972,'Raw Data'!$A:$M,10,0))</f>
        <v/>
      </c>
      <c r="K972" t="str">
        <f>IF(ISNA(VLOOKUP($F972,'Raw Data'!$A:$M,11,0)),"",VLOOKUP($F972,'Raw Data'!$A:$M,11,0))</f>
        <v/>
      </c>
      <c r="L972" t="str">
        <f>IF(ISNA(VLOOKUP($F972,'Raw Data'!$A:$M,12,0)),"",VLOOKUP($F972,'Raw Data'!$A:$M,12,0))</f>
        <v/>
      </c>
      <c r="M972" t="str">
        <f>IF(ISNA(VLOOKUP($F972,'Raw Data'!$A:$M,13,0)),"",VLOOKUP($F972,'Raw Data'!$A:$M,13,0))</f>
        <v/>
      </c>
    </row>
    <row r="973" spans="1:13" x14ac:dyDescent="0.25">
      <c r="A973" t="s">
        <v>38</v>
      </c>
      <c r="B973">
        <v>2014</v>
      </c>
      <c r="C973">
        <v>4.5</v>
      </c>
      <c r="D973" s="3">
        <v>780</v>
      </c>
      <c r="E973" s="3">
        <v>90</v>
      </c>
      <c r="F973" s="3" t="str">
        <f t="shared" si="15"/>
        <v>FGU920144.578090</v>
      </c>
      <c r="G973" t="str">
        <f>IF(ISNA(VLOOKUP($F973,'Raw Data'!$A:$M,7,0)),"",VLOOKUP($F973,'Raw Data'!$A:$M,7,0))</f>
        <v/>
      </c>
      <c r="H973" t="str">
        <f>IF(ISNA(VLOOKUP($F973,'Raw Data'!$A:$M,8,0)),"",VLOOKUP($F973,'Raw Data'!$A:$M,8,0))</f>
        <v/>
      </c>
      <c r="I973" t="str">
        <f>IF(ISNA(VLOOKUP($F973,'Raw Data'!$A:$M,9,0)),"",VLOOKUP($F973,'Raw Data'!$A:$M,9,0))</f>
        <v/>
      </c>
      <c r="J973" t="str">
        <f>IF(ISNA(VLOOKUP($F973,'Raw Data'!$A:$M,10,0)),"",VLOOKUP($F973,'Raw Data'!$A:$M,10,0))</f>
        <v/>
      </c>
      <c r="K973" t="str">
        <f>IF(ISNA(VLOOKUP($F973,'Raw Data'!$A:$M,11,0)),"",VLOOKUP($F973,'Raw Data'!$A:$M,11,0))</f>
        <v/>
      </c>
      <c r="L973" t="str">
        <f>IF(ISNA(VLOOKUP($F973,'Raw Data'!$A:$M,12,0)),"",VLOOKUP($F973,'Raw Data'!$A:$M,12,0))</f>
        <v/>
      </c>
      <c r="M973" t="str">
        <f>IF(ISNA(VLOOKUP($F973,'Raw Data'!$A:$M,13,0)),"",VLOOKUP($F973,'Raw Data'!$A:$M,13,0))</f>
        <v/>
      </c>
    </row>
    <row r="974" spans="1:13" x14ac:dyDescent="0.25">
      <c r="A974" t="s">
        <v>38</v>
      </c>
      <c r="B974">
        <v>2014</v>
      </c>
      <c r="C974">
        <v>4.5</v>
      </c>
      <c r="D974" s="3">
        <v>620</v>
      </c>
      <c r="E974" s="3">
        <v>95</v>
      </c>
      <c r="F974" s="3" t="str">
        <f t="shared" si="15"/>
        <v>FGU920144.562095</v>
      </c>
      <c r="G974" t="str">
        <f>IF(ISNA(VLOOKUP($F974,'Raw Data'!$A:$M,7,0)),"",VLOOKUP($F974,'Raw Data'!$A:$M,7,0))</f>
        <v/>
      </c>
      <c r="H974" t="str">
        <f>IF(ISNA(VLOOKUP($F974,'Raw Data'!$A:$M,8,0)),"",VLOOKUP($F974,'Raw Data'!$A:$M,8,0))</f>
        <v/>
      </c>
      <c r="I974" t="str">
        <f>IF(ISNA(VLOOKUP($F974,'Raw Data'!$A:$M,9,0)),"",VLOOKUP($F974,'Raw Data'!$A:$M,9,0))</f>
        <v/>
      </c>
      <c r="J974" t="str">
        <f>IF(ISNA(VLOOKUP($F974,'Raw Data'!$A:$M,10,0)),"",VLOOKUP($F974,'Raw Data'!$A:$M,10,0))</f>
        <v/>
      </c>
      <c r="K974" t="str">
        <f>IF(ISNA(VLOOKUP($F974,'Raw Data'!$A:$M,11,0)),"",VLOOKUP($F974,'Raw Data'!$A:$M,11,0))</f>
        <v/>
      </c>
      <c r="L974" t="str">
        <f>IF(ISNA(VLOOKUP($F974,'Raw Data'!$A:$M,12,0)),"",VLOOKUP($F974,'Raw Data'!$A:$M,12,0))</f>
        <v/>
      </c>
      <c r="M974" t="str">
        <f>IF(ISNA(VLOOKUP($F974,'Raw Data'!$A:$M,13,0)),"",VLOOKUP($F974,'Raw Data'!$A:$M,13,0))</f>
        <v/>
      </c>
    </row>
    <row r="975" spans="1:13" x14ac:dyDescent="0.25">
      <c r="A975" t="s">
        <v>38</v>
      </c>
      <c r="B975">
        <v>2014</v>
      </c>
      <c r="C975">
        <v>4.5</v>
      </c>
      <c r="D975" s="3">
        <v>640</v>
      </c>
      <c r="E975" s="3">
        <v>95</v>
      </c>
      <c r="F975" s="3" t="str">
        <f t="shared" si="15"/>
        <v>FGU920144.564095</v>
      </c>
      <c r="G975" t="str">
        <f>IF(ISNA(VLOOKUP($F975,'Raw Data'!$A:$M,7,0)),"",VLOOKUP($F975,'Raw Data'!$A:$M,7,0))</f>
        <v/>
      </c>
      <c r="H975" t="str">
        <f>IF(ISNA(VLOOKUP($F975,'Raw Data'!$A:$M,8,0)),"",VLOOKUP($F975,'Raw Data'!$A:$M,8,0))</f>
        <v/>
      </c>
      <c r="I975" t="str">
        <f>IF(ISNA(VLOOKUP($F975,'Raw Data'!$A:$M,9,0)),"",VLOOKUP($F975,'Raw Data'!$A:$M,9,0))</f>
        <v/>
      </c>
      <c r="J975" t="str">
        <f>IF(ISNA(VLOOKUP($F975,'Raw Data'!$A:$M,10,0)),"",VLOOKUP($F975,'Raw Data'!$A:$M,10,0))</f>
        <v/>
      </c>
      <c r="K975" t="str">
        <f>IF(ISNA(VLOOKUP($F975,'Raw Data'!$A:$M,11,0)),"",VLOOKUP($F975,'Raw Data'!$A:$M,11,0))</f>
        <v/>
      </c>
      <c r="L975" t="str">
        <f>IF(ISNA(VLOOKUP($F975,'Raw Data'!$A:$M,12,0)),"",VLOOKUP($F975,'Raw Data'!$A:$M,12,0))</f>
        <v/>
      </c>
      <c r="M975" t="str">
        <f>IF(ISNA(VLOOKUP($F975,'Raw Data'!$A:$M,13,0)),"",VLOOKUP($F975,'Raw Data'!$A:$M,13,0))</f>
        <v/>
      </c>
    </row>
    <row r="976" spans="1:13" x14ac:dyDescent="0.25">
      <c r="A976" t="s">
        <v>38</v>
      </c>
      <c r="B976">
        <v>2014</v>
      </c>
      <c r="C976">
        <v>4.5</v>
      </c>
      <c r="D976" s="3">
        <v>660</v>
      </c>
      <c r="E976" s="3">
        <v>95</v>
      </c>
      <c r="F976" s="3" t="str">
        <f t="shared" si="15"/>
        <v>FGU920144.566095</v>
      </c>
      <c r="G976" t="str">
        <f>IF(ISNA(VLOOKUP($F976,'Raw Data'!$A:$M,7,0)),"",VLOOKUP($F976,'Raw Data'!$A:$M,7,0))</f>
        <v/>
      </c>
      <c r="H976" t="str">
        <f>IF(ISNA(VLOOKUP($F976,'Raw Data'!$A:$M,8,0)),"",VLOOKUP($F976,'Raw Data'!$A:$M,8,0))</f>
        <v/>
      </c>
      <c r="I976" t="str">
        <f>IF(ISNA(VLOOKUP($F976,'Raw Data'!$A:$M,9,0)),"",VLOOKUP($F976,'Raw Data'!$A:$M,9,0))</f>
        <v/>
      </c>
      <c r="J976" t="str">
        <f>IF(ISNA(VLOOKUP($F976,'Raw Data'!$A:$M,10,0)),"",VLOOKUP($F976,'Raw Data'!$A:$M,10,0))</f>
        <v/>
      </c>
      <c r="K976" t="str">
        <f>IF(ISNA(VLOOKUP($F976,'Raw Data'!$A:$M,11,0)),"",VLOOKUP($F976,'Raw Data'!$A:$M,11,0))</f>
        <v/>
      </c>
      <c r="L976" t="str">
        <f>IF(ISNA(VLOOKUP($F976,'Raw Data'!$A:$M,12,0)),"",VLOOKUP($F976,'Raw Data'!$A:$M,12,0))</f>
        <v/>
      </c>
      <c r="M976" t="str">
        <f>IF(ISNA(VLOOKUP($F976,'Raw Data'!$A:$M,13,0)),"",VLOOKUP($F976,'Raw Data'!$A:$M,13,0))</f>
        <v/>
      </c>
    </row>
    <row r="977" spans="1:13" x14ac:dyDescent="0.25">
      <c r="A977" t="s">
        <v>38</v>
      </c>
      <c r="B977">
        <v>2014</v>
      </c>
      <c r="C977">
        <v>4.5</v>
      </c>
      <c r="D977" s="3">
        <v>680</v>
      </c>
      <c r="E977" s="3">
        <v>95</v>
      </c>
      <c r="F977" s="3" t="str">
        <f t="shared" si="15"/>
        <v>FGU920144.568095</v>
      </c>
      <c r="G977" t="str">
        <f>IF(ISNA(VLOOKUP($F977,'Raw Data'!$A:$M,7,0)),"",VLOOKUP($F977,'Raw Data'!$A:$M,7,0))</f>
        <v/>
      </c>
      <c r="H977" t="str">
        <f>IF(ISNA(VLOOKUP($F977,'Raw Data'!$A:$M,8,0)),"",VLOOKUP($F977,'Raw Data'!$A:$M,8,0))</f>
        <v/>
      </c>
      <c r="I977" t="str">
        <f>IF(ISNA(VLOOKUP($F977,'Raw Data'!$A:$M,9,0)),"",VLOOKUP($F977,'Raw Data'!$A:$M,9,0))</f>
        <v/>
      </c>
      <c r="J977" t="str">
        <f>IF(ISNA(VLOOKUP($F977,'Raw Data'!$A:$M,10,0)),"",VLOOKUP($F977,'Raw Data'!$A:$M,10,0))</f>
        <v/>
      </c>
      <c r="K977" t="str">
        <f>IF(ISNA(VLOOKUP($F977,'Raw Data'!$A:$M,11,0)),"",VLOOKUP($F977,'Raw Data'!$A:$M,11,0))</f>
        <v/>
      </c>
      <c r="L977" t="str">
        <f>IF(ISNA(VLOOKUP($F977,'Raw Data'!$A:$M,12,0)),"",VLOOKUP($F977,'Raw Data'!$A:$M,12,0))</f>
        <v/>
      </c>
      <c r="M977" t="str">
        <f>IF(ISNA(VLOOKUP($F977,'Raw Data'!$A:$M,13,0)),"",VLOOKUP($F977,'Raw Data'!$A:$M,13,0))</f>
        <v/>
      </c>
    </row>
    <row r="978" spans="1:13" x14ac:dyDescent="0.25">
      <c r="A978" t="s">
        <v>38</v>
      </c>
      <c r="B978">
        <v>2014</v>
      </c>
      <c r="C978">
        <v>4.5</v>
      </c>
      <c r="D978" s="3">
        <v>700</v>
      </c>
      <c r="E978" s="3">
        <v>95</v>
      </c>
      <c r="F978" s="3" t="str">
        <f t="shared" si="15"/>
        <v>FGU920144.570095</v>
      </c>
      <c r="G978" t="str">
        <f>IF(ISNA(VLOOKUP($F978,'Raw Data'!$A:$M,7,0)),"",VLOOKUP($F978,'Raw Data'!$A:$M,7,0))</f>
        <v/>
      </c>
      <c r="H978" t="str">
        <f>IF(ISNA(VLOOKUP($F978,'Raw Data'!$A:$M,8,0)),"",VLOOKUP($F978,'Raw Data'!$A:$M,8,0))</f>
        <v/>
      </c>
      <c r="I978" t="str">
        <f>IF(ISNA(VLOOKUP($F978,'Raw Data'!$A:$M,9,0)),"",VLOOKUP($F978,'Raw Data'!$A:$M,9,0))</f>
        <v/>
      </c>
      <c r="J978" t="str">
        <f>IF(ISNA(VLOOKUP($F978,'Raw Data'!$A:$M,10,0)),"",VLOOKUP($F978,'Raw Data'!$A:$M,10,0))</f>
        <v/>
      </c>
      <c r="K978" t="str">
        <f>IF(ISNA(VLOOKUP($F978,'Raw Data'!$A:$M,11,0)),"",VLOOKUP($F978,'Raw Data'!$A:$M,11,0))</f>
        <v/>
      </c>
      <c r="L978" t="str">
        <f>IF(ISNA(VLOOKUP($F978,'Raw Data'!$A:$M,12,0)),"",VLOOKUP($F978,'Raw Data'!$A:$M,12,0))</f>
        <v/>
      </c>
      <c r="M978" t="str">
        <f>IF(ISNA(VLOOKUP($F978,'Raw Data'!$A:$M,13,0)),"",VLOOKUP($F978,'Raw Data'!$A:$M,13,0))</f>
        <v/>
      </c>
    </row>
    <row r="979" spans="1:13" x14ac:dyDescent="0.25">
      <c r="A979" t="s">
        <v>38</v>
      </c>
      <c r="B979">
        <v>2014</v>
      </c>
      <c r="C979">
        <v>4.5</v>
      </c>
      <c r="D979" s="3">
        <v>720</v>
      </c>
      <c r="E979" s="3">
        <v>95</v>
      </c>
      <c r="F979" s="3" t="str">
        <f t="shared" si="15"/>
        <v>FGU920144.572095</v>
      </c>
      <c r="G979" t="str">
        <f>IF(ISNA(VLOOKUP($F979,'Raw Data'!$A:$M,7,0)),"",VLOOKUP($F979,'Raw Data'!$A:$M,7,0))</f>
        <v/>
      </c>
      <c r="H979" t="str">
        <f>IF(ISNA(VLOOKUP($F979,'Raw Data'!$A:$M,8,0)),"",VLOOKUP($F979,'Raw Data'!$A:$M,8,0))</f>
        <v/>
      </c>
      <c r="I979" t="str">
        <f>IF(ISNA(VLOOKUP($F979,'Raw Data'!$A:$M,9,0)),"",VLOOKUP($F979,'Raw Data'!$A:$M,9,0))</f>
        <v/>
      </c>
      <c r="J979" t="str">
        <f>IF(ISNA(VLOOKUP($F979,'Raw Data'!$A:$M,10,0)),"",VLOOKUP($F979,'Raw Data'!$A:$M,10,0))</f>
        <v/>
      </c>
      <c r="K979" t="str">
        <f>IF(ISNA(VLOOKUP($F979,'Raw Data'!$A:$M,11,0)),"",VLOOKUP($F979,'Raw Data'!$A:$M,11,0))</f>
        <v/>
      </c>
      <c r="L979" t="str">
        <f>IF(ISNA(VLOOKUP($F979,'Raw Data'!$A:$M,12,0)),"",VLOOKUP($F979,'Raw Data'!$A:$M,12,0))</f>
        <v/>
      </c>
      <c r="M979" t="str">
        <f>IF(ISNA(VLOOKUP($F979,'Raw Data'!$A:$M,13,0)),"",VLOOKUP($F979,'Raw Data'!$A:$M,13,0))</f>
        <v/>
      </c>
    </row>
    <row r="980" spans="1:13" x14ac:dyDescent="0.25">
      <c r="A980" t="s">
        <v>38</v>
      </c>
      <c r="B980">
        <v>2014</v>
      </c>
      <c r="C980">
        <v>4.5</v>
      </c>
      <c r="D980" s="3">
        <v>740</v>
      </c>
      <c r="E980" s="3">
        <v>95</v>
      </c>
      <c r="F980" s="3" t="str">
        <f t="shared" si="15"/>
        <v>FGU920144.574095</v>
      </c>
      <c r="G980" t="str">
        <f>IF(ISNA(VLOOKUP($F980,'Raw Data'!$A:$M,7,0)),"",VLOOKUP($F980,'Raw Data'!$A:$M,7,0))</f>
        <v/>
      </c>
      <c r="H980" t="str">
        <f>IF(ISNA(VLOOKUP($F980,'Raw Data'!$A:$M,8,0)),"",VLOOKUP($F980,'Raw Data'!$A:$M,8,0))</f>
        <v/>
      </c>
      <c r="I980" t="str">
        <f>IF(ISNA(VLOOKUP($F980,'Raw Data'!$A:$M,9,0)),"",VLOOKUP($F980,'Raw Data'!$A:$M,9,0))</f>
        <v/>
      </c>
      <c r="J980" t="str">
        <f>IF(ISNA(VLOOKUP($F980,'Raw Data'!$A:$M,10,0)),"",VLOOKUP($F980,'Raw Data'!$A:$M,10,0))</f>
        <v/>
      </c>
      <c r="K980" t="str">
        <f>IF(ISNA(VLOOKUP($F980,'Raw Data'!$A:$M,11,0)),"",VLOOKUP($F980,'Raw Data'!$A:$M,11,0))</f>
        <v/>
      </c>
      <c r="L980" t="str">
        <f>IF(ISNA(VLOOKUP($F980,'Raw Data'!$A:$M,12,0)),"",VLOOKUP($F980,'Raw Data'!$A:$M,12,0))</f>
        <v/>
      </c>
      <c r="M980" t="str">
        <f>IF(ISNA(VLOOKUP($F980,'Raw Data'!$A:$M,13,0)),"",VLOOKUP($F980,'Raw Data'!$A:$M,13,0))</f>
        <v/>
      </c>
    </row>
    <row r="981" spans="1:13" x14ac:dyDescent="0.25">
      <c r="A981" t="s">
        <v>38</v>
      </c>
      <c r="B981">
        <v>2014</v>
      </c>
      <c r="C981">
        <v>4.5</v>
      </c>
      <c r="D981" s="3">
        <v>760</v>
      </c>
      <c r="E981" s="3">
        <v>95</v>
      </c>
      <c r="F981" s="3" t="str">
        <f t="shared" si="15"/>
        <v>FGU920144.576095</v>
      </c>
      <c r="G981" t="str">
        <f>IF(ISNA(VLOOKUP($F981,'Raw Data'!$A:$M,7,0)),"",VLOOKUP($F981,'Raw Data'!$A:$M,7,0))</f>
        <v/>
      </c>
      <c r="H981" t="str">
        <f>IF(ISNA(VLOOKUP($F981,'Raw Data'!$A:$M,8,0)),"",VLOOKUP($F981,'Raw Data'!$A:$M,8,0))</f>
        <v/>
      </c>
      <c r="I981" t="str">
        <f>IF(ISNA(VLOOKUP($F981,'Raw Data'!$A:$M,9,0)),"",VLOOKUP($F981,'Raw Data'!$A:$M,9,0))</f>
        <v/>
      </c>
      <c r="J981" t="str">
        <f>IF(ISNA(VLOOKUP($F981,'Raw Data'!$A:$M,10,0)),"",VLOOKUP($F981,'Raw Data'!$A:$M,10,0))</f>
        <v/>
      </c>
      <c r="K981" t="str">
        <f>IF(ISNA(VLOOKUP($F981,'Raw Data'!$A:$M,11,0)),"",VLOOKUP($F981,'Raw Data'!$A:$M,11,0))</f>
        <v/>
      </c>
      <c r="L981" t="str">
        <f>IF(ISNA(VLOOKUP($F981,'Raw Data'!$A:$M,12,0)),"",VLOOKUP($F981,'Raw Data'!$A:$M,12,0))</f>
        <v/>
      </c>
      <c r="M981" t="str">
        <f>IF(ISNA(VLOOKUP($F981,'Raw Data'!$A:$M,13,0)),"",VLOOKUP($F981,'Raw Data'!$A:$M,13,0))</f>
        <v/>
      </c>
    </row>
    <row r="982" spans="1:13" x14ac:dyDescent="0.25">
      <c r="A982" t="s">
        <v>38</v>
      </c>
      <c r="B982">
        <v>2014</v>
      </c>
      <c r="C982">
        <v>4.5</v>
      </c>
      <c r="D982" s="3">
        <v>780</v>
      </c>
      <c r="E982" s="3">
        <v>95</v>
      </c>
      <c r="F982" s="3" t="str">
        <f t="shared" si="15"/>
        <v>FGU920144.578095</v>
      </c>
      <c r="G982" t="str">
        <f>IF(ISNA(VLOOKUP($F982,'Raw Data'!$A:$M,7,0)),"",VLOOKUP($F982,'Raw Data'!$A:$M,7,0))</f>
        <v/>
      </c>
      <c r="H982" t="str">
        <f>IF(ISNA(VLOOKUP($F982,'Raw Data'!$A:$M,8,0)),"",VLOOKUP($F982,'Raw Data'!$A:$M,8,0))</f>
        <v/>
      </c>
      <c r="I982" t="str">
        <f>IF(ISNA(VLOOKUP($F982,'Raw Data'!$A:$M,9,0)),"",VLOOKUP($F982,'Raw Data'!$A:$M,9,0))</f>
        <v/>
      </c>
      <c r="J982" t="str">
        <f>IF(ISNA(VLOOKUP($F982,'Raw Data'!$A:$M,10,0)),"",VLOOKUP($F982,'Raw Data'!$A:$M,10,0))</f>
        <v/>
      </c>
      <c r="K982" t="str">
        <f>IF(ISNA(VLOOKUP($F982,'Raw Data'!$A:$M,11,0)),"",VLOOKUP($F982,'Raw Data'!$A:$M,11,0))</f>
        <v/>
      </c>
      <c r="L982" t="str">
        <f>IF(ISNA(VLOOKUP($F982,'Raw Data'!$A:$M,12,0)),"",VLOOKUP($F982,'Raw Data'!$A:$M,12,0))</f>
        <v/>
      </c>
      <c r="M982" t="str">
        <f>IF(ISNA(VLOOKUP($F982,'Raw Data'!$A:$M,13,0)),"",VLOOKUP($F982,'Raw Data'!$A:$M,13,0))</f>
        <v/>
      </c>
    </row>
    <row r="983" spans="1:13" x14ac:dyDescent="0.25">
      <c r="A983" t="s">
        <v>38</v>
      </c>
      <c r="B983">
        <v>2014</v>
      </c>
      <c r="C983">
        <v>4.5</v>
      </c>
      <c r="D983" s="3">
        <v>620</v>
      </c>
      <c r="E983" s="3">
        <v>97</v>
      </c>
      <c r="F983" s="3" t="str">
        <f t="shared" si="15"/>
        <v>FGU920144.562097</v>
      </c>
      <c r="G983" t="str">
        <f>IF(ISNA(VLOOKUP($F983,'Raw Data'!$A:$M,7,0)),"",VLOOKUP($F983,'Raw Data'!$A:$M,7,0))</f>
        <v/>
      </c>
      <c r="H983" t="str">
        <f>IF(ISNA(VLOOKUP($F983,'Raw Data'!$A:$M,8,0)),"",VLOOKUP($F983,'Raw Data'!$A:$M,8,0))</f>
        <v/>
      </c>
      <c r="I983" t="str">
        <f>IF(ISNA(VLOOKUP($F983,'Raw Data'!$A:$M,9,0)),"",VLOOKUP($F983,'Raw Data'!$A:$M,9,0))</f>
        <v/>
      </c>
      <c r="J983" t="str">
        <f>IF(ISNA(VLOOKUP($F983,'Raw Data'!$A:$M,10,0)),"",VLOOKUP($F983,'Raw Data'!$A:$M,10,0))</f>
        <v/>
      </c>
      <c r="K983" t="str">
        <f>IF(ISNA(VLOOKUP($F983,'Raw Data'!$A:$M,11,0)),"",VLOOKUP($F983,'Raw Data'!$A:$M,11,0))</f>
        <v/>
      </c>
      <c r="L983" t="str">
        <f>IF(ISNA(VLOOKUP($F983,'Raw Data'!$A:$M,12,0)),"",VLOOKUP($F983,'Raw Data'!$A:$M,12,0))</f>
        <v/>
      </c>
      <c r="M983" t="str">
        <f>IF(ISNA(VLOOKUP($F983,'Raw Data'!$A:$M,13,0)),"",VLOOKUP($F983,'Raw Data'!$A:$M,13,0))</f>
        <v/>
      </c>
    </row>
    <row r="984" spans="1:13" x14ac:dyDescent="0.25">
      <c r="A984" t="s">
        <v>38</v>
      </c>
      <c r="B984">
        <v>2014</v>
      </c>
      <c r="C984">
        <v>4.5</v>
      </c>
      <c r="D984" s="3">
        <v>640</v>
      </c>
      <c r="E984" s="3">
        <v>97</v>
      </c>
      <c r="F984" s="3" t="str">
        <f t="shared" si="15"/>
        <v>FGU920144.564097</v>
      </c>
      <c r="G984" t="str">
        <f>IF(ISNA(VLOOKUP($F984,'Raw Data'!$A:$M,7,0)),"",VLOOKUP($F984,'Raw Data'!$A:$M,7,0))</f>
        <v/>
      </c>
      <c r="H984" t="str">
        <f>IF(ISNA(VLOOKUP($F984,'Raw Data'!$A:$M,8,0)),"",VLOOKUP($F984,'Raw Data'!$A:$M,8,0))</f>
        <v/>
      </c>
      <c r="I984" t="str">
        <f>IF(ISNA(VLOOKUP($F984,'Raw Data'!$A:$M,9,0)),"",VLOOKUP($F984,'Raw Data'!$A:$M,9,0))</f>
        <v/>
      </c>
      <c r="J984" t="str">
        <f>IF(ISNA(VLOOKUP($F984,'Raw Data'!$A:$M,10,0)),"",VLOOKUP($F984,'Raw Data'!$A:$M,10,0))</f>
        <v/>
      </c>
      <c r="K984" t="str">
        <f>IF(ISNA(VLOOKUP($F984,'Raw Data'!$A:$M,11,0)),"",VLOOKUP($F984,'Raw Data'!$A:$M,11,0))</f>
        <v/>
      </c>
      <c r="L984" t="str">
        <f>IF(ISNA(VLOOKUP($F984,'Raw Data'!$A:$M,12,0)),"",VLOOKUP($F984,'Raw Data'!$A:$M,12,0))</f>
        <v/>
      </c>
      <c r="M984" t="str">
        <f>IF(ISNA(VLOOKUP($F984,'Raw Data'!$A:$M,13,0)),"",VLOOKUP($F984,'Raw Data'!$A:$M,13,0))</f>
        <v/>
      </c>
    </row>
    <row r="985" spans="1:13" x14ac:dyDescent="0.25">
      <c r="A985" t="s">
        <v>38</v>
      </c>
      <c r="B985">
        <v>2014</v>
      </c>
      <c r="C985">
        <v>4.5</v>
      </c>
      <c r="D985" s="3">
        <v>660</v>
      </c>
      <c r="E985" s="3">
        <v>97</v>
      </c>
      <c r="F985" s="3" t="str">
        <f t="shared" si="15"/>
        <v>FGU920144.566097</v>
      </c>
      <c r="G985" t="str">
        <f>IF(ISNA(VLOOKUP($F985,'Raw Data'!$A:$M,7,0)),"",VLOOKUP($F985,'Raw Data'!$A:$M,7,0))</f>
        <v/>
      </c>
      <c r="H985" t="str">
        <f>IF(ISNA(VLOOKUP($F985,'Raw Data'!$A:$M,8,0)),"",VLOOKUP($F985,'Raw Data'!$A:$M,8,0))</f>
        <v/>
      </c>
      <c r="I985" t="str">
        <f>IF(ISNA(VLOOKUP($F985,'Raw Data'!$A:$M,9,0)),"",VLOOKUP($F985,'Raw Data'!$A:$M,9,0))</f>
        <v/>
      </c>
      <c r="J985" t="str">
        <f>IF(ISNA(VLOOKUP($F985,'Raw Data'!$A:$M,10,0)),"",VLOOKUP($F985,'Raw Data'!$A:$M,10,0))</f>
        <v/>
      </c>
      <c r="K985" t="str">
        <f>IF(ISNA(VLOOKUP($F985,'Raw Data'!$A:$M,11,0)),"",VLOOKUP($F985,'Raw Data'!$A:$M,11,0))</f>
        <v/>
      </c>
      <c r="L985" t="str">
        <f>IF(ISNA(VLOOKUP($F985,'Raw Data'!$A:$M,12,0)),"",VLOOKUP($F985,'Raw Data'!$A:$M,12,0))</f>
        <v/>
      </c>
      <c r="M985" t="str">
        <f>IF(ISNA(VLOOKUP($F985,'Raw Data'!$A:$M,13,0)),"",VLOOKUP($F985,'Raw Data'!$A:$M,13,0))</f>
        <v/>
      </c>
    </row>
    <row r="986" spans="1:13" x14ac:dyDescent="0.25">
      <c r="A986" t="s">
        <v>38</v>
      </c>
      <c r="B986">
        <v>2014</v>
      </c>
      <c r="C986">
        <v>4.5</v>
      </c>
      <c r="D986" s="3">
        <v>680</v>
      </c>
      <c r="E986" s="3">
        <v>97</v>
      </c>
      <c r="F986" s="3" t="str">
        <f t="shared" si="15"/>
        <v>FGU920144.568097</v>
      </c>
      <c r="G986" t="str">
        <f>IF(ISNA(VLOOKUP($F986,'Raw Data'!$A:$M,7,0)),"",VLOOKUP($F986,'Raw Data'!$A:$M,7,0))</f>
        <v/>
      </c>
      <c r="H986" t="str">
        <f>IF(ISNA(VLOOKUP($F986,'Raw Data'!$A:$M,8,0)),"",VLOOKUP($F986,'Raw Data'!$A:$M,8,0))</f>
        <v/>
      </c>
      <c r="I986" t="str">
        <f>IF(ISNA(VLOOKUP($F986,'Raw Data'!$A:$M,9,0)),"",VLOOKUP($F986,'Raw Data'!$A:$M,9,0))</f>
        <v/>
      </c>
      <c r="J986" t="str">
        <f>IF(ISNA(VLOOKUP($F986,'Raw Data'!$A:$M,10,0)),"",VLOOKUP($F986,'Raw Data'!$A:$M,10,0))</f>
        <v/>
      </c>
      <c r="K986" t="str">
        <f>IF(ISNA(VLOOKUP($F986,'Raw Data'!$A:$M,11,0)),"",VLOOKUP($F986,'Raw Data'!$A:$M,11,0))</f>
        <v/>
      </c>
      <c r="L986" t="str">
        <f>IF(ISNA(VLOOKUP($F986,'Raw Data'!$A:$M,12,0)),"",VLOOKUP($F986,'Raw Data'!$A:$M,12,0))</f>
        <v/>
      </c>
      <c r="M986" t="str">
        <f>IF(ISNA(VLOOKUP($F986,'Raw Data'!$A:$M,13,0)),"",VLOOKUP($F986,'Raw Data'!$A:$M,13,0))</f>
        <v/>
      </c>
    </row>
    <row r="987" spans="1:13" x14ac:dyDescent="0.25">
      <c r="A987" t="s">
        <v>38</v>
      </c>
      <c r="B987">
        <v>2014</v>
      </c>
      <c r="C987">
        <v>4.5</v>
      </c>
      <c r="D987" s="3">
        <v>700</v>
      </c>
      <c r="E987" s="3">
        <v>97</v>
      </c>
      <c r="F987" s="3" t="str">
        <f t="shared" si="15"/>
        <v>FGU920144.570097</v>
      </c>
      <c r="G987" t="str">
        <f>IF(ISNA(VLOOKUP($F987,'Raw Data'!$A:$M,7,0)),"",VLOOKUP($F987,'Raw Data'!$A:$M,7,0))</f>
        <v/>
      </c>
      <c r="H987" t="str">
        <f>IF(ISNA(VLOOKUP($F987,'Raw Data'!$A:$M,8,0)),"",VLOOKUP($F987,'Raw Data'!$A:$M,8,0))</f>
        <v/>
      </c>
      <c r="I987" t="str">
        <f>IF(ISNA(VLOOKUP($F987,'Raw Data'!$A:$M,9,0)),"",VLOOKUP($F987,'Raw Data'!$A:$M,9,0))</f>
        <v/>
      </c>
      <c r="J987" t="str">
        <f>IF(ISNA(VLOOKUP($F987,'Raw Data'!$A:$M,10,0)),"",VLOOKUP($F987,'Raw Data'!$A:$M,10,0))</f>
        <v/>
      </c>
      <c r="K987" t="str">
        <f>IF(ISNA(VLOOKUP($F987,'Raw Data'!$A:$M,11,0)),"",VLOOKUP($F987,'Raw Data'!$A:$M,11,0))</f>
        <v/>
      </c>
      <c r="L987" t="str">
        <f>IF(ISNA(VLOOKUP($F987,'Raw Data'!$A:$M,12,0)),"",VLOOKUP($F987,'Raw Data'!$A:$M,12,0))</f>
        <v/>
      </c>
      <c r="M987" t="str">
        <f>IF(ISNA(VLOOKUP($F987,'Raw Data'!$A:$M,13,0)),"",VLOOKUP($F987,'Raw Data'!$A:$M,13,0))</f>
        <v/>
      </c>
    </row>
    <row r="988" spans="1:13" x14ac:dyDescent="0.25">
      <c r="A988" t="s">
        <v>38</v>
      </c>
      <c r="B988">
        <v>2014</v>
      </c>
      <c r="C988">
        <v>4.5</v>
      </c>
      <c r="D988" s="3">
        <v>720</v>
      </c>
      <c r="E988" s="3">
        <v>97</v>
      </c>
      <c r="F988" s="3" t="str">
        <f t="shared" si="15"/>
        <v>FGU920144.572097</v>
      </c>
      <c r="G988" t="str">
        <f>IF(ISNA(VLOOKUP($F988,'Raw Data'!$A:$M,7,0)),"",VLOOKUP($F988,'Raw Data'!$A:$M,7,0))</f>
        <v/>
      </c>
      <c r="H988" t="str">
        <f>IF(ISNA(VLOOKUP($F988,'Raw Data'!$A:$M,8,0)),"",VLOOKUP($F988,'Raw Data'!$A:$M,8,0))</f>
        <v/>
      </c>
      <c r="I988" t="str">
        <f>IF(ISNA(VLOOKUP($F988,'Raw Data'!$A:$M,9,0)),"",VLOOKUP($F988,'Raw Data'!$A:$M,9,0))</f>
        <v/>
      </c>
      <c r="J988" t="str">
        <f>IF(ISNA(VLOOKUP($F988,'Raw Data'!$A:$M,10,0)),"",VLOOKUP($F988,'Raw Data'!$A:$M,10,0))</f>
        <v/>
      </c>
      <c r="K988" t="str">
        <f>IF(ISNA(VLOOKUP($F988,'Raw Data'!$A:$M,11,0)),"",VLOOKUP($F988,'Raw Data'!$A:$M,11,0))</f>
        <v/>
      </c>
      <c r="L988" t="str">
        <f>IF(ISNA(VLOOKUP($F988,'Raw Data'!$A:$M,12,0)),"",VLOOKUP($F988,'Raw Data'!$A:$M,12,0))</f>
        <v/>
      </c>
      <c r="M988" t="str">
        <f>IF(ISNA(VLOOKUP($F988,'Raw Data'!$A:$M,13,0)),"",VLOOKUP($F988,'Raw Data'!$A:$M,13,0))</f>
        <v/>
      </c>
    </row>
    <row r="989" spans="1:13" x14ac:dyDescent="0.25">
      <c r="A989" t="s">
        <v>38</v>
      </c>
      <c r="B989">
        <v>2014</v>
      </c>
      <c r="C989">
        <v>4.5</v>
      </c>
      <c r="D989" s="3">
        <v>740</v>
      </c>
      <c r="E989" s="3">
        <v>97</v>
      </c>
      <c r="F989" s="3" t="str">
        <f t="shared" si="15"/>
        <v>FGU920144.574097</v>
      </c>
      <c r="G989" t="str">
        <f>IF(ISNA(VLOOKUP($F989,'Raw Data'!$A:$M,7,0)),"",VLOOKUP($F989,'Raw Data'!$A:$M,7,0))</f>
        <v/>
      </c>
      <c r="H989" t="str">
        <f>IF(ISNA(VLOOKUP($F989,'Raw Data'!$A:$M,8,0)),"",VLOOKUP($F989,'Raw Data'!$A:$M,8,0))</f>
        <v/>
      </c>
      <c r="I989" t="str">
        <f>IF(ISNA(VLOOKUP($F989,'Raw Data'!$A:$M,9,0)),"",VLOOKUP($F989,'Raw Data'!$A:$M,9,0))</f>
        <v/>
      </c>
      <c r="J989" t="str">
        <f>IF(ISNA(VLOOKUP($F989,'Raw Data'!$A:$M,10,0)),"",VLOOKUP($F989,'Raw Data'!$A:$M,10,0))</f>
        <v/>
      </c>
      <c r="K989" t="str">
        <f>IF(ISNA(VLOOKUP($F989,'Raw Data'!$A:$M,11,0)),"",VLOOKUP($F989,'Raw Data'!$A:$M,11,0))</f>
        <v/>
      </c>
      <c r="L989" t="str">
        <f>IF(ISNA(VLOOKUP($F989,'Raw Data'!$A:$M,12,0)),"",VLOOKUP($F989,'Raw Data'!$A:$M,12,0))</f>
        <v/>
      </c>
      <c r="M989" t="str">
        <f>IF(ISNA(VLOOKUP($F989,'Raw Data'!$A:$M,13,0)),"",VLOOKUP($F989,'Raw Data'!$A:$M,13,0))</f>
        <v/>
      </c>
    </row>
    <row r="990" spans="1:13" x14ac:dyDescent="0.25">
      <c r="A990" t="s">
        <v>38</v>
      </c>
      <c r="B990">
        <v>2014</v>
      </c>
      <c r="C990">
        <v>4.5</v>
      </c>
      <c r="D990" s="3">
        <v>760</v>
      </c>
      <c r="E990" s="3">
        <v>97</v>
      </c>
      <c r="F990" s="3" t="str">
        <f t="shared" si="15"/>
        <v>FGU920144.576097</v>
      </c>
      <c r="G990" t="str">
        <f>IF(ISNA(VLOOKUP($F990,'Raw Data'!$A:$M,7,0)),"",VLOOKUP($F990,'Raw Data'!$A:$M,7,0))</f>
        <v/>
      </c>
      <c r="H990" t="str">
        <f>IF(ISNA(VLOOKUP($F990,'Raw Data'!$A:$M,8,0)),"",VLOOKUP($F990,'Raw Data'!$A:$M,8,0))</f>
        <v/>
      </c>
      <c r="I990" t="str">
        <f>IF(ISNA(VLOOKUP($F990,'Raw Data'!$A:$M,9,0)),"",VLOOKUP($F990,'Raw Data'!$A:$M,9,0))</f>
        <v/>
      </c>
      <c r="J990" t="str">
        <f>IF(ISNA(VLOOKUP($F990,'Raw Data'!$A:$M,10,0)),"",VLOOKUP($F990,'Raw Data'!$A:$M,10,0))</f>
        <v/>
      </c>
      <c r="K990" t="str">
        <f>IF(ISNA(VLOOKUP($F990,'Raw Data'!$A:$M,11,0)),"",VLOOKUP($F990,'Raw Data'!$A:$M,11,0))</f>
        <v/>
      </c>
      <c r="L990" t="str">
        <f>IF(ISNA(VLOOKUP($F990,'Raw Data'!$A:$M,12,0)),"",VLOOKUP($F990,'Raw Data'!$A:$M,12,0))</f>
        <v/>
      </c>
      <c r="M990" t="str">
        <f>IF(ISNA(VLOOKUP($F990,'Raw Data'!$A:$M,13,0)),"",VLOOKUP($F990,'Raw Data'!$A:$M,13,0))</f>
        <v/>
      </c>
    </row>
    <row r="991" spans="1:13" x14ac:dyDescent="0.25">
      <c r="A991" t="s">
        <v>38</v>
      </c>
      <c r="B991">
        <v>2014</v>
      </c>
      <c r="C991">
        <v>4.5</v>
      </c>
      <c r="D991" s="3">
        <v>780</v>
      </c>
      <c r="E991" s="3">
        <v>97</v>
      </c>
      <c r="F991" s="3" t="str">
        <f t="shared" si="15"/>
        <v>FGU920144.578097</v>
      </c>
      <c r="G991" t="str">
        <f>IF(ISNA(VLOOKUP($F991,'Raw Data'!$A:$M,7,0)),"",VLOOKUP($F991,'Raw Data'!$A:$M,7,0))</f>
        <v/>
      </c>
      <c r="H991" t="str">
        <f>IF(ISNA(VLOOKUP($F991,'Raw Data'!$A:$M,8,0)),"",VLOOKUP($F991,'Raw Data'!$A:$M,8,0))</f>
        <v/>
      </c>
      <c r="I991" t="str">
        <f>IF(ISNA(VLOOKUP($F991,'Raw Data'!$A:$M,9,0)),"",VLOOKUP($F991,'Raw Data'!$A:$M,9,0))</f>
        <v/>
      </c>
      <c r="J991" t="str">
        <f>IF(ISNA(VLOOKUP($F991,'Raw Data'!$A:$M,10,0)),"",VLOOKUP($F991,'Raw Data'!$A:$M,10,0))</f>
        <v/>
      </c>
      <c r="K991" t="str">
        <f>IF(ISNA(VLOOKUP($F991,'Raw Data'!$A:$M,11,0)),"",VLOOKUP($F991,'Raw Data'!$A:$M,11,0))</f>
        <v/>
      </c>
      <c r="L991" t="str">
        <f>IF(ISNA(VLOOKUP($F991,'Raw Data'!$A:$M,12,0)),"",VLOOKUP($F991,'Raw Data'!$A:$M,12,0))</f>
        <v/>
      </c>
      <c r="M991" t="str">
        <f>IF(ISNA(VLOOKUP($F991,'Raw Data'!$A:$M,13,0)),"",VLOOKUP($F991,'Raw Data'!$A:$M,13,0))</f>
        <v/>
      </c>
    </row>
    <row r="992" spans="1:13" x14ac:dyDescent="0.25">
      <c r="A992" t="s">
        <v>38</v>
      </c>
      <c r="B992">
        <v>2014</v>
      </c>
      <c r="C992">
        <v>4.5</v>
      </c>
      <c r="D992" s="3">
        <v>620</v>
      </c>
      <c r="E992" s="3">
        <v>100</v>
      </c>
      <c r="F992" s="3" t="str">
        <f t="shared" si="15"/>
        <v>FGU920144.5620100</v>
      </c>
      <c r="G992" t="str">
        <f>IF(ISNA(VLOOKUP($F992,'Raw Data'!$A:$M,7,0)),"",VLOOKUP($F992,'Raw Data'!$A:$M,7,0))</f>
        <v/>
      </c>
      <c r="H992" t="str">
        <f>IF(ISNA(VLOOKUP($F992,'Raw Data'!$A:$M,8,0)),"",VLOOKUP($F992,'Raw Data'!$A:$M,8,0))</f>
        <v/>
      </c>
      <c r="I992" t="str">
        <f>IF(ISNA(VLOOKUP($F992,'Raw Data'!$A:$M,9,0)),"",VLOOKUP($F992,'Raw Data'!$A:$M,9,0))</f>
        <v/>
      </c>
      <c r="J992" t="str">
        <f>IF(ISNA(VLOOKUP($F992,'Raw Data'!$A:$M,10,0)),"",VLOOKUP($F992,'Raw Data'!$A:$M,10,0))</f>
        <v/>
      </c>
      <c r="K992" t="str">
        <f>IF(ISNA(VLOOKUP($F992,'Raw Data'!$A:$M,11,0)),"",VLOOKUP($F992,'Raw Data'!$A:$M,11,0))</f>
        <v/>
      </c>
      <c r="L992" t="str">
        <f>IF(ISNA(VLOOKUP($F992,'Raw Data'!$A:$M,12,0)),"",VLOOKUP($F992,'Raw Data'!$A:$M,12,0))</f>
        <v/>
      </c>
      <c r="M992" t="str">
        <f>IF(ISNA(VLOOKUP($F992,'Raw Data'!$A:$M,13,0)),"",VLOOKUP($F992,'Raw Data'!$A:$M,13,0))</f>
        <v/>
      </c>
    </row>
    <row r="993" spans="1:13" x14ac:dyDescent="0.25">
      <c r="A993" t="s">
        <v>38</v>
      </c>
      <c r="B993">
        <v>2014</v>
      </c>
      <c r="C993">
        <v>4.5</v>
      </c>
      <c r="D993" s="3">
        <v>640</v>
      </c>
      <c r="E993" s="3">
        <v>100</v>
      </c>
      <c r="F993" s="3" t="str">
        <f t="shared" si="15"/>
        <v>FGU920144.5640100</v>
      </c>
      <c r="G993" t="str">
        <f>IF(ISNA(VLOOKUP($F993,'Raw Data'!$A:$M,7,0)),"",VLOOKUP($F993,'Raw Data'!$A:$M,7,0))</f>
        <v/>
      </c>
      <c r="H993" t="str">
        <f>IF(ISNA(VLOOKUP($F993,'Raw Data'!$A:$M,8,0)),"",VLOOKUP($F993,'Raw Data'!$A:$M,8,0))</f>
        <v/>
      </c>
      <c r="I993" t="str">
        <f>IF(ISNA(VLOOKUP($F993,'Raw Data'!$A:$M,9,0)),"",VLOOKUP($F993,'Raw Data'!$A:$M,9,0))</f>
        <v/>
      </c>
      <c r="J993" t="str">
        <f>IF(ISNA(VLOOKUP($F993,'Raw Data'!$A:$M,10,0)),"",VLOOKUP($F993,'Raw Data'!$A:$M,10,0))</f>
        <v/>
      </c>
      <c r="K993" t="str">
        <f>IF(ISNA(VLOOKUP($F993,'Raw Data'!$A:$M,11,0)),"",VLOOKUP($F993,'Raw Data'!$A:$M,11,0))</f>
        <v/>
      </c>
      <c r="L993" t="str">
        <f>IF(ISNA(VLOOKUP($F993,'Raw Data'!$A:$M,12,0)),"",VLOOKUP($F993,'Raw Data'!$A:$M,12,0))</f>
        <v/>
      </c>
      <c r="M993" t="str">
        <f>IF(ISNA(VLOOKUP($F993,'Raw Data'!$A:$M,13,0)),"",VLOOKUP($F993,'Raw Data'!$A:$M,13,0))</f>
        <v/>
      </c>
    </row>
    <row r="994" spans="1:13" x14ac:dyDescent="0.25">
      <c r="A994" t="s">
        <v>38</v>
      </c>
      <c r="B994">
        <v>2014</v>
      </c>
      <c r="C994">
        <v>4.5</v>
      </c>
      <c r="D994" s="3">
        <v>660</v>
      </c>
      <c r="E994" s="3">
        <v>100</v>
      </c>
      <c r="F994" s="3" t="str">
        <f t="shared" si="15"/>
        <v>FGU920144.5660100</v>
      </c>
      <c r="G994" t="str">
        <f>IF(ISNA(VLOOKUP($F994,'Raw Data'!$A:$M,7,0)),"",VLOOKUP($F994,'Raw Data'!$A:$M,7,0))</f>
        <v/>
      </c>
      <c r="H994" t="str">
        <f>IF(ISNA(VLOOKUP($F994,'Raw Data'!$A:$M,8,0)),"",VLOOKUP($F994,'Raw Data'!$A:$M,8,0))</f>
        <v/>
      </c>
      <c r="I994" t="str">
        <f>IF(ISNA(VLOOKUP($F994,'Raw Data'!$A:$M,9,0)),"",VLOOKUP($F994,'Raw Data'!$A:$M,9,0))</f>
        <v/>
      </c>
      <c r="J994" t="str">
        <f>IF(ISNA(VLOOKUP($F994,'Raw Data'!$A:$M,10,0)),"",VLOOKUP($F994,'Raw Data'!$A:$M,10,0))</f>
        <v/>
      </c>
      <c r="K994" t="str">
        <f>IF(ISNA(VLOOKUP($F994,'Raw Data'!$A:$M,11,0)),"",VLOOKUP($F994,'Raw Data'!$A:$M,11,0))</f>
        <v/>
      </c>
      <c r="L994" t="str">
        <f>IF(ISNA(VLOOKUP($F994,'Raw Data'!$A:$M,12,0)),"",VLOOKUP($F994,'Raw Data'!$A:$M,12,0))</f>
        <v/>
      </c>
      <c r="M994" t="str">
        <f>IF(ISNA(VLOOKUP($F994,'Raw Data'!$A:$M,13,0)),"",VLOOKUP($F994,'Raw Data'!$A:$M,13,0))</f>
        <v/>
      </c>
    </row>
    <row r="995" spans="1:13" x14ac:dyDescent="0.25">
      <c r="A995" t="s">
        <v>38</v>
      </c>
      <c r="B995">
        <v>2014</v>
      </c>
      <c r="C995">
        <v>4.5</v>
      </c>
      <c r="D995" s="3">
        <v>680</v>
      </c>
      <c r="E995" s="3">
        <v>100</v>
      </c>
      <c r="F995" s="3" t="str">
        <f t="shared" si="15"/>
        <v>FGU920144.5680100</v>
      </c>
      <c r="G995" t="str">
        <f>IF(ISNA(VLOOKUP($F995,'Raw Data'!$A:$M,7,0)),"",VLOOKUP($F995,'Raw Data'!$A:$M,7,0))</f>
        <v/>
      </c>
      <c r="H995" t="str">
        <f>IF(ISNA(VLOOKUP($F995,'Raw Data'!$A:$M,8,0)),"",VLOOKUP($F995,'Raw Data'!$A:$M,8,0))</f>
        <v/>
      </c>
      <c r="I995" t="str">
        <f>IF(ISNA(VLOOKUP($F995,'Raw Data'!$A:$M,9,0)),"",VLOOKUP($F995,'Raw Data'!$A:$M,9,0))</f>
        <v/>
      </c>
      <c r="J995" t="str">
        <f>IF(ISNA(VLOOKUP($F995,'Raw Data'!$A:$M,10,0)),"",VLOOKUP($F995,'Raw Data'!$A:$M,10,0))</f>
        <v/>
      </c>
      <c r="K995" t="str">
        <f>IF(ISNA(VLOOKUP($F995,'Raw Data'!$A:$M,11,0)),"",VLOOKUP($F995,'Raw Data'!$A:$M,11,0))</f>
        <v/>
      </c>
      <c r="L995" t="str">
        <f>IF(ISNA(VLOOKUP($F995,'Raw Data'!$A:$M,12,0)),"",VLOOKUP($F995,'Raw Data'!$A:$M,12,0))</f>
        <v/>
      </c>
      <c r="M995" t="str">
        <f>IF(ISNA(VLOOKUP($F995,'Raw Data'!$A:$M,13,0)),"",VLOOKUP($F995,'Raw Data'!$A:$M,13,0))</f>
        <v/>
      </c>
    </row>
    <row r="996" spans="1:13" x14ac:dyDescent="0.25">
      <c r="A996" t="s">
        <v>38</v>
      </c>
      <c r="B996">
        <v>2014</v>
      </c>
      <c r="C996">
        <v>4.5</v>
      </c>
      <c r="D996" s="3">
        <v>700</v>
      </c>
      <c r="E996" s="3">
        <v>100</v>
      </c>
      <c r="F996" s="3" t="str">
        <f t="shared" si="15"/>
        <v>FGU920144.5700100</v>
      </c>
      <c r="G996" t="str">
        <f>IF(ISNA(VLOOKUP($F996,'Raw Data'!$A:$M,7,0)),"",VLOOKUP($F996,'Raw Data'!$A:$M,7,0))</f>
        <v/>
      </c>
      <c r="H996" t="str">
        <f>IF(ISNA(VLOOKUP($F996,'Raw Data'!$A:$M,8,0)),"",VLOOKUP($F996,'Raw Data'!$A:$M,8,0))</f>
        <v/>
      </c>
      <c r="I996" t="str">
        <f>IF(ISNA(VLOOKUP($F996,'Raw Data'!$A:$M,9,0)),"",VLOOKUP($F996,'Raw Data'!$A:$M,9,0))</f>
        <v/>
      </c>
      <c r="J996" t="str">
        <f>IF(ISNA(VLOOKUP($F996,'Raw Data'!$A:$M,10,0)),"",VLOOKUP($F996,'Raw Data'!$A:$M,10,0))</f>
        <v/>
      </c>
      <c r="K996" t="str">
        <f>IF(ISNA(VLOOKUP($F996,'Raw Data'!$A:$M,11,0)),"",VLOOKUP($F996,'Raw Data'!$A:$M,11,0))</f>
        <v/>
      </c>
      <c r="L996" t="str">
        <f>IF(ISNA(VLOOKUP($F996,'Raw Data'!$A:$M,12,0)),"",VLOOKUP($F996,'Raw Data'!$A:$M,12,0))</f>
        <v/>
      </c>
      <c r="M996" t="str">
        <f>IF(ISNA(VLOOKUP($F996,'Raw Data'!$A:$M,13,0)),"",VLOOKUP($F996,'Raw Data'!$A:$M,13,0))</f>
        <v/>
      </c>
    </row>
    <row r="997" spans="1:13" x14ac:dyDescent="0.25">
      <c r="A997" t="s">
        <v>38</v>
      </c>
      <c r="B997">
        <v>2014</v>
      </c>
      <c r="C997">
        <v>4.5</v>
      </c>
      <c r="D997" s="3">
        <v>720</v>
      </c>
      <c r="E997" s="3">
        <v>100</v>
      </c>
      <c r="F997" s="3" t="str">
        <f t="shared" si="15"/>
        <v>FGU920144.5720100</v>
      </c>
      <c r="G997" t="str">
        <f>IF(ISNA(VLOOKUP($F997,'Raw Data'!$A:$M,7,0)),"",VLOOKUP($F997,'Raw Data'!$A:$M,7,0))</f>
        <v/>
      </c>
      <c r="H997" t="str">
        <f>IF(ISNA(VLOOKUP($F997,'Raw Data'!$A:$M,8,0)),"",VLOOKUP($F997,'Raw Data'!$A:$M,8,0))</f>
        <v/>
      </c>
      <c r="I997" t="str">
        <f>IF(ISNA(VLOOKUP($F997,'Raw Data'!$A:$M,9,0)),"",VLOOKUP($F997,'Raw Data'!$A:$M,9,0))</f>
        <v/>
      </c>
      <c r="J997" t="str">
        <f>IF(ISNA(VLOOKUP($F997,'Raw Data'!$A:$M,10,0)),"",VLOOKUP($F997,'Raw Data'!$A:$M,10,0))</f>
        <v/>
      </c>
      <c r="K997" t="str">
        <f>IF(ISNA(VLOOKUP($F997,'Raw Data'!$A:$M,11,0)),"",VLOOKUP($F997,'Raw Data'!$A:$M,11,0))</f>
        <v/>
      </c>
      <c r="L997" t="str">
        <f>IF(ISNA(VLOOKUP($F997,'Raw Data'!$A:$M,12,0)),"",VLOOKUP($F997,'Raw Data'!$A:$M,12,0))</f>
        <v/>
      </c>
      <c r="M997" t="str">
        <f>IF(ISNA(VLOOKUP($F997,'Raw Data'!$A:$M,13,0)),"",VLOOKUP($F997,'Raw Data'!$A:$M,13,0))</f>
        <v/>
      </c>
    </row>
    <row r="998" spans="1:13" x14ac:dyDescent="0.25">
      <c r="A998" t="s">
        <v>38</v>
      </c>
      <c r="B998">
        <v>2014</v>
      </c>
      <c r="C998">
        <v>4.5</v>
      </c>
      <c r="D998" s="3">
        <v>740</v>
      </c>
      <c r="E998" s="3">
        <v>100</v>
      </c>
      <c r="F998" s="3" t="str">
        <f t="shared" si="15"/>
        <v>FGU920144.5740100</v>
      </c>
      <c r="G998" t="str">
        <f>IF(ISNA(VLOOKUP($F998,'Raw Data'!$A:$M,7,0)),"",VLOOKUP($F998,'Raw Data'!$A:$M,7,0))</f>
        <v/>
      </c>
      <c r="H998" t="str">
        <f>IF(ISNA(VLOOKUP($F998,'Raw Data'!$A:$M,8,0)),"",VLOOKUP($F998,'Raw Data'!$A:$M,8,0))</f>
        <v/>
      </c>
      <c r="I998" t="str">
        <f>IF(ISNA(VLOOKUP($F998,'Raw Data'!$A:$M,9,0)),"",VLOOKUP($F998,'Raw Data'!$A:$M,9,0))</f>
        <v/>
      </c>
      <c r="J998" t="str">
        <f>IF(ISNA(VLOOKUP($F998,'Raw Data'!$A:$M,10,0)),"",VLOOKUP($F998,'Raw Data'!$A:$M,10,0))</f>
        <v/>
      </c>
      <c r="K998" t="str">
        <f>IF(ISNA(VLOOKUP($F998,'Raw Data'!$A:$M,11,0)),"",VLOOKUP($F998,'Raw Data'!$A:$M,11,0))</f>
        <v/>
      </c>
      <c r="L998" t="str">
        <f>IF(ISNA(VLOOKUP($F998,'Raw Data'!$A:$M,12,0)),"",VLOOKUP($F998,'Raw Data'!$A:$M,12,0))</f>
        <v/>
      </c>
      <c r="M998" t="str">
        <f>IF(ISNA(VLOOKUP($F998,'Raw Data'!$A:$M,13,0)),"",VLOOKUP($F998,'Raw Data'!$A:$M,13,0))</f>
        <v/>
      </c>
    </row>
    <row r="999" spans="1:13" x14ac:dyDescent="0.25">
      <c r="A999" t="s">
        <v>38</v>
      </c>
      <c r="B999">
        <v>2014</v>
      </c>
      <c r="C999">
        <v>4.5</v>
      </c>
      <c r="D999" s="3">
        <v>760</v>
      </c>
      <c r="E999" s="3">
        <v>100</v>
      </c>
      <c r="F999" s="3" t="str">
        <f t="shared" si="15"/>
        <v>FGU920144.5760100</v>
      </c>
      <c r="G999" t="str">
        <f>IF(ISNA(VLOOKUP($F999,'Raw Data'!$A:$M,7,0)),"",VLOOKUP($F999,'Raw Data'!$A:$M,7,0))</f>
        <v/>
      </c>
      <c r="H999" t="str">
        <f>IF(ISNA(VLOOKUP($F999,'Raw Data'!$A:$M,8,0)),"",VLOOKUP($F999,'Raw Data'!$A:$M,8,0))</f>
        <v/>
      </c>
      <c r="I999" t="str">
        <f>IF(ISNA(VLOOKUP($F999,'Raw Data'!$A:$M,9,0)),"",VLOOKUP($F999,'Raw Data'!$A:$M,9,0))</f>
        <v/>
      </c>
      <c r="J999" t="str">
        <f>IF(ISNA(VLOOKUP($F999,'Raw Data'!$A:$M,10,0)),"",VLOOKUP($F999,'Raw Data'!$A:$M,10,0))</f>
        <v/>
      </c>
      <c r="K999" t="str">
        <f>IF(ISNA(VLOOKUP($F999,'Raw Data'!$A:$M,11,0)),"",VLOOKUP($F999,'Raw Data'!$A:$M,11,0))</f>
        <v/>
      </c>
      <c r="L999" t="str">
        <f>IF(ISNA(VLOOKUP($F999,'Raw Data'!$A:$M,12,0)),"",VLOOKUP($F999,'Raw Data'!$A:$M,12,0))</f>
        <v/>
      </c>
      <c r="M999" t="str">
        <f>IF(ISNA(VLOOKUP($F999,'Raw Data'!$A:$M,13,0)),"",VLOOKUP($F999,'Raw Data'!$A:$M,13,0))</f>
        <v/>
      </c>
    </row>
    <row r="1000" spans="1:13" x14ac:dyDescent="0.25">
      <c r="A1000" t="s">
        <v>38</v>
      </c>
      <c r="B1000">
        <v>2014</v>
      </c>
      <c r="C1000">
        <v>4.5</v>
      </c>
      <c r="D1000" s="3">
        <v>780</v>
      </c>
      <c r="E1000" s="3">
        <v>100</v>
      </c>
      <c r="F1000" s="3" t="str">
        <f t="shared" si="15"/>
        <v>FGU920144.5780100</v>
      </c>
      <c r="G1000" t="str">
        <f>IF(ISNA(VLOOKUP($F1000,'Raw Data'!$A:$M,7,0)),"",VLOOKUP($F1000,'Raw Data'!$A:$M,7,0))</f>
        <v/>
      </c>
      <c r="H1000" t="str">
        <f>IF(ISNA(VLOOKUP($F1000,'Raw Data'!$A:$M,8,0)),"",VLOOKUP($F1000,'Raw Data'!$A:$M,8,0))</f>
        <v/>
      </c>
      <c r="I1000" t="str">
        <f>IF(ISNA(VLOOKUP($F1000,'Raw Data'!$A:$M,9,0)),"",VLOOKUP($F1000,'Raw Data'!$A:$M,9,0))</f>
        <v/>
      </c>
      <c r="J1000" t="str">
        <f>IF(ISNA(VLOOKUP($F1000,'Raw Data'!$A:$M,10,0)),"",VLOOKUP($F1000,'Raw Data'!$A:$M,10,0))</f>
        <v/>
      </c>
      <c r="K1000" t="str">
        <f>IF(ISNA(VLOOKUP($F1000,'Raw Data'!$A:$M,11,0)),"",VLOOKUP($F1000,'Raw Data'!$A:$M,11,0))</f>
        <v/>
      </c>
      <c r="L1000" t="str">
        <f>IF(ISNA(VLOOKUP($F1000,'Raw Data'!$A:$M,12,0)),"",VLOOKUP($F1000,'Raw Data'!$A:$M,12,0))</f>
        <v/>
      </c>
      <c r="M1000" t="str">
        <f>IF(ISNA(VLOOKUP($F1000,'Raw Data'!$A:$M,13,0)),"",VLOOKUP($F1000,'Raw Data'!$A:$M,13,0))</f>
        <v/>
      </c>
    </row>
    <row r="1001" spans="1:13" x14ac:dyDescent="0.25">
      <c r="A1001" t="s">
        <v>38</v>
      </c>
      <c r="B1001">
        <v>2014</v>
      </c>
      <c r="C1001">
        <v>4.5</v>
      </c>
      <c r="D1001" s="3">
        <v>620</v>
      </c>
      <c r="E1001" s="3" t="s">
        <v>9</v>
      </c>
      <c r="F1001" s="3" t="str">
        <f t="shared" si="15"/>
        <v>FGU920144.5620100+</v>
      </c>
      <c r="G1001" t="str">
        <f>IF(ISNA(VLOOKUP($F1001,'Raw Data'!$A:$M,7,0)),"",VLOOKUP($F1001,'Raw Data'!$A:$M,7,0))</f>
        <v/>
      </c>
      <c r="H1001" t="str">
        <f>IF(ISNA(VLOOKUP($F1001,'Raw Data'!$A:$M,8,0)),"",VLOOKUP($F1001,'Raw Data'!$A:$M,8,0))</f>
        <v/>
      </c>
      <c r="I1001" t="str">
        <f>IF(ISNA(VLOOKUP($F1001,'Raw Data'!$A:$M,9,0)),"",VLOOKUP($F1001,'Raw Data'!$A:$M,9,0))</f>
        <v/>
      </c>
      <c r="J1001" t="str">
        <f>IF(ISNA(VLOOKUP($F1001,'Raw Data'!$A:$M,10,0)),"",VLOOKUP($F1001,'Raw Data'!$A:$M,10,0))</f>
        <v/>
      </c>
      <c r="K1001" t="str">
        <f>IF(ISNA(VLOOKUP($F1001,'Raw Data'!$A:$M,11,0)),"",VLOOKUP($F1001,'Raw Data'!$A:$M,11,0))</f>
        <v/>
      </c>
      <c r="L1001" t="str">
        <f>IF(ISNA(VLOOKUP($F1001,'Raw Data'!$A:$M,12,0)),"",VLOOKUP($F1001,'Raw Data'!$A:$M,12,0))</f>
        <v/>
      </c>
      <c r="M1001" t="str">
        <f>IF(ISNA(VLOOKUP($F1001,'Raw Data'!$A:$M,13,0)),"",VLOOKUP($F1001,'Raw Data'!$A:$M,13,0))</f>
        <v/>
      </c>
    </row>
    <row r="1002" spans="1:13" x14ac:dyDescent="0.25">
      <c r="A1002" t="s">
        <v>38</v>
      </c>
      <c r="B1002">
        <v>2014</v>
      </c>
      <c r="C1002">
        <v>4.5</v>
      </c>
      <c r="D1002" s="3">
        <v>640</v>
      </c>
      <c r="E1002" s="3" t="s">
        <v>9</v>
      </c>
      <c r="F1002" s="3" t="str">
        <f t="shared" si="15"/>
        <v>FGU920144.5640100+</v>
      </c>
      <c r="G1002" t="str">
        <f>IF(ISNA(VLOOKUP($F1002,'Raw Data'!$A:$M,7,0)),"",VLOOKUP($F1002,'Raw Data'!$A:$M,7,0))</f>
        <v/>
      </c>
      <c r="H1002" t="str">
        <f>IF(ISNA(VLOOKUP($F1002,'Raw Data'!$A:$M,8,0)),"",VLOOKUP($F1002,'Raw Data'!$A:$M,8,0))</f>
        <v/>
      </c>
      <c r="I1002" t="str">
        <f>IF(ISNA(VLOOKUP($F1002,'Raw Data'!$A:$M,9,0)),"",VLOOKUP($F1002,'Raw Data'!$A:$M,9,0))</f>
        <v/>
      </c>
      <c r="J1002" t="str">
        <f>IF(ISNA(VLOOKUP($F1002,'Raw Data'!$A:$M,10,0)),"",VLOOKUP($F1002,'Raw Data'!$A:$M,10,0))</f>
        <v/>
      </c>
      <c r="K1002" t="str">
        <f>IF(ISNA(VLOOKUP($F1002,'Raw Data'!$A:$M,11,0)),"",VLOOKUP($F1002,'Raw Data'!$A:$M,11,0))</f>
        <v/>
      </c>
      <c r="L1002" t="str">
        <f>IF(ISNA(VLOOKUP($F1002,'Raw Data'!$A:$M,12,0)),"",VLOOKUP($F1002,'Raw Data'!$A:$M,12,0))</f>
        <v/>
      </c>
      <c r="M1002" t="str">
        <f>IF(ISNA(VLOOKUP($F1002,'Raw Data'!$A:$M,13,0)),"",VLOOKUP($F1002,'Raw Data'!$A:$M,13,0))</f>
        <v/>
      </c>
    </row>
    <row r="1003" spans="1:13" x14ac:dyDescent="0.25">
      <c r="A1003" t="s">
        <v>38</v>
      </c>
      <c r="B1003">
        <v>2014</v>
      </c>
      <c r="C1003">
        <v>4.5</v>
      </c>
      <c r="D1003" s="3">
        <v>660</v>
      </c>
      <c r="E1003" s="3" t="s">
        <v>9</v>
      </c>
      <c r="F1003" s="3" t="str">
        <f t="shared" si="15"/>
        <v>FGU920144.5660100+</v>
      </c>
      <c r="G1003" t="str">
        <f>IF(ISNA(VLOOKUP($F1003,'Raw Data'!$A:$M,7,0)),"",VLOOKUP($F1003,'Raw Data'!$A:$M,7,0))</f>
        <v/>
      </c>
      <c r="H1003" t="str">
        <f>IF(ISNA(VLOOKUP($F1003,'Raw Data'!$A:$M,8,0)),"",VLOOKUP($F1003,'Raw Data'!$A:$M,8,0))</f>
        <v/>
      </c>
      <c r="I1003" t="str">
        <f>IF(ISNA(VLOOKUP($F1003,'Raw Data'!$A:$M,9,0)),"",VLOOKUP($F1003,'Raw Data'!$A:$M,9,0))</f>
        <v/>
      </c>
      <c r="J1003" t="str">
        <f>IF(ISNA(VLOOKUP($F1003,'Raw Data'!$A:$M,10,0)),"",VLOOKUP($F1003,'Raw Data'!$A:$M,10,0))</f>
        <v/>
      </c>
      <c r="K1003" t="str">
        <f>IF(ISNA(VLOOKUP($F1003,'Raw Data'!$A:$M,11,0)),"",VLOOKUP($F1003,'Raw Data'!$A:$M,11,0))</f>
        <v/>
      </c>
      <c r="L1003" t="str">
        <f>IF(ISNA(VLOOKUP($F1003,'Raw Data'!$A:$M,12,0)),"",VLOOKUP($F1003,'Raw Data'!$A:$M,12,0))</f>
        <v/>
      </c>
      <c r="M1003" t="str">
        <f>IF(ISNA(VLOOKUP($F1003,'Raw Data'!$A:$M,13,0)),"",VLOOKUP($F1003,'Raw Data'!$A:$M,13,0))</f>
        <v/>
      </c>
    </row>
    <row r="1004" spans="1:13" x14ac:dyDescent="0.25">
      <c r="A1004" t="s">
        <v>38</v>
      </c>
      <c r="B1004">
        <v>2014</v>
      </c>
      <c r="C1004">
        <v>4.5</v>
      </c>
      <c r="D1004" s="3">
        <v>680</v>
      </c>
      <c r="E1004" s="3" t="s">
        <v>9</v>
      </c>
      <c r="F1004" s="3" t="str">
        <f t="shared" si="15"/>
        <v>FGU920144.5680100+</v>
      </c>
      <c r="G1004" t="str">
        <f>IF(ISNA(VLOOKUP($F1004,'Raw Data'!$A:$M,7,0)),"",VLOOKUP($F1004,'Raw Data'!$A:$M,7,0))</f>
        <v/>
      </c>
      <c r="H1004" t="str">
        <f>IF(ISNA(VLOOKUP($F1004,'Raw Data'!$A:$M,8,0)),"",VLOOKUP($F1004,'Raw Data'!$A:$M,8,0))</f>
        <v/>
      </c>
      <c r="I1004" t="str">
        <f>IF(ISNA(VLOOKUP($F1004,'Raw Data'!$A:$M,9,0)),"",VLOOKUP($F1004,'Raw Data'!$A:$M,9,0))</f>
        <v/>
      </c>
      <c r="J1004" t="str">
        <f>IF(ISNA(VLOOKUP($F1004,'Raw Data'!$A:$M,10,0)),"",VLOOKUP($F1004,'Raw Data'!$A:$M,10,0))</f>
        <v/>
      </c>
      <c r="K1004" t="str">
        <f>IF(ISNA(VLOOKUP($F1004,'Raw Data'!$A:$M,11,0)),"",VLOOKUP($F1004,'Raw Data'!$A:$M,11,0))</f>
        <v/>
      </c>
      <c r="L1004" t="str">
        <f>IF(ISNA(VLOOKUP($F1004,'Raw Data'!$A:$M,12,0)),"",VLOOKUP($F1004,'Raw Data'!$A:$M,12,0))</f>
        <v/>
      </c>
      <c r="M1004" t="str">
        <f>IF(ISNA(VLOOKUP($F1004,'Raw Data'!$A:$M,13,0)),"",VLOOKUP($F1004,'Raw Data'!$A:$M,13,0))</f>
        <v/>
      </c>
    </row>
    <row r="1005" spans="1:13" x14ac:dyDescent="0.25">
      <c r="A1005" t="s">
        <v>38</v>
      </c>
      <c r="B1005">
        <v>2014</v>
      </c>
      <c r="C1005">
        <v>4.5</v>
      </c>
      <c r="D1005" s="3">
        <v>700</v>
      </c>
      <c r="E1005" s="3" t="s">
        <v>9</v>
      </c>
      <c r="F1005" s="3" t="str">
        <f t="shared" si="15"/>
        <v>FGU920144.5700100+</v>
      </c>
      <c r="G1005">
        <f>IF(ISNA(VLOOKUP($F1005,'Raw Data'!$A:$M,7,0)),"",VLOOKUP($F1005,'Raw Data'!$A:$M,7,0))</f>
        <v>1070970.8500000001</v>
      </c>
      <c r="H1005">
        <f>IF(ISNA(VLOOKUP($F1005,'Raw Data'!$A:$M,8,0)),"",VLOOKUP($F1005,'Raw Data'!$A:$M,8,0))</f>
        <v>-14.6998</v>
      </c>
      <c r="I1005">
        <f>IF(ISNA(VLOOKUP($F1005,'Raw Data'!$A:$M,9,0)),"",VLOOKUP($F1005,'Raw Data'!$A:$M,9,0))</f>
        <v>10.2949</v>
      </c>
      <c r="J1005">
        <f>IF(ISNA(VLOOKUP($F1005,'Raw Data'!$A:$M,10,0)),"",VLOOKUP($F1005,'Raw Data'!$A:$M,10,0))</f>
        <v>24.994700000000002</v>
      </c>
      <c r="K1005">
        <f>IF(ISNA(VLOOKUP($F1005,'Raw Data'!$A:$M,11,0)),"",VLOOKUP($F1005,'Raw Data'!$A:$M,11,0))</f>
        <v>-14.6998</v>
      </c>
      <c r="L1005">
        <f>IF(ISNA(VLOOKUP($F1005,'Raw Data'!$A:$M,12,0)),"",VLOOKUP($F1005,'Raw Data'!$A:$M,12,0))</f>
        <v>10.2949</v>
      </c>
      <c r="M1005">
        <f>IF(ISNA(VLOOKUP($F1005,'Raw Data'!$A:$M,13,0)),"",VLOOKUP($F1005,'Raw Data'!$A:$M,13,0))</f>
        <v>24.994700000000002</v>
      </c>
    </row>
    <row r="1006" spans="1:13" x14ac:dyDescent="0.25">
      <c r="A1006" t="s">
        <v>38</v>
      </c>
      <c r="B1006">
        <v>2014</v>
      </c>
      <c r="C1006">
        <v>4.5</v>
      </c>
      <c r="D1006" s="3">
        <v>720</v>
      </c>
      <c r="E1006" s="3" t="s">
        <v>9</v>
      </c>
      <c r="F1006" s="3" t="str">
        <f t="shared" si="15"/>
        <v>FGU920144.5720100+</v>
      </c>
      <c r="G1006" t="str">
        <f>IF(ISNA(VLOOKUP($F1006,'Raw Data'!$A:$M,7,0)),"",VLOOKUP($F1006,'Raw Data'!$A:$M,7,0))</f>
        <v/>
      </c>
      <c r="H1006" t="str">
        <f>IF(ISNA(VLOOKUP($F1006,'Raw Data'!$A:$M,8,0)),"",VLOOKUP($F1006,'Raw Data'!$A:$M,8,0))</f>
        <v/>
      </c>
      <c r="I1006" t="str">
        <f>IF(ISNA(VLOOKUP($F1006,'Raw Data'!$A:$M,9,0)),"",VLOOKUP($F1006,'Raw Data'!$A:$M,9,0))</f>
        <v/>
      </c>
      <c r="J1006" t="str">
        <f>IF(ISNA(VLOOKUP($F1006,'Raw Data'!$A:$M,10,0)),"",VLOOKUP($F1006,'Raw Data'!$A:$M,10,0))</f>
        <v/>
      </c>
      <c r="K1006" t="str">
        <f>IF(ISNA(VLOOKUP($F1006,'Raw Data'!$A:$M,11,0)),"",VLOOKUP($F1006,'Raw Data'!$A:$M,11,0))</f>
        <v/>
      </c>
      <c r="L1006" t="str">
        <f>IF(ISNA(VLOOKUP($F1006,'Raw Data'!$A:$M,12,0)),"",VLOOKUP($F1006,'Raw Data'!$A:$M,12,0))</f>
        <v/>
      </c>
      <c r="M1006" t="str">
        <f>IF(ISNA(VLOOKUP($F1006,'Raw Data'!$A:$M,13,0)),"",VLOOKUP($F1006,'Raw Data'!$A:$M,13,0))</f>
        <v/>
      </c>
    </row>
    <row r="1007" spans="1:13" x14ac:dyDescent="0.25">
      <c r="A1007" t="s">
        <v>38</v>
      </c>
      <c r="B1007">
        <v>2014</v>
      </c>
      <c r="C1007">
        <v>4.5</v>
      </c>
      <c r="D1007" s="3">
        <v>740</v>
      </c>
      <c r="E1007" s="3" t="s">
        <v>9</v>
      </c>
      <c r="F1007" s="3" t="str">
        <f t="shared" si="15"/>
        <v>FGU920144.5740100+</v>
      </c>
      <c r="G1007" t="str">
        <f>IF(ISNA(VLOOKUP($F1007,'Raw Data'!$A:$M,7,0)),"",VLOOKUP($F1007,'Raw Data'!$A:$M,7,0))</f>
        <v/>
      </c>
      <c r="H1007" t="str">
        <f>IF(ISNA(VLOOKUP($F1007,'Raw Data'!$A:$M,8,0)),"",VLOOKUP($F1007,'Raw Data'!$A:$M,8,0))</f>
        <v/>
      </c>
      <c r="I1007" t="str">
        <f>IF(ISNA(VLOOKUP($F1007,'Raw Data'!$A:$M,9,0)),"",VLOOKUP($F1007,'Raw Data'!$A:$M,9,0))</f>
        <v/>
      </c>
      <c r="J1007" t="str">
        <f>IF(ISNA(VLOOKUP($F1007,'Raw Data'!$A:$M,10,0)),"",VLOOKUP($F1007,'Raw Data'!$A:$M,10,0))</f>
        <v/>
      </c>
      <c r="K1007" t="str">
        <f>IF(ISNA(VLOOKUP($F1007,'Raw Data'!$A:$M,11,0)),"",VLOOKUP($F1007,'Raw Data'!$A:$M,11,0))</f>
        <v/>
      </c>
      <c r="L1007" t="str">
        <f>IF(ISNA(VLOOKUP($F1007,'Raw Data'!$A:$M,12,0)),"",VLOOKUP($F1007,'Raw Data'!$A:$M,12,0))</f>
        <v/>
      </c>
      <c r="M1007" t="str">
        <f>IF(ISNA(VLOOKUP($F1007,'Raw Data'!$A:$M,13,0)),"",VLOOKUP($F1007,'Raw Data'!$A:$M,13,0))</f>
        <v/>
      </c>
    </row>
    <row r="1008" spans="1:13" x14ac:dyDescent="0.25">
      <c r="A1008" t="s">
        <v>38</v>
      </c>
      <c r="B1008">
        <v>2014</v>
      </c>
      <c r="C1008">
        <v>4.5</v>
      </c>
      <c r="D1008" s="3">
        <v>760</v>
      </c>
      <c r="E1008" s="3" t="s">
        <v>9</v>
      </c>
      <c r="F1008" s="3" t="str">
        <f t="shared" si="15"/>
        <v>FGU920144.5760100+</v>
      </c>
      <c r="G1008" t="str">
        <f>IF(ISNA(VLOOKUP($F1008,'Raw Data'!$A:$M,7,0)),"",VLOOKUP($F1008,'Raw Data'!$A:$M,7,0))</f>
        <v/>
      </c>
      <c r="H1008" t="str">
        <f>IF(ISNA(VLOOKUP($F1008,'Raw Data'!$A:$M,8,0)),"",VLOOKUP($F1008,'Raw Data'!$A:$M,8,0))</f>
        <v/>
      </c>
      <c r="I1008" t="str">
        <f>IF(ISNA(VLOOKUP($F1008,'Raw Data'!$A:$M,9,0)),"",VLOOKUP($F1008,'Raw Data'!$A:$M,9,0))</f>
        <v/>
      </c>
      <c r="J1008" t="str">
        <f>IF(ISNA(VLOOKUP($F1008,'Raw Data'!$A:$M,10,0)),"",VLOOKUP($F1008,'Raw Data'!$A:$M,10,0))</f>
        <v/>
      </c>
      <c r="K1008" t="str">
        <f>IF(ISNA(VLOOKUP($F1008,'Raw Data'!$A:$M,11,0)),"",VLOOKUP($F1008,'Raw Data'!$A:$M,11,0))</f>
        <v/>
      </c>
      <c r="L1008" t="str">
        <f>IF(ISNA(VLOOKUP($F1008,'Raw Data'!$A:$M,12,0)),"",VLOOKUP($F1008,'Raw Data'!$A:$M,12,0))</f>
        <v/>
      </c>
      <c r="M1008" t="str">
        <f>IF(ISNA(VLOOKUP($F1008,'Raw Data'!$A:$M,13,0)),"",VLOOKUP($F1008,'Raw Data'!$A:$M,13,0))</f>
        <v/>
      </c>
    </row>
    <row r="1009" spans="1:13" x14ac:dyDescent="0.25">
      <c r="A1009" t="s">
        <v>38</v>
      </c>
      <c r="B1009">
        <v>2014</v>
      </c>
      <c r="C1009">
        <v>4.5</v>
      </c>
      <c r="D1009" s="3">
        <v>780</v>
      </c>
      <c r="E1009" s="3" t="s">
        <v>9</v>
      </c>
      <c r="F1009" s="3" t="str">
        <f t="shared" si="15"/>
        <v>FGU920144.5780100+</v>
      </c>
      <c r="G1009" t="str">
        <f>IF(ISNA(VLOOKUP($F1009,'Raw Data'!$A:$M,7,0)),"",VLOOKUP($F1009,'Raw Data'!$A:$M,7,0))</f>
        <v/>
      </c>
      <c r="H1009" t="str">
        <f>IF(ISNA(VLOOKUP($F1009,'Raw Data'!$A:$M,8,0)),"",VLOOKUP($F1009,'Raw Data'!$A:$M,8,0))</f>
        <v/>
      </c>
      <c r="I1009" t="str">
        <f>IF(ISNA(VLOOKUP($F1009,'Raw Data'!$A:$M,9,0)),"",VLOOKUP($F1009,'Raw Data'!$A:$M,9,0))</f>
        <v/>
      </c>
      <c r="J1009" t="str">
        <f>IF(ISNA(VLOOKUP($F1009,'Raw Data'!$A:$M,10,0)),"",VLOOKUP($F1009,'Raw Data'!$A:$M,10,0))</f>
        <v/>
      </c>
      <c r="K1009" t="str">
        <f>IF(ISNA(VLOOKUP($F1009,'Raw Data'!$A:$M,11,0)),"",VLOOKUP($F1009,'Raw Data'!$A:$M,11,0))</f>
        <v/>
      </c>
      <c r="L1009" t="str">
        <f>IF(ISNA(VLOOKUP($F1009,'Raw Data'!$A:$M,12,0)),"",VLOOKUP($F1009,'Raw Data'!$A:$M,12,0))</f>
        <v/>
      </c>
      <c r="M1009" t="str">
        <f>IF(ISNA(VLOOKUP($F1009,'Raw Data'!$A:$M,13,0)),"",VLOOKUP($F1009,'Raw Data'!$A:$M,13,0))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workbookViewId="0">
      <selection activeCell="L15" sqref="L15"/>
    </sheetView>
  </sheetViews>
  <sheetFormatPr defaultRowHeight="15" x14ac:dyDescent="0.25"/>
  <cols>
    <col min="1" max="1" width="32" customWidth="1"/>
    <col min="2" max="2" width="7.85546875" style="3" customWidth="1"/>
    <col min="3" max="3" width="7.5703125" style="3" customWidth="1"/>
    <col min="4" max="4" width="4.5703125" style="3" customWidth="1"/>
    <col min="5" max="8" width="5.5703125" style="3" customWidth="1"/>
    <col min="9" max="9" width="7.28515625" customWidth="1"/>
    <col min="10" max="10" width="12.7109375" bestFit="1" customWidth="1"/>
  </cols>
  <sheetData>
    <row r="1" spans="1:8" x14ac:dyDescent="0.25">
      <c r="A1" s="1" t="s">
        <v>0</v>
      </c>
      <c r="B1" s="2">
        <v>2012</v>
      </c>
    </row>
    <row r="2" spans="1:8" x14ac:dyDescent="0.25">
      <c r="A2" s="1" t="s">
        <v>1</v>
      </c>
      <c r="B2" s="2">
        <v>4.5</v>
      </c>
    </row>
    <row r="3" spans="1:8" x14ac:dyDescent="0.25">
      <c r="A3" s="1" t="s">
        <v>36</v>
      </c>
      <c r="B3" t="s">
        <v>38</v>
      </c>
    </row>
    <row r="4" spans="1:8" x14ac:dyDescent="0.25">
      <c r="A4" s="26" t="s">
        <v>35</v>
      </c>
      <c r="B4" s="9" t="s">
        <v>34</v>
      </c>
      <c r="C4" s="9"/>
      <c r="D4" s="9"/>
      <c r="E4" s="9"/>
      <c r="F4" s="9"/>
      <c r="G4" s="9"/>
      <c r="H4" s="9"/>
    </row>
    <row r="5" spans="1:8" x14ac:dyDescent="0.25">
      <c r="A5" s="20"/>
      <c r="B5" s="21">
        <v>80</v>
      </c>
      <c r="C5" s="21">
        <v>85</v>
      </c>
      <c r="D5" s="21">
        <v>90</v>
      </c>
      <c r="E5" s="21">
        <v>95</v>
      </c>
      <c r="F5" s="21">
        <v>97</v>
      </c>
      <c r="G5" s="21">
        <v>100</v>
      </c>
      <c r="H5" s="21" t="s">
        <v>9</v>
      </c>
    </row>
    <row r="6" spans="1:8" x14ac:dyDescent="0.25">
      <c r="A6" s="17" t="s">
        <v>11</v>
      </c>
      <c r="B6" s="13"/>
      <c r="C6" s="13"/>
      <c r="D6" s="13"/>
      <c r="E6" s="13"/>
      <c r="F6" s="13"/>
      <c r="G6" s="13"/>
      <c r="H6" s="13"/>
    </row>
    <row r="7" spans="1:8" x14ac:dyDescent="0.25">
      <c r="A7" s="18">
        <v>680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</row>
    <row r="8" spans="1:8" x14ac:dyDescent="0.25">
      <c r="A8" s="18">
        <v>700</v>
      </c>
      <c r="B8" s="19">
        <v>0</v>
      </c>
      <c r="C8" s="19">
        <v>0</v>
      </c>
      <c r="D8" s="19">
        <v>0</v>
      </c>
      <c r="E8" s="19">
        <v>46.018099999999997</v>
      </c>
      <c r="F8" s="19">
        <v>0</v>
      </c>
      <c r="G8" s="19">
        <v>0</v>
      </c>
      <c r="H8" s="19">
        <v>0</v>
      </c>
    </row>
    <row r="9" spans="1:8" x14ac:dyDescent="0.25">
      <c r="A9" s="18">
        <v>720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34.423707492256298</v>
      </c>
      <c r="H9" s="19">
        <v>21.124099999999999</v>
      </c>
    </row>
    <row r="10" spans="1:8" x14ac:dyDescent="0.25">
      <c r="A10" s="18">
        <v>740</v>
      </c>
      <c r="B10" s="19">
        <v>0</v>
      </c>
      <c r="C10" s="19">
        <v>0</v>
      </c>
      <c r="D10" s="19">
        <v>0</v>
      </c>
      <c r="E10" s="19">
        <v>23.1645</v>
      </c>
      <c r="F10" s="19">
        <v>0</v>
      </c>
      <c r="G10" s="19">
        <v>45.378900000000002</v>
      </c>
      <c r="H10" s="19">
        <v>22.915629197267101</v>
      </c>
    </row>
    <row r="11" spans="1:8" x14ac:dyDescent="0.25">
      <c r="A11" s="18">
        <v>780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48.871697019973702</v>
      </c>
    </row>
    <row r="12" spans="1:8" x14ac:dyDescent="0.25">
      <c r="A12" s="18">
        <v>760</v>
      </c>
      <c r="B12" s="19">
        <v>0</v>
      </c>
      <c r="C12" s="19">
        <v>0</v>
      </c>
      <c r="D12" s="19">
        <v>0</v>
      </c>
      <c r="E12" s="19">
        <v>0</v>
      </c>
      <c r="F12" s="19">
        <v>20.927700000000002</v>
      </c>
      <c r="G12" s="19">
        <v>0</v>
      </c>
      <c r="H12" s="19">
        <v>40.815215492866201</v>
      </c>
    </row>
    <row r="13" spans="1:8" x14ac:dyDescent="0.25">
      <c r="A13" s="18">
        <v>620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</row>
    <row r="14" spans="1:8" x14ac:dyDescent="0.25">
      <c r="A14" s="18">
        <v>640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</row>
    <row r="15" spans="1:8" x14ac:dyDescent="0.25">
      <c r="A15" s="18">
        <v>660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</row>
    <row r="16" spans="1:8" x14ac:dyDescent="0.25">
      <c r="A16" s="17" t="s">
        <v>10</v>
      </c>
      <c r="B16" s="13"/>
      <c r="C16" s="13"/>
      <c r="D16" s="13"/>
      <c r="E16" s="13"/>
      <c r="F16" s="13"/>
      <c r="G16" s="13"/>
      <c r="H16" s="13"/>
    </row>
    <row r="17" spans="1:8" x14ac:dyDescent="0.25">
      <c r="A17" s="18">
        <v>680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</row>
    <row r="18" spans="1:8" x14ac:dyDescent="0.25">
      <c r="A18" s="18">
        <v>700</v>
      </c>
      <c r="B18" s="19">
        <v>0</v>
      </c>
      <c r="C18" s="19">
        <v>0</v>
      </c>
      <c r="D18" s="19">
        <v>0</v>
      </c>
      <c r="E18" s="19">
        <v>21.018599999999999</v>
      </c>
      <c r="F18" s="19">
        <v>0</v>
      </c>
      <c r="G18" s="19">
        <v>0</v>
      </c>
      <c r="H18" s="19">
        <v>0</v>
      </c>
    </row>
    <row r="19" spans="1:8" x14ac:dyDescent="0.25">
      <c r="A19" s="18">
        <v>720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9.4287265530064897</v>
      </c>
      <c r="H19" s="19">
        <v>-3.8733</v>
      </c>
    </row>
    <row r="20" spans="1:8" x14ac:dyDescent="0.25">
      <c r="A20" s="18">
        <v>740</v>
      </c>
      <c r="B20" s="19">
        <v>0</v>
      </c>
      <c r="C20" s="19">
        <v>0</v>
      </c>
      <c r="D20" s="19">
        <v>0</v>
      </c>
      <c r="E20" s="19">
        <v>-1.8287</v>
      </c>
      <c r="F20" s="19">
        <v>0</v>
      </c>
      <c r="G20" s="19">
        <v>20.382000000000001</v>
      </c>
      <c r="H20" s="19">
        <v>-2.08040496920913</v>
      </c>
    </row>
    <row r="21" spans="1:8" x14ac:dyDescent="0.25">
      <c r="A21" s="18">
        <v>780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23.8748745947027</v>
      </c>
    </row>
    <row r="22" spans="1:8" x14ac:dyDescent="0.25">
      <c r="A22" s="18">
        <v>760</v>
      </c>
      <c r="B22" s="19">
        <v>0</v>
      </c>
      <c r="C22" s="19">
        <v>0</v>
      </c>
      <c r="D22" s="19">
        <v>0</v>
      </c>
      <c r="E22" s="19">
        <v>0</v>
      </c>
      <c r="F22" s="19">
        <v>-4.0640000000000001</v>
      </c>
      <c r="G22" s="19">
        <v>0</v>
      </c>
      <c r="H22" s="19">
        <v>15.8198663818275</v>
      </c>
    </row>
    <row r="23" spans="1:8" x14ac:dyDescent="0.25">
      <c r="A23" s="18">
        <v>620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</row>
    <row r="24" spans="1:8" x14ac:dyDescent="0.25">
      <c r="A24" s="18">
        <v>640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</row>
    <row r="25" spans="1:8" x14ac:dyDescent="0.25">
      <c r="A25" s="18">
        <v>660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</row>
    <row r="26" spans="1:8" x14ac:dyDescent="0.25">
      <c r="A26" s="17" t="s">
        <v>43</v>
      </c>
      <c r="B26" s="13"/>
      <c r="C26" s="13"/>
      <c r="D26" s="13"/>
      <c r="E26" s="13"/>
      <c r="F26" s="13"/>
      <c r="G26" s="13"/>
      <c r="H26" s="13"/>
    </row>
    <row r="27" spans="1:8" x14ac:dyDescent="0.25">
      <c r="A27" s="18">
        <v>680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</row>
    <row r="28" spans="1:8" x14ac:dyDescent="0.25">
      <c r="A28" s="18">
        <v>700</v>
      </c>
      <c r="B28" s="19">
        <v>0</v>
      </c>
      <c r="C28" s="19">
        <v>0</v>
      </c>
      <c r="D28" s="19">
        <v>0</v>
      </c>
      <c r="E28" s="19">
        <v>24.999500000000001</v>
      </c>
      <c r="F28" s="19">
        <v>0</v>
      </c>
      <c r="G28" s="19">
        <v>0</v>
      </c>
      <c r="H28" s="19">
        <v>0</v>
      </c>
    </row>
    <row r="29" spans="1:8" x14ac:dyDescent="0.25">
      <c r="A29" s="18">
        <v>720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24.9949809392498</v>
      </c>
      <c r="H29" s="19">
        <v>24.997399999999999</v>
      </c>
    </row>
    <row r="30" spans="1:8" x14ac:dyDescent="0.25">
      <c r="A30" s="18">
        <v>740</v>
      </c>
      <c r="B30" s="19">
        <v>0</v>
      </c>
      <c r="C30" s="19">
        <v>0</v>
      </c>
      <c r="D30" s="19">
        <v>0</v>
      </c>
      <c r="E30" s="19">
        <v>24.993200000000002</v>
      </c>
      <c r="F30" s="19">
        <v>0</v>
      </c>
      <c r="G30" s="19">
        <v>24.9969</v>
      </c>
      <c r="H30" s="19">
        <v>24.9960341664762</v>
      </c>
    </row>
    <row r="31" spans="1:8" x14ac:dyDescent="0.25">
      <c r="A31" s="18">
        <v>780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24.996822425270899</v>
      </c>
    </row>
    <row r="32" spans="1:8" x14ac:dyDescent="0.25">
      <c r="A32" s="18">
        <v>760</v>
      </c>
      <c r="B32" s="19">
        <v>0</v>
      </c>
      <c r="C32" s="19">
        <v>0</v>
      </c>
      <c r="D32" s="19">
        <v>0</v>
      </c>
      <c r="E32" s="19">
        <v>0</v>
      </c>
      <c r="F32" s="19">
        <v>24.991700000000002</v>
      </c>
      <c r="G32" s="19">
        <v>0</v>
      </c>
      <c r="H32" s="19">
        <v>24.9953491110386</v>
      </c>
    </row>
    <row r="33" spans="1:8" x14ac:dyDescent="0.25">
      <c r="A33" s="18">
        <v>620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</row>
    <row r="34" spans="1:8" x14ac:dyDescent="0.25">
      <c r="A34" s="18">
        <v>640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</row>
    <row r="35" spans="1:8" x14ac:dyDescent="0.25">
      <c r="A35" s="18">
        <v>660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</row>
    <row r="36" spans="1:8" x14ac:dyDescent="0.25">
      <c r="A36" s="14" t="s">
        <v>23</v>
      </c>
      <c r="B36" s="13"/>
      <c r="C36" s="13"/>
      <c r="D36" s="13"/>
      <c r="E36" s="13"/>
      <c r="F36" s="13"/>
      <c r="G36" s="13"/>
      <c r="H36" s="13"/>
    </row>
    <row r="37" spans="1:8" x14ac:dyDescent="0.25">
      <c r="A37" s="15">
        <v>680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</row>
    <row r="38" spans="1:8" x14ac:dyDescent="0.25">
      <c r="A38" s="15">
        <v>700</v>
      </c>
      <c r="B38" s="16">
        <v>0</v>
      </c>
      <c r="C38" s="16">
        <v>0</v>
      </c>
      <c r="D38" s="16">
        <v>0</v>
      </c>
      <c r="E38" s="16">
        <v>55.555599999999998</v>
      </c>
      <c r="F38" s="16">
        <v>0</v>
      </c>
      <c r="G38" s="16">
        <v>0</v>
      </c>
      <c r="H38" s="16">
        <v>0</v>
      </c>
    </row>
    <row r="39" spans="1:8" x14ac:dyDescent="0.25">
      <c r="A39" s="15">
        <v>720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41.585059665295297</v>
      </c>
      <c r="H39" s="16">
        <v>30.241700000000002</v>
      </c>
    </row>
    <row r="40" spans="1:8" x14ac:dyDescent="0.25">
      <c r="A40" s="15">
        <v>740</v>
      </c>
      <c r="B40" s="16">
        <v>0</v>
      </c>
      <c r="C40" s="16">
        <v>0</v>
      </c>
      <c r="D40" s="16">
        <v>0</v>
      </c>
      <c r="E40" s="16">
        <v>38.083300000000001</v>
      </c>
      <c r="F40" s="16">
        <v>0</v>
      </c>
      <c r="G40" s="16">
        <v>49.250500000000002</v>
      </c>
      <c r="H40" s="16">
        <v>29.022975712695299</v>
      </c>
    </row>
    <row r="41" spans="1:8" x14ac:dyDescent="0.25">
      <c r="A41" s="15">
        <v>780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58.0246940392298</v>
      </c>
    </row>
    <row r="42" spans="1:8" x14ac:dyDescent="0.25">
      <c r="A42" s="15">
        <v>760</v>
      </c>
      <c r="B42" s="16">
        <v>0</v>
      </c>
      <c r="C42" s="16">
        <v>0</v>
      </c>
      <c r="D42" s="16">
        <v>0</v>
      </c>
      <c r="E42" s="16">
        <v>0</v>
      </c>
      <c r="F42" s="16">
        <v>37.615400000000001</v>
      </c>
      <c r="G42" s="16">
        <v>0</v>
      </c>
      <c r="H42" s="16">
        <v>48.6584141483591</v>
      </c>
    </row>
    <row r="43" spans="1:8" x14ac:dyDescent="0.25">
      <c r="A43" s="15">
        <v>620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</row>
    <row r="44" spans="1:8" x14ac:dyDescent="0.25">
      <c r="A44" s="15">
        <v>640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</row>
    <row r="45" spans="1:8" x14ac:dyDescent="0.25">
      <c r="A45" s="15">
        <v>660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</row>
    <row r="46" spans="1:8" x14ac:dyDescent="0.25">
      <c r="A46" s="14" t="s">
        <v>22</v>
      </c>
      <c r="B46" s="13"/>
      <c r="C46" s="13"/>
      <c r="D46" s="13"/>
      <c r="E46" s="13"/>
      <c r="F46" s="13"/>
      <c r="G46" s="13"/>
      <c r="H46" s="13"/>
    </row>
    <row r="47" spans="1:8" x14ac:dyDescent="0.25">
      <c r="A47" s="15">
        <v>680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</row>
    <row r="48" spans="1:8" x14ac:dyDescent="0.25">
      <c r="A48" s="15">
        <v>700</v>
      </c>
      <c r="B48" s="16">
        <v>0</v>
      </c>
      <c r="C48" s="16">
        <v>0</v>
      </c>
      <c r="D48" s="16">
        <v>0</v>
      </c>
      <c r="E48" s="16">
        <v>37.465299999999999</v>
      </c>
      <c r="F48" s="16">
        <v>0</v>
      </c>
      <c r="G48" s="16">
        <v>0</v>
      </c>
      <c r="H48" s="16">
        <v>0</v>
      </c>
    </row>
    <row r="49" spans="1:8" x14ac:dyDescent="0.25">
      <c r="A49" s="15">
        <v>720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22.8978734789582</v>
      </c>
      <c r="H49" s="16">
        <v>12.1027</v>
      </c>
    </row>
    <row r="50" spans="1:8" x14ac:dyDescent="0.25">
      <c r="A50" s="15">
        <v>740</v>
      </c>
      <c r="B50" s="16">
        <v>0</v>
      </c>
      <c r="C50" s="16">
        <v>0</v>
      </c>
      <c r="D50" s="16">
        <v>0</v>
      </c>
      <c r="E50" s="16">
        <v>24.6983</v>
      </c>
      <c r="F50" s="16">
        <v>0</v>
      </c>
      <c r="G50" s="16">
        <v>27.901900000000001</v>
      </c>
      <c r="H50" s="16">
        <v>10.451983047353099</v>
      </c>
    </row>
    <row r="51" spans="1:8" x14ac:dyDescent="0.25">
      <c r="A51" s="15">
        <v>780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40.063766877131101</v>
      </c>
    </row>
    <row r="52" spans="1:8" x14ac:dyDescent="0.25">
      <c r="A52" s="15">
        <v>760</v>
      </c>
      <c r="B52" s="16">
        <v>0</v>
      </c>
      <c r="C52" s="16">
        <v>0</v>
      </c>
      <c r="D52" s="16">
        <v>0</v>
      </c>
      <c r="E52" s="16">
        <v>0</v>
      </c>
      <c r="F52" s="16">
        <v>24.796199999999999</v>
      </c>
      <c r="G52" s="16">
        <v>0</v>
      </c>
      <c r="H52" s="16">
        <v>31.276532492269201</v>
      </c>
    </row>
    <row r="53" spans="1:8" x14ac:dyDescent="0.25">
      <c r="A53" s="15">
        <v>620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</row>
    <row r="54" spans="1:8" x14ac:dyDescent="0.25">
      <c r="A54" s="15">
        <v>640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</row>
    <row r="55" spans="1:8" x14ac:dyDescent="0.25">
      <c r="A55" s="15">
        <v>660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</row>
    <row r="56" spans="1:8" x14ac:dyDescent="0.25">
      <c r="A56" s="14" t="s">
        <v>44</v>
      </c>
      <c r="B56" s="13"/>
      <c r="C56" s="13"/>
      <c r="D56" s="13"/>
      <c r="E56" s="13"/>
      <c r="F56" s="13"/>
      <c r="G56" s="13"/>
      <c r="H56" s="13"/>
    </row>
    <row r="57" spans="1:8" x14ac:dyDescent="0.25">
      <c r="A57" s="15">
        <v>680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</row>
    <row r="58" spans="1:8" x14ac:dyDescent="0.25">
      <c r="A58" s="15">
        <v>700</v>
      </c>
      <c r="B58" s="16">
        <v>0</v>
      </c>
      <c r="C58" s="16">
        <v>0</v>
      </c>
      <c r="D58" s="16">
        <v>0</v>
      </c>
      <c r="E58" s="16">
        <v>18.090299999999999</v>
      </c>
      <c r="F58" s="16">
        <v>0</v>
      </c>
      <c r="G58" s="16">
        <v>0</v>
      </c>
      <c r="H58" s="16">
        <v>0</v>
      </c>
    </row>
    <row r="59" spans="1:8" x14ac:dyDescent="0.25">
      <c r="A59" s="15">
        <v>720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18.687186186337001</v>
      </c>
      <c r="H59" s="16">
        <v>18.138999999999999</v>
      </c>
    </row>
    <row r="60" spans="1:8" x14ac:dyDescent="0.25">
      <c r="A60" s="15">
        <v>740</v>
      </c>
      <c r="B60" s="16">
        <v>0</v>
      </c>
      <c r="C60" s="16">
        <v>0</v>
      </c>
      <c r="D60" s="16">
        <v>0</v>
      </c>
      <c r="E60" s="16">
        <v>13.385</v>
      </c>
      <c r="F60" s="16">
        <v>0</v>
      </c>
      <c r="G60" s="16">
        <v>21.348600000000001</v>
      </c>
      <c r="H60" s="16">
        <v>18.5709926653422</v>
      </c>
    </row>
    <row r="61" spans="1:8" x14ac:dyDescent="0.25">
      <c r="A61" s="15">
        <v>780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17.960927162098699</v>
      </c>
    </row>
    <row r="62" spans="1:8" x14ac:dyDescent="0.25">
      <c r="A62" s="15">
        <v>760</v>
      </c>
      <c r="B62" s="16">
        <v>0</v>
      </c>
      <c r="C62" s="16">
        <v>0</v>
      </c>
      <c r="D62" s="16">
        <v>0</v>
      </c>
      <c r="E62" s="16">
        <v>0</v>
      </c>
      <c r="F62" s="16">
        <v>12.8192</v>
      </c>
      <c r="G62" s="16">
        <v>0</v>
      </c>
      <c r="H62" s="16">
        <v>17.381881656089799</v>
      </c>
    </row>
    <row r="63" spans="1:8" x14ac:dyDescent="0.25">
      <c r="A63" s="15">
        <v>620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</row>
    <row r="64" spans="1:8" x14ac:dyDescent="0.25">
      <c r="A64" s="15">
        <v>640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</row>
    <row r="65" spans="1:8" x14ac:dyDescent="0.25">
      <c r="A65" s="15">
        <v>660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</row>
    <row r="66" spans="1:8" x14ac:dyDescent="0.25">
      <c r="A66" s="23" t="s">
        <v>12</v>
      </c>
      <c r="B66" s="22"/>
      <c r="C66" s="22"/>
      <c r="D66" s="22"/>
      <c r="E66" s="22"/>
      <c r="F66" s="22"/>
      <c r="G66" s="22"/>
      <c r="H66" s="22"/>
    </row>
    <row r="67" spans="1:8" x14ac:dyDescent="0.25">
      <c r="A67" s="24">
        <v>680</v>
      </c>
      <c r="B67" s="25">
        <v>0</v>
      </c>
      <c r="C67" s="25">
        <v>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</row>
    <row r="68" spans="1:8" x14ac:dyDescent="0.25">
      <c r="A68" s="24">
        <v>700</v>
      </c>
      <c r="B68" s="25">
        <v>0</v>
      </c>
      <c r="C68" s="25">
        <v>0</v>
      </c>
      <c r="D68" s="25">
        <v>0</v>
      </c>
      <c r="E68" s="25">
        <v>7.2806022415140498E-3</v>
      </c>
      <c r="F68" s="25">
        <v>0</v>
      </c>
      <c r="G68" s="25">
        <v>0</v>
      </c>
      <c r="H68" s="25">
        <v>0</v>
      </c>
    </row>
    <row r="69" spans="1:8" x14ac:dyDescent="0.25">
      <c r="A69" s="24">
        <v>720</v>
      </c>
      <c r="B69" s="25">
        <v>0</v>
      </c>
      <c r="C69" s="25">
        <v>0</v>
      </c>
      <c r="D69" s="25">
        <v>0</v>
      </c>
      <c r="E69" s="25">
        <v>0</v>
      </c>
      <c r="F69" s="25">
        <v>0</v>
      </c>
      <c r="G69" s="25">
        <v>4.9662036691411081E-2</v>
      </c>
      <c r="H69" s="25">
        <v>2.5937263379803566E-2</v>
      </c>
    </row>
    <row r="70" spans="1:8" x14ac:dyDescent="0.25">
      <c r="A70" s="24">
        <v>740</v>
      </c>
      <c r="B70" s="25">
        <v>0</v>
      </c>
      <c r="C70" s="25">
        <v>0</v>
      </c>
      <c r="D70" s="25">
        <v>0</v>
      </c>
      <c r="E70" s="25">
        <v>3.0858104203345418E-2</v>
      </c>
      <c r="F70" s="25">
        <v>0</v>
      </c>
      <c r="G70" s="25">
        <v>8.9402176344306108E-3</v>
      </c>
      <c r="H70" s="25">
        <v>0.28323235897523924</v>
      </c>
    </row>
    <row r="71" spans="1:8" x14ac:dyDescent="0.25">
      <c r="A71" s="24">
        <v>780</v>
      </c>
      <c r="B71" s="25">
        <v>0</v>
      </c>
      <c r="C71" s="25">
        <v>0</v>
      </c>
      <c r="D71" s="25">
        <v>0</v>
      </c>
      <c r="E71" s="25">
        <v>0</v>
      </c>
      <c r="F71" s="25">
        <v>0</v>
      </c>
      <c r="G71" s="25">
        <v>0</v>
      </c>
      <c r="H71" s="25">
        <v>1.7632545255698937E-2</v>
      </c>
    </row>
    <row r="72" spans="1:8" x14ac:dyDescent="0.25">
      <c r="A72" s="24">
        <v>760</v>
      </c>
      <c r="B72" s="25">
        <v>0</v>
      </c>
      <c r="C72" s="25">
        <v>0</v>
      </c>
      <c r="D72" s="25">
        <v>0</v>
      </c>
      <c r="E72" s="25">
        <v>0</v>
      </c>
      <c r="F72" s="25">
        <v>0.42662922139170822</v>
      </c>
      <c r="G72" s="25">
        <v>0</v>
      </c>
      <c r="H72" s="25">
        <v>0.14982765022684896</v>
      </c>
    </row>
    <row r="73" spans="1:8" x14ac:dyDescent="0.25">
      <c r="A73" s="24">
        <v>620</v>
      </c>
      <c r="B73" s="25">
        <v>0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</row>
    <row r="74" spans="1:8" x14ac:dyDescent="0.25">
      <c r="A74" s="24">
        <v>640</v>
      </c>
      <c r="B74" s="25">
        <v>0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</row>
    <row r="75" spans="1:8" x14ac:dyDescent="0.25">
      <c r="A75" s="24">
        <v>660</v>
      </c>
      <c r="B75" s="25">
        <v>0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</row>
    <row r="76" spans="1:8" x14ac:dyDescent="0.25">
      <c r="B76"/>
      <c r="C76"/>
      <c r="D76"/>
      <c r="E76"/>
      <c r="F76"/>
      <c r="G76"/>
      <c r="H76"/>
    </row>
  </sheetData>
  <mergeCells count="1">
    <mergeCell ref="B4:H4"/>
  </mergeCells>
  <conditionalFormatting pivot="1" sqref="B67:H75">
    <cfRule type="cellIs" dxfId="479" priority="5" operator="equal">
      <formula>0</formula>
    </cfRule>
  </conditionalFormatting>
  <conditionalFormatting pivot="1" sqref="B7:H15 B17:H25 B17:H25 B27:H35 B27:H35">
    <cfRule type="cellIs" dxfId="478" priority="2" operator="equal">
      <formula>0</formula>
    </cfRule>
  </conditionalFormatting>
  <conditionalFormatting pivot="1" sqref="B37:H45 B47:H55 B47:H55 B57:H65 B57:H65">
    <cfRule type="cellIs" dxfId="477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zoomScaleNormal="100" workbookViewId="0">
      <selection activeCell="C65" sqref="C65"/>
    </sheetView>
  </sheetViews>
  <sheetFormatPr defaultRowHeight="15" x14ac:dyDescent="0.25"/>
  <cols>
    <col min="1" max="8" width="14.140625" customWidth="1"/>
  </cols>
  <sheetData>
    <row r="1" spans="1:8" ht="31.5" x14ac:dyDescent="0.5">
      <c r="D1" s="8" t="s">
        <v>31</v>
      </c>
    </row>
    <row r="3" spans="1:8" x14ac:dyDescent="0.25">
      <c r="A3" s="6" t="s">
        <v>24</v>
      </c>
    </row>
    <row r="4" spans="1:8" x14ac:dyDescent="0.25">
      <c r="A4" s="6"/>
      <c r="B4" s="11" t="s">
        <v>34</v>
      </c>
      <c r="C4" s="11"/>
      <c r="D4" s="11"/>
      <c r="E4" s="11"/>
      <c r="F4" s="11"/>
      <c r="G4" s="11"/>
      <c r="H4" s="11"/>
    </row>
    <row r="5" spans="1:8" x14ac:dyDescent="0.25">
      <c r="A5" s="10" t="s">
        <v>35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</row>
    <row r="6" spans="1:8" x14ac:dyDescent="0.25">
      <c r="A6" s="4" t="s">
        <v>20</v>
      </c>
      <c r="B6" s="4"/>
      <c r="C6" s="4"/>
      <c r="D6" s="4"/>
      <c r="E6" s="4"/>
      <c r="F6" s="4"/>
      <c r="G6" s="4"/>
      <c r="H6" s="4"/>
    </row>
    <row r="7" spans="1:8" x14ac:dyDescent="0.25">
      <c r="A7" s="4">
        <v>660</v>
      </c>
      <c r="B7" s="4"/>
      <c r="C7" s="4"/>
      <c r="D7" s="4"/>
      <c r="E7" s="4"/>
      <c r="F7" s="4"/>
      <c r="G7" s="4"/>
      <c r="H7" s="4"/>
    </row>
    <row r="8" spans="1:8" x14ac:dyDescent="0.25">
      <c r="A8" s="4">
        <v>680</v>
      </c>
      <c r="B8" s="4"/>
      <c r="C8" s="4"/>
      <c r="D8" s="4"/>
      <c r="E8" s="4"/>
      <c r="F8" s="4"/>
      <c r="G8" s="4"/>
      <c r="H8" s="4"/>
    </row>
    <row r="9" spans="1:8" x14ac:dyDescent="0.25">
      <c r="A9" s="4">
        <v>700</v>
      </c>
      <c r="B9" s="4"/>
      <c r="C9" s="4"/>
      <c r="D9" s="4"/>
      <c r="E9" s="5">
        <v>21.018599999999999</v>
      </c>
      <c r="F9" s="5"/>
      <c r="G9" s="5"/>
      <c r="H9" s="5"/>
    </row>
    <row r="10" spans="1:8" x14ac:dyDescent="0.25">
      <c r="A10" s="4">
        <v>720</v>
      </c>
      <c r="B10" s="4"/>
      <c r="C10" s="4"/>
      <c r="D10" s="4"/>
      <c r="E10" s="5"/>
      <c r="F10" s="5"/>
      <c r="G10" s="5">
        <v>9.4287265530064897</v>
      </c>
      <c r="H10" s="5">
        <v>-3.8733</v>
      </c>
    </row>
    <row r="11" spans="1:8" x14ac:dyDescent="0.25">
      <c r="A11" s="4">
        <v>740</v>
      </c>
      <c r="B11" s="4"/>
      <c r="C11" s="4"/>
      <c r="D11" s="4"/>
      <c r="E11" s="5">
        <v>-1.8287</v>
      </c>
      <c r="F11" s="5"/>
      <c r="G11" s="5">
        <v>20.382000000000001</v>
      </c>
      <c r="H11" s="5">
        <v>-2.08040496920913</v>
      </c>
    </row>
    <row r="12" spans="1:8" x14ac:dyDescent="0.25">
      <c r="A12" s="4">
        <v>760</v>
      </c>
      <c r="B12" s="4"/>
      <c r="C12" s="4"/>
      <c r="D12" s="4"/>
      <c r="E12" s="5"/>
      <c r="F12" s="5">
        <v>-4.0640000000000001</v>
      </c>
      <c r="G12" s="5"/>
      <c r="H12" s="5">
        <v>16.6680100044913</v>
      </c>
    </row>
    <row r="13" spans="1:8" x14ac:dyDescent="0.25">
      <c r="A13" s="4" t="s">
        <v>21</v>
      </c>
      <c r="B13" s="4"/>
      <c r="C13" s="4"/>
      <c r="D13" s="4"/>
      <c r="E13" s="4"/>
      <c r="F13" s="4"/>
      <c r="G13" s="4"/>
      <c r="H13" s="4"/>
    </row>
    <row r="15" spans="1:8" x14ac:dyDescent="0.25">
      <c r="A15" s="6" t="s">
        <v>25</v>
      </c>
    </row>
    <row r="16" spans="1:8" x14ac:dyDescent="0.25">
      <c r="A16" s="6"/>
      <c r="B16" s="11" t="s">
        <v>34</v>
      </c>
      <c r="C16" s="11"/>
      <c r="D16" s="11"/>
      <c r="E16" s="11"/>
      <c r="F16" s="11"/>
      <c r="G16" s="11"/>
      <c r="H16" s="11"/>
    </row>
    <row r="17" spans="1:8" x14ac:dyDescent="0.25">
      <c r="A17" s="10" t="s">
        <v>35</v>
      </c>
      <c r="B17" s="4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18</v>
      </c>
      <c r="H17" s="4" t="s">
        <v>19</v>
      </c>
    </row>
    <row r="18" spans="1:8" x14ac:dyDescent="0.25">
      <c r="A18" s="4" t="s">
        <v>20</v>
      </c>
      <c r="B18" s="4"/>
      <c r="C18" s="4"/>
      <c r="D18" s="4"/>
      <c r="E18" s="4"/>
      <c r="F18" s="4"/>
      <c r="G18" s="4"/>
      <c r="H18" s="4"/>
    </row>
    <row r="19" spans="1:8" x14ac:dyDescent="0.25">
      <c r="A19" s="4">
        <v>660</v>
      </c>
      <c r="B19" s="4"/>
      <c r="C19" s="4"/>
      <c r="D19" s="4"/>
      <c r="E19" s="4"/>
      <c r="F19" s="4"/>
      <c r="G19" s="4"/>
      <c r="H19" s="4"/>
    </row>
    <row r="20" spans="1:8" x14ac:dyDescent="0.25">
      <c r="A20" s="4">
        <v>680</v>
      </c>
      <c r="B20" s="4"/>
      <c r="C20" s="4"/>
      <c r="D20" s="4"/>
      <c r="E20" s="4"/>
      <c r="F20" s="4"/>
      <c r="G20" s="4"/>
      <c r="H20" s="4"/>
    </row>
    <row r="21" spans="1:8" x14ac:dyDescent="0.25">
      <c r="A21" s="4">
        <v>700</v>
      </c>
      <c r="B21" s="4"/>
      <c r="C21" s="4"/>
      <c r="D21" s="4"/>
      <c r="E21" s="5">
        <v>46.018099999999997</v>
      </c>
      <c r="F21" s="5"/>
      <c r="G21" s="5"/>
      <c r="H21" s="5"/>
    </row>
    <row r="22" spans="1:8" x14ac:dyDescent="0.25">
      <c r="A22" s="4">
        <v>720</v>
      </c>
      <c r="B22" s="4"/>
      <c r="C22" s="4"/>
      <c r="D22" s="4"/>
      <c r="E22" s="5"/>
      <c r="F22" s="5"/>
      <c r="G22" s="5">
        <v>34.423707492256298</v>
      </c>
      <c r="H22" s="5">
        <v>21.124099999999999</v>
      </c>
    </row>
    <row r="23" spans="1:8" x14ac:dyDescent="0.25">
      <c r="A23" s="4">
        <v>740</v>
      </c>
      <c r="B23" s="4"/>
      <c r="C23" s="4"/>
      <c r="D23" s="4"/>
      <c r="E23" s="5">
        <v>23.1645</v>
      </c>
      <c r="F23" s="5"/>
      <c r="G23" s="5">
        <v>45.378900000000002</v>
      </c>
      <c r="H23" s="5">
        <v>22.915629197267101</v>
      </c>
    </row>
    <row r="24" spans="1:8" x14ac:dyDescent="0.25">
      <c r="A24" s="4">
        <v>760</v>
      </c>
      <c r="B24" s="4"/>
      <c r="C24" s="4"/>
      <c r="D24" s="4"/>
      <c r="E24" s="5"/>
      <c r="F24" s="5">
        <v>20.927700000000002</v>
      </c>
      <c r="G24" s="5"/>
      <c r="H24" s="5">
        <v>41.663514246603299</v>
      </c>
    </row>
    <row r="25" spans="1:8" x14ac:dyDescent="0.25">
      <c r="A25" s="4" t="s">
        <v>21</v>
      </c>
      <c r="B25" s="4"/>
      <c r="C25" s="4"/>
      <c r="D25" s="4"/>
      <c r="E25" s="4"/>
      <c r="F25" s="4"/>
      <c r="G25" s="4"/>
      <c r="H25" s="4"/>
    </row>
    <row r="27" spans="1:8" x14ac:dyDescent="0.25">
      <c r="A27" s="6" t="s">
        <v>26</v>
      </c>
      <c r="D27" t="s">
        <v>32</v>
      </c>
    </row>
    <row r="28" spans="1:8" x14ac:dyDescent="0.25">
      <c r="A28" s="6"/>
      <c r="B28" s="11" t="s">
        <v>34</v>
      </c>
      <c r="C28" s="11"/>
      <c r="D28" s="11"/>
      <c r="E28" s="11"/>
      <c r="F28" s="11"/>
      <c r="G28" s="11"/>
      <c r="H28" s="11"/>
    </row>
    <row r="29" spans="1:8" x14ac:dyDescent="0.25">
      <c r="A29" s="10" t="s">
        <v>35</v>
      </c>
      <c r="B29" s="4" t="s">
        <v>13</v>
      </c>
      <c r="C29" s="4" t="s">
        <v>14</v>
      </c>
      <c r="D29" s="4" t="s">
        <v>15</v>
      </c>
      <c r="E29" s="4" t="s">
        <v>16</v>
      </c>
      <c r="F29" s="4" t="s">
        <v>17</v>
      </c>
      <c r="G29" s="4" t="s">
        <v>18</v>
      </c>
      <c r="H29" s="4" t="s">
        <v>19</v>
      </c>
    </row>
    <row r="30" spans="1:8" x14ac:dyDescent="0.25">
      <c r="A30" s="4" t="s">
        <v>20</v>
      </c>
      <c r="B30" s="5">
        <f>B18-B6</f>
        <v>0</v>
      </c>
      <c r="C30" s="5">
        <f>C18-C6</f>
        <v>0</v>
      </c>
      <c r="D30" s="5">
        <f>D18-D6</f>
        <v>0</v>
      </c>
      <c r="E30" s="5">
        <f>E18-E6</f>
        <v>0</v>
      </c>
      <c r="F30" s="5">
        <f>F18-F6</f>
        <v>0</v>
      </c>
      <c r="G30" s="5">
        <f>G18-G6</f>
        <v>0</v>
      </c>
      <c r="H30" s="5">
        <f>H18-H6</f>
        <v>0</v>
      </c>
    </row>
    <row r="31" spans="1:8" x14ac:dyDescent="0.25">
      <c r="A31" s="4">
        <v>660</v>
      </c>
      <c r="B31" s="5">
        <f>B19-B7</f>
        <v>0</v>
      </c>
      <c r="C31" s="5">
        <f>C19-C7</f>
        <v>0</v>
      </c>
      <c r="D31" s="5">
        <f>D19-D7</f>
        <v>0</v>
      </c>
      <c r="E31" s="5">
        <f>E19-E7</f>
        <v>0</v>
      </c>
      <c r="F31" s="5">
        <f>F19-F7</f>
        <v>0</v>
      </c>
      <c r="G31" s="5">
        <f>G19-G7</f>
        <v>0</v>
      </c>
      <c r="H31" s="5">
        <f>H19-H7</f>
        <v>0</v>
      </c>
    </row>
    <row r="32" spans="1:8" x14ac:dyDescent="0.25">
      <c r="A32" s="4">
        <v>680</v>
      </c>
      <c r="B32" s="5">
        <f>B20-B8</f>
        <v>0</v>
      </c>
      <c r="C32" s="5">
        <f>C20-C8</f>
        <v>0</v>
      </c>
      <c r="D32" s="5">
        <f>D20-D8</f>
        <v>0</v>
      </c>
      <c r="E32" s="5">
        <f>E20-E8</f>
        <v>0</v>
      </c>
      <c r="F32" s="5">
        <f>F20-F8</f>
        <v>0</v>
      </c>
      <c r="G32" s="5">
        <f>G20-G8</f>
        <v>0</v>
      </c>
      <c r="H32" s="5">
        <f>H20-H8</f>
        <v>0</v>
      </c>
    </row>
    <row r="33" spans="1:8" x14ac:dyDescent="0.25">
      <c r="A33" s="4">
        <v>700</v>
      </c>
      <c r="B33" s="5">
        <f>B21-B9</f>
        <v>0</v>
      </c>
      <c r="C33" s="5">
        <f>C21-C9</f>
        <v>0</v>
      </c>
      <c r="D33" s="5">
        <f>D21-D9</f>
        <v>0</v>
      </c>
      <c r="E33" s="5">
        <f>E21-E9</f>
        <v>24.999499999999998</v>
      </c>
      <c r="F33" s="5">
        <f>F21-F9</f>
        <v>0</v>
      </c>
      <c r="G33" s="5">
        <f>G21-G9</f>
        <v>0</v>
      </c>
      <c r="H33" s="5">
        <f>H21-H9</f>
        <v>0</v>
      </c>
    </row>
    <row r="34" spans="1:8" x14ac:dyDescent="0.25">
      <c r="A34" s="4">
        <v>720</v>
      </c>
      <c r="B34" s="5">
        <f>B22-B10</f>
        <v>0</v>
      </c>
      <c r="C34" s="5">
        <f>C22-C10</f>
        <v>0</v>
      </c>
      <c r="D34" s="5">
        <f>D22-D10</f>
        <v>0</v>
      </c>
      <c r="E34" s="5">
        <f>E22-E10</f>
        <v>0</v>
      </c>
      <c r="F34" s="5">
        <f>F22-F10</f>
        <v>0</v>
      </c>
      <c r="G34" s="5">
        <f>G22-G10</f>
        <v>24.994980939249807</v>
      </c>
      <c r="H34" s="5">
        <f>H22-H10</f>
        <v>24.997399999999999</v>
      </c>
    </row>
    <row r="35" spans="1:8" x14ac:dyDescent="0.25">
      <c r="A35" s="4">
        <v>740</v>
      </c>
      <c r="B35" s="5">
        <f>B23-B11</f>
        <v>0</v>
      </c>
      <c r="C35" s="5">
        <f>C23-C11</f>
        <v>0</v>
      </c>
      <c r="D35" s="5">
        <f>D23-D11</f>
        <v>0</v>
      </c>
      <c r="E35" s="5">
        <f>E23-E11</f>
        <v>24.993200000000002</v>
      </c>
      <c r="F35" s="5">
        <f>F23-F11</f>
        <v>0</v>
      </c>
      <c r="G35" s="5">
        <f>G23-G11</f>
        <v>24.9969</v>
      </c>
      <c r="H35" s="5">
        <f>H23-H11</f>
        <v>24.996034166476232</v>
      </c>
    </row>
    <row r="36" spans="1:8" x14ac:dyDescent="0.25">
      <c r="A36" s="4">
        <v>760</v>
      </c>
      <c r="B36" s="5">
        <f>B24-B12</f>
        <v>0</v>
      </c>
      <c r="C36" s="5">
        <f>C24-C12</f>
        <v>0</v>
      </c>
      <c r="D36" s="5">
        <f>D24-D12</f>
        <v>0</v>
      </c>
      <c r="E36" s="5">
        <f>E24-E12</f>
        <v>0</v>
      </c>
      <c r="F36" s="5">
        <f>F24-F12</f>
        <v>24.991700000000002</v>
      </c>
      <c r="G36" s="5">
        <f>G24-G12</f>
        <v>0</v>
      </c>
      <c r="H36" s="5">
        <f>H24-H12</f>
        <v>24.995504242111998</v>
      </c>
    </row>
    <row r="37" spans="1:8" x14ac:dyDescent="0.25">
      <c r="A37" s="4" t="s">
        <v>21</v>
      </c>
      <c r="B37" s="5">
        <f>B25-B13</f>
        <v>0</v>
      </c>
      <c r="C37" s="5">
        <f>C25-C13</f>
        <v>0</v>
      </c>
      <c r="D37" s="5">
        <f>D25-D13</f>
        <v>0</v>
      </c>
      <c r="E37" s="5">
        <f>E25-E13</f>
        <v>0</v>
      </c>
      <c r="F37" s="5">
        <f>F25-F13</f>
        <v>0</v>
      </c>
      <c r="G37" s="5">
        <f>G25-G13</f>
        <v>0</v>
      </c>
      <c r="H37" s="5">
        <f>H25-H13</f>
        <v>0</v>
      </c>
    </row>
    <row r="39" spans="1:8" x14ac:dyDescent="0.25">
      <c r="A39" s="6" t="s">
        <v>27</v>
      </c>
    </row>
    <row r="40" spans="1:8" x14ac:dyDescent="0.25">
      <c r="A40" s="6"/>
      <c r="B40" s="11" t="s">
        <v>34</v>
      </c>
      <c r="C40" s="11"/>
      <c r="D40" s="11"/>
      <c r="E40" s="11"/>
      <c r="F40" s="11"/>
      <c r="G40" s="11"/>
      <c r="H40" s="11"/>
    </row>
    <row r="41" spans="1:8" x14ac:dyDescent="0.25">
      <c r="A41" s="10" t="s">
        <v>35</v>
      </c>
      <c r="B41" s="4" t="s">
        <v>13</v>
      </c>
      <c r="C41" s="4" t="s">
        <v>14</v>
      </c>
      <c r="D41" s="4" t="s">
        <v>15</v>
      </c>
      <c r="E41" s="4" t="s">
        <v>16</v>
      </c>
      <c r="F41" s="4" t="s">
        <v>17</v>
      </c>
      <c r="G41" s="4" t="s">
        <v>18</v>
      </c>
      <c r="H41" s="4" t="s">
        <v>19</v>
      </c>
    </row>
    <row r="42" spans="1:8" x14ac:dyDescent="0.25">
      <c r="A42" s="4" t="s">
        <v>20</v>
      </c>
      <c r="B42" s="7"/>
      <c r="C42" s="7"/>
      <c r="D42" s="7"/>
      <c r="E42" s="7"/>
      <c r="F42" s="7"/>
      <c r="G42" s="7"/>
      <c r="H42" s="7"/>
    </row>
    <row r="43" spans="1:8" x14ac:dyDescent="0.25">
      <c r="A43" s="4">
        <v>660</v>
      </c>
      <c r="B43" s="7"/>
      <c r="C43" s="7"/>
      <c r="D43" s="7"/>
      <c r="E43" s="7"/>
      <c r="F43" s="7"/>
      <c r="G43" s="7"/>
      <c r="H43" s="7"/>
    </row>
    <row r="44" spans="1:8" x14ac:dyDescent="0.25">
      <c r="A44" s="4">
        <v>680</v>
      </c>
      <c r="B44" s="7"/>
      <c r="C44" s="7"/>
      <c r="D44" s="7"/>
      <c r="E44" s="7"/>
      <c r="F44" s="7"/>
      <c r="G44" s="7"/>
      <c r="H44" s="7"/>
    </row>
    <row r="45" spans="1:8" x14ac:dyDescent="0.25">
      <c r="A45" s="4">
        <v>700</v>
      </c>
      <c r="B45" s="7"/>
      <c r="C45" s="7"/>
      <c r="D45" s="7"/>
      <c r="E45" s="7">
        <v>7.2806022415140498E-3</v>
      </c>
      <c r="F45" s="7">
        <v>0</v>
      </c>
      <c r="G45" s="7">
        <v>0</v>
      </c>
      <c r="H45" s="7">
        <v>0</v>
      </c>
    </row>
    <row r="46" spans="1:8" x14ac:dyDescent="0.25">
      <c r="A46" s="4">
        <v>720</v>
      </c>
      <c r="B46" s="7"/>
      <c r="C46" s="7"/>
      <c r="D46" s="7"/>
      <c r="E46" s="7">
        <v>0</v>
      </c>
      <c r="F46" s="7">
        <v>0</v>
      </c>
      <c r="G46" s="7">
        <v>4.9662036691411081E-2</v>
      </c>
      <c r="H46" s="7">
        <v>2.5937263379803566E-2</v>
      </c>
    </row>
    <row r="47" spans="1:8" x14ac:dyDescent="0.25">
      <c r="A47" s="4">
        <v>740</v>
      </c>
      <c r="B47" s="7"/>
      <c r="C47" s="7"/>
      <c r="D47" s="7"/>
      <c r="E47" s="7">
        <v>3.0858104203345418E-2</v>
      </c>
      <c r="F47" s="7">
        <v>0</v>
      </c>
      <c r="G47" s="7">
        <v>8.9402176344306108E-3</v>
      </c>
      <c r="H47" s="7">
        <v>0.28323235897523924</v>
      </c>
    </row>
    <row r="48" spans="1:8" x14ac:dyDescent="0.25">
      <c r="A48" s="4">
        <v>760</v>
      </c>
      <c r="B48" s="7"/>
      <c r="C48" s="7"/>
      <c r="D48" s="7"/>
      <c r="E48" s="7">
        <v>0</v>
      </c>
      <c r="F48" s="7">
        <v>0.42662922139170822</v>
      </c>
      <c r="G48" s="7">
        <v>0</v>
      </c>
      <c r="H48" s="7">
        <v>0.1674601954825479</v>
      </c>
    </row>
    <row r="49" spans="1:8" x14ac:dyDescent="0.25">
      <c r="A49" s="4" t="s">
        <v>21</v>
      </c>
      <c r="B49" s="7"/>
      <c r="C49" s="7"/>
      <c r="D49" s="7"/>
      <c r="E49" s="7"/>
      <c r="F49" s="7"/>
      <c r="G49" s="7"/>
      <c r="H49" s="7"/>
    </row>
    <row r="56" spans="1:8" x14ac:dyDescent="0.25">
      <c r="A56" s="6" t="s">
        <v>28</v>
      </c>
      <c r="D56" t="s">
        <v>33</v>
      </c>
    </row>
    <row r="57" spans="1:8" x14ac:dyDescent="0.25">
      <c r="A57" s="6"/>
      <c r="B57" s="11" t="s">
        <v>34</v>
      </c>
      <c r="C57" s="11"/>
      <c r="D57" s="11"/>
      <c r="E57" s="11"/>
      <c r="F57" s="11"/>
      <c r="G57" s="11"/>
      <c r="H57" s="11"/>
    </row>
    <row r="58" spans="1:8" x14ac:dyDescent="0.25">
      <c r="A58" s="10" t="s">
        <v>35</v>
      </c>
      <c r="B58" s="4" t="s">
        <v>13</v>
      </c>
      <c r="C58" s="4" t="s">
        <v>14</v>
      </c>
      <c r="D58" s="4" t="s">
        <v>15</v>
      </c>
      <c r="E58" s="4" t="s">
        <v>16</v>
      </c>
      <c r="F58" s="4" t="s">
        <v>17</v>
      </c>
      <c r="G58" s="4" t="s">
        <v>18</v>
      </c>
      <c r="H58" s="4" t="s">
        <v>19</v>
      </c>
    </row>
    <row r="59" spans="1:8" x14ac:dyDescent="0.25">
      <c r="A59" s="4" t="s">
        <v>20</v>
      </c>
      <c r="B59" s="4"/>
      <c r="C59" s="4"/>
      <c r="D59" s="4"/>
      <c r="E59" s="4"/>
      <c r="F59" s="4"/>
      <c r="G59" s="4"/>
      <c r="H59" s="4"/>
    </row>
    <row r="60" spans="1:8" x14ac:dyDescent="0.25">
      <c r="A60" s="4">
        <v>660</v>
      </c>
      <c r="B60" s="4"/>
      <c r="C60" s="4"/>
      <c r="D60" s="4"/>
      <c r="E60" s="4"/>
      <c r="F60" s="4"/>
      <c r="G60" s="4"/>
      <c r="H60" s="4"/>
    </row>
    <row r="61" spans="1:8" x14ac:dyDescent="0.25">
      <c r="A61" s="4">
        <v>680</v>
      </c>
      <c r="B61" s="4"/>
      <c r="C61" s="4"/>
      <c r="D61" s="4"/>
      <c r="E61" s="4"/>
      <c r="F61" s="4"/>
      <c r="G61" s="4"/>
      <c r="H61" s="4"/>
    </row>
    <row r="62" spans="1:8" x14ac:dyDescent="0.25">
      <c r="A62" s="4">
        <v>700</v>
      </c>
      <c r="B62" s="4"/>
      <c r="C62" s="4"/>
      <c r="D62" s="4"/>
      <c r="E62" s="5">
        <v>37.465299999999999</v>
      </c>
      <c r="F62" s="5"/>
      <c r="G62" s="5"/>
      <c r="H62" s="5"/>
    </row>
    <row r="63" spans="1:8" x14ac:dyDescent="0.25">
      <c r="A63" s="4">
        <v>720</v>
      </c>
      <c r="B63" s="4"/>
      <c r="C63" s="4"/>
      <c r="D63" s="4"/>
      <c r="E63" s="5"/>
      <c r="F63" s="5"/>
      <c r="G63" s="5">
        <v>22.8978734789582</v>
      </c>
      <c r="H63" s="5">
        <v>12.1027</v>
      </c>
    </row>
    <row r="64" spans="1:8" x14ac:dyDescent="0.25">
      <c r="A64" s="4">
        <v>740</v>
      </c>
      <c r="B64" s="4"/>
      <c r="C64" s="4"/>
      <c r="D64" s="4"/>
      <c r="E64" s="5">
        <v>24.6983</v>
      </c>
      <c r="F64" s="5"/>
      <c r="G64" s="5">
        <v>27.901900000000001</v>
      </c>
      <c r="H64" s="5">
        <v>10.451983047353099</v>
      </c>
    </row>
    <row r="65" spans="1:8" x14ac:dyDescent="0.25">
      <c r="A65" s="4">
        <v>760</v>
      </c>
      <c r="B65" s="4"/>
      <c r="C65" s="4"/>
      <c r="D65" s="4"/>
      <c r="E65" s="5"/>
      <c r="F65" s="5">
        <v>24.796199999999999</v>
      </c>
      <c r="G65" s="5"/>
      <c r="H65" s="5">
        <v>32.201775100024598</v>
      </c>
    </row>
    <row r="66" spans="1:8" x14ac:dyDescent="0.25">
      <c r="A66" s="4" t="s">
        <v>21</v>
      </c>
      <c r="B66" s="4"/>
      <c r="C66" s="4"/>
      <c r="D66" s="4"/>
      <c r="E66" s="4"/>
      <c r="F66" s="4"/>
      <c r="G66" s="4"/>
      <c r="H66" s="4"/>
    </row>
    <row r="68" spans="1:8" x14ac:dyDescent="0.25">
      <c r="A68" s="6" t="s">
        <v>29</v>
      </c>
    </row>
    <row r="69" spans="1:8" x14ac:dyDescent="0.25">
      <c r="A69" s="6"/>
      <c r="B69" s="11" t="s">
        <v>34</v>
      </c>
      <c r="C69" s="11"/>
      <c r="D69" s="11"/>
      <c r="E69" s="11"/>
      <c r="F69" s="11"/>
      <c r="G69" s="11"/>
      <c r="H69" s="11"/>
    </row>
    <row r="70" spans="1:8" x14ac:dyDescent="0.25">
      <c r="A70" s="10" t="s">
        <v>35</v>
      </c>
      <c r="B70" s="4" t="s">
        <v>13</v>
      </c>
      <c r="C70" s="4" t="s">
        <v>14</v>
      </c>
      <c r="D70" s="4" t="s">
        <v>15</v>
      </c>
      <c r="E70" s="4" t="s">
        <v>16</v>
      </c>
      <c r="F70" s="4" t="s">
        <v>17</v>
      </c>
      <c r="G70" s="4" t="s">
        <v>18</v>
      </c>
      <c r="H70" s="4" t="s">
        <v>19</v>
      </c>
    </row>
    <row r="71" spans="1:8" x14ac:dyDescent="0.25">
      <c r="A71" s="4" t="s">
        <v>20</v>
      </c>
      <c r="B71" s="4"/>
      <c r="C71" s="4"/>
      <c r="D71" s="4"/>
      <c r="E71" s="4"/>
      <c r="F71" s="4"/>
      <c r="G71" s="4"/>
      <c r="H71" s="4"/>
    </row>
    <row r="72" spans="1:8" x14ac:dyDescent="0.25">
      <c r="A72" s="4">
        <v>660</v>
      </c>
      <c r="B72" s="4"/>
      <c r="C72" s="4"/>
      <c r="D72" s="4"/>
      <c r="E72" s="4"/>
      <c r="F72" s="4"/>
      <c r="G72" s="4"/>
      <c r="H72" s="4"/>
    </row>
    <row r="73" spans="1:8" x14ac:dyDescent="0.25">
      <c r="A73" s="4">
        <v>680</v>
      </c>
      <c r="B73" s="4"/>
      <c r="C73" s="4"/>
      <c r="D73" s="4"/>
      <c r="E73" s="4"/>
      <c r="F73" s="4"/>
      <c r="G73" s="4"/>
      <c r="H73" s="4"/>
    </row>
    <row r="74" spans="1:8" x14ac:dyDescent="0.25">
      <c r="A74" s="4">
        <v>700</v>
      </c>
      <c r="B74" s="4"/>
      <c r="C74" s="4"/>
      <c r="D74" s="4"/>
      <c r="E74" s="5">
        <v>55.555599999999998</v>
      </c>
      <c r="F74" s="5"/>
      <c r="G74" s="5"/>
      <c r="H74" s="5"/>
    </row>
    <row r="75" spans="1:8" x14ac:dyDescent="0.25">
      <c r="A75" s="4">
        <v>720</v>
      </c>
      <c r="B75" s="4"/>
      <c r="C75" s="4"/>
      <c r="D75" s="4"/>
      <c r="E75" s="5"/>
      <c r="F75" s="5"/>
      <c r="G75" s="5">
        <v>41.585059665295297</v>
      </c>
      <c r="H75" s="5">
        <v>30.241700000000002</v>
      </c>
    </row>
    <row r="76" spans="1:8" x14ac:dyDescent="0.25">
      <c r="A76" s="4">
        <v>740</v>
      </c>
      <c r="B76" s="4"/>
      <c r="C76" s="4"/>
      <c r="D76" s="4"/>
      <c r="E76" s="5">
        <v>38.083300000000001</v>
      </c>
      <c r="F76" s="5"/>
      <c r="G76" s="5">
        <v>49.250500000000002</v>
      </c>
      <c r="H76" s="5">
        <v>29.022975712695299</v>
      </c>
    </row>
    <row r="77" spans="1:8" x14ac:dyDescent="0.25">
      <c r="A77" s="4">
        <v>760</v>
      </c>
      <c r="B77" s="4"/>
      <c r="C77" s="4"/>
      <c r="D77" s="4"/>
      <c r="E77" s="5"/>
      <c r="F77" s="5">
        <v>37.615400000000001</v>
      </c>
      <c r="G77" s="5"/>
      <c r="H77" s="5">
        <v>49.644626743999602</v>
      </c>
    </row>
    <row r="78" spans="1:8" x14ac:dyDescent="0.25">
      <c r="A78" s="4" t="s">
        <v>21</v>
      </c>
      <c r="B78" s="4"/>
      <c r="C78" s="4"/>
      <c r="D78" s="4"/>
      <c r="E78" s="4"/>
      <c r="F78" s="4"/>
      <c r="G78" s="4"/>
      <c r="H78" s="4"/>
    </row>
    <row r="80" spans="1:8" x14ac:dyDescent="0.25">
      <c r="A80" s="6" t="s">
        <v>30</v>
      </c>
      <c r="D80" t="s">
        <v>32</v>
      </c>
    </row>
    <row r="81" spans="1:8" x14ac:dyDescent="0.25">
      <c r="A81" s="6"/>
      <c r="B81" s="11" t="s">
        <v>34</v>
      </c>
      <c r="C81" s="11"/>
      <c r="D81" s="11"/>
      <c r="E81" s="11"/>
      <c r="F81" s="11"/>
      <c r="G81" s="11"/>
      <c r="H81" s="11"/>
    </row>
    <row r="82" spans="1:8" x14ac:dyDescent="0.25">
      <c r="A82" s="10" t="s">
        <v>35</v>
      </c>
      <c r="B82" s="4" t="s">
        <v>13</v>
      </c>
      <c r="C82" s="4" t="s">
        <v>14</v>
      </c>
      <c r="D82" s="4" t="s">
        <v>15</v>
      </c>
      <c r="E82" s="4" t="s">
        <v>16</v>
      </c>
      <c r="F82" s="4" t="s">
        <v>17</v>
      </c>
      <c r="G82" s="4" t="s">
        <v>18</v>
      </c>
      <c r="H82" s="4" t="s">
        <v>19</v>
      </c>
    </row>
    <row r="83" spans="1:8" x14ac:dyDescent="0.25">
      <c r="A83" s="4" t="s">
        <v>20</v>
      </c>
      <c r="B83" s="5">
        <f>B71-B59</f>
        <v>0</v>
      </c>
      <c r="C83" s="5">
        <f>C71-C59</f>
        <v>0</v>
      </c>
      <c r="D83" s="5">
        <f>D71-D59</f>
        <v>0</v>
      </c>
      <c r="E83" s="5">
        <f>E71-E59</f>
        <v>0</v>
      </c>
      <c r="F83" s="5">
        <f>F71-F59</f>
        <v>0</v>
      </c>
      <c r="G83" s="5">
        <f>G71-G59</f>
        <v>0</v>
      </c>
      <c r="H83" s="5">
        <f>H71-H59</f>
        <v>0</v>
      </c>
    </row>
    <row r="84" spans="1:8" x14ac:dyDescent="0.25">
      <c r="A84" s="4">
        <v>660</v>
      </c>
      <c r="B84" s="5">
        <f>B72-B60</f>
        <v>0</v>
      </c>
      <c r="C84" s="5">
        <f>C72-C60</f>
        <v>0</v>
      </c>
      <c r="D84" s="5">
        <f>D72-D60</f>
        <v>0</v>
      </c>
      <c r="E84" s="5">
        <f>E72-E60</f>
        <v>0</v>
      </c>
      <c r="F84" s="5">
        <f>F72-F60</f>
        <v>0</v>
      </c>
      <c r="G84" s="5">
        <f>G72-G60</f>
        <v>0</v>
      </c>
      <c r="H84" s="5">
        <f>H72-H60</f>
        <v>0</v>
      </c>
    </row>
    <row r="85" spans="1:8" x14ac:dyDescent="0.25">
      <c r="A85" s="4">
        <v>680</v>
      </c>
      <c r="B85" s="5">
        <f>B73-B61</f>
        <v>0</v>
      </c>
      <c r="C85" s="5">
        <f>C73-C61</f>
        <v>0</v>
      </c>
      <c r="D85" s="5">
        <f>D73-D61</f>
        <v>0</v>
      </c>
      <c r="E85" s="5">
        <f>E73-E61</f>
        <v>0</v>
      </c>
      <c r="F85" s="5">
        <f>F73-F61</f>
        <v>0</v>
      </c>
      <c r="G85" s="5">
        <f>G73-G61</f>
        <v>0</v>
      </c>
      <c r="H85" s="5">
        <f>H73-H61</f>
        <v>0</v>
      </c>
    </row>
    <row r="86" spans="1:8" x14ac:dyDescent="0.25">
      <c r="A86" s="4">
        <v>700</v>
      </c>
      <c r="B86" s="5">
        <f>B74-B62</f>
        <v>0</v>
      </c>
      <c r="C86" s="5">
        <f>C74-C62</f>
        <v>0</v>
      </c>
      <c r="D86" s="5">
        <f>D74-D62</f>
        <v>0</v>
      </c>
      <c r="E86" s="5">
        <f>E74-E62</f>
        <v>18.090299999999999</v>
      </c>
      <c r="F86" s="5">
        <f>F74-F62</f>
        <v>0</v>
      </c>
      <c r="G86" s="5">
        <f>G74-G62</f>
        <v>0</v>
      </c>
      <c r="H86" s="5">
        <f>H74-H62</f>
        <v>0</v>
      </c>
    </row>
    <row r="87" spans="1:8" x14ac:dyDescent="0.25">
      <c r="A87" s="4">
        <v>720</v>
      </c>
      <c r="B87" s="5">
        <f>B75-B63</f>
        <v>0</v>
      </c>
      <c r="C87" s="5">
        <f>C75-C63</f>
        <v>0</v>
      </c>
      <c r="D87" s="5">
        <f>D75-D63</f>
        <v>0</v>
      </c>
      <c r="E87" s="5">
        <f>E75-E63</f>
        <v>0</v>
      </c>
      <c r="F87" s="5">
        <f>F75-F63</f>
        <v>0</v>
      </c>
      <c r="G87" s="5">
        <f>G75-G63</f>
        <v>18.687186186337097</v>
      </c>
      <c r="H87" s="5">
        <f>H75-H63</f>
        <v>18.139000000000003</v>
      </c>
    </row>
    <row r="88" spans="1:8" x14ac:dyDescent="0.25">
      <c r="A88" s="4">
        <v>740</v>
      </c>
      <c r="B88" s="5">
        <f>B76-B64</f>
        <v>0</v>
      </c>
      <c r="C88" s="5">
        <f>C76-C64</f>
        <v>0</v>
      </c>
      <c r="D88" s="5">
        <f>D76-D64</f>
        <v>0</v>
      </c>
      <c r="E88" s="5">
        <f>E76-E64</f>
        <v>13.385000000000002</v>
      </c>
      <c r="F88" s="5">
        <f>F76-F64</f>
        <v>0</v>
      </c>
      <c r="G88" s="5">
        <f>G76-G64</f>
        <v>21.348600000000001</v>
      </c>
      <c r="H88" s="5">
        <f>H76-H64</f>
        <v>18.5709926653422</v>
      </c>
    </row>
    <row r="89" spans="1:8" x14ac:dyDescent="0.25">
      <c r="A89" s="4">
        <v>760</v>
      </c>
      <c r="B89" s="5">
        <f>B77-B65</f>
        <v>0</v>
      </c>
      <c r="C89" s="5">
        <f>C77-C65</f>
        <v>0</v>
      </c>
      <c r="D89" s="5">
        <f>D77-D65</f>
        <v>0</v>
      </c>
      <c r="E89" s="5">
        <f>E77-E65</f>
        <v>0</v>
      </c>
      <c r="F89" s="5">
        <f>F77-F65</f>
        <v>12.819200000000002</v>
      </c>
      <c r="G89" s="5">
        <f>G77-G65</f>
        <v>0</v>
      </c>
      <c r="H89" s="5">
        <f>H77-H65</f>
        <v>17.442851643975004</v>
      </c>
    </row>
    <row r="90" spans="1:8" x14ac:dyDescent="0.25">
      <c r="A90" s="4" t="s">
        <v>21</v>
      </c>
      <c r="B90" s="5">
        <f>B78-B66</f>
        <v>0</v>
      </c>
      <c r="C90" s="5">
        <f>C78-C66</f>
        <v>0</v>
      </c>
      <c r="D90" s="5">
        <f>D78-D66</f>
        <v>0</v>
      </c>
      <c r="E90" s="5">
        <f>E78-E66</f>
        <v>0</v>
      </c>
      <c r="F90" s="5">
        <f>F78-F66</f>
        <v>0</v>
      </c>
      <c r="G90" s="5">
        <f>G78-G66</f>
        <v>0</v>
      </c>
      <c r="H90" s="5">
        <f>H78-H66</f>
        <v>0</v>
      </c>
    </row>
    <row r="92" spans="1:8" x14ac:dyDescent="0.25">
      <c r="A92" s="6" t="s">
        <v>27</v>
      </c>
    </row>
    <row r="93" spans="1:8" x14ac:dyDescent="0.25">
      <c r="A93" s="6"/>
      <c r="B93" s="11" t="s">
        <v>34</v>
      </c>
      <c r="C93" s="11"/>
      <c r="D93" s="11"/>
      <c r="E93" s="11"/>
      <c r="F93" s="11"/>
      <c r="G93" s="11"/>
      <c r="H93" s="11"/>
    </row>
    <row r="94" spans="1:8" x14ac:dyDescent="0.25">
      <c r="A94" s="10" t="s">
        <v>35</v>
      </c>
      <c r="B94" s="4" t="s">
        <v>13</v>
      </c>
      <c r="C94" s="4" t="s">
        <v>14</v>
      </c>
      <c r="D94" s="4" t="s">
        <v>15</v>
      </c>
      <c r="E94" s="4" t="s">
        <v>16</v>
      </c>
      <c r="F94" s="4" t="s">
        <v>17</v>
      </c>
      <c r="G94" s="4" t="s">
        <v>18</v>
      </c>
      <c r="H94" s="4" t="s">
        <v>19</v>
      </c>
    </row>
    <row r="95" spans="1:8" x14ac:dyDescent="0.25">
      <c r="A95" s="4" t="s">
        <v>20</v>
      </c>
      <c r="B95" s="7"/>
      <c r="C95" s="7"/>
      <c r="D95" s="7"/>
      <c r="E95" s="7"/>
      <c r="F95" s="7"/>
      <c r="G95" s="7"/>
      <c r="H95" s="7"/>
    </row>
    <row r="96" spans="1:8" x14ac:dyDescent="0.25">
      <c r="A96" s="4">
        <v>660</v>
      </c>
      <c r="B96" s="7"/>
      <c r="C96" s="7"/>
      <c r="D96" s="7"/>
      <c r="E96" s="7"/>
      <c r="F96" s="7"/>
      <c r="G96" s="7"/>
      <c r="H96" s="7"/>
    </row>
    <row r="97" spans="1:8" x14ac:dyDescent="0.25">
      <c r="A97" s="4">
        <v>680</v>
      </c>
      <c r="B97" s="7"/>
      <c r="C97" s="7"/>
      <c r="D97" s="7"/>
      <c r="E97" s="7"/>
      <c r="F97" s="7"/>
      <c r="G97" s="7"/>
      <c r="H97" s="7"/>
    </row>
    <row r="98" spans="1:8" x14ac:dyDescent="0.25">
      <c r="A98" s="4">
        <v>700</v>
      </c>
      <c r="B98" s="7"/>
      <c r="C98" s="7"/>
      <c r="D98" s="7"/>
      <c r="E98" s="7">
        <v>7.2806022415140498E-3</v>
      </c>
      <c r="F98" s="7">
        <v>0</v>
      </c>
      <c r="G98" s="7">
        <v>0</v>
      </c>
      <c r="H98" s="7">
        <v>0</v>
      </c>
    </row>
    <row r="99" spans="1:8" x14ac:dyDescent="0.25">
      <c r="A99" s="4">
        <v>720</v>
      </c>
      <c r="B99" s="7"/>
      <c r="C99" s="7"/>
      <c r="D99" s="7"/>
      <c r="E99" s="7">
        <v>0</v>
      </c>
      <c r="F99" s="7">
        <v>0</v>
      </c>
      <c r="G99" s="7">
        <v>4.9662036691411081E-2</v>
      </c>
      <c r="H99" s="7">
        <v>2.5937263379803566E-2</v>
      </c>
    </row>
    <row r="100" spans="1:8" x14ac:dyDescent="0.25">
      <c r="A100" s="4">
        <v>740</v>
      </c>
      <c r="B100" s="7"/>
      <c r="C100" s="7"/>
      <c r="D100" s="7"/>
      <c r="E100" s="7">
        <v>3.0858104203345418E-2</v>
      </c>
      <c r="F100" s="7">
        <v>0</v>
      </c>
      <c r="G100" s="7">
        <v>8.9402176344306108E-3</v>
      </c>
      <c r="H100" s="7">
        <v>0.28323235897523924</v>
      </c>
    </row>
    <row r="101" spans="1:8" x14ac:dyDescent="0.25">
      <c r="A101" s="4">
        <v>760</v>
      </c>
      <c r="B101" s="7"/>
      <c r="C101" s="7"/>
      <c r="D101" s="7"/>
      <c r="E101" s="7">
        <v>0</v>
      </c>
      <c r="F101" s="7">
        <v>0.42662922139170822</v>
      </c>
      <c r="G101" s="7">
        <v>0</v>
      </c>
      <c r="H101" s="7">
        <v>0.1674601954825479</v>
      </c>
    </row>
    <row r="102" spans="1:8" x14ac:dyDescent="0.25">
      <c r="A102" s="4" t="s">
        <v>21</v>
      </c>
      <c r="B102" s="7"/>
      <c r="C102" s="7"/>
      <c r="D102" s="7"/>
      <c r="E102" s="7"/>
      <c r="F102" s="7"/>
      <c r="G102" s="7"/>
      <c r="H102" s="7"/>
    </row>
  </sheetData>
  <mergeCells count="8">
    <mergeCell ref="B69:H69"/>
    <mergeCell ref="B81:H81"/>
    <mergeCell ref="B93:H93"/>
    <mergeCell ref="B4:H4"/>
    <mergeCell ref="B16:H16"/>
    <mergeCell ref="B28:H28"/>
    <mergeCell ref="B40:H40"/>
    <mergeCell ref="B57:H57"/>
  </mergeCells>
  <conditionalFormatting sqref="B30:H37">
    <cfRule type="cellIs" dxfId="476" priority="4" operator="equal">
      <formula>0</formula>
    </cfRule>
  </conditionalFormatting>
  <conditionalFormatting sqref="B42:H49">
    <cfRule type="cellIs" dxfId="475" priority="3" operator="equal">
      <formula>0</formula>
    </cfRule>
  </conditionalFormatting>
  <conditionalFormatting sqref="B83:H90">
    <cfRule type="cellIs" dxfId="474" priority="2" operator="equal">
      <formula>0</formula>
    </cfRule>
  </conditionalFormatting>
  <conditionalFormatting sqref="B95:H102">
    <cfRule type="cellIs" dxfId="473" priority="1" operator="equal">
      <formula>0</formula>
    </cfRule>
  </conditionalFormatting>
  <pageMargins left="0.7" right="0.7" top="0.75" bottom="0.75" header="0.3" footer="0.3"/>
  <pageSetup scale="80" orientation="portrait" horizontalDpi="1200" verticalDpi="1200" r:id="rId1"/>
  <rowBreaks count="1" manualBreakCount="1">
    <brk id="5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zoomScaleNormal="100" workbookViewId="0">
      <selection activeCell="B6" sqref="B6"/>
    </sheetView>
  </sheetViews>
  <sheetFormatPr defaultRowHeight="15" x14ac:dyDescent="0.25"/>
  <cols>
    <col min="1" max="8" width="14.140625" customWidth="1"/>
  </cols>
  <sheetData>
    <row r="1" spans="1:8" ht="31.5" x14ac:dyDescent="0.5">
      <c r="D1" s="8" t="s">
        <v>39</v>
      </c>
    </row>
    <row r="3" spans="1:8" x14ac:dyDescent="0.25">
      <c r="A3" s="6" t="s">
        <v>24</v>
      </c>
    </row>
    <row r="4" spans="1:8" x14ac:dyDescent="0.25">
      <c r="A4" s="6"/>
      <c r="B4" s="11" t="s">
        <v>34</v>
      </c>
      <c r="C4" s="11"/>
      <c r="D4" s="11"/>
      <c r="E4" s="11"/>
      <c r="F4" s="11"/>
      <c r="G4" s="11"/>
      <c r="H4" s="11"/>
    </row>
    <row r="5" spans="1:8" x14ac:dyDescent="0.25">
      <c r="A5" s="10" t="s">
        <v>35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</row>
    <row r="6" spans="1:8" x14ac:dyDescent="0.25">
      <c r="A6" s="4" t="s">
        <v>20</v>
      </c>
      <c r="B6" s="5"/>
      <c r="C6" s="5"/>
      <c r="D6" s="5"/>
      <c r="E6" s="5"/>
      <c r="F6" s="5"/>
      <c r="G6" s="5"/>
      <c r="H6" s="5"/>
    </row>
    <row r="7" spans="1:8" x14ac:dyDescent="0.25">
      <c r="A7" s="4">
        <v>660</v>
      </c>
      <c r="B7" s="5"/>
      <c r="C7" s="5"/>
      <c r="D7" s="5"/>
      <c r="E7" s="5"/>
      <c r="F7" s="5"/>
      <c r="G7" s="5"/>
      <c r="H7" s="5"/>
    </row>
    <row r="8" spans="1:8" x14ac:dyDescent="0.25">
      <c r="A8" s="4">
        <v>680</v>
      </c>
      <c r="B8" s="5"/>
      <c r="C8" s="5"/>
      <c r="D8" s="5"/>
      <c r="E8" s="5"/>
      <c r="F8" s="5"/>
      <c r="G8" s="5"/>
      <c r="H8" s="5"/>
    </row>
    <row r="9" spans="1:8" x14ac:dyDescent="0.25">
      <c r="A9" s="4">
        <v>700</v>
      </c>
      <c r="B9" s="5"/>
      <c r="C9" s="5"/>
      <c r="D9" s="5"/>
      <c r="E9" s="5"/>
      <c r="F9" s="5"/>
      <c r="G9" s="5"/>
      <c r="H9" s="5"/>
    </row>
    <row r="10" spans="1:8" x14ac:dyDescent="0.25">
      <c r="A10" s="4">
        <v>720</v>
      </c>
      <c r="B10" s="5"/>
      <c r="C10" s="5"/>
      <c r="D10" s="5"/>
      <c r="E10" s="5"/>
      <c r="F10" s="5"/>
      <c r="G10" s="5"/>
      <c r="H10" s="5"/>
    </row>
    <row r="11" spans="1:8" x14ac:dyDescent="0.25">
      <c r="A11" s="4">
        <v>740</v>
      </c>
      <c r="B11" s="5"/>
      <c r="C11" s="5"/>
      <c r="D11" s="5"/>
      <c r="E11" s="5"/>
      <c r="F11" s="5"/>
      <c r="G11" s="5"/>
      <c r="H11" s="5"/>
    </row>
    <row r="12" spans="1:8" x14ac:dyDescent="0.25">
      <c r="A12" s="4">
        <v>760</v>
      </c>
      <c r="B12" s="5"/>
      <c r="C12" s="5"/>
      <c r="D12" s="5"/>
      <c r="E12" s="5"/>
      <c r="F12" s="5"/>
      <c r="G12" s="5"/>
      <c r="H12" s="5"/>
    </row>
    <row r="13" spans="1:8" x14ac:dyDescent="0.25">
      <c r="A13" s="4" t="s">
        <v>21</v>
      </c>
      <c r="B13" s="5"/>
      <c r="C13" s="5"/>
      <c r="D13" s="5">
        <v>-90.667400000000001</v>
      </c>
      <c r="E13" s="5"/>
      <c r="F13" s="5"/>
      <c r="G13" s="5"/>
      <c r="H13" s="5"/>
    </row>
    <row r="15" spans="1:8" x14ac:dyDescent="0.25">
      <c r="A15" s="6" t="s">
        <v>25</v>
      </c>
    </row>
    <row r="16" spans="1:8" x14ac:dyDescent="0.25">
      <c r="A16" s="6"/>
      <c r="B16" s="11" t="s">
        <v>34</v>
      </c>
      <c r="C16" s="11"/>
      <c r="D16" s="11"/>
      <c r="E16" s="11"/>
      <c r="F16" s="11"/>
      <c r="G16" s="11"/>
      <c r="H16" s="11"/>
    </row>
    <row r="17" spans="1:8" x14ac:dyDescent="0.25">
      <c r="A17" s="10" t="s">
        <v>35</v>
      </c>
      <c r="B17" s="4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18</v>
      </c>
      <c r="H17" s="4" t="s">
        <v>19</v>
      </c>
    </row>
    <row r="18" spans="1:8" x14ac:dyDescent="0.25">
      <c r="A18" s="4" t="s">
        <v>20</v>
      </c>
      <c r="B18" s="4"/>
      <c r="C18" s="4"/>
      <c r="D18" s="4"/>
      <c r="E18" s="4"/>
      <c r="F18" s="4"/>
      <c r="G18" s="4"/>
      <c r="H18" s="4"/>
    </row>
    <row r="19" spans="1:8" x14ac:dyDescent="0.25">
      <c r="A19" s="4">
        <v>660</v>
      </c>
      <c r="B19" s="4"/>
      <c r="C19" s="4"/>
      <c r="D19" s="4"/>
      <c r="E19" s="4"/>
      <c r="F19" s="4"/>
      <c r="G19" s="4"/>
      <c r="H19" s="4"/>
    </row>
    <row r="20" spans="1:8" x14ac:dyDescent="0.25">
      <c r="A20" s="4">
        <v>680</v>
      </c>
      <c r="B20" s="4"/>
      <c r="C20" s="4"/>
      <c r="D20" s="4"/>
      <c r="E20" s="4"/>
      <c r="F20" s="4"/>
      <c r="G20" s="4"/>
      <c r="H20" s="4"/>
    </row>
    <row r="21" spans="1:8" x14ac:dyDescent="0.25">
      <c r="A21" s="4">
        <v>700</v>
      </c>
      <c r="B21" s="4"/>
      <c r="C21" s="4"/>
      <c r="D21" s="4"/>
      <c r="E21" s="5"/>
      <c r="F21" s="5"/>
      <c r="G21" s="5"/>
      <c r="H21" s="5"/>
    </row>
    <row r="22" spans="1:8" x14ac:dyDescent="0.25">
      <c r="A22" s="4">
        <v>720</v>
      </c>
      <c r="B22" s="4"/>
      <c r="C22" s="4"/>
      <c r="D22" s="4"/>
      <c r="E22" s="5"/>
      <c r="F22" s="5"/>
      <c r="G22" s="5"/>
      <c r="H22" s="5"/>
    </row>
    <row r="23" spans="1:8" x14ac:dyDescent="0.25">
      <c r="A23" s="4">
        <v>740</v>
      </c>
      <c r="B23" s="4"/>
      <c r="C23" s="4"/>
      <c r="D23" s="4"/>
      <c r="E23" s="5"/>
      <c r="F23" s="5"/>
      <c r="G23" s="5"/>
      <c r="H23" s="5"/>
    </row>
    <row r="24" spans="1:8" x14ac:dyDescent="0.25">
      <c r="A24" s="4">
        <v>760</v>
      </c>
      <c r="B24" s="4"/>
      <c r="C24" s="4"/>
      <c r="D24" s="4"/>
      <c r="E24" s="5"/>
      <c r="F24" s="5"/>
      <c r="G24" s="5"/>
      <c r="H24" s="5"/>
    </row>
    <row r="25" spans="1:8" x14ac:dyDescent="0.25">
      <c r="A25" s="4" t="s">
        <v>21</v>
      </c>
      <c r="B25" s="4"/>
      <c r="C25" s="4"/>
      <c r="D25" s="5">
        <v>-65.667400000000001</v>
      </c>
      <c r="E25" s="4"/>
      <c r="F25" s="4"/>
      <c r="G25" s="4"/>
      <c r="H25" s="4"/>
    </row>
    <row r="27" spans="1:8" x14ac:dyDescent="0.25">
      <c r="A27" s="6" t="s">
        <v>26</v>
      </c>
      <c r="D27" t="s">
        <v>32</v>
      </c>
    </row>
    <row r="28" spans="1:8" x14ac:dyDescent="0.25">
      <c r="A28" s="6"/>
      <c r="B28" s="11" t="s">
        <v>34</v>
      </c>
      <c r="C28" s="11"/>
      <c r="D28" s="11"/>
      <c r="E28" s="11"/>
      <c r="F28" s="11"/>
      <c r="G28" s="11"/>
      <c r="H28" s="11"/>
    </row>
    <row r="29" spans="1:8" x14ac:dyDescent="0.25">
      <c r="A29" s="10" t="s">
        <v>35</v>
      </c>
      <c r="B29" s="4" t="s">
        <v>13</v>
      </c>
      <c r="C29" s="4" t="s">
        <v>14</v>
      </c>
      <c r="D29" s="4" t="s">
        <v>15</v>
      </c>
      <c r="E29" s="4" t="s">
        <v>16</v>
      </c>
      <c r="F29" s="4" t="s">
        <v>17</v>
      </c>
      <c r="G29" s="4" t="s">
        <v>18</v>
      </c>
      <c r="H29" s="4" t="s">
        <v>19</v>
      </c>
    </row>
    <row r="30" spans="1:8" x14ac:dyDescent="0.25">
      <c r="A30" s="4" t="s">
        <v>20</v>
      </c>
      <c r="B30" s="5">
        <f>B18-B6</f>
        <v>0</v>
      </c>
      <c r="C30" s="5">
        <f>C18-C6</f>
        <v>0</v>
      </c>
      <c r="D30" s="5">
        <f>D18-D6</f>
        <v>0</v>
      </c>
      <c r="E30" s="5">
        <f>E18-E6</f>
        <v>0</v>
      </c>
      <c r="F30" s="5">
        <f>F18-F6</f>
        <v>0</v>
      </c>
      <c r="G30" s="5">
        <f>G18-G6</f>
        <v>0</v>
      </c>
      <c r="H30" s="5">
        <f>H18-H6</f>
        <v>0</v>
      </c>
    </row>
    <row r="31" spans="1:8" x14ac:dyDescent="0.25">
      <c r="A31" s="4">
        <v>660</v>
      </c>
      <c r="B31" s="5">
        <f>B19-B7</f>
        <v>0</v>
      </c>
      <c r="C31" s="5">
        <f>C19-C7</f>
        <v>0</v>
      </c>
      <c r="D31" s="5">
        <f>D19-D7</f>
        <v>0</v>
      </c>
      <c r="E31" s="5">
        <f>E19-E7</f>
        <v>0</v>
      </c>
      <c r="F31" s="5">
        <f>F19-F7</f>
        <v>0</v>
      </c>
      <c r="G31" s="5">
        <f>G19-G7</f>
        <v>0</v>
      </c>
      <c r="H31" s="5">
        <f>H19-H7</f>
        <v>0</v>
      </c>
    </row>
    <row r="32" spans="1:8" x14ac:dyDescent="0.25">
      <c r="A32" s="4">
        <v>680</v>
      </c>
      <c r="B32" s="5">
        <f>B20-B8</f>
        <v>0</v>
      </c>
      <c r="C32" s="5">
        <f>C20-C8</f>
        <v>0</v>
      </c>
      <c r="D32" s="5">
        <f>D20-D8</f>
        <v>0</v>
      </c>
      <c r="E32" s="5">
        <f>E20-E8</f>
        <v>0</v>
      </c>
      <c r="F32" s="5">
        <f>F20-F8</f>
        <v>0</v>
      </c>
      <c r="G32" s="5">
        <f>G20-G8</f>
        <v>0</v>
      </c>
      <c r="H32" s="5">
        <f>H20-H8</f>
        <v>0</v>
      </c>
    </row>
    <row r="33" spans="1:8" x14ac:dyDescent="0.25">
      <c r="A33" s="4">
        <v>700</v>
      </c>
      <c r="B33" s="5">
        <f>B21-B9</f>
        <v>0</v>
      </c>
      <c r="C33" s="5">
        <f>C21-C9</f>
        <v>0</v>
      </c>
      <c r="D33" s="5">
        <f>D21-D9</f>
        <v>0</v>
      </c>
      <c r="E33" s="5">
        <f>E21-E9</f>
        <v>0</v>
      </c>
      <c r="F33" s="5">
        <f>F21-F9</f>
        <v>0</v>
      </c>
      <c r="G33" s="5">
        <f>G21-G9</f>
        <v>0</v>
      </c>
      <c r="H33" s="5">
        <f>H21-H9</f>
        <v>0</v>
      </c>
    </row>
    <row r="34" spans="1:8" x14ac:dyDescent="0.25">
      <c r="A34" s="4">
        <v>720</v>
      </c>
      <c r="B34" s="5">
        <f>B22-B10</f>
        <v>0</v>
      </c>
      <c r="C34" s="5">
        <f>C22-C10</f>
        <v>0</v>
      </c>
      <c r="D34" s="5">
        <f>D22-D10</f>
        <v>0</v>
      </c>
      <c r="E34" s="5">
        <f>E22-E10</f>
        <v>0</v>
      </c>
      <c r="F34" s="5">
        <f>F22-F10</f>
        <v>0</v>
      </c>
      <c r="G34" s="5">
        <f>G22-G10</f>
        <v>0</v>
      </c>
      <c r="H34" s="5">
        <f>H22-H10</f>
        <v>0</v>
      </c>
    </row>
    <row r="35" spans="1:8" x14ac:dyDescent="0.25">
      <c r="A35" s="4">
        <v>740</v>
      </c>
      <c r="B35" s="5">
        <f>B23-B11</f>
        <v>0</v>
      </c>
      <c r="C35" s="5">
        <f>C23-C11</f>
        <v>0</v>
      </c>
      <c r="D35" s="5">
        <f>D23-D11</f>
        <v>0</v>
      </c>
      <c r="E35" s="5">
        <f>E23-E11</f>
        <v>0</v>
      </c>
      <c r="F35" s="5">
        <f>F23-F11</f>
        <v>0</v>
      </c>
      <c r="G35" s="5">
        <f>G23-G11</f>
        <v>0</v>
      </c>
      <c r="H35" s="5">
        <f>H23-H11</f>
        <v>0</v>
      </c>
    </row>
    <row r="36" spans="1:8" x14ac:dyDescent="0.25">
      <c r="A36" s="4">
        <v>760</v>
      </c>
      <c r="B36" s="5">
        <f>B24-B12</f>
        <v>0</v>
      </c>
      <c r="C36" s="5">
        <f>C24-C12</f>
        <v>0</v>
      </c>
      <c r="D36" s="5">
        <f>D24-D12</f>
        <v>0</v>
      </c>
      <c r="E36" s="5">
        <f>E24-E12</f>
        <v>0</v>
      </c>
      <c r="F36" s="5">
        <f>F24-F12</f>
        <v>0</v>
      </c>
      <c r="G36" s="5">
        <f>G24-G12</f>
        <v>0</v>
      </c>
      <c r="H36" s="5">
        <f>H24-H12</f>
        <v>0</v>
      </c>
    </row>
    <row r="37" spans="1:8" x14ac:dyDescent="0.25">
      <c r="A37" s="4" t="s">
        <v>21</v>
      </c>
      <c r="B37" s="5">
        <f>B25-B13</f>
        <v>0</v>
      </c>
      <c r="C37" s="5">
        <f>C25-C13</f>
        <v>0</v>
      </c>
      <c r="D37" s="5">
        <f>D25-D13</f>
        <v>25</v>
      </c>
      <c r="E37" s="5">
        <f>E25-E13</f>
        <v>0</v>
      </c>
      <c r="F37" s="5">
        <f>F25-F13</f>
        <v>0</v>
      </c>
      <c r="G37" s="5">
        <f>G25-G13</f>
        <v>0</v>
      </c>
      <c r="H37" s="5">
        <f>H25-H13</f>
        <v>0</v>
      </c>
    </row>
    <row r="39" spans="1:8" x14ac:dyDescent="0.25">
      <c r="A39" s="6" t="s">
        <v>27</v>
      </c>
    </row>
    <row r="40" spans="1:8" x14ac:dyDescent="0.25">
      <c r="A40" s="6"/>
      <c r="B40" s="11" t="s">
        <v>34</v>
      </c>
      <c r="C40" s="11"/>
      <c r="D40" s="11"/>
      <c r="E40" s="11"/>
      <c r="F40" s="11"/>
      <c r="G40" s="11"/>
      <c r="H40" s="11"/>
    </row>
    <row r="41" spans="1:8" x14ac:dyDescent="0.25">
      <c r="A41" s="10" t="s">
        <v>35</v>
      </c>
      <c r="B41" s="4" t="s">
        <v>13</v>
      </c>
      <c r="C41" s="4" t="s">
        <v>14</v>
      </c>
      <c r="D41" s="4" t="s">
        <v>15</v>
      </c>
      <c r="E41" s="4" t="s">
        <v>16</v>
      </c>
      <c r="F41" s="4" t="s">
        <v>17</v>
      </c>
      <c r="G41" s="4" t="s">
        <v>18</v>
      </c>
      <c r="H41" s="4" t="s">
        <v>19</v>
      </c>
    </row>
    <row r="42" spans="1:8" x14ac:dyDescent="0.25">
      <c r="A42" s="4" t="s">
        <v>20</v>
      </c>
      <c r="B42" s="7"/>
      <c r="C42" s="7"/>
      <c r="D42" s="7"/>
      <c r="E42" s="7"/>
      <c r="F42" s="7"/>
      <c r="G42" s="7"/>
      <c r="H42" s="7"/>
    </row>
    <row r="43" spans="1:8" x14ac:dyDescent="0.25">
      <c r="A43" s="4">
        <v>660</v>
      </c>
      <c r="B43" s="7"/>
      <c r="C43" s="7"/>
      <c r="D43" s="7"/>
      <c r="E43" s="7"/>
      <c r="F43" s="7"/>
      <c r="G43" s="7"/>
      <c r="H43" s="7"/>
    </row>
    <row r="44" spans="1:8" x14ac:dyDescent="0.25">
      <c r="A44" s="4">
        <v>680</v>
      </c>
      <c r="B44" s="7"/>
      <c r="C44" s="7"/>
      <c r="D44" s="7"/>
      <c r="E44" s="7"/>
      <c r="F44" s="7"/>
      <c r="G44" s="7"/>
      <c r="H44" s="7"/>
    </row>
    <row r="45" spans="1:8" x14ac:dyDescent="0.25">
      <c r="A45" s="4">
        <v>700</v>
      </c>
      <c r="B45" s="7"/>
      <c r="C45" s="7"/>
      <c r="D45" s="7"/>
      <c r="E45" s="7"/>
      <c r="F45" s="7"/>
      <c r="G45" s="7"/>
      <c r="H45" s="7"/>
    </row>
    <row r="46" spans="1:8" x14ac:dyDescent="0.25">
      <c r="A46" s="4">
        <v>720</v>
      </c>
      <c r="B46" s="7"/>
      <c r="C46" s="7"/>
      <c r="D46" s="7"/>
      <c r="E46" s="7"/>
      <c r="F46" s="7"/>
      <c r="G46" s="7"/>
      <c r="H46" s="7"/>
    </row>
    <row r="47" spans="1:8" x14ac:dyDescent="0.25">
      <c r="A47" s="4">
        <v>740</v>
      </c>
      <c r="B47" s="7"/>
      <c r="C47" s="7"/>
      <c r="D47" s="7"/>
      <c r="E47" s="7"/>
      <c r="F47" s="7"/>
      <c r="G47" s="7"/>
      <c r="H47" s="7"/>
    </row>
    <row r="48" spans="1:8" x14ac:dyDescent="0.25">
      <c r="A48" s="4">
        <v>760</v>
      </c>
      <c r="B48" s="7"/>
      <c r="C48" s="7"/>
      <c r="D48" s="7"/>
      <c r="E48" s="7"/>
      <c r="F48" s="7"/>
      <c r="G48" s="7"/>
      <c r="H48" s="7"/>
    </row>
    <row r="49" spans="1:8" x14ac:dyDescent="0.25">
      <c r="A49" s="4" t="s">
        <v>21</v>
      </c>
      <c r="B49" s="7"/>
      <c r="C49" s="7"/>
      <c r="D49" s="12">
        <v>1</v>
      </c>
      <c r="E49" s="7"/>
      <c r="F49" s="7"/>
      <c r="G49" s="7"/>
      <c r="H49" s="7"/>
    </row>
    <row r="56" spans="1:8" x14ac:dyDescent="0.25">
      <c r="A56" s="6" t="s">
        <v>28</v>
      </c>
      <c r="D56" t="s">
        <v>33</v>
      </c>
    </row>
    <row r="57" spans="1:8" x14ac:dyDescent="0.25">
      <c r="A57" s="6"/>
      <c r="B57" s="11" t="s">
        <v>34</v>
      </c>
      <c r="C57" s="11"/>
      <c r="D57" s="11"/>
      <c r="E57" s="11"/>
      <c r="F57" s="11"/>
      <c r="G57" s="11"/>
      <c r="H57" s="11"/>
    </row>
    <row r="58" spans="1:8" x14ac:dyDescent="0.25">
      <c r="A58" s="10" t="s">
        <v>35</v>
      </c>
      <c r="B58" s="4" t="s">
        <v>13</v>
      </c>
      <c r="C58" s="4" t="s">
        <v>14</v>
      </c>
      <c r="D58" s="4" t="s">
        <v>15</v>
      </c>
      <c r="E58" s="4" t="s">
        <v>16</v>
      </c>
      <c r="F58" s="4" t="s">
        <v>17</v>
      </c>
      <c r="G58" s="4" t="s">
        <v>18</v>
      </c>
      <c r="H58" s="4" t="s">
        <v>19</v>
      </c>
    </row>
    <row r="59" spans="1:8" x14ac:dyDescent="0.25">
      <c r="A59" s="4" t="s">
        <v>20</v>
      </c>
      <c r="B59" s="5"/>
      <c r="C59" s="5"/>
      <c r="D59" s="5"/>
      <c r="E59" s="5"/>
      <c r="F59" s="5"/>
      <c r="G59" s="5"/>
      <c r="H59" s="5"/>
    </row>
    <row r="60" spans="1:8" x14ac:dyDescent="0.25">
      <c r="A60" s="4">
        <v>660</v>
      </c>
      <c r="B60" s="5"/>
      <c r="C60" s="5"/>
      <c r="D60" s="5"/>
      <c r="E60" s="5"/>
      <c r="F60" s="5"/>
      <c r="G60" s="5"/>
      <c r="H60" s="5"/>
    </row>
    <row r="61" spans="1:8" x14ac:dyDescent="0.25">
      <c r="A61" s="4">
        <v>680</v>
      </c>
      <c r="B61" s="5"/>
      <c r="C61" s="5"/>
      <c r="D61" s="5"/>
      <c r="E61" s="5"/>
      <c r="F61" s="5"/>
      <c r="G61" s="5"/>
      <c r="H61" s="5"/>
    </row>
    <row r="62" spans="1:8" x14ac:dyDescent="0.25">
      <c r="A62" s="4">
        <v>700</v>
      </c>
      <c r="B62" s="5"/>
      <c r="C62" s="5"/>
      <c r="D62" s="5"/>
      <c r="E62" s="5"/>
      <c r="F62" s="5"/>
      <c r="G62" s="5"/>
      <c r="H62" s="5"/>
    </row>
    <row r="63" spans="1:8" x14ac:dyDescent="0.25">
      <c r="A63" s="4">
        <v>720</v>
      </c>
      <c r="B63" s="5"/>
      <c r="C63" s="5"/>
      <c r="D63" s="5"/>
      <c r="E63" s="5"/>
      <c r="F63" s="5"/>
      <c r="G63" s="5"/>
      <c r="H63" s="5"/>
    </row>
    <row r="64" spans="1:8" x14ac:dyDescent="0.25">
      <c r="A64" s="4">
        <v>740</v>
      </c>
      <c r="B64" s="5"/>
      <c r="C64" s="5"/>
      <c r="D64" s="5"/>
      <c r="E64" s="5"/>
      <c r="F64" s="5"/>
      <c r="G64" s="5"/>
      <c r="H64" s="5"/>
    </row>
    <row r="65" spans="1:8" x14ac:dyDescent="0.25">
      <c r="A65" s="4">
        <v>760</v>
      </c>
      <c r="B65" s="5"/>
      <c r="C65" s="5"/>
      <c r="D65" s="5"/>
      <c r="E65" s="5"/>
      <c r="F65" s="5"/>
      <c r="G65" s="5"/>
      <c r="H65" s="5"/>
    </row>
    <row r="66" spans="1:8" x14ac:dyDescent="0.25">
      <c r="A66" s="4" t="s">
        <v>21</v>
      </c>
      <c r="B66" s="5"/>
      <c r="C66" s="5"/>
      <c r="D66" s="5">
        <v>-37.890799999999999</v>
      </c>
      <c r="E66" s="5"/>
      <c r="F66" s="5"/>
      <c r="G66" s="5"/>
      <c r="H66" s="5"/>
    </row>
    <row r="68" spans="1:8" x14ac:dyDescent="0.25">
      <c r="A68" s="6" t="s">
        <v>29</v>
      </c>
    </row>
    <row r="69" spans="1:8" x14ac:dyDescent="0.25">
      <c r="A69" s="6"/>
      <c r="B69" s="11" t="s">
        <v>34</v>
      </c>
      <c r="C69" s="11"/>
      <c r="D69" s="11"/>
      <c r="E69" s="11"/>
      <c r="F69" s="11"/>
      <c r="G69" s="11"/>
      <c r="H69" s="11"/>
    </row>
    <row r="70" spans="1:8" x14ac:dyDescent="0.25">
      <c r="A70" s="10" t="s">
        <v>35</v>
      </c>
      <c r="B70" s="4" t="s">
        <v>13</v>
      </c>
      <c r="C70" s="4" t="s">
        <v>14</v>
      </c>
      <c r="D70" s="4" t="s">
        <v>15</v>
      </c>
      <c r="E70" s="4" t="s">
        <v>16</v>
      </c>
      <c r="F70" s="4" t="s">
        <v>17</v>
      </c>
      <c r="G70" s="4" t="s">
        <v>18</v>
      </c>
      <c r="H70" s="4" t="s">
        <v>19</v>
      </c>
    </row>
    <row r="71" spans="1:8" x14ac:dyDescent="0.25">
      <c r="A71" s="4" t="s">
        <v>20</v>
      </c>
      <c r="B71" s="5"/>
      <c r="C71" s="5"/>
      <c r="D71" s="5"/>
      <c r="E71" s="5"/>
      <c r="F71" s="5"/>
      <c r="G71" s="5"/>
      <c r="H71" s="5"/>
    </row>
    <row r="72" spans="1:8" x14ac:dyDescent="0.25">
      <c r="A72" s="4">
        <v>660</v>
      </c>
      <c r="B72" s="5"/>
      <c r="C72" s="5"/>
      <c r="D72" s="5"/>
      <c r="E72" s="5"/>
      <c r="F72" s="5"/>
      <c r="G72" s="5"/>
      <c r="H72" s="5"/>
    </row>
    <row r="73" spans="1:8" x14ac:dyDescent="0.25">
      <c r="A73" s="4">
        <v>680</v>
      </c>
      <c r="B73" s="5"/>
      <c r="C73" s="5"/>
      <c r="D73" s="5"/>
      <c r="E73" s="5"/>
      <c r="F73" s="5"/>
      <c r="G73" s="5"/>
      <c r="H73" s="5"/>
    </row>
    <row r="74" spans="1:8" x14ac:dyDescent="0.25">
      <c r="A74" s="4">
        <v>700</v>
      </c>
      <c r="B74" s="5"/>
      <c r="C74" s="5"/>
      <c r="D74" s="5"/>
      <c r="E74" s="5"/>
      <c r="F74" s="5"/>
      <c r="G74" s="5"/>
      <c r="H74" s="5"/>
    </row>
    <row r="75" spans="1:8" x14ac:dyDescent="0.25">
      <c r="A75" s="4">
        <v>720</v>
      </c>
      <c r="B75" s="5"/>
      <c r="C75" s="5"/>
      <c r="D75" s="5"/>
      <c r="E75" s="5"/>
      <c r="F75" s="5"/>
      <c r="G75" s="5"/>
      <c r="H75" s="5"/>
    </row>
    <row r="76" spans="1:8" x14ac:dyDescent="0.25">
      <c r="A76" s="4">
        <v>740</v>
      </c>
      <c r="B76" s="5"/>
      <c r="C76" s="5"/>
      <c r="D76" s="5"/>
      <c r="E76" s="5"/>
      <c r="F76" s="5"/>
      <c r="G76" s="5"/>
      <c r="H76" s="5"/>
    </row>
    <row r="77" spans="1:8" x14ac:dyDescent="0.25">
      <c r="A77" s="4">
        <v>760</v>
      </c>
      <c r="B77" s="5"/>
      <c r="C77" s="5"/>
      <c r="D77" s="5"/>
      <c r="E77" s="5"/>
      <c r="F77" s="5"/>
      <c r="G77" s="5"/>
      <c r="H77" s="5"/>
    </row>
    <row r="78" spans="1:8" x14ac:dyDescent="0.25">
      <c r="A78" s="4" t="s">
        <v>21</v>
      </c>
      <c r="B78" s="5"/>
      <c r="C78" s="5"/>
      <c r="D78" s="5">
        <v>-35.6175</v>
      </c>
      <c r="E78" s="5"/>
      <c r="F78" s="5"/>
      <c r="G78" s="5"/>
      <c r="H78" s="5"/>
    </row>
    <row r="80" spans="1:8" x14ac:dyDescent="0.25">
      <c r="A80" s="6" t="s">
        <v>30</v>
      </c>
      <c r="D80" t="s">
        <v>32</v>
      </c>
    </row>
    <row r="81" spans="1:8" x14ac:dyDescent="0.25">
      <c r="A81" s="6"/>
      <c r="B81" s="11" t="s">
        <v>34</v>
      </c>
      <c r="C81" s="11"/>
      <c r="D81" s="11"/>
      <c r="E81" s="11"/>
      <c r="F81" s="11"/>
      <c r="G81" s="11"/>
      <c r="H81" s="11"/>
    </row>
    <row r="82" spans="1:8" x14ac:dyDescent="0.25">
      <c r="A82" s="10" t="s">
        <v>35</v>
      </c>
      <c r="B82" s="4" t="s">
        <v>13</v>
      </c>
      <c r="C82" s="4" t="s">
        <v>14</v>
      </c>
      <c r="D82" s="4" t="s">
        <v>15</v>
      </c>
      <c r="E82" s="4" t="s">
        <v>16</v>
      </c>
      <c r="F82" s="4" t="s">
        <v>17</v>
      </c>
      <c r="G82" s="4" t="s">
        <v>18</v>
      </c>
      <c r="H82" s="4" t="s">
        <v>19</v>
      </c>
    </row>
    <row r="83" spans="1:8" x14ac:dyDescent="0.25">
      <c r="A83" s="4" t="s">
        <v>20</v>
      </c>
      <c r="B83" s="5">
        <f>B71-B59</f>
        <v>0</v>
      </c>
      <c r="C83" s="5">
        <f>C71-C59</f>
        <v>0</v>
      </c>
      <c r="D83" s="5">
        <f>D71-D59</f>
        <v>0</v>
      </c>
      <c r="E83" s="5">
        <f>E71-E59</f>
        <v>0</v>
      </c>
      <c r="F83" s="5">
        <f>F71-F59</f>
        <v>0</v>
      </c>
      <c r="G83" s="5">
        <f>G71-G59</f>
        <v>0</v>
      </c>
      <c r="H83" s="5">
        <f>H71-H59</f>
        <v>0</v>
      </c>
    </row>
    <row r="84" spans="1:8" x14ac:dyDescent="0.25">
      <c r="A84" s="4">
        <v>660</v>
      </c>
      <c r="B84" s="5">
        <f>B72-B60</f>
        <v>0</v>
      </c>
      <c r="C84" s="5">
        <f>C72-C60</f>
        <v>0</v>
      </c>
      <c r="D84" s="5">
        <f>D72-D60</f>
        <v>0</v>
      </c>
      <c r="E84" s="5">
        <f>E72-E60</f>
        <v>0</v>
      </c>
      <c r="F84" s="5">
        <f>F72-F60</f>
        <v>0</v>
      </c>
      <c r="G84" s="5">
        <f>G72-G60</f>
        <v>0</v>
      </c>
      <c r="H84" s="5">
        <f>H72-H60</f>
        <v>0</v>
      </c>
    </row>
    <row r="85" spans="1:8" x14ac:dyDescent="0.25">
      <c r="A85" s="4">
        <v>680</v>
      </c>
      <c r="B85" s="5">
        <f>B73-B61</f>
        <v>0</v>
      </c>
      <c r="C85" s="5">
        <f>C73-C61</f>
        <v>0</v>
      </c>
      <c r="D85" s="5">
        <f>D73-D61</f>
        <v>0</v>
      </c>
      <c r="E85" s="5">
        <f>E73-E61</f>
        <v>0</v>
      </c>
      <c r="F85" s="5">
        <f>F73-F61</f>
        <v>0</v>
      </c>
      <c r="G85" s="5">
        <f>G73-G61</f>
        <v>0</v>
      </c>
      <c r="H85" s="5">
        <f>H73-H61</f>
        <v>0</v>
      </c>
    </row>
    <row r="86" spans="1:8" x14ac:dyDescent="0.25">
      <c r="A86" s="4">
        <v>700</v>
      </c>
      <c r="B86" s="5">
        <f>B74-B62</f>
        <v>0</v>
      </c>
      <c r="C86" s="5">
        <f>C74-C62</f>
        <v>0</v>
      </c>
      <c r="D86" s="5">
        <f>D74-D62</f>
        <v>0</v>
      </c>
      <c r="E86" s="5">
        <f>E74-E62</f>
        <v>0</v>
      </c>
      <c r="F86" s="5">
        <f>F74-F62</f>
        <v>0</v>
      </c>
      <c r="G86" s="5">
        <f>G74-G62</f>
        <v>0</v>
      </c>
      <c r="H86" s="5">
        <f>H74-H62</f>
        <v>0</v>
      </c>
    </row>
    <row r="87" spans="1:8" x14ac:dyDescent="0.25">
      <c r="A87" s="4">
        <v>720</v>
      </c>
      <c r="B87" s="5">
        <f>B75-B63</f>
        <v>0</v>
      </c>
      <c r="C87" s="5">
        <f>C75-C63</f>
        <v>0</v>
      </c>
      <c r="D87" s="5">
        <f>D75-D63</f>
        <v>0</v>
      </c>
      <c r="E87" s="5">
        <f>E75-E63</f>
        <v>0</v>
      </c>
      <c r="F87" s="5">
        <f>F75-F63</f>
        <v>0</v>
      </c>
      <c r="G87" s="5">
        <f>G75-G63</f>
        <v>0</v>
      </c>
      <c r="H87" s="5">
        <f>H75-H63</f>
        <v>0</v>
      </c>
    </row>
    <row r="88" spans="1:8" x14ac:dyDescent="0.25">
      <c r="A88" s="4">
        <v>740</v>
      </c>
      <c r="B88" s="5">
        <f>B76-B64</f>
        <v>0</v>
      </c>
      <c r="C88" s="5">
        <f>C76-C64</f>
        <v>0</v>
      </c>
      <c r="D88" s="5">
        <f>D76-D64</f>
        <v>0</v>
      </c>
      <c r="E88" s="5">
        <f>E76-E64</f>
        <v>0</v>
      </c>
      <c r="F88" s="5">
        <f>F76-F64</f>
        <v>0</v>
      </c>
      <c r="G88" s="5">
        <f>G76-G64</f>
        <v>0</v>
      </c>
      <c r="H88" s="5">
        <f>H76-H64</f>
        <v>0</v>
      </c>
    </row>
    <row r="89" spans="1:8" x14ac:dyDescent="0.25">
      <c r="A89" s="4">
        <v>760</v>
      </c>
      <c r="B89" s="5">
        <f>B77-B65</f>
        <v>0</v>
      </c>
      <c r="C89" s="5">
        <f>C77-C65</f>
        <v>0</v>
      </c>
      <c r="D89" s="5">
        <f>D77-D65</f>
        <v>0</v>
      </c>
      <c r="E89" s="5">
        <f>E77-E65</f>
        <v>0</v>
      </c>
      <c r="F89" s="5">
        <f>F77-F65</f>
        <v>0</v>
      </c>
      <c r="G89" s="5">
        <f>G77-G65</f>
        <v>0</v>
      </c>
      <c r="H89" s="5">
        <f>H77-H65</f>
        <v>0</v>
      </c>
    </row>
    <row r="90" spans="1:8" x14ac:dyDescent="0.25">
      <c r="A90" s="4" t="s">
        <v>21</v>
      </c>
      <c r="B90" s="5">
        <f>B78-B66</f>
        <v>0</v>
      </c>
      <c r="C90" s="5">
        <f>C78-C66</f>
        <v>0</v>
      </c>
      <c r="D90" s="5">
        <f>D78-D66</f>
        <v>2.273299999999999</v>
      </c>
      <c r="E90" s="5">
        <f>E78-E66</f>
        <v>0</v>
      </c>
      <c r="F90" s="5">
        <f>F78-F66</f>
        <v>0</v>
      </c>
      <c r="G90" s="5">
        <f>G78-G66</f>
        <v>0</v>
      </c>
      <c r="H90" s="5">
        <f>H78-H66</f>
        <v>0</v>
      </c>
    </row>
    <row r="92" spans="1:8" x14ac:dyDescent="0.25">
      <c r="A92" s="6" t="s">
        <v>27</v>
      </c>
    </row>
    <row r="93" spans="1:8" x14ac:dyDescent="0.25">
      <c r="A93" s="6"/>
      <c r="B93" s="11" t="s">
        <v>34</v>
      </c>
      <c r="C93" s="11"/>
      <c r="D93" s="11"/>
      <c r="E93" s="11"/>
      <c r="F93" s="11"/>
      <c r="G93" s="11"/>
      <c r="H93" s="11"/>
    </row>
    <row r="94" spans="1:8" x14ac:dyDescent="0.25">
      <c r="A94" s="10" t="s">
        <v>35</v>
      </c>
      <c r="B94" s="4" t="s">
        <v>13</v>
      </c>
      <c r="C94" s="4" t="s">
        <v>14</v>
      </c>
      <c r="D94" s="4" t="s">
        <v>15</v>
      </c>
      <c r="E94" s="4" t="s">
        <v>16</v>
      </c>
      <c r="F94" s="4" t="s">
        <v>17</v>
      </c>
      <c r="G94" s="4" t="s">
        <v>18</v>
      </c>
      <c r="H94" s="4" t="s">
        <v>19</v>
      </c>
    </row>
    <row r="95" spans="1:8" x14ac:dyDescent="0.25">
      <c r="A95" s="4" t="s">
        <v>20</v>
      </c>
      <c r="B95" s="7"/>
      <c r="C95" s="7"/>
      <c r="D95" s="7"/>
      <c r="E95" s="7"/>
      <c r="F95" s="7"/>
      <c r="G95" s="7"/>
      <c r="H95" s="7"/>
    </row>
    <row r="96" spans="1:8" x14ac:dyDescent="0.25">
      <c r="A96" s="4">
        <v>660</v>
      </c>
      <c r="B96" s="7"/>
      <c r="C96" s="7"/>
      <c r="D96" s="7"/>
      <c r="E96" s="7"/>
      <c r="F96" s="7"/>
      <c r="G96" s="7"/>
      <c r="H96" s="7"/>
    </row>
    <row r="97" spans="1:8" x14ac:dyDescent="0.25">
      <c r="A97" s="4">
        <v>680</v>
      </c>
      <c r="B97" s="7"/>
      <c r="C97" s="7"/>
      <c r="D97" s="7"/>
      <c r="E97" s="7"/>
      <c r="F97" s="7"/>
      <c r="G97" s="7"/>
      <c r="H97" s="7"/>
    </row>
    <row r="98" spans="1:8" x14ac:dyDescent="0.25">
      <c r="A98" s="4">
        <v>700</v>
      </c>
      <c r="B98" s="7"/>
      <c r="C98" s="7"/>
      <c r="D98" s="7"/>
      <c r="E98" s="7"/>
      <c r="F98" s="7"/>
      <c r="G98" s="7"/>
      <c r="H98" s="7"/>
    </row>
    <row r="99" spans="1:8" x14ac:dyDescent="0.25">
      <c r="A99" s="4">
        <v>720</v>
      </c>
      <c r="B99" s="7"/>
      <c r="C99" s="7"/>
      <c r="D99" s="7"/>
      <c r="E99" s="7"/>
      <c r="F99" s="7"/>
      <c r="G99" s="7"/>
      <c r="H99" s="7"/>
    </row>
    <row r="100" spans="1:8" x14ac:dyDescent="0.25">
      <c r="A100" s="4">
        <v>740</v>
      </c>
      <c r="B100" s="7"/>
      <c r="C100" s="7"/>
      <c r="D100" s="7"/>
      <c r="E100" s="7"/>
      <c r="F100" s="7"/>
      <c r="G100" s="7"/>
      <c r="H100" s="7"/>
    </row>
    <row r="101" spans="1:8" x14ac:dyDescent="0.25">
      <c r="A101" s="4">
        <v>760</v>
      </c>
      <c r="B101" s="7"/>
      <c r="C101" s="7"/>
      <c r="D101" s="7"/>
      <c r="E101" s="7"/>
      <c r="F101" s="7"/>
      <c r="G101" s="7"/>
      <c r="H101" s="7"/>
    </row>
    <row r="102" spans="1:8" x14ac:dyDescent="0.25">
      <c r="A102" s="4" t="s">
        <v>21</v>
      </c>
      <c r="B102" s="7"/>
      <c r="C102" s="7"/>
      <c r="D102" s="7">
        <f>D49</f>
        <v>1</v>
      </c>
      <c r="E102" s="7"/>
      <c r="F102" s="7"/>
      <c r="G102" s="7"/>
      <c r="H102" s="7"/>
    </row>
  </sheetData>
  <mergeCells count="8">
    <mergeCell ref="B81:H81"/>
    <mergeCell ref="B93:H93"/>
    <mergeCell ref="B4:H4"/>
    <mergeCell ref="B16:H16"/>
    <mergeCell ref="B28:H28"/>
    <mergeCell ref="B40:H40"/>
    <mergeCell ref="B57:H57"/>
    <mergeCell ref="B69:H69"/>
  </mergeCells>
  <conditionalFormatting sqref="B30:H37">
    <cfRule type="cellIs" dxfId="472" priority="4" operator="equal">
      <formula>0</formula>
    </cfRule>
  </conditionalFormatting>
  <conditionalFormatting sqref="B42:H49">
    <cfRule type="cellIs" dxfId="471" priority="3" operator="equal">
      <formula>0</formula>
    </cfRule>
  </conditionalFormatting>
  <conditionalFormatting sqref="B83:H90">
    <cfRule type="cellIs" dxfId="470" priority="2" operator="equal">
      <formula>0</formula>
    </cfRule>
  </conditionalFormatting>
  <conditionalFormatting sqref="B95:H102">
    <cfRule type="cellIs" dxfId="469" priority="1" operator="equal">
      <formula>0</formula>
    </cfRule>
  </conditionalFormatting>
  <pageMargins left="0.7" right="0.7" top="0.75" bottom="0.75" header="0.3" footer="0.3"/>
  <pageSetup scale="80" orientation="portrait" horizontalDpi="1200" verticalDpi="1200" r:id="rId1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Raw Data</vt:lpstr>
      <vt:lpstr>Complete Data</vt:lpstr>
      <vt:lpstr>Pivot</vt:lpstr>
      <vt:lpstr>U9-2010-4.5</vt:lpstr>
      <vt:lpstr>U6-2012-3.5</vt:lpstr>
      <vt:lpstr>'U6-2012-3.5'!Print_Area</vt:lpstr>
      <vt:lpstr>'U9-2010-4.5'!Print_Area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2017-01-09T23:41:54Z</cp:lastPrinted>
  <dcterms:created xsi:type="dcterms:W3CDTF">2017-01-09T23:02:50Z</dcterms:created>
  <dcterms:modified xsi:type="dcterms:W3CDTF">2017-01-10T16:44:48Z</dcterms:modified>
</cp:coreProperties>
</file>