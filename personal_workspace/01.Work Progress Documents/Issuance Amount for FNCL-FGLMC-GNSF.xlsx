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32595" windowHeight="18705"/>
  </bookViews>
  <sheets>
    <sheet name="Sheet3" sheetId="3" r:id="rId1"/>
    <sheet name="Sheet1" sheetId="1" state="hidden" r:id="rId2"/>
    <sheet name="Sheet2" sheetId="2" state="hidden" r:id="rId3"/>
    <sheet name="Sheet4" sheetId="4" r:id="rId4"/>
  </sheets>
  <calcPr calcId="145621"/>
</workbook>
</file>

<file path=xl/calcChain.xml><?xml version="1.0" encoding="utf-8"?>
<calcChain xmlns="http://schemas.openxmlformats.org/spreadsheetml/2006/main">
  <c r="F3" i="3" l="1"/>
  <c r="I8" i="3"/>
  <c r="I15" i="3"/>
  <c r="I16" i="3"/>
  <c r="I22" i="3"/>
  <c r="I23" i="3"/>
  <c r="I24" i="3"/>
  <c r="G3" i="3"/>
  <c r="H3" i="3"/>
  <c r="G4" i="3"/>
  <c r="H4" i="3"/>
  <c r="G5" i="3"/>
  <c r="H5" i="3"/>
  <c r="G6" i="3"/>
  <c r="H6" i="3"/>
  <c r="G7" i="3"/>
  <c r="H7" i="3"/>
  <c r="I7" i="3" s="1"/>
  <c r="G8" i="3"/>
  <c r="H8" i="3"/>
  <c r="G9" i="3"/>
  <c r="H9" i="3"/>
  <c r="I9" i="3" s="1"/>
  <c r="G10" i="3"/>
  <c r="H10" i="3"/>
  <c r="I10" i="3" s="1"/>
  <c r="G11" i="3"/>
  <c r="H11" i="3"/>
  <c r="G12" i="3"/>
  <c r="H12" i="3"/>
  <c r="I12" i="3" s="1"/>
  <c r="G13" i="3"/>
  <c r="H13" i="3"/>
  <c r="I13" i="3" s="1"/>
  <c r="G14" i="3"/>
  <c r="H14" i="3"/>
  <c r="G15" i="3"/>
  <c r="H15" i="3"/>
  <c r="G16" i="3"/>
  <c r="H16" i="3"/>
  <c r="G17" i="3"/>
  <c r="H17" i="3"/>
  <c r="I17" i="3" s="1"/>
  <c r="G18" i="3"/>
  <c r="H18" i="3"/>
  <c r="I18" i="3" s="1"/>
  <c r="G19" i="3"/>
  <c r="H19" i="3"/>
  <c r="G20" i="3"/>
  <c r="H20" i="3"/>
  <c r="I20" i="3" s="1"/>
  <c r="G21" i="3"/>
  <c r="H21" i="3"/>
  <c r="I21" i="3" s="1"/>
  <c r="G22" i="3"/>
  <c r="H22" i="3"/>
  <c r="G23" i="3"/>
  <c r="H23" i="3"/>
  <c r="G24" i="3"/>
  <c r="H24" i="3"/>
  <c r="G25" i="3"/>
  <c r="H25" i="3"/>
  <c r="I25" i="3" s="1"/>
  <c r="F4" i="3"/>
  <c r="F5" i="3"/>
  <c r="F6" i="3"/>
  <c r="F7" i="3"/>
  <c r="F8" i="3"/>
  <c r="F9" i="3"/>
  <c r="F10" i="3"/>
  <c r="F11" i="3"/>
  <c r="I11" i="3" s="1"/>
  <c r="F12" i="3"/>
  <c r="F13" i="3"/>
  <c r="F14" i="3"/>
  <c r="I14" i="3" s="1"/>
  <c r="F15" i="3"/>
  <c r="F16" i="3"/>
  <c r="F17" i="3"/>
  <c r="F18" i="3"/>
  <c r="F19" i="3"/>
  <c r="I19" i="3" s="1"/>
  <c r="F20" i="3"/>
  <c r="F21" i="3"/>
  <c r="F22" i="3"/>
  <c r="F23" i="3"/>
  <c r="F24" i="3"/>
  <c r="F25" i="3"/>
</calcChain>
</file>

<file path=xl/sharedStrings.xml><?xml version="1.0" encoding="utf-8"?>
<sst xmlns="http://schemas.openxmlformats.org/spreadsheetml/2006/main" count="21" uniqueCount="9">
  <si>
    <t>asOf</t>
  </si>
  <si>
    <t>TotalBalance</t>
  </si>
  <si>
    <t>year</t>
  </si>
  <si>
    <t>FNCL</t>
  </si>
  <si>
    <t>FGLMC</t>
  </si>
  <si>
    <t>GNSFnG2SF</t>
  </si>
  <si>
    <t>GNSF/G2SF</t>
  </si>
  <si>
    <t>%GN</t>
  </si>
  <si>
    <t>Pool Issuance Amount ($B)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</si>
</sst>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14" fontId="0" fillId="0" borderId="0" xfId="0" applyNumberFormat="1"/>
    <xf numFmtId="165" fontId="0" fillId="0" borderId="0" xfId="1" applyNumberFormat="1" applyFont="1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43" fontId="0" fillId="0" borderId="0" xfId="0" applyNumberForma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43" fontId="0" fillId="0" borderId="5" xfId="0" applyNumberFormat="1" applyBorder="1" applyAlignment="1">
      <alignment horizontal="center"/>
    </xf>
    <xf numFmtId="0" fontId="0" fillId="0" borderId="6" xfId="0" applyBorder="1" applyAlignment="1"/>
    <xf numFmtId="0" fontId="0" fillId="0" borderId="7" xfId="0" applyBorder="1" applyAlignment="1">
      <alignment horizontal="center"/>
    </xf>
    <xf numFmtId="9" fontId="0" fillId="0" borderId="7" xfId="2" applyFont="1" applyBorder="1" applyAlignment="1">
      <alignment horizontal="center"/>
    </xf>
    <xf numFmtId="9" fontId="0" fillId="0" borderId="8" xfId="2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43" fontId="0" fillId="0" borderId="11" xfId="0" applyNumberFormat="1" applyBorder="1" applyAlignment="1">
      <alignment horizontal="center"/>
    </xf>
    <xf numFmtId="43" fontId="0" fillId="0" borderId="12" xfId="0" applyNumberFormat="1" applyBorder="1" applyAlignment="1">
      <alignment horizontal="center"/>
    </xf>
    <xf numFmtId="43" fontId="0" fillId="0" borderId="13" xfId="0" applyNumberFormat="1" applyBorder="1" applyAlignment="1">
      <alignment horizontal="center"/>
    </xf>
    <xf numFmtId="43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43" fontId="0" fillId="0" borderId="16" xfId="0" applyNumberFormat="1" applyBorder="1" applyAlignment="1">
      <alignment horizontal="center"/>
    </xf>
    <xf numFmtId="43" fontId="0" fillId="0" borderId="17" xfId="0" applyNumberFormat="1" applyBorder="1" applyAlignment="1">
      <alignment horizontal="center"/>
    </xf>
    <xf numFmtId="43" fontId="0" fillId="0" borderId="18" xfId="0" applyNumberFormat="1" applyBorder="1" applyAlignment="1">
      <alignment horizontal="center"/>
    </xf>
    <xf numFmtId="9" fontId="0" fillId="0" borderId="19" xfId="2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295275</xdr:colOff>
      <xdr:row>2</xdr:row>
      <xdr:rowOff>76200</xdr:rowOff>
    </xdr:from>
    <xdr:to>
      <xdr:col>12</xdr:col>
      <xdr:colOff>76200</xdr:colOff>
      <xdr:row>51</xdr:row>
      <xdr:rowOff>76200</xdr:rowOff>
    </xdr:to>
    <xdr:sp macro="" textlink="">
      <xdr:nvSpPr>
        <xdr:cNvPr id="2" name="TextBox 1"/>
        <xdr:cNvSpPr txBox="1"/>
      </xdr:nvSpPr>
      <xdr:spPr>
        <a:xfrm>
          <a:off x="904875" y="457200"/>
          <a:ext cx="6486525" cy="9334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Query:</a:t>
          </a:r>
        </a:p>
        <a:p>
          <a:endParaRPr lang="en-US" sz="1100"/>
        </a:p>
        <a:p>
          <a:r>
            <a:rPr lang="en-US" sz="1100"/>
            <a:t>select </a:t>
          </a:r>
        </a:p>
        <a:p>
          <a:r>
            <a:rPr lang="en-US" sz="1100"/>
            <a:t>        year(asOf) year, </a:t>
          </a:r>
        </a:p>
        <a:p>
          <a:r>
            <a:rPr lang="en-US" sz="1100"/>
            <a:t>        sum(rpb) FNCL</a:t>
          </a:r>
        </a:p>
        <a:p>
          <a:r>
            <a:rPr lang="en-US" sz="1100"/>
            <a:t>    from  </a:t>
          </a:r>
        </a:p>
        <a:p>
          <a:r>
            <a:rPr lang="en-US" sz="1100"/>
            <a:t>        fnm.MappedServicerDist m</a:t>
          </a:r>
        </a:p>
        <a:p>
          <a:r>
            <a:rPr lang="en-US" sz="1100"/>
            <a:t>    join fnm.Sec b on b.issueID = m.issueId and b.issueDate = m.asOf</a:t>
          </a:r>
        </a:p>
        <a:p>
          <a:r>
            <a:rPr lang="en-US" sz="1100"/>
            <a:t>    where </a:t>
          </a:r>
        </a:p>
        <a:p>
          <a:r>
            <a:rPr lang="en-US" sz="1100"/>
            <a:t>        rpb&gt;0</a:t>
          </a:r>
        </a:p>
        <a:p>
          <a:r>
            <a:rPr lang="en-US" sz="1100"/>
            <a:t>        --and servicerName in ('REMAINING')</a:t>
          </a:r>
        </a:p>
        <a:p>
          <a:r>
            <a:rPr lang="en-US" sz="1100"/>
            <a:t>        and marketTicker = 'FNCL'</a:t>
          </a:r>
        </a:p>
        <a:p>
          <a:r>
            <a:rPr lang="en-US" sz="1100"/>
            <a:t>        and collateralType = 'LOAN'</a:t>
          </a:r>
        </a:p>
        <a:p>
          <a:r>
            <a:rPr lang="en-US" sz="1100"/>
            <a:t>        and couponType = 'FIX'</a:t>
          </a:r>
        </a:p>
        <a:p>
          <a:r>
            <a:rPr lang="en-US" sz="1100"/>
            <a:t>        and asOf &lt;= '20150901'</a:t>
          </a:r>
        </a:p>
        <a:p>
          <a:r>
            <a:rPr lang="en-US" sz="1100"/>
            <a:t>    group by</a:t>
          </a:r>
        </a:p>
        <a:p>
          <a:r>
            <a:rPr lang="en-US" sz="1100"/>
            <a:t>         year</a:t>
          </a:r>
        </a:p>
        <a:p>
          <a:endParaRPr lang="en-US" sz="1100"/>
        </a:p>
        <a:p>
          <a:r>
            <a:rPr lang="en-US" sz="1100"/>
            <a:t>select </a:t>
          </a:r>
        </a:p>
        <a:p>
          <a:r>
            <a:rPr lang="en-US" sz="1100"/>
            <a:t>        year(asOf) year, </a:t>
          </a:r>
        </a:p>
        <a:p>
          <a:r>
            <a:rPr lang="en-US" sz="1100"/>
            <a:t>        sum(rpb) FGLMC</a:t>
          </a:r>
        </a:p>
        <a:p>
          <a:r>
            <a:rPr lang="en-US" sz="1100"/>
            <a:t>    from  </a:t>
          </a:r>
        </a:p>
        <a:p>
          <a:r>
            <a:rPr lang="en-US" sz="1100"/>
            <a:t>        fhl.MappedServicerDist m</a:t>
          </a:r>
        </a:p>
        <a:p>
          <a:r>
            <a:rPr lang="en-US" sz="1100"/>
            <a:t>    join fhl.Sec b on b.issueID = m.issueId and b.issueDate = m.asOf</a:t>
          </a:r>
        </a:p>
        <a:p>
          <a:r>
            <a:rPr lang="en-US" sz="1100"/>
            <a:t>    where </a:t>
          </a:r>
        </a:p>
        <a:p>
          <a:r>
            <a:rPr lang="en-US" sz="1100"/>
            <a:t>        rpb&gt;0</a:t>
          </a:r>
        </a:p>
        <a:p>
          <a:r>
            <a:rPr lang="en-US" sz="1100"/>
            <a:t>        --and servicerName in ('REMAINING')</a:t>
          </a:r>
        </a:p>
        <a:p>
          <a:r>
            <a:rPr lang="en-US" sz="1100"/>
            <a:t>        and marketTicker = 'FGLMC'</a:t>
          </a:r>
        </a:p>
        <a:p>
          <a:r>
            <a:rPr lang="en-US" sz="1100"/>
            <a:t>        and collateralType = 'LOAN'</a:t>
          </a:r>
        </a:p>
        <a:p>
          <a:r>
            <a:rPr lang="en-US" sz="1100"/>
            <a:t>        and couponType = 'FIX'</a:t>
          </a:r>
        </a:p>
        <a:p>
          <a:r>
            <a:rPr lang="en-US" sz="1100"/>
            <a:t>        and asOf &lt;= '20150901'</a:t>
          </a:r>
        </a:p>
        <a:p>
          <a:r>
            <a:rPr lang="en-US" sz="1100"/>
            <a:t>    group by</a:t>
          </a:r>
        </a:p>
        <a:p>
          <a:r>
            <a:rPr lang="en-US" sz="1100"/>
            <a:t>         year</a:t>
          </a:r>
        </a:p>
        <a:p>
          <a:endParaRPr lang="en-US" sz="1100"/>
        </a:p>
        <a:p>
          <a:r>
            <a:rPr lang="en-US" sz="1100"/>
            <a:t>select </a:t>
          </a:r>
        </a:p>
        <a:p>
          <a:r>
            <a:rPr lang="en-US" sz="1100"/>
            <a:t>        year(asOf) year, </a:t>
          </a:r>
        </a:p>
        <a:p>
          <a:r>
            <a:rPr lang="en-US" sz="1100"/>
            <a:t>        sum(rpb) GNSFnG2SF</a:t>
          </a:r>
        </a:p>
        <a:p>
          <a:r>
            <a:rPr lang="en-US" sz="1100"/>
            <a:t>    from  </a:t>
          </a:r>
        </a:p>
        <a:p>
          <a:r>
            <a:rPr lang="en-US" sz="1100"/>
            <a:t>        gnm.MappedServicerDist m</a:t>
          </a:r>
        </a:p>
        <a:p>
          <a:r>
            <a:rPr lang="en-US" sz="1100"/>
            <a:t>    join gnm.Sec b on b.issueID = m.issueId and b.issueDate = m.asOf</a:t>
          </a:r>
        </a:p>
        <a:p>
          <a:r>
            <a:rPr lang="en-US" sz="1100"/>
            <a:t>    where </a:t>
          </a:r>
        </a:p>
        <a:p>
          <a:r>
            <a:rPr lang="en-US" sz="1100"/>
            <a:t>        rpb&gt;0</a:t>
          </a:r>
        </a:p>
        <a:p>
          <a:r>
            <a:rPr lang="en-US" sz="1100"/>
            <a:t>        --and servicerName in ('REMAINING')</a:t>
          </a:r>
        </a:p>
        <a:p>
          <a:r>
            <a:rPr lang="en-US" sz="1100"/>
            <a:t>        and marketTicker in ('GNSF','G2SF')</a:t>
          </a:r>
        </a:p>
        <a:p>
          <a:r>
            <a:rPr lang="en-US" sz="1100"/>
            <a:t>        and collateralType = 'LOAN'</a:t>
          </a:r>
        </a:p>
        <a:p>
          <a:r>
            <a:rPr lang="en-US" sz="1100"/>
            <a:t>        and couponType = 'FIX'</a:t>
          </a:r>
        </a:p>
        <a:p>
          <a:r>
            <a:rPr lang="en-US" sz="1100"/>
            <a:t>        and asOf &lt;= '20150901'</a:t>
          </a:r>
        </a:p>
        <a:p>
          <a:r>
            <a:rPr lang="en-US" sz="1100"/>
            <a:t>    group by</a:t>
          </a:r>
        </a:p>
        <a:p>
          <a:r>
            <a:rPr lang="en-US" sz="1100"/>
            <a:t>         year</a:t>
          </a:r>
        </a:p>
        <a:p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tabSelected="1" topLeftCell="E1" workbookViewId="0">
      <selection activeCell="M27" sqref="M27"/>
    </sheetView>
  </sheetViews>
  <sheetFormatPr defaultRowHeight="15" x14ac:dyDescent="0.25"/>
  <cols>
    <col min="1" max="1" width="0" hidden="1" customWidth="1"/>
    <col min="2" max="4" width="19" hidden="1" customWidth="1"/>
    <col min="5" max="9" width="10.140625" customWidth="1"/>
  </cols>
  <sheetData>
    <row r="1" spans="1:9" x14ac:dyDescent="0.25">
      <c r="E1" s="3"/>
      <c r="F1" s="14" t="s">
        <v>8</v>
      </c>
      <c r="G1" s="4"/>
      <c r="H1" s="15"/>
      <c r="I1" s="10"/>
    </row>
    <row r="2" spans="1:9" x14ac:dyDescent="0.25">
      <c r="A2" t="s">
        <v>2</v>
      </c>
      <c r="B2" t="s">
        <v>3</v>
      </c>
      <c r="C2" t="s">
        <v>4</v>
      </c>
      <c r="D2" t="s">
        <v>6</v>
      </c>
      <c r="E2" s="20"/>
      <c r="F2" s="21" t="s">
        <v>3</v>
      </c>
      <c r="G2" s="22" t="s">
        <v>4</v>
      </c>
      <c r="H2" s="23" t="s">
        <v>6</v>
      </c>
      <c r="I2" s="24" t="s">
        <v>7</v>
      </c>
    </row>
    <row r="3" spans="1:9" x14ac:dyDescent="0.25">
      <c r="A3">
        <v>2000</v>
      </c>
      <c r="B3" s="2">
        <v>148215312108</v>
      </c>
      <c r="C3" s="2"/>
      <c r="D3" s="2"/>
      <c r="E3" s="5">
        <v>2000</v>
      </c>
      <c r="F3" s="16">
        <f>B3/1000000000</f>
        <v>148.21531210800001</v>
      </c>
      <c r="G3" s="6">
        <f t="shared" ref="G3:H18" si="0">C3/1000000000</f>
        <v>0</v>
      </c>
      <c r="H3" s="17">
        <f t="shared" si="0"/>
        <v>0</v>
      </c>
      <c r="I3" s="11"/>
    </row>
    <row r="4" spans="1:9" x14ac:dyDescent="0.25">
      <c r="A4">
        <v>2001</v>
      </c>
      <c r="B4" s="2">
        <v>368789967732</v>
      </c>
      <c r="C4" s="2">
        <v>252140656453</v>
      </c>
      <c r="D4" s="2"/>
      <c r="E4" s="5">
        <v>2001</v>
      </c>
      <c r="F4" s="16">
        <f t="shared" ref="F4:F25" si="1">B4/1000000000</f>
        <v>368.78996773199998</v>
      </c>
      <c r="G4" s="6">
        <f t="shared" si="0"/>
        <v>252.14065645299999</v>
      </c>
      <c r="H4" s="17">
        <f t="shared" si="0"/>
        <v>0</v>
      </c>
      <c r="I4" s="11"/>
    </row>
    <row r="5" spans="1:9" x14ac:dyDescent="0.25">
      <c r="A5">
        <v>2002</v>
      </c>
      <c r="B5" s="2">
        <v>440444585468</v>
      </c>
      <c r="C5" s="2">
        <v>282398492378</v>
      </c>
      <c r="D5" s="2"/>
      <c r="E5" s="5">
        <v>2002</v>
      </c>
      <c r="F5" s="16">
        <f t="shared" si="1"/>
        <v>440.44458546800001</v>
      </c>
      <c r="G5" s="6">
        <f t="shared" si="0"/>
        <v>282.39849237800001</v>
      </c>
      <c r="H5" s="17">
        <f t="shared" si="0"/>
        <v>0</v>
      </c>
      <c r="I5" s="11"/>
    </row>
    <row r="6" spans="1:9" x14ac:dyDescent="0.25">
      <c r="A6">
        <v>2003</v>
      </c>
      <c r="B6" s="2">
        <v>694277370998</v>
      </c>
      <c r="C6" s="2">
        <v>328385209714</v>
      </c>
      <c r="D6" s="2"/>
      <c r="E6" s="5">
        <v>2003</v>
      </c>
      <c r="F6" s="16">
        <f t="shared" si="1"/>
        <v>694.27737099800004</v>
      </c>
      <c r="G6" s="6">
        <f t="shared" si="0"/>
        <v>328.38520971399998</v>
      </c>
      <c r="H6" s="17">
        <f t="shared" si="0"/>
        <v>0</v>
      </c>
      <c r="I6" s="11"/>
    </row>
    <row r="7" spans="1:9" x14ac:dyDescent="0.25">
      <c r="A7">
        <v>2004</v>
      </c>
      <c r="B7" s="2">
        <v>301287928149</v>
      </c>
      <c r="C7" s="2">
        <v>200778424620</v>
      </c>
      <c r="D7" s="2">
        <v>97361925022.919998</v>
      </c>
      <c r="E7" s="5">
        <v>2004</v>
      </c>
      <c r="F7" s="16">
        <f t="shared" si="1"/>
        <v>301.28792814899998</v>
      </c>
      <c r="G7" s="6">
        <f t="shared" si="0"/>
        <v>200.77842462000001</v>
      </c>
      <c r="H7" s="17">
        <f t="shared" si="0"/>
        <v>97.361925022920005</v>
      </c>
      <c r="I7" s="12">
        <f>H7/SUM(F7:H7)</f>
        <v>0.16242464466569148</v>
      </c>
    </row>
    <row r="8" spans="1:9" x14ac:dyDescent="0.25">
      <c r="A8">
        <v>2005</v>
      </c>
      <c r="B8" s="2">
        <v>318208793102.78998</v>
      </c>
      <c r="C8" s="2">
        <v>256740082819</v>
      </c>
      <c r="D8" s="2">
        <v>77181076338.929993</v>
      </c>
      <c r="E8" s="5">
        <v>2005</v>
      </c>
      <c r="F8" s="16">
        <f t="shared" si="1"/>
        <v>318.20879310278997</v>
      </c>
      <c r="G8" s="6">
        <f t="shared" si="0"/>
        <v>256.74008281900001</v>
      </c>
      <c r="H8" s="17">
        <f t="shared" si="0"/>
        <v>77.181076338929998</v>
      </c>
      <c r="I8" s="12">
        <f t="shared" ref="I8:I25" si="2">H8/SUM(F8:H8)</f>
        <v>0.1183522947709557</v>
      </c>
    </row>
    <row r="9" spans="1:9" x14ac:dyDescent="0.25">
      <c r="A9">
        <v>2006</v>
      </c>
      <c r="B9" s="2">
        <v>332875209761.21997</v>
      </c>
      <c r="C9" s="2">
        <v>239688724289</v>
      </c>
      <c r="D9" s="2">
        <v>78943161995.550003</v>
      </c>
      <c r="E9" s="5">
        <v>2006</v>
      </c>
      <c r="F9" s="16">
        <f t="shared" si="1"/>
        <v>332.87520976121999</v>
      </c>
      <c r="G9" s="6">
        <f t="shared" si="0"/>
        <v>239.68872428899999</v>
      </c>
      <c r="H9" s="17">
        <f t="shared" si="0"/>
        <v>78.94316199555</v>
      </c>
      <c r="I9" s="12">
        <f t="shared" si="2"/>
        <v>0.12117007239780554</v>
      </c>
    </row>
    <row r="10" spans="1:9" x14ac:dyDescent="0.25">
      <c r="A10">
        <v>2007</v>
      </c>
      <c r="B10" s="2">
        <v>510294968365.65997</v>
      </c>
      <c r="C10" s="2">
        <v>297337271760.91998</v>
      </c>
      <c r="D10" s="2">
        <v>102732600552.78999</v>
      </c>
      <c r="E10" s="5">
        <v>2007</v>
      </c>
      <c r="F10" s="16">
        <f t="shared" si="1"/>
        <v>510.29496836566</v>
      </c>
      <c r="G10" s="6">
        <f t="shared" si="0"/>
        <v>297.33727176091998</v>
      </c>
      <c r="H10" s="17">
        <f t="shared" si="0"/>
        <v>102.73260055278999</v>
      </c>
      <c r="I10" s="12">
        <f t="shared" si="2"/>
        <v>0.11284772429933106</v>
      </c>
    </row>
    <row r="11" spans="1:9" x14ac:dyDescent="0.25">
      <c r="A11">
        <v>2008</v>
      </c>
      <c r="B11" s="2">
        <v>453203638757.53003</v>
      </c>
      <c r="C11" s="2">
        <v>284600653188.40997</v>
      </c>
      <c r="D11" s="2">
        <v>268359310597.76999</v>
      </c>
      <c r="E11" s="5">
        <v>2008</v>
      </c>
      <c r="F11" s="16">
        <f t="shared" si="1"/>
        <v>453.20363875753003</v>
      </c>
      <c r="G11" s="6">
        <f t="shared" si="0"/>
        <v>284.60065318840998</v>
      </c>
      <c r="H11" s="17">
        <f t="shared" si="0"/>
        <v>268.35931059776999</v>
      </c>
      <c r="I11" s="12">
        <f t="shared" si="2"/>
        <v>0.26671538298475855</v>
      </c>
    </row>
    <row r="12" spans="1:9" x14ac:dyDescent="0.25">
      <c r="A12">
        <v>2009</v>
      </c>
      <c r="B12" s="2">
        <v>599644276277.81995</v>
      </c>
      <c r="C12" s="2">
        <v>387752008190</v>
      </c>
      <c r="D12" s="2">
        <v>419861660090.96997</v>
      </c>
      <c r="E12" s="5">
        <v>2009</v>
      </c>
      <c r="F12" s="16">
        <f t="shared" si="1"/>
        <v>599.64427627781993</v>
      </c>
      <c r="G12" s="6">
        <f t="shared" si="0"/>
        <v>387.75200819000003</v>
      </c>
      <c r="H12" s="17">
        <f t="shared" si="0"/>
        <v>419.86166009096996</v>
      </c>
      <c r="I12" s="12">
        <f t="shared" si="2"/>
        <v>0.29835444291814389</v>
      </c>
    </row>
    <row r="13" spans="1:9" x14ac:dyDescent="0.25">
      <c r="A13">
        <v>2010</v>
      </c>
      <c r="B13" s="2">
        <v>354674062061.03003</v>
      </c>
      <c r="C13" s="2">
        <v>234359116538.79001</v>
      </c>
      <c r="D13" s="2">
        <v>339786484009.51001</v>
      </c>
      <c r="E13" s="5">
        <v>2010</v>
      </c>
      <c r="F13" s="16">
        <f t="shared" si="1"/>
        <v>354.67406206103004</v>
      </c>
      <c r="G13" s="6">
        <f t="shared" si="0"/>
        <v>234.35911653879</v>
      </c>
      <c r="H13" s="17">
        <f t="shared" si="0"/>
        <v>339.78648400950999</v>
      </c>
      <c r="I13" s="12">
        <f t="shared" si="2"/>
        <v>0.36582610994145937</v>
      </c>
    </row>
    <row r="14" spans="1:9" x14ac:dyDescent="0.25">
      <c r="A14">
        <v>2011</v>
      </c>
      <c r="B14" s="2">
        <v>304390498686.31</v>
      </c>
      <c r="C14" s="2">
        <v>161727516157.34</v>
      </c>
      <c r="D14" s="2">
        <v>258788243580.70999</v>
      </c>
      <c r="E14" s="5">
        <v>2011</v>
      </c>
      <c r="F14" s="16">
        <f t="shared" si="1"/>
        <v>304.39049868631002</v>
      </c>
      <c r="G14" s="6">
        <f t="shared" si="0"/>
        <v>161.72751615734001</v>
      </c>
      <c r="H14" s="17">
        <f t="shared" si="0"/>
        <v>258.78824358071</v>
      </c>
      <c r="I14" s="12">
        <f t="shared" si="2"/>
        <v>0.3569954605485216</v>
      </c>
    </row>
    <row r="15" spans="1:9" x14ac:dyDescent="0.25">
      <c r="A15">
        <v>2012</v>
      </c>
      <c r="B15" s="2">
        <v>485520143640.41998</v>
      </c>
      <c r="C15" s="2">
        <v>237287808190</v>
      </c>
      <c r="D15" s="2">
        <v>351447776495.76001</v>
      </c>
      <c r="E15" s="5">
        <v>2012</v>
      </c>
      <c r="F15" s="16">
        <f t="shared" si="1"/>
        <v>485.52014364041997</v>
      </c>
      <c r="G15" s="6">
        <f t="shared" si="0"/>
        <v>237.28780818999999</v>
      </c>
      <c r="H15" s="17">
        <f t="shared" si="0"/>
        <v>351.44777649576002</v>
      </c>
      <c r="I15" s="12">
        <f t="shared" si="2"/>
        <v>0.32715466832404799</v>
      </c>
    </row>
    <row r="16" spans="1:9" x14ac:dyDescent="0.25">
      <c r="A16">
        <v>2013</v>
      </c>
      <c r="B16" s="2">
        <v>462917121795.15002</v>
      </c>
      <c r="C16" s="2">
        <v>257279844626.41</v>
      </c>
      <c r="D16" s="2">
        <v>353221917475.96002</v>
      </c>
      <c r="E16" s="5">
        <v>2013</v>
      </c>
      <c r="F16" s="16">
        <f t="shared" si="1"/>
        <v>462.91712179515002</v>
      </c>
      <c r="G16" s="6">
        <f t="shared" si="0"/>
        <v>257.27984462641001</v>
      </c>
      <c r="H16" s="17">
        <f t="shared" si="0"/>
        <v>353.22191747596003</v>
      </c>
      <c r="I16" s="12">
        <f t="shared" si="2"/>
        <v>0.32906251489952576</v>
      </c>
    </row>
    <row r="17" spans="1:9" x14ac:dyDescent="0.25">
      <c r="A17">
        <v>2014</v>
      </c>
      <c r="B17" s="2">
        <v>264214750078.54999</v>
      </c>
      <c r="C17" s="2">
        <v>179395424184.53</v>
      </c>
      <c r="D17" s="2">
        <v>264994450465.94</v>
      </c>
      <c r="E17" s="20">
        <v>2014</v>
      </c>
      <c r="F17" s="25">
        <f t="shared" si="1"/>
        <v>264.21475007854997</v>
      </c>
      <c r="G17" s="26">
        <f t="shared" si="0"/>
        <v>179.39542418452999</v>
      </c>
      <c r="H17" s="27">
        <f t="shared" si="0"/>
        <v>264.99445046594002</v>
      </c>
      <c r="I17" s="28">
        <f t="shared" si="2"/>
        <v>0.37396658336413974</v>
      </c>
    </row>
    <row r="18" spans="1:9" x14ac:dyDescent="0.25">
      <c r="A18" s="1">
        <v>42005</v>
      </c>
      <c r="B18" s="2">
        <v>25545727800.02</v>
      </c>
      <c r="C18" s="2">
        <v>15750001557.440001</v>
      </c>
      <c r="D18" s="2">
        <v>23933677786.279999</v>
      </c>
      <c r="E18" s="7">
        <v>42005</v>
      </c>
      <c r="F18" s="16">
        <f t="shared" si="1"/>
        <v>25.54572780002</v>
      </c>
      <c r="G18" s="6">
        <f t="shared" si="0"/>
        <v>15.750001557440001</v>
      </c>
      <c r="H18" s="17">
        <f t="shared" si="0"/>
        <v>23.933677786280001</v>
      </c>
      <c r="I18" s="12">
        <f t="shared" si="2"/>
        <v>0.36691545783237872</v>
      </c>
    </row>
    <row r="19" spans="1:9" x14ac:dyDescent="0.25">
      <c r="A19" s="1">
        <v>42036</v>
      </c>
      <c r="B19" s="2">
        <v>24499035279.619999</v>
      </c>
      <c r="C19" s="2">
        <v>21941582852.060001</v>
      </c>
      <c r="D19" s="2">
        <v>21007092086.880001</v>
      </c>
      <c r="E19" s="7">
        <v>42036</v>
      </c>
      <c r="F19" s="16">
        <f t="shared" si="1"/>
        <v>24.499035279619999</v>
      </c>
      <c r="G19" s="6">
        <f t="shared" ref="G19:G25" si="3">C19/1000000000</f>
        <v>21.941582852060002</v>
      </c>
      <c r="H19" s="17">
        <f t="shared" ref="H19:H25" si="4">D19/1000000000</f>
        <v>21.00709208688</v>
      </c>
      <c r="I19" s="12">
        <f t="shared" si="2"/>
        <v>0.31145745376392858</v>
      </c>
    </row>
    <row r="20" spans="1:9" x14ac:dyDescent="0.25">
      <c r="A20" s="1">
        <v>42064</v>
      </c>
      <c r="B20" s="2">
        <v>30938482076.66</v>
      </c>
      <c r="C20" s="2">
        <v>17064362437.75</v>
      </c>
      <c r="D20" s="2">
        <v>27672235706.830002</v>
      </c>
      <c r="E20" s="7">
        <v>42064</v>
      </c>
      <c r="F20" s="16">
        <f t="shared" si="1"/>
        <v>30.938482076660001</v>
      </c>
      <c r="G20" s="6">
        <f t="shared" si="3"/>
        <v>17.064362437749999</v>
      </c>
      <c r="H20" s="17">
        <f t="shared" si="4"/>
        <v>27.672235706830001</v>
      </c>
      <c r="I20" s="12">
        <f t="shared" si="2"/>
        <v>0.36567170627277562</v>
      </c>
    </row>
    <row r="21" spans="1:9" x14ac:dyDescent="0.25">
      <c r="A21" s="1">
        <v>42095</v>
      </c>
      <c r="B21" s="2">
        <v>32900745182.860001</v>
      </c>
      <c r="C21" s="2">
        <v>23097442806.419998</v>
      </c>
      <c r="D21" s="2">
        <v>36149006574.089996</v>
      </c>
      <c r="E21" s="7">
        <v>42095</v>
      </c>
      <c r="F21" s="16">
        <f t="shared" si="1"/>
        <v>32.90074518286</v>
      </c>
      <c r="G21" s="6">
        <f t="shared" si="3"/>
        <v>23.097442806419998</v>
      </c>
      <c r="H21" s="17">
        <f t="shared" si="4"/>
        <v>36.149006574089995</v>
      </c>
      <c r="I21" s="12">
        <f t="shared" si="2"/>
        <v>0.39229633354958171</v>
      </c>
    </row>
    <row r="22" spans="1:9" x14ac:dyDescent="0.25">
      <c r="A22" s="1">
        <v>42125</v>
      </c>
      <c r="B22" s="2">
        <v>30449185241.43</v>
      </c>
      <c r="C22" s="2">
        <v>22650164367.650002</v>
      </c>
      <c r="D22" s="2">
        <v>35410664264.059998</v>
      </c>
      <c r="E22" s="7">
        <v>42125</v>
      </c>
      <c r="F22" s="16">
        <f t="shared" si="1"/>
        <v>30.449185241430001</v>
      </c>
      <c r="G22" s="6">
        <f t="shared" si="3"/>
        <v>22.650164367650003</v>
      </c>
      <c r="H22" s="17">
        <f t="shared" si="4"/>
        <v>35.410664264059996</v>
      </c>
      <c r="I22" s="12">
        <f t="shared" si="2"/>
        <v>0.40007523120280536</v>
      </c>
    </row>
    <row r="23" spans="1:9" x14ac:dyDescent="0.25">
      <c r="A23" s="1">
        <v>42156</v>
      </c>
      <c r="B23" s="2">
        <v>30476004960.040001</v>
      </c>
      <c r="C23" s="2">
        <v>25095335993.880001</v>
      </c>
      <c r="D23" s="2">
        <v>36375458743.910004</v>
      </c>
      <c r="E23" s="7">
        <v>42156</v>
      </c>
      <c r="F23" s="16">
        <f t="shared" si="1"/>
        <v>30.476004960040001</v>
      </c>
      <c r="G23" s="6">
        <f t="shared" si="3"/>
        <v>25.095335993880003</v>
      </c>
      <c r="H23" s="17">
        <f t="shared" si="4"/>
        <v>36.375458743910002</v>
      </c>
      <c r="I23" s="12">
        <f t="shared" si="2"/>
        <v>0.39561419063472292</v>
      </c>
    </row>
    <row r="24" spans="1:9" x14ac:dyDescent="0.25">
      <c r="A24" s="1">
        <v>42186</v>
      </c>
      <c r="B24" s="2">
        <v>33433243718.610001</v>
      </c>
      <c r="C24" s="2">
        <v>23870859693.310001</v>
      </c>
      <c r="D24" s="2">
        <v>40978717761.120003</v>
      </c>
      <c r="E24" s="7">
        <v>42186</v>
      </c>
      <c r="F24" s="16">
        <f t="shared" si="1"/>
        <v>33.433243718610001</v>
      </c>
      <c r="G24" s="6">
        <f t="shared" si="3"/>
        <v>23.870859693310003</v>
      </c>
      <c r="H24" s="17">
        <f t="shared" si="4"/>
        <v>40.978717761120002</v>
      </c>
      <c r="I24" s="12">
        <f t="shared" si="2"/>
        <v>0.41694690152383301</v>
      </c>
    </row>
    <row r="25" spans="1:9" ht="15.75" thickBot="1" x14ac:dyDescent="0.3">
      <c r="A25" s="1">
        <v>42217</v>
      </c>
      <c r="B25" s="2">
        <v>28060180351.740002</v>
      </c>
      <c r="C25" s="2">
        <v>19506571993.630001</v>
      </c>
      <c r="D25" s="2">
        <v>39143361996.760002</v>
      </c>
      <c r="E25" s="8">
        <v>42217</v>
      </c>
      <c r="F25" s="18">
        <f t="shared" si="1"/>
        <v>28.060180351740001</v>
      </c>
      <c r="G25" s="9">
        <f t="shared" si="3"/>
        <v>19.506571993630001</v>
      </c>
      <c r="H25" s="19">
        <f t="shared" si="4"/>
        <v>39.143361996759999</v>
      </c>
      <c r="I25" s="13">
        <f t="shared" si="2"/>
        <v>0.45142786736865531</v>
      </c>
    </row>
  </sheetData>
  <mergeCells count="1"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0"/>
  <sheetViews>
    <sheetView topLeftCell="A121" workbookViewId="0">
      <selection activeCell="G134" sqref="G134:H141"/>
    </sheetView>
  </sheetViews>
  <sheetFormatPr defaultRowHeight="15" x14ac:dyDescent="0.25"/>
  <cols>
    <col min="1" max="1" width="9.7109375" bestFit="1" customWidth="1"/>
  </cols>
  <sheetData>
    <row r="1" spans="1:8" x14ac:dyDescent="0.25">
      <c r="A1" t="s">
        <v>0</v>
      </c>
      <c r="B1" t="s">
        <v>1</v>
      </c>
      <c r="D1" t="s">
        <v>0</v>
      </c>
      <c r="E1" t="s">
        <v>1</v>
      </c>
      <c r="G1" t="s">
        <v>0</v>
      </c>
      <c r="H1" t="s">
        <v>1</v>
      </c>
    </row>
    <row r="2" spans="1:8" x14ac:dyDescent="0.25">
      <c r="A2" s="1">
        <v>36526</v>
      </c>
      <c r="B2">
        <v>10258292363</v>
      </c>
      <c r="D2" s="1">
        <v>36892</v>
      </c>
      <c r="E2">
        <v>11627385040</v>
      </c>
      <c r="G2" s="1">
        <v>37987</v>
      </c>
      <c r="H2">
        <v>10556531847.18</v>
      </c>
    </row>
    <row r="3" spans="1:8" x14ac:dyDescent="0.25">
      <c r="A3" s="1">
        <v>36557</v>
      </c>
      <c r="B3">
        <v>8914055025</v>
      </c>
      <c r="D3" s="1">
        <v>36923</v>
      </c>
      <c r="E3">
        <v>12089089716</v>
      </c>
      <c r="G3" s="1">
        <v>38018</v>
      </c>
      <c r="H3">
        <v>7643536742</v>
      </c>
    </row>
    <row r="4" spans="1:8" x14ac:dyDescent="0.25">
      <c r="A4" s="1">
        <v>36586</v>
      </c>
      <c r="B4">
        <v>7555150797</v>
      </c>
      <c r="D4" s="1">
        <v>36951</v>
      </c>
      <c r="E4">
        <v>15195386996</v>
      </c>
      <c r="G4" s="1">
        <v>38047</v>
      </c>
      <c r="H4">
        <v>8166332516.2399998</v>
      </c>
    </row>
    <row r="5" spans="1:8" x14ac:dyDescent="0.25">
      <c r="A5" s="1">
        <v>36617</v>
      </c>
      <c r="B5">
        <v>9635347286</v>
      </c>
      <c r="D5" s="1">
        <v>36982</v>
      </c>
      <c r="E5">
        <v>21359906136</v>
      </c>
      <c r="G5" s="1">
        <v>38078</v>
      </c>
      <c r="H5">
        <v>11587580611.68</v>
      </c>
    </row>
    <row r="6" spans="1:8" x14ac:dyDescent="0.25">
      <c r="A6" s="1">
        <v>36647</v>
      </c>
      <c r="B6">
        <v>10030309969</v>
      </c>
      <c r="D6" s="1">
        <v>37012</v>
      </c>
      <c r="E6">
        <v>24270725093</v>
      </c>
      <c r="G6" s="1">
        <v>38108</v>
      </c>
      <c r="H6">
        <v>8112865543</v>
      </c>
    </row>
    <row r="7" spans="1:8" x14ac:dyDescent="0.25">
      <c r="A7" s="1">
        <v>36678</v>
      </c>
      <c r="B7">
        <v>11325597849</v>
      </c>
      <c r="D7" s="1">
        <v>37043</v>
      </c>
      <c r="E7">
        <v>25171204090</v>
      </c>
      <c r="G7" s="1">
        <v>38139</v>
      </c>
      <c r="H7">
        <v>10492474432.110001</v>
      </c>
    </row>
    <row r="8" spans="1:8" x14ac:dyDescent="0.25">
      <c r="A8" s="1">
        <v>36708</v>
      </c>
      <c r="B8">
        <v>12043000971</v>
      </c>
      <c r="D8" s="1">
        <v>37073</v>
      </c>
      <c r="E8">
        <v>26422205083</v>
      </c>
      <c r="G8" s="1">
        <v>38169</v>
      </c>
      <c r="H8">
        <v>8717243077.5699997</v>
      </c>
    </row>
    <row r="9" spans="1:8" x14ac:dyDescent="0.25">
      <c r="A9" s="1">
        <v>36739</v>
      </c>
      <c r="B9">
        <v>14480351260</v>
      </c>
      <c r="D9" s="1">
        <v>37104</v>
      </c>
      <c r="E9">
        <v>22392651759</v>
      </c>
      <c r="G9" s="1">
        <v>38200</v>
      </c>
      <c r="H9">
        <v>6819511717.0100002</v>
      </c>
    </row>
    <row r="10" spans="1:8" x14ac:dyDescent="0.25">
      <c r="A10" s="1">
        <v>36770</v>
      </c>
      <c r="B10">
        <v>14629286997</v>
      </c>
      <c r="D10" s="1">
        <v>37135</v>
      </c>
      <c r="E10">
        <v>22900777415</v>
      </c>
      <c r="G10" s="1">
        <v>38231</v>
      </c>
      <c r="H10">
        <v>7133060540.2600002</v>
      </c>
    </row>
    <row r="11" spans="1:8" x14ac:dyDescent="0.25">
      <c r="A11" s="1">
        <v>36800</v>
      </c>
      <c r="B11">
        <v>15835064941</v>
      </c>
      <c r="D11" s="1">
        <v>37165</v>
      </c>
      <c r="E11">
        <v>19607631456</v>
      </c>
      <c r="G11" s="1">
        <v>38261</v>
      </c>
      <c r="H11">
        <v>6288484634.9899998</v>
      </c>
    </row>
    <row r="12" spans="1:8" x14ac:dyDescent="0.25">
      <c r="A12" s="1">
        <v>36831</v>
      </c>
      <c r="B12">
        <v>16299096775</v>
      </c>
      <c r="D12" s="1">
        <v>37196</v>
      </c>
      <c r="E12">
        <v>23355056690</v>
      </c>
      <c r="G12" s="1">
        <v>38292</v>
      </c>
      <c r="H12">
        <v>6170477330.8500004</v>
      </c>
    </row>
    <row r="13" spans="1:8" x14ac:dyDescent="0.25">
      <c r="A13" s="1">
        <v>36861</v>
      </c>
      <c r="B13">
        <v>17209757875</v>
      </c>
      <c r="D13" s="1">
        <v>37226</v>
      </c>
      <c r="E13">
        <v>27748636979</v>
      </c>
      <c r="G13" s="1">
        <v>38322</v>
      </c>
      <c r="H13">
        <v>5673826030.0299997</v>
      </c>
    </row>
    <row r="14" spans="1:8" x14ac:dyDescent="0.25">
      <c r="A14" s="1">
        <v>36892</v>
      </c>
      <c r="B14">
        <v>17874357823</v>
      </c>
      <c r="D14" s="1">
        <v>37257</v>
      </c>
      <c r="E14">
        <v>26812919240</v>
      </c>
      <c r="G14" s="1">
        <v>38353</v>
      </c>
      <c r="H14">
        <v>6595569966.5600004</v>
      </c>
    </row>
    <row r="15" spans="1:8" x14ac:dyDescent="0.25">
      <c r="A15" s="1">
        <v>36923</v>
      </c>
      <c r="B15">
        <v>20725606003</v>
      </c>
      <c r="D15" s="1">
        <v>37288</v>
      </c>
      <c r="E15">
        <v>25644476484</v>
      </c>
      <c r="G15" s="1">
        <v>38384</v>
      </c>
      <c r="H15">
        <v>5119609405.8500004</v>
      </c>
    </row>
    <row r="16" spans="1:8" x14ac:dyDescent="0.25">
      <c r="A16" s="1">
        <v>36951</v>
      </c>
      <c r="B16">
        <v>25484322839</v>
      </c>
      <c r="D16" s="1">
        <v>37316</v>
      </c>
      <c r="E16">
        <v>21203668761</v>
      </c>
      <c r="G16" s="1">
        <v>38412</v>
      </c>
      <c r="H16">
        <v>5692902609.7399998</v>
      </c>
    </row>
    <row r="17" spans="1:8" x14ac:dyDescent="0.25">
      <c r="A17" s="1">
        <v>36982</v>
      </c>
      <c r="B17">
        <v>32654393381</v>
      </c>
      <c r="D17" s="1">
        <v>37347</v>
      </c>
      <c r="E17">
        <v>23201994207</v>
      </c>
      <c r="G17" s="1">
        <v>38443</v>
      </c>
      <c r="H17">
        <v>6155823791.9700003</v>
      </c>
    </row>
    <row r="18" spans="1:8" x14ac:dyDescent="0.25">
      <c r="A18" s="1">
        <v>37012</v>
      </c>
      <c r="B18">
        <v>34229762492</v>
      </c>
      <c r="D18" s="1">
        <v>37377</v>
      </c>
      <c r="E18">
        <v>16557717897</v>
      </c>
      <c r="G18" s="1">
        <v>38473</v>
      </c>
      <c r="H18">
        <v>6820368784.71</v>
      </c>
    </row>
    <row r="19" spans="1:8" x14ac:dyDescent="0.25">
      <c r="A19" s="1">
        <v>37043</v>
      </c>
      <c r="B19">
        <v>34339542892</v>
      </c>
      <c r="D19" s="1">
        <v>37408</v>
      </c>
      <c r="E19">
        <v>17622559348</v>
      </c>
      <c r="G19" s="1">
        <v>38504</v>
      </c>
      <c r="H19">
        <v>6350217661.7399998</v>
      </c>
    </row>
    <row r="20" spans="1:8" x14ac:dyDescent="0.25">
      <c r="A20" s="1">
        <v>37073</v>
      </c>
      <c r="B20">
        <v>33599221046</v>
      </c>
      <c r="D20" s="1">
        <v>37438</v>
      </c>
      <c r="E20">
        <v>17642207420</v>
      </c>
      <c r="G20" s="1">
        <v>38534</v>
      </c>
      <c r="H20">
        <v>7432158405.4399996</v>
      </c>
    </row>
    <row r="21" spans="1:8" x14ac:dyDescent="0.25">
      <c r="A21" s="1">
        <v>37104</v>
      </c>
      <c r="B21">
        <v>32501821621</v>
      </c>
      <c r="D21" s="1">
        <v>37469</v>
      </c>
      <c r="E21">
        <v>19201677200</v>
      </c>
      <c r="G21" s="1">
        <v>38565</v>
      </c>
      <c r="H21">
        <v>6830671983.8400002</v>
      </c>
    </row>
    <row r="22" spans="1:8" x14ac:dyDescent="0.25">
      <c r="A22" s="1">
        <v>37135</v>
      </c>
      <c r="B22">
        <v>30157981183</v>
      </c>
      <c r="D22" s="1">
        <v>37500</v>
      </c>
      <c r="E22">
        <v>22762710632</v>
      </c>
      <c r="G22" s="1">
        <v>38596</v>
      </c>
      <c r="H22">
        <v>8066401491.21</v>
      </c>
    </row>
    <row r="23" spans="1:8" x14ac:dyDescent="0.25">
      <c r="A23" s="1">
        <v>37165</v>
      </c>
      <c r="B23">
        <v>27188769028</v>
      </c>
      <c r="D23" s="1">
        <v>37530</v>
      </c>
      <c r="E23">
        <v>29182997202</v>
      </c>
      <c r="G23" s="1">
        <v>38626</v>
      </c>
      <c r="H23">
        <v>6889289477.3800001</v>
      </c>
    </row>
    <row r="24" spans="1:8" x14ac:dyDescent="0.25">
      <c r="A24" s="1">
        <v>37196</v>
      </c>
      <c r="B24">
        <v>37035562619</v>
      </c>
      <c r="D24" s="1">
        <v>37561</v>
      </c>
      <c r="E24">
        <v>29572947019</v>
      </c>
      <c r="G24" s="1">
        <v>38657</v>
      </c>
      <c r="H24">
        <v>6235982467.2700005</v>
      </c>
    </row>
    <row r="25" spans="1:8" x14ac:dyDescent="0.25">
      <c r="A25" s="1">
        <v>37226</v>
      </c>
      <c r="B25">
        <v>42998626805</v>
      </c>
      <c r="D25" s="1">
        <v>37591</v>
      </c>
      <c r="E25">
        <v>32992616968</v>
      </c>
      <c r="G25" s="1">
        <v>38687</v>
      </c>
      <c r="H25">
        <v>4992080293.2200003</v>
      </c>
    </row>
    <row r="26" spans="1:8" x14ac:dyDescent="0.25">
      <c r="A26" s="1">
        <v>37257</v>
      </c>
      <c r="B26">
        <v>36765641600</v>
      </c>
      <c r="D26" s="1">
        <v>37622</v>
      </c>
      <c r="E26">
        <v>20699984520</v>
      </c>
      <c r="G26" s="1">
        <v>38718</v>
      </c>
      <c r="H26">
        <v>6780087006.4799995</v>
      </c>
    </row>
    <row r="27" spans="1:8" x14ac:dyDescent="0.25">
      <c r="A27" s="1">
        <v>37288</v>
      </c>
      <c r="B27">
        <v>35978405682</v>
      </c>
      <c r="D27" s="1">
        <v>37653</v>
      </c>
      <c r="E27">
        <v>17566958664</v>
      </c>
      <c r="G27" s="1">
        <v>38749</v>
      </c>
      <c r="H27">
        <v>4868649450.5600004</v>
      </c>
    </row>
    <row r="28" spans="1:8" x14ac:dyDescent="0.25">
      <c r="A28" s="1">
        <v>37316</v>
      </c>
      <c r="B28">
        <v>31989870797</v>
      </c>
      <c r="D28" s="1">
        <v>37681</v>
      </c>
      <c r="E28">
        <v>29090183403</v>
      </c>
      <c r="G28" s="1">
        <v>38777</v>
      </c>
      <c r="H28">
        <v>5459170908.8599997</v>
      </c>
    </row>
    <row r="29" spans="1:8" x14ac:dyDescent="0.25">
      <c r="A29" s="1">
        <v>37347</v>
      </c>
      <c r="B29">
        <v>28612055633</v>
      </c>
      <c r="D29" s="1">
        <v>37712</v>
      </c>
      <c r="E29">
        <v>22159726200</v>
      </c>
      <c r="G29" s="1">
        <v>38808</v>
      </c>
      <c r="H29">
        <v>6973391409.8199997</v>
      </c>
    </row>
    <row r="30" spans="1:8" x14ac:dyDescent="0.25">
      <c r="A30" s="1">
        <v>37377</v>
      </c>
      <c r="B30">
        <v>27266425439</v>
      </c>
      <c r="D30" s="1">
        <v>37742</v>
      </c>
      <c r="E30">
        <v>27151741333</v>
      </c>
      <c r="G30" s="1">
        <v>38838</v>
      </c>
      <c r="H30">
        <v>6987154621.7700005</v>
      </c>
    </row>
    <row r="31" spans="1:8" x14ac:dyDescent="0.25">
      <c r="A31" s="1">
        <v>37408</v>
      </c>
      <c r="B31">
        <v>26799854399</v>
      </c>
      <c r="D31" s="1">
        <v>37773</v>
      </c>
      <c r="E31">
        <v>25605920044</v>
      </c>
      <c r="G31" s="1">
        <v>38869</v>
      </c>
      <c r="H31">
        <v>7743932081.8900003</v>
      </c>
    </row>
    <row r="32" spans="1:8" x14ac:dyDescent="0.25">
      <c r="A32" s="1">
        <v>37438</v>
      </c>
      <c r="B32">
        <v>26358884673</v>
      </c>
      <c r="D32" s="1">
        <v>37803</v>
      </c>
      <c r="E32">
        <v>31395230589</v>
      </c>
      <c r="G32" s="1">
        <v>38899</v>
      </c>
      <c r="H32">
        <v>7150986007.5100002</v>
      </c>
    </row>
    <row r="33" spans="1:8" x14ac:dyDescent="0.25">
      <c r="A33" s="1">
        <v>37469</v>
      </c>
      <c r="B33">
        <v>32870390089</v>
      </c>
      <c r="D33" s="1">
        <v>37834</v>
      </c>
      <c r="E33">
        <v>45539804558</v>
      </c>
      <c r="G33" s="1">
        <v>38930</v>
      </c>
      <c r="H33">
        <v>7358052256.1400003</v>
      </c>
    </row>
    <row r="34" spans="1:8" x14ac:dyDescent="0.25">
      <c r="A34" s="1">
        <v>37500</v>
      </c>
      <c r="B34">
        <v>38570397099</v>
      </c>
      <c r="D34" s="1">
        <v>37865</v>
      </c>
      <c r="E34">
        <v>35602208463</v>
      </c>
      <c r="G34" s="1">
        <v>38961</v>
      </c>
      <c r="H34">
        <v>6861763879.6700001</v>
      </c>
    </row>
    <row r="35" spans="1:8" x14ac:dyDescent="0.25">
      <c r="A35" s="1">
        <v>37530</v>
      </c>
      <c r="B35">
        <v>51626501206</v>
      </c>
      <c r="D35" s="1">
        <v>37895</v>
      </c>
      <c r="E35">
        <v>33596023404</v>
      </c>
      <c r="G35" s="1">
        <v>38991</v>
      </c>
      <c r="H35">
        <v>5932553571.0600004</v>
      </c>
    </row>
    <row r="36" spans="1:8" x14ac:dyDescent="0.25">
      <c r="A36" s="1">
        <v>37561</v>
      </c>
      <c r="B36">
        <v>50297296182</v>
      </c>
      <c r="D36" s="1">
        <v>37926</v>
      </c>
      <c r="E36">
        <v>20571679957</v>
      </c>
      <c r="G36" s="1">
        <v>39022</v>
      </c>
      <c r="H36">
        <v>6968967184.9099998</v>
      </c>
    </row>
    <row r="37" spans="1:8" x14ac:dyDescent="0.25">
      <c r="A37" s="1">
        <v>37591</v>
      </c>
      <c r="B37">
        <v>53308862669</v>
      </c>
      <c r="D37" s="1">
        <v>37956</v>
      </c>
      <c r="E37">
        <v>19405748579</v>
      </c>
      <c r="G37" s="1">
        <v>39052</v>
      </c>
      <c r="H37">
        <v>5858453616.8800001</v>
      </c>
    </row>
    <row r="38" spans="1:8" x14ac:dyDescent="0.25">
      <c r="A38" s="1">
        <v>37622</v>
      </c>
      <c r="B38">
        <v>61160809381</v>
      </c>
      <c r="D38" s="1">
        <v>37987</v>
      </c>
      <c r="E38">
        <v>16438933137</v>
      </c>
      <c r="G38" s="1">
        <v>39083</v>
      </c>
      <c r="H38">
        <v>6633912917.21</v>
      </c>
    </row>
    <row r="39" spans="1:8" x14ac:dyDescent="0.25">
      <c r="A39" s="1">
        <v>37653</v>
      </c>
      <c r="B39">
        <v>55043829375</v>
      </c>
      <c r="D39" s="1">
        <v>38018</v>
      </c>
      <c r="E39">
        <v>13594567630</v>
      </c>
      <c r="G39" s="1">
        <v>39114</v>
      </c>
      <c r="H39">
        <v>5388114251.71</v>
      </c>
    </row>
    <row r="40" spans="1:8" x14ac:dyDescent="0.25">
      <c r="A40" s="1">
        <v>37681</v>
      </c>
      <c r="B40">
        <v>54741189226</v>
      </c>
      <c r="D40" s="1">
        <v>38047</v>
      </c>
      <c r="E40">
        <v>16186065965</v>
      </c>
      <c r="G40" s="1">
        <v>39142</v>
      </c>
      <c r="H40">
        <v>5970948827.3699999</v>
      </c>
    </row>
    <row r="41" spans="1:8" x14ac:dyDescent="0.25">
      <c r="A41" s="1">
        <v>37712</v>
      </c>
      <c r="B41">
        <v>68741012007</v>
      </c>
      <c r="D41" s="1">
        <v>38078</v>
      </c>
      <c r="E41">
        <v>19817715828</v>
      </c>
      <c r="G41" s="1">
        <v>39173</v>
      </c>
      <c r="H41">
        <v>6516236295.1599998</v>
      </c>
    </row>
    <row r="42" spans="1:8" x14ac:dyDescent="0.25">
      <c r="A42" s="1">
        <v>37742</v>
      </c>
      <c r="B42">
        <v>61962137882</v>
      </c>
      <c r="D42" s="1">
        <v>38108</v>
      </c>
      <c r="E42">
        <v>22042955813</v>
      </c>
      <c r="G42" s="1">
        <v>39203</v>
      </c>
      <c r="H42">
        <v>7661592569.8699999</v>
      </c>
    </row>
    <row r="43" spans="1:8" x14ac:dyDescent="0.25">
      <c r="A43" s="1">
        <v>37773</v>
      </c>
      <c r="B43">
        <v>68894297902</v>
      </c>
      <c r="D43" s="1">
        <v>38139</v>
      </c>
      <c r="E43">
        <v>21624670513</v>
      </c>
      <c r="G43" s="1">
        <v>39234</v>
      </c>
      <c r="H43">
        <v>8535936214.6000004</v>
      </c>
    </row>
    <row r="44" spans="1:8" x14ac:dyDescent="0.25">
      <c r="A44" s="1">
        <v>37803</v>
      </c>
      <c r="B44">
        <v>69223798519</v>
      </c>
      <c r="D44" s="1">
        <v>38169</v>
      </c>
      <c r="E44">
        <v>16950844708</v>
      </c>
      <c r="G44" s="1">
        <v>39264</v>
      </c>
      <c r="H44">
        <v>9280961103.5</v>
      </c>
    </row>
    <row r="45" spans="1:8" x14ac:dyDescent="0.25">
      <c r="A45" s="1">
        <v>37834</v>
      </c>
      <c r="B45">
        <v>66978449096</v>
      </c>
      <c r="D45" s="1">
        <v>38200</v>
      </c>
      <c r="E45">
        <v>13847614918</v>
      </c>
      <c r="G45" s="1">
        <v>39295</v>
      </c>
      <c r="H45">
        <v>10449453665.98</v>
      </c>
    </row>
    <row r="46" spans="1:8" x14ac:dyDescent="0.25">
      <c r="A46" s="1">
        <v>37865</v>
      </c>
      <c r="B46">
        <v>69729936952</v>
      </c>
      <c r="D46" s="1">
        <v>38231</v>
      </c>
      <c r="E46">
        <v>13535347047</v>
      </c>
      <c r="G46" s="1">
        <v>39326</v>
      </c>
      <c r="H46">
        <v>9130792788.9300003</v>
      </c>
    </row>
    <row r="47" spans="1:8" x14ac:dyDescent="0.25">
      <c r="A47" s="1">
        <v>37895</v>
      </c>
      <c r="B47">
        <v>45990786042</v>
      </c>
      <c r="D47" s="1">
        <v>38261</v>
      </c>
      <c r="E47">
        <v>14448577985</v>
      </c>
      <c r="G47" s="1">
        <v>39356</v>
      </c>
      <c r="H47">
        <v>10326068114.360001</v>
      </c>
    </row>
    <row r="48" spans="1:8" x14ac:dyDescent="0.25">
      <c r="A48" s="1">
        <v>37926</v>
      </c>
      <c r="B48">
        <v>37014515419</v>
      </c>
      <c r="D48" s="1">
        <v>38292</v>
      </c>
      <c r="E48">
        <v>13791848264</v>
      </c>
      <c r="G48" s="1">
        <v>39387</v>
      </c>
      <c r="H48">
        <v>10634289375.059999</v>
      </c>
    </row>
    <row r="49" spans="1:8" x14ac:dyDescent="0.25">
      <c r="A49" s="1">
        <v>37956</v>
      </c>
      <c r="B49">
        <v>34796609197</v>
      </c>
      <c r="D49" s="1">
        <v>38322</v>
      </c>
      <c r="E49">
        <v>18499282812</v>
      </c>
      <c r="G49" s="1">
        <v>39417</v>
      </c>
      <c r="H49">
        <v>12204294429.040001</v>
      </c>
    </row>
    <row r="50" spans="1:8" x14ac:dyDescent="0.25">
      <c r="A50" s="1">
        <v>37987</v>
      </c>
      <c r="B50">
        <v>27956498879</v>
      </c>
      <c r="D50" s="1">
        <v>38353</v>
      </c>
      <c r="E50">
        <v>16183320998</v>
      </c>
      <c r="G50" s="1">
        <v>39448</v>
      </c>
      <c r="H50">
        <v>12820349221.65</v>
      </c>
    </row>
    <row r="51" spans="1:8" x14ac:dyDescent="0.25">
      <c r="A51" s="1">
        <v>38018</v>
      </c>
      <c r="B51">
        <v>26757358139</v>
      </c>
      <c r="D51" s="1">
        <v>38384</v>
      </c>
      <c r="E51">
        <v>11780475289</v>
      </c>
      <c r="G51" s="1">
        <v>39479</v>
      </c>
      <c r="H51">
        <v>12376545661.34</v>
      </c>
    </row>
    <row r="52" spans="1:8" x14ac:dyDescent="0.25">
      <c r="A52" s="1">
        <v>38047</v>
      </c>
      <c r="B52">
        <v>25094779429</v>
      </c>
      <c r="D52" s="1">
        <v>38412</v>
      </c>
      <c r="E52">
        <v>16223378676</v>
      </c>
      <c r="G52" s="1">
        <v>39508</v>
      </c>
      <c r="H52">
        <v>15704508732.379999</v>
      </c>
    </row>
    <row r="53" spans="1:8" x14ac:dyDescent="0.25">
      <c r="A53" s="1">
        <v>38078</v>
      </c>
      <c r="B53">
        <v>32783463404</v>
      </c>
      <c r="D53" s="1">
        <v>38443</v>
      </c>
      <c r="E53">
        <v>21147067571</v>
      </c>
      <c r="G53" s="1">
        <v>39539</v>
      </c>
      <c r="H53">
        <v>19737957370.209999</v>
      </c>
    </row>
    <row r="54" spans="1:8" x14ac:dyDescent="0.25">
      <c r="A54" s="1">
        <v>38108</v>
      </c>
      <c r="B54">
        <v>29687408901</v>
      </c>
      <c r="D54" s="1">
        <v>38473</v>
      </c>
      <c r="E54">
        <v>19804723173</v>
      </c>
      <c r="G54" s="1">
        <v>39569</v>
      </c>
      <c r="H54">
        <v>21949312737.040001</v>
      </c>
    </row>
    <row r="55" spans="1:8" x14ac:dyDescent="0.25">
      <c r="A55" s="1">
        <v>38139</v>
      </c>
      <c r="B55">
        <v>29555379682</v>
      </c>
      <c r="D55" s="1">
        <v>38504</v>
      </c>
      <c r="E55">
        <v>20575615896</v>
      </c>
      <c r="G55" s="1">
        <v>39600</v>
      </c>
      <c r="H55">
        <v>27508352678.07</v>
      </c>
    </row>
    <row r="56" spans="1:8" x14ac:dyDescent="0.25">
      <c r="A56" s="1">
        <v>38169</v>
      </c>
      <c r="B56">
        <v>23139653775</v>
      </c>
      <c r="D56" s="1">
        <v>38534</v>
      </c>
      <c r="E56">
        <v>20122690254</v>
      </c>
      <c r="G56" s="1">
        <v>39630</v>
      </c>
      <c r="H56">
        <v>26114575599.810001</v>
      </c>
    </row>
    <row r="57" spans="1:8" x14ac:dyDescent="0.25">
      <c r="A57" s="1">
        <v>38200</v>
      </c>
      <c r="B57">
        <v>20165591842</v>
      </c>
      <c r="D57" s="1">
        <v>38565</v>
      </c>
      <c r="E57">
        <v>25601382176</v>
      </c>
      <c r="G57" s="1">
        <v>39661</v>
      </c>
      <c r="H57">
        <v>28071600134.52</v>
      </c>
    </row>
    <row r="58" spans="1:8" x14ac:dyDescent="0.25">
      <c r="A58" s="1">
        <v>38231</v>
      </c>
      <c r="B58">
        <v>23252897730</v>
      </c>
      <c r="D58" s="1">
        <v>38596</v>
      </c>
      <c r="E58">
        <v>30163089556</v>
      </c>
      <c r="G58" s="1">
        <v>39692</v>
      </c>
      <c r="H58">
        <v>26699177134.299999</v>
      </c>
    </row>
    <row r="59" spans="1:8" x14ac:dyDescent="0.25">
      <c r="A59" s="1">
        <v>38261</v>
      </c>
      <c r="B59">
        <v>19566131853</v>
      </c>
      <c r="D59" s="1">
        <v>38626</v>
      </c>
      <c r="E59">
        <v>25633039590</v>
      </c>
      <c r="G59" s="1">
        <v>39722</v>
      </c>
      <c r="H59">
        <v>28652750339.150002</v>
      </c>
    </row>
    <row r="60" spans="1:8" x14ac:dyDescent="0.25">
      <c r="A60" s="1">
        <v>38292</v>
      </c>
      <c r="B60">
        <v>21499399396</v>
      </c>
      <c r="D60" s="1">
        <v>38657</v>
      </c>
      <c r="E60">
        <v>25201936636</v>
      </c>
      <c r="G60" s="1">
        <v>39753</v>
      </c>
      <c r="H60">
        <v>26094501847.279999</v>
      </c>
    </row>
    <row r="61" spans="1:8" x14ac:dyDescent="0.25">
      <c r="A61" s="1">
        <v>38322</v>
      </c>
      <c r="B61">
        <v>21829365119</v>
      </c>
      <c r="D61" s="1">
        <v>38687</v>
      </c>
      <c r="E61">
        <v>24303363004</v>
      </c>
      <c r="G61" s="1">
        <v>39783</v>
      </c>
      <c r="H61">
        <v>22629679142.02</v>
      </c>
    </row>
    <row r="62" spans="1:8" x14ac:dyDescent="0.25">
      <c r="A62" s="1">
        <v>38353</v>
      </c>
      <c r="B62">
        <v>22035531371</v>
      </c>
      <c r="D62" s="1">
        <v>38718</v>
      </c>
      <c r="E62">
        <v>22864734296</v>
      </c>
      <c r="G62" s="1">
        <v>39814</v>
      </c>
      <c r="H62">
        <v>28057990150.099998</v>
      </c>
    </row>
    <row r="63" spans="1:8" x14ac:dyDescent="0.25">
      <c r="A63" s="1">
        <v>38384</v>
      </c>
      <c r="B63">
        <v>19036044624</v>
      </c>
      <c r="D63" s="1">
        <v>38749</v>
      </c>
      <c r="E63">
        <v>19268720015</v>
      </c>
      <c r="G63" s="1">
        <v>39845</v>
      </c>
      <c r="H63">
        <v>26631774354.110001</v>
      </c>
    </row>
    <row r="64" spans="1:8" x14ac:dyDescent="0.25">
      <c r="A64" s="1">
        <v>38412</v>
      </c>
      <c r="B64">
        <v>19888886877</v>
      </c>
      <c r="D64" s="1">
        <v>38777</v>
      </c>
      <c r="E64">
        <v>18680371873</v>
      </c>
      <c r="G64" s="1">
        <v>39873</v>
      </c>
      <c r="H64">
        <v>33166948263.759998</v>
      </c>
    </row>
    <row r="65" spans="1:8" x14ac:dyDescent="0.25">
      <c r="A65" s="1">
        <v>38443</v>
      </c>
      <c r="B65">
        <v>23388568178</v>
      </c>
      <c r="D65" s="1">
        <v>38808</v>
      </c>
      <c r="E65">
        <v>19984709559</v>
      </c>
      <c r="G65" s="1">
        <v>39904</v>
      </c>
      <c r="H65">
        <v>33318168600.580002</v>
      </c>
    </row>
    <row r="66" spans="1:8" x14ac:dyDescent="0.25">
      <c r="A66" s="1">
        <v>38473</v>
      </c>
      <c r="B66">
        <v>23254234296</v>
      </c>
      <c r="D66" s="1">
        <v>38838</v>
      </c>
      <c r="E66">
        <v>17460525402</v>
      </c>
      <c r="G66" s="1">
        <v>39934</v>
      </c>
      <c r="H66">
        <v>37026219207.540001</v>
      </c>
    </row>
    <row r="67" spans="1:8" x14ac:dyDescent="0.25">
      <c r="A67" s="1">
        <v>38504</v>
      </c>
      <c r="B67">
        <v>24119248623.970001</v>
      </c>
      <c r="D67" s="1">
        <v>38869</v>
      </c>
      <c r="E67">
        <v>19660249630</v>
      </c>
      <c r="G67" s="1">
        <v>39965</v>
      </c>
      <c r="H67">
        <v>41217321351.699997</v>
      </c>
    </row>
    <row r="68" spans="1:8" x14ac:dyDescent="0.25">
      <c r="A68" s="1">
        <v>38534</v>
      </c>
      <c r="B68">
        <v>30361892499</v>
      </c>
      <c r="D68" s="1">
        <v>38899</v>
      </c>
      <c r="E68">
        <v>19845449422</v>
      </c>
      <c r="G68" s="1">
        <v>39995</v>
      </c>
      <c r="H68">
        <v>42664811592.169998</v>
      </c>
    </row>
    <row r="69" spans="1:8" x14ac:dyDescent="0.25">
      <c r="A69" s="1">
        <v>38565</v>
      </c>
      <c r="B69">
        <v>34004310482.119999</v>
      </c>
      <c r="D69" s="1">
        <v>38930</v>
      </c>
      <c r="E69">
        <v>21467105756</v>
      </c>
      <c r="G69" s="1">
        <v>40026</v>
      </c>
      <c r="H69">
        <v>40466768070.419998</v>
      </c>
    </row>
    <row r="70" spans="1:8" x14ac:dyDescent="0.25">
      <c r="A70" s="1">
        <v>38596</v>
      </c>
      <c r="B70">
        <v>36773960350</v>
      </c>
      <c r="D70" s="1">
        <v>38961</v>
      </c>
      <c r="E70">
        <v>20898318037</v>
      </c>
      <c r="G70" s="1">
        <v>40057</v>
      </c>
      <c r="H70">
        <v>35838922785.980003</v>
      </c>
    </row>
    <row r="71" spans="1:8" x14ac:dyDescent="0.25">
      <c r="A71" s="1">
        <v>38626</v>
      </c>
      <c r="B71">
        <v>29654018079.700001</v>
      </c>
      <c r="D71" s="1">
        <v>38991</v>
      </c>
      <c r="E71">
        <v>18635521134</v>
      </c>
      <c r="G71" s="1">
        <v>40087</v>
      </c>
      <c r="H71">
        <v>33591863523.689999</v>
      </c>
    </row>
    <row r="72" spans="1:8" x14ac:dyDescent="0.25">
      <c r="A72" s="1">
        <v>38657</v>
      </c>
      <c r="B72">
        <v>29173064816</v>
      </c>
      <c r="D72" s="1">
        <v>39022</v>
      </c>
      <c r="E72">
        <v>17418905434</v>
      </c>
      <c r="G72" s="1">
        <v>40118</v>
      </c>
      <c r="H72">
        <v>30728288463.950001</v>
      </c>
    </row>
    <row r="73" spans="1:8" x14ac:dyDescent="0.25">
      <c r="A73" s="1">
        <v>38687</v>
      </c>
      <c r="B73">
        <v>26519032906</v>
      </c>
      <c r="D73" s="1">
        <v>39052</v>
      </c>
      <c r="E73">
        <v>23504113731</v>
      </c>
      <c r="G73" s="1">
        <v>40148</v>
      </c>
      <c r="H73">
        <v>37152583726.970001</v>
      </c>
    </row>
    <row r="74" spans="1:8" x14ac:dyDescent="0.25">
      <c r="A74" s="1">
        <v>38718</v>
      </c>
      <c r="B74">
        <v>26187086176</v>
      </c>
      <c r="D74" s="1">
        <v>39083</v>
      </c>
      <c r="E74">
        <v>20740895103</v>
      </c>
      <c r="G74" s="1">
        <v>40179</v>
      </c>
      <c r="H74">
        <v>33054556076.959999</v>
      </c>
    </row>
    <row r="75" spans="1:8" x14ac:dyDescent="0.25">
      <c r="A75" s="1">
        <v>38749</v>
      </c>
      <c r="B75">
        <v>22095318056.990002</v>
      </c>
      <c r="D75" s="1">
        <v>39114</v>
      </c>
      <c r="E75">
        <v>25810898492</v>
      </c>
      <c r="G75" s="1">
        <v>40210</v>
      </c>
      <c r="H75">
        <v>24662699258.82</v>
      </c>
    </row>
    <row r="76" spans="1:8" x14ac:dyDescent="0.25">
      <c r="A76" s="1">
        <v>38777</v>
      </c>
      <c r="B76">
        <v>22974442170</v>
      </c>
      <c r="D76" s="1">
        <v>39142</v>
      </c>
      <c r="E76">
        <v>24007844010</v>
      </c>
      <c r="G76" s="1">
        <v>40238</v>
      </c>
      <c r="H76">
        <v>19514653464.759998</v>
      </c>
    </row>
    <row r="77" spans="1:8" x14ac:dyDescent="0.25">
      <c r="A77" s="1">
        <v>38808</v>
      </c>
      <c r="B77">
        <v>28041221576.66</v>
      </c>
      <c r="D77" s="1">
        <v>39173</v>
      </c>
      <c r="E77">
        <v>23681567888</v>
      </c>
      <c r="G77" s="1">
        <v>40269</v>
      </c>
      <c r="H77">
        <v>27879492605.970001</v>
      </c>
    </row>
    <row r="78" spans="1:8" x14ac:dyDescent="0.25">
      <c r="A78" s="1">
        <v>38838</v>
      </c>
      <c r="B78">
        <v>25979594695</v>
      </c>
      <c r="D78" s="1">
        <v>39203</v>
      </c>
      <c r="E78">
        <v>24740483744</v>
      </c>
      <c r="G78" s="1">
        <v>40299</v>
      </c>
      <c r="H78">
        <v>29250626627.98</v>
      </c>
    </row>
    <row r="79" spans="1:8" x14ac:dyDescent="0.25">
      <c r="A79" s="1">
        <v>38869</v>
      </c>
      <c r="B79">
        <v>28087294294.400002</v>
      </c>
      <c r="D79" s="1">
        <v>39234</v>
      </c>
      <c r="E79">
        <v>23759643519</v>
      </c>
      <c r="G79" s="1">
        <v>40330</v>
      </c>
      <c r="H79">
        <v>29645010650.959999</v>
      </c>
    </row>
    <row r="80" spans="1:8" x14ac:dyDescent="0.25">
      <c r="A80" s="1">
        <v>38899</v>
      </c>
      <c r="B80">
        <v>24979466954</v>
      </c>
      <c r="D80" s="1">
        <v>39264</v>
      </c>
      <c r="E80">
        <v>21486745278</v>
      </c>
      <c r="G80" s="1">
        <v>40360</v>
      </c>
      <c r="H80">
        <v>31405425691.810001</v>
      </c>
    </row>
    <row r="81" spans="1:8" x14ac:dyDescent="0.25">
      <c r="A81" s="1">
        <v>38930</v>
      </c>
      <c r="B81">
        <v>27062509823.990002</v>
      </c>
      <c r="D81" s="1">
        <v>39295</v>
      </c>
      <c r="E81">
        <v>27318064517</v>
      </c>
      <c r="G81" s="1">
        <v>40391</v>
      </c>
      <c r="H81">
        <v>28889459273.43</v>
      </c>
    </row>
    <row r="82" spans="1:8" x14ac:dyDescent="0.25">
      <c r="A82" s="1">
        <v>38961</v>
      </c>
      <c r="B82">
        <v>27495170076</v>
      </c>
      <c r="D82" s="1">
        <v>39326</v>
      </c>
      <c r="E82">
        <v>29841614294</v>
      </c>
      <c r="G82" s="1">
        <v>40422</v>
      </c>
      <c r="H82">
        <v>29193365873.799999</v>
      </c>
    </row>
    <row r="83" spans="1:8" x14ac:dyDescent="0.25">
      <c r="A83" s="1">
        <v>38991</v>
      </c>
      <c r="B83">
        <v>32563311656.57</v>
      </c>
      <c r="D83" s="1">
        <v>39356</v>
      </c>
      <c r="E83">
        <v>22333748338</v>
      </c>
      <c r="G83" s="1">
        <v>40452</v>
      </c>
      <c r="H83">
        <v>29824908521.049999</v>
      </c>
    </row>
    <row r="84" spans="1:8" x14ac:dyDescent="0.25">
      <c r="A84" s="1">
        <v>39022</v>
      </c>
      <c r="B84">
        <v>31795033870.529999</v>
      </c>
      <c r="D84" s="1">
        <v>39387</v>
      </c>
      <c r="E84">
        <v>26663421263.919998</v>
      </c>
      <c r="G84" s="1">
        <v>40483</v>
      </c>
      <c r="H84">
        <v>29075353431.23</v>
      </c>
    </row>
    <row r="85" spans="1:8" x14ac:dyDescent="0.25">
      <c r="A85" s="1">
        <v>39052</v>
      </c>
      <c r="B85">
        <v>35614760411.080002</v>
      </c>
      <c r="D85" s="1">
        <v>39417</v>
      </c>
      <c r="E85">
        <v>26952345314</v>
      </c>
      <c r="G85" s="1">
        <v>40513</v>
      </c>
      <c r="H85">
        <v>27390932532.740002</v>
      </c>
    </row>
    <row r="86" spans="1:8" x14ac:dyDescent="0.25">
      <c r="A86" s="1">
        <v>39083</v>
      </c>
      <c r="B86">
        <v>38015499476.239998</v>
      </c>
      <c r="D86" s="1">
        <v>39448</v>
      </c>
      <c r="E86">
        <v>25001892617</v>
      </c>
      <c r="G86" s="1">
        <v>40544</v>
      </c>
      <c r="H86">
        <v>27970495528.790001</v>
      </c>
    </row>
    <row r="87" spans="1:8" x14ac:dyDescent="0.25">
      <c r="A87" s="1">
        <v>39114</v>
      </c>
      <c r="B87">
        <v>35197351377.82</v>
      </c>
      <c r="D87" s="1">
        <v>39479</v>
      </c>
      <c r="E87">
        <v>36778469040.68</v>
      </c>
      <c r="G87" s="1">
        <v>40575</v>
      </c>
      <c r="H87">
        <v>20177637328.77</v>
      </c>
    </row>
    <row r="88" spans="1:8" x14ac:dyDescent="0.25">
      <c r="A88" s="1">
        <v>39142</v>
      </c>
      <c r="B88">
        <v>36504544257.540001</v>
      </c>
      <c r="D88" s="1">
        <v>39508</v>
      </c>
      <c r="E88">
        <v>35232807587</v>
      </c>
      <c r="G88" s="1">
        <v>40603</v>
      </c>
      <c r="H88">
        <v>18531833603.799999</v>
      </c>
    </row>
    <row r="89" spans="1:8" x14ac:dyDescent="0.25">
      <c r="A89" s="1">
        <v>39173</v>
      </c>
      <c r="B89">
        <v>38829215165.720001</v>
      </c>
      <c r="D89" s="1">
        <v>39539</v>
      </c>
      <c r="E89">
        <v>33054679053</v>
      </c>
      <c r="G89" s="1">
        <v>40634</v>
      </c>
      <c r="H89">
        <v>19331955558.639999</v>
      </c>
    </row>
    <row r="90" spans="1:8" x14ac:dyDescent="0.25">
      <c r="A90" s="1">
        <v>39203</v>
      </c>
      <c r="B90">
        <v>45765332167.239998</v>
      </c>
      <c r="D90" s="1">
        <v>39569</v>
      </c>
      <c r="E90">
        <v>33547966190</v>
      </c>
      <c r="G90" s="1">
        <v>40664</v>
      </c>
      <c r="H90">
        <v>19477755601.040001</v>
      </c>
    </row>
    <row r="91" spans="1:8" x14ac:dyDescent="0.25">
      <c r="A91" s="1">
        <v>39234</v>
      </c>
      <c r="B91">
        <v>38254058100.199997</v>
      </c>
      <c r="D91" s="1">
        <v>39600</v>
      </c>
      <c r="E91">
        <v>28957178718</v>
      </c>
      <c r="G91" s="1">
        <v>40695</v>
      </c>
      <c r="H91">
        <v>21054164455.279999</v>
      </c>
    </row>
    <row r="92" spans="1:8" x14ac:dyDescent="0.25">
      <c r="A92" s="1">
        <v>39264</v>
      </c>
      <c r="B92">
        <v>40667708103.510002</v>
      </c>
      <c r="D92" s="1">
        <v>39630</v>
      </c>
      <c r="E92">
        <v>17645942102.73</v>
      </c>
      <c r="G92" s="1">
        <v>40725</v>
      </c>
      <c r="H92">
        <v>21932400158.790001</v>
      </c>
    </row>
    <row r="93" spans="1:8" x14ac:dyDescent="0.25">
      <c r="A93" s="1">
        <v>39295</v>
      </c>
      <c r="B93">
        <v>42947419855.5</v>
      </c>
      <c r="D93" s="1">
        <v>39661</v>
      </c>
      <c r="E93">
        <v>17216466990</v>
      </c>
      <c r="G93" s="1">
        <v>40756</v>
      </c>
      <c r="H93">
        <v>22214178446.459999</v>
      </c>
    </row>
    <row r="94" spans="1:8" x14ac:dyDescent="0.25">
      <c r="A94" s="1">
        <v>39326</v>
      </c>
      <c r="B94">
        <v>47437246682.629997</v>
      </c>
      <c r="D94" s="1">
        <v>39692</v>
      </c>
      <c r="E94">
        <v>17201531186</v>
      </c>
      <c r="G94" s="1">
        <v>40787</v>
      </c>
      <c r="H94">
        <v>22369020943.700001</v>
      </c>
    </row>
    <row r="95" spans="1:8" x14ac:dyDescent="0.25">
      <c r="A95" s="1">
        <v>39356</v>
      </c>
      <c r="B95">
        <v>42433135417.18</v>
      </c>
      <c r="D95" s="1">
        <v>39722</v>
      </c>
      <c r="E95">
        <v>12774122622</v>
      </c>
      <c r="G95" s="1">
        <v>40817</v>
      </c>
      <c r="H95">
        <v>20598251458.84</v>
      </c>
    </row>
    <row r="96" spans="1:8" x14ac:dyDescent="0.25">
      <c r="A96" s="1">
        <v>39387</v>
      </c>
      <c r="B96">
        <v>47027391446.480003</v>
      </c>
      <c r="D96" s="1">
        <v>39753</v>
      </c>
      <c r="E96">
        <v>13020055236</v>
      </c>
      <c r="G96" s="1">
        <v>40848</v>
      </c>
      <c r="H96">
        <v>22725980155.990002</v>
      </c>
    </row>
    <row r="97" spans="1:8" x14ac:dyDescent="0.25">
      <c r="A97" s="1">
        <v>39417</v>
      </c>
      <c r="B97">
        <v>57216066315.599998</v>
      </c>
      <c r="D97" s="1">
        <v>39783</v>
      </c>
      <c r="E97">
        <v>14169541846</v>
      </c>
      <c r="G97" s="1">
        <v>40878</v>
      </c>
      <c r="H97">
        <v>22404570340.610001</v>
      </c>
    </row>
    <row r="98" spans="1:8" x14ac:dyDescent="0.25">
      <c r="A98" s="1">
        <v>39448</v>
      </c>
      <c r="B98">
        <v>46311015771.519997</v>
      </c>
      <c r="D98" s="1">
        <v>39814</v>
      </c>
      <c r="E98">
        <v>14522693006</v>
      </c>
      <c r="G98" s="1">
        <v>40909</v>
      </c>
      <c r="H98">
        <v>24628047493.790001</v>
      </c>
    </row>
    <row r="99" spans="1:8" x14ac:dyDescent="0.25">
      <c r="A99" s="1">
        <v>39479</v>
      </c>
      <c r="B99">
        <v>63065385936.370003</v>
      </c>
      <c r="D99" s="1">
        <v>39845</v>
      </c>
      <c r="E99">
        <v>26598509615</v>
      </c>
      <c r="G99" s="1">
        <v>40940</v>
      </c>
      <c r="H99">
        <v>22539135018.27</v>
      </c>
    </row>
    <row r="100" spans="1:8" x14ac:dyDescent="0.25">
      <c r="A100" s="1">
        <v>39508</v>
      </c>
      <c r="B100">
        <v>40930661526.639999</v>
      </c>
      <c r="D100" s="1">
        <v>39873</v>
      </c>
      <c r="E100">
        <v>50864723037</v>
      </c>
      <c r="G100" s="1">
        <v>40969</v>
      </c>
      <c r="H100">
        <v>23416764096.259998</v>
      </c>
    </row>
    <row r="101" spans="1:8" x14ac:dyDescent="0.25">
      <c r="A101" s="1">
        <v>39539</v>
      </c>
      <c r="B101">
        <v>44922107981.279999</v>
      </c>
      <c r="D101" s="1">
        <v>39904</v>
      </c>
      <c r="E101">
        <v>39411049919</v>
      </c>
      <c r="G101" s="1">
        <v>41000</v>
      </c>
      <c r="H101">
        <v>29265799168.799999</v>
      </c>
    </row>
    <row r="102" spans="1:8" x14ac:dyDescent="0.25">
      <c r="A102" s="1">
        <v>39569</v>
      </c>
      <c r="B102">
        <v>51121403062.260002</v>
      </c>
      <c r="D102" s="1">
        <v>39934</v>
      </c>
      <c r="E102">
        <v>36907623041</v>
      </c>
      <c r="G102" s="1">
        <v>41030</v>
      </c>
      <c r="H102">
        <v>29169832747.169998</v>
      </c>
    </row>
    <row r="103" spans="1:8" x14ac:dyDescent="0.25">
      <c r="A103" s="1">
        <v>39600</v>
      </c>
      <c r="B103">
        <v>42155104695.279999</v>
      </c>
      <c r="D103" s="1">
        <v>39965</v>
      </c>
      <c r="E103">
        <v>51101496342</v>
      </c>
      <c r="G103" s="1">
        <v>41061</v>
      </c>
      <c r="H103">
        <v>27489285149.720001</v>
      </c>
    </row>
    <row r="104" spans="1:8" x14ac:dyDescent="0.25">
      <c r="A104" s="1">
        <v>39630</v>
      </c>
      <c r="B104">
        <v>29720089552.900002</v>
      </c>
      <c r="D104" s="1">
        <v>39995</v>
      </c>
      <c r="E104">
        <v>35795908458</v>
      </c>
      <c r="G104" s="1">
        <v>41091</v>
      </c>
      <c r="H104">
        <v>25979844091.689999</v>
      </c>
    </row>
    <row r="105" spans="1:8" x14ac:dyDescent="0.25">
      <c r="A105" s="1">
        <v>39661</v>
      </c>
      <c r="B105">
        <v>23895116779.84</v>
      </c>
      <c r="D105" s="1">
        <v>40026</v>
      </c>
      <c r="E105">
        <v>37195987892</v>
      </c>
      <c r="G105" s="1">
        <v>41122</v>
      </c>
      <c r="H105">
        <v>33503358451.93</v>
      </c>
    </row>
    <row r="106" spans="1:8" x14ac:dyDescent="0.25">
      <c r="A106" s="1">
        <v>39692</v>
      </c>
      <c r="B106">
        <v>31064253723.48</v>
      </c>
      <c r="D106" s="1">
        <v>40057</v>
      </c>
      <c r="E106">
        <v>25124193042</v>
      </c>
      <c r="G106" s="1">
        <v>41153</v>
      </c>
      <c r="H106">
        <v>33928306965.290001</v>
      </c>
    </row>
    <row r="107" spans="1:8" x14ac:dyDescent="0.25">
      <c r="A107" s="1">
        <v>39722</v>
      </c>
      <c r="B107">
        <v>23809898450.18</v>
      </c>
      <c r="D107" s="1">
        <v>40087</v>
      </c>
      <c r="E107">
        <v>20626473033</v>
      </c>
      <c r="G107" s="1">
        <v>41183</v>
      </c>
      <c r="H107">
        <v>31283410909.75</v>
      </c>
    </row>
    <row r="108" spans="1:8" x14ac:dyDescent="0.25">
      <c r="A108" s="1">
        <v>39753</v>
      </c>
      <c r="B108">
        <v>21148949856.68</v>
      </c>
      <c r="D108" s="1">
        <v>40118</v>
      </c>
      <c r="E108">
        <v>20911995560</v>
      </c>
      <c r="G108" s="1">
        <v>41214</v>
      </c>
      <c r="H108">
        <v>35904299978.760002</v>
      </c>
    </row>
    <row r="109" spans="1:8" x14ac:dyDescent="0.25">
      <c r="A109" s="1">
        <v>39783</v>
      </c>
      <c r="B109">
        <v>35059651421.099998</v>
      </c>
      <c r="D109" s="1">
        <v>40148</v>
      </c>
      <c r="E109">
        <v>28691355245</v>
      </c>
      <c r="G109" s="1">
        <v>41244</v>
      </c>
      <c r="H109">
        <v>34339692424.330002</v>
      </c>
    </row>
    <row r="110" spans="1:8" x14ac:dyDescent="0.25">
      <c r="A110" s="1">
        <v>39814</v>
      </c>
      <c r="B110">
        <v>21075682764.630001</v>
      </c>
      <c r="D110" s="1">
        <v>40179</v>
      </c>
      <c r="E110">
        <v>22259120578</v>
      </c>
      <c r="G110" s="1">
        <v>41275</v>
      </c>
      <c r="H110">
        <v>32196197560.759998</v>
      </c>
    </row>
    <row r="111" spans="1:8" x14ac:dyDescent="0.25">
      <c r="A111" s="1">
        <v>39845</v>
      </c>
      <c r="B111">
        <v>37310959064.980003</v>
      </c>
      <c r="D111" s="1">
        <v>40210</v>
      </c>
      <c r="E111">
        <v>22459303639</v>
      </c>
      <c r="G111" s="1">
        <v>41306</v>
      </c>
      <c r="H111">
        <v>32970307489.080002</v>
      </c>
    </row>
    <row r="112" spans="1:8" x14ac:dyDescent="0.25">
      <c r="A112" s="1">
        <v>39873</v>
      </c>
      <c r="B112">
        <v>73662183156.080002</v>
      </c>
      <c r="D112" s="1">
        <v>40238</v>
      </c>
      <c r="E112">
        <v>23197865417</v>
      </c>
      <c r="G112" s="1">
        <v>41334</v>
      </c>
      <c r="H112">
        <v>30655965557.389999</v>
      </c>
    </row>
    <row r="113" spans="1:8" x14ac:dyDescent="0.25">
      <c r="A113" s="1">
        <v>39904</v>
      </c>
      <c r="B113">
        <v>42844475551.809998</v>
      </c>
      <c r="D113" s="1">
        <v>40269</v>
      </c>
      <c r="E113">
        <v>15835100089</v>
      </c>
      <c r="G113" s="1">
        <v>41365</v>
      </c>
      <c r="H113">
        <v>33788459642.080002</v>
      </c>
    </row>
    <row r="114" spans="1:8" x14ac:dyDescent="0.25">
      <c r="A114" s="1">
        <v>39934</v>
      </c>
      <c r="B114">
        <v>104242815292.78999</v>
      </c>
      <c r="D114" s="1">
        <v>40299</v>
      </c>
      <c r="E114">
        <v>16357907820.280001</v>
      </c>
      <c r="G114" s="1">
        <v>41395</v>
      </c>
      <c r="H114">
        <v>35541391682.480003</v>
      </c>
    </row>
    <row r="115" spans="1:8" x14ac:dyDescent="0.25">
      <c r="A115" s="1">
        <v>39965</v>
      </c>
      <c r="B115">
        <v>90389396239.25</v>
      </c>
      <c r="D115" s="1">
        <v>40330</v>
      </c>
      <c r="E115">
        <v>4440787121</v>
      </c>
      <c r="G115" s="1">
        <v>41426</v>
      </c>
      <c r="H115">
        <v>34545275140.459999</v>
      </c>
    </row>
    <row r="116" spans="1:8" x14ac:dyDescent="0.25">
      <c r="A116" s="1">
        <v>39995</v>
      </c>
      <c r="B116">
        <v>61075631672.169998</v>
      </c>
      <c r="D116" s="1">
        <v>40360</v>
      </c>
      <c r="E116">
        <v>18488997500.68</v>
      </c>
      <c r="G116" s="1">
        <v>41456</v>
      </c>
      <c r="H116">
        <v>32719901480.759998</v>
      </c>
    </row>
    <row r="117" spans="1:8" x14ac:dyDescent="0.25">
      <c r="A117" s="1">
        <v>40026</v>
      </c>
      <c r="B117">
        <v>44687619270.220001</v>
      </c>
      <c r="D117" s="1">
        <v>40391</v>
      </c>
      <c r="E117">
        <v>17563988873.93</v>
      </c>
      <c r="G117" s="1">
        <v>41487</v>
      </c>
      <c r="H117">
        <v>30102149819.59</v>
      </c>
    </row>
    <row r="118" spans="1:8" x14ac:dyDescent="0.25">
      <c r="A118" s="1">
        <v>40057</v>
      </c>
      <c r="B118">
        <v>42973764820.75</v>
      </c>
      <c r="D118" s="1">
        <v>40422</v>
      </c>
      <c r="E118">
        <v>24003997818.889999</v>
      </c>
      <c r="G118" s="1">
        <v>41518</v>
      </c>
      <c r="H118">
        <v>26096913838.68</v>
      </c>
    </row>
    <row r="119" spans="1:8" x14ac:dyDescent="0.25">
      <c r="A119" s="1">
        <v>40087</v>
      </c>
      <c r="B119">
        <v>24070944119.18</v>
      </c>
      <c r="D119" s="1">
        <v>40452</v>
      </c>
      <c r="E119">
        <v>21887884056</v>
      </c>
      <c r="G119" s="1">
        <v>41548</v>
      </c>
      <c r="H119">
        <v>23780021838.209999</v>
      </c>
    </row>
    <row r="120" spans="1:8" x14ac:dyDescent="0.25">
      <c r="A120" s="1">
        <v>40118</v>
      </c>
      <c r="B120">
        <v>25244219861.490002</v>
      </c>
      <c r="D120" s="1">
        <v>40483</v>
      </c>
      <c r="E120">
        <v>22886612507.060001</v>
      </c>
      <c r="G120" s="1">
        <v>41579</v>
      </c>
      <c r="H120">
        <v>22028072501.110001</v>
      </c>
    </row>
    <row r="121" spans="1:8" x14ac:dyDescent="0.25">
      <c r="A121" s="1">
        <v>40148</v>
      </c>
      <c r="B121">
        <v>32066584464.470001</v>
      </c>
      <c r="D121" s="1">
        <v>40513</v>
      </c>
      <c r="E121">
        <v>24977551117.950001</v>
      </c>
      <c r="G121" s="1">
        <v>41609</v>
      </c>
      <c r="H121">
        <v>18797260925.360001</v>
      </c>
    </row>
    <row r="122" spans="1:8" x14ac:dyDescent="0.25">
      <c r="A122" s="1">
        <v>40179</v>
      </c>
      <c r="B122">
        <v>25553835909.759998</v>
      </c>
      <c r="D122" s="1">
        <v>40544</v>
      </c>
      <c r="E122">
        <v>23440355916.849998</v>
      </c>
      <c r="G122" s="1">
        <v>41640</v>
      </c>
      <c r="H122">
        <v>19306427185.299999</v>
      </c>
    </row>
    <row r="123" spans="1:8" x14ac:dyDescent="0.25">
      <c r="A123" s="1">
        <v>40210</v>
      </c>
      <c r="B123">
        <v>25984866649.599998</v>
      </c>
      <c r="D123" s="1">
        <v>40575</v>
      </c>
      <c r="E123">
        <v>22055219197.330002</v>
      </c>
      <c r="G123" s="1">
        <v>41671</v>
      </c>
      <c r="H123">
        <v>18103954944.02</v>
      </c>
    </row>
    <row r="124" spans="1:8" x14ac:dyDescent="0.25">
      <c r="A124" s="1">
        <v>40238</v>
      </c>
      <c r="B124">
        <v>21814620429.029999</v>
      </c>
      <c r="D124" s="1">
        <v>40603</v>
      </c>
      <c r="E124">
        <v>12219437409.59</v>
      </c>
      <c r="G124" s="1">
        <v>41699</v>
      </c>
      <c r="H124">
        <v>14913275714.74</v>
      </c>
    </row>
    <row r="125" spans="1:8" x14ac:dyDescent="0.25">
      <c r="A125" s="1">
        <v>40269</v>
      </c>
      <c r="B125">
        <v>22672014546.959999</v>
      </c>
      <c r="D125" s="1">
        <v>40634</v>
      </c>
      <c r="E125">
        <v>11349542641.190001</v>
      </c>
      <c r="G125" s="1">
        <v>41730</v>
      </c>
      <c r="H125">
        <v>19161210670.099998</v>
      </c>
    </row>
    <row r="126" spans="1:8" x14ac:dyDescent="0.25">
      <c r="A126" s="1">
        <v>40299</v>
      </c>
      <c r="B126">
        <v>21414007110.450001</v>
      </c>
      <c r="D126" s="1">
        <v>40664</v>
      </c>
      <c r="E126">
        <v>9991312936</v>
      </c>
      <c r="G126" s="1">
        <v>41760</v>
      </c>
      <c r="H126">
        <v>21313112724.419998</v>
      </c>
    </row>
    <row r="127" spans="1:8" x14ac:dyDescent="0.25">
      <c r="A127" s="1">
        <v>40330</v>
      </c>
      <c r="B127">
        <v>24557345352.119999</v>
      </c>
      <c r="D127" s="1">
        <v>40695</v>
      </c>
      <c r="E127">
        <v>11185266472.469999</v>
      </c>
      <c r="G127" s="1">
        <v>41791</v>
      </c>
      <c r="H127">
        <v>22837224956.610001</v>
      </c>
    </row>
    <row r="128" spans="1:8" x14ac:dyDescent="0.25">
      <c r="A128" s="1">
        <v>40360</v>
      </c>
      <c r="B128">
        <v>23639234508.279999</v>
      </c>
      <c r="D128" s="1">
        <v>40725</v>
      </c>
      <c r="E128">
        <v>8993588630.2700005</v>
      </c>
      <c r="G128" s="1">
        <v>41821</v>
      </c>
      <c r="H128">
        <v>24130079649.369999</v>
      </c>
    </row>
    <row r="129" spans="1:8" x14ac:dyDescent="0.25">
      <c r="A129" s="1">
        <v>40391</v>
      </c>
      <c r="B129">
        <v>26303782442.860001</v>
      </c>
      <c r="D129" s="1">
        <v>40756</v>
      </c>
      <c r="E129">
        <v>12434606574.16</v>
      </c>
      <c r="G129" s="1">
        <v>41852</v>
      </c>
      <c r="H129">
        <v>26924052271.139999</v>
      </c>
    </row>
    <row r="130" spans="1:8" x14ac:dyDescent="0.25">
      <c r="A130" s="1">
        <v>40422</v>
      </c>
      <c r="B130">
        <v>41372275892.279999</v>
      </c>
      <c r="D130" s="1">
        <v>40787</v>
      </c>
      <c r="E130">
        <v>13033858325.129999</v>
      </c>
      <c r="G130" s="1">
        <v>41883</v>
      </c>
      <c r="H130">
        <v>24550570201.189999</v>
      </c>
    </row>
    <row r="131" spans="1:8" x14ac:dyDescent="0.25">
      <c r="A131" s="1">
        <v>40452</v>
      </c>
      <c r="B131">
        <v>39002199531.470001</v>
      </c>
      <c r="D131" s="1">
        <v>40817</v>
      </c>
      <c r="E131">
        <v>14105792163.389999</v>
      </c>
      <c r="G131" s="1">
        <v>41913</v>
      </c>
      <c r="H131">
        <v>26656130972.02</v>
      </c>
    </row>
    <row r="132" spans="1:8" x14ac:dyDescent="0.25">
      <c r="A132" s="1">
        <v>40483</v>
      </c>
      <c r="B132">
        <v>38478279425.18</v>
      </c>
      <c r="D132" s="1">
        <v>40848</v>
      </c>
      <c r="E132">
        <v>12790573885.959999</v>
      </c>
      <c r="G132" s="1">
        <v>41944</v>
      </c>
      <c r="H132">
        <v>23326887135.66</v>
      </c>
    </row>
    <row r="133" spans="1:8" x14ac:dyDescent="0.25">
      <c r="A133" s="1">
        <v>40513</v>
      </c>
      <c r="B133">
        <v>43881600263.040001</v>
      </c>
      <c r="D133" s="1">
        <v>40878</v>
      </c>
      <c r="E133">
        <v>10127962005</v>
      </c>
      <c r="G133" s="1">
        <v>41974</v>
      </c>
      <c r="H133">
        <v>23771524041.369999</v>
      </c>
    </row>
    <row r="134" spans="1:8" x14ac:dyDescent="0.25">
      <c r="A134" s="1">
        <v>40544</v>
      </c>
      <c r="B134">
        <v>34011287049.240002</v>
      </c>
      <c r="D134" s="1">
        <v>40909</v>
      </c>
      <c r="E134">
        <v>15695056751.58</v>
      </c>
      <c r="G134" s="1">
        <v>42005</v>
      </c>
      <c r="H134">
        <v>23933677786.279999</v>
      </c>
    </row>
    <row r="135" spans="1:8" x14ac:dyDescent="0.25">
      <c r="A135" s="1">
        <v>40575</v>
      </c>
      <c r="B135">
        <v>27956171057.66</v>
      </c>
      <c r="D135" s="1">
        <v>40940</v>
      </c>
      <c r="E135">
        <v>22415817892.91</v>
      </c>
      <c r="G135" s="1">
        <v>42036</v>
      </c>
      <c r="H135">
        <v>21007092086.880001</v>
      </c>
    </row>
    <row r="136" spans="1:8" x14ac:dyDescent="0.25">
      <c r="A136" s="1">
        <v>40603</v>
      </c>
      <c r="B136">
        <v>31373387579.189999</v>
      </c>
      <c r="D136" s="1">
        <v>40969</v>
      </c>
      <c r="E136">
        <v>18854601485.439999</v>
      </c>
      <c r="G136" s="1">
        <v>42064</v>
      </c>
      <c r="H136">
        <v>27672235706.830002</v>
      </c>
    </row>
    <row r="137" spans="1:8" x14ac:dyDescent="0.25">
      <c r="A137" s="1">
        <v>40634</v>
      </c>
      <c r="B137">
        <v>17912159395.5</v>
      </c>
      <c r="D137" s="1">
        <v>41000</v>
      </c>
      <c r="E137">
        <v>15752441199.719999</v>
      </c>
      <c r="G137" s="1">
        <v>42095</v>
      </c>
      <c r="H137">
        <v>36149006574.089996</v>
      </c>
    </row>
    <row r="138" spans="1:8" x14ac:dyDescent="0.25">
      <c r="A138" s="1">
        <v>40664</v>
      </c>
      <c r="B138">
        <v>17070176806.76</v>
      </c>
      <c r="D138" s="1">
        <v>41030</v>
      </c>
      <c r="E138">
        <v>12334194314.4</v>
      </c>
      <c r="G138" s="1">
        <v>42125</v>
      </c>
      <c r="H138">
        <v>35410664264.059998</v>
      </c>
    </row>
    <row r="139" spans="1:8" x14ac:dyDescent="0.25">
      <c r="A139" s="1">
        <v>40695</v>
      </c>
      <c r="B139">
        <v>19594273730.119999</v>
      </c>
      <c r="D139" s="1">
        <v>41061</v>
      </c>
      <c r="E139">
        <v>21944260496.720001</v>
      </c>
      <c r="G139" s="1">
        <v>42156</v>
      </c>
      <c r="H139">
        <v>36375458743.910004</v>
      </c>
    </row>
    <row r="140" spans="1:8" x14ac:dyDescent="0.25">
      <c r="A140" s="1">
        <v>40725</v>
      </c>
      <c r="B140">
        <v>15177839051.5</v>
      </c>
      <c r="D140" s="1">
        <v>41091</v>
      </c>
      <c r="E140">
        <v>15639988851.67</v>
      </c>
      <c r="G140" s="1">
        <v>42186</v>
      </c>
      <c r="H140">
        <v>40978717761.120003</v>
      </c>
    </row>
    <row r="141" spans="1:8" x14ac:dyDescent="0.25">
      <c r="A141" s="1">
        <v>40756</v>
      </c>
      <c r="B141">
        <v>20029052063.610001</v>
      </c>
      <c r="D141" s="1">
        <v>41122</v>
      </c>
      <c r="E141">
        <v>22087176497.110001</v>
      </c>
      <c r="G141" s="1">
        <v>42217</v>
      </c>
      <c r="H141">
        <v>39143361996.760002</v>
      </c>
    </row>
    <row r="142" spans="1:8" x14ac:dyDescent="0.25">
      <c r="A142" s="1">
        <v>40787</v>
      </c>
      <c r="B142">
        <v>23757776296.580002</v>
      </c>
      <c r="D142" s="1">
        <v>41153</v>
      </c>
      <c r="E142">
        <v>18138396334.799999</v>
      </c>
      <c r="G142" s="1">
        <v>42248</v>
      </c>
      <c r="H142">
        <v>13314671675</v>
      </c>
    </row>
    <row r="143" spans="1:8" x14ac:dyDescent="0.25">
      <c r="A143" s="1">
        <v>40817</v>
      </c>
      <c r="B143">
        <v>23009743318.59</v>
      </c>
      <c r="D143" s="1">
        <v>41183</v>
      </c>
      <c r="E143">
        <v>25663183540.34</v>
      </c>
    </row>
    <row r="144" spans="1:8" x14ac:dyDescent="0.25">
      <c r="A144" s="1">
        <v>40848</v>
      </c>
      <c r="B144">
        <v>30405052079.57</v>
      </c>
      <c r="D144" s="1">
        <v>41214</v>
      </c>
      <c r="E144">
        <v>33628285617.849998</v>
      </c>
    </row>
    <row r="145" spans="1:5" x14ac:dyDescent="0.25">
      <c r="A145" s="1">
        <v>40878</v>
      </c>
      <c r="B145">
        <v>44093580257.989998</v>
      </c>
      <c r="D145" s="1">
        <v>41244</v>
      </c>
      <c r="E145">
        <v>15134405207.459999</v>
      </c>
    </row>
    <row r="146" spans="1:5" x14ac:dyDescent="0.25">
      <c r="A146" s="1">
        <v>40909</v>
      </c>
      <c r="B146">
        <v>31289998659.169998</v>
      </c>
      <c r="D146" s="1">
        <v>41275</v>
      </c>
      <c r="E146">
        <v>23986973952.799999</v>
      </c>
    </row>
    <row r="147" spans="1:5" x14ac:dyDescent="0.25">
      <c r="A147" s="1">
        <v>40940</v>
      </c>
      <c r="B147">
        <v>32401462058.639999</v>
      </c>
      <c r="D147" s="1">
        <v>41306</v>
      </c>
      <c r="E147">
        <v>23602527705</v>
      </c>
    </row>
    <row r="148" spans="1:5" x14ac:dyDescent="0.25">
      <c r="A148" s="1">
        <v>40969</v>
      </c>
      <c r="B148">
        <v>54885937948.610001</v>
      </c>
      <c r="D148" s="1">
        <v>41334</v>
      </c>
      <c r="E148">
        <v>28820061026.990002</v>
      </c>
    </row>
    <row r="149" spans="1:5" x14ac:dyDescent="0.25">
      <c r="A149" s="1">
        <v>41000</v>
      </c>
      <c r="B149">
        <v>27300467051.919998</v>
      </c>
      <c r="D149" s="1">
        <v>41365</v>
      </c>
      <c r="E149">
        <v>26723125678.689999</v>
      </c>
    </row>
    <row r="150" spans="1:5" x14ac:dyDescent="0.25">
      <c r="A150" s="1">
        <v>41030</v>
      </c>
      <c r="B150">
        <v>41877798588.279999</v>
      </c>
      <c r="D150" s="1">
        <v>41395</v>
      </c>
      <c r="E150">
        <v>22022594301.049999</v>
      </c>
    </row>
    <row r="151" spans="1:5" x14ac:dyDescent="0.25">
      <c r="A151" s="1">
        <v>41061</v>
      </c>
      <c r="B151">
        <v>32749139618</v>
      </c>
      <c r="D151" s="1">
        <v>41426</v>
      </c>
      <c r="E151">
        <v>27104464188.099998</v>
      </c>
    </row>
    <row r="152" spans="1:5" x14ac:dyDescent="0.25">
      <c r="A152" s="1">
        <v>41091</v>
      </c>
      <c r="B152">
        <v>39287753862.440002</v>
      </c>
      <c r="D152" s="1">
        <v>41456</v>
      </c>
      <c r="E152">
        <v>23236643521.849998</v>
      </c>
    </row>
    <row r="153" spans="1:5" x14ac:dyDescent="0.25">
      <c r="A153" s="1">
        <v>41122</v>
      </c>
      <c r="B153">
        <v>44151422013.739998</v>
      </c>
      <c r="D153" s="1">
        <v>41487</v>
      </c>
      <c r="E153">
        <v>22851034177.48</v>
      </c>
    </row>
    <row r="154" spans="1:5" x14ac:dyDescent="0.25">
      <c r="A154" s="1">
        <v>41153</v>
      </c>
      <c r="B154">
        <v>48138464517.160004</v>
      </c>
      <c r="D154" s="1">
        <v>41518</v>
      </c>
      <c r="E154">
        <v>15926798729.33</v>
      </c>
    </row>
    <row r="155" spans="1:5" x14ac:dyDescent="0.25">
      <c r="A155" s="1">
        <v>41183</v>
      </c>
      <c r="B155">
        <v>32845572117.25</v>
      </c>
      <c r="D155" s="1">
        <v>41548</v>
      </c>
      <c r="E155">
        <v>13208202980.389999</v>
      </c>
    </row>
    <row r="156" spans="1:5" x14ac:dyDescent="0.25">
      <c r="A156" s="1">
        <v>41214</v>
      </c>
      <c r="B156">
        <v>63490043565.07</v>
      </c>
      <c r="D156" s="1">
        <v>41579</v>
      </c>
      <c r="E156">
        <v>14847893617.17</v>
      </c>
    </row>
    <row r="157" spans="1:5" x14ac:dyDescent="0.25">
      <c r="A157" s="1">
        <v>41244</v>
      </c>
      <c r="B157">
        <v>37102083640.139999</v>
      </c>
      <c r="D157" s="1">
        <v>41609</v>
      </c>
      <c r="E157">
        <v>14949524747.559999</v>
      </c>
    </row>
    <row r="158" spans="1:5" x14ac:dyDescent="0.25">
      <c r="A158" s="1">
        <v>41275</v>
      </c>
      <c r="B158">
        <v>48824794282.5</v>
      </c>
      <c r="D158" s="1">
        <v>41640</v>
      </c>
      <c r="E158">
        <v>13293024719.1</v>
      </c>
    </row>
    <row r="159" spans="1:5" x14ac:dyDescent="0.25">
      <c r="A159" s="1">
        <v>41306</v>
      </c>
      <c r="B159">
        <v>47378631818.669998</v>
      </c>
      <c r="D159" s="1">
        <v>41671</v>
      </c>
      <c r="E159">
        <v>12380352931.51</v>
      </c>
    </row>
    <row r="160" spans="1:5" x14ac:dyDescent="0.25">
      <c r="A160" s="1">
        <v>41334</v>
      </c>
      <c r="B160">
        <v>37535144880.860001</v>
      </c>
      <c r="D160" s="1">
        <v>41699</v>
      </c>
      <c r="E160">
        <v>9428630989.5300007</v>
      </c>
    </row>
    <row r="161" spans="1:5" x14ac:dyDescent="0.25">
      <c r="A161" s="1">
        <v>41365</v>
      </c>
      <c r="B161">
        <v>42399691905.099998</v>
      </c>
      <c r="D161" s="1">
        <v>41730</v>
      </c>
      <c r="E161">
        <v>11880600649.129999</v>
      </c>
    </row>
    <row r="162" spans="1:5" x14ac:dyDescent="0.25">
      <c r="A162" s="1">
        <v>41395</v>
      </c>
      <c r="B162">
        <v>45466433198.050003</v>
      </c>
      <c r="D162" s="1">
        <v>41760</v>
      </c>
      <c r="E162">
        <v>12517020266.5</v>
      </c>
    </row>
    <row r="163" spans="1:5" x14ac:dyDescent="0.25">
      <c r="A163" s="1">
        <v>41426</v>
      </c>
      <c r="B163">
        <v>40941810523.5</v>
      </c>
      <c r="D163" s="1">
        <v>41791</v>
      </c>
      <c r="E163">
        <v>14701610662.059999</v>
      </c>
    </row>
    <row r="164" spans="1:5" x14ac:dyDescent="0.25">
      <c r="A164" s="1">
        <v>41456</v>
      </c>
      <c r="B164">
        <v>45550463765.379997</v>
      </c>
      <c r="D164" s="1">
        <v>41821</v>
      </c>
      <c r="E164">
        <v>15222920586.84</v>
      </c>
    </row>
    <row r="165" spans="1:5" x14ac:dyDescent="0.25">
      <c r="A165" s="1">
        <v>41487</v>
      </c>
      <c r="B165">
        <v>40587772620.580002</v>
      </c>
      <c r="D165" s="1">
        <v>41852</v>
      </c>
      <c r="E165">
        <v>20825953397.360001</v>
      </c>
    </row>
    <row r="166" spans="1:5" x14ac:dyDescent="0.25">
      <c r="A166" s="1">
        <v>41518</v>
      </c>
      <c r="B166">
        <v>34032367711.959999</v>
      </c>
      <c r="D166" s="1">
        <v>41883</v>
      </c>
      <c r="E166">
        <v>18382440912.849998</v>
      </c>
    </row>
    <row r="167" spans="1:5" x14ac:dyDescent="0.25">
      <c r="A167" s="1">
        <v>41548</v>
      </c>
      <c r="B167">
        <v>31122292564.73</v>
      </c>
      <c r="D167" s="1">
        <v>41913</v>
      </c>
      <c r="E167">
        <v>18447356448.869999</v>
      </c>
    </row>
    <row r="168" spans="1:5" x14ac:dyDescent="0.25">
      <c r="A168" s="1">
        <v>41579</v>
      </c>
      <c r="B168">
        <v>26007087999.549999</v>
      </c>
      <c r="D168" s="1">
        <v>41944</v>
      </c>
      <c r="E168">
        <v>17090844933.950001</v>
      </c>
    </row>
    <row r="169" spans="1:5" x14ac:dyDescent="0.25">
      <c r="A169" s="1">
        <v>41609</v>
      </c>
      <c r="B169">
        <v>23070630524.27</v>
      </c>
      <c r="D169" s="1">
        <v>41974</v>
      </c>
      <c r="E169">
        <v>15224667686.83</v>
      </c>
    </row>
    <row r="170" spans="1:5" x14ac:dyDescent="0.25">
      <c r="A170" s="1">
        <v>41640</v>
      </c>
      <c r="B170">
        <v>17712105992.77</v>
      </c>
      <c r="D170" s="1">
        <v>42005</v>
      </c>
      <c r="E170">
        <v>15750001557.440001</v>
      </c>
    </row>
    <row r="171" spans="1:5" x14ac:dyDescent="0.25">
      <c r="A171" s="1">
        <v>41671</v>
      </c>
      <c r="B171">
        <v>17900762679.91</v>
      </c>
      <c r="D171" s="1">
        <v>42036</v>
      </c>
      <c r="E171">
        <v>21941582852.060001</v>
      </c>
    </row>
    <row r="172" spans="1:5" x14ac:dyDescent="0.25">
      <c r="A172" s="1">
        <v>41699</v>
      </c>
      <c r="B172">
        <v>15350293939.84</v>
      </c>
      <c r="D172" s="1">
        <v>42064</v>
      </c>
      <c r="E172">
        <v>17064362437.75</v>
      </c>
    </row>
    <row r="173" spans="1:5" x14ac:dyDescent="0.25">
      <c r="A173" s="1">
        <v>41730</v>
      </c>
      <c r="B173">
        <v>18153119964.27</v>
      </c>
      <c r="D173" s="1">
        <v>42095</v>
      </c>
      <c r="E173">
        <v>23097442806.419998</v>
      </c>
    </row>
    <row r="174" spans="1:5" x14ac:dyDescent="0.25">
      <c r="A174" s="1">
        <v>41760</v>
      </c>
      <c r="B174">
        <v>18182346631.84</v>
      </c>
      <c r="D174" s="1">
        <v>42125</v>
      </c>
      <c r="E174">
        <v>22650164367.650002</v>
      </c>
    </row>
    <row r="175" spans="1:5" x14ac:dyDescent="0.25">
      <c r="A175" s="1">
        <v>41791</v>
      </c>
      <c r="B175">
        <v>21441731612.880001</v>
      </c>
      <c r="D175" s="1">
        <v>42156</v>
      </c>
      <c r="E175">
        <v>25095335993.880001</v>
      </c>
    </row>
    <row r="176" spans="1:5" x14ac:dyDescent="0.25">
      <c r="A176" s="1">
        <v>41821</v>
      </c>
      <c r="B176">
        <v>24768923789.59</v>
      </c>
      <c r="D176" s="1">
        <v>42186</v>
      </c>
      <c r="E176">
        <v>23870859693.310001</v>
      </c>
    </row>
    <row r="177" spans="1:5" x14ac:dyDescent="0.25">
      <c r="A177" s="1">
        <v>41852</v>
      </c>
      <c r="B177">
        <v>23523307278.919998</v>
      </c>
      <c r="D177" s="1">
        <v>42217</v>
      </c>
      <c r="E177">
        <v>19506571993.630001</v>
      </c>
    </row>
    <row r="178" spans="1:5" x14ac:dyDescent="0.25">
      <c r="A178" s="1">
        <v>41883</v>
      </c>
      <c r="B178">
        <v>27365912351.02</v>
      </c>
      <c r="D178" s="1">
        <v>42248</v>
      </c>
      <c r="E178">
        <v>19621610533.700001</v>
      </c>
    </row>
    <row r="179" spans="1:5" x14ac:dyDescent="0.25">
      <c r="A179" s="1">
        <v>41913</v>
      </c>
      <c r="B179">
        <v>27912005870.240002</v>
      </c>
    </row>
    <row r="180" spans="1:5" x14ac:dyDescent="0.25">
      <c r="A180" s="1">
        <v>41944</v>
      </c>
      <c r="B180">
        <v>21446628139.060001</v>
      </c>
    </row>
    <row r="181" spans="1:5" x14ac:dyDescent="0.25">
      <c r="A181" s="1">
        <v>41974</v>
      </c>
      <c r="B181">
        <v>30457611828.209999</v>
      </c>
    </row>
    <row r="182" spans="1:5" x14ac:dyDescent="0.25">
      <c r="A182" s="1">
        <v>42005</v>
      </c>
      <c r="B182">
        <v>25545727800.02</v>
      </c>
    </row>
    <row r="183" spans="1:5" x14ac:dyDescent="0.25">
      <c r="A183" s="1">
        <v>42036</v>
      </c>
      <c r="B183">
        <v>24499035279.619999</v>
      </c>
    </row>
    <row r="184" spans="1:5" x14ac:dyDescent="0.25">
      <c r="A184" s="1">
        <v>42064</v>
      </c>
      <c r="B184">
        <v>30938482076.66</v>
      </c>
    </row>
    <row r="185" spans="1:5" x14ac:dyDescent="0.25">
      <c r="A185" s="1">
        <v>42095</v>
      </c>
      <c r="B185">
        <v>32900745182.860001</v>
      </c>
    </row>
    <row r="186" spans="1:5" x14ac:dyDescent="0.25">
      <c r="A186" s="1">
        <v>42125</v>
      </c>
      <c r="B186">
        <v>30449185241.43</v>
      </c>
    </row>
    <row r="187" spans="1:5" x14ac:dyDescent="0.25">
      <c r="A187" s="1">
        <v>42156</v>
      </c>
      <c r="B187">
        <v>30476004960.040001</v>
      </c>
    </row>
    <row r="188" spans="1:5" x14ac:dyDescent="0.25">
      <c r="A188" s="1">
        <v>42186</v>
      </c>
      <c r="B188">
        <v>33433243718.610001</v>
      </c>
    </row>
    <row r="189" spans="1:5" x14ac:dyDescent="0.25">
      <c r="A189" s="1">
        <v>42217</v>
      </c>
      <c r="B189">
        <v>28060180351.740002</v>
      </c>
    </row>
    <row r="190" spans="1:5" x14ac:dyDescent="0.25">
      <c r="A190" s="1">
        <v>42248</v>
      </c>
      <c r="B190">
        <v>33496923451.509998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>
      <selection activeCell="G134" sqref="G134:H141"/>
    </sheetView>
  </sheetViews>
  <sheetFormatPr defaultRowHeight="15" x14ac:dyDescent="0.25"/>
  <sheetData>
    <row r="1" spans="1:10" x14ac:dyDescent="0.25">
      <c r="A1" t="s">
        <v>2</v>
      </c>
      <c r="B1" t="s">
        <v>3</v>
      </c>
      <c r="E1" t="s">
        <v>2</v>
      </c>
      <c r="F1" t="s">
        <v>4</v>
      </c>
      <c r="I1" t="s">
        <v>2</v>
      </c>
      <c r="J1" t="s">
        <v>5</v>
      </c>
    </row>
    <row r="2" spans="1:10" x14ac:dyDescent="0.25">
      <c r="A2">
        <v>2000</v>
      </c>
      <c r="B2">
        <v>148215312108</v>
      </c>
      <c r="E2">
        <v>2001</v>
      </c>
      <c r="F2">
        <v>252140656453</v>
      </c>
      <c r="I2">
        <v>2004</v>
      </c>
      <c r="J2">
        <v>97361925022.919998</v>
      </c>
    </row>
    <row r="3" spans="1:10" x14ac:dyDescent="0.25">
      <c r="A3">
        <v>2001</v>
      </c>
      <c r="B3">
        <v>368789967732</v>
      </c>
      <c r="E3">
        <v>2002</v>
      </c>
      <c r="F3">
        <v>282398492378</v>
      </c>
      <c r="I3">
        <v>2005</v>
      </c>
      <c r="J3">
        <v>77181076338.929993</v>
      </c>
    </row>
    <row r="4" spans="1:10" x14ac:dyDescent="0.25">
      <c r="A4">
        <v>2002</v>
      </c>
      <c r="B4">
        <v>440444585468</v>
      </c>
      <c r="E4">
        <v>2003</v>
      </c>
      <c r="F4">
        <v>328385209714</v>
      </c>
      <c r="I4">
        <v>2006</v>
      </c>
      <c r="J4">
        <v>78943161995.550003</v>
      </c>
    </row>
    <row r="5" spans="1:10" x14ac:dyDescent="0.25">
      <c r="A5">
        <v>2003</v>
      </c>
      <c r="B5">
        <v>694277370998</v>
      </c>
      <c r="E5">
        <v>2004</v>
      </c>
      <c r="F5">
        <v>200778424620</v>
      </c>
      <c r="I5">
        <v>2007</v>
      </c>
      <c r="J5">
        <v>102732600552.78999</v>
      </c>
    </row>
    <row r="6" spans="1:10" x14ac:dyDescent="0.25">
      <c r="A6">
        <v>2004</v>
      </c>
      <c r="B6">
        <v>301287928149</v>
      </c>
      <c r="E6">
        <v>2005</v>
      </c>
      <c r="F6">
        <v>256740082819</v>
      </c>
      <c r="I6">
        <v>2008</v>
      </c>
      <c r="J6">
        <v>268359310597.76999</v>
      </c>
    </row>
    <row r="7" spans="1:10" x14ac:dyDescent="0.25">
      <c r="A7">
        <v>2005</v>
      </c>
      <c r="B7">
        <v>318208793102.78998</v>
      </c>
      <c r="E7">
        <v>2006</v>
      </c>
      <c r="F7">
        <v>239688724289</v>
      </c>
      <c r="I7">
        <v>2009</v>
      </c>
      <c r="J7">
        <v>419861660090.96997</v>
      </c>
    </row>
    <row r="8" spans="1:10" x14ac:dyDescent="0.25">
      <c r="A8">
        <v>2006</v>
      </c>
      <c r="B8">
        <v>332875209761.21997</v>
      </c>
      <c r="E8">
        <v>2007</v>
      </c>
      <c r="F8">
        <v>297337271760.91998</v>
      </c>
      <c r="I8">
        <v>2010</v>
      </c>
      <c r="J8">
        <v>339786484009.51001</v>
      </c>
    </row>
    <row r="9" spans="1:10" x14ac:dyDescent="0.25">
      <c r="A9">
        <v>2007</v>
      </c>
      <c r="B9">
        <v>510294968365.65997</v>
      </c>
      <c r="E9">
        <v>2008</v>
      </c>
      <c r="F9">
        <v>284600653188.40997</v>
      </c>
      <c r="I9">
        <v>2011</v>
      </c>
      <c r="J9">
        <v>258788243580.70999</v>
      </c>
    </row>
    <row r="10" spans="1:10" x14ac:dyDescent="0.25">
      <c r="A10">
        <v>2008</v>
      </c>
      <c r="B10">
        <v>453203638757.53003</v>
      </c>
      <c r="E10">
        <v>2009</v>
      </c>
      <c r="F10">
        <v>387752008190</v>
      </c>
      <c r="I10">
        <v>2012</v>
      </c>
      <c r="J10">
        <v>351447776495.76001</v>
      </c>
    </row>
    <row r="11" spans="1:10" x14ac:dyDescent="0.25">
      <c r="A11">
        <v>2009</v>
      </c>
      <c r="B11">
        <v>599644276277.81995</v>
      </c>
      <c r="E11">
        <v>2010</v>
      </c>
      <c r="F11">
        <v>234359116538.79001</v>
      </c>
      <c r="I11">
        <v>2013</v>
      </c>
      <c r="J11">
        <v>353221917475.96002</v>
      </c>
    </row>
    <row r="12" spans="1:10" x14ac:dyDescent="0.25">
      <c r="A12">
        <v>2010</v>
      </c>
      <c r="B12">
        <v>354674062061.03003</v>
      </c>
      <c r="E12">
        <v>2011</v>
      </c>
      <c r="F12">
        <v>161727516157.34</v>
      </c>
      <c r="I12">
        <v>2014</v>
      </c>
      <c r="J12">
        <v>264994450465.94</v>
      </c>
    </row>
    <row r="13" spans="1:10" x14ac:dyDescent="0.25">
      <c r="A13">
        <v>2011</v>
      </c>
      <c r="B13">
        <v>304390498686.31</v>
      </c>
      <c r="E13">
        <v>2012</v>
      </c>
      <c r="F13">
        <v>237287808190</v>
      </c>
      <c r="I13" s="1">
        <v>42005</v>
      </c>
      <c r="J13">
        <v>23933677786.279999</v>
      </c>
    </row>
    <row r="14" spans="1:10" x14ac:dyDescent="0.25">
      <c r="A14">
        <v>2012</v>
      </c>
      <c r="B14">
        <v>485520143640.41998</v>
      </c>
      <c r="E14">
        <v>2013</v>
      </c>
      <c r="F14">
        <v>257279844626.41</v>
      </c>
      <c r="I14" s="1">
        <v>42036</v>
      </c>
      <c r="J14">
        <v>21007092086.880001</v>
      </c>
    </row>
    <row r="15" spans="1:10" x14ac:dyDescent="0.25">
      <c r="A15">
        <v>2013</v>
      </c>
      <c r="B15">
        <v>462917121795.15002</v>
      </c>
      <c r="E15">
        <v>2014</v>
      </c>
      <c r="F15">
        <v>179395424184.53</v>
      </c>
      <c r="I15" s="1">
        <v>42064</v>
      </c>
      <c r="J15">
        <v>27672235706.830002</v>
      </c>
    </row>
    <row r="16" spans="1:10" x14ac:dyDescent="0.25">
      <c r="A16">
        <v>2014</v>
      </c>
      <c r="B16">
        <v>264214750078.54999</v>
      </c>
      <c r="E16" s="1">
        <v>42005</v>
      </c>
      <c r="F16">
        <v>15750001557.440001</v>
      </c>
      <c r="I16" s="1">
        <v>42095</v>
      </c>
      <c r="J16">
        <v>36149006574.089996</v>
      </c>
    </row>
    <row r="17" spans="1:10" x14ac:dyDescent="0.25">
      <c r="A17" s="1">
        <v>42005</v>
      </c>
      <c r="B17">
        <v>25545727800.02</v>
      </c>
      <c r="E17" s="1">
        <v>42036</v>
      </c>
      <c r="F17">
        <v>21941582852.060001</v>
      </c>
      <c r="I17" s="1">
        <v>42125</v>
      </c>
      <c r="J17">
        <v>35410664264.059998</v>
      </c>
    </row>
    <row r="18" spans="1:10" x14ac:dyDescent="0.25">
      <c r="A18" s="1">
        <v>42036</v>
      </c>
      <c r="B18">
        <v>24499035279.619999</v>
      </c>
      <c r="E18" s="1">
        <v>42064</v>
      </c>
      <c r="F18">
        <v>17064362437.75</v>
      </c>
      <c r="I18" s="1">
        <v>42156</v>
      </c>
      <c r="J18">
        <v>36375458743.910004</v>
      </c>
    </row>
    <row r="19" spans="1:10" x14ac:dyDescent="0.25">
      <c r="A19" s="1">
        <v>42064</v>
      </c>
      <c r="B19">
        <v>30938482076.66</v>
      </c>
      <c r="E19" s="1">
        <v>42095</v>
      </c>
      <c r="F19">
        <v>23097442806.419998</v>
      </c>
      <c r="I19" s="1">
        <v>42186</v>
      </c>
      <c r="J19">
        <v>40978717761.120003</v>
      </c>
    </row>
    <row r="20" spans="1:10" x14ac:dyDescent="0.25">
      <c r="A20" s="1">
        <v>42095</v>
      </c>
      <c r="B20">
        <v>32900745182.860001</v>
      </c>
      <c r="E20" s="1">
        <v>42125</v>
      </c>
      <c r="F20">
        <v>22650164367.650002</v>
      </c>
      <c r="I20" s="1">
        <v>42217</v>
      </c>
      <c r="J20">
        <v>39143361996.760002</v>
      </c>
    </row>
    <row r="21" spans="1:10" x14ac:dyDescent="0.25">
      <c r="A21" s="1">
        <v>42125</v>
      </c>
      <c r="B21">
        <v>30449185241.43</v>
      </c>
      <c r="E21" s="1">
        <v>42156</v>
      </c>
      <c r="F21">
        <v>25095335993.880001</v>
      </c>
    </row>
    <row r="22" spans="1:10" x14ac:dyDescent="0.25">
      <c r="A22" s="1">
        <v>42156</v>
      </c>
      <c r="B22">
        <v>30476004960.040001</v>
      </c>
      <c r="E22" s="1">
        <v>42186</v>
      </c>
      <c r="F22">
        <v>23870859693.310001</v>
      </c>
    </row>
    <row r="23" spans="1:10" x14ac:dyDescent="0.25">
      <c r="A23" s="1">
        <v>42186</v>
      </c>
      <c r="B23">
        <v>33433243718.610001</v>
      </c>
      <c r="E23" s="1">
        <v>42217</v>
      </c>
      <c r="F23">
        <v>19506571993.630001</v>
      </c>
    </row>
    <row r="24" spans="1:10" x14ac:dyDescent="0.25">
      <c r="A24" s="1">
        <v>42217</v>
      </c>
      <c r="B24">
        <v>28060180351.740002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P34" sqref="P34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Sheet1</vt:lpstr>
      <vt:lpstr>Sheet2</vt:lpstr>
      <vt:lpstr>Sheet4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2015-09-30T20:46:53Z</dcterms:created>
  <dcterms:modified xsi:type="dcterms:W3CDTF">2015-09-30T21:19:54Z</dcterms:modified>
</cp:coreProperties>
</file>