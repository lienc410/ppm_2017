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5"/>
  </bookViews>
  <sheets>
    <sheet name="Report" sheetId="4" r:id="rId1"/>
    <sheet name="Total" sheetId="7" r:id="rId2"/>
    <sheet name="Mortgage loan brokers" sheetId="5" r:id="rId3"/>
    <sheet name="Real estate credit" sheetId="6" r:id="rId4"/>
    <sheet name="Issue Amount" sheetId="8" r:id="rId5"/>
    <sheet name="Sheet1" sheetId="9" r:id="rId6"/>
  </sheets>
  <functionGroups builtInGroupCount="17"/>
  <externalReferences>
    <externalReference r:id="rId7"/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Report!$X$2</definedName>
    <definedName name="DatabaseEnv">Report!$X$1</definedName>
    <definedName name="DateToChangeLag">[2]Report!$U$12</definedName>
    <definedName name="HistoricalMtgRatesDataTable">[1]!OneWeekMtgRatesDataTable9[#Data]</definedName>
    <definedName name="IR">#REF!</definedName>
    <definedName name="MmExcelLinker_D5EFE7B8_A5AE_4CC6_B628_05FDC84CBEA4">Early Market [3]Data!$C$44:$C$44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Report!$X$3</definedName>
    <definedName name="PDFReportName">Report!$X$4</definedName>
    <definedName name="_xlnm.Print_Area" localSheetId="0">Report!$C$1:$S$52</definedName>
    <definedName name="Query_from_Agency_8" localSheetId="4" hidden="1">'Issue Amount'!$K$1:$L$117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F2" i="9" l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V2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" i="9"/>
  <c r="O52" i="4" l="1"/>
  <c r="P52" i="4"/>
  <c r="O43" i="4"/>
  <c r="P43" i="4"/>
  <c r="C110" i="8"/>
  <c r="C111" i="8"/>
  <c r="H115" i="8"/>
  <c r="H116" i="8"/>
  <c r="K24" i="7"/>
  <c r="L24" i="7"/>
  <c r="C110" i="7"/>
  <c r="D110" i="7"/>
  <c r="C111" i="7"/>
  <c r="D111" i="7"/>
  <c r="L52" i="4" l="1"/>
  <c r="M52" i="4"/>
  <c r="H24" i="7"/>
  <c r="I24" i="7"/>
  <c r="M43" i="4" s="1"/>
  <c r="J24" i="7"/>
  <c r="N43" i="4" s="1"/>
  <c r="N52" i="4" s="1"/>
  <c r="L43" i="4"/>
  <c r="C107" i="7"/>
  <c r="C108" i="7"/>
  <c r="C109" i="7"/>
  <c r="C107" i="8"/>
  <c r="D107" i="7" s="1"/>
  <c r="H112" i="8"/>
  <c r="H113" i="8"/>
  <c r="C108" i="8" s="1"/>
  <c r="D108" i="7" s="1"/>
  <c r="H114" i="8"/>
  <c r="C109" i="8" s="1"/>
  <c r="D109" i="7" s="1"/>
  <c r="J52" i="4" l="1"/>
  <c r="F24" i="7"/>
  <c r="J43" i="4" s="1"/>
  <c r="G24" i="7"/>
  <c r="K43" i="4" s="1"/>
  <c r="K52" i="4" s="1"/>
  <c r="C105" i="7"/>
  <c r="C106" i="7"/>
  <c r="G52" i="4" l="1"/>
  <c r="H52" i="4"/>
  <c r="C24" i="7"/>
  <c r="D24" i="7"/>
  <c r="H43" i="4" s="1"/>
  <c r="E24" i="7"/>
  <c r="I43" i="4" s="1"/>
  <c r="I52" i="4" s="1"/>
  <c r="G43" i="4"/>
  <c r="C103" i="7"/>
  <c r="C104" i="7"/>
  <c r="H109" i="8"/>
  <c r="C104" i="8" s="1"/>
  <c r="D104" i="7" s="1"/>
  <c r="H110" i="8"/>
  <c r="C105" i="8" s="1"/>
  <c r="D105" i="7" s="1"/>
  <c r="H111" i="8"/>
  <c r="C106" i="8" s="1"/>
  <c r="D106" i="7" s="1"/>
  <c r="H108" i="8"/>
  <c r="C103" i="8" s="1"/>
  <c r="D103" i="7" s="1"/>
  <c r="F52" i="4" l="1"/>
  <c r="F43" i="4"/>
  <c r="B24" i="7"/>
  <c r="Q42" i="4"/>
  <c r="D98" i="7"/>
  <c r="D99" i="7"/>
  <c r="D97" i="7"/>
  <c r="C100" i="7"/>
  <c r="C101" i="7"/>
  <c r="C102" i="7"/>
  <c r="C101" i="8"/>
  <c r="D101" i="7" s="1"/>
  <c r="C100" i="8"/>
  <c r="D100" i="7" s="1"/>
  <c r="H107" i="8"/>
  <c r="C102" i="8" s="1"/>
  <c r="D102" i="7" s="1"/>
  <c r="C98" i="7" l="1"/>
  <c r="C99" i="7"/>
  <c r="C97" i="7" l="1"/>
  <c r="C96" i="7" l="1"/>
  <c r="C95" i="7" l="1"/>
  <c r="D95" i="7"/>
  <c r="D94" i="7" l="1"/>
  <c r="C94" i="7" l="1"/>
  <c r="C93" i="7" l="1"/>
  <c r="D93" i="7"/>
  <c r="C92" i="7" l="1"/>
  <c r="D92" i="7"/>
  <c r="D30" i="7" l="1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29" i="7"/>
  <c r="X4" i="4"/>
  <c r="B19" i="7"/>
  <c r="F38" i="4"/>
  <c r="F47" i="4" s="1"/>
  <c r="C19" i="7"/>
  <c r="G38" i="4"/>
  <c r="D19" i="7"/>
  <c r="H38" i="4"/>
  <c r="H48" i="4" s="1"/>
  <c r="E19" i="7"/>
  <c r="I38" i="4"/>
  <c r="F19" i="7"/>
  <c r="J38" i="4"/>
  <c r="J47" i="4" s="1"/>
  <c r="G19" i="7"/>
  <c r="K38" i="4"/>
  <c r="H19" i="7"/>
  <c r="L38" i="4"/>
  <c r="L48" i="4" s="1"/>
  <c r="I19" i="7"/>
  <c r="M38" i="4"/>
  <c r="J19" i="7"/>
  <c r="N38" i="4"/>
  <c r="N47" i="4" s="1"/>
  <c r="K19" i="7"/>
  <c r="O38" i="4"/>
  <c r="O47" i="4" s="1"/>
  <c r="L19" i="7"/>
  <c r="P38" i="4"/>
  <c r="M19" i="7"/>
  <c r="Q38" i="4"/>
  <c r="B20" i="7"/>
  <c r="F39" i="4"/>
  <c r="F48" i="4"/>
  <c r="C20" i="7"/>
  <c r="G39" i="4"/>
  <c r="G49" i="4" s="1"/>
  <c r="D20" i="7"/>
  <c r="H39" i="4"/>
  <c r="E20" i="7"/>
  <c r="I39" i="4"/>
  <c r="I48" i="4" s="1"/>
  <c r="F20" i="7"/>
  <c r="J39" i="4"/>
  <c r="J48" i="4" s="1"/>
  <c r="G20" i="7"/>
  <c r="K39" i="4"/>
  <c r="H20" i="7"/>
  <c r="L39" i="4"/>
  <c r="I20" i="7"/>
  <c r="M39" i="4"/>
  <c r="J20" i="7"/>
  <c r="N39" i="4"/>
  <c r="N48" i="4" s="1"/>
  <c r="K20" i="7"/>
  <c r="O39" i="4"/>
  <c r="L20" i="7"/>
  <c r="P39" i="4"/>
  <c r="M20" i="7"/>
  <c r="Q39" i="4"/>
  <c r="Q48" i="4"/>
  <c r="B21" i="7"/>
  <c r="F40" i="4"/>
  <c r="C21" i="7"/>
  <c r="G40" i="4"/>
  <c r="D21" i="7"/>
  <c r="H40" i="4"/>
  <c r="H50" i="4" s="1"/>
  <c r="E21" i="7"/>
  <c r="I40" i="4"/>
  <c r="I49" i="4" s="1"/>
  <c r="F21" i="7"/>
  <c r="J40" i="4"/>
  <c r="G21" i="7"/>
  <c r="K40" i="4"/>
  <c r="K50" i="4"/>
  <c r="H21" i="7"/>
  <c r="L40" i="4"/>
  <c r="L50" i="4" s="1"/>
  <c r="I21" i="7"/>
  <c r="M40" i="4"/>
  <c r="M49" i="4" s="1"/>
  <c r="J21" i="7"/>
  <c r="N40" i="4"/>
  <c r="K21" i="7"/>
  <c r="O40" i="4"/>
  <c r="O49" i="4"/>
  <c r="L21" i="7"/>
  <c r="P40" i="4"/>
  <c r="P50" i="4" s="1"/>
  <c r="M21" i="7"/>
  <c r="Q40" i="4"/>
  <c r="B22" i="7"/>
  <c r="F41" i="4"/>
  <c r="F50" i="4" s="1"/>
  <c r="C22" i="7"/>
  <c r="G41" i="4"/>
  <c r="G50" i="4"/>
  <c r="D22" i="7"/>
  <c r="H41" i="4"/>
  <c r="E22" i="7"/>
  <c r="I41" i="4"/>
  <c r="I50" i="4" s="1"/>
  <c r="F22" i="7"/>
  <c r="J41" i="4"/>
  <c r="J50" i="4"/>
  <c r="G22" i="7"/>
  <c r="K41" i="4"/>
  <c r="H22" i="7"/>
  <c r="L41" i="4"/>
  <c r="I22" i="7"/>
  <c r="M41" i="4"/>
  <c r="J22" i="7"/>
  <c r="N41" i="4"/>
  <c r="N50" i="4" s="1"/>
  <c r="K22" i="7"/>
  <c r="O41" i="4"/>
  <c r="L22" i="7"/>
  <c r="P41" i="4"/>
  <c r="M22" i="7"/>
  <c r="Q41" i="4"/>
  <c r="Q51" i="4" s="1"/>
  <c r="B23" i="7"/>
  <c r="F42" i="4"/>
  <c r="F51" i="4" s="1"/>
  <c r="C23" i="7"/>
  <c r="G42" i="4" s="1"/>
  <c r="D23" i="7"/>
  <c r="H42" i="4" s="1"/>
  <c r="H51" i="4" s="1"/>
  <c r="C18" i="7"/>
  <c r="G37" i="4"/>
  <c r="D18" i="7"/>
  <c r="H37" i="4"/>
  <c r="E18" i="7"/>
  <c r="I37" i="4"/>
  <c r="I47" i="4" s="1"/>
  <c r="F18" i="7"/>
  <c r="J37" i="4"/>
  <c r="G18" i="7"/>
  <c r="K37" i="4"/>
  <c r="H18" i="7"/>
  <c r="L37" i="4"/>
  <c r="I18" i="7"/>
  <c r="M37" i="4"/>
  <c r="M47" i="4" s="1"/>
  <c r="J18" i="7"/>
  <c r="N37" i="4"/>
  <c r="K18" i="7"/>
  <c r="O37" i="4"/>
  <c r="L18" i="7"/>
  <c r="P37" i="4"/>
  <c r="M18" i="7"/>
  <c r="Q37" i="4"/>
  <c r="Q47" i="4" s="1"/>
  <c r="B18" i="7"/>
  <c r="F37" i="4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29" i="7"/>
  <c r="E23" i="7"/>
  <c r="I42" i="4" s="1"/>
  <c r="F23" i="7"/>
  <c r="J42" i="4" s="1"/>
  <c r="G23" i="7"/>
  <c r="K42" i="4" s="1"/>
  <c r="K51" i="4" s="1"/>
  <c r="H23" i="7"/>
  <c r="L42" i="4" s="1"/>
  <c r="L51" i="4" s="1"/>
  <c r="I23" i="7"/>
  <c r="M42" i="4" s="1"/>
  <c r="M51" i="4" s="1"/>
  <c r="J23" i="7"/>
  <c r="N42" i="4" s="1"/>
  <c r="K23" i="7"/>
  <c r="O42" i="4" s="1"/>
  <c r="O51" i="4" s="1"/>
  <c r="L23" i="7"/>
  <c r="P42" i="4" s="1"/>
  <c r="M23" i="7"/>
  <c r="G47" i="4"/>
  <c r="K48" i="4"/>
  <c r="O50" i="4"/>
  <c r="P48" i="4"/>
  <c r="J49" i="4"/>
  <c r="K49" i="4"/>
  <c r="H49" i="4"/>
  <c r="M48" i="4"/>
  <c r="K47" i="4"/>
  <c r="Q49" i="4"/>
  <c r="F49" i="4"/>
  <c r="P47" i="4"/>
  <c r="N51" i="4" l="1"/>
  <c r="M50" i="4"/>
  <c r="P49" i="4"/>
  <c r="G48" i="4"/>
  <c r="L49" i="4"/>
  <c r="L47" i="4"/>
  <c r="J51" i="4"/>
  <c r="N49" i="4"/>
  <c r="H47" i="4"/>
  <c r="I51" i="4"/>
  <c r="O48" i="4"/>
  <c r="Q50" i="4"/>
  <c r="P51" i="4"/>
  <c r="G51" i="4"/>
</calcChain>
</file>

<file path=xl/comments1.xml><?xml version="1.0" encoding="utf-8"?>
<comments xmlns="http://schemas.openxmlformats.org/spreadsheetml/2006/main">
  <authors>
    <author/>
  </authors>
  <commentLis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D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C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D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gt;= '20070101' and AsOf not in (  '20090501','20090601', '20090701', '20070601', '20070701')Group by Asof order by asof"/>
  </connection>
</connections>
</file>

<file path=xl/sharedStrings.xml><?xml version="1.0" encoding="utf-8"?>
<sst xmlns="http://schemas.openxmlformats.org/spreadsheetml/2006/main" count="501" uniqueCount="49">
  <si>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</si>
  <si>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</si>
  <si>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</si>
  <si>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</si>
  <si>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</si>
  <si>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</si>
  <si>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</si>
  <si>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</si>
  <si>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</si>
  <si>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</si>
  <si>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</si>
  <si>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</si>
  <si>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</si>
  <si>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</si>
  <si>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</si>
  <si>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</si>
  <si>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</si>
  <si>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</si>
  <si>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</si>
  <si>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</si>
  <si>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Employment, Hours, and Earnings from the Current Employment Statistics survey (National)</t>
  </si>
  <si>
    <t>Original Data Value</t>
  </si>
  <si>
    <t>Series Id:</t>
  </si>
  <si>
    <t>CEU5552231001</t>
  </si>
  <si>
    <t>Not Seasonally Adjusted</t>
  </si>
  <si>
    <t>Super Sector:</t>
  </si>
  <si>
    <t>Financial activities</t>
  </si>
  <si>
    <t>Industry:</t>
  </si>
  <si>
    <t>Mortgage and nonmortgage loan brokers</t>
  </si>
  <si>
    <t>NAICS Code:</t>
  </si>
  <si>
    <t>52231</t>
  </si>
  <si>
    <t>Data Type:</t>
  </si>
  <si>
    <t>ALL EMPLOYEES, THOUSANDS</t>
  </si>
  <si>
    <t>Years:</t>
  </si>
  <si>
    <t>2005 to 2015</t>
  </si>
  <si>
    <t>Year</t>
  </si>
  <si>
    <t>CEU5552229201</t>
  </si>
  <si>
    <t>Real estate credit</t>
  </si>
  <si>
    <t>522292</t>
  </si>
  <si>
    <t>Employment (Thousands)</t>
  </si>
  <si>
    <t>One Year Chg (Thousands)</t>
  </si>
  <si>
    <t>Note: We use the Not Seasonally Adjusted number for "Mortgage and nonmortgage loan brokers" and "Real estate credit"</t>
  </si>
  <si>
    <t>asOf</t>
  </si>
  <si>
    <t>TotalBalance</t>
  </si>
  <si>
    <t>Employment Number</t>
  </si>
  <si>
    <t xml:space="preserve">         Issue Amount stands for the total issue amount from FNMA</t>
  </si>
  <si>
    <t>Issue Amount (FNMA)</t>
  </si>
  <si>
    <t>New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</si>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</sst>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0.0"/>
    <numFmt numFmtId="195" formatCode="_(* #,##0_);_(* \(#,##0\);_(* &quot;-&quot;??_);_(@_)"/>
    <numFmt numFmtId="196" formatCode="0.0%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Calibri"/>
      <family val="2"/>
      <scheme val="minor"/>
    </font>
    <font>
      <sz val="10.1"/>
      <color theme="1"/>
      <name val="Tahoma"/>
      <family val="2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/>
      <bottom style="thick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529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0" fontId="13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22" fillId="0" borderId="39" xfId="0" applyFont="1" applyFill="1" applyBorder="1" applyAlignment="1">
      <alignment horizontal="center" wrapText="1"/>
    </xf>
    <xf numFmtId="0" fontId="22" fillId="0" borderId="0" xfId="0" applyFont="1" applyFill="1" applyAlignment="1">
      <alignment horizontal="left"/>
    </xf>
    <xf numFmtId="194" fontId="14" fillId="0" borderId="0" xfId="0" applyNumberFormat="1" applyFont="1" applyFill="1" applyAlignment="1">
      <alignment horizontal="right"/>
    </xf>
    <xf numFmtId="0" fontId="133" fillId="0" borderId="0" xfId="526"/>
    <xf numFmtId="0" fontId="136" fillId="0" borderId="39" xfId="526" applyFont="1" applyFill="1" applyBorder="1" applyAlignment="1">
      <alignment horizontal="center" wrapText="1"/>
    </xf>
    <xf numFmtId="0" fontId="136" fillId="0" borderId="0" xfId="526" applyFont="1" applyFill="1" applyAlignment="1">
      <alignment horizontal="left"/>
    </xf>
    <xf numFmtId="194" fontId="135" fillId="0" borderId="0" xfId="526" applyNumberFormat="1" applyFont="1" applyFill="1" applyAlignment="1">
      <alignment horizontal="right"/>
    </xf>
    <xf numFmtId="0" fontId="136" fillId="0" borderId="0" xfId="526" applyFont="1" applyFill="1" applyAlignment="1">
      <alignment horizontal="left" vertical="top" wrapText="1"/>
    </xf>
    <xf numFmtId="0" fontId="0" fillId="0" borderId="0" xfId="0" applyAlignment="1">
      <alignment vertical="center"/>
    </xf>
    <xf numFmtId="0" fontId="5" fillId="6" borderId="38" xfId="0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0" borderId="0" xfId="0"/>
    <xf numFmtId="195" fontId="0" fillId="0" borderId="0" xfId="527" applyNumberFormat="1" applyFont="1"/>
    <xf numFmtId="0" fontId="137" fillId="40" borderId="0" xfId="350" applyNumberFormat="1" applyFont="1" applyFill="1" applyBorder="1" applyAlignment="1"/>
    <xf numFmtId="14" fontId="7" fillId="0" borderId="0" xfId="0" applyNumberFormat="1" applyFont="1" applyBorder="1"/>
    <xf numFmtId="0" fontId="7" fillId="0" borderId="0" xfId="0" applyFont="1" applyBorder="1"/>
    <xf numFmtId="0" fontId="35" fillId="40" borderId="0" xfId="350" applyNumberFormat="1" applyFont="1" applyFill="1" applyBorder="1" applyAlignment="1"/>
    <xf numFmtId="0" fontId="0" fillId="0" borderId="0" xfId="0" applyBorder="1"/>
    <xf numFmtId="0" fontId="138" fillId="0" borderId="0" xfId="0" applyFont="1"/>
    <xf numFmtId="14" fontId="7" fillId="0" borderId="40" xfId="0" applyNumberFormat="1" applyFont="1" applyBorder="1"/>
    <xf numFmtId="0" fontId="35" fillId="40" borderId="41" xfId="350" applyNumberFormat="1" applyFont="1" applyFill="1" applyBorder="1" applyAlignment="1"/>
    <xf numFmtId="14" fontId="0" fillId="0" borderId="0" xfId="0" applyNumberFormat="1" applyBorder="1"/>
    <xf numFmtId="0" fontId="0" fillId="0" borderId="0" xfId="0"/>
    <xf numFmtId="0" fontId="133" fillId="0" borderId="0" xfId="526"/>
    <xf numFmtId="0" fontId="0" fillId="0" borderId="0" xfId="0"/>
    <xf numFmtId="0" fontId="22" fillId="0" borderId="0" xfId="526" applyFont="1" applyFill="1" applyAlignment="1">
      <alignment horizontal="left"/>
    </xf>
    <xf numFmtId="0" fontId="35" fillId="40" borderId="0" xfId="350" applyFont="1"/>
    <xf numFmtId="14" fontId="7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33" fillId="0" borderId="0" xfId="526"/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left" vertical="top" wrapText="1"/>
    </xf>
    <xf numFmtId="0" fontId="0" fillId="0" borderId="0" xfId="0"/>
    <xf numFmtId="0" fontId="132" fillId="0" borderId="0" xfId="0" applyFont="1" applyFill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14" fillId="0" borderId="0" xfId="0" applyFont="1" applyFill="1" applyAlignment="1">
      <alignment horizontal="left"/>
    </xf>
    <xf numFmtId="0" fontId="134" fillId="0" borderId="0" xfId="526" applyFont="1" applyFill="1" applyAlignment="1">
      <alignment horizontal="left"/>
    </xf>
    <xf numFmtId="0" fontId="133" fillId="0" borderId="0" xfId="526"/>
    <xf numFmtId="0" fontId="14" fillId="0" borderId="0" xfId="526" applyFont="1" applyFill="1" applyAlignment="1">
      <alignment horizontal="left" vertical="top" wrapText="1"/>
    </xf>
    <xf numFmtId="0" fontId="136" fillId="0" borderId="0" xfId="526" applyFont="1" applyFill="1" applyAlignment="1">
      <alignment horizontal="left" vertical="top" wrapText="1"/>
    </xf>
    <xf numFmtId="0" fontId="135" fillId="0" borderId="0" xfId="526" applyFont="1" applyFill="1" applyAlignment="1">
      <alignment horizontal="left" vertical="top" wrapText="1"/>
    </xf>
    <xf numFmtId="0" fontId="135" fillId="0" borderId="0" xfId="526" applyFont="1" applyFill="1" applyAlignment="1">
      <alignment horizontal="left"/>
    </xf>
    <xf numFmtId="0" fontId="0" fillId="0" borderId="0" xfId="0" applyBorder="1" applyAlignment="1">
      <alignment horizontal="center" vertical="center"/>
    </xf>
    <xf numFmtId="194" fontId="14" fillId="0" borderId="0" xfId="526" applyNumberFormat="1" applyFont="1" applyFill="1" applyAlignment="1">
      <alignment horizontal="right"/>
    </xf>
    <xf numFmtId="194" fontId="0" fillId="0" borderId="0" xfId="0" applyNumberFormat="1"/>
    <xf numFmtId="196" fontId="0" fillId="0" borderId="0" xfId="528" applyNumberFormat="1" applyFont="1"/>
  </cellXfs>
  <cellStyles count="52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7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43" xfId="526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8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Light16"/>
  <colors>
    <mruColors>
      <color rgb="FFB3275C"/>
      <color rgb="FF1B7A76"/>
      <color rgb="FF2E398A"/>
      <color rgb="FFC7732D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Mortgage Banker and Broker</a:t>
            </a:r>
            <a:r>
              <a:rPr lang="en-US" sz="1400" baseline="0"/>
              <a:t> Employment</a:t>
            </a:r>
            <a:endParaRPr 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Total!$C$28</c:f>
              <c:strCache>
                <c:ptCount val="1"/>
                <c:pt idx="0">
                  <c:v>Employment Number</c:v>
                </c:pt>
              </c:strCache>
            </c:strRef>
          </c:tx>
          <c:invertIfNegative val="0"/>
          <c:dLbls>
            <c:spPr>
              <a:noFill/>
            </c:spPr>
            <c:txPr>
              <a:bodyPr rot="0" vert="eaVert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Total!$A$29:$B$111</c:f>
              <c:multiLvlStrCache>
                <c:ptCount val="8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  <c:pt idx="63">
                    <c:v>Apr</c:v>
                  </c:pt>
                  <c:pt idx="64">
                    <c:v>May</c:v>
                  </c:pt>
                  <c:pt idx="65">
                    <c:v>Jun</c:v>
                  </c:pt>
                  <c:pt idx="66">
                    <c:v>Jul</c:v>
                  </c:pt>
                  <c:pt idx="67">
                    <c:v>Aug</c:v>
                  </c:pt>
                  <c:pt idx="68">
                    <c:v>Sep</c:v>
                  </c:pt>
                  <c:pt idx="69">
                    <c:v>Oct</c:v>
                  </c:pt>
                  <c:pt idx="70">
                    <c:v>Nov</c:v>
                  </c:pt>
                  <c:pt idx="71">
                    <c:v>Dec</c:v>
                  </c:pt>
                  <c:pt idx="72">
                    <c:v>Jan</c:v>
                  </c:pt>
                  <c:pt idx="73">
                    <c:v>Feb</c:v>
                  </c:pt>
                  <c:pt idx="74">
                    <c:v>Mar</c:v>
                  </c:pt>
                  <c:pt idx="75">
                    <c:v>Apr</c:v>
                  </c:pt>
                  <c:pt idx="76">
                    <c:v>May</c:v>
                  </c:pt>
                  <c:pt idx="77">
                    <c:v>Jun</c:v>
                  </c:pt>
                  <c:pt idx="78">
                    <c:v>Jul</c:v>
                  </c:pt>
                  <c:pt idx="79">
                    <c:v>Aug</c:v>
                  </c:pt>
                  <c:pt idx="80">
                    <c:v>Sep</c:v>
                  </c:pt>
                  <c:pt idx="81">
                    <c:v>Oct</c:v>
                  </c:pt>
                  <c:pt idx="82">
                    <c:v>Nov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  <c:pt idx="72">
                    <c:v>2016</c:v>
                  </c:pt>
                </c:lvl>
              </c:multiLvlStrCache>
            </c:multiLvlStrRef>
          </c:cat>
          <c:val>
            <c:numRef>
              <c:f>Total!$C$29:$C$111</c:f>
              <c:numCache>
                <c:formatCode>#0.0</c:formatCode>
                <c:ptCount val="83"/>
                <c:pt idx="0">
                  <c:v>258.5</c:v>
                </c:pt>
                <c:pt idx="1">
                  <c:v>263.60000000000002</c:v>
                </c:pt>
                <c:pt idx="2">
                  <c:v>264</c:v>
                </c:pt>
                <c:pt idx="3">
                  <c:v>262.89999999999998</c:v>
                </c:pt>
                <c:pt idx="4">
                  <c:v>263.39999999999998</c:v>
                </c:pt>
                <c:pt idx="5">
                  <c:v>263.8</c:v>
                </c:pt>
                <c:pt idx="6">
                  <c:v>270</c:v>
                </c:pt>
                <c:pt idx="7">
                  <c:v>270.8</c:v>
                </c:pt>
                <c:pt idx="8">
                  <c:v>273.8</c:v>
                </c:pt>
                <c:pt idx="9">
                  <c:v>278.10000000000002</c:v>
                </c:pt>
                <c:pt idx="10">
                  <c:v>279.5</c:v>
                </c:pt>
                <c:pt idx="11">
                  <c:v>280.3</c:v>
                </c:pt>
                <c:pt idx="12">
                  <c:v>272.39999999999998</c:v>
                </c:pt>
                <c:pt idx="13">
                  <c:v>272.8</c:v>
                </c:pt>
                <c:pt idx="14">
                  <c:v>272.10000000000002</c:v>
                </c:pt>
                <c:pt idx="15">
                  <c:v>265.8</c:v>
                </c:pt>
                <c:pt idx="16">
                  <c:v>268.7</c:v>
                </c:pt>
                <c:pt idx="17">
                  <c:v>265.5</c:v>
                </c:pt>
                <c:pt idx="18">
                  <c:v>262.60000000000002</c:v>
                </c:pt>
                <c:pt idx="19">
                  <c:v>259.39999999999998</c:v>
                </c:pt>
                <c:pt idx="20">
                  <c:v>259.39999999999998</c:v>
                </c:pt>
                <c:pt idx="21">
                  <c:v>259.8</c:v>
                </c:pt>
                <c:pt idx="22">
                  <c:v>261.89999999999998</c:v>
                </c:pt>
                <c:pt idx="23">
                  <c:v>261.3</c:v>
                </c:pt>
                <c:pt idx="24">
                  <c:v>257.7</c:v>
                </c:pt>
                <c:pt idx="25">
                  <c:v>260</c:v>
                </c:pt>
                <c:pt idx="26">
                  <c:v>262.3</c:v>
                </c:pt>
                <c:pt idx="27">
                  <c:v>263.3</c:v>
                </c:pt>
                <c:pt idx="28">
                  <c:v>266.7</c:v>
                </c:pt>
                <c:pt idx="29">
                  <c:v>275.3</c:v>
                </c:pt>
                <c:pt idx="30">
                  <c:v>278.60000000000002</c:v>
                </c:pt>
                <c:pt idx="31">
                  <c:v>284</c:v>
                </c:pt>
                <c:pt idx="32">
                  <c:v>288.39999999999998</c:v>
                </c:pt>
                <c:pt idx="33">
                  <c:v>289.8</c:v>
                </c:pt>
                <c:pt idx="34">
                  <c:v>293.89999999999998</c:v>
                </c:pt>
                <c:pt idx="35">
                  <c:v>297.60000000000002</c:v>
                </c:pt>
                <c:pt idx="36">
                  <c:v>295.5</c:v>
                </c:pt>
                <c:pt idx="37">
                  <c:v>297.7</c:v>
                </c:pt>
                <c:pt idx="38">
                  <c:v>301.10000000000002</c:v>
                </c:pt>
                <c:pt idx="39">
                  <c:v>303.7</c:v>
                </c:pt>
                <c:pt idx="40">
                  <c:v>303.39999999999998</c:v>
                </c:pt>
                <c:pt idx="41">
                  <c:v>305</c:v>
                </c:pt>
                <c:pt idx="42">
                  <c:v>305.2</c:v>
                </c:pt>
                <c:pt idx="43">
                  <c:v>300.39999999999998</c:v>
                </c:pt>
                <c:pt idx="44">
                  <c:v>294.3</c:v>
                </c:pt>
                <c:pt idx="45">
                  <c:v>292.2</c:v>
                </c:pt>
                <c:pt idx="46">
                  <c:v>290.3</c:v>
                </c:pt>
                <c:pt idx="47">
                  <c:v>287.39999999999998</c:v>
                </c:pt>
                <c:pt idx="48">
                  <c:v>279.79999999999995</c:v>
                </c:pt>
                <c:pt idx="49">
                  <c:v>278</c:v>
                </c:pt>
                <c:pt idx="50">
                  <c:v>273.10000000000002</c:v>
                </c:pt>
                <c:pt idx="51">
                  <c:v>273.5</c:v>
                </c:pt>
                <c:pt idx="52">
                  <c:v>274.5</c:v>
                </c:pt>
                <c:pt idx="53">
                  <c:v>277.5</c:v>
                </c:pt>
                <c:pt idx="54">
                  <c:v>280.89999999999998</c:v>
                </c:pt>
                <c:pt idx="55">
                  <c:v>280.8</c:v>
                </c:pt>
                <c:pt idx="56">
                  <c:v>283.60000000000002</c:v>
                </c:pt>
                <c:pt idx="57">
                  <c:v>284</c:v>
                </c:pt>
                <c:pt idx="58">
                  <c:v>287.79999999999995</c:v>
                </c:pt>
                <c:pt idx="59">
                  <c:v>288.10000000000002</c:v>
                </c:pt>
                <c:pt idx="60">
                  <c:v>282.8</c:v>
                </c:pt>
                <c:pt idx="61">
                  <c:v>283.8</c:v>
                </c:pt>
                <c:pt idx="62">
                  <c:v>285.8</c:v>
                </c:pt>
                <c:pt idx="63">
                  <c:v>287.89999999999998</c:v>
                </c:pt>
                <c:pt idx="64">
                  <c:v>291.3</c:v>
                </c:pt>
                <c:pt idx="65">
                  <c:v>295.3</c:v>
                </c:pt>
                <c:pt idx="66">
                  <c:v>298.89999999999998</c:v>
                </c:pt>
                <c:pt idx="67">
                  <c:v>300.20000000000005</c:v>
                </c:pt>
                <c:pt idx="68">
                  <c:v>301.8</c:v>
                </c:pt>
                <c:pt idx="69">
                  <c:v>301.39999999999998</c:v>
                </c:pt>
                <c:pt idx="70">
                  <c:v>301.3</c:v>
                </c:pt>
                <c:pt idx="71">
                  <c:v>301</c:v>
                </c:pt>
                <c:pt idx="72">
                  <c:v>299</c:v>
                </c:pt>
                <c:pt idx="73">
                  <c:v>296.89999999999998</c:v>
                </c:pt>
                <c:pt idx="74">
                  <c:v>298.5</c:v>
                </c:pt>
                <c:pt idx="75">
                  <c:v>301</c:v>
                </c:pt>
                <c:pt idx="76">
                  <c:v>301.10000000000002</c:v>
                </c:pt>
                <c:pt idx="77">
                  <c:v>306.8</c:v>
                </c:pt>
                <c:pt idx="78">
                  <c:v>311.89999999999998</c:v>
                </c:pt>
                <c:pt idx="79">
                  <c:v>312.8</c:v>
                </c:pt>
                <c:pt idx="80">
                  <c:v>315.2</c:v>
                </c:pt>
                <c:pt idx="81">
                  <c:v>318.10000000000002</c:v>
                </c:pt>
                <c:pt idx="82">
                  <c:v>322.10000000000002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04845568"/>
        <c:axId val="604847104"/>
      </c:barChart>
      <c:lineChart>
        <c:grouping val="standard"/>
        <c:varyColors val="0"/>
        <c:ser>
          <c:idx val="1"/>
          <c:order val="1"/>
          <c:tx>
            <c:strRef>
              <c:f>Total!$D$28</c:f>
              <c:strCache>
                <c:ptCount val="1"/>
                <c:pt idx="0">
                  <c:v>Issue Amount (FNMA)</c:v>
                </c:pt>
              </c:strCache>
            </c:strRef>
          </c:tx>
          <c:spPr>
            <a:ln w="19050">
              <a:solidFill>
                <a:srgbClr val="B3275C"/>
              </a:solidFill>
            </a:ln>
          </c:spPr>
          <c:marker>
            <c:symbol val="none"/>
          </c:marker>
          <c:cat>
            <c:multiLvlStrRef>
              <c:f>Total!$A$29:$B$111</c:f>
              <c:multiLvlStrCache>
                <c:ptCount val="8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  <c:pt idx="63">
                    <c:v>Apr</c:v>
                  </c:pt>
                  <c:pt idx="64">
                    <c:v>May</c:v>
                  </c:pt>
                  <c:pt idx="65">
                    <c:v>Jun</c:v>
                  </c:pt>
                  <c:pt idx="66">
                    <c:v>Jul</c:v>
                  </c:pt>
                  <c:pt idx="67">
                    <c:v>Aug</c:v>
                  </c:pt>
                  <c:pt idx="68">
                    <c:v>Sep</c:v>
                  </c:pt>
                  <c:pt idx="69">
                    <c:v>Oct</c:v>
                  </c:pt>
                  <c:pt idx="70">
                    <c:v>Nov</c:v>
                  </c:pt>
                  <c:pt idx="71">
                    <c:v>Dec</c:v>
                  </c:pt>
                  <c:pt idx="72">
                    <c:v>Jan</c:v>
                  </c:pt>
                  <c:pt idx="73">
                    <c:v>Feb</c:v>
                  </c:pt>
                  <c:pt idx="74">
                    <c:v>Mar</c:v>
                  </c:pt>
                  <c:pt idx="75">
                    <c:v>Apr</c:v>
                  </c:pt>
                  <c:pt idx="76">
                    <c:v>May</c:v>
                  </c:pt>
                  <c:pt idx="77">
                    <c:v>Jun</c:v>
                  </c:pt>
                  <c:pt idx="78">
                    <c:v>Jul</c:v>
                  </c:pt>
                  <c:pt idx="79">
                    <c:v>Aug</c:v>
                  </c:pt>
                  <c:pt idx="80">
                    <c:v>Sep</c:v>
                  </c:pt>
                  <c:pt idx="81">
                    <c:v>Oct</c:v>
                  </c:pt>
                  <c:pt idx="82">
                    <c:v>Nov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  <c:pt idx="72">
                    <c:v>2016</c:v>
                  </c:pt>
                </c:lvl>
              </c:multiLvlStrCache>
            </c:multiLvlStrRef>
          </c:cat>
          <c:val>
            <c:numRef>
              <c:f>Total!$D$29:$D$111</c:f>
              <c:numCache>
                <c:formatCode>_(* #,##0_);_(* \(#,##0\);_(* "-"??_);_(@_)</c:formatCode>
                <c:ptCount val="83"/>
                <c:pt idx="0">
                  <c:v>41171224451.529999</c:v>
                </c:pt>
                <c:pt idx="1">
                  <c:v>43331380880.580002</c:v>
                </c:pt>
                <c:pt idx="2">
                  <c:v>36714521904.68</c:v>
                </c:pt>
                <c:pt idx="3">
                  <c:v>36544416365.050003</c:v>
                </c:pt>
                <c:pt idx="4">
                  <c:v>36336611081.309998</c:v>
                </c:pt>
                <c:pt idx="5">
                  <c:v>37643702495.970001</c:v>
                </c:pt>
                <c:pt idx="6">
                  <c:v>40829244339.580002</c:v>
                </c:pt>
                <c:pt idx="7">
                  <c:v>46909004959.040001</c:v>
                </c:pt>
                <c:pt idx="8">
                  <c:v>69384338986.350006</c:v>
                </c:pt>
                <c:pt idx="9">
                  <c:v>68963882096.149994</c:v>
                </c:pt>
                <c:pt idx="10">
                  <c:v>71397253151.929993</c:v>
                </c:pt>
                <c:pt idx="11">
                  <c:v>81193901238.820007</c:v>
                </c:pt>
                <c:pt idx="12">
                  <c:v>66493575674.870003</c:v>
                </c:pt>
                <c:pt idx="13">
                  <c:v>51211208108.309998</c:v>
                </c:pt>
                <c:pt idx="14">
                  <c:v>52478992160.580002</c:v>
                </c:pt>
                <c:pt idx="15">
                  <c:v>33088841042.959999</c:v>
                </c:pt>
                <c:pt idx="16">
                  <c:v>30964833391.43</c:v>
                </c:pt>
                <c:pt idx="17">
                  <c:v>34031377587.419998</c:v>
                </c:pt>
                <c:pt idx="18">
                  <c:v>30621365146.98</c:v>
                </c:pt>
                <c:pt idx="19">
                  <c:v>38171516998.550003</c:v>
                </c:pt>
                <c:pt idx="20">
                  <c:v>45345536322.599998</c:v>
                </c:pt>
                <c:pt idx="21">
                  <c:v>51265734201.440002</c:v>
                </c:pt>
                <c:pt idx="22">
                  <c:v>62641454659.599998</c:v>
                </c:pt>
                <c:pt idx="23">
                  <c:v>73851865080.610001</c:v>
                </c:pt>
                <c:pt idx="24">
                  <c:v>58331372757.360001</c:v>
                </c:pt>
                <c:pt idx="25">
                  <c:v>56063681559.919998</c:v>
                </c:pt>
                <c:pt idx="26">
                  <c:v>86317495811.419998</c:v>
                </c:pt>
                <c:pt idx="27">
                  <c:v>48073485668.580002</c:v>
                </c:pt>
                <c:pt idx="28">
                  <c:v>66663158668.949997</c:v>
                </c:pt>
                <c:pt idx="29">
                  <c:v>65107512378.209999</c:v>
                </c:pt>
                <c:pt idx="30">
                  <c:v>71798949000.600006</c:v>
                </c:pt>
                <c:pt idx="31">
                  <c:v>80246484071.139999</c:v>
                </c:pt>
                <c:pt idx="32">
                  <c:v>84049356738.059998</c:v>
                </c:pt>
                <c:pt idx="33">
                  <c:v>61818801001.650002</c:v>
                </c:pt>
                <c:pt idx="34">
                  <c:v>107252324964.50999</c:v>
                </c:pt>
                <c:pt idx="35">
                  <c:v>66763638723.230003</c:v>
                </c:pt>
                <c:pt idx="36">
                  <c:v>85482757320.820007</c:v>
                </c:pt>
                <c:pt idx="37">
                  <c:v>77430427923.440002</c:v>
                </c:pt>
                <c:pt idx="38">
                  <c:v>66573031434.919998</c:v>
                </c:pt>
                <c:pt idx="39">
                  <c:v>73548428684.190002</c:v>
                </c:pt>
                <c:pt idx="40">
                  <c:v>73509211252.020004</c:v>
                </c:pt>
                <c:pt idx="41">
                  <c:v>66542000148.940002</c:v>
                </c:pt>
                <c:pt idx="42">
                  <c:v>71866974614.360001</c:v>
                </c:pt>
                <c:pt idx="43">
                  <c:v>65043206114.970001</c:v>
                </c:pt>
                <c:pt idx="44">
                  <c:v>52117579911.449997</c:v>
                </c:pt>
                <c:pt idx="45">
                  <c:v>47175834172.419998</c:v>
                </c:pt>
                <c:pt idx="46">
                  <c:v>38757040631.290001</c:v>
                </c:pt>
                <c:pt idx="47">
                  <c:v>37790142776.290001</c:v>
                </c:pt>
                <c:pt idx="48">
                  <c:v>28108964119.139999</c:v>
                </c:pt>
                <c:pt idx="49">
                  <c:v>27585216807.849998</c:v>
                </c:pt>
                <c:pt idx="50">
                  <c:v>23463509422.790001</c:v>
                </c:pt>
                <c:pt idx="51">
                  <c:v>27198516722.27</c:v>
                </c:pt>
                <c:pt idx="52">
                  <c:v>27487631130.209999</c:v>
                </c:pt>
                <c:pt idx="53">
                  <c:v>31582304306.349998</c:v>
                </c:pt>
                <c:pt idx="54">
                  <c:v>36447478522.989998</c:v>
                </c:pt>
                <c:pt idx="55">
                  <c:v>34332054961.080002</c:v>
                </c:pt>
                <c:pt idx="56">
                  <c:v>40347506692.199997</c:v>
                </c:pt>
                <c:pt idx="57">
                  <c:v>40323740351.139999</c:v>
                </c:pt>
                <c:pt idx="58">
                  <c:v>32492729674.279999</c:v>
                </c:pt>
                <c:pt idx="59">
                  <c:v>44253011751.110001</c:v>
                </c:pt>
                <c:pt idx="60">
                  <c:v>36980630899.18</c:v>
                </c:pt>
                <c:pt idx="61">
                  <c:v>36583983679.550003</c:v>
                </c:pt>
                <c:pt idx="62">
                  <c:v>44361653084.169998</c:v>
                </c:pt>
                <c:pt idx="63">
                  <c:v>51181167313.550003</c:v>
                </c:pt>
                <c:pt idx="64">
                  <c:v>44756506739.489998</c:v>
                </c:pt>
                <c:pt idx="65">
                  <c:v>46670102078.379997</c:v>
                </c:pt>
                <c:pt idx="66">
                  <c:v>46808897996.93</c:v>
                </c:pt>
                <c:pt idx="67">
                  <c:v>39123218043.230003</c:v>
                </c:pt>
                <c:pt idx="68">
                  <c:v>44989151670.82</c:v>
                </c:pt>
                <c:pt idx="69">
                  <c:v>41324740804.440002</c:v>
                </c:pt>
                <c:pt idx="70">
                  <c:v>28933538589.34</c:v>
                </c:pt>
                <c:pt idx="71">
                  <c:v>39048100886.419998</c:v>
                </c:pt>
                <c:pt idx="72">
                  <c:v>38841439178.620003</c:v>
                </c:pt>
                <c:pt idx="73">
                  <c:v>30561761942.720001</c:v>
                </c:pt>
                <c:pt idx="74">
                  <c:v>39928859384.089996</c:v>
                </c:pt>
                <c:pt idx="75">
                  <c:v>44861340063.169998</c:v>
                </c:pt>
                <c:pt idx="76">
                  <c:v>45906379388.75</c:v>
                </c:pt>
                <c:pt idx="77">
                  <c:v>49117830558.220001</c:v>
                </c:pt>
                <c:pt idx="78">
                  <c:v>52311053156.260002</c:v>
                </c:pt>
                <c:pt idx="79">
                  <c:v>57044014480.900002</c:v>
                </c:pt>
                <c:pt idx="80">
                  <c:v>69331875300.940002</c:v>
                </c:pt>
                <c:pt idx="81">
                  <c:v>64923288102.650002</c:v>
                </c:pt>
                <c:pt idx="82">
                  <c:v>50811667455.550003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51584"/>
        <c:axId val="604849280"/>
      </c:lineChart>
      <c:catAx>
        <c:axId val="60484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847104"/>
        <c:crosses val="autoZero"/>
        <c:auto val="1"/>
        <c:lblAlgn val="ctr"/>
        <c:lblOffset val="100"/>
        <c:noMultiLvlLbl val="0"/>
      </c:catAx>
      <c:valAx>
        <c:axId val="604847104"/>
        <c:scaling>
          <c:orientation val="minMax"/>
          <c:max val="330"/>
          <c:min val="2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Employment (Thousands)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604845568"/>
        <c:crosses val="autoZero"/>
        <c:crossBetween val="between"/>
      </c:valAx>
      <c:valAx>
        <c:axId val="604849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604851584"/>
        <c:crosses val="max"/>
        <c:crossBetween val="between"/>
        <c:dispUnits>
          <c:builtInUnit val="billions"/>
        </c:dispUnits>
      </c:valAx>
      <c:catAx>
        <c:axId val="604851584"/>
        <c:scaling>
          <c:orientation val="minMax"/>
        </c:scaling>
        <c:delete val="1"/>
        <c:axPos val="b"/>
        <c:majorTickMark val="out"/>
        <c:minorTickMark val="none"/>
        <c:tickLblPos val="nextTo"/>
        <c:crossAx val="604849280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Mortgage and nonmortgage loan brokers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Old</c:v>
                </c:pt>
              </c:strCache>
            </c:strRef>
          </c:tx>
          <c:marker>
            <c:symbol val="none"/>
          </c:marker>
          <c:cat>
            <c:multiLvlStrRef>
              <c:f>Sheet1!$A$2:$B$25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Sheet1!$C$2:$C$25</c:f>
              <c:numCache>
                <c:formatCode>#0.0</c:formatCode>
                <c:ptCount val="24"/>
                <c:pt idx="0">
                  <c:v>74.8</c:v>
                </c:pt>
                <c:pt idx="1">
                  <c:v>76</c:v>
                </c:pt>
                <c:pt idx="2">
                  <c:v>76.400000000000006</c:v>
                </c:pt>
                <c:pt idx="3">
                  <c:v>77.900000000000006</c:v>
                </c:pt>
                <c:pt idx="4">
                  <c:v>78.3</c:v>
                </c:pt>
                <c:pt idx="5">
                  <c:v>79.900000000000006</c:v>
                </c:pt>
                <c:pt idx="6" formatCode="General">
                  <c:v>80.8</c:v>
                </c:pt>
                <c:pt idx="7" formatCode="General">
                  <c:v>80.900000000000006</c:v>
                </c:pt>
                <c:pt idx="8">
                  <c:v>80.8</c:v>
                </c:pt>
                <c:pt idx="9" formatCode="General">
                  <c:v>79.8</c:v>
                </c:pt>
                <c:pt idx="10" formatCode="General">
                  <c:v>80</c:v>
                </c:pt>
                <c:pt idx="11" formatCode="General">
                  <c:v>80.5</c:v>
                </c:pt>
                <c:pt idx="12" formatCode="General">
                  <c:v>80</c:v>
                </c:pt>
                <c:pt idx="13" formatCode="General">
                  <c:v>79.2</c:v>
                </c:pt>
                <c:pt idx="14" formatCode="General">
                  <c:v>79.099999999999994</c:v>
                </c:pt>
                <c:pt idx="15" formatCode="General">
                  <c:v>80.5</c:v>
                </c:pt>
                <c:pt idx="16" formatCode="General">
                  <c:v>81.3</c:v>
                </c:pt>
                <c:pt idx="17" formatCode="General">
                  <c:v>84.4</c:v>
                </c:pt>
                <c:pt idx="18" formatCode="General">
                  <c:v>86.9</c:v>
                </c:pt>
                <c:pt idx="19" formatCode="General">
                  <c:v>87.7</c:v>
                </c:pt>
                <c:pt idx="20" formatCode="General">
                  <c:v>87.3</c:v>
                </c:pt>
                <c:pt idx="21" formatCode="General">
                  <c:v>88.5</c:v>
                </c:pt>
                <c:pt idx="22" formatCode="General">
                  <c:v>89.5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New</c:v>
                </c:pt>
              </c:strCache>
            </c:strRef>
          </c:tx>
          <c:marker>
            <c:symbol val="none"/>
          </c:marker>
          <c:cat>
            <c:multiLvlStrRef>
              <c:f>Sheet1!$A$2:$B$25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Sheet1!$D$2:$D$25</c:f>
              <c:numCache>
                <c:formatCode>#0.0</c:formatCode>
                <c:ptCount val="24"/>
                <c:pt idx="0">
                  <c:v>74.8</c:v>
                </c:pt>
                <c:pt idx="1">
                  <c:v>76</c:v>
                </c:pt>
                <c:pt idx="2">
                  <c:v>76.400000000000006</c:v>
                </c:pt>
                <c:pt idx="3">
                  <c:v>78.099999999999994</c:v>
                </c:pt>
                <c:pt idx="4">
                  <c:v>78.8</c:v>
                </c:pt>
                <c:pt idx="5">
                  <c:v>80.599999999999994</c:v>
                </c:pt>
                <c:pt idx="6" formatCode="General">
                  <c:v>81.8</c:v>
                </c:pt>
                <c:pt idx="7" formatCode="General">
                  <c:v>82.1</c:v>
                </c:pt>
                <c:pt idx="8">
                  <c:v>82.3</c:v>
                </c:pt>
                <c:pt idx="9" formatCode="General">
                  <c:v>81.5</c:v>
                </c:pt>
                <c:pt idx="10" formatCode="General">
                  <c:v>81.900000000000006</c:v>
                </c:pt>
                <c:pt idx="11" formatCode="General">
                  <c:v>82.7</c:v>
                </c:pt>
                <c:pt idx="12" formatCode="General">
                  <c:v>82.4</c:v>
                </c:pt>
                <c:pt idx="13" formatCode="General">
                  <c:v>81.900000000000006</c:v>
                </c:pt>
                <c:pt idx="14" formatCode="General">
                  <c:v>82</c:v>
                </c:pt>
                <c:pt idx="15" formatCode="General">
                  <c:v>83.2</c:v>
                </c:pt>
                <c:pt idx="16" formatCode="General">
                  <c:v>84.1</c:v>
                </c:pt>
                <c:pt idx="17" formatCode="General">
                  <c:v>87.3</c:v>
                </c:pt>
                <c:pt idx="18" formatCode="General">
                  <c:v>89.8</c:v>
                </c:pt>
                <c:pt idx="19" formatCode="General">
                  <c:v>90.7</c:v>
                </c:pt>
                <c:pt idx="20" formatCode="General">
                  <c:v>90.2</c:v>
                </c:pt>
                <c:pt idx="21" formatCode="General">
                  <c:v>91.3</c:v>
                </c:pt>
                <c:pt idx="22" formatCode="General">
                  <c:v>92.4</c:v>
                </c:pt>
                <c:pt idx="23" formatCode="General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47392"/>
        <c:axId val="622348928"/>
      </c:lineChart>
      <c:catAx>
        <c:axId val="62234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622348928"/>
        <c:crosses val="autoZero"/>
        <c:auto val="1"/>
        <c:lblAlgn val="ctr"/>
        <c:lblOffset val="100"/>
        <c:noMultiLvlLbl val="0"/>
      </c:catAx>
      <c:valAx>
        <c:axId val="622348928"/>
        <c:scaling>
          <c:orientation val="minMax"/>
          <c:min val="70"/>
        </c:scaling>
        <c:delete val="0"/>
        <c:axPos val="l"/>
        <c:majorGridlines/>
        <c:numFmt formatCode="#0.0" sourceLinked="1"/>
        <c:majorTickMark val="out"/>
        <c:minorTickMark val="none"/>
        <c:tickLblPos val="nextTo"/>
        <c:crossAx val="622347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Real estate credit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Sheet1!$S$1</c:f>
              <c:strCache>
                <c:ptCount val="1"/>
                <c:pt idx="0">
                  <c:v>Old</c:v>
                </c:pt>
              </c:strCache>
            </c:strRef>
          </c:tx>
          <c:marker>
            <c:symbol val="none"/>
          </c:marker>
          <c:cat>
            <c:multiLvlStrRef>
              <c:f>Sheet1!$Q$2:$R$25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Sheet1!$S$2:$S$25</c:f>
              <c:numCache>
                <c:formatCode>#0.0</c:formatCode>
                <c:ptCount val="24"/>
                <c:pt idx="0">
                  <c:v>208</c:v>
                </c:pt>
                <c:pt idx="1">
                  <c:v>207.8</c:v>
                </c:pt>
                <c:pt idx="2">
                  <c:v>209.4</c:v>
                </c:pt>
                <c:pt idx="3" formatCode="General">
                  <c:v>210</c:v>
                </c:pt>
                <c:pt idx="4">
                  <c:v>213</c:v>
                </c:pt>
                <c:pt idx="5">
                  <c:v>215.4</c:v>
                </c:pt>
                <c:pt idx="6" formatCode="General">
                  <c:v>218.1</c:v>
                </c:pt>
                <c:pt idx="7" formatCode="General">
                  <c:v>219.3</c:v>
                </c:pt>
                <c:pt idx="8" formatCode="General">
                  <c:v>221</c:v>
                </c:pt>
                <c:pt idx="9" formatCode="General">
                  <c:v>221.6</c:v>
                </c:pt>
                <c:pt idx="10" formatCode="General">
                  <c:v>221.3</c:v>
                </c:pt>
                <c:pt idx="11" formatCode="General">
                  <c:v>220.5</c:v>
                </c:pt>
                <c:pt idx="12" formatCode="General">
                  <c:v>219</c:v>
                </c:pt>
                <c:pt idx="13" formatCode="General">
                  <c:v>217.7</c:v>
                </c:pt>
                <c:pt idx="14" formatCode="General">
                  <c:v>219.4</c:v>
                </c:pt>
                <c:pt idx="15" formatCode="General">
                  <c:v>220.5</c:v>
                </c:pt>
                <c:pt idx="16" formatCode="General">
                  <c:v>219.8</c:v>
                </c:pt>
                <c:pt idx="17" formatCode="General">
                  <c:v>222.4</c:v>
                </c:pt>
                <c:pt idx="18" formatCode="General">
                  <c:v>225</c:v>
                </c:pt>
                <c:pt idx="19" formatCode="General">
                  <c:v>225.1</c:v>
                </c:pt>
                <c:pt idx="20" formatCode="General">
                  <c:v>227.9</c:v>
                </c:pt>
                <c:pt idx="21" formatCode="General">
                  <c:v>229.6</c:v>
                </c:pt>
                <c:pt idx="22" formatCode="General">
                  <c:v>232.6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Sheet1!$T$1</c:f>
              <c:strCache>
                <c:ptCount val="1"/>
                <c:pt idx="0">
                  <c:v>New</c:v>
                </c:pt>
              </c:strCache>
            </c:strRef>
          </c:tx>
          <c:marker>
            <c:symbol val="none"/>
          </c:marker>
          <c:cat>
            <c:multiLvlStrRef>
              <c:f>Sheet1!$Q$2:$R$25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Sheet1!$T$2:$T$25</c:f>
              <c:numCache>
                <c:formatCode>#0.0</c:formatCode>
                <c:ptCount val="24"/>
                <c:pt idx="0">
                  <c:v>208</c:v>
                </c:pt>
                <c:pt idx="1">
                  <c:v>207.8</c:v>
                </c:pt>
                <c:pt idx="2">
                  <c:v>209.4</c:v>
                </c:pt>
                <c:pt idx="3" formatCode="General">
                  <c:v>210.5</c:v>
                </c:pt>
                <c:pt idx="4">
                  <c:v>214</c:v>
                </c:pt>
                <c:pt idx="5">
                  <c:v>216.9</c:v>
                </c:pt>
                <c:pt idx="6" formatCode="General">
                  <c:v>220.1</c:v>
                </c:pt>
                <c:pt idx="7" formatCode="General">
                  <c:v>221.8</c:v>
                </c:pt>
                <c:pt idx="8" formatCode="General">
                  <c:v>224.1</c:v>
                </c:pt>
                <c:pt idx="9" formatCode="General">
                  <c:v>225.2</c:v>
                </c:pt>
                <c:pt idx="10" formatCode="General">
                  <c:v>225.4</c:v>
                </c:pt>
                <c:pt idx="11" formatCode="General">
                  <c:v>225.1</c:v>
                </c:pt>
                <c:pt idx="12" formatCode="General">
                  <c:v>224.1</c:v>
                </c:pt>
                <c:pt idx="13" formatCode="General">
                  <c:v>223.3</c:v>
                </c:pt>
                <c:pt idx="14" formatCode="General">
                  <c:v>225.5</c:v>
                </c:pt>
                <c:pt idx="15" formatCode="General">
                  <c:v>226.7</c:v>
                </c:pt>
                <c:pt idx="16" formatCode="General">
                  <c:v>226</c:v>
                </c:pt>
                <c:pt idx="17" formatCode="General">
                  <c:v>228.7</c:v>
                </c:pt>
                <c:pt idx="18" formatCode="General">
                  <c:v>231.3</c:v>
                </c:pt>
                <c:pt idx="19" formatCode="General">
                  <c:v>231.4</c:v>
                </c:pt>
                <c:pt idx="20" formatCode="General">
                  <c:v>234.4</c:v>
                </c:pt>
                <c:pt idx="21" formatCode="General">
                  <c:v>236</c:v>
                </c:pt>
                <c:pt idx="22" formatCode="General">
                  <c:v>238.9</c:v>
                </c:pt>
                <c:pt idx="23" formatCode="General">
                  <c:v>240.5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640000"/>
        <c:axId val="565050752"/>
      </c:lineChart>
      <c:catAx>
        <c:axId val="5646400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50752"/>
        <c:crosses val="autoZero"/>
        <c:auto val="1"/>
        <c:lblAlgn val="ctr"/>
        <c:lblOffset val="100"/>
        <c:noMultiLvlLbl val="0"/>
      </c:catAx>
      <c:valAx>
        <c:axId val="565050752"/>
        <c:scaling>
          <c:orientation val="minMax"/>
        </c:scaling>
        <c:delete val="0"/>
        <c:axPos val="l"/>
        <c:majorGridlines/>
        <c:numFmt formatCode="#0.0" sourceLinked="1"/>
        <c:majorTickMark val="out"/>
        <c:minorTickMark val="none"/>
        <c:tickLblPos val="nextTo"/>
        <c:crossAx val="56464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5</xdr:row>
      <xdr:rowOff>28576</xdr:rowOff>
    </xdr:from>
    <xdr:to>
      <xdr:col>24</xdr:col>
      <xdr:colOff>0</xdr:colOff>
      <xdr:row>7</xdr:row>
      <xdr:rowOff>0</xdr:rowOff>
    </xdr:to>
    <xdr:sp macro="[0]!RunMortgageBankEmploymen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24</xdr:col>
      <xdr:colOff>276226</xdr:colOff>
      <xdr:row>5</xdr:row>
      <xdr:rowOff>28576</xdr:rowOff>
    </xdr:from>
    <xdr:to>
      <xdr:col>26</xdr:col>
      <xdr:colOff>47626</xdr:colOff>
      <xdr:row>7</xdr:row>
      <xdr:rowOff>0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15</xdr:col>
      <xdr:colOff>391583</xdr:colOff>
      <xdr:row>31</xdr:row>
      <xdr:rowOff>179916</xdr:rowOff>
    </xdr:from>
    <xdr:to>
      <xdr:col>18</xdr:col>
      <xdr:colOff>151340</xdr:colOff>
      <xdr:row>33</xdr:row>
      <xdr:rowOff>10583</xdr:rowOff>
    </xdr:to>
    <xdr:sp macro="" textlink="">
      <xdr:nvSpPr>
        <xdr:cNvPr id="4" name="TextBox 3"/>
        <xdr:cNvSpPr txBox="1"/>
      </xdr:nvSpPr>
      <xdr:spPr>
        <a:xfrm>
          <a:off x="11631083" y="6159499"/>
          <a:ext cx="2003424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Source:  Bureau of Labor Statistics</a:t>
          </a:r>
        </a:p>
      </xdr:txBody>
    </xdr:sp>
    <xdr:clientData/>
  </xdr:twoCellAnchor>
  <xdr:twoCellAnchor>
    <xdr:from>
      <xdr:col>22</xdr:col>
      <xdr:colOff>438150</xdr:colOff>
      <xdr:row>7</xdr:row>
      <xdr:rowOff>66674</xdr:rowOff>
    </xdr:from>
    <xdr:to>
      <xdr:col>25</xdr:col>
      <xdr:colOff>304800</xdr:colOff>
      <xdr:row>24</xdr:row>
      <xdr:rowOff>180975</xdr:rowOff>
    </xdr:to>
    <xdr:sp macro="" textlink="">
      <xdr:nvSpPr>
        <xdr:cNvPr id="8" name="TextBox 7"/>
        <xdr:cNvSpPr txBox="1"/>
      </xdr:nvSpPr>
      <xdr:spPr>
        <a:xfrm>
          <a:off x="16240125" y="1781174"/>
          <a:ext cx="4686300" cy="3429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 Mortgage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Bank Employment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http://www.bls.gov/data/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Monthly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Employment, Hours, and Earnings - National</a:t>
          </a:r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 Employment Statistics - CES)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One Screen Data Search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and nonmortgage loan brokers: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CEU5552231001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 estate credit: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CEU5552229201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/>
            <a:t>Not Seasonally Adjusted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5.12E+10</a:t>
          </a:r>
          <a:r>
            <a:rPr lang="en-US"/>
            <a:t>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Issue Amount from:</a:t>
          </a:r>
          <a:r>
            <a:rPr lang="en-US" sz="1100" baseline="0"/>
            <a:t> 5.Market Concentration Master.xlsm</a:t>
          </a:r>
          <a:endParaRPr lang="en-US" sz="1100"/>
        </a:p>
      </xdr:txBody>
    </xdr:sp>
    <xdr:clientData/>
  </xdr:twoCellAnchor>
  <xdr:twoCellAnchor>
    <xdr:from>
      <xdr:col>3</xdr:col>
      <xdr:colOff>21167</xdr:colOff>
      <xdr:row>8</xdr:row>
      <xdr:rowOff>84667</xdr:rowOff>
    </xdr:from>
    <xdr:to>
      <xdr:col>18</xdr:col>
      <xdr:colOff>291042</xdr:colOff>
      <xdr:row>31</xdr:row>
      <xdr:rowOff>158751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</xdr:colOff>
      <xdr:row>8</xdr:row>
      <xdr:rowOff>128587</xdr:rowOff>
    </xdr:from>
    <xdr:to>
      <xdr:col>14</xdr:col>
      <xdr:colOff>328612</xdr:colOff>
      <xdr:row>23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</xdr:colOff>
      <xdr:row>26</xdr:row>
      <xdr:rowOff>109537</xdr:rowOff>
    </xdr:from>
    <xdr:to>
      <xdr:col>14</xdr:col>
      <xdr:colOff>319087</xdr:colOff>
      <xdr:row>40</xdr:row>
      <xdr:rowOff>185737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5.Market%20Concentration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esult Combine"/>
      <sheetName val="Result-lag"/>
      <sheetName val="Pivot - lag"/>
      <sheetName val="Input-lag"/>
      <sheetName val="Pivot equal"/>
      <sheetName val="Input-equal"/>
    </sheetNames>
    <sheetDataSet>
      <sheetData sheetId="0">
        <row r="12">
          <cell r="U12">
            <v>40695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urrentMtgRatesDataTable934" displayName="CurrentMtgRatesDataTable934" ref="K1:L117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Z52"/>
  <sheetViews>
    <sheetView showGridLines="0" topLeftCell="C1" zoomScale="90" zoomScaleNormal="90" workbookViewId="0">
      <selection activeCell="N58" sqref="N58"/>
    </sheetView>
  </sheetViews>
  <sheetFormatPr defaultRowHeight="15"/>
  <cols>
    <col min="1" max="1" width="9.140625" customWidth="1"/>
    <col min="3" max="3" width="9.140625" customWidth="1"/>
    <col min="4" max="16" width="11.7109375" customWidth="1"/>
    <col min="17" max="18" width="11" customWidth="1"/>
    <col min="19" max="21" width="12.7109375" customWidth="1"/>
    <col min="22" max="22" width="7.7109375" customWidth="1"/>
    <col min="23" max="23" width="11.85546875" bestFit="1" customWidth="1"/>
    <col min="24" max="24" width="19.5703125" customWidth="1"/>
    <col min="25" max="25" width="40.85546875" bestFit="1" customWidth="1"/>
    <col min="26" max="26" width="14.85546875" bestFit="1" customWidth="1"/>
  </cols>
  <sheetData>
    <row r="1" spans="10:26">
      <c r="W1" s="3" t="s">
        <v>12</v>
      </c>
      <c r="X1" s="13" t="s">
        <v>18</v>
      </c>
      <c r="Y1" t="s">
        <v>13</v>
      </c>
      <c r="Z1" s="4" t="s">
        <v>16</v>
      </c>
    </row>
    <row r="2" spans="10:26">
      <c r="W2" s="3" t="s">
        <v>14</v>
      </c>
      <c r="X2" s="5">
        <v>42741</v>
      </c>
    </row>
    <row r="3" spans="10:26">
      <c r="W3" s="3" t="s">
        <v>17</v>
      </c>
      <c r="X3" s="13" t="s">
        <v>19</v>
      </c>
    </row>
    <row r="4" spans="10:26">
      <c r="W4" s="3" t="s">
        <v>15</v>
      </c>
      <c r="X4" s="13" t="str">
        <f>PDFReportDir &amp; "MortgageBankEmployment " &amp; TEXT(CurrentCloseDate, "yyyy-mm-dd") &amp; ".pdf"</f>
        <v>S:\IT\Production\Daily Reports\Primary Market\tmp\MortgageBankEmployment 2017-01-06.pdf</v>
      </c>
    </row>
    <row r="5" spans="10:26">
      <c r="W5" s="6"/>
    </row>
    <row r="6" spans="10:26">
      <c r="W6" s="6"/>
    </row>
    <row r="7" spans="10:26">
      <c r="W7" s="6"/>
    </row>
    <row r="8" spans="10:26">
      <c r="W8" s="6"/>
    </row>
    <row r="10" spans="10:26" ht="13.5" customHeight="1"/>
    <row r="12" spans="10:26" s="1" customFormat="1" ht="18" customHeight="1">
      <c r="J12"/>
      <c r="K12"/>
      <c r="L12"/>
      <c r="M12"/>
      <c r="N12"/>
      <c r="O12"/>
      <c r="P12"/>
      <c r="Q12"/>
      <c r="R12"/>
      <c r="S12"/>
      <c r="T12"/>
    </row>
    <row r="13" spans="10:26" s="2" customFormat="1" ht="19.5" customHeight="1">
      <c r="J13"/>
      <c r="K13"/>
      <c r="L13"/>
      <c r="M13"/>
      <c r="N13"/>
      <c r="O13"/>
      <c r="P13"/>
      <c r="Q13"/>
      <c r="R13"/>
      <c r="S13"/>
      <c r="T13"/>
    </row>
    <row r="14" spans="10:26" s="2" customFormat="1">
      <c r="J14"/>
      <c r="K14"/>
      <c r="L14"/>
      <c r="M14"/>
      <c r="N14"/>
      <c r="O14"/>
      <c r="P14"/>
      <c r="Q14"/>
      <c r="R14"/>
      <c r="S14"/>
      <c r="T14"/>
    </row>
    <row r="15" spans="10:26" s="2" customFormat="1">
      <c r="J15"/>
      <c r="K15"/>
      <c r="L15"/>
      <c r="M15"/>
      <c r="N15"/>
      <c r="O15"/>
      <c r="P15"/>
      <c r="Q15"/>
      <c r="R15"/>
      <c r="S15"/>
      <c r="T15"/>
    </row>
    <row r="16" spans="10:26" s="2" customFormat="1">
      <c r="J16"/>
      <c r="K16"/>
      <c r="L16"/>
      <c r="M16"/>
      <c r="N16"/>
      <c r="O16"/>
      <c r="P16"/>
      <c r="Q16"/>
      <c r="R16"/>
      <c r="S16"/>
      <c r="T16"/>
    </row>
    <row r="17" spans="10:20" s="2" customFormat="1">
      <c r="J17"/>
      <c r="K17"/>
      <c r="L17"/>
      <c r="M17"/>
      <c r="N17"/>
      <c r="O17"/>
      <c r="P17"/>
      <c r="Q17"/>
      <c r="R17"/>
      <c r="S17"/>
      <c r="T17"/>
    </row>
    <row r="18" spans="10:20" s="2" customFormat="1">
      <c r="J18"/>
      <c r="K18"/>
      <c r="L18"/>
      <c r="M18"/>
      <c r="N18"/>
      <c r="O18"/>
      <c r="P18"/>
      <c r="Q18"/>
      <c r="R18"/>
      <c r="S18"/>
      <c r="T18"/>
    </row>
    <row r="19" spans="10:20" s="2" customFormat="1">
      <c r="J19"/>
      <c r="K19"/>
      <c r="L19"/>
      <c r="M19"/>
      <c r="N19"/>
      <c r="O19"/>
      <c r="P19"/>
      <c r="Q19"/>
      <c r="R19"/>
      <c r="S19"/>
      <c r="T19"/>
    </row>
    <row r="20" spans="10:20" s="2" customFormat="1">
      <c r="J20"/>
      <c r="K20"/>
      <c r="L20"/>
      <c r="M20"/>
      <c r="N20"/>
      <c r="O20"/>
      <c r="P20"/>
      <c r="Q20"/>
      <c r="R20"/>
      <c r="S20"/>
      <c r="T20"/>
    </row>
    <row r="21" spans="10:20" s="2" customFormat="1">
      <c r="J21"/>
      <c r="K21"/>
      <c r="L21"/>
      <c r="M21"/>
      <c r="N21"/>
      <c r="O21"/>
      <c r="P21"/>
      <c r="Q21"/>
      <c r="R21"/>
      <c r="S21"/>
      <c r="T21"/>
    </row>
    <row r="22" spans="10:20" s="2" customFormat="1">
      <c r="J22"/>
      <c r="K22"/>
      <c r="L22"/>
      <c r="M22"/>
      <c r="N22"/>
      <c r="O22"/>
      <c r="P22"/>
      <c r="Q22"/>
      <c r="R22"/>
      <c r="S22"/>
      <c r="T22"/>
    </row>
    <row r="23" spans="10:20" s="2" customFormat="1">
      <c r="J23"/>
      <c r="K23"/>
      <c r="L23"/>
      <c r="M23"/>
      <c r="N23"/>
      <c r="O23"/>
      <c r="P23"/>
      <c r="Q23"/>
      <c r="R23"/>
      <c r="S23"/>
      <c r="T23"/>
    </row>
    <row r="33" spans="5:21" s="27" customFormat="1">
      <c r="E33" s="27" t="s">
        <v>41</v>
      </c>
    </row>
    <row r="34" spans="5:21">
      <c r="E34" s="47" t="s">
        <v>45</v>
      </c>
    </row>
    <row r="35" spans="5:21" ht="15.75" customHeight="1">
      <c r="E35" s="11" t="s">
        <v>39</v>
      </c>
      <c r="F35" s="11"/>
      <c r="G35" s="11"/>
      <c r="H35" s="11"/>
      <c r="I35" s="11"/>
      <c r="J35" s="11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1">
      <c r="E36" s="24" t="s">
        <v>35</v>
      </c>
      <c r="F36" s="25" t="s">
        <v>0</v>
      </c>
      <c r="G36" s="25" t="s">
        <v>11</v>
      </c>
      <c r="H36" s="25" t="s">
        <v>10</v>
      </c>
      <c r="I36" s="25" t="s">
        <v>9</v>
      </c>
      <c r="J36" s="25" t="s">
        <v>8</v>
      </c>
      <c r="K36" s="25" t="s">
        <v>7</v>
      </c>
      <c r="L36" s="25" t="s">
        <v>6</v>
      </c>
      <c r="M36" s="25" t="s">
        <v>5</v>
      </c>
      <c r="N36" s="25" t="s">
        <v>4</v>
      </c>
      <c r="O36" s="25" t="s">
        <v>3</v>
      </c>
      <c r="P36" s="25" t="s">
        <v>2</v>
      </c>
      <c r="Q36" s="25" t="s">
        <v>1</v>
      </c>
    </row>
    <row r="37" spans="5:21">
      <c r="E37" s="24">
        <v>2010</v>
      </c>
      <c r="F37" s="26">
        <f>Total!B18</f>
        <v>258.5</v>
      </c>
      <c r="G37" s="26">
        <f>Total!C18</f>
        <v>263.60000000000002</v>
      </c>
      <c r="H37" s="26">
        <f>Total!D18</f>
        <v>264</v>
      </c>
      <c r="I37" s="26">
        <f>Total!E18</f>
        <v>262.89999999999998</v>
      </c>
      <c r="J37" s="26">
        <f>Total!F18</f>
        <v>263.39999999999998</v>
      </c>
      <c r="K37" s="26">
        <f>Total!G18</f>
        <v>263.8</v>
      </c>
      <c r="L37" s="26">
        <f>Total!H18</f>
        <v>270</v>
      </c>
      <c r="M37" s="26">
        <f>Total!I18</f>
        <v>270.8</v>
      </c>
      <c r="N37" s="26">
        <f>Total!J18</f>
        <v>273.8</v>
      </c>
      <c r="O37" s="26">
        <f>Total!K18</f>
        <v>278.10000000000002</v>
      </c>
      <c r="P37" s="26">
        <f>Total!L18</f>
        <v>279.5</v>
      </c>
      <c r="Q37" s="26">
        <f>Total!M18</f>
        <v>280.3</v>
      </c>
      <c r="S37" s="7"/>
      <c r="T37" s="8"/>
    </row>
    <row r="38" spans="5:21">
      <c r="E38" s="24">
        <v>2011</v>
      </c>
      <c r="F38" s="26">
        <f>Total!B19</f>
        <v>272.39999999999998</v>
      </c>
      <c r="G38" s="26">
        <f>Total!C19</f>
        <v>272.8</v>
      </c>
      <c r="H38" s="26">
        <f>Total!D19</f>
        <v>272.10000000000002</v>
      </c>
      <c r="I38" s="26">
        <f>Total!E19</f>
        <v>265.8</v>
      </c>
      <c r="J38" s="26">
        <f>Total!F19</f>
        <v>268.7</v>
      </c>
      <c r="K38" s="26">
        <f>Total!G19</f>
        <v>265.5</v>
      </c>
      <c r="L38" s="26">
        <f>Total!H19</f>
        <v>262.60000000000002</v>
      </c>
      <c r="M38" s="26">
        <f>Total!I19</f>
        <v>259.39999999999998</v>
      </c>
      <c r="N38" s="26">
        <f>Total!J19</f>
        <v>259.39999999999998</v>
      </c>
      <c r="O38" s="26">
        <f>Total!K19</f>
        <v>259.8</v>
      </c>
      <c r="P38" s="26">
        <f>Total!L19</f>
        <v>261.89999999999998</v>
      </c>
      <c r="Q38" s="26">
        <f>Total!M19</f>
        <v>261.3</v>
      </c>
      <c r="T38" s="9"/>
      <c r="U38" s="8"/>
    </row>
    <row r="39" spans="5:21">
      <c r="E39" s="24">
        <v>2012</v>
      </c>
      <c r="F39" s="26">
        <f>Total!B20</f>
        <v>257.7</v>
      </c>
      <c r="G39" s="26">
        <f>Total!C20</f>
        <v>260</v>
      </c>
      <c r="H39" s="26">
        <f>Total!D20</f>
        <v>262.3</v>
      </c>
      <c r="I39" s="26">
        <f>Total!E20</f>
        <v>263.3</v>
      </c>
      <c r="J39" s="26">
        <f>Total!F20</f>
        <v>266.7</v>
      </c>
      <c r="K39" s="26">
        <f>Total!G20</f>
        <v>275.3</v>
      </c>
      <c r="L39" s="26">
        <f>Total!H20</f>
        <v>278.60000000000002</v>
      </c>
      <c r="M39" s="26">
        <f>Total!I20</f>
        <v>284</v>
      </c>
      <c r="N39" s="26">
        <f>Total!J20</f>
        <v>288.39999999999998</v>
      </c>
      <c r="O39" s="26">
        <f>Total!K20</f>
        <v>289.8</v>
      </c>
      <c r="P39" s="26">
        <f>Total!L20</f>
        <v>293.89999999999998</v>
      </c>
      <c r="Q39" s="26">
        <f>Total!M20</f>
        <v>297.60000000000002</v>
      </c>
      <c r="T39" s="9"/>
      <c r="U39" s="8"/>
    </row>
    <row r="40" spans="5:21">
      <c r="E40" s="24">
        <v>2013</v>
      </c>
      <c r="F40" s="26">
        <f>Total!B21</f>
        <v>295.5</v>
      </c>
      <c r="G40" s="26">
        <f>Total!C21</f>
        <v>297.7</v>
      </c>
      <c r="H40" s="26">
        <f>Total!D21</f>
        <v>301.10000000000002</v>
      </c>
      <c r="I40" s="26">
        <f>Total!E21</f>
        <v>303.7</v>
      </c>
      <c r="J40" s="26">
        <f>Total!F21</f>
        <v>303.39999999999998</v>
      </c>
      <c r="K40" s="26">
        <f>Total!G21</f>
        <v>305</v>
      </c>
      <c r="L40" s="26">
        <f>Total!H21</f>
        <v>305.2</v>
      </c>
      <c r="M40" s="26">
        <f>Total!I21</f>
        <v>300.39999999999998</v>
      </c>
      <c r="N40" s="26">
        <f>Total!J21</f>
        <v>294.3</v>
      </c>
      <c r="O40" s="26">
        <f>Total!K21</f>
        <v>292.2</v>
      </c>
      <c r="P40" s="26">
        <f>Total!L21</f>
        <v>290.3</v>
      </c>
      <c r="Q40" s="26">
        <f>Total!M21</f>
        <v>287.39999999999998</v>
      </c>
      <c r="T40" s="9"/>
      <c r="U40" s="10"/>
    </row>
    <row r="41" spans="5:21">
      <c r="E41" s="24">
        <v>2014</v>
      </c>
      <c r="F41" s="26">
        <f>Total!B22</f>
        <v>279.79999999999995</v>
      </c>
      <c r="G41" s="26">
        <f>Total!C22</f>
        <v>278</v>
      </c>
      <c r="H41" s="26">
        <f>Total!D22</f>
        <v>273.10000000000002</v>
      </c>
      <c r="I41" s="26">
        <f>Total!E22</f>
        <v>273.5</v>
      </c>
      <c r="J41" s="26">
        <f>Total!F22</f>
        <v>274.5</v>
      </c>
      <c r="K41" s="26">
        <f>Total!G22</f>
        <v>277.5</v>
      </c>
      <c r="L41" s="26">
        <f>Total!H22</f>
        <v>280.89999999999998</v>
      </c>
      <c r="M41" s="26">
        <f>Total!I22</f>
        <v>280.8</v>
      </c>
      <c r="N41" s="26">
        <f>Total!J22</f>
        <v>283.60000000000002</v>
      </c>
      <c r="O41" s="26">
        <f>Total!K22</f>
        <v>284</v>
      </c>
      <c r="P41" s="26">
        <f>Total!L22</f>
        <v>287.79999999999995</v>
      </c>
      <c r="Q41" s="26">
        <f>Total!M22</f>
        <v>288.10000000000002</v>
      </c>
    </row>
    <row r="42" spans="5:21">
      <c r="E42" s="24">
        <v>2015</v>
      </c>
      <c r="F42" s="26">
        <f>Total!B23</f>
        <v>282.8</v>
      </c>
      <c r="G42" s="26">
        <f>Total!C23</f>
        <v>283.8</v>
      </c>
      <c r="H42" s="26">
        <f>Total!D23</f>
        <v>285.8</v>
      </c>
      <c r="I42" s="26">
        <f>Total!E23</f>
        <v>287.89999999999998</v>
      </c>
      <c r="J42" s="26">
        <f>Total!F23</f>
        <v>291.3</v>
      </c>
      <c r="K42" s="26">
        <f>Total!G23</f>
        <v>295.3</v>
      </c>
      <c r="L42" s="26">
        <f>Total!H23</f>
        <v>298.89999999999998</v>
      </c>
      <c r="M42" s="26">
        <f>Total!I23</f>
        <v>300.20000000000005</v>
      </c>
      <c r="N42" s="26">
        <f>Total!J23</f>
        <v>301.8</v>
      </c>
      <c r="O42" s="26">
        <f>Total!K23</f>
        <v>301.39999999999998</v>
      </c>
      <c r="P42" s="26">
        <f>Total!L23</f>
        <v>301.3</v>
      </c>
      <c r="Q42" s="26">
        <f>Total!M23</f>
        <v>301</v>
      </c>
    </row>
    <row r="43" spans="5:21">
      <c r="E43" s="24">
        <v>2016</v>
      </c>
      <c r="F43" s="26">
        <f>Total!B24</f>
        <v>299</v>
      </c>
      <c r="G43" s="26">
        <f>Total!C24</f>
        <v>296.89999999999998</v>
      </c>
      <c r="H43" s="26">
        <f>Total!D24</f>
        <v>298.5</v>
      </c>
      <c r="I43" s="26">
        <f>Total!E24</f>
        <v>301</v>
      </c>
      <c r="J43" s="26">
        <f>Total!F24</f>
        <v>301.10000000000002</v>
      </c>
      <c r="K43" s="26">
        <f>Total!G24</f>
        <v>306.8</v>
      </c>
      <c r="L43" s="26">
        <f>Total!H24</f>
        <v>311.89999999999998</v>
      </c>
      <c r="M43" s="26">
        <f>Total!I24</f>
        <v>312.8</v>
      </c>
      <c r="N43" s="26">
        <f>Total!J24</f>
        <v>315.2</v>
      </c>
      <c r="O43" s="26">
        <f>Total!K24</f>
        <v>318.10000000000002</v>
      </c>
      <c r="P43" s="26">
        <f>Total!L24</f>
        <v>322.10000000000002</v>
      </c>
      <c r="Q43" s="26"/>
    </row>
    <row r="44" spans="5:21" s="38" customFormat="1"/>
    <row r="45" spans="5:21">
      <c r="E45" s="11" t="s">
        <v>40</v>
      </c>
      <c r="F45" s="11"/>
      <c r="G45" s="11"/>
      <c r="H45" s="11"/>
      <c r="I45" s="11"/>
      <c r="J45" s="11"/>
      <c r="K45" s="12"/>
      <c r="L45" s="12"/>
      <c r="M45" s="12"/>
      <c r="N45" s="12"/>
      <c r="O45" s="12"/>
      <c r="P45" s="12"/>
      <c r="Q45" s="12"/>
    </row>
    <row r="46" spans="5:21">
      <c r="E46" s="24" t="s">
        <v>35</v>
      </c>
      <c r="F46" s="25" t="s">
        <v>0</v>
      </c>
      <c r="G46" s="25" t="s">
        <v>11</v>
      </c>
      <c r="H46" s="25" t="s">
        <v>10</v>
      </c>
      <c r="I46" s="25" t="s">
        <v>9</v>
      </c>
      <c r="J46" s="25" t="s">
        <v>8</v>
      </c>
      <c r="K46" s="25" t="s">
        <v>7</v>
      </c>
      <c r="L46" s="25" t="s">
        <v>6</v>
      </c>
      <c r="M46" s="25" t="s">
        <v>5</v>
      </c>
      <c r="N46" s="25" t="s">
        <v>4</v>
      </c>
      <c r="O46" s="25" t="s">
        <v>3</v>
      </c>
      <c r="P46" s="25" t="s">
        <v>2</v>
      </c>
      <c r="Q46" s="25" t="s">
        <v>1</v>
      </c>
    </row>
    <row r="47" spans="5:21">
      <c r="E47" s="24">
        <v>2011</v>
      </c>
      <c r="F47" s="26">
        <f>F38-F37</f>
        <v>13.899999999999977</v>
      </c>
      <c r="G47" s="26">
        <f t="shared" ref="G47:Q47" si="0">G38-G37</f>
        <v>9.1999999999999886</v>
      </c>
      <c r="H47" s="26">
        <f t="shared" si="0"/>
        <v>8.1000000000000227</v>
      </c>
      <c r="I47" s="26">
        <f t="shared" si="0"/>
        <v>2.9000000000000341</v>
      </c>
      <c r="J47" s="26">
        <f t="shared" si="0"/>
        <v>5.3000000000000114</v>
      </c>
      <c r="K47" s="26">
        <f t="shared" si="0"/>
        <v>1.6999999999999886</v>
      </c>
      <c r="L47" s="26">
        <f t="shared" si="0"/>
        <v>-7.3999999999999773</v>
      </c>
      <c r="M47" s="26">
        <f t="shared" si="0"/>
        <v>-11.400000000000034</v>
      </c>
      <c r="N47" s="26">
        <f t="shared" si="0"/>
        <v>-14.400000000000034</v>
      </c>
      <c r="O47" s="26">
        <f t="shared" si="0"/>
        <v>-18.300000000000011</v>
      </c>
      <c r="P47" s="26">
        <f t="shared" si="0"/>
        <v>-17.600000000000023</v>
      </c>
      <c r="Q47" s="26">
        <f t="shared" si="0"/>
        <v>-19</v>
      </c>
    </row>
    <row r="48" spans="5:21">
      <c r="E48" s="24">
        <v>2012</v>
      </c>
      <c r="F48" s="26">
        <f t="shared" ref="F48:Q48" si="1">F39-F38</f>
        <v>-14.699999999999989</v>
      </c>
      <c r="G48" s="26">
        <f t="shared" si="1"/>
        <v>-12.800000000000011</v>
      </c>
      <c r="H48" s="26">
        <f t="shared" si="1"/>
        <v>-9.8000000000000114</v>
      </c>
      <c r="I48" s="26">
        <f t="shared" si="1"/>
        <v>-2.5</v>
      </c>
      <c r="J48" s="26">
        <f t="shared" si="1"/>
        <v>-2</v>
      </c>
      <c r="K48" s="26">
        <f t="shared" si="1"/>
        <v>9.8000000000000114</v>
      </c>
      <c r="L48" s="26">
        <f t="shared" si="1"/>
        <v>16</v>
      </c>
      <c r="M48" s="26">
        <f t="shared" si="1"/>
        <v>24.600000000000023</v>
      </c>
      <c r="N48" s="26">
        <f t="shared" si="1"/>
        <v>29</v>
      </c>
      <c r="O48" s="26">
        <f t="shared" si="1"/>
        <v>30</v>
      </c>
      <c r="P48" s="26">
        <f t="shared" si="1"/>
        <v>32</v>
      </c>
      <c r="Q48" s="26">
        <f t="shared" si="1"/>
        <v>36.300000000000011</v>
      </c>
    </row>
    <row r="49" spans="5:17">
      <c r="E49" s="24">
        <v>2013</v>
      </c>
      <c r="F49" s="26">
        <f t="shared" ref="F49:Q49" si="2">F40-F39</f>
        <v>37.800000000000011</v>
      </c>
      <c r="G49" s="26">
        <f t="shared" si="2"/>
        <v>37.699999999999989</v>
      </c>
      <c r="H49" s="26">
        <f t="shared" si="2"/>
        <v>38.800000000000011</v>
      </c>
      <c r="I49" s="26">
        <f t="shared" si="2"/>
        <v>40.399999999999977</v>
      </c>
      <c r="J49" s="26">
        <f t="shared" si="2"/>
        <v>36.699999999999989</v>
      </c>
      <c r="K49" s="26">
        <f t="shared" si="2"/>
        <v>29.699999999999989</v>
      </c>
      <c r="L49" s="26">
        <f t="shared" si="2"/>
        <v>26.599999999999966</v>
      </c>
      <c r="M49" s="26">
        <f t="shared" si="2"/>
        <v>16.399999999999977</v>
      </c>
      <c r="N49" s="26">
        <f t="shared" si="2"/>
        <v>5.9000000000000341</v>
      </c>
      <c r="O49" s="26">
        <f t="shared" si="2"/>
        <v>2.3999999999999773</v>
      </c>
      <c r="P49" s="26">
        <f t="shared" si="2"/>
        <v>-3.5999999999999659</v>
      </c>
      <c r="Q49" s="26">
        <f t="shared" si="2"/>
        <v>-10.200000000000045</v>
      </c>
    </row>
    <row r="50" spans="5:17">
      <c r="E50" s="24">
        <v>2014</v>
      </c>
      <c r="F50" s="26">
        <f t="shared" ref="F50:Q51" si="3">F41-F40</f>
        <v>-15.700000000000045</v>
      </c>
      <c r="G50" s="26">
        <f t="shared" si="3"/>
        <v>-19.699999999999989</v>
      </c>
      <c r="H50" s="26">
        <f t="shared" si="3"/>
        <v>-28</v>
      </c>
      <c r="I50" s="26">
        <f t="shared" si="3"/>
        <v>-30.199999999999989</v>
      </c>
      <c r="J50" s="26">
        <f t="shared" si="3"/>
        <v>-28.899999999999977</v>
      </c>
      <c r="K50" s="26">
        <f t="shared" si="3"/>
        <v>-27.5</v>
      </c>
      <c r="L50" s="26">
        <f t="shared" si="3"/>
        <v>-24.300000000000011</v>
      </c>
      <c r="M50" s="26">
        <f t="shared" si="3"/>
        <v>-19.599999999999966</v>
      </c>
      <c r="N50" s="26">
        <f t="shared" si="3"/>
        <v>-10.699999999999989</v>
      </c>
      <c r="O50" s="26">
        <f t="shared" si="3"/>
        <v>-8.1999999999999886</v>
      </c>
      <c r="P50" s="26">
        <f t="shared" si="3"/>
        <v>-2.5000000000000568</v>
      </c>
      <c r="Q50" s="26">
        <f t="shared" si="3"/>
        <v>0.70000000000004547</v>
      </c>
    </row>
    <row r="51" spans="5:17">
      <c r="E51" s="24">
        <v>2015</v>
      </c>
      <c r="F51" s="26">
        <f t="shared" ref="F51:P52" si="4">F42-F41</f>
        <v>3.0000000000000568</v>
      </c>
      <c r="G51" s="26">
        <f t="shared" si="4"/>
        <v>5.8000000000000114</v>
      </c>
      <c r="H51" s="26">
        <f t="shared" si="4"/>
        <v>12.699999999999989</v>
      </c>
      <c r="I51" s="26">
        <f t="shared" si="4"/>
        <v>14.399999999999977</v>
      </c>
      <c r="J51" s="26">
        <f t="shared" si="3"/>
        <v>16.800000000000011</v>
      </c>
      <c r="K51" s="26">
        <f t="shared" si="3"/>
        <v>17.800000000000011</v>
      </c>
      <c r="L51" s="26">
        <f t="shared" si="3"/>
        <v>18</v>
      </c>
      <c r="M51" s="26">
        <f t="shared" si="3"/>
        <v>19.400000000000034</v>
      </c>
      <c r="N51" s="26">
        <f t="shared" si="3"/>
        <v>18.199999999999989</v>
      </c>
      <c r="O51" s="26">
        <f t="shared" si="3"/>
        <v>17.399999999999977</v>
      </c>
      <c r="P51" s="26">
        <f t="shared" si="3"/>
        <v>13.500000000000057</v>
      </c>
      <c r="Q51" s="26">
        <f t="shared" si="3"/>
        <v>12.899999999999977</v>
      </c>
    </row>
    <row r="52" spans="5:17">
      <c r="E52" s="24">
        <v>2016</v>
      </c>
      <c r="F52" s="26">
        <f t="shared" si="4"/>
        <v>16.199999999999989</v>
      </c>
      <c r="G52" s="26">
        <f t="shared" si="4"/>
        <v>13.099999999999966</v>
      </c>
      <c r="H52" s="26">
        <f t="shared" si="4"/>
        <v>12.699999999999989</v>
      </c>
      <c r="I52" s="26">
        <f t="shared" si="4"/>
        <v>13.100000000000023</v>
      </c>
      <c r="J52" s="26">
        <f t="shared" si="4"/>
        <v>9.8000000000000114</v>
      </c>
      <c r="K52" s="26">
        <f t="shared" si="4"/>
        <v>11.5</v>
      </c>
      <c r="L52" s="26">
        <f t="shared" si="4"/>
        <v>13</v>
      </c>
      <c r="M52" s="26">
        <f t="shared" si="4"/>
        <v>12.599999999999966</v>
      </c>
      <c r="N52" s="26">
        <f t="shared" si="4"/>
        <v>13.399999999999977</v>
      </c>
      <c r="O52" s="26">
        <f t="shared" si="4"/>
        <v>16.700000000000045</v>
      </c>
      <c r="P52" s="26">
        <f t="shared" si="4"/>
        <v>20.800000000000011</v>
      </c>
      <c r="Q52" s="26"/>
    </row>
  </sheetData>
  <conditionalFormatting sqref="F37:Q42">
    <cfRule type="colorScale" priority="6">
      <colorScale>
        <cfvo type="min"/>
        <cfvo type="max"/>
        <color theme="0"/>
        <color theme="4" tint="0.59999389629810485"/>
      </colorScale>
    </cfRule>
  </conditionalFormatting>
  <conditionalFormatting sqref="F47:Q51">
    <cfRule type="colorScale" priority="4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  <cfRule type="colorScale" priority="7">
      <colorScale>
        <cfvo type="min"/>
        <cfvo type="max"/>
        <color theme="0"/>
        <color theme="4" tint="0.59999389629810485"/>
      </colorScale>
    </cfRule>
  </conditionalFormatting>
  <conditionalFormatting sqref="F43:Q43">
    <cfRule type="colorScale" priority="3">
      <colorScale>
        <cfvo type="min"/>
        <cfvo type="max"/>
        <color theme="0"/>
        <color theme="4" tint="0.59999389629810485"/>
      </colorScale>
    </cfRule>
  </conditionalFormatting>
  <conditionalFormatting sqref="F52:Q52">
    <cfRule type="colorScale" priority="1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  <cfRule type="colorScale" priority="2">
      <colorScale>
        <cfvo type="min"/>
        <cfvo type="max"/>
        <color theme="0"/>
        <color theme="4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9" orientation="landscape" horizontalDpi="1200" verticalDpi="1200" r:id="rId1"/>
  <headerFooter scaleWithDoc="0">
    <oddHeader>&amp;L&amp;G&amp;C&amp;"-,Bold"&amp;10&amp;K2E398A
&amp;15Employment in the Mortgage Banking/Broker Sector&amp;R&amp;"-,Bold"&amp;10&amp;K2E398A
As of 01/06/2017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7:M112"/>
  <sheetViews>
    <sheetView topLeftCell="A7" workbookViewId="0">
      <selection activeCell="G31" sqref="G31"/>
    </sheetView>
  </sheetViews>
  <sheetFormatPr defaultRowHeight="15"/>
  <cols>
    <col min="4" max="4" width="18" bestFit="1" customWidth="1"/>
  </cols>
  <sheetData>
    <row r="17" spans="1:13" ht="15.75" thickBot="1">
      <c r="A17" s="19" t="s">
        <v>35</v>
      </c>
      <c r="B17" s="19" t="s">
        <v>0</v>
      </c>
      <c r="C17" s="19" t="s">
        <v>11</v>
      </c>
      <c r="D17" s="19" t="s">
        <v>10</v>
      </c>
      <c r="E17" s="19" t="s">
        <v>9</v>
      </c>
      <c r="F17" s="19" t="s">
        <v>8</v>
      </c>
      <c r="G17" s="19" t="s">
        <v>7</v>
      </c>
      <c r="H17" s="19" t="s">
        <v>6</v>
      </c>
      <c r="I17" s="19" t="s">
        <v>5</v>
      </c>
      <c r="J17" s="19" t="s">
        <v>4</v>
      </c>
      <c r="K17" s="19" t="s">
        <v>3</v>
      </c>
      <c r="L17" s="19" t="s">
        <v>2</v>
      </c>
      <c r="M17" s="19" t="s">
        <v>1</v>
      </c>
    </row>
    <row r="18" spans="1:13" ht="15.75" thickTop="1">
      <c r="A18" s="20">
        <v>2010</v>
      </c>
      <c r="B18" s="21">
        <f>'Mortgage loan brokers'!B18+'Real estate credit'!B18</f>
        <v>258.5</v>
      </c>
      <c r="C18" s="21">
        <f>'Mortgage loan brokers'!C18+'Real estate credit'!C18</f>
        <v>263.60000000000002</v>
      </c>
      <c r="D18" s="21">
        <f>'Mortgage loan brokers'!D18+'Real estate credit'!D18</f>
        <v>264</v>
      </c>
      <c r="E18" s="21">
        <f>'Mortgage loan brokers'!E18+'Real estate credit'!E18</f>
        <v>262.89999999999998</v>
      </c>
      <c r="F18" s="21">
        <f>'Mortgage loan brokers'!F18+'Real estate credit'!F18</f>
        <v>263.39999999999998</v>
      </c>
      <c r="G18" s="21">
        <f>'Mortgage loan brokers'!G18+'Real estate credit'!G18</f>
        <v>263.8</v>
      </c>
      <c r="H18" s="21">
        <f>'Mortgage loan brokers'!H18+'Real estate credit'!H18</f>
        <v>270</v>
      </c>
      <c r="I18" s="21">
        <f>'Mortgage loan brokers'!I18+'Real estate credit'!I18</f>
        <v>270.8</v>
      </c>
      <c r="J18" s="21">
        <f>'Mortgage loan brokers'!J18+'Real estate credit'!J18</f>
        <v>273.8</v>
      </c>
      <c r="K18" s="21">
        <f>'Mortgage loan brokers'!K18+'Real estate credit'!K18</f>
        <v>278.10000000000002</v>
      </c>
      <c r="L18" s="21">
        <f>'Mortgage loan brokers'!L18+'Real estate credit'!L18</f>
        <v>279.5</v>
      </c>
      <c r="M18" s="21">
        <f>'Mortgage loan brokers'!M18+'Real estate credit'!M18</f>
        <v>280.3</v>
      </c>
    </row>
    <row r="19" spans="1:13">
      <c r="A19" s="20">
        <v>2011</v>
      </c>
      <c r="B19" s="21">
        <f>'Mortgage loan brokers'!B19+'Real estate credit'!B19</f>
        <v>272.39999999999998</v>
      </c>
      <c r="C19" s="21">
        <f>'Mortgage loan brokers'!C19+'Real estate credit'!C19</f>
        <v>272.8</v>
      </c>
      <c r="D19" s="21">
        <f>'Mortgage loan brokers'!D19+'Real estate credit'!D19</f>
        <v>272.10000000000002</v>
      </c>
      <c r="E19" s="21">
        <f>'Mortgage loan brokers'!E19+'Real estate credit'!E19</f>
        <v>265.8</v>
      </c>
      <c r="F19" s="21">
        <f>'Mortgage loan brokers'!F19+'Real estate credit'!F19</f>
        <v>268.7</v>
      </c>
      <c r="G19" s="21">
        <f>'Mortgage loan brokers'!G19+'Real estate credit'!G19</f>
        <v>265.5</v>
      </c>
      <c r="H19" s="21">
        <f>'Mortgage loan brokers'!H19+'Real estate credit'!H19</f>
        <v>262.60000000000002</v>
      </c>
      <c r="I19" s="21">
        <f>'Mortgage loan brokers'!I19+'Real estate credit'!I19</f>
        <v>259.39999999999998</v>
      </c>
      <c r="J19" s="21">
        <f>'Mortgage loan brokers'!J19+'Real estate credit'!J19</f>
        <v>259.39999999999998</v>
      </c>
      <c r="K19" s="21">
        <f>'Mortgage loan brokers'!K19+'Real estate credit'!K19</f>
        <v>259.8</v>
      </c>
      <c r="L19" s="21">
        <f>'Mortgage loan brokers'!L19+'Real estate credit'!L19</f>
        <v>261.89999999999998</v>
      </c>
      <c r="M19" s="21">
        <f>'Mortgage loan brokers'!M19+'Real estate credit'!M19</f>
        <v>261.3</v>
      </c>
    </row>
    <row r="20" spans="1:13">
      <c r="A20" s="20">
        <v>2012</v>
      </c>
      <c r="B20" s="21">
        <f>'Mortgage loan brokers'!B20+'Real estate credit'!B20</f>
        <v>257.7</v>
      </c>
      <c r="C20" s="21">
        <f>'Mortgage loan brokers'!C20+'Real estate credit'!C20</f>
        <v>260</v>
      </c>
      <c r="D20" s="21">
        <f>'Mortgage loan brokers'!D20+'Real estate credit'!D20</f>
        <v>262.3</v>
      </c>
      <c r="E20" s="21">
        <f>'Mortgage loan brokers'!E20+'Real estate credit'!E20</f>
        <v>263.3</v>
      </c>
      <c r="F20" s="21">
        <f>'Mortgage loan brokers'!F20+'Real estate credit'!F20</f>
        <v>266.7</v>
      </c>
      <c r="G20" s="21">
        <f>'Mortgage loan brokers'!G20+'Real estate credit'!G20</f>
        <v>275.3</v>
      </c>
      <c r="H20" s="21">
        <f>'Mortgage loan brokers'!H20+'Real estate credit'!H20</f>
        <v>278.60000000000002</v>
      </c>
      <c r="I20" s="21">
        <f>'Mortgage loan brokers'!I20+'Real estate credit'!I20</f>
        <v>284</v>
      </c>
      <c r="J20" s="21">
        <f>'Mortgage loan brokers'!J20+'Real estate credit'!J20</f>
        <v>288.39999999999998</v>
      </c>
      <c r="K20" s="21">
        <f>'Mortgage loan brokers'!K20+'Real estate credit'!K20</f>
        <v>289.8</v>
      </c>
      <c r="L20" s="21">
        <f>'Mortgage loan brokers'!L20+'Real estate credit'!L20</f>
        <v>293.89999999999998</v>
      </c>
      <c r="M20" s="21">
        <f>'Mortgage loan brokers'!M20+'Real estate credit'!M20</f>
        <v>297.60000000000002</v>
      </c>
    </row>
    <row r="21" spans="1:13">
      <c r="A21" s="20">
        <v>2013</v>
      </c>
      <c r="B21" s="21">
        <f>'Mortgage loan brokers'!B21+'Real estate credit'!B21</f>
        <v>295.5</v>
      </c>
      <c r="C21" s="21">
        <f>'Mortgage loan brokers'!C21+'Real estate credit'!C21</f>
        <v>297.7</v>
      </c>
      <c r="D21" s="21">
        <f>'Mortgage loan brokers'!D21+'Real estate credit'!D21</f>
        <v>301.10000000000002</v>
      </c>
      <c r="E21" s="21">
        <f>'Mortgage loan brokers'!E21+'Real estate credit'!E21</f>
        <v>303.7</v>
      </c>
      <c r="F21" s="21">
        <f>'Mortgage loan brokers'!F21+'Real estate credit'!F21</f>
        <v>303.39999999999998</v>
      </c>
      <c r="G21" s="21">
        <f>'Mortgage loan brokers'!G21+'Real estate credit'!G21</f>
        <v>305</v>
      </c>
      <c r="H21" s="21">
        <f>'Mortgage loan brokers'!H21+'Real estate credit'!H21</f>
        <v>305.2</v>
      </c>
      <c r="I21" s="21">
        <f>'Mortgage loan brokers'!I21+'Real estate credit'!I21</f>
        <v>300.39999999999998</v>
      </c>
      <c r="J21" s="21">
        <f>'Mortgage loan brokers'!J21+'Real estate credit'!J21</f>
        <v>294.3</v>
      </c>
      <c r="K21" s="21">
        <f>'Mortgage loan brokers'!K21+'Real estate credit'!K21</f>
        <v>292.2</v>
      </c>
      <c r="L21" s="21">
        <f>'Mortgage loan brokers'!L21+'Real estate credit'!L21</f>
        <v>290.3</v>
      </c>
      <c r="M21" s="21">
        <f>'Mortgage loan brokers'!M21+'Real estate credit'!M21</f>
        <v>287.39999999999998</v>
      </c>
    </row>
    <row r="22" spans="1:13">
      <c r="A22" s="20">
        <v>2014</v>
      </c>
      <c r="B22" s="21">
        <f>'Mortgage loan brokers'!B22+'Real estate credit'!B22</f>
        <v>279.79999999999995</v>
      </c>
      <c r="C22" s="21">
        <f>'Mortgage loan brokers'!C22+'Real estate credit'!C22</f>
        <v>278</v>
      </c>
      <c r="D22" s="21">
        <f>'Mortgage loan brokers'!D22+'Real estate credit'!D22</f>
        <v>273.10000000000002</v>
      </c>
      <c r="E22" s="21">
        <f>'Mortgage loan brokers'!E22+'Real estate credit'!E22</f>
        <v>273.5</v>
      </c>
      <c r="F22" s="21">
        <f>'Mortgage loan brokers'!F22+'Real estate credit'!F22</f>
        <v>274.5</v>
      </c>
      <c r="G22" s="21">
        <f>'Mortgage loan brokers'!G22+'Real estate credit'!G22</f>
        <v>277.5</v>
      </c>
      <c r="H22" s="21">
        <f>'Mortgage loan brokers'!H22+'Real estate credit'!H22</f>
        <v>280.89999999999998</v>
      </c>
      <c r="I22" s="21">
        <f>'Mortgage loan brokers'!I22+'Real estate credit'!I22</f>
        <v>280.8</v>
      </c>
      <c r="J22" s="21">
        <f>'Mortgage loan brokers'!J22+'Real estate credit'!J22</f>
        <v>283.60000000000002</v>
      </c>
      <c r="K22" s="21">
        <f>'Mortgage loan brokers'!K22+'Real estate credit'!K22</f>
        <v>284</v>
      </c>
      <c r="L22" s="21">
        <f>'Mortgage loan brokers'!L22+'Real estate credit'!L22</f>
        <v>287.79999999999995</v>
      </c>
      <c r="M22" s="21">
        <f>'Mortgage loan brokers'!M22+'Real estate credit'!M22</f>
        <v>288.10000000000002</v>
      </c>
    </row>
    <row r="23" spans="1:13">
      <c r="A23" s="20">
        <v>2015</v>
      </c>
      <c r="B23" s="21">
        <f>'Mortgage loan brokers'!B23+'Real estate credit'!B23</f>
        <v>282.8</v>
      </c>
      <c r="C23" s="21">
        <f>'Mortgage loan brokers'!C23+'Real estate credit'!C23</f>
        <v>283.8</v>
      </c>
      <c r="D23" s="21">
        <f>'Mortgage loan brokers'!D23+'Real estate credit'!D23</f>
        <v>285.8</v>
      </c>
      <c r="E23" s="21">
        <f>'Mortgage loan brokers'!E23+'Real estate credit'!E23</f>
        <v>287.89999999999998</v>
      </c>
      <c r="F23" s="21">
        <f>'Mortgage loan brokers'!F23+'Real estate credit'!F23</f>
        <v>291.3</v>
      </c>
      <c r="G23" s="21">
        <f>'Mortgage loan brokers'!G23+'Real estate credit'!G23</f>
        <v>295.3</v>
      </c>
      <c r="H23" s="21">
        <f>'Mortgage loan brokers'!H23+'Real estate credit'!H23</f>
        <v>298.89999999999998</v>
      </c>
      <c r="I23" s="21">
        <f>'Mortgage loan brokers'!I23+'Real estate credit'!I23</f>
        <v>300.20000000000005</v>
      </c>
      <c r="J23" s="21">
        <f>'Mortgage loan brokers'!J23+'Real estate credit'!J23</f>
        <v>301.8</v>
      </c>
      <c r="K23" s="21">
        <f>'Mortgage loan brokers'!K23+'Real estate credit'!K23</f>
        <v>301.39999999999998</v>
      </c>
      <c r="L23" s="21">
        <f>'Mortgage loan brokers'!L23+'Real estate credit'!L23</f>
        <v>301.3</v>
      </c>
      <c r="M23" s="21">
        <f>'Mortgage loan brokers'!M23+'Real estate credit'!M23</f>
        <v>301</v>
      </c>
    </row>
    <row r="24" spans="1:13">
      <c r="A24" s="41">
        <v>2016</v>
      </c>
      <c r="B24" s="21">
        <f>'Mortgage loan brokers'!B24+'Real estate credit'!B24</f>
        <v>299</v>
      </c>
      <c r="C24" s="21">
        <f>'Mortgage loan brokers'!C24+'Real estate credit'!C24</f>
        <v>296.89999999999998</v>
      </c>
      <c r="D24" s="21">
        <f>'Mortgage loan brokers'!D24+'Real estate credit'!D24</f>
        <v>298.5</v>
      </c>
      <c r="E24" s="21">
        <f>'Mortgage loan brokers'!E24+'Real estate credit'!E24</f>
        <v>301</v>
      </c>
      <c r="F24" s="21">
        <f>'Mortgage loan brokers'!F24+'Real estate credit'!F24</f>
        <v>301.10000000000002</v>
      </c>
      <c r="G24" s="21">
        <f>'Mortgage loan brokers'!G24+'Real estate credit'!G24</f>
        <v>306.8</v>
      </c>
      <c r="H24" s="21">
        <f>'Mortgage loan brokers'!H24+'Real estate credit'!H24</f>
        <v>311.89999999999998</v>
      </c>
      <c r="I24" s="21">
        <f>'Mortgage loan brokers'!I24+'Real estate credit'!I24</f>
        <v>312.8</v>
      </c>
      <c r="J24" s="21">
        <f>'Mortgage loan brokers'!J24+'Real estate credit'!J24</f>
        <v>315.2</v>
      </c>
      <c r="K24" s="21">
        <f>'Mortgage loan brokers'!K24+'Real estate credit'!K24</f>
        <v>318.10000000000002</v>
      </c>
      <c r="L24" s="21">
        <f>'Mortgage loan brokers'!L24+'Real estate credit'!L24</f>
        <v>322.10000000000002</v>
      </c>
    </row>
    <row r="28" spans="1:13">
      <c r="C28" t="s">
        <v>44</v>
      </c>
      <c r="D28" t="s">
        <v>46</v>
      </c>
    </row>
    <row r="29" spans="1:13">
      <c r="A29" s="50">
        <v>2010</v>
      </c>
      <c r="B29" t="s">
        <v>0</v>
      </c>
      <c r="C29" s="17">
        <f>'Mortgage loan brokers'!C29+'Real estate credit'!C29</f>
        <v>258.5</v>
      </c>
      <c r="D29" s="28">
        <f>'Issue Amount'!C29</f>
        <v>41171224451.529999</v>
      </c>
    </row>
    <row r="30" spans="1:13">
      <c r="A30" s="50"/>
      <c r="B30" t="s">
        <v>11</v>
      </c>
      <c r="C30" s="17">
        <f>'Mortgage loan brokers'!C30+'Real estate credit'!C30</f>
        <v>263.60000000000002</v>
      </c>
      <c r="D30" s="28">
        <f>'Issue Amount'!C30</f>
        <v>43331380880.580002</v>
      </c>
    </row>
    <row r="31" spans="1:13">
      <c r="A31" s="50"/>
      <c r="B31" t="s">
        <v>10</v>
      </c>
      <c r="C31" s="17">
        <f>'Mortgage loan brokers'!C31+'Real estate credit'!C31</f>
        <v>264</v>
      </c>
      <c r="D31" s="28">
        <f>'Issue Amount'!C31</f>
        <v>36714521904.68</v>
      </c>
    </row>
    <row r="32" spans="1:13">
      <c r="A32" s="50"/>
      <c r="B32" t="s">
        <v>9</v>
      </c>
      <c r="C32" s="17">
        <f>'Mortgage loan brokers'!C32+'Real estate credit'!C32</f>
        <v>262.89999999999998</v>
      </c>
      <c r="D32" s="28">
        <f>'Issue Amount'!C32</f>
        <v>36544416365.050003</v>
      </c>
    </row>
    <row r="33" spans="1:4">
      <c r="A33" s="50"/>
      <c r="B33" t="s">
        <v>8</v>
      </c>
      <c r="C33" s="17">
        <f>'Mortgage loan brokers'!C33+'Real estate credit'!C33</f>
        <v>263.39999999999998</v>
      </c>
      <c r="D33" s="28">
        <f>'Issue Amount'!C33</f>
        <v>36336611081.309998</v>
      </c>
    </row>
    <row r="34" spans="1:4">
      <c r="A34" s="50"/>
      <c r="B34" t="s">
        <v>7</v>
      </c>
      <c r="C34" s="17">
        <f>'Mortgage loan brokers'!C34+'Real estate credit'!C34</f>
        <v>263.8</v>
      </c>
      <c r="D34" s="28">
        <f>'Issue Amount'!C34</f>
        <v>37643702495.970001</v>
      </c>
    </row>
    <row r="35" spans="1:4">
      <c r="A35" s="50"/>
      <c r="B35" t="s">
        <v>6</v>
      </c>
      <c r="C35" s="17">
        <f>'Mortgage loan brokers'!C35+'Real estate credit'!C35</f>
        <v>270</v>
      </c>
      <c r="D35" s="28">
        <f>'Issue Amount'!C35</f>
        <v>40829244339.580002</v>
      </c>
    </row>
    <row r="36" spans="1:4">
      <c r="A36" s="50"/>
      <c r="B36" t="s">
        <v>5</v>
      </c>
      <c r="C36" s="17">
        <f>'Mortgage loan brokers'!C36+'Real estate credit'!C36</f>
        <v>270.8</v>
      </c>
      <c r="D36" s="28">
        <f>'Issue Amount'!C36</f>
        <v>46909004959.040001</v>
      </c>
    </row>
    <row r="37" spans="1:4">
      <c r="A37" s="50"/>
      <c r="B37" t="s">
        <v>4</v>
      </c>
      <c r="C37" s="17">
        <f>'Mortgage loan brokers'!C37+'Real estate credit'!C37</f>
        <v>273.8</v>
      </c>
      <c r="D37" s="28">
        <f>'Issue Amount'!C37</f>
        <v>69384338986.350006</v>
      </c>
    </row>
    <row r="38" spans="1:4">
      <c r="A38" s="50"/>
      <c r="B38" t="s">
        <v>3</v>
      </c>
      <c r="C38" s="17">
        <f>'Mortgage loan brokers'!C38+'Real estate credit'!C38</f>
        <v>278.10000000000002</v>
      </c>
      <c r="D38" s="28">
        <f>'Issue Amount'!C38</f>
        <v>68963882096.149994</v>
      </c>
    </row>
    <row r="39" spans="1:4">
      <c r="A39" s="50"/>
      <c r="B39" t="s">
        <v>2</v>
      </c>
      <c r="C39" s="17">
        <f>'Mortgage loan brokers'!C39+'Real estate credit'!C39</f>
        <v>279.5</v>
      </c>
      <c r="D39" s="28">
        <f>'Issue Amount'!C39</f>
        <v>71397253151.929993</v>
      </c>
    </row>
    <row r="40" spans="1:4">
      <c r="A40" s="50"/>
      <c r="B40" t="s">
        <v>1</v>
      </c>
      <c r="C40" s="17">
        <f>'Mortgage loan brokers'!C40+'Real estate credit'!C40</f>
        <v>280.3</v>
      </c>
      <c r="D40" s="28">
        <f>'Issue Amount'!C40</f>
        <v>81193901238.820007</v>
      </c>
    </row>
    <row r="41" spans="1:4">
      <c r="A41" s="50">
        <v>2011</v>
      </c>
      <c r="B41" t="s">
        <v>0</v>
      </c>
      <c r="C41" s="17">
        <f>'Mortgage loan brokers'!C41+'Real estate credit'!C41</f>
        <v>272.39999999999998</v>
      </c>
      <c r="D41" s="28">
        <f>'Issue Amount'!C41</f>
        <v>66493575674.870003</v>
      </c>
    </row>
    <row r="42" spans="1:4">
      <c r="A42" s="50"/>
      <c r="B42" t="s">
        <v>11</v>
      </c>
      <c r="C42" s="17">
        <f>'Mortgage loan brokers'!C42+'Real estate credit'!C42</f>
        <v>272.8</v>
      </c>
      <c r="D42" s="28">
        <f>'Issue Amount'!C42</f>
        <v>51211208108.309998</v>
      </c>
    </row>
    <row r="43" spans="1:4">
      <c r="A43" s="50"/>
      <c r="B43" t="s">
        <v>10</v>
      </c>
      <c r="C43" s="17">
        <f>'Mortgage loan brokers'!C43+'Real estate credit'!C43</f>
        <v>272.10000000000002</v>
      </c>
      <c r="D43" s="28">
        <f>'Issue Amount'!C43</f>
        <v>52478992160.580002</v>
      </c>
    </row>
    <row r="44" spans="1:4">
      <c r="A44" s="50"/>
      <c r="B44" t="s">
        <v>9</v>
      </c>
      <c r="C44" s="17">
        <f>'Mortgage loan brokers'!C44+'Real estate credit'!C44</f>
        <v>265.8</v>
      </c>
      <c r="D44" s="28">
        <f>'Issue Amount'!C44</f>
        <v>33088841042.959999</v>
      </c>
    </row>
    <row r="45" spans="1:4">
      <c r="A45" s="50"/>
      <c r="B45" t="s">
        <v>8</v>
      </c>
      <c r="C45" s="17">
        <f>'Mortgage loan brokers'!C45+'Real estate credit'!C45</f>
        <v>268.7</v>
      </c>
      <c r="D45" s="28">
        <f>'Issue Amount'!C45</f>
        <v>30964833391.43</v>
      </c>
    </row>
    <row r="46" spans="1:4">
      <c r="A46" s="50"/>
      <c r="B46" t="s">
        <v>7</v>
      </c>
      <c r="C46" s="17">
        <f>'Mortgage loan brokers'!C46+'Real estate credit'!C46</f>
        <v>265.5</v>
      </c>
      <c r="D46" s="28">
        <f>'Issue Amount'!C46</f>
        <v>34031377587.419998</v>
      </c>
    </row>
    <row r="47" spans="1:4">
      <c r="A47" s="50"/>
      <c r="B47" t="s">
        <v>6</v>
      </c>
      <c r="C47" s="17">
        <f>'Mortgage loan brokers'!C47+'Real estate credit'!C47</f>
        <v>262.60000000000002</v>
      </c>
      <c r="D47" s="28">
        <f>'Issue Amount'!C47</f>
        <v>30621365146.98</v>
      </c>
    </row>
    <row r="48" spans="1:4">
      <c r="A48" s="50"/>
      <c r="B48" t="s">
        <v>5</v>
      </c>
      <c r="C48" s="17">
        <f>'Mortgage loan brokers'!C48+'Real estate credit'!C48</f>
        <v>259.39999999999998</v>
      </c>
      <c r="D48" s="28">
        <f>'Issue Amount'!C48</f>
        <v>38171516998.550003</v>
      </c>
    </row>
    <row r="49" spans="1:4">
      <c r="A49" s="50"/>
      <c r="B49" t="s">
        <v>4</v>
      </c>
      <c r="C49" s="17">
        <f>'Mortgage loan brokers'!C49+'Real estate credit'!C49</f>
        <v>259.39999999999998</v>
      </c>
      <c r="D49" s="28">
        <f>'Issue Amount'!C49</f>
        <v>45345536322.599998</v>
      </c>
    </row>
    <row r="50" spans="1:4">
      <c r="A50" s="50"/>
      <c r="B50" t="s">
        <v>3</v>
      </c>
      <c r="C50" s="17">
        <f>'Mortgage loan brokers'!C50+'Real estate credit'!C50</f>
        <v>259.8</v>
      </c>
      <c r="D50" s="28">
        <f>'Issue Amount'!C50</f>
        <v>51265734201.440002</v>
      </c>
    </row>
    <row r="51" spans="1:4">
      <c r="A51" s="50"/>
      <c r="B51" t="s">
        <v>2</v>
      </c>
      <c r="C51" s="17">
        <f>'Mortgage loan brokers'!C51+'Real estate credit'!C51</f>
        <v>261.89999999999998</v>
      </c>
      <c r="D51" s="28">
        <f>'Issue Amount'!C51</f>
        <v>62641454659.599998</v>
      </c>
    </row>
    <row r="52" spans="1:4">
      <c r="A52" s="50"/>
      <c r="B52" t="s">
        <v>1</v>
      </c>
      <c r="C52" s="17">
        <f>'Mortgage loan brokers'!C52+'Real estate credit'!C52</f>
        <v>261.3</v>
      </c>
      <c r="D52" s="28">
        <f>'Issue Amount'!C52</f>
        <v>73851865080.610001</v>
      </c>
    </row>
    <row r="53" spans="1:4">
      <c r="A53" s="50">
        <v>2012</v>
      </c>
      <c r="B53" t="s">
        <v>0</v>
      </c>
      <c r="C53" s="17">
        <f>'Mortgage loan brokers'!C53+'Real estate credit'!C53</f>
        <v>257.7</v>
      </c>
      <c r="D53" s="28">
        <f>'Issue Amount'!C53</f>
        <v>58331372757.360001</v>
      </c>
    </row>
    <row r="54" spans="1:4">
      <c r="A54" s="50"/>
      <c r="B54" t="s">
        <v>11</v>
      </c>
      <c r="C54" s="17">
        <f>'Mortgage loan brokers'!C54+'Real estate credit'!C54</f>
        <v>260</v>
      </c>
      <c r="D54" s="28">
        <f>'Issue Amount'!C54</f>
        <v>56063681559.919998</v>
      </c>
    </row>
    <row r="55" spans="1:4">
      <c r="A55" s="50"/>
      <c r="B55" t="s">
        <v>10</v>
      </c>
      <c r="C55" s="17">
        <f>'Mortgage loan brokers'!C55+'Real estate credit'!C55</f>
        <v>262.3</v>
      </c>
      <c r="D55" s="28">
        <f>'Issue Amount'!C55</f>
        <v>86317495811.419998</v>
      </c>
    </row>
    <row r="56" spans="1:4">
      <c r="A56" s="50"/>
      <c r="B56" t="s">
        <v>9</v>
      </c>
      <c r="C56" s="17">
        <f>'Mortgage loan brokers'!C56+'Real estate credit'!C56</f>
        <v>263.3</v>
      </c>
      <c r="D56" s="28">
        <f>'Issue Amount'!C56</f>
        <v>48073485668.580002</v>
      </c>
    </row>
    <row r="57" spans="1:4">
      <c r="A57" s="50"/>
      <c r="B57" t="s">
        <v>8</v>
      </c>
      <c r="C57" s="17">
        <f>'Mortgage loan brokers'!C57+'Real estate credit'!C57</f>
        <v>266.7</v>
      </c>
      <c r="D57" s="28">
        <f>'Issue Amount'!C57</f>
        <v>66663158668.949997</v>
      </c>
    </row>
    <row r="58" spans="1:4">
      <c r="A58" s="50"/>
      <c r="B58" t="s">
        <v>7</v>
      </c>
      <c r="C58" s="17">
        <f>'Mortgage loan brokers'!C58+'Real estate credit'!C58</f>
        <v>275.3</v>
      </c>
      <c r="D58" s="28">
        <f>'Issue Amount'!C58</f>
        <v>65107512378.209999</v>
      </c>
    </row>
    <row r="59" spans="1:4">
      <c r="A59" s="50"/>
      <c r="B59" t="s">
        <v>6</v>
      </c>
      <c r="C59" s="17">
        <f>'Mortgage loan brokers'!C59+'Real estate credit'!C59</f>
        <v>278.60000000000002</v>
      </c>
      <c r="D59" s="28">
        <f>'Issue Amount'!C59</f>
        <v>71798949000.600006</v>
      </c>
    </row>
    <row r="60" spans="1:4">
      <c r="A60" s="50"/>
      <c r="B60" t="s">
        <v>5</v>
      </c>
      <c r="C60" s="17">
        <f>'Mortgage loan brokers'!C60+'Real estate credit'!C60</f>
        <v>284</v>
      </c>
      <c r="D60" s="28">
        <f>'Issue Amount'!C60</f>
        <v>80246484071.139999</v>
      </c>
    </row>
    <row r="61" spans="1:4">
      <c r="A61" s="50"/>
      <c r="B61" t="s">
        <v>4</v>
      </c>
      <c r="C61" s="17">
        <f>'Mortgage loan brokers'!C61+'Real estate credit'!C61</f>
        <v>288.39999999999998</v>
      </c>
      <c r="D61" s="28">
        <f>'Issue Amount'!C61</f>
        <v>84049356738.059998</v>
      </c>
    </row>
    <row r="62" spans="1:4">
      <c r="A62" s="50"/>
      <c r="B62" t="s">
        <v>3</v>
      </c>
      <c r="C62" s="17">
        <f>'Mortgage loan brokers'!C62+'Real estate credit'!C62</f>
        <v>289.8</v>
      </c>
      <c r="D62" s="28">
        <f>'Issue Amount'!C62</f>
        <v>61818801001.650002</v>
      </c>
    </row>
    <row r="63" spans="1:4">
      <c r="A63" s="50"/>
      <c r="B63" t="s">
        <v>2</v>
      </c>
      <c r="C63" s="17">
        <f>'Mortgage loan brokers'!C63+'Real estate credit'!C63</f>
        <v>293.89999999999998</v>
      </c>
      <c r="D63" s="28">
        <f>'Issue Amount'!C63</f>
        <v>107252324964.50999</v>
      </c>
    </row>
    <row r="64" spans="1:4">
      <c r="A64" s="50"/>
      <c r="B64" t="s">
        <v>1</v>
      </c>
      <c r="C64" s="17">
        <f>'Mortgage loan brokers'!C64+'Real estate credit'!C64</f>
        <v>297.60000000000002</v>
      </c>
      <c r="D64" s="28">
        <f>'Issue Amount'!C64</f>
        <v>66763638723.230003</v>
      </c>
    </row>
    <row r="65" spans="1:4">
      <c r="A65" s="50">
        <v>2013</v>
      </c>
      <c r="B65" t="s">
        <v>0</v>
      </c>
      <c r="C65" s="17">
        <f>'Mortgage loan brokers'!C65+'Real estate credit'!C65</f>
        <v>295.5</v>
      </c>
      <c r="D65" s="28">
        <f>'Issue Amount'!C65</f>
        <v>85482757320.820007</v>
      </c>
    </row>
    <row r="66" spans="1:4">
      <c r="A66" s="50"/>
      <c r="B66" t="s">
        <v>11</v>
      </c>
      <c r="C66" s="17">
        <f>'Mortgage loan brokers'!C66+'Real estate credit'!C66</f>
        <v>297.7</v>
      </c>
      <c r="D66" s="28">
        <f>'Issue Amount'!C66</f>
        <v>77430427923.440002</v>
      </c>
    </row>
    <row r="67" spans="1:4">
      <c r="A67" s="50"/>
      <c r="B67" t="s">
        <v>10</v>
      </c>
      <c r="C67" s="17">
        <f>'Mortgage loan brokers'!C67+'Real estate credit'!C67</f>
        <v>301.10000000000002</v>
      </c>
      <c r="D67" s="28">
        <f>'Issue Amount'!C67</f>
        <v>66573031434.919998</v>
      </c>
    </row>
    <row r="68" spans="1:4">
      <c r="A68" s="50"/>
      <c r="B68" t="s">
        <v>9</v>
      </c>
      <c r="C68" s="17">
        <f>'Mortgage loan brokers'!C68+'Real estate credit'!C68</f>
        <v>303.7</v>
      </c>
      <c r="D68" s="28">
        <f>'Issue Amount'!C68</f>
        <v>73548428684.190002</v>
      </c>
    </row>
    <row r="69" spans="1:4">
      <c r="A69" s="50"/>
      <c r="B69" t="s">
        <v>8</v>
      </c>
      <c r="C69" s="17">
        <f>'Mortgage loan brokers'!C69+'Real estate credit'!C69</f>
        <v>303.39999999999998</v>
      </c>
      <c r="D69" s="28">
        <f>'Issue Amount'!C69</f>
        <v>73509211252.020004</v>
      </c>
    </row>
    <row r="70" spans="1:4">
      <c r="A70" s="50"/>
      <c r="B70" t="s">
        <v>7</v>
      </c>
      <c r="C70" s="17">
        <f>'Mortgage loan brokers'!C70+'Real estate credit'!C70</f>
        <v>305</v>
      </c>
      <c r="D70" s="28">
        <f>'Issue Amount'!C70</f>
        <v>66542000148.940002</v>
      </c>
    </row>
    <row r="71" spans="1:4">
      <c r="A71" s="50"/>
      <c r="B71" t="s">
        <v>6</v>
      </c>
      <c r="C71" s="17">
        <f>'Mortgage loan brokers'!C71+'Real estate credit'!C71</f>
        <v>305.2</v>
      </c>
      <c r="D71" s="28">
        <f>'Issue Amount'!C71</f>
        <v>71866974614.360001</v>
      </c>
    </row>
    <row r="72" spans="1:4">
      <c r="A72" s="50"/>
      <c r="B72" t="s">
        <v>5</v>
      </c>
      <c r="C72" s="17">
        <f>'Mortgage loan brokers'!C72+'Real estate credit'!C72</f>
        <v>300.39999999999998</v>
      </c>
      <c r="D72" s="28">
        <f>'Issue Amount'!C72</f>
        <v>65043206114.970001</v>
      </c>
    </row>
    <row r="73" spans="1:4">
      <c r="A73" s="50"/>
      <c r="B73" t="s">
        <v>4</v>
      </c>
      <c r="C73" s="17">
        <f>'Mortgage loan brokers'!C73+'Real estate credit'!C73</f>
        <v>294.3</v>
      </c>
      <c r="D73" s="28">
        <f>'Issue Amount'!C73</f>
        <v>52117579911.449997</v>
      </c>
    </row>
    <row r="74" spans="1:4">
      <c r="A74" s="50"/>
      <c r="B74" t="s">
        <v>3</v>
      </c>
      <c r="C74" s="17">
        <f>'Mortgage loan brokers'!C74+'Real estate credit'!C74</f>
        <v>292.2</v>
      </c>
      <c r="D74" s="28">
        <f>'Issue Amount'!C74</f>
        <v>47175834172.419998</v>
      </c>
    </row>
    <row r="75" spans="1:4">
      <c r="A75" s="50"/>
      <c r="B75" t="s">
        <v>2</v>
      </c>
      <c r="C75" s="17">
        <f>'Mortgage loan brokers'!C75+'Real estate credit'!C75</f>
        <v>290.3</v>
      </c>
      <c r="D75" s="28">
        <f>'Issue Amount'!C75</f>
        <v>38757040631.290001</v>
      </c>
    </row>
    <row r="76" spans="1:4">
      <c r="A76" s="50"/>
      <c r="B76" t="s">
        <v>1</v>
      </c>
      <c r="C76" s="17">
        <f>'Mortgage loan brokers'!C76+'Real estate credit'!C76</f>
        <v>287.39999999999998</v>
      </c>
      <c r="D76" s="28">
        <f>'Issue Amount'!C76</f>
        <v>37790142776.290001</v>
      </c>
    </row>
    <row r="77" spans="1:4">
      <c r="A77" s="50">
        <v>2014</v>
      </c>
      <c r="B77" t="s">
        <v>0</v>
      </c>
      <c r="C77" s="17">
        <f>'Mortgage loan brokers'!C77+'Real estate credit'!C77</f>
        <v>279.79999999999995</v>
      </c>
      <c r="D77" s="28">
        <f>'Issue Amount'!C77</f>
        <v>28108964119.139999</v>
      </c>
    </row>
    <row r="78" spans="1:4">
      <c r="A78" s="50"/>
      <c r="B78" t="s">
        <v>11</v>
      </c>
      <c r="C78" s="17">
        <f>'Mortgage loan brokers'!C78+'Real estate credit'!C78</f>
        <v>278</v>
      </c>
      <c r="D78" s="28">
        <f>'Issue Amount'!C78</f>
        <v>27585216807.849998</v>
      </c>
    </row>
    <row r="79" spans="1:4">
      <c r="A79" s="50"/>
      <c r="B79" t="s">
        <v>10</v>
      </c>
      <c r="C79" s="17">
        <f>'Mortgage loan brokers'!C79+'Real estate credit'!C79</f>
        <v>273.10000000000002</v>
      </c>
      <c r="D79" s="28">
        <f>'Issue Amount'!C79</f>
        <v>23463509422.790001</v>
      </c>
    </row>
    <row r="80" spans="1:4">
      <c r="A80" s="50"/>
      <c r="B80" t="s">
        <v>9</v>
      </c>
      <c r="C80" s="17">
        <f>'Mortgage loan brokers'!C80+'Real estate credit'!C80</f>
        <v>273.5</v>
      </c>
      <c r="D80" s="28">
        <f>'Issue Amount'!C80</f>
        <v>27198516722.27</v>
      </c>
    </row>
    <row r="81" spans="1:4">
      <c r="A81" s="50"/>
      <c r="B81" t="s">
        <v>8</v>
      </c>
      <c r="C81" s="17">
        <f>'Mortgage loan brokers'!C81+'Real estate credit'!C81</f>
        <v>274.5</v>
      </c>
      <c r="D81" s="28">
        <f>'Issue Amount'!C81</f>
        <v>27487631130.209999</v>
      </c>
    </row>
    <row r="82" spans="1:4">
      <c r="A82" s="50"/>
      <c r="B82" t="s">
        <v>7</v>
      </c>
      <c r="C82" s="17">
        <f>'Mortgage loan brokers'!C82+'Real estate credit'!C82</f>
        <v>277.5</v>
      </c>
      <c r="D82" s="28">
        <f>'Issue Amount'!C82</f>
        <v>31582304306.349998</v>
      </c>
    </row>
    <row r="83" spans="1:4">
      <c r="A83" s="50"/>
      <c r="B83" t="s">
        <v>6</v>
      </c>
      <c r="C83" s="17">
        <f>'Mortgage loan brokers'!C83+'Real estate credit'!C83</f>
        <v>280.89999999999998</v>
      </c>
      <c r="D83" s="28">
        <f>'Issue Amount'!C83</f>
        <v>36447478522.989998</v>
      </c>
    </row>
    <row r="84" spans="1:4">
      <c r="A84" s="50"/>
      <c r="B84" t="s">
        <v>5</v>
      </c>
      <c r="C84" s="17">
        <f>'Mortgage loan brokers'!C84+'Real estate credit'!C84</f>
        <v>280.8</v>
      </c>
      <c r="D84" s="28">
        <f>'Issue Amount'!C84</f>
        <v>34332054961.080002</v>
      </c>
    </row>
    <row r="85" spans="1:4">
      <c r="A85" s="50"/>
      <c r="B85" t="s">
        <v>4</v>
      </c>
      <c r="C85" s="17">
        <f>'Mortgage loan brokers'!C85+'Real estate credit'!C85</f>
        <v>283.60000000000002</v>
      </c>
      <c r="D85" s="28">
        <f>'Issue Amount'!C85</f>
        <v>40347506692.199997</v>
      </c>
    </row>
    <row r="86" spans="1:4">
      <c r="A86" s="50"/>
      <c r="B86" t="s">
        <v>3</v>
      </c>
      <c r="C86" s="17">
        <f>'Mortgage loan brokers'!C86+'Real estate credit'!C86</f>
        <v>284</v>
      </c>
      <c r="D86" s="28">
        <f>'Issue Amount'!C86</f>
        <v>40323740351.139999</v>
      </c>
    </row>
    <row r="87" spans="1:4">
      <c r="A87" s="50"/>
      <c r="B87" t="s">
        <v>2</v>
      </c>
      <c r="C87" s="17">
        <f>'Mortgage loan brokers'!C87+'Real estate credit'!C87</f>
        <v>287.79999999999995</v>
      </c>
      <c r="D87" s="28">
        <f>'Issue Amount'!C87</f>
        <v>32492729674.279999</v>
      </c>
    </row>
    <row r="88" spans="1:4">
      <c r="A88" s="50"/>
      <c r="B88" t="s">
        <v>1</v>
      </c>
      <c r="C88" s="17">
        <f>'Mortgage loan brokers'!C88+'Real estate credit'!C88</f>
        <v>288.10000000000002</v>
      </c>
      <c r="D88" s="28">
        <f>'Issue Amount'!C88</f>
        <v>44253011751.110001</v>
      </c>
    </row>
    <row r="89" spans="1:4">
      <c r="A89" s="50">
        <v>2015</v>
      </c>
      <c r="B89" t="s">
        <v>0</v>
      </c>
      <c r="C89" s="17">
        <f>'Mortgage loan brokers'!C89+'Real estate credit'!C89</f>
        <v>282.8</v>
      </c>
      <c r="D89" s="28">
        <f>'Issue Amount'!C89</f>
        <v>36980630899.18</v>
      </c>
    </row>
    <row r="90" spans="1:4">
      <c r="A90" s="50"/>
      <c r="B90" t="s">
        <v>11</v>
      </c>
      <c r="C90" s="17">
        <f>'Mortgage loan brokers'!C90+'Real estate credit'!C90</f>
        <v>283.8</v>
      </c>
      <c r="D90" s="28">
        <f>'Issue Amount'!C90</f>
        <v>36583983679.550003</v>
      </c>
    </row>
    <row r="91" spans="1:4">
      <c r="A91" s="50"/>
      <c r="B91" t="s">
        <v>10</v>
      </c>
      <c r="C91" s="17">
        <f>'Mortgage loan brokers'!C91+'Real estate credit'!C91</f>
        <v>285.8</v>
      </c>
      <c r="D91" s="28">
        <f>'Issue Amount'!C91</f>
        <v>44361653084.169998</v>
      </c>
    </row>
    <row r="92" spans="1:4">
      <c r="A92" s="23"/>
      <c r="B92" t="s">
        <v>9</v>
      </c>
      <c r="C92" s="17">
        <f>'Mortgage loan brokers'!C92+'Real estate credit'!C92</f>
        <v>287.89999999999998</v>
      </c>
      <c r="D92" s="28">
        <f>'Issue Amount'!C92</f>
        <v>51181167313.550003</v>
      </c>
    </row>
    <row r="93" spans="1:4">
      <c r="A93" s="23"/>
      <c r="B93" t="s">
        <v>8</v>
      </c>
      <c r="C93" s="17">
        <f>'Mortgage loan brokers'!C93+'Real estate credit'!C93</f>
        <v>291.3</v>
      </c>
      <c r="D93" s="28">
        <f>'Issue Amount'!C93</f>
        <v>44756506739.489998</v>
      </c>
    </row>
    <row r="94" spans="1:4">
      <c r="A94" s="23"/>
      <c r="B94" t="s">
        <v>7</v>
      </c>
      <c r="C94" s="17">
        <f>'Mortgage loan brokers'!C94+'Real estate credit'!C94</f>
        <v>295.3</v>
      </c>
      <c r="D94" s="28">
        <f>'Issue Amount'!C94</f>
        <v>46670102078.379997</v>
      </c>
    </row>
    <row r="95" spans="1:4">
      <c r="A95" s="23"/>
      <c r="B95" t="s">
        <v>6</v>
      </c>
      <c r="C95" s="17">
        <f>'Mortgage loan brokers'!C95+'Real estate credit'!C95</f>
        <v>298.89999999999998</v>
      </c>
      <c r="D95" s="28">
        <f>'Issue Amount'!C95</f>
        <v>46808897996.93</v>
      </c>
    </row>
    <row r="96" spans="1:4">
      <c r="A96" s="23"/>
      <c r="B96" t="s">
        <v>5</v>
      </c>
      <c r="C96" s="17">
        <f>'Mortgage loan brokers'!C96+'Real estate credit'!C96</f>
        <v>300.20000000000005</v>
      </c>
      <c r="D96" s="28">
        <v>39123218043.230003</v>
      </c>
    </row>
    <row r="97" spans="1:4">
      <c r="A97" s="23"/>
      <c r="B97" t="s">
        <v>4</v>
      </c>
      <c r="C97" s="17">
        <f>'Mortgage loan brokers'!C97+'Real estate credit'!C97</f>
        <v>301.8</v>
      </c>
      <c r="D97" s="28">
        <f>'Issue Amount'!C97</f>
        <v>44989151670.82</v>
      </c>
    </row>
    <row r="98" spans="1:4">
      <c r="A98" s="23"/>
      <c r="B98" t="s">
        <v>3</v>
      </c>
      <c r="C98" s="17">
        <f>'Mortgage loan brokers'!C98+'Real estate credit'!C98</f>
        <v>301.39999999999998</v>
      </c>
      <c r="D98" s="28">
        <f>'Issue Amount'!C98</f>
        <v>41324740804.440002</v>
      </c>
    </row>
    <row r="99" spans="1:4">
      <c r="A99" s="23"/>
      <c r="B99" t="s">
        <v>2</v>
      </c>
      <c r="C99" s="17">
        <f>'Mortgage loan brokers'!C99+'Real estate credit'!C99</f>
        <v>301.3</v>
      </c>
      <c r="D99" s="28">
        <f>'Issue Amount'!C99</f>
        <v>28933538589.34</v>
      </c>
    </row>
    <row r="100" spans="1:4">
      <c r="A100" s="23"/>
      <c r="B100" t="s">
        <v>1</v>
      </c>
      <c r="C100" s="17">
        <f>'Mortgage loan brokers'!C100+'Real estate credit'!C100</f>
        <v>301</v>
      </c>
      <c r="D100" s="28">
        <f>'Issue Amount'!C100</f>
        <v>39048100886.419998</v>
      </c>
    </row>
    <row r="101" spans="1:4">
      <c r="A101">
        <v>2016</v>
      </c>
      <c r="B101" s="38" t="s">
        <v>0</v>
      </c>
      <c r="C101" s="17">
        <f>'Mortgage loan brokers'!C101+'Real estate credit'!C101</f>
        <v>299</v>
      </c>
      <c r="D101" s="28">
        <f>'Issue Amount'!C101</f>
        <v>38841439178.620003</v>
      </c>
    </row>
    <row r="102" spans="1:4">
      <c r="B102" s="38" t="s">
        <v>11</v>
      </c>
      <c r="C102" s="17">
        <f>'Mortgage loan brokers'!C102+'Real estate credit'!C102</f>
        <v>296.89999999999998</v>
      </c>
      <c r="D102" s="28">
        <f>'Issue Amount'!C102</f>
        <v>30561761942.720001</v>
      </c>
    </row>
    <row r="103" spans="1:4">
      <c r="B103" s="38" t="s">
        <v>10</v>
      </c>
      <c r="C103" s="17">
        <f>'Mortgage loan brokers'!C103+'Real estate credit'!C103</f>
        <v>298.5</v>
      </c>
      <c r="D103" s="28">
        <f>'Issue Amount'!C103</f>
        <v>39928859384.089996</v>
      </c>
    </row>
    <row r="104" spans="1:4">
      <c r="B104" s="38" t="s">
        <v>9</v>
      </c>
      <c r="C104" s="17">
        <f>'Mortgage loan brokers'!C104+'Real estate credit'!C104</f>
        <v>301</v>
      </c>
      <c r="D104" s="28">
        <f>'Issue Amount'!C104</f>
        <v>44861340063.169998</v>
      </c>
    </row>
    <row r="105" spans="1:4">
      <c r="B105" s="38" t="s">
        <v>8</v>
      </c>
      <c r="C105" s="17">
        <f>'Mortgage loan brokers'!C105+'Real estate credit'!C105</f>
        <v>301.10000000000002</v>
      </c>
      <c r="D105" s="28">
        <f>'Issue Amount'!C105</f>
        <v>45906379388.75</v>
      </c>
    </row>
    <row r="106" spans="1:4">
      <c r="B106" s="38" t="s">
        <v>7</v>
      </c>
      <c r="C106" s="17">
        <f>'Mortgage loan brokers'!C106+'Real estate credit'!C106</f>
        <v>306.8</v>
      </c>
      <c r="D106" s="28">
        <f>'Issue Amount'!C106</f>
        <v>49117830558.220001</v>
      </c>
    </row>
    <row r="107" spans="1:4">
      <c r="B107" s="38" t="s">
        <v>6</v>
      </c>
      <c r="C107" s="17">
        <f>'Mortgage loan brokers'!C107+'Real estate credit'!C107</f>
        <v>311.89999999999998</v>
      </c>
      <c r="D107" s="28">
        <f>'Issue Amount'!C107</f>
        <v>52311053156.260002</v>
      </c>
    </row>
    <row r="108" spans="1:4">
      <c r="B108" s="38" t="s">
        <v>5</v>
      </c>
      <c r="C108" s="17">
        <f>'Mortgage loan brokers'!C108+'Real estate credit'!C108</f>
        <v>312.8</v>
      </c>
      <c r="D108" s="28">
        <f>'Issue Amount'!C108</f>
        <v>57044014480.900002</v>
      </c>
    </row>
    <row r="109" spans="1:4">
      <c r="B109" s="38" t="s">
        <v>4</v>
      </c>
      <c r="C109" s="17">
        <f>'Mortgage loan brokers'!C109+'Real estate credit'!C109</f>
        <v>315.2</v>
      </c>
      <c r="D109" s="28">
        <f>'Issue Amount'!C109</f>
        <v>69331875300.940002</v>
      </c>
    </row>
    <row r="110" spans="1:4">
      <c r="B110" s="38" t="s">
        <v>3</v>
      </c>
      <c r="C110" s="17">
        <f>'Mortgage loan brokers'!C110+'Real estate credit'!C110</f>
        <v>318.10000000000002</v>
      </c>
      <c r="D110" s="28">
        <f>'Issue Amount'!C110</f>
        <v>64923288102.650002</v>
      </c>
    </row>
    <row r="111" spans="1:4">
      <c r="B111" s="38" t="s">
        <v>2</v>
      </c>
      <c r="C111" s="17">
        <f>'Mortgage loan brokers'!C111+'Real estate credit'!C111</f>
        <v>322.10000000000002</v>
      </c>
      <c r="D111" s="28">
        <f>'Issue Amount'!C111</f>
        <v>50811667455.550003</v>
      </c>
    </row>
    <row r="112" spans="1:4">
      <c r="B112" s="38" t="s">
        <v>1</v>
      </c>
      <c r="C112" s="17"/>
    </row>
  </sheetData>
  <mergeCells count="6">
    <mergeCell ref="A89:A91"/>
    <mergeCell ref="A29:A40"/>
    <mergeCell ref="A41:A52"/>
    <mergeCell ref="A53:A64"/>
    <mergeCell ref="A65:A76"/>
    <mergeCell ref="A77:A8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2"/>
  <sheetViews>
    <sheetView workbookViewId="0">
      <selection activeCell="O30" sqref="O30"/>
    </sheetView>
  </sheetViews>
  <sheetFormatPr defaultRowHeight="15"/>
  <sheetData>
    <row r="1" spans="1:13" ht="15.75">
      <c r="A1" s="53" t="s">
        <v>20</v>
      </c>
      <c r="B1" s="52"/>
      <c r="C1" s="52"/>
      <c r="D1" s="52"/>
      <c r="E1" s="52"/>
      <c r="F1" s="52"/>
    </row>
    <row r="2" spans="1:13" ht="15.75">
      <c r="A2" s="53" t="s">
        <v>21</v>
      </c>
      <c r="B2" s="52"/>
      <c r="C2" s="52"/>
      <c r="D2" s="52"/>
      <c r="E2" s="52"/>
      <c r="F2" s="52"/>
    </row>
    <row r="3" spans="1:13">
      <c r="A3" s="52"/>
      <c r="B3" s="52"/>
      <c r="C3" s="52"/>
      <c r="D3" s="52"/>
      <c r="E3" s="52"/>
      <c r="F3" s="52"/>
    </row>
    <row r="4" spans="1:13" ht="25.5">
      <c r="A4" s="14" t="s">
        <v>22</v>
      </c>
      <c r="B4" s="51" t="s">
        <v>23</v>
      </c>
      <c r="C4" s="52"/>
      <c r="D4" s="52"/>
      <c r="E4" s="52"/>
      <c r="F4" s="52"/>
    </row>
    <row r="5" spans="1:13">
      <c r="A5" s="54" t="s">
        <v>24</v>
      </c>
      <c r="B5" s="52"/>
      <c r="C5" s="52"/>
      <c r="D5" s="52"/>
      <c r="E5" s="52"/>
      <c r="F5" s="52"/>
    </row>
    <row r="6" spans="1:13" ht="25.5">
      <c r="A6" s="14" t="s">
        <v>25</v>
      </c>
      <c r="B6" s="51" t="s">
        <v>26</v>
      </c>
      <c r="C6" s="52"/>
      <c r="D6" s="52"/>
      <c r="E6" s="52"/>
      <c r="F6" s="52"/>
    </row>
    <row r="7" spans="1:13">
      <c r="A7" s="14" t="s">
        <v>27</v>
      </c>
      <c r="B7" s="51" t="s">
        <v>28</v>
      </c>
      <c r="C7" s="52"/>
      <c r="D7" s="52"/>
      <c r="E7" s="52"/>
      <c r="F7" s="52"/>
    </row>
    <row r="8" spans="1:13" ht="25.5">
      <c r="A8" s="14" t="s">
        <v>29</v>
      </c>
      <c r="B8" s="51" t="s">
        <v>30</v>
      </c>
      <c r="C8" s="52"/>
      <c r="D8" s="52"/>
      <c r="E8" s="52"/>
      <c r="F8" s="52"/>
    </row>
    <row r="9" spans="1:13" ht="25.5">
      <c r="A9" s="14" t="s">
        <v>31</v>
      </c>
      <c r="B9" s="51" t="s">
        <v>32</v>
      </c>
      <c r="C9" s="52"/>
      <c r="D9" s="52"/>
      <c r="E9" s="52"/>
      <c r="F9" s="52"/>
    </row>
    <row r="10" spans="1:13">
      <c r="A10" s="14" t="s">
        <v>33</v>
      </c>
      <c r="B10" s="55" t="s">
        <v>34</v>
      </c>
      <c r="C10" s="52"/>
      <c r="D10" s="52"/>
      <c r="E10" s="52"/>
      <c r="F10" s="52"/>
    </row>
    <row r="12" spans="1:13" ht="15.75" thickBot="1">
      <c r="A12" s="15" t="s">
        <v>35</v>
      </c>
      <c r="B12" s="15" t="s">
        <v>0</v>
      </c>
      <c r="C12" s="15" t="s">
        <v>11</v>
      </c>
      <c r="D12" s="15" t="s">
        <v>10</v>
      </c>
      <c r="E12" s="15" t="s">
        <v>9</v>
      </c>
      <c r="F12" s="15" t="s">
        <v>8</v>
      </c>
      <c r="G12" s="15" t="s">
        <v>7</v>
      </c>
      <c r="H12" s="15" t="s">
        <v>6</v>
      </c>
      <c r="I12" s="15" t="s">
        <v>5</v>
      </c>
      <c r="J12" s="15" t="s">
        <v>4</v>
      </c>
      <c r="K12" s="15" t="s">
        <v>3</v>
      </c>
      <c r="L12" s="15" t="s">
        <v>2</v>
      </c>
      <c r="M12" s="15" t="s">
        <v>1</v>
      </c>
    </row>
    <row r="13" spans="1:13" ht="15.75" thickTop="1">
      <c r="A13" s="16">
        <v>2005</v>
      </c>
      <c r="B13" s="17">
        <v>133</v>
      </c>
      <c r="C13" s="17">
        <v>135.9</v>
      </c>
      <c r="D13" s="17">
        <v>137.4</v>
      </c>
      <c r="E13" s="17">
        <v>137.4</v>
      </c>
      <c r="F13" s="17">
        <v>138.9</v>
      </c>
      <c r="G13" s="17">
        <v>142.19999999999999</v>
      </c>
      <c r="H13" s="17">
        <v>141</v>
      </c>
      <c r="I13" s="17">
        <v>143.80000000000001</v>
      </c>
      <c r="J13" s="17">
        <v>143.6</v>
      </c>
      <c r="K13" s="17">
        <v>145.6</v>
      </c>
      <c r="L13" s="17">
        <v>144.6</v>
      </c>
      <c r="M13" s="17">
        <v>146.5</v>
      </c>
    </row>
    <row r="14" spans="1:13">
      <c r="A14" s="16">
        <v>2006</v>
      </c>
      <c r="B14" s="17">
        <v>146.1</v>
      </c>
      <c r="C14" s="17">
        <v>147</v>
      </c>
      <c r="D14" s="17">
        <v>146.4</v>
      </c>
      <c r="E14" s="17">
        <v>148.19999999999999</v>
      </c>
      <c r="F14" s="17">
        <v>146.9</v>
      </c>
      <c r="G14" s="17">
        <v>145.30000000000001</v>
      </c>
      <c r="H14" s="17">
        <v>145.5</v>
      </c>
      <c r="I14" s="17">
        <v>143.4</v>
      </c>
      <c r="J14" s="17">
        <v>142.30000000000001</v>
      </c>
      <c r="K14" s="17">
        <v>144.19999999999999</v>
      </c>
      <c r="L14" s="17">
        <v>142.19999999999999</v>
      </c>
      <c r="M14" s="17">
        <v>141.1</v>
      </c>
    </row>
    <row r="15" spans="1:13">
      <c r="A15" s="16">
        <v>2007</v>
      </c>
      <c r="B15" s="17">
        <v>135.6</v>
      </c>
      <c r="C15" s="17">
        <v>137.9</v>
      </c>
      <c r="D15" s="17">
        <v>136.9</v>
      </c>
      <c r="E15" s="17">
        <v>134.9</v>
      </c>
      <c r="F15" s="17">
        <v>127.8</v>
      </c>
      <c r="G15" s="17">
        <v>124.8</v>
      </c>
      <c r="H15" s="17">
        <v>119.3</v>
      </c>
      <c r="I15" s="17">
        <v>117.8</v>
      </c>
      <c r="J15" s="17">
        <v>112.6</v>
      </c>
      <c r="K15" s="17">
        <v>106.9</v>
      </c>
      <c r="L15" s="17">
        <v>102.6</v>
      </c>
      <c r="M15" s="17">
        <v>98.4</v>
      </c>
    </row>
    <row r="16" spans="1:13">
      <c r="A16" s="16">
        <v>2008</v>
      </c>
      <c r="B16" s="17">
        <v>92.6</v>
      </c>
      <c r="C16" s="17">
        <v>91.5</v>
      </c>
      <c r="D16" s="17">
        <v>88.2</v>
      </c>
      <c r="E16" s="17">
        <v>85.8</v>
      </c>
      <c r="F16" s="17">
        <v>84.7</v>
      </c>
      <c r="G16" s="17">
        <v>84</v>
      </c>
      <c r="H16" s="17">
        <v>82.1</v>
      </c>
      <c r="I16" s="17">
        <v>80.8</v>
      </c>
      <c r="J16" s="17">
        <v>79.400000000000006</v>
      </c>
      <c r="K16" s="17">
        <v>75.2</v>
      </c>
      <c r="L16" s="17">
        <v>73.400000000000006</v>
      </c>
      <c r="M16" s="17">
        <v>72</v>
      </c>
    </row>
    <row r="17" spans="1:13">
      <c r="A17" s="16">
        <v>2009</v>
      </c>
      <c r="B17" s="17">
        <v>70</v>
      </c>
      <c r="C17" s="17">
        <v>69.400000000000006</v>
      </c>
      <c r="D17" s="17">
        <v>69.2</v>
      </c>
      <c r="E17" s="17">
        <v>69.3</v>
      </c>
      <c r="F17" s="17">
        <v>66.400000000000006</v>
      </c>
      <c r="G17" s="17">
        <v>67.099999999999994</v>
      </c>
      <c r="H17" s="17">
        <v>64.8</v>
      </c>
      <c r="I17" s="17">
        <v>63.9</v>
      </c>
      <c r="J17" s="17">
        <v>64.2</v>
      </c>
      <c r="K17" s="17">
        <v>62.3</v>
      </c>
      <c r="L17" s="17">
        <v>63.9</v>
      </c>
      <c r="M17" s="17">
        <v>63.7</v>
      </c>
    </row>
    <row r="18" spans="1:13">
      <c r="A18" s="16">
        <v>2010</v>
      </c>
      <c r="B18" s="17">
        <v>60.7</v>
      </c>
      <c r="C18" s="17">
        <v>61.1</v>
      </c>
      <c r="D18" s="17">
        <v>60.6</v>
      </c>
      <c r="E18" s="17">
        <v>60.7</v>
      </c>
      <c r="F18" s="17">
        <v>61.8</v>
      </c>
      <c r="G18" s="17">
        <v>61</v>
      </c>
      <c r="H18" s="17">
        <v>61.4</v>
      </c>
      <c r="I18" s="17">
        <v>61.7</v>
      </c>
      <c r="J18" s="17">
        <v>63.8</v>
      </c>
      <c r="K18" s="17">
        <v>66.2</v>
      </c>
      <c r="L18" s="17">
        <v>66.5</v>
      </c>
      <c r="M18" s="17">
        <v>65.3</v>
      </c>
    </row>
    <row r="19" spans="1:13">
      <c r="A19" s="16">
        <v>2011</v>
      </c>
      <c r="B19" s="17">
        <v>61.2</v>
      </c>
      <c r="C19" s="17">
        <v>60.9</v>
      </c>
      <c r="D19" s="17">
        <v>59</v>
      </c>
      <c r="E19" s="17">
        <v>57.3</v>
      </c>
      <c r="F19" s="17">
        <v>56.4</v>
      </c>
      <c r="G19" s="17">
        <v>55.2</v>
      </c>
      <c r="H19" s="17">
        <v>55.8</v>
      </c>
      <c r="I19" s="17">
        <v>55.3</v>
      </c>
      <c r="J19" s="17">
        <v>56.7</v>
      </c>
      <c r="K19" s="17">
        <v>58.8</v>
      </c>
      <c r="L19" s="17">
        <v>59.9</v>
      </c>
      <c r="M19" s="17">
        <v>60.9</v>
      </c>
    </row>
    <row r="20" spans="1:13">
      <c r="A20" s="16">
        <v>2012</v>
      </c>
      <c r="B20" s="17">
        <v>59.4</v>
      </c>
      <c r="C20" s="17">
        <v>60.7</v>
      </c>
      <c r="D20" s="17">
        <v>61.9</v>
      </c>
      <c r="E20" s="17">
        <v>64.400000000000006</v>
      </c>
      <c r="F20" s="17">
        <v>66.3</v>
      </c>
      <c r="G20" s="17">
        <v>69.5</v>
      </c>
      <c r="H20" s="17">
        <v>71</v>
      </c>
      <c r="I20" s="17">
        <v>72.7</v>
      </c>
      <c r="J20" s="17">
        <v>73.2</v>
      </c>
      <c r="K20" s="17">
        <v>74.3</v>
      </c>
      <c r="L20" s="17">
        <v>74.900000000000006</v>
      </c>
      <c r="M20" s="17">
        <v>75.3</v>
      </c>
    </row>
    <row r="21" spans="1:13">
      <c r="A21" s="16">
        <v>2013</v>
      </c>
      <c r="B21" s="17">
        <v>74.5</v>
      </c>
      <c r="C21" s="17">
        <v>74.599999999999994</v>
      </c>
      <c r="D21" s="17">
        <v>74.900000000000006</v>
      </c>
      <c r="E21" s="17">
        <v>77.3</v>
      </c>
      <c r="F21" s="17">
        <v>76.5</v>
      </c>
      <c r="G21" s="17">
        <v>76.2</v>
      </c>
      <c r="H21" s="17">
        <v>77.8</v>
      </c>
      <c r="I21" s="17">
        <v>75.8</v>
      </c>
      <c r="J21" s="17">
        <v>72.900000000000006</v>
      </c>
      <c r="K21" s="17">
        <v>72.7</v>
      </c>
      <c r="L21" s="17">
        <v>74</v>
      </c>
      <c r="M21" s="17">
        <v>73.099999999999994</v>
      </c>
    </row>
    <row r="22" spans="1:13">
      <c r="A22" s="16">
        <v>2014</v>
      </c>
      <c r="B22" s="17">
        <v>70.099999999999994</v>
      </c>
      <c r="C22" s="17">
        <v>70.8</v>
      </c>
      <c r="D22" s="17">
        <v>70.099999999999994</v>
      </c>
      <c r="E22" s="17">
        <v>69.2</v>
      </c>
      <c r="F22" s="17">
        <v>70.599999999999994</v>
      </c>
      <c r="G22" s="17">
        <v>70.8</v>
      </c>
      <c r="H22" s="17">
        <v>71.099999999999994</v>
      </c>
      <c r="I22" s="17">
        <v>71.3</v>
      </c>
      <c r="J22" s="17">
        <v>72.900000000000006</v>
      </c>
      <c r="K22" s="17">
        <v>72.599999999999994</v>
      </c>
      <c r="L22" s="17">
        <v>74.599999999999994</v>
      </c>
      <c r="M22" s="17">
        <v>75.2</v>
      </c>
    </row>
    <row r="23" spans="1:13">
      <c r="A23" s="16">
        <v>2015</v>
      </c>
      <c r="B23" s="17">
        <v>74.8</v>
      </c>
      <c r="C23" s="17">
        <v>76</v>
      </c>
      <c r="D23" s="17">
        <v>76.400000000000006</v>
      </c>
      <c r="E23" s="17">
        <v>77.900000000000006</v>
      </c>
      <c r="F23" s="17">
        <v>78.3</v>
      </c>
      <c r="G23" s="17">
        <v>79.900000000000006</v>
      </c>
      <c r="H23" s="38">
        <v>80.8</v>
      </c>
      <c r="I23" s="38">
        <v>80.900000000000006</v>
      </c>
      <c r="J23" s="17">
        <v>80.8</v>
      </c>
      <c r="K23" s="38">
        <v>79.8</v>
      </c>
      <c r="L23" s="38">
        <v>80</v>
      </c>
      <c r="M23" s="38">
        <v>80.5</v>
      </c>
    </row>
    <row r="24" spans="1:13">
      <c r="A24" s="16">
        <v>2016</v>
      </c>
      <c r="B24" s="38">
        <v>80</v>
      </c>
      <c r="C24" s="38">
        <v>79.2</v>
      </c>
      <c r="D24" s="40">
        <v>79.099999999999994</v>
      </c>
      <c r="E24" s="40">
        <v>80.5</v>
      </c>
      <c r="F24" s="44">
        <v>81.3</v>
      </c>
      <c r="G24" s="45">
        <v>84.4</v>
      </c>
      <c r="H24" s="45">
        <v>86.9</v>
      </c>
      <c r="I24" s="45">
        <v>87.7</v>
      </c>
      <c r="J24" s="46">
        <v>87.3</v>
      </c>
      <c r="K24" s="46">
        <v>88.5</v>
      </c>
      <c r="L24" s="46">
        <v>89.5</v>
      </c>
    </row>
    <row r="29" spans="1:13">
      <c r="A29" s="50">
        <v>2010</v>
      </c>
      <c r="B29" t="s">
        <v>0</v>
      </c>
      <c r="C29" s="17">
        <v>60.7</v>
      </c>
    </row>
    <row r="30" spans="1:13">
      <c r="A30" s="50"/>
      <c r="B30" t="s">
        <v>11</v>
      </c>
      <c r="C30" s="17">
        <v>61.1</v>
      </c>
    </row>
    <row r="31" spans="1:13">
      <c r="A31" s="50"/>
      <c r="B31" t="s">
        <v>10</v>
      </c>
      <c r="C31" s="17">
        <v>60.6</v>
      </c>
    </row>
    <row r="32" spans="1:13">
      <c r="A32" s="50"/>
      <c r="B32" t="s">
        <v>9</v>
      </c>
      <c r="C32" s="17">
        <v>60.7</v>
      </c>
    </row>
    <row r="33" spans="1:3">
      <c r="A33" s="50"/>
      <c r="B33" t="s">
        <v>8</v>
      </c>
      <c r="C33" s="17">
        <v>61.8</v>
      </c>
    </row>
    <row r="34" spans="1:3">
      <c r="A34" s="50"/>
      <c r="B34" t="s">
        <v>7</v>
      </c>
      <c r="C34" s="17">
        <v>61</v>
      </c>
    </row>
    <row r="35" spans="1:3">
      <c r="A35" s="50"/>
      <c r="B35" t="s">
        <v>6</v>
      </c>
      <c r="C35" s="17">
        <v>61.4</v>
      </c>
    </row>
    <row r="36" spans="1:3">
      <c r="A36" s="50"/>
      <c r="B36" t="s">
        <v>5</v>
      </c>
      <c r="C36" s="17">
        <v>61.7</v>
      </c>
    </row>
    <row r="37" spans="1:3">
      <c r="A37" s="50"/>
      <c r="B37" t="s">
        <v>4</v>
      </c>
      <c r="C37" s="17">
        <v>63.8</v>
      </c>
    </row>
    <row r="38" spans="1:3">
      <c r="A38" s="50"/>
      <c r="B38" t="s">
        <v>3</v>
      </c>
      <c r="C38" s="17">
        <v>66.2</v>
      </c>
    </row>
    <row r="39" spans="1:3">
      <c r="A39" s="50"/>
      <c r="B39" t="s">
        <v>2</v>
      </c>
      <c r="C39" s="17">
        <v>66.5</v>
      </c>
    </row>
    <row r="40" spans="1:3">
      <c r="A40" s="50"/>
      <c r="B40" t="s">
        <v>1</v>
      </c>
      <c r="C40" s="17">
        <v>65.3</v>
      </c>
    </row>
    <row r="41" spans="1:3">
      <c r="A41" s="50">
        <v>2011</v>
      </c>
      <c r="B41" t="s">
        <v>0</v>
      </c>
      <c r="C41" s="17">
        <v>61.2</v>
      </c>
    </row>
    <row r="42" spans="1:3">
      <c r="A42" s="50"/>
      <c r="B42" t="s">
        <v>11</v>
      </c>
      <c r="C42" s="17">
        <v>60.9</v>
      </c>
    </row>
    <row r="43" spans="1:3">
      <c r="A43" s="50"/>
      <c r="B43" t="s">
        <v>10</v>
      </c>
      <c r="C43" s="17">
        <v>59</v>
      </c>
    </row>
    <row r="44" spans="1:3">
      <c r="A44" s="50"/>
      <c r="B44" t="s">
        <v>9</v>
      </c>
      <c r="C44" s="17">
        <v>57.3</v>
      </c>
    </row>
    <row r="45" spans="1:3">
      <c r="A45" s="50"/>
      <c r="B45" t="s">
        <v>8</v>
      </c>
      <c r="C45" s="17">
        <v>56.4</v>
      </c>
    </row>
    <row r="46" spans="1:3">
      <c r="A46" s="50"/>
      <c r="B46" t="s">
        <v>7</v>
      </c>
      <c r="C46" s="17">
        <v>55.2</v>
      </c>
    </row>
    <row r="47" spans="1:3">
      <c r="A47" s="50"/>
      <c r="B47" t="s">
        <v>6</v>
      </c>
      <c r="C47" s="17">
        <v>55.8</v>
      </c>
    </row>
    <row r="48" spans="1:3">
      <c r="A48" s="50"/>
      <c r="B48" t="s">
        <v>5</v>
      </c>
      <c r="C48" s="17">
        <v>55.3</v>
      </c>
    </row>
    <row r="49" spans="1:3">
      <c r="A49" s="50"/>
      <c r="B49" t="s">
        <v>4</v>
      </c>
      <c r="C49" s="17">
        <v>56.7</v>
      </c>
    </row>
    <row r="50" spans="1:3">
      <c r="A50" s="50"/>
      <c r="B50" t="s">
        <v>3</v>
      </c>
      <c r="C50" s="17">
        <v>58.8</v>
      </c>
    </row>
    <row r="51" spans="1:3">
      <c r="A51" s="50"/>
      <c r="B51" t="s">
        <v>2</v>
      </c>
      <c r="C51" s="17">
        <v>59.9</v>
      </c>
    </row>
    <row r="52" spans="1:3">
      <c r="A52" s="50"/>
      <c r="B52" t="s">
        <v>1</v>
      </c>
      <c r="C52" s="17">
        <v>60.9</v>
      </c>
    </row>
    <row r="53" spans="1:3">
      <c r="A53" s="50">
        <v>2012</v>
      </c>
      <c r="B53" t="s">
        <v>0</v>
      </c>
      <c r="C53" s="17">
        <v>59.4</v>
      </c>
    </row>
    <row r="54" spans="1:3">
      <c r="A54" s="50"/>
      <c r="B54" t="s">
        <v>11</v>
      </c>
      <c r="C54" s="17">
        <v>60.7</v>
      </c>
    </row>
    <row r="55" spans="1:3">
      <c r="A55" s="50"/>
      <c r="B55" t="s">
        <v>10</v>
      </c>
      <c r="C55" s="17">
        <v>61.9</v>
      </c>
    </row>
    <row r="56" spans="1:3">
      <c r="A56" s="50"/>
      <c r="B56" t="s">
        <v>9</v>
      </c>
      <c r="C56" s="17">
        <v>64.400000000000006</v>
      </c>
    </row>
    <row r="57" spans="1:3">
      <c r="A57" s="50"/>
      <c r="B57" t="s">
        <v>8</v>
      </c>
      <c r="C57" s="17">
        <v>66.3</v>
      </c>
    </row>
    <row r="58" spans="1:3">
      <c r="A58" s="50"/>
      <c r="B58" t="s">
        <v>7</v>
      </c>
      <c r="C58" s="17">
        <v>69.5</v>
      </c>
    </row>
    <row r="59" spans="1:3">
      <c r="A59" s="50"/>
      <c r="B59" t="s">
        <v>6</v>
      </c>
      <c r="C59" s="17">
        <v>71</v>
      </c>
    </row>
    <row r="60" spans="1:3">
      <c r="A60" s="50"/>
      <c r="B60" t="s">
        <v>5</v>
      </c>
      <c r="C60" s="17">
        <v>72.7</v>
      </c>
    </row>
    <row r="61" spans="1:3">
      <c r="A61" s="50"/>
      <c r="B61" t="s">
        <v>4</v>
      </c>
      <c r="C61" s="17">
        <v>73.2</v>
      </c>
    </row>
    <row r="62" spans="1:3">
      <c r="A62" s="50"/>
      <c r="B62" t="s">
        <v>3</v>
      </c>
      <c r="C62" s="17">
        <v>74.3</v>
      </c>
    </row>
    <row r="63" spans="1:3">
      <c r="A63" s="50"/>
      <c r="B63" t="s">
        <v>2</v>
      </c>
      <c r="C63" s="17">
        <v>74.900000000000006</v>
      </c>
    </row>
    <row r="64" spans="1:3">
      <c r="A64" s="50"/>
      <c r="B64" t="s">
        <v>1</v>
      </c>
      <c r="C64" s="17">
        <v>75.3</v>
      </c>
    </row>
    <row r="65" spans="1:3">
      <c r="A65" s="50">
        <v>2013</v>
      </c>
      <c r="B65" t="s">
        <v>0</v>
      </c>
      <c r="C65" s="17">
        <v>74.5</v>
      </c>
    </row>
    <row r="66" spans="1:3">
      <c r="A66" s="50"/>
      <c r="B66" t="s">
        <v>11</v>
      </c>
      <c r="C66" s="17">
        <v>74.599999999999994</v>
      </c>
    </row>
    <row r="67" spans="1:3">
      <c r="A67" s="50"/>
      <c r="B67" t="s">
        <v>10</v>
      </c>
      <c r="C67" s="17">
        <v>74.900000000000006</v>
      </c>
    </row>
    <row r="68" spans="1:3">
      <c r="A68" s="50"/>
      <c r="B68" t="s">
        <v>9</v>
      </c>
      <c r="C68" s="17">
        <v>77.3</v>
      </c>
    </row>
    <row r="69" spans="1:3">
      <c r="A69" s="50"/>
      <c r="B69" t="s">
        <v>8</v>
      </c>
      <c r="C69" s="17">
        <v>76.5</v>
      </c>
    </row>
    <row r="70" spans="1:3">
      <c r="A70" s="50"/>
      <c r="B70" t="s">
        <v>7</v>
      </c>
      <c r="C70" s="17">
        <v>76.2</v>
      </c>
    </row>
    <row r="71" spans="1:3">
      <c r="A71" s="50"/>
      <c r="B71" t="s">
        <v>6</v>
      </c>
      <c r="C71" s="17">
        <v>77.8</v>
      </c>
    </row>
    <row r="72" spans="1:3">
      <c r="A72" s="50"/>
      <c r="B72" t="s">
        <v>5</v>
      </c>
      <c r="C72" s="17">
        <v>75.8</v>
      </c>
    </row>
    <row r="73" spans="1:3">
      <c r="A73" s="50"/>
      <c r="B73" t="s">
        <v>4</v>
      </c>
      <c r="C73" s="17">
        <v>72.900000000000006</v>
      </c>
    </row>
    <row r="74" spans="1:3">
      <c r="A74" s="50"/>
      <c r="B74" t="s">
        <v>3</v>
      </c>
      <c r="C74" s="17">
        <v>72.7</v>
      </c>
    </row>
    <row r="75" spans="1:3">
      <c r="A75" s="50"/>
      <c r="B75" t="s">
        <v>2</v>
      </c>
      <c r="C75" s="17">
        <v>74</v>
      </c>
    </row>
    <row r="76" spans="1:3">
      <c r="A76" s="50"/>
      <c r="B76" t="s">
        <v>1</v>
      </c>
      <c r="C76" s="17">
        <v>73.099999999999994</v>
      </c>
    </row>
    <row r="77" spans="1:3">
      <c r="A77" s="50">
        <v>2014</v>
      </c>
      <c r="B77" t="s">
        <v>0</v>
      </c>
      <c r="C77" s="17">
        <v>70.099999999999994</v>
      </c>
    </row>
    <row r="78" spans="1:3">
      <c r="A78" s="50"/>
      <c r="B78" t="s">
        <v>11</v>
      </c>
      <c r="C78" s="17">
        <v>70.8</v>
      </c>
    </row>
    <row r="79" spans="1:3">
      <c r="A79" s="50"/>
      <c r="B79" t="s">
        <v>10</v>
      </c>
      <c r="C79" s="17">
        <v>70.099999999999994</v>
      </c>
    </row>
    <row r="80" spans="1:3">
      <c r="A80" s="50"/>
      <c r="B80" t="s">
        <v>9</v>
      </c>
      <c r="C80" s="17">
        <v>69.2</v>
      </c>
    </row>
    <row r="81" spans="1:4">
      <c r="A81" s="50"/>
      <c r="B81" t="s">
        <v>8</v>
      </c>
      <c r="C81" s="17">
        <v>70.599999999999994</v>
      </c>
    </row>
    <row r="82" spans="1:4">
      <c r="A82" s="50"/>
      <c r="B82" t="s">
        <v>7</v>
      </c>
      <c r="C82" s="17">
        <v>70.8</v>
      </c>
    </row>
    <row r="83" spans="1:4">
      <c r="A83" s="50"/>
      <c r="B83" t="s">
        <v>6</v>
      </c>
      <c r="C83" s="17">
        <v>71.099999999999994</v>
      </c>
    </row>
    <row r="84" spans="1:4">
      <c r="A84" s="50"/>
      <c r="B84" t="s">
        <v>5</v>
      </c>
      <c r="C84" s="17">
        <v>71.3</v>
      </c>
    </row>
    <row r="85" spans="1:4">
      <c r="A85" s="50"/>
      <c r="B85" t="s">
        <v>4</v>
      </c>
      <c r="C85" s="17">
        <v>72.900000000000006</v>
      </c>
    </row>
    <row r="86" spans="1:4">
      <c r="A86" s="50"/>
      <c r="B86" t="s">
        <v>3</v>
      </c>
      <c r="C86" s="17">
        <v>72.599999999999994</v>
      </c>
    </row>
    <row r="87" spans="1:4">
      <c r="A87" s="50"/>
      <c r="B87" t="s">
        <v>2</v>
      </c>
      <c r="C87" s="17">
        <v>74.599999999999994</v>
      </c>
    </row>
    <row r="88" spans="1:4">
      <c r="A88" s="50"/>
      <c r="B88" t="s">
        <v>1</v>
      </c>
      <c r="C88" s="17">
        <v>75.2</v>
      </c>
    </row>
    <row r="89" spans="1:4">
      <c r="A89" s="50">
        <v>2015</v>
      </c>
      <c r="B89" t="s">
        <v>0</v>
      </c>
      <c r="C89" s="17">
        <v>74.8</v>
      </c>
      <c r="D89" s="17">
        <v>74.8</v>
      </c>
    </row>
    <row r="90" spans="1:4">
      <c r="A90" s="50"/>
      <c r="B90" t="s">
        <v>11</v>
      </c>
      <c r="C90" s="17">
        <v>76</v>
      </c>
      <c r="D90" s="17">
        <v>76</v>
      </c>
    </row>
    <row r="91" spans="1:4">
      <c r="A91" s="50"/>
      <c r="B91" t="s">
        <v>10</v>
      </c>
      <c r="C91" s="17">
        <v>76.400000000000006</v>
      </c>
      <c r="D91" s="17">
        <v>76.400000000000006</v>
      </c>
    </row>
    <row r="92" spans="1:4">
      <c r="A92" s="50"/>
      <c r="B92" t="s">
        <v>9</v>
      </c>
      <c r="C92" s="17">
        <v>77.900000000000006</v>
      </c>
      <c r="D92" s="17">
        <v>78.099999999999994</v>
      </c>
    </row>
    <row r="93" spans="1:4">
      <c r="A93" s="50"/>
      <c r="B93" t="s">
        <v>8</v>
      </c>
      <c r="C93" s="17">
        <v>78.3</v>
      </c>
      <c r="D93" s="17">
        <v>78.8</v>
      </c>
    </row>
    <row r="94" spans="1:4">
      <c r="A94" s="50"/>
      <c r="B94" t="s">
        <v>7</v>
      </c>
      <c r="C94" s="17">
        <v>79.900000000000006</v>
      </c>
      <c r="D94" s="17">
        <v>80.599999999999994</v>
      </c>
    </row>
    <row r="95" spans="1:4">
      <c r="A95" s="50"/>
      <c r="B95" t="s">
        <v>6</v>
      </c>
      <c r="C95" s="38">
        <v>80.8</v>
      </c>
      <c r="D95" s="48">
        <v>81.8</v>
      </c>
    </row>
    <row r="96" spans="1:4">
      <c r="A96" s="50"/>
      <c r="B96" t="s">
        <v>5</v>
      </c>
      <c r="C96" s="38">
        <v>80.900000000000006</v>
      </c>
      <c r="D96" s="48">
        <v>82.1</v>
      </c>
    </row>
    <row r="97" spans="1:4">
      <c r="A97" s="50"/>
      <c r="B97" t="s">
        <v>4</v>
      </c>
      <c r="C97" s="17">
        <v>80.8</v>
      </c>
      <c r="D97" s="17">
        <v>82.3</v>
      </c>
    </row>
    <row r="98" spans="1:4">
      <c r="A98" s="50"/>
      <c r="B98" t="s">
        <v>3</v>
      </c>
      <c r="C98" s="38">
        <v>79.8</v>
      </c>
      <c r="D98" s="48">
        <v>81.5</v>
      </c>
    </row>
    <row r="99" spans="1:4">
      <c r="A99" s="50"/>
      <c r="B99" t="s">
        <v>2</v>
      </c>
      <c r="C99" s="38">
        <v>80</v>
      </c>
      <c r="D99" s="48">
        <v>81.900000000000006</v>
      </c>
    </row>
    <row r="100" spans="1:4">
      <c r="A100" s="50"/>
      <c r="B100" t="s">
        <v>1</v>
      </c>
      <c r="C100" s="38">
        <v>80.5</v>
      </c>
      <c r="D100" s="48">
        <v>82.7</v>
      </c>
    </row>
    <row r="101" spans="1:4">
      <c r="A101" s="50">
        <v>2016</v>
      </c>
      <c r="B101" s="38" t="s">
        <v>0</v>
      </c>
      <c r="C101" s="38">
        <v>80</v>
      </c>
      <c r="D101" s="48">
        <v>82.4</v>
      </c>
    </row>
    <row r="102" spans="1:4">
      <c r="A102" s="50"/>
      <c r="B102" s="38" t="s">
        <v>11</v>
      </c>
      <c r="C102" s="38">
        <v>79.2</v>
      </c>
      <c r="D102" s="48">
        <v>81.900000000000006</v>
      </c>
    </row>
    <row r="103" spans="1:4">
      <c r="A103" s="50"/>
      <c r="B103" s="38" t="s">
        <v>10</v>
      </c>
      <c r="C103" s="40">
        <v>79.099999999999994</v>
      </c>
      <c r="D103" s="48">
        <v>82</v>
      </c>
    </row>
    <row r="104" spans="1:4">
      <c r="A104" s="50"/>
      <c r="B104" s="38" t="s">
        <v>9</v>
      </c>
      <c r="C104" s="40">
        <v>80.5</v>
      </c>
      <c r="D104" s="48">
        <v>83.2</v>
      </c>
    </row>
    <row r="105" spans="1:4">
      <c r="A105" s="50"/>
      <c r="B105" s="38" t="s">
        <v>8</v>
      </c>
      <c r="C105" s="44">
        <v>81.3</v>
      </c>
      <c r="D105" s="48">
        <v>84.1</v>
      </c>
    </row>
    <row r="106" spans="1:4">
      <c r="A106" s="50"/>
      <c r="B106" s="38" t="s">
        <v>7</v>
      </c>
      <c r="C106" s="45">
        <v>84.4</v>
      </c>
      <c r="D106" s="48">
        <v>87.3</v>
      </c>
    </row>
    <row r="107" spans="1:4">
      <c r="A107" s="50"/>
      <c r="B107" s="38" t="s">
        <v>6</v>
      </c>
      <c r="C107" s="45">
        <v>86.9</v>
      </c>
      <c r="D107" s="48">
        <v>89.8</v>
      </c>
    </row>
    <row r="108" spans="1:4">
      <c r="A108" s="50"/>
      <c r="B108" s="38" t="s">
        <v>5</v>
      </c>
      <c r="C108" s="45">
        <v>87.7</v>
      </c>
      <c r="D108" s="48">
        <v>90.7</v>
      </c>
    </row>
    <row r="109" spans="1:4">
      <c r="A109" s="50"/>
      <c r="B109" s="38" t="s">
        <v>4</v>
      </c>
      <c r="C109" s="46">
        <v>87.3</v>
      </c>
      <c r="D109" s="48">
        <v>90.2</v>
      </c>
    </row>
    <row r="110" spans="1:4">
      <c r="A110" s="50"/>
      <c r="B110" s="38" t="s">
        <v>3</v>
      </c>
      <c r="C110" s="46">
        <v>88.5</v>
      </c>
      <c r="D110" s="48">
        <v>91.3</v>
      </c>
    </row>
    <row r="111" spans="1:4">
      <c r="A111" s="50"/>
      <c r="B111" s="38" t="s">
        <v>2</v>
      </c>
      <c r="C111" s="46">
        <v>89.5</v>
      </c>
      <c r="D111" s="48">
        <v>92.4</v>
      </c>
    </row>
    <row r="112" spans="1:4">
      <c r="A112" s="50"/>
      <c r="B112" s="38" t="s">
        <v>1</v>
      </c>
      <c r="D112" s="48">
        <v>93.8</v>
      </c>
    </row>
  </sheetData>
  <mergeCells count="17">
    <mergeCell ref="A41:A52"/>
    <mergeCell ref="B6:F6"/>
    <mergeCell ref="A1:F1"/>
    <mergeCell ref="A2:F2"/>
    <mergeCell ref="A3:F3"/>
    <mergeCell ref="B4:F4"/>
    <mergeCell ref="A5:F5"/>
    <mergeCell ref="B7:F7"/>
    <mergeCell ref="B8:F8"/>
    <mergeCell ref="B9:F9"/>
    <mergeCell ref="B10:F10"/>
    <mergeCell ref="A29:A40"/>
    <mergeCell ref="A101:A112"/>
    <mergeCell ref="A53:A64"/>
    <mergeCell ref="A65:A76"/>
    <mergeCell ref="A77:A88"/>
    <mergeCell ref="A89:A10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2"/>
  <sheetViews>
    <sheetView workbookViewId="0">
      <selection activeCell="B7" sqref="B7:F7"/>
    </sheetView>
  </sheetViews>
  <sheetFormatPr defaultRowHeight="15"/>
  <sheetData>
    <row r="1" spans="1:13" ht="15.75">
      <c r="A1" s="56" t="s">
        <v>20</v>
      </c>
      <c r="B1" s="57"/>
      <c r="C1" s="57"/>
      <c r="D1" s="57"/>
      <c r="E1" s="57"/>
      <c r="F1" s="57"/>
      <c r="G1" s="18"/>
      <c r="H1" s="18"/>
      <c r="I1" s="18"/>
      <c r="J1" s="18"/>
      <c r="K1" s="18"/>
      <c r="L1" s="18"/>
      <c r="M1" s="18"/>
    </row>
    <row r="2" spans="1:13" ht="15.75">
      <c r="A2" s="56" t="s">
        <v>21</v>
      </c>
      <c r="B2" s="57"/>
      <c r="C2" s="57"/>
      <c r="D2" s="57"/>
      <c r="E2" s="57"/>
      <c r="F2" s="57"/>
      <c r="G2" s="18"/>
      <c r="H2" s="18"/>
      <c r="I2" s="18"/>
      <c r="J2" s="18"/>
      <c r="K2" s="18"/>
      <c r="L2" s="18"/>
      <c r="M2" s="18"/>
    </row>
    <row r="3" spans="1:13">
      <c r="A3" s="57"/>
      <c r="B3" s="57"/>
      <c r="C3" s="57"/>
      <c r="D3" s="57"/>
      <c r="E3" s="57"/>
      <c r="F3" s="57"/>
      <c r="G3" s="18"/>
      <c r="H3" s="18"/>
      <c r="I3" s="18"/>
      <c r="J3" s="18"/>
      <c r="K3" s="18"/>
      <c r="L3" s="18"/>
      <c r="M3" s="18"/>
    </row>
    <row r="4" spans="1:13" ht="25.5">
      <c r="A4" s="22" t="s">
        <v>22</v>
      </c>
      <c r="B4" s="58" t="s">
        <v>36</v>
      </c>
      <c r="C4" s="57"/>
      <c r="D4" s="57"/>
      <c r="E4" s="57"/>
      <c r="F4" s="57"/>
      <c r="G4" s="18"/>
      <c r="H4" s="18"/>
      <c r="I4" s="18"/>
      <c r="J4" s="18"/>
      <c r="K4" s="18"/>
      <c r="L4" s="18"/>
      <c r="M4" s="18"/>
    </row>
    <row r="5" spans="1:13">
      <c r="A5" s="59" t="s">
        <v>24</v>
      </c>
      <c r="B5" s="57"/>
      <c r="C5" s="57"/>
      <c r="D5" s="57"/>
      <c r="E5" s="57"/>
      <c r="F5" s="57"/>
      <c r="G5" s="18"/>
      <c r="H5" s="18"/>
      <c r="I5" s="18"/>
      <c r="J5" s="18"/>
      <c r="K5" s="18"/>
      <c r="L5" s="18"/>
      <c r="M5" s="18"/>
    </row>
    <row r="6" spans="1:13" ht="25.5">
      <c r="A6" s="22" t="s">
        <v>25</v>
      </c>
      <c r="B6" s="60" t="s">
        <v>26</v>
      </c>
      <c r="C6" s="57"/>
      <c r="D6" s="57"/>
      <c r="E6" s="57"/>
      <c r="F6" s="57"/>
      <c r="G6" s="18"/>
      <c r="H6" s="18"/>
      <c r="I6" s="18"/>
      <c r="J6" s="18"/>
      <c r="K6" s="18"/>
      <c r="L6" s="18"/>
      <c r="M6" s="18"/>
    </row>
    <row r="7" spans="1:13">
      <c r="A7" s="22" t="s">
        <v>27</v>
      </c>
      <c r="B7" s="58" t="s">
        <v>37</v>
      </c>
      <c r="C7" s="57"/>
      <c r="D7" s="57"/>
      <c r="E7" s="57"/>
      <c r="F7" s="57"/>
      <c r="G7" s="18"/>
      <c r="H7" s="18"/>
      <c r="I7" s="18"/>
      <c r="J7" s="18"/>
      <c r="K7" s="18"/>
      <c r="L7" s="18"/>
      <c r="M7" s="18"/>
    </row>
    <row r="8" spans="1:13" ht="25.5">
      <c r="A8" s="22" t="s">
        <v>29</v>
      </c>
      <c r="B8" s="60" t="s">
        <v>38</v>
      </c>
      <c r="C8" s="57"/>
      <c r="D8" s="57"/>
      <c r="E8" s="57"/>
      <c r="F8" s="57"/>
      <c r="G8" s="18"/>
      <c r="H8" s="18"/>
      <c r="I8" s="18"/>
      <c r="J8" s="18"/>
      <c r="K8" s="18"/>
      <c r="L8" s="18"/>
      <c r="M8" s="18"/>
    </row>
    <row r="9" spans="1:13" ht="25.5">
      <c r="A9" s="22" t="s">
        <v>31</v>
      </c>
      <c r="B9" s="60" t="s">
        <v>32</v>
      </c>
      <c r="C9" s="57"/>
      <c r="D9" s="57"/>
      <c r="E9" s="57"/>
      <c r="F9" s="57"/>
      <c r="G9" s="18"/>
      <c r="H9" s="18"/>
      <c r="I9" s="18"/>
      <c r="J9" s="18"/>
      <c r="K9" s="18"/>
      <c r="L9" s="18"/>
      <c r="M9" s="18"/>
    </row>
    <row r="10" spans="1:13">
      <c r="A10" s="22" t="s">
        <v>33</v>
      </c>
      <c r="B10" s="61" t="s">
        <v>34</v>
      </c>
      <c r="C10" s="57"/>
      <c r="D10" s="57"/>
      <c r="E10" s="57"/>
      <c r="F10" s="57"/>
      <c r="G10" s="18"/>
      <c r="H10" s="18"/>
      <c r="I10" s="18"/>
      <c r="J10" s="18"/>
      <c r="K10" s="18"/>
      <c r="L10" s="18"/>
      <c r="M10" s="18"/>
    </row>
    <row r="12" spans="1:13" ht="15.75" thickBot="1">
      <c r="A12" s="19" t="s">
        <v>35</v>
      </c>
      <c r="B12" s="19" t="s">
        <v>0</v>
      </c>
      <c r="C12" s="19" t="s">
        <v>11</v>
      </c>
      <c r="D12" s="19" t="s">
        <v>10</v>
      </c>
      <c r="E12" s="19" t="s">
        <v>9</v>
      </c>
      <c r="F12" s="19" t="s">
        <v>8</v>
      </c>
      <c r="G12" s="19" t="s">
        <v>7</v>
      </c>
      <c r="H12" s="19" t="s">
        <v>6</v>
      </c>
      <c r="I12" s="19" t="s">
        <v>5</v>
      </c>
      <c r="J12" s="19" t="s">
        <v>4</v>
      </c>
      <c r="K12" s="19" t="s">
        <v>3</v>
      </c>
      <c r="L12" s="19" t="s">
        <v>2</v>
      </c>
      <c r="M12" s="19" t="s">
        <v>1</v>
      </c>
    </row>
    <row r="13" spans="1:13" ht="15.75" thickTop="1">
      <c r="A13" s="20">
        <v>2005</v>
      </c>
      <c r="B13" s="21">
        <v>340.7</v>
      </c>
      <c r="C13" s="21">
        <v>343.5</v>
      </c>
      <c r="D13" s="21">
        <v>343.7</v>
      </c>
      <c r="E13" s="21">
        <v>342.6</v>
      </c>
      <c r="F13" s="21">
        <v>340.7</v>
      </c>
      <c r="G13" s="21">
        <v>347.4</v>
      </c>
      <c r="H13" s="21">
        <v>352.4</v>
      </c>
      <c r="I13" s="21">
        <v>352.7</v>
      </c>
      <c r="J13" s="21">
        <v>353.9</v>
      </c>
      <c r="K13" s="21">
        <v>358.5</v>
      </c>
      <c r="L13" s="21">
        <v>357.5</v>
      </c>
      <c r="M13" s="21">
        <v>354</v>
      </c>
    </row>
    <row r="14" spans="1:13">
      <c r="A14" s="20">
        <v>2006</v>
      </c>
      <c r="B14" s="21">
        <v>352</v>
      </c>
      <c r="C14" s="21">
        <v>357.5</v>
      </c>
      <c r="D14" s="21">
        <v>356.9</v>
      </c>
      <c r="E14" s="21">
        <v>351.9</v>
      </c>
      <c r="F14" s="21">
        <v>350.4</v>
      </c>
      <c r="G14" s="21">
        <v>351.9</v>
      </c>
      <c r="H14" s="21">
        <v>349.7</v>
      </c>
      <c r="I14" s="21">
        <v>350.5</v>
      </c>
      <c r="J14" s="21">
        <v>352.7</v>
      </c>
      <c r="K14" s="21">
        <v>351.5</v>
      </c>
      <c r="L14" s="21">
        <v>348.7</v>
      </c>
      <c r="M14" s="21">
        <v>342.5</v>
      </c>
    </row>
    <row r="15" spans="1:13">
      <c r="A15" s="20">
        <v>2007</v>
      </c>
      <c r="B15" s="21">
        <v>339.9</v>
      </c>
      <c r="C15" s="21">
        <v>337.8</v>
      </c>
      <c r="D15" s="21">
        <v>328.9</v>
      </c>
      <c r="E15" s="21">
        <v>315.89999999999998</v>
      </c>
      <c r="F15" s="21">
        <v>313.8</v>
      </c>
      <c r="G15" s="21">
        <v>307</v>
      </c>
      <c r="H15" s="21">
        <v>302.10000000000002</v>
      </c>
      <c r="I15" s="21">
        <v>274</v>
      </c>
      <c r="J15" s="21">
        <v>250.9</v>
      </c>
      <c r="K15" s="21">
        <v>249</v>
      </c>
      <c r="L15" s="21">
        <v>246.1</v>
      </c>
      <c r="M15" s="21">
        <v>241.3</v>
      </c>
    </row>
    <row r="16" spans="1:13">
      <c r="A16" s="20">
        <v>2008</v>
      </c>
      <c r="B16" s="21">
        <v>239.9</v>
      </c>
      <c r="C16" s="21">
        <v>237.6</v>
      </c>
      <c r="D16" s="21">
        <v>233.7</v>
      </c>
      <c r="E16" s="21">
        <v>229</v>
      </c>
      <c r="F16" s="21">
        <v>230.2</v>
      </c>
      <c r="G16" s="21">
        <v>230.3</v>
      </c>
      <c r="H16" s="21">
        <v>227.1</v>
      </c>
      <c r="I16" s="21">
        <v>220.9</v>
      </c>
      <c r="J16" s="21">
        <v>223</v>
      </c>
      <c r="K16" s="21">
        <v>216.5</v>
      </c>
      <c r="L16" s="21">
        <v>212.3</v>
      </c>
      <c r="M16" s="21">
        <v>208.8</v>
      </c>
    </row>
    <row r="17" spans="1:13">
      <c r="A17" s="20">
        <v>2009</v>
      </c>
      <c r="B17" s="21">
        <v>202.4</v>
      </c>
      <c r="C17" s="21">
        <v>202.2</v>
      </c>
      <c r="D17" s="21">
        <v>202.7</v>
      </c>
      <c r="E17" s="21">
        <v>197.4</v>
      </c>
      <c r="F17" s="21">
        <v>200.6</v>
      </c>
      <c r="G17" s="21">
        <v>200</v>
      </c>
      <c r="H17" s="21">
        <v>203.1</v>
      </c>
      <c r="I17" s="21">
        <v>200.2</v>
      </c>
      <c r="J17" s="21">
        <v>198.7</v>
      </c>
      <c r="K17" s="21">
        <v>196.5</v>
      </c>
      <c r="L17" s="21">
        <v>198.6</v>
      </c>
      <c r="M17" s="21">
        <v>197.7</v>
      </c>
    </row>
    <row r="18" spans="1:13">
      <c r="A18" s="20">
        <v>2010</v>
      </c>
      <c r="B18" s="21">
        <v>197.8</v>
      </c>
      <c r="C18" s="21">
        <v>202.5</v>
      </c>
      <c r="D18" s="21">
        <v>203.4</v>
      </c>
      <c r="E18" s="21">
        <v>202.2</v>
      </c>
      <c r="F18" s="21">
        <v>201.6</v>
      </c>
      <c r="G18" s="21">
        <v>202.8</v>
      </c>
      <c r="H18" s="21">
        <v>208.6</v>
      </c>
      <c r="I18" s="21">
        <v>209.1</v>
      </c>
      <c r="J18" s="21">
        <v>210</v>
      </c>
      <c r="K18" s="21">
        <v>211.9</v>
      </c>
      <c r="L18" s="21">
        <v>213</v>
      </c>
      <c r="M18" s="21">
        <v>215</v>
      </c>
    </row>
    <row r="19" spans="1:13">
      <c r="A19" s="20">
        <v>2011</v>
      </c>
      <c r="B19" s="21">
        <v>211.2</v>
      </c>
      <c r="C19" s="21">
        <v>211.9</v>
      </c>
      <c r="D19" s="21">
        <v>213.1</v>
      </c>
      <c r="E19" s="21">
        <v>208.5</v>
      </c>
      <c r="F19" s="21">
        <v>212.3</v>
      </c>
      <c r="G19" s="21">
        <v>210.3</v>
      </c>
      <c r="H19" s="21">
        <v>206.8</v>
      </c>
      <c r="I19" s="21">
        <v>204.1</v>
      </c>
      <c r="J19" s="21">
        <v>202.7</v>
      </c>
      <c r="K19" s="21">
        <v>201</v>
      </c>
      <c r="L19" s="21">
        <v>202</v>
      </c>
      <c r="M19" s="21">
        <v>200.4</v>
      </c>
    </row>
    <row r="20" spans="1:13">
      <c r="A20" s="20">
        <v>2012</v>
      </c>
      <c r="B20" s="21">
        <v>198.3</v>
      </c>
      <c r="C20" s="21">
        <v>199.3</v>
      </c>
      <c r="D20" s="21">
        <v>200.4</v>
      </c>
      <c r="E20" s="21">
        <v>198.9</v>
      </c>
      <c r="F20" s="21">
        <v>200.4</v>
      </c>
      <c r="G20" s="21">
        <v>205.8</v>
      </c>
      <c r="H20" s="21">
        <v>207.6</v>
      </c>
      <c r="I20" s="21">
        <v>211.3</v>
      </c>
      <c r="J20" s="21">
        <v>215.2</v>
      </c>
      <c r="K20" s="21">
        <v>215.5</v>
      </c>
      <c r="L20" s="21">
        <v>219</v>
      </c>
      <c r="M20" s="21">
        <v>222.3</v>
      </c>
    </row>
    <row r="21" spans="1:13">
      <c r="A21" s="20">
        <v>2013</v>
      </c>
      <c r="B21" s="21">
        <v>221</v>
      </c>
      <c r="C21" s="21">
        <v>223.1</v>
      </c>
      <c r="D21" s="21">
        <v>226.2</v>
      </c>
      <c r="E21" s="21">
        <v>226.4</v>
      </c>
      <c r="F21" s="21">
        <v>226.9</v>
      </c>
      <c r="G21" s="21">
        <v>228.8</v>
      </c>
      <c r="H21" s="21">
        <v>227.4</v>
      </c>
      <c r="I21" s="21">
        <v>224.6</v>
      </c>
      <c r="J21" s="21">
        <v>221.4</v>
      </c>
      <c r="K21" s="21">
        <v>219.5</v>
      </c>
      <c r="L21" s="21">
        <v>216.3</v>
      </c>
      <c r="M21" s="21">
        <v>214.3</v>
      </c>
    </row>
    <row r="22" spans="1:13">
      <c r="A22" s="20">
        <v>2014</v>
      </c>
      <c r="B22" s="21">
        <v>209.7</v>
      </c>
      <c r="C22" s="21">
        <v>207.2</v>
      </c>
      <c r="D22" s="21">
        <v>203</v>
      </c>
      <c r="E22" s="21">
        <v>204.3</v>
      </c>
      <c r="F22" s="21">
        <v>203.9</v>
      </c>
      <c r="G22" s="21">
        <v>206.7</v>
      </c>
      <c r="H22" s="21">
        <v>209.8</v>
      </c>
      <c r="I22" s="21">
        <v>209.5</v>
      </c>
      <c r="J22" s="21">
        <v>210.7</v>
      </c>
      <c r="K22" s="21">
        <v>211.4</v>
      </c>
      <c r="L22" s="21">
        <v>213.2</v>
      </c>
      <c r="M22" s="21">
        <v>212.9</v>
      </c>
    </row>
    <row r="23" spans="1:13">
      <c r="A23" s="20">
        <v>2015</v>
      </c>
      <c r="B23" s="21">
        <v>208</v>
      </c>
      <c r="C23" s="21">
        <v>207.8</v>
      </c>
      <c r="D23" s="21">
        <v>209.4</v>
      </c>
      <c r="E23" s="34">
        <v>210</v>
      </c>
      <c r="F23" s="21">
        <v>213</v>
      </c>
      <c r="G23" s="21">
        <v>215.4</v>
      </c>
      <c r="H23" s="39">
        <v>218.1</v>
      </c>
      <c r="I23" s="39">
        <v>219.3</v>
      </c>
      <c r="J23" s="39">
        <v>221</v>
      </c>
      <c r="K23" s="39">
        <v>221.6</v>
      </c>
      <c r="L23" s="39">
        <v>221.3</v>
      </c>
      <c r="M23" s="39">
        <v>220.5</v>
      </c>
    </row>
    <row r="24" spans="1:13">
      <c r="A24" s="41">
        <v>2016</v>
      </c>
      <c r="B24" s="38">
        <v>219</v>
      </c>
      <c r="C24" s="40">
        <v>217.7</v>
      </c>
      <c r="D24" s="40">
        <v>219.4</v>
      </c>
      <c r="E24" s="44">
        <v>220.5</v>
      </c>
      <c r="F24" s="44">
        <v>219.8</v>
      </c>
      <c r="G24" s="45">
        <v>222.4</v>
      </c>
      <c r="H24" s="45">
        <v>225</v>
      </c>
      <c r="I24" s="45">
        <v>225.1</v>
      </c>
      <c r="J24" s="46">
        <v>227.9</v>
      </c>
      <c r="K24" s="46">
        <v>229.6</v>
      </c>
      <c r="L24" s="46">
        <v>232.6</v>
      </c>
    </row>
    <row r="29" spans="1:13">
      <c r="A29" s="50">
        <v>2010</v>
      </c>
      <c r="B29" t="s">
        <v>0</v>
      </c>
      <c r="C29" s="21">
        <v>197.8</v>
      </c>
    </row>
    <row r="30" spans="1:13">
      <c r="A30" s="50"/>
      <c r="B30" t="s">
        <v>11</v>
      </c>
      <c r="C30" s="21">
        <v>202.5</v>
      </c>
    </row>
    <row r="31" spans="1:13">
      <c r="A31" s="50"/>
      <c r="B31" t="s">
        <v>10</v>
      </c>
      <c r="C31" s="21">
        <v>203.4</v>
      </c>
    </row>
    <row r="32" spans="1:13">
      <c r="A32" s="50"/>
      <c r="B32" t="s">
        <v>9</v>
      </c>
      <c r="C32" s="21">
        <v>202.2</v>
      </c>
    </row>
    <row r="33" spans="1:3">
      <c r="A33" s="50"/>
      <c r="B33" t="s">
        <v>8</v>
      </c>
      <c r="C33" s="21">
        <v>201.6</v>
      </c>
    </row>
    <row r="34" spans="1:3">
      <c r="A34" s="50"/>
      <c r="B34" t="s">
        <v>7</v>
      </c>
      <c r="C34" s="21">
        <v>202.8</v>
      </c>
    </row>
    <row r="35" spans="1:3">
      <c r="A35" s="50"/>
      <c r="B35" t="s">
        <v>6</v>
      </c>
      <c r="C35" s="21">
        <v>208.6</v>
      </c>
    </row>
    <row r="36" spans="1:3">
      <c r="A36" s="50"/>
      <c r="B36" t="s">
        <v>5</v>
      </c>
      <c r="C36" s="21">
        <v>209.1</v>
      </c>
    </row>
    <row r="37" spans="1:3">
      <c r="A37" s="50"/>
      <c r="B37" t="s">
        <v>4</v>
      </c>
      <c r="C37" s="21">
        <v>210</v>
      </c>
    </row>
    <row r="38" spans="1:3">
      <c r="A38" s="50"/>
      <c r="B38" t="s">
        <v>3</v>
      </c>
      <c r="C38" s="21">
        <v>211.9</v>
      </c>
    </row>
    <row r="39" spans="1:3">
      <c r="A39" s="50"/>
      <c r="B39" t="s">
        <v>2</v>
      </c>
      <c r="C39" s="21">
        <v>213</v>
      </c>
    </row>
    <row r="40" spans="1:3">
      <c r="A40" s="50"/>
      <c r="B40" t="s">
        <v>1</v>
      </c>
      <c r="C40" s="21">
        <v>215</v>
      </c>
    </row>
    <row r="41" spans="1:3">
      <c r="A41" s="50">
        <v>2011</v>
      </c>
      <c r="B41" t="s">
        <v>0</v>
      </c>
      <c r="C41" s="21">
        <v>211.2</v>
      </c>
    </row>
    <row r="42" spans="1:3">
      <c r="A42" s="50"/>
      <c r="B42" t="s">
        <v>11</v>
      </c>
      <c r="C42" s="21">
        <v>211.9</v>
      </c>
    </row>
    <row r="43" spans="1:3">
      <c r="A43" s="50"/>
      <c r="B43" t="s">
        <v>10</v>
      </c>
      <c r="C43" s="21">
        <v>213.1</v>
      </c>
    </row>
    <row r="44" spans="1:3">
      <c r="A44" s="50"/>
      <c r="B44" t="s">
        <v>9</v>
      </c>
      <c r="C44" s="21">
        <v>208.5</v>
      </c>
    </row>
    <row r="45" spans="1:3">
      <c r="A45" s="50"/>
      <c r="B45" t="s">
        <v>8</v>
      </c>
      <c r="C45" s="21">
        <v>212.3</v>
      </c>
    </row>
    <row r="46" spans="1:3">
      <c r="A46" s="50"/>
      <c r="B46" t="s">
        <v>7</v>
      </c>
      <c r="C46" s="21">
        <v>210.3</v>
      </c>
    </row>
    <row r="47" spans="1:3">
      <c r="A47" s="50"/>
      <c r="B47" t="s">
        <v>6</v>
      </c>
      <c r="C47" s="21">
        <v>206.8</v>
      </c>
    </row>
    <row r="48" spans="1:3">
      <c r="A48" s="50"/>
      <c r="B48" t="s">
        <v>5</v>
      </c>
      <c r="C48" s="21">
        <v>204.1</v>
      </c>
    </row>
    <row r="49" spans="1:3">
      <c r="A49" s="50"/>
      <c r="B49" t="s">
        <v>4</v>
      </c>
      <c r="C49" s="21">
        <v>202.7</v>
      </c>
    </row>
    <row r="50" spans="1:3">
      <c r="A50" s="50"/>
      <c r="B50" t="s">
        <v>3</v>
      </c>
      <c r="C50" s="21">
        <v>201</v>
      </c>
    </row>
    <row r="51" spans="1:3">
      <c r="A51" s="50"/>
      <c r="B51" t="s">
        <v>2</v>
      </c>
      <c r="C51" s="21">
        <v>202</v>
      </c>
    </row>
    <row r="52" spans="1:3">
      <c r="A52" s="50"/>
      <c r="B52" t="s">
        <v>1</v>
      </c>
      <c r="C52" s="21">
        <v>200.4</v>
      </c>
    </row>
    <row r="53" spans="1:3">
      <c r="A53" s="50">
        <v>2012</v>
      </c>
      <c r="B53" t="s">
        <v>0</v>
      </c>
      <c r="C53" s="21">
        <v>198.3</v>
      </c>
    </row>
    <row r="54" spans="1:3">
      <c r="A54" s="50"/>
      <c r="B54" t="s">
        <v>11</v>
      </c>
      <c r="C54" s="21">
        <v>199.3</v>
      </c>
    </row>
    <row r="55" spans="1:3">
      <c r="A55" s="50"/>
      <c r="B55" t="s">
        <v>10</v>
      </c>
      <c r="C55" s="21">
        <v>200.4</v>
      </c>
    </row>
    <row r="56" spans="1:3">
      <c r="A56" s="50"/>
      <c r="B56" t="s">
        <v>9</v>
      </c>
      <c r="C56" s="21">
        <v>198.9</v>
      </c>
    </row>
    <row r="57" spans="1:3">
      <c r="A57" s="50"/>
      <c r="B57" t="s">
        <v>8</v>
      </c>
      <c r="C57" s="21">
        <v>200.4</v>
      </c>
    </row>
    <row r="58" spans="1:3">
      <c r="A58" s="50"/>
      <c r="B58" t="s">
        <v>7</v>
      </c>
      <c r="C58" s="21">
        <v>205.8</v>
      </c>
    </row>
    <row r="59" spans="1:3">
      <c r="A59" s="50"/>
      <c r="B59" t="s">
        <v>6</v>
      </c>
      <c r="C59" s="21">
        <v>207.6</v>
      </c>
    </row>
    <row r="60" spans="1:3">
      <c r="A60" s="50"/>
      <c r="B60" t="s">
        <v>5</v>
      </c>
      <c r="C60" s="21">
        <v>211.3</v>
      </c>
    </row>
    <row r="61" spans="1:3">
      <c r="A61" s="50"/>
      <c r="B61" t="s">
        <v>4</v>
      </c>
      <c r="C61" s="21">
        <v>215.2</v>
      </c>
    </row>
    <row r="62" spans="1:3">
      <c r="A62" s="50"/>
      <c r="B62" t="s">
        <v>3</v>
      </c>
      <c r="C62" s="21">
        <v>215.5</v>
      </c>
    </row>
    <row r="63" spans="1:3">
      <c r="A63" s="50"/>
      <c r="B63" t="s">
        <v>2</v>
      </c>
      <c r="C63" s="21">
        <v>219</v>
      </c>
    </row>
    <row r="64" spans="1:3">
      <c r="A64" s="50"/>
      <c r="B64" t="s">
        <v>1</v>
      </c>
      <c r="C64" s="21">
        <v>222.3</v>
      </c>
    </row>
    <row r="65" spans="1:3">
      <c r="A65" s="50">
        <v>2013</v>
      </c>
      <c r="B65" t="s">
        <v>0</v>
      </c>
      <c r="C65" s="21">
        <v>221</v>
      </c>
    </row>
    <row r="66" spans="1:3">
      <c r="A66" s="50"/>
      <c r="B66" t="s">
        <v>11</v>
      </c>
      <c r="C66" s="21">
        <v>223.1</v>
      </c>
    </row>
    <row r="67" spans="1:3">
      <c r="A67" s="50"/>
      <c r="B67" t="s">
        <v>10</v>
      </c>
      <c r="C67" s="21">
        <v>226.2</v>
      </c>
    </row>
    <row r="68" spans="1:3">
      <c r="A68" s="50"/>
      <c r="B68" t="s">
        <v>9</v>
      </c>
      <c r="C68" s="21">
        <v>226.4</v>
      </c>
    </row>
    <row r="69" spans="1:3">
      <c r="A69" s="50"/>
      <c r="B69" t="s">
        <v>8</v>
      </c>
      <c r="C69" s="21">
        <v>226.9</v>
      </c>
    </row>
    <row r="70" spans="1:3">
      <c r="A70" s="50"/>
      <c r="B70" t="s">
        <v>7</v>
      </c>
      <c r="C70" s="21">
        <v>228.8</v>
      </c>
    </row>
    <row r="71" spans="1:3">
      <c r="A71" s="50"/>
      <c r="B71" t="s">
        <v>6</v>
      </c>
      <c r="C71" s="21">
        <v>227.4</v>
      </c>
    </row>
    <row r="72" spans="1:3">
      <c r="A72" s="50"/>
      <c r="B72" t="s">
        <v>5</v>
      </c>
      <c r="C72" s="21">
        <v>224.6</v>
      </c>
    </row>
    <row r="73" spans="1:3">
      <c r="A73" s="50"/>
      <c r="B73" t="s">
        <v>4</v>
      </c>
      <c r="C73" s="21">
        <v>221.4</v>
      </c>
    </row>
    <row r="74" spans="1:3">
      <c r="A74" s="50"/>
      <c r="B74" t="s">
        <v>3</v>
      </c>
      <c r="C74" s="21">
        <v>219.5</v>
      </c>
    </row>
    <row r="75" spans="1:3">
      <c r="A75" s="50"/>
      <c r="B75" t="s">
        <v>2</v>
      </c>
      <c r="C75" s="21">
        <v>216.3</v>
      </c>
    </row>
    <row r="76" spans="1:3">
      <c r="A76" s="50"/>
      <c r="B76" t="s">
        <v>1</v>
      </c>
      <c r="C76" s="21">
        <v>214.3</v>
      </c>
    </row>
    <row r="77" spans="1:3">
      <c r="A77" s="50">
        <v>2014</v>
      </c>
      <c r="B77" t="s">
        <v>0</v>
      </c>
      <c r="C77" s="21">
        <v>209.7</v>
      </c>
    </row>
    <row r="78" spans="1:3">
      <c r="A78" s="50"/>
      <c r="B78" t="s">
        <v>11</v>
      </c>
      <c r="C78" s="21">
        <v>207.2</v>
      </c>
    </row>
    <row r="79" spans="1:3">
      <c r="A79" s="50"/>
      <c r="B79" t="s">
        <v>10</v>
      </c>
      <c r="C79" s="21">
        <v>203</v>
      </c>
    </row>
    <row r="80" spans="1:3">
      <c r="A80" s="50"/>
      <c r="B80" t="s">
        <v>9</v>
      </c>
      <c r="C80" s="21">
        <v>204.3</v>
      </c>
    </row>
    <row r="81" spans="1:4">
      <c r="A81" s="50"/>
      <c r="B81" t="s">
        <v>8</v>
      </c>
      <c r="C81" s="21">
        <v>203.9</v>
      </c>
    </row>
    <row r="82" spans="1:4">
      <c r="A82" s="50"/>
      <c r="B82" t="s">
        <v>7</v>
      </c>
      <c r="C82" s="21">
        <v>206.7</v>
      </c>
    </row>
    <row r="83" spans="1:4">
      <c r="A83" s="50"/>
      <c r="B83" t="s">
        <v>6</v>
      </c>
      <c r="C83" s="21">
        <v>209.8</v>
      </c>
    </row>
    <row r="84" spans="1:4">
      <c r="A84" s="50"/>
      <c r="B84" t="s">
        <v>5</v>
      </c>
      <c r="C84" s="21">
        <v>209.5</v>
      </c>
    </row>
    <row r="85" spans="1:4">
      <c r="A85" s="50"/>
      <c r="B85" t="s">
        <v>4</v>
      </c>
      <c r="C85" s="21">
        <v>210.7</v>
      </c>
    </row>
    <row r="86" spans="1:4">
      <c r="A86" s="50"/>
      <c r="B86" t="s">
        <v>3</v>
      </c>
      <c r="C86" s="21">
        <v>211.4</v>
      </c>
    </row>
    <row r="87" spans="1:4">
      <c r="A87" s="50"/>
      <c r="B87" t="s">
        <v>2</v>
      </c>
      <c r="C87" s="21">
        <v>213.2</v>
      </c>
    </row>
    <row r="88" spans="1:4">
      <c r="A88" s="50"/>
      <c r="B88" t="s">
        <v>1</v>
      </c>
      <c r="C88" s="21">
        <v>212.9</v>
      </c>
    </row>
    <row r="89" spans="1:4">
      <c r="A89" s="50">
        <v>2015</v>
      </c>
      <c r="B89" t="s">
        <v>0</v>
      </c>
      <c r="C89" s="21">
        <v>208</v>
      </c>
      <c r="D89" s="63">
        <v>208</v>
      </c>
    </row>
    <row r="90" spans="1:4">
      <c r="A90" s="50"/>
      <c r="B90" t="s">
        <v>11</v>
      </c>
      <c r="C90" s="21">
        <v>207.8</v>
      </c>
      <c r="D90" s="63">
        <v>207.8</v>
      </c>
    </row>
    <row r="91" spans="1:4">
      <c r="A91" s="50"/>
      <c r="B91" t="s">
        <v>10</v>
      </c>
      <c r="C91" s="21">
        <v>209.4</v>
      </c>
      <c r="D91" s="63">
        <v>209.4</v>
      </c>
    </row>
    <row r="92" spans="1:4">
      <c r="A92" s="50"/>
      <c r="B92" t="s">
        <v>9</v>
      </c>
      <c r="C92" s="34">
        <v>210</v>
      </c>
      <c r="D92" s="34">
        <v>210.5</v>
      </c>
    </row>
    <row r="93" spans="1:4">
      <c r="A93" s="50"/>
      <c r="B93" t="s">
        <v>8</v>
      </c>
      <c r="C93" s="21">
        <v>213</v>
      </c>
      <c r="D93" s="63">
        <v>214</v>
      </c>
    </row>
    <row r="94" spans="1:4">
      <c r="A94" s="50"/>
      <c r="B94" t="s">
        <v>7</v>
      </c>
      <c r="C94" s="21">
        <v>215.4</v>
      </c>
      <c r="D94" s="63">
        <v>216.9</v>
      </c>
    </row>
    <row r="95" spans="1:4">
      <c r="A95" s="50"/>
      <c r="B95" t="s">
        <v>6</v>
      </c>
      <c r="C95" s="39">
        <v>218.1</v>
      </c>
      <c r="D95" s="49">
        <v>220.1</v>
      </c>
    </row>
    <row r="96" spans="1:4">
      <c r="A96" s="50"/>
      <c r="B96" t="s">
        <v>5</v>
      </c>
      <c r="C96" s="39">
        <v>219.3</v>
      </c>
      <c r="D96" s="49">
        <v>221.8</v>
      </c>
    </row>
    <row r="97" spans="1:4">
      <c r="A97" s="50"/>
      <c r="B97" t="s">
        <v>4</v>
      </c>
      <c r="C97" s="39">
        <v>221</v>
      </c>
      <c r="D97" s="49">
        <v>224.1</v>
      </c>
    </row>
    <row r="98" spans="1:4">
      <c r="A98" s="50"/>
      <c r="B98" t="s">
        <v>3</v>
      </c>
      <c r="C98" s="39">
        <v>221.6</v>
      </c>
      <c r="D98" s="49">
        <v>225.2</v>
      </c>
    </row>
    <row r="99" spans="1:4">
      <c r="A99" s="50"/>
      <c r="B99" t="s">
        <v>2</v>
      </c>
      <c r="C99" s="39">
        <v>221.3</v>
      </c>
      <c r="D99" s="49">
        <v>225.4</v>
      </c>
    </row>
    <row r="100" spans="1:4">
      <c r="A100" s="50"/>
      <c r="B100" t="s">
        <v>1</v>
      </c>
      <c r="C100" s="39">
        <v>220.5</v>
      </c>
      <c r="D100" s="49">
        <v>225.1</v>
      </c>
    </row>
    <row r="101" spans="1:4">
      <c r="A101" s="50">
        <v>2016</v>
      </c>
      <c r="B101" s="38" t="s">
        <v>0</v>
      </c>
      <c r="C101" s="38">
        <v>219</v>
      </c>
      <c r="D101" s="48">
        <v>224.1</v>
      </c>
    </row>
    <row r="102" spans="1:4">
      <c r="A102" s="50"/>
      <c r="B102" s="38" t="s">
        <v>11</v>
      </c>
      <c r="C102" s="40">
        <v>217.7</v>
      </c>
      <c r="D102" s="48">
        <v>223.3</v>
      </c>
    </row>
    <row r="103" spans="1:4">
      <c r="A103" s="50"/>
      <c r="B103" s="38" t="s">
        <v>10</v>
      </c>
      <c r="C103" s="40">
        <v>219.4</v>
      </c>
      <c r="D103" s="48">
        <v>225.5</v>
      </c>
    </row>
    <row r="104" spans="1:4">
      <c r="A104" s="50"/>
      <c r="B104" s="38" t="s">
        <v>9</v>
      </c>
      <c r="C104" s="44">
        <v>220.5</v>
      </c>
      <c r="D104" s="48">
        <v>226.7</v>
      </c>
    </row>
    <row r="105" spans="1:4">
      <c r="A105" s="50"/>
      <c r="B105" s="38" t="s">
        <v>8</v>
      </c>
      <c r="C105" s="44">
        <v>219.8</v>
      </c>
      <c r="D105" s="48">
        <v>226</v>
      </c>
    </row>
    <row r="106" spans="1:4">
      <c r="A106" s="50"/>
      <c r="B106" s="38" t="s">
        <v>7</v>
      </c>
      <c r="C106" s="45">
        <v>222.4</v>
      </c>
      <c r="D106" s="48">
        <v>228.7</v>
      </c>
    </row>
    <row r="107" spans="1:4">
      <c r="A107" s="50"/>
      <c r="B107" s="38" t="s">
        <v>6</v>
      </c>
      <c r="C107" s="45">
        <v>225</v>
      </c>
      <c r="D107" s="48">
        <v>231.3</v>
      </c>
    </row>
    <row r="108" spans="1:4">
      <c r="A108" s="50"/>
      <c r="B108" s="38" t="s">
        <v>5</v>
      </c>
      <c r="C108" s="45">
        <v>225.1</v>
      </c>
      <c r="D108" s="48">
        <v>231.4</v>
      </c>
    </row>
    <row r="109" spans="1:4">
      <c r="A109" s="50"/>
      <c r="B109" s="38" t="s">
        <v>4</v>
      </c>
      <c r="C109" s="46">
        <v>227.9</v>
      </c>
      <c r="D109" s="48">
        <v>234.4</v>
      </c>
    </row>
    <row r="110" spans="1:4">
      <c r="A110" s="50"/>
      <c r="B110" s="38" t="s">
        <v>3</v>
      </c>
      <c r="C110" s="46">
        <v>229.6</v>
      </c>
      <c r="D110" s="48">
        <v>236</v>
      </c>
    </row>
    <row r="111" spans="1:4">
      <c r="A111" s="50"/>
      <c r="B111" s="38" t="s">
        <v>2</v>
      </c>
      <c r="C111" s="46">
        <v>232.6</v>
      </c>
      <c r="D111" s="48">
        <v>238.9</v>
      </c>
    </row>
    <row r="112" spans="1:4">
      <c r="A112" s="50"/>
      <c r="B112" s="38" t="s">
        <v>1</v>
      </c>
      <c r="D112" s="48">
        <v>240.5</v>
      </c>
    </row>
  </sheetData>
  <mergeCells count="17">
    <mergeCell ref="B6:F6"/>
    <mergeCell ref="B7:F7"/>
    <mergeCell ref="B8:F8"/>
    <mergeCell ref="B9:F9"/>
    <mergeCell ref="B10:F10"/>
    <mergeCell ref="A1:F1"/>
    <mergeCell ref="A2:F2"/>
    <mergeCell ref="A3:F3"/>
    <mergeCell ref="B4:F4"/>
    <mergeCell ref="A5:F5"/>
    <mergeCell ref="A101:A112"/>
    <mergeCell ref="A89:A100"/>
    <mergeCell ref="A29:A40"/>
    <mergeCell ref="A41:A52"/>
    <mergeCell ref="A53:A64"/>
    <mergeCell ref="A65:A76"/>
    <mergeCell ref="A77:A88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7"/>
  <sheetViews>
    <sheetView topLeftCell="A82" workbookViewId="0">
      <selection activeCell="L102" sqref="L102"/>
    </sheetView>
  </sheetViews>
  <sheetFormatPr defaultRowHeight="15"/>
  <cols>
    <col min="1" max="2" width="9.140625" style="33"/>
    <col min="3" max="3" width="12" style="33" bestFit="1" customWidth="1"/>
    <col min="4" max="6" width="9.140625" style="33"/>
    <col min="7" max="7" width="9.7109375" style="33" bestFit="1" customWidth="1"/>
    <col min="8" max="10" width="9.140625" style="33"/>
    <col min="13" max="16384" width="9.140625" style="33"/>
  </cols>
  <sheetData>
    <row r="1" spans="7:12">
      <c r="G1" s="29" t="s">
        <v>42</v>
      </c>
      <c r="H1" s="29" t="s">
        <v>43</v>
      </c>
      <c r="K1" s="42" t="s">
        <v>42</v>
      </c>
      <c r="L1" s="42" t="s">
        <v>43</v>
      </c>
    </row>
    <row r="2" spans="7:12">
      <c r="G2" s="30">
        <v>39083</v>
      </c>
      <c r="H2" s="31">
        <v>49068464062.099998</v>
      </c>
      <c r="K2" s="43">
        <v>39083</v>
      </c>
      <c r="L2" s="42">
        <v>49068464062.099998</v>
      </c>
    </row>
    <row r="3" spans="7:12">
      <c r="G3" s="30">
        <v>39114</v>
      </c>
      <c r="H3" s="31">
        <v>46067240921.730003</v>
      </c>
      <c r="K3" s="43">
        <v>39114</v>
      </c>
      <c r="L3" s="42">
        <v>46067240921.730003</v>
      </c>
    </row>
    <row r="4" spans="7:12">
      <c r="G4" s="30">
        <v>39142</v>
      </c>
      <c r="H4" s="31">
        <v>47629783273.940002</v>
      </c>
      <c r="K4" s="43">
        <v>39142</v>
      </c>
      <c r="L4" s="42">
        <v>47629783273.940002</v>
      </c>
    </row>
    <row r="5" spans="7:12">
      <c r="G5" s="30">
        <v>39173</v>
      </c>
      <c r="H5" s="31">
        <v>51130390876.290001</v>
      </c>
      <c r="K5" s="43">
        <v>39173</v>
      </c>
      <c r="L5" s="42">
        <v>51130390876.290001</v>
      </c>
    </row>
    <row r="6" spans="7:12">
      <c r="G6" s="30">
        <v>39203</v>
      </c>
      <c r="H6" s="31">
        <v>58241869995.239998</v>
      </c>
      <c r="K6" s="43">
        <v>39203</v>
      </c>
      <c r="L6" s="42">
        <v>58241869995.239998</v>
      </c>
    </row>
    <row r="7" spans="7:12">
      <c r="G7" s="30">
        <v>39295</v>
      </c>
      <c r="H7" s="31">
        <v>55852222730.150002</v>
      </c>
      <c r="K7" s="43">
        <v>39295</v>
      </c>
      <c r="L7" s="42">
        <v>55852222730.150002</v>
      </c>
    </row>
    <row r="8" spans="7:12">
      <c r="G8" s="30">
        <v>39326</v>
      </c>
      <c r="H8" s="31">
        <v>59519283040.339996</v>
      </c>
      <c r="K8" s="43">
        <v>39326</v>
      </c>
      <c r="L8" s="42">
        <v>59519283040.339996</v>
      </c>
    </row>
    <row r="9" spans="7:12">
      <c r="G9" s="30">
        <v>39356</v>
      </c>
      <c r="H9" s="31">
        <v>53589853815.260002</v>
      </c>
      <c r="K9" s="43">
        <v>39356</v>
      </c>
      <c r="L9" s="42">
        <v>53589853815.260002</v>
      </c>
    </row>
    <row r="10" spans="7:12">
      <c r="G10" s="30">
        <v>39387</v>
      </c>
      <c r="H10" s="31">
        <v>56318004683</v>
      </c>
      <c r="K10" s="43">
        <v>39387</v>
      </c>
      <c r="L10" s="42">
        <v>56318004683</v>
      </c>
    </row>
    <row r="11" spans="7:12">
      <c r="G11" s="30">
        <v>39417</v>
      </c>
      <c r="H11" s="31">
        <v>70720993110.179993</v>
      </c>
      <c r="K11" s="43">
        <v>39417</v>
      </c>
      <c r="L11" s="42">
        <v>70720993110.179993</v>
      </c>
    </row>
    <row r="12" spans="7:12">
      <c r="G12" s="30">
        <v>39448</v>
      </c>
      <c r="H12" s="31">
        <v>55380966103.379997</v>
      </c>
      <c r="K12" s="43">
        <v>39448</v>
      </c>
      <c r="L12" s="42">
        <v>55380966103.379997</v>
      </c>
    </row>
    <row r="13" spans="7:12">
      <c r="G13" s="30">
        <v>39479</v>
      </c>
      <c r="H13" s="31">
        <v>76264291344.479996</v>
      </c>
      <c r="K13" s="43">
        <v>39479</v>
      </c>
      <c r="L13" s="42">
        <v>76264291344.479996</v>
      </c>
    </row>
    <row r="14" spans="7:12">
      <c r="G14" s="30">
        <v>39508</v>
      </c>
      <c r="H14" s="31">
        <v>54036130386.260002</v>
      </c>
      <c r="K14" s="43">
        <v>39508</v>
      </c>
      <c r="L14" s="42">
        <v>54036130386.260002</v>
      </c>
    </row>
    <row r="15" spans="7:12">
      <c r="G15" s="30">
        <v>39539</v>
      </c>
      <c r="H15" s="31">
        <v>61021756747.739998</v>
      </c>
      <c r="K15" s="43">
        <v>39539</v>
      </c>
      <c r="L15" s="42">
        <v>61021756747.739998</v>
      </c>
    </row>
    <row r="16" spans="7:12">
      <c r="G16" s="30">
        <v>39569</v>
      </c>
      <c r="H16" s="31">
        <v>67752280712.029999</v>
      </c>
      <c r="K16" s="43">
        <v>39569</v>
      </c>
      <c r="L16" s="42">
        <v>67752280712.029999</v>
      </c>
    </row>
    <row r="17" spans="1:12">
      <c r="G17" s="30">
        <v>39600</v>
      </c>
      <c r="H17" s="31">
        <v>54754255797.940002</v>
      </c>
      <c r="K17" s="43">
        <v>39600</v>
      </c>
      <c r="L17" s="42">
        <v>54754255797.940002</v>
      </c>
    </row>
    <row r="18" spans="1:12">
      <c r="G18" s="30">
        <v>39630</v>
      </c>
      <c r="H18" s="31">
        <v>39254673980.809998</v>
      </c>
      <c r="K18" s="43">
        <v>39630</v>
      </c>
      <c r="L18" s="42">
        <v>39254673980.809998</v>
      </c>
    </row>
    <row r="19" spans="1:12">
      <c r="G19" s="30">
        <v>39661</v>
      </c>
      <c r="H19" s="31">
        <v>33987473164.599998</v>
      </c>
      <c r="K19" s="43">
        <v>39661</v>
      </c>
      <c r="L19" s="42">
        <v>33987473164.599998</v>
      </c>
    </row>
    <row r="20" spans="1:12">
      <c r="G20" s="30">
        <v>39692</v>
      </c>
      <c r="H20" s="31">
        <v>41506327516.75</v>
      </c>
      <c r="K20" s="43">
        <v>39692</v>
      </c>
      <c r="L20" s="42">
        <v>41506327516.75</v>
      </c>
    </row>
    <row r="21" spans="1:12">
      <c r="G21" s="30">
        <v>39722</v>
      </c>
      <c r="H21" s="31">
        <v>32554558169.93</v>
      </c>
      <c r="K21" s="43">
        <v>39722</v>
      </c>
      <c r="L21" s="42">
        <v>32554558169.93</v>
      </c>
    </row>
    <row r="22" spans="1:12">
      <c r="G22" s="30">
        <v>39753</v>
      </c>
      <c r="H22" s="31">
        <v>27385866902.009998</v>
      </c>
      <c r="K22" s="43">
        <v>39753</v>
      </c>
      <c r="L22" s="42">
        <v>27385866902.009998</v>
      </c>
    </row>
    <row r="23" spans="1:12">
      <c r="G23" s="30">
        <v>39783</v>
      </c>
      <c r="H23" s="31">
        <v>41233749209.5</v>
      </c>
      <c r="K23" s="43">
        <v>39783</v>
      </c>
      <c r="L23" s="42">
        <v>41233749209.5</v>
      </c>
    </row>
    <row r="24" spans="1:12">
      <c r="G24" s="30">
        <v>39814</v>
      </c>
      <c r="H24" s="31">
        <v>26074589597.5</v>
      </c>
      <c r="K24" s="43">
        <v>39814</v>
      </c>
      <c r="L24" s="42">
        <v>26074589597.5</v>
      </c>
    </row>
    <row r="25" spans="1:12">
      <c r="G25" s="30">
        <v>39845</v>
      </c>
      <c r="H25" s="31">
        <v>47498482306.410004</v>
      </c>
      <c r="K25" s="43">
        <v>39845</v>
      </c>
      <c r="L25" s="42">
        <v>47498482306.410004</v>
      </c>
    </row>
    <row r="26" spans="1:12">
      <c r="G26" s="30">
        <v>39873</v>
      </c>
      <c r="H26" s="31">
        <v>91030919352.979996</v>
      </c>
      <c r="K26" s="43">
        <v>39873</v>
      </c>
      <c r="L26" s="42">
        <v>91030919352.979996</v>
      </c>
    </row>
    <row r="27" spans="1:12">
      <c r="G27" s="30">
        <v>39904</v>
      </c>
      <c r="H27" s="31">
        <v>58732734355.699997</v>
      </c>
      <c r="K27" s="43">
        <v>39904</v>
      </c>
      <c r="L27" s="42">
        <v>58732734355.699997</v>
      </c>
    </row>
    <row r="28" spans="1:12">
      <c r="G28" s="30">
        <v>40026</v>
      </c>
      <c r="H28" s="31">
        <v>62725888062.300003</v>
      </c>
      <c r="K28" s="43">
        <v>40026</v>
      </c>
      <c r="L28" s="42">
        <v>62725888062.300003</v>
      </c>
    </row>
    <row r="29" spans="1:12">
      <c r="A29" s="62">
        <v>2010</v>
      </c>
      <c r="B29" s="33" t="s">
        <v>0</v>
      </c>
      <c r="C29" s="31">
        <v>41171224451.529999</v>
      </c>
      <c r="G29" s="30">
        <v>40057</v>
      </c>
      <c r="H29" s="31">
        <v>58721966516.220001</v>
      </c>
      <c r="K29" s="43">
        <v>40057</v>
      </c>
      <c r="L29" s="42">
        <v>58721966516.220001</v>
      </c>
    </row>
    <row r="30" spans="1:12">
      <c r="A30" s="62"/>
      <c r="B30" s="33" t="s">
        <v>11</v>
      </c>
      <c r="C30" s="31">
        <v>43331380880.580002</v>
      </c>
      <c r="G30" s="30">
        <v>40087</v>
      </c>
      <c r="H30" s="31">
        <v>40018067422.019997</v>
      </c>
      <c r="K30" s="43">
        <v>40087</v>
      </c>
      <c r="L30" s="42">
        <v>40018067422.019997</v>
      </c>
    </row>
    <row r="31" spans="1:12">
      <c r="A31" s="62"/>
      <c r="B31" s="33" t="s">
        <v>10</v>
      </c>
      <c r="C31" s="31">
        <v>36714521904.68</v>
      </c>
      <c r="G31" s="30">
        <v>40118</v>
      </c>
      <c r="H31" s="31">
        <v>39630338873.360001</v>
      </c>
      <c r="K31" s="43">
        <v>40118</v>
      </c>
      <c r="L31" s="42">
        <v>39630338873.360001</v>
      </c>
    </row>
    <row r="32" spans="1:12">
      <c r="A32" s="62"/>
      <c r="B32" s="33" t="s">
        <v>9</v>
      </c>
      <c r="C32" s="31">
        <v>36544416365.050003</v>
      </c>
      <c r="G32" s="30">
        <v>40148</v>
      </c>
      <c r="H32" s="31">
        <v>49380885366.279999</v>
      </c>
      <c r="K32" s="43">
        <v>40148</v>
      </c>
      <c r="L32" s="42">
        <v>49380885366.279999</v>
      </c>
    </row>
    <row r="33" spans="1:12">
      <c r="A33" s="62"/>
      <c r="B33" s="33" t="s">
        <v>8</v>
      </c>
      <c r="C33" s="31">
        <v>36336611081.309998</v>
      </c>
      <c r="G33" s="30">
        <v>40179</v>
      </c>
      <c r="H33" s="31">
        <v>41171224451.529999</v>
      </c>
      <c r="K33" s="43">
        <v>40179</v>
      </c>
      <c r="L33" s="42">
        <v>41171224451.529999</v>
      </c>
    </row>
    <row r="34" spans="1:12">
      <c r="A34" s="62"/>
      <c r="B34" s="33" t="s">
        <v>7</v>
      </c>
      <c r="C34" s="31">
        <v>37643702495.970001</v>
      </c>
      <c r="G34" s="30">
        <v>40210</v>
      </c>
      <c r="H34" s="31">
        <v>43331380880.580002</v>
      </c>
      <c r="K34" s="43">
        <v>40210</v>
      </c>
      <c r="L34" s="42">
        <v>43331380880.580002</v>
      </c>
    </row>
    <row r="35" spans="1:12">
      <c r="A35" s="62"/>
      <c r="B35" s="33" t="s">
        <v>6</v>
      </c>
      <c r="C35" s="31">
        <v>40829244339.580002</v>
      </c>
      <c r="G35" s="30">
        <v>40238</v>
      </c>
      <c r="H35" s="31">
        <v>36714521904.68</v>
      </c>
      <c r="K35" s="43">
        <v>40238</v>
      </c>
      <c r="L35" s="42">
        <v>36714521904.68</v>
      </c>
    </row>
    <row r="36" spans="1:12">
      <c r="A36" s="62"/>
      <c r="B36" s="33" t="s">
        <v>5</v>
      </c>
      <c r="C36" s="31">
        <v>46909004959.040001</v>
      </c>
      <c r="G36" s="30">
        <v>40269</v>
      </c>
      <c r="H36" s="31">
        <v>36544416365.050003</v>
      </c>
      <c r="K36" s="43">
        <v>40269</v>
      </c>
      <c r="L36" s="42">
        <v>36544416365.050003</v>
      </c>
    </row>
    <row r="37" spans="1:12">
      <c r="A37" s="62"/>
      <c r="B37" s="33" t="s">
        <v>4</v>
      </c>
      <c r="C37" s="31">
        <v>69384338986.350006</v>
      </c>
      <c r="G37" s="30">
        <v>40299</v>
      </c>
      <c r="H37" s="31">
        <v>36336611081.309998</v>
      </c>
      <c r="K37" s="43">
        <v>40299</v>
      </c>
      <c r="L37" s="42">
        <v>36336611081.309998</v>
      </c>
    </row>
    <row r="38" spans="1:12">
      <c r="A38" s="62"/>
      <c r="B38" s="33" t="s">
        <v>3</v>
      </c>
      <c r="C38" s="31">
        <v>68963882096.149994</v>
      </c>
      <c r="G38" s="30">
        <v>40330</v>
      </c>
      <c r="H38" s="31">
        <v>37643702495.970001</v>
      </c>
      <c r="K38" s="43">
        <v>40330</v>
      </c>
      <c r="L38" s="42">
        <v>37643702495.970001</v>
      </c>
    </row>
    <row r="39" spans="1:12">
      <c r="A39" s="62"/>
      <c r="B39" s="33" t="s">
        <v>2</v>
      </c>
      <c r="C39" s="31">
        <v>71397253151.929993</v>
      </c>
      <c r="G39" s="30">
        <v>40360</v>
      </c>
      <c r="H39" s="31">
        <v>40829244339.580002</v>
      </c>
      <c r="K39" s="43">
        <v>40360</v>
      </c>
      <c r="L39" s="42">
        <v>40829244339.580002</v>
      </c>
    </row>
    <row r="40" spans="1:12">
      <c r="A40" s="62"/>
      <c r="B40" s="33" t="s">
        <v>1</v>
      </c>
      <c r="C40" s="31">
        <v>81193901238.820007</v>
      </c>
      <c r="G40" s="30">
        <v>40391</v>
      </c>
      <c r="H40" s="31">
        <v>46909004959.040001</v>
      </c>
      <c r="K40" s="43">
        <v>40391</v>
      </c>
      <c r="L40" s="42">
        <v>46909004959.040001</v>
      </c>
    </row>
    <row r="41" spans="1:12">
      <c r="A41" s="62">
        <v>2011</v>
      </c>
      <c r="B41" s="33" t="s">
        <v>0</v>
      </c>
      <c r="C41" s="31">
        <v>66493575674.870003</v>
      </c>
      <c r="G41" s="30">
        <v>40422</v>
      </c>
      <c r="H41" s="31">
        <v>69384338986.350006</v>
      </c>
      <c r="K41" s="43">
        <v>40422</v>
      </c>
      <c r="L41" s="42">
        <v>69384338986.350006</v>
      </c>
    </row>
    <row r="42" spans="1:12">
      <c r="A42" s="62"/>
      <c r="B42" s="33" t="s">
        <v>11</v>
      </c>
      <c r="C42" s="31">
        <v>51211208108.309998</v>
      </c>
      <c r="G42" s="30">
        <v>40452</v>
      </c>
      <c r="H42" s="31">
        <v>68963882096.149994</v>
      </c>
      <c r="K42" s="43">
        <v>40452</v>
      </c>
      <c r="L42" s="42">
        <v>68963882096.149994</v>
      </c>
    </row>
    <row r="43" spans="1:12">
      <c r="A43" s="62"/>
      <c r="B43" s="33" t="s">
        <v>10</v>
      </c>
      <c r="C43" s="31">
        <v>52478992160.580002</v>
      </c>
      <c r="G43" s="30">
        <v>40483</v>
      </c>
      <c r="H43" s="31">
        <v>71397253151.929993</v>
      </c>
      <c r="K43" s="43">
        <v>40483</v>
      </c>
      <c r="L43" s="42">
        <v>71397253151.929993</v>
      </c>
    </row>
    <row r="44" spans="1:12">
      <c r="A44" s="62"/>
      <c r="B44" s="33" t="s">
        <v>9</v>
      </c>
      <c r="C44" s="31">
        <v>33088841042.959999</v>
      </c>
      <c r="G44" s="30">
        <v>40513</v>
      </c>
      <c r="H44" s="31">
        <v>81193901238.820007</v>
      </c>
      <c r="K44" s="43">
        <v>40513</v>
      </c>
      <c r="L44" s="42">
        <v>81193901238.820007</v>
      </c>
    </row>
    <row r="45" spans="1:12">
      <c r="A45" s="62"/>
      <c r="B45" s="33" t="s">
        <v>8</v>
      </c>
      <c r="C45" s="31">
        <v>30964833391.43</v>
      </c>
      <c r="G45" s="30">
        <v>40544</v>
      </c>
      <c r="H45" s="31">
        <v>66493575674.870003</v>
      </c>
      <c r="K45" s="43">
        <v>40544</v>
      </c>
      <c r="L45" s="42">
        <v>66493575674.870003</v>
      </c>
    </row>
    <row r="46" spans="1:12">
      <c r="A46" s="62"/>
      <c r="B46" s="33" t="s">
        <v>7</v>
      </c>
      <c r="C46" s="31">
        <v>34031377587.419998</v>
      </c>
      <c r="G46" s="30">
        <v>40575</v>
      </c>
      <c r="H46" s="31">
        <v>51211208108.309998</v>
      </c>
      <c r="K46" s="43">
        <v>40575</v>
      </c>
      <c r="L46" s="42">
        <v>51211208108.309998</v>
      </c>
    </row>
    <row r="47" spans="1:12">
      <c r="A47" s="62"/>
      <c r="B47" s="33" t="s">
        <v>6</v>
      </c>
      <c r="C47" s="32">
        <v>30621365146.98</v>
      </c>
      <c r="G47" s="30">
        <v>40603</v>
      </c>
      <c r="H47" s="31">
        <v>52478992160.580002</v>
      </c>
      <c r="K47" s="43">
        <v>40603</v>
      </c>
      <c r="L47" s="42">
        <v>52478992160.580002</v>
      </c>
    </row>
    <row r="48" spans="1:12">
      <c r="A48" s="62"/>
      <c r="B48" s="33" t="s">
        <v>5</v>
      </c>
      <c r="C48" s="32">
        <v>38171516998.550003</v>
      </c>
      <c r="G48" s="30">
        <v>40634</v>
      </c>
      <c r="H48" s="31">
        <v>33088841042.959999</v>
      </c>
      <c r="K48" s="43">
        <v>40634</v>
      </c>
      <c r="L48" s="42">
        <v>33088841042.959999</v>
      </c>
    </row>
    <row r="49" spans="1:12">
      <c r="A49" s="62"/>
      <c r="B49" s="33" t="s">
        <v>4</v>
      </c>
      <c r="C49" s="32">
        <v>45345536322.599998</v>
      </c>
      <c r="G49" s="30">
        <v>40664</v>
      </c>
      <c r="H49" s="31">
        <v>30964833391.43</v>
      </c>
      <c r="K49" s="43">
        <v>40664</v>
      </c>
      <c r="L49" s="12">
        <v>30964833391.43</v>
      </c>
    </row>
    <row r="50" spans="1:12">
      <c r="A50" s="62"/>
      <c r="B50" s="33" t="s">
        <v>3</v>
      </c>
      <c r="C50" s="32">
        <v>51265734201.440002</v>
      </c>
      <c r="G50" s="30">
        <v>40695</v>
      </c>
      <c r="H50" s="31">
        <v>34031377587.419998</v>
      </c>
      <c r="K50" s="43">
        <v>40695</v>
      </c>
      <c r="L50" s="12">
        <v>34031377587.419998</v>
      </c>
    </row>
    <row r="51" spans="1:12">
      <c r="A51" s="62"/>
      <c r="B51" s="33" t="s">
        <v>2</v>
      </c>
      <c r="C51" s="32">
        <v>62641454659.599998</v>
      </c>
      <c r="G51" s="30">
        <v>40725</v>
      </c>
      <c r="H51" s="32">
        <v>30621365146.98</v>
      </c>
      <c r="K51" s="43">
        <v>40725</v>
      </c>
      <c r="L51" s="12">
        <v>30621365146.98</v>
      </c>
    </row>
    <row r="52" spans="1:12">
      <c r="A52" s="62"/>
      <c r="B52" s="33" t="s">
        <v>1</v>
      </c>
      <c r="C52" s="32">
        <v>73851865080.610001</v>
      </c>
      <c r="G52" s="30">
        <v>40756</v>
      </c>
      <c r="H52" s="32">
        <v>38171516998.550003</v>
      </c>
      <c r="K52" s="43">
        <v>40756</v>
      </c>
      <c r="L52" s="12">
        <v>38171516998.550003</v>
      </c>
    </row>
    <row r="53" spans="1:12">
      <c r="A53" s="62">
        <v>2012</v>
      </c>
      <c r="B53" s="33" t="s">
        <v>0</v>
      </c>
      <c r="C53" s="32">
        <v>58331372757.360001</v>
      </c>
      <c r="G53" s="30">
        <v>40787</v>
      </c>
      <c r="H53" s="32">
        <v>45345536322.599998</v>
      </c>
      <c r="K53" s="43">
        <v>40787</v>
      </c>
      <c r="L53" s="12">
        <v>45345536322.599998</v>
      </c>
    </row>
    <row r="54" spans="1:12">
      <c r="A54" s="62"/>
      <c r="B54" s="33" t="s">
        <v>11</v>
      </c>
      <c r="C54" s="32">
        <v>56063681559.919998</v>
      </c>
      <c r="G54" s="30">
        <v>40817</v>
      </c>
      <c r="H54" s="32">
        <v>51265734201.440002</v>
      </c>
      <c r="K54" s="43">
        <v>40817</v>
      </c>
      <c r="L54" s="12">
        <v>51265734201.440002</v>
      </c>
    </row>
    <row r="55" spans="1:12">
      <c r="A55" s="62"/>
      <c r="B55" s="33" t="s">
        <v>10</v>
      </c>
      <c r="C55" s="32">
        <v>86317495811.419998</v>
      </c>
      <c r="G55" s="30">
        <v>40848</v>
      </c>
      <c r="H55" s="32">
        <v>62641454659.599998</v>
      </c>
      <c r="K55" s="43">
        <v>40848</v>
      </c>
      <c r="L55" s="12">
        <v>62641454659.599998</v>
      </c>
    </row>
    <row r="56" spans="1:12">
      <c r="A56" s="62"/>
      <c r="B56" s="33" t="s">
        <v>9</v>
      </c>
      <c r="C56" s="32">
        <v>48073485668.580002</v>
      </c>
      <c r="G56" s="30">
        <v>40878</v>
      </c>
      <c r="H56" s="32">
        <v>73851865080.610001</v>
      </c>
      <c r="K56" s="43">
        <v>40878</v>
      </c>
      <c r="L56" s="12">
        <v>73851865080.610001</v>
      </c>
    </row>
    <row r="57" spans="1:12">
      <c r="A57" s="62"/>
      <c r="B57" s="33" t="s">
        <v>8</v>
      </c>
      <c r="C57" s="32">
        <v>66663158668.949997</v>
      </c>
      <c r="G57" s="30">
        <v>40909</v>
      </c>
      <c r="H57" s="32">
        <v>58331372757.360001</v>
      </c>
      <c r="K57" s="43">
        <v>40909</v>
      </c>
      <c r="L57" s="12">
        <v>58331372757.360001</v>
      </c>
    </row>
    <row r="58" spans="1:12">
      <c r="A58" s="62"/>
      <c r="B58" s="33" t="s">
        <v>7</v>
      </c>
      <c r="C58" s="32">
        <v>65107512378.209999</v>
      </c>
      <c r="G58" s="30">
        <v>40940</v>
      </c>
      <c r="H58" s="32">
        <v>56063681559.919998</v>
      </c>
      <c r="K58" s="43">
        <v>40940</v>
      </c>
      <c r="L58" s="12">
        <v>56063681559.919998</v>
      </c>
    </row>
    <row r="59" spans="1:12">
      <c r="A59" s="62"/>
      <c r="B59" s="33" t="s">
        <v>6</v>
      </c>
      <c r="C59" s="32">
        <v>71798949000.600006</v>
      </c>
      <c r="G59" s="30">
        <v>40969</v>
      </c>
      <c r="H59" s="32">
        <v>86317495811.419998</v>
      </c>
      <c r="K59" s="43">
        <v>40969</v>
      </c>
      <c r="L59" s="12">
        <v>86317495811.419998</v>
      </c>
    </row>
    <row r="60" spans="1:12">
      <c r="A60" s="62"/>
      <c r="B60" s="33" t="s">
        <v>5</v>
      </c>
      <c r="C60" s="32">
        <v>80246484071.139999</v>
      </c>
      <c r="G60" s="30">
        <v>41000</v>
      </c>
      <c r="H60" s="32">
        <v>48073485668.580002</v>
      </c>
      <c r="K60" s="43">
        <v>41000</v>
      </c>
      <c r="L60" s="12">
        <v>48073485668.580002</v>
      </c>
    </row>
    <row r="61" spans="1:12">
      <c r="A61" s="62"/>
      <c r="B61" s="33" t="s">
        <v>4</v>
      </c>
      <c r="C61" s="32">
        <v>84049356738.059998</v>
      </c>
      <c r="G61" s="30">
        <v>41030</v>
      </c>
      <c r="H61" s="32">
        <v>66663158668.949997</v>
      </c>
      <c r="K61" s="43">
        <v>41030</v>
      </c>
      <c r="L61" s="12">
        <v>66663158668.949997</v>
      </c>
    </row>
    <row r="62" spans="1:12">
      <c r="A62" s="62"/>
      <c r="B62" s="33" t="s">
        <v>3</v>
      </c>
      <c r="C62" s="32">
        <v>61818801001.650002</v>
      </c>
      <c r="G62" s="30">
        <v>41061</v>
      </c>
      <c r="H62" s="32">
        <v>65107512378.209999</v>
      </c>
      <c r="K62" s="43">
        <v>41061</v>
      </c>
      <c r="L62" s="12">
        <v>65107512378.209999</v>
      </c>
    </row>
    <row r="63" spans="1:12">
      <c r="A63" s="62"/>
      <c r="B63" s="33" t="s">
        <v>2</v>
      </c>
      <c r="C63" s="32">
        <v>107252324964.50999</v>
      </c>
      <c r="G63" s="30">
        <v>41091</v>
      </c>
      <c r="H63" s="32">
        <v>71798949000.600006</v>
      </c>
      <c r="K63" s="43">
        <v>41091</v>
      </c>
      <c r="L63" s="12">
        <v>71798949000.600006</v>
      </c>
    </row>
    <row r="64" spans="1:12">
      <c r="A64" s="62"/>
      <c r="B64" s="33" t="s">
        <v>1</v>
      </c>
      <c r="C64" s="32">
        <v>66763638723.230003</v>
      </c>
      <c r="G64" s="30">
        <v>41122</v>
      </c>
      <c r="H64" s="32">
        <v>80246484071.139999</v>
      </c>
      <c r="K64" s="43">
        <v>41122</v>
      </c>
      <c r="L64" s="12">
        <v>80246484071.139999</v>
      </c>
    </row>
    <row r="65" spans="1:12">
      <c r="A65" s="62">
        <v>2013</v>
      </c>
      <c r="B65" s="33" t="s">
        <v>0</v>
      </c>
      <c r="C65" s="32">
        <v>85482757320.820007</v>
      </c>
      <c r="G65" s="30">
        <v>41153</v>
      </c>
      <c r="H65" s="32">
        <v>84049356738.059998</v>
      </c>
      <c r="K65" s="43">
        <v>41153</v>
      </c>
      <c r="L65" s="12">
        <v>84049356738.059998</v>
      </c>
    </row>
    <row r="66" spans="1:12">
      <c r="A66" s="62"/>
      <c r="B66" s="33" t="s">
        <v>11</v>
      </c>
      <c r="C66" s="32">
        <v>77430427923.440002</v>
      </c>
      <c r="G66" s="30">
        <v>41183</v>
      </c>
      <c r="H66" s="32">
        <v>61818801001.650002</v>
      </c>
      <c r="K66" s="43">
        <v>41183</v>
      </c>
      <c r="L66" s="12">
        <v>61818801001.650002</v>
      </c>
    </row>
    <row r="67" spans="1:12">
      <c r="A67" s="62"/>
      <c r="B67" s="33" t="s">
        <v>10</v>
      </c>
      <c r="C67" s="32">
        <v>66573031434.919998</v>
      </c>
      <c r="G67" s="30">
        <v>41214</v>
      </c>
      <c r="H67" s="32">
        <v>107252324964.50999</v>
      </c>
      <c r="K67" s="43">
        <v>41214</v>
      </c>
      <c r="L67" s="12">
        <v>107252324964.50999</v>
      </c>
    </row>
    <row r="68" spans="1:12">
      <c r="A68" s="62"/>
      <c r="B68" s="33" t="s">
        <v>9</v>
      </c>
      <c r="C68" s="32">
        <v>73548428684.190002</v>
      </c>
      <c r="G68" s="30">
        <v>41244</v>
      </c>
      <c r="H68" s="32">
        <v>66763638723.230003</v>
      </c>
      <c r="K68" s="43">
        <v>41244</v>
      </c>
      <c r="L68" s="12">
        <v>66763638723.230003</v>
      </c>
    </row>
    <row r="69" spans="1:12">
      <c r="A69" s="62"/>
      <c r="B69" s="33" t="s">
        <v>8</v>
      </c>
      <c r="C69" s="32">
        <v>73509211252.020004</v>
      </c>
      <c r="G69" s="30">
        <v>41275</v>
      </c>
      <c r="H69" s="32">
        <v>85482757320.820007</v>
      </c>
      <c r="K69" s="43">
        <v>41275</v>
      </c>
      <c r="L69" s="12">
        <v>85482757320.820007</v>
      </c>
    </row>
    <row r="70" spans="1:12">
      <c r="A70" s="62"/>
      <c r="B70" s="33" t="s">
        <v>7</v>
      </c>
      <c r="C70" s="32">
        <v>66542000148.940002</v>
      </c>
      <c r="G70" s="30">
        <v>41306</v>
      </c>
      <c r="H70" s="32">
        <v>77430427923.440002</v>
      </c>
      <c r="K70" s="43">
        <v>41306</v>
      </c>
      <c r="L70" s="12">
        <v>77430427923.440002</v>
      </c>
    </row>
    <row r="71" spans="1:12">
      <c r="A71" s="62"/>
      <c r="B71" s="33" t="s">
        <v>6</v>
      </c>
      <c r="C71" s="32">
        <v>71866974614.360001</v>
      </c>
      <c r="G71" s="30">
        <v>41334</v>
      </c>
      <c r="H71" s="32">
        <v>66573031434.919998</v>
      </c>
      <c r="K71" s="43">
        <v>41334</v>
      </c>
      <c r="L71" s="12">
        <v>66573031434.919998</v>
      </c>
    </row>
    <row r="72" spans="1:12">
      <c r="A72" s="62"/>
      <c r="B72" s="33" t="s">
        <v>5</v>
      </c>
      <c r="C72" s="32">
        <v>65043206114.970001</v>
      </c>
      <c r="G72" s="30">
        <v>41365</v>
      </c>
      <c r="H72" s="32">
        <v>73548428684.190002</v>
      </c>
      <c r="K72" s="43">
        <v>41365</v>
      </c>
      <c r="L72" s="12">
        <v>73548428684.190002</v>
      </c>
    </row>
    <row r="73" spans="1:12">
      <c r="A73" s="62"/>
      <c r="B73" s="33" t="s">
        <v>4</v>
      </c>
      <c r="C73" s="32">
        <v>52117579911.449997</v>
      </c>
      <c r="G73" s="30">
        <v>41395</v>
      </c>
      <c r="H73" s="32">
        <v>73509211252.020004</v>
      </c>
      <c r="K73" s="43">
        <v>41395</v>
      </c>
      <c r="L73" s="12">
        <v>73509211252.020004</v>
      </c>
    </row>
    <row r="74" spans="1:12">
      <c r="A74" s="62"/>
      <c r="B74" s="33" t="s">
        <v>3</v>
      </c>
      <c r="C74" s="32">
        <v>47175834172.419998</v>
      </c>
      <c r="G74" s="30">
        <v>41426</v>
      </c>
      <c r="H74" s="32">
        <v>66542000148.940002</v>
      </c>
      <c r="K74" s="43">
        <v>41426</v>
      </c>
      <c r="L74" s="12">
        <v>66542000148.940002</v>
      </c>
    </row>
    <row r="75" spans="1:12">
      <c r="A75" s="62"/>
      <c r="B75" s="33" t="s">
        <v>2</v>
      </c>
      <c r="C75" s="32">
        <v>38757040631.290001</v>
      </c>
      <c r="G75" s="30">
        <v>41456</v>
      </c>
      <c r="H75" s="32">
        <v>71866974614.360001</v>
      </c>
      <c r="K75" s="43">
        <v>41456</v>
      </c>
      <c r="L75" s="12">
        <v>71866974614.360001</v>
      </c>
    </row>
    <row r="76" spans="1:12">
      <c r="A76" s="62"/>
      <c r="B76" s="33" t="s">
        <v>1</v>
      </c>
      <c r="C76" s="32">
        <v>37790142776.290001</v>
      </c>
      <c r="G76" s="30">
        <v>41487</v>
      </c>
      <c r="H76" s="32">
        <v>65043206114.970001</v>
      </c>
      <c r="K76" s="43">
        <v>41487</v>
      </c>
      <c r="L76" s="12">
        <v>65043206114.970001</v>
      </c>
    </row>
    <row r="77" spans="1:12">
      <c r="A77" s="62">
        <v>2014</v>
      </c>
      <c r="B77" s="33" t="s">
        <v>0</v>
      </c>
      <c r="C77" s="32">
        <v>28108964119.139999</v>
      </c>
      <c r="G77" s="30">
        <v>41518</v>
      </c>
      <c r="H77" s="32">
        <v>52117579911.449997</v>
      </c>
      <c r="K77" s="43">
        <v>41518</v>
      </c>
      <c r="L77" s="12">
        <v>52117579911.449997</v>
      </c>
    </row>
    <row r="78" spans="1:12">
      <c r="A78" s="62"/>
      <c r="B78" s="33" t="s">
        <v>11</v>
      </c>
      <c r="C78" s="32">
        <v>27585216807.849998</v>
      </c>
      <c r="G78" s="30">
        <v>41548</v>
      </c>
      <c r="H78" s="32">
        <v>47175834172.419998</v>
      </c>
      <c r="K78" s="43">
        <v>41548</v>
      </c>
      <c r="L78" s="12">
        <v>47175834172.419998</v>
      </c>
    </row>
    <row r="79" spans="1:12">
      <c r="A79" s="62"/>
      <c r="B79" s="33" t="s">
        <v>10</v>
      </c>
      <c r="C79" s="32">
        <v>23463509422.790001</v>
      </c>
      <c r="G79" s="30">
        <v>41579</v>
      </c>
      <c r="H79" s="32">
        <v>38757040631.290001</v>
      </c>
      <c r="K79" s="43">
        <v>41579</v>
      </c>
      <c r="L79" s="12">
        <v>38757040631.290001</v>
      </c>
    </row>
    <row r="80" spans="1:12">
      <c r="A80" s="62"/>
      <c r="B80" s="33" t="s">
        <v>9</v>
      </c>
      <c r="C80" s="32">
        <v>27198516722.27</v>
      </c>
      <c r="G80" s="30">
        <v>41609</v>
      </c>
      <c r="H80" s="32">
        <v>37790142776.290001</v>
      </c>
      <c r="K80" s="43">
        <v>41609</v>
      </c>
      <c r="L80" s="12">
        <v>37790142776.290001</v>
      </c>
    </row>
    <row r="81" spans="1:12">
      <c r="A81" s="62"/>
      <c r="B81" s="33" t="s">
        <v>8</v>
      </c>
      <c r="C81" s="32">
        <v>27487631130.209999</v>
      </c>
      <c r="G81" s="30">
        <v>41640</v>
      </c>
      <c r="H81" s="32">
        <v>28108964119.139999</v>
      </c>
      <c r="K81" s="43">
        <v>41640</v>
      </c>
      <c r="L81" s="12">
        <v>28108964119.139999</v>
      </c>
    </row>
    <row r="82" spans="1:12">
      <c r="A82" s="62"/>
      <c r="B82" s="33" t="s">
        <v>7</v>
      </c>
      <c r="C82" s="32">
        <v>31582304306.349998</v>
      </c>
      <c r="G82" s="30">
        <v>41671</v>
      </c>
      <c r="H82" s="32">
        <v>27585216807.849998</v>
      </c>
      <c r="K82" s="43">
        <v>41671</v>
      </c>
      <c r="L82" s="12">
        <v>27585216807.849998</v>
      </c>
    </row>
    <row r="83" spans="1:12">
      <c r="A83" s="62"/>
      <c r="B83" s="33" t="s">
        <v>6</v>
      </c>
      <c r="C83" s="32">
        <v>36447478522.989998</v>
      </c>
      <c r="G83" s="30">
        <v>41699</v>
      </c>
      <c r="H83" s="32">
        <v>23463509422.790001</v>
      </c>
      <c r="K83" s="43">
        <v>41699</v>
      </c>
      <c r="L83" s="12">
        <v>23463509422.790001</v>
      </c>
    </row>
    <row r="84" spans="1:12">
      <c r="A84" s="62"/>
      <c r="B84" s="33" t="s">
        <v>5</v>
      </c>
      <c r="C84" s="32">
        <v>34332054961.080002</v>
      </c>
      <c r="G84" s="30">
        <v>41730</v>
      </c>
      <c r="H84" s="32">
        <v>27198516722.27</v>
      </c>
      <c r="K84" s="43">
        <v>41730</v>
      </c>
      <c r="L84" s="12">
        <v>27198516722.27</v>
      </c>
    </row>
    <row r="85" spans="1:12">
      <c r="A85" s="62"/>
      <c r="B85" s="33" t="s">
        <v>4</v>
      </c>
      <c r="C85" s="32">
        <v>40347506692.199997</v>
      </c>
      <c r="G85" s="30">
        <v>41760</v>
      </c>
      <c r="H85" s="32">
        <v>27487631130.209999</v>
      </c>
      <c r="K85" s="43">
        <v>41760</v>
      </c>
      <c r="L85" s="12">
        <v>27487631130.209999</v>
      </c>
    </row>
    <row r="86" spans="1:12">
      <c r="A86" s="62"/>
      <c r="B86" s="33" t="s">
        <v>3</v>
      </c>
      <c r="C86" s="32">
        <v>40323740351.139999</v>
      </c>
      <c r="G86" s="30">
        <v>41791</v>
      </c>
      <c r="H86" s="32">
        <v>31582304306.349998</v>
      </c>
      <c r="K86" s="43">
        <v>41791</v>
      </c>
      <c r="L86" s="12">
        <v>31582304306.349998</v>
      </c>
    </row>
    <row r="87" spans="1:12">
      <c r="A87" s="62"/>
      <c r="B87" s="33" t="s">
        <v>2</v>
      </c>
      <c r="C87" s="32">
        <v>32492729674.279999</v>
      </c>
      <c r="G87" s="30">
        <v>41821</v>
      </c>
      <c r="H87" s="32">
        <v>36447478522.989998</v>
      </c>
      <c r="K87" s="43">
        <v>41821</v>
      </c>
      <c r="L87" s="12">
        <v>36447478522.989998</v>
      </c>
    </row>
    <row r="88" spans="1:12">
      <c r="A88" s="62"/>
      <c r="B88" s="33" t="s">
        <v>1</v>
      </c>
      <c r="C88" s="32">
        <v>44253011751.110001</v>
      </c>
      <c r="G88" s="30">
        <v>41852</v>
      </c>
      <c r="H88" s="32">
        <v>34332054961.080002</v>
      </c>
      <c r="K88" s="43">
        <v>41852</v>
      </c>
      <c r="L88" s="12">
        <v>34332054961.080002</v>
      </c>
    </row>
    <row r="89" spans="1:12">
      <c r="A89" s="62">
        <v>2015</v>
      </c>
      <c r="B89" s="33" t="s">
        <v>0</v>
      </c>
      <c r="C89" s="32">
        <v>36980630899.18</v>
      </c>
      <c r="G89" s="30">
        <v>41883</v>
      </c>
      <c r="H89" s="32">
        <v>40347506692.199997</v>
      </c>
      <c r="K89" s="43">
        <v>41883</v>
      </c>
      <c r="L89" s="12">
        <v>40347506692.199997</v>
      </c>
    </row>
    <row r="90" spans="1:12">
      <c r="A90" s="62"/>
      <c r="B90" s="33" t="s">
        <v>11</v>
      </c>
      <c r="C90" s="32">
        <v>36583983679.550003</v>
      </c>
      <c r="G90" s="30">
        <v>41913</v>
      </c>
      <c r="H90" s="32">
        <v>40323740351.139999</v>
      </c>
      <c r="K90" s="43">
        <v>41913</v>
      </c>
      <c r="L90" s="12">
        <v>40323740351.139999</v>
      </c>
    </row>
    <row r="91" spans="1:12">
      <c r="A91" s="62"/>
      <c r="B91" s="33" t="s">
        <v>10</v>
      </c>
      <c r="C91" s="32">
        <v>44361653084.169998</v>
      </c>
      <c r="G91" s="30">
        <v>41944</v>
      </c>
      <c r="H91" s="32">
        <v>32492729674.279999</v>
      </c>
      <c r="K91" s="43">
        <v>41944</v>
      </c>
      <c r="L91" s="12">
        <v>32492729674.279999</v>
      </c>
    </row>
    <row r="92" spans="1:12">
      <c r="A92" s="62"/>
      <c r="B92" s="33" t="s">
        <v>9</v>
      </c>
      <c r="C92" s="32">
        <v>51181167313.550003</v>
      </c>
      <c r="G92" s="30">
        <v>41974</v>
      </c>
      <c r="H92" s="32">
        <v>44253011751.110001</v>
      </c>
      <c r="K92" s="43">
        <v>41974</v>
      </c>
      <c r="L92" s="12">
        <v>44253011751.110001</v>
      </c>
    </row>
    <row r="93" spans="1:12">
      <c r="A93" s="62"/>
      <c r="B93" s="33" t="s">
        <v>8</v>
      </c>
      <c r="C93" s="36">
        <v>44756506739.489998</v>
      </c>
      <c r="G93" s="30">
        <v>42005</v>
      </c>
      <c r="H93" s="32">
        <v>36980630899.18</v>
      </c>
      <c r="K93" s="43">
        <v>42005</v>
      </c>
      <c r="L93" s="12">
        <v>36980630899.18</v>
      </c>
    </row>
    <row r="94" spans="1:12">
      <c r="A94" s="62"/>
      <c r="B94" s="33" t="s">
        <v>7</v>
      </c>
      <c r="C94" s="33">
        <v>46670102078.379997</v>
      </c>
      <c r="G94" s="30">
        <v>42036</v>
      </c>
      <c r="H94" s="32">
        <v>36583983679.550003</v>
      </c>
      <c r="K94" s="43">
        <v>42036</v>
      </c>
      <c r="L94" s="12">
        <v>36583983679.550003</v>
      </c>
    </row>
    <row r="95" spans="1:12">
      <c r="A95" s="62"/>
      <c r="B95" s="33" t="s">
        <v>6</v>
      </c>
      <c r="C95" s="33">
        <v>46808897996.93</v>
      </c>
      <c r="G95" s="30">
        <v>42064</v>
      </c>
      <c r="H95" s="32">
        <v>44361653084.169998</v>
      </c>
      <c r="K95" s="43">
        <v>42064</v>
      </c>
      <c r="L95" s="12">
        <v>44361653084.169998</v>
      </c>
    </row>
    <row r="96" spans="1:12">
      <c r="A96" s="62"/>
      <c r="B96" s="33" t="s">
        <v>5</v>
      </c>
      <c r="C96" s="33">
        <v>39123218043.230003</v>
      </c>
      <c r="G96" s="30">
        <v>42095</v>
      </c>
      <c r="H96" s="32">
        <v>51181167313.550003</v>
      </c>
      <c r="K96" s="43">
        <v>42095</v>
      </c>
      <c r="L96" s="12">
        <v>51182654442.220001</v>
      </c>
    </row>
    <row r="97" spans="1:12">
      <c r="A97" s="62"/>
      <c r="B97" s="33" t="s">
        <v>4</v>
      </c>
      <c r="C97" s="33">
        <v>44989151670.82</v>
      </c>
      <c r="G97" s="35">
        <v>42125</v>
      </c>
      <c r="H97" s="36">
        <v>44756506739.489998</v>
      </c>
      <c r="K97" s="43">
        <v>42125</v>
      </c>
      <c r="L97" s="12">
        <v>44756506739.489998</v>
      </c>
    </row>
    <row r="98" spans="1:12">
      <c r="A98" s="62"/>
      <c r="B98" s="33" t="s">
        <v>3</v>
      </c>
      <c r="C98" s="33">
        <v>41324740804.440002</v>
      </c>
      <c r="G98" s="37">
        <v>42156</v>
      </c>
      <c r="H98" s="33">
        <v>46670102078.379997</v>
      </c>
      <c r="K98" s="43">
        <v>42156</v>
      </c>
      <c r="L98" s="12">
        <v>46670102078.379997</v>
      </c>
    </row>
    <row r="99" spans="1:12">
      <c r="A99" s="62"/>
      <c r="B99" s="33" t="s">
        <v>2</v>
      </c>
      <c r="C99" s="33">
        <v>28933538589.34</v>
      </c>
      <c r="G99" s="37">
        <v>42186</v>
      </c>
      <c r="H99" s="33">
        <v>46808897996.93</v>
      </c>
      <c r="K99" s="43">
        <v>42186</v>
      </c>
      <c r="L99" s="12">
        <v>46808897996.93</v>
      </c>
    </row>
    <row r="100" spans="1:12">
      <c r="A100" s="62"/>
      <c r="B100" s="33" t="s">
        <v>1</v>
      </c>
      <c r="C100" s="33">
        <f>H105</f>
        <v>39048100886.419998</v>
      </c>
      <c r="G100" s="37">
        <v>42217</v>
      </c>
      <c r="H100" s="33">
        <v>39123218043.230003</v>
      </c>
      <c r="K100" s="43">
        <v>42217</v>
      </c>
      <c r="L100" s="12">
        <v>39123218043.230003</v>
      </c>
    </row>
    <row r="101" spans="1:12">
      <c r="A101" s="62">
        <v>2016</v>
      </c>
      <c r="B101" s="33" t="s">
        <v>0</v>
      </c>
      <c r="C101" s="33">
        <f t="shared" ref="C101:C111" si="0">H106</f>
        <v>38841439178.620003</v>
      </c>
      <c r="G101" s="37">
        <v>42217</v>
      </c>
      <c r="H101" s="33">
        <v>39123218043.230003</v>
      </c>
      <c r="K101" s="43">
        <v>42248</v>
      </c>
      <c r="L101" s="12">
        <v>44989151670.82</v>
      </c>
    </row>
    <row r="102" spans="1:12">
      <c r="A102" s="62"/>
      <c r="B102" s="33" t="s">
        <v>11</v>
      </c>
      <c r="C102" s="33">
        <f t="shared" si="0"/>
        <v>30561761942.720001</v>
      </c>
      <c r="G102" s="37">
        <v>42248</v>
      </c>
      <c r="H102" s="33">
        <v>44989151670.82</v>
      </c>
      <c r="K102" s="43">
        <v>42278</v>
      </c>
      <c r="L102" s="12">
        <v>41324740804.440002</v>
      </c>
    </row>
    <row r="103" spans="1:12">
      <c r="A103" s="62"/>
      <c r="B103" s="33" t="s">
        <v>10</v>
      </c>
      <c r="C103" s="33">
        <f t="shared" si="0"/>
        <v>39928859384.089996</v>
      </c>
      <c r="G103" s="37">
        <v>42278</v>
      </c>
      <c r="H103" s="33">
        <v>41324740804.440002</v>
      </c>
      <c r="K103" s="43">
        <v>42309</v>
      </c>
      <c r="L103" s="12">
        <v>28933538589.34</v>
      </c>
    </row>
    <row r="104" spans="1:12">
      <c r="A104" s="62"/>
      <c r="B104" s="33" t="s">
        <v>9</v>
      </c>
      <c r="C104" s="33">
        <f t="shared" si="0"/>
        <v>44861340063.169998</v>
      </c>
      <c r="G104" s="37">
        <v>42309</v>
      </c>
      <c r="H104" s="33">
        <v>28933538589.34</v>
      </c>
      <c r="K104" s="43">
        <v>42339</v>
      </c>
      <c r="L104" s="12">
        <v>39048100886.419998</v>
      </c>
    </row>
    <row r="105" spans="1:12">
      <c r="A105" s="62"/>
      <c r="B105" s="33" t="s">
        <v>8</v>
      </c>
      <c r="C105" s="33">
        <f t="shared" si="0"/>
        <v>45906379388.75</v>
      </c>
      <c r="G105" s="37">
        <v>42339</v>
      </c>
      <c r="H105" s="33">
        <v>39048100886.419998</v>
      </c>
      <c r="K105" s="43">
        <v>42370</v>
      </c>
      <c r="L105" s="12">
        <v>38841640329.040001</v>
      </c>
    </row>
    <row r="106" spans="1:12">
      <c r="A106" s="62"/>
      <c r="B106" s="33" t="s">
        <v>7</v>
      </c>
      <c r="C106" s="33">
        <f t="shared" si="0"/>
        <v>49117830558.220001</v>
      </c>
      <c r="G106" s="37">
        <v>42370</v>
      </c>
      <c r="H106" s="33">
        <v>38841439178.620003</v>
      </c>
      <c r="K106" s="43">
        <v>42401</v>
      </c>
      <c r="L106" s="12">
        <v>30561761942.720001</v>
      </c>
    </row>
    <row r="107" spans="1:12">
      <c r="A107" s="62"/>
      <c r="B107" s="33" t="s">
        <v>6</v>
      </c>
      <c r="C107" s="33">
        <f t="shared" si="0"/>
        <v>52311053156.260002</v>
      </c>
      <c r="G107" s="37">
        <v>42401</v>
      </c>
      <c r="H107" s="33">
        <f t="shared" ref="H107:H116" si="1">VLOOKUP(G107,K:L,2,0)</f>
        <v>30561761942.720001</v>
      </c>
      <c r="K107" s="43">
        <v>42430</v>
      </c>
      <c r="L107" s="12">
        <v>39928859384.089996</v>
      </c>
    </row>
    <row r="108" spans="1:12">
      <c r="A108" s="62"/>
      <c r="B108" s="33" t="s">
        <v>5</v>
      </c>
      <c r="C108" s="33">
        <f t="shared" si="0"/>
        <v>57044014480.900002</v>
      </c>
      <c r="G108" s="37">
        <v>42430</v>
      </c>
      <c r="H108" s="33">
        <f t="shared" si="1"/>
        <v>39928859384.089996</v>
      </c>
      <c r="K108" s="43">
        <v>42461</v>
      </c>
      <c r="L108" s="12">
        <v>44861340063.169998</v>
      </c>
    </row>
    <row r="109" spans="1:12">
      <c r="A109" s="62"/>
      <c r="B109" s="33" t="s">
        <v>4</v>
      </c>
      <c r="C109" s="33">
        <f t="shared" si="0"/>
        <v>69331875300.940002</v>
      </c>
      <c r="G109" s="37">
        <v>42461</v>
      </c>
      <c r="H109" s="33">
        <f t="shared" si="1"/>
        <v>44861340063.169998</v>
      </c>
      <c r="K109" s="43">
        <v>42491</v>
      </c>
      <c r="L109" s="12">
        <v>45906379388.75</v>
      </c>
    </row>
    <row r="110" spans="1:12">
      <c r="A110" s="62"/>
      <c r="B110" s="33" t="s">
        <v>3</v>
      </c>
      <c r="C110" s="33">
        <f t="shared" si="0"/>
        <v>64923288102.650002</v>
      </c>
      <c r="G110" s="37">
        <v>42491</v>
      </c>
      <c r="H110" s="33">
        <f t="shared" si="1"/>
        <v>45906379388.75</v>
      </c>
      <c r="K110" s="43">
        <v>42522</v>
      </c>
      <c r="L110" s="12">
        <v>49117830558.220001</v>
      </c>
    </row>
    <row r="111" spans="1:12">
      <c r="A111" s="62"/>
      <c r="B111" s="33" t="s">
        <v>2</v>
      </c>
      <c r="C111" s="33">
        <f t="shared" si="0"/>
        <v>50811667455.550003</v>
      </c>
      <c r="G111" s="37">
        <v>42522</v>
      </c>
      <c r="H111" s="33">
        <f t="shared" si="1"/>
        <v>49117830558.220001</v>
      </c>
      <c r="K111" s="43">
        <v>42552</v>
      </c>
      <c r="L111" s="12">
        <v>52311053156.260002</v>
      </c>
    </row>
    <row r="112" spans="1:12">
      <c r="A112" s="62"/>
      <c r="B112" s="33" t="s">
        <v>1</v>
      </c>
      <c r="G112" s="37">
        <v>42552</v>
      </c>
      <c r="H112" s="33">
        <f t="shared" si="1"/>
        <v>52311053156.260002</v>
      </c>
      <c r="K112" s="43">
        <v>42583</v>
      </c>
      <c r="L112" s="12">
        <v>57044014480.900002</v>
      </c>
    </row>
    <row r="113" spans="7:12">
      <c r="G113" s="37">
        <v>42583</v>
      </c>
      <c r="H113" s="33">
        <f t="shared" si="1"/>
        <v>57044014480.900002</v>
      </c>
      <c r="K113" s="43">
        <v>42614</v>
      </c>
      <c r="L113" s="12">
        <v>69331875300.940002</v>
      </c>
    </row>
    <row r="114" spans="7:12">
      <c r="G114" s="37">
        <v>42614</v>
      </c>
      <c r="H114" s="33">
        <f t="shared" si="1"/>
        <v>69331875300.940002</v>
      </c>
      <c r="K114" s="43">
        <v>42644</v>
      </c>
      <c r="L114" s="12">
        <v>64923288102.650002</v>
      </c>
    </row>
    <row r="115" spans="7:12">
      <c r="G115" s="37">
        <v>42644</v>
      </c>
      <c r="H115" s="33">
        <f t="shared" si="1"/>
        <v>64923288102.650002</v>
      </c>
      <c r="K115" s="43">
        <v>42675</v>
      </c>
      <c r="L115" s="12">
        <v>50811667455.550003</v>
      </c>
    </row>
    <row r="116" spans="7:12">
      <c r="G116" s="37">
        <v>42675</v>
      </c>
      <c r="H116" s="33">
        <f t="shared" si="1"/>
        <v>50811667455.550003</v>
      </c>
      <c r="K116" s="43">
        <v>42705</v>
      </c>
      <c r="L116" s="12">
        <v>73722066992.080002</v>
      </c>
    </row>
    <row r="117" spans="7:12">
      <c r="K117" s="43">
        <v>42736</v>
      </c>
      <c r="L117" s="12">
        <v>221404976</v>
      </c>
    </row>
  </sheetData>
  <sortState ref="G2:H106">
    <sortCondition ref="G40"/>
  </sortState>
  <mergeCells count="7">
    <mergeCell ref="A101:A112"/>
    <mergeCell ref="A89:A100"/>
    <mergeCell ref="A29:A40"/>
    <mergeCell ref="A41:A52"/>
    <mergeCell ref="A53:A64"/>
    <mergeCell ref="A65:A76"/>
    <mergeCell ref="A77:A88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25"/>
  <sheetViews>
    <sheetView tabSelected="1" workbookViewId="0">
      <selection activeCell="R39" sqref="R39"/>
    </sheetView>
  </sheetViews>
  <sheetFormatPr defaultRowHeight="15"/>
  <sheetData>
    <row r="1" spans="1:22">
      <c r="C1" s="48" t="s">
        <v>48</v>
      </c>
      <c r="D1" t="s">
        <v>47</v>
      </c>
      <c r="S1" s="48" t="s">
        <v>48</v>
      </c>
      <c r="T1" s="48" t="s">
        <v>47</v>
      </c>
    </row>
    <row r="2" spans="1:22">
      <c r="A2" s="50">
        <v>2015</v>
      </c>
      <c r="B2" s="48" t="s">
        <v>0</v>
      </c>
      <c r="C2" s="17">
        <v>74.8</v>
      </c>
      <c r="D2" s="17">
        <v>74.8</v>
      </c>
      <c r="E2" s="64">
        <f>D2-C2</f>
        <v>0</v>
      </c>
      <c r="F2" s="65">
        <f t="shared" ref="F2:F23" si="0">E2/C2</f>
        <v>0</v>
      </c>
      <c r="Q2" s="50">
        <v>2015</v>
      </c>
      <c r="R2" s="48" t="s">
        <v>0</v>
      </c>
      <c r="S2" s="21">
        <v>208</v>
      </c>
      <c r="T2" s="63">
        <v>208</v>
      </c>
      <c r="U2" s="64">
        <f>T2-S2</f>
        <v>0</v>
      </c>
      <c r="V2" s="65">
        <f t="shared" ref="V2:V23" si="1">U2/S2</f>
        <v>0</v>
      </c>
    </row>
    <row r="3" spans="1:22">
      <c r="A3" s="50"/>
      <c r="B3" s="48" t="s">
        <v>11</v>
      </c>
      <c r="C3" s="17">
        <v>76</v>
      </c>
      <c r="D3" s="17">
        <v>76</v>
      </c>
      <c r="E3" s="64">
        <f t="shared" ref="E3:E25" si="2">D3-C3</f>
        <v>0</v>
      </c>
      <c r="F3" s="65">
        <f t="shared" si="0"/>
        <v>0</v>
      </c>
      <c r="Q3" s="50"/>
      <c r="R3" s="48" t="s">
        <v>11</v>
      </c>
      <c r="S3" s="21">
        <v>207.8</v>
      </c>
      <c r="T3" s="63">
        <v>207.8</v>
      </c>
      <c r="U3" s="64">
        <f t="shared" ref="U3:U25" si="3">T3-S3</f>
        <v>0</v>
      </c>
      <c r="V3" s="65">
        <f t="shared" si="1"/>
        <v>0</v>
      </c>
    </row>
    <row r="4" spans="1:22">
      <c r="A4" s="50"/>
      <c r="B4" s="48" t="s">
        <v>10</v>
      </c>
      <c r="C4" s="17">
        <v>76.400000000000006</v>
      </c>
      <c r="D4" s="17">
        <v>76.400000000000006</v>
      </c>
      <c r="E4" s="64">
        <f t="shared" si="2"/>
        <v>0</v>
      </c>
      <c r="F4" s="65">
        <f t="shared" si="0"/>
        <v>0</v>
      </c>
      <c r="Q4" s="50"/>
      <c r="R4" s="48" t="s">
        <v>10</v>
      </c>
      <c r="S4" s="21">
        <v>209.4</v>
      </c>
      <c r="T4" s="63">
        <v>209.4</v>
      </c>
      <c r="U4" s="64">
        <f t="shared" si="3"/>
        <v>0</v>
      </c>
      <c r="V4" s="65">
        <f t="shared" si="1"/>
        <v>0</v>
      </c>
    </row>
    <row r="5" spans="1:22">
      <c r="A5" s="50"/>
      <c r="B5" s="48" t="s">
        <v>9</v>
      </c>
      <c r="C5" s="17">
        <v>77.900000000000006</v>
      </c>
      <c r="D5" s="17">
        <v>78.099999999999994</v>
      </c>
      <c r="E5" s="64">
        <f t="shared" si="2"/>
        <v>0.19999999999998863</v>
      </c>
      <c r="F5" s="65">
        <f t="shared" si="0"/>
        <v>2.5673940949934352E-3</v>
      </c>
      <c r="Q5" s="50"/>
      <c r="R5" s="48" t="s">
        <v>9</v>
      </c>
      <c r="S5" s="34">
        <v>210</v>
      </c>
      <c r="T5" s="34">
        <v>210.5</v>
      </c>
      <c r="U5" s="64">
        <f t="shared" si="3"/>
        <v>0.5</v>
      </c>
      <c r="V5" s="65">
        <f t="shared" si="1"/>
        <v>2.3809523809523812E-3</v>
      </c>
    </row>
    <row r="6" spans="1:22">
      <c r="A6" s="50"/>
      <c r="B6" s="48" t="s">
        <v>8</v>
      </c>
      <c r="C6" s="17">
        <v>78.3</v>
      </c>
      <c r="D6" s="17">
        <v>78.8</v>
      </c>
      <c r="E6" s="64">
        <f t="shared" si="2"/>
        <v>0.5</v>
      </c>
      <c r="F6" s="65">
        <f t="shared" si="0"/>
        <v>6.3856960408684551E-3</v>
      </c>
      <c r="Q6" s="50"/>
      <c r="R6" s="48" t="s">
        <v>8</v>
      </c>
      <c r="S6" s="21">
        <v>213</v>
      </c>
      <c r="T6" s="63">
        <v>214</v>
      </c>
      <c r="U6" s="64">
        <f t="shared" si="3"/>
        <v>1</v>
      </c>
      <c r="V6" s="65">
        <f t="shared" si="1"/>
        <v>4.6948356807511738E-3</v>
      </c>
    </row>
    <row r="7" spans="1:22">
      <c r="A7" s="50"/>
      <c r="B7" s="48" t="s">
        <v>7</v>
      </c>
      <c r="C7" s="17">
        <v>79.900000000000006</v>
      </c>
      <c r="D7" s="17">
        <v>80.599999999999994</v>
      </c>
      <c r="E7" s="64">
        <f t="shared" si="2"/>
        <v>0.69999999999998863</v>
      </c>
      <c r="F7" s="65">
        <f t="shared" si="0"/>
        <v>8.7609511889860901E-3</v>
      </c>
      <c r="Q7" s="50"/>
      <c r="R7" s="48" t="s">
        <v>7</v>
      </c>
      <c r="S7" s="21">
        <v>215.4</v>
      </c>
      <c r="T7" s="63">
        <v>216.9</v>
      </c>
      <c r="U7" s="64">
        <f t="shared" si="3"/>
        <v>1.5</v>
      </c>
      <c r="V7" s="65">
        <f t="shared" si="1"/>
        <v>6.9637883008356544E-3</v>
      </c>
    </row>
    <row r="8" spans="1:22">
      <c r="A8" s="50"/>
      <c r="B8" s="48" t="s">
        <v>6</v>
      </c>
      <c r="C8" s="48">
        <v>80.8</v>
      </c>
      <c r="D8" s="48">
        <v>81.8</v>
      </c>
      <c r="E8" s="64">
        <f t="shared" si="2"/>
        <v>1</v>
      </c>
      <c r="F8" s="65">
        <f t="shared" si="0"/>
        <v>1.2376237623762377E-2</v>
      </c>
      <c r="Q8" s="50"/>
      <c r="R8" s="48" t="s">
        <v>6</v>
      </c>
      <c r="S8" s="49">
        <v>218.1</v>
      </c>
      <c r="T8" s="49">
        <v>220.1</v>
      </c>
      <c r="U8" s="64">
        <f t="shared" si="3"/>
        <v>2</v>
      </c>
      <c r="V8" s="65">
        <f t="shared" si="1"/>
        <v>9.170105456212746E-3</v>
      </c>
    </row>
    <row r="9" spans="1:22">
      <c r="A9" s="50"/>
      <c r="B9" s="48" t="s">
        <v>5</v>
      </c>
      <c r="C9" s="48">
        <v>80.900000000000006</v>
      </c>
      <c r="D9" s="48">
        <v>82.1</v>
      </c>
      <c r="E9" s="64">
        <f t="shared" si="2"/>
        <v>1.1999999999999886</v>
      </c>
      <c r="F9" s="65">
        <f t="shared" si="0"/>
        <v>1.4833127317676002E-2</v>
      </c>
      <c r="Q9" s="50"/>
      <c r="R9" s="48" t="s">
        <v>5</v>
      </c>
      <c r="S9" s="49">
        <v>219.3</v>
      </c>
      <c r="T9" s="49">
        <v>221.8</v>
      </c>
      <c r="U9" s="64">
        <f t="shared" si="3"/>
        <v>2.5</v>
      </c>
      <c r="V9" s="65">
        <f t="shared" si="1"/>
        <v>1.1399908800729594E-2</v>
      </c>
    </row>
    <row r="10" spans="1:22">
      <c r="A10" s="50"/>
      <c r="B10" s="48" t="s">
        <v>4</v>
      </c>
      <c r="C10" s="17">
        <v>80.8</v>
      </c>
      <c r="D10" s="17">
        <v>82.3</v>
      </c>
      <c r="E10" s="64">
        <f t="shared" si="2"/>
        <v>1.5</v>
      </c>
      <c r="F10" s="65">
        <f t="shared" si="0"/>
        <v>1.8564356435643563E-2</v>
      </c>
      <c r="Q10" s="50"/>
      <c r="R10" s="48" t="s">
        <v>4</v>
      </c>
      <c r="S10" s="49">
        <v>221</v>
      </c>
      <c r="T10" s="49">
        <v>224.1</v>
      </c>
      <c r="U10" s="64">
        <f t="shared" si="3"/>
        <v>3.0999999999999943</v>
      </c>
      <c r="V10" s="65">
        <f t="shared" si="1"/>
        <v>1.4027149321266943E-2</v>
      </c>
    </row>
    <row r="11" spans="1:22">
      <c r="A11" s="50"/>
      <c r="B11" s="48" t="s">
        <v>3</v>
      </c>
      <c r="C11" s="48">
        <v>79.8</v>
      </c>
      <c r="D11" s="48">
        <v>81.5</v>
      </c>
      <c r="E11" s="64">
        <f t="shared" si="2"/>
        <v>1.7000000000000028</v>
      </c>
      <c r="F11" s="65">
        <f t="shared" si="0"/>
        <v>2.1303258145363446E-2</v>
      </c>
      <c r="Q11" s="50"/>
      <c r="R11" s="48" t="s">
        <v>3</v>
      </c>
      <c r="S11" s="49">
        <v>221.6</v>
      </c>
      <c r="T11" s="49">
        <v>225.2</v>
      </c>
      <c r="U11" s="64">
        <f t="shared" si="3"/>
        <v>3.5999999999999943</v>
      </c>
      <c r="V11" s="65">
        <f t="shared" si="1"/>
        <v>1.6245487364620913E-2</v>
      </c>
    </row>
    <row r="12" spans="1:22">
      <c r="A12" s="50"/>
      <c r="B12" s="48" t="s">
        <v>2</v>
      </c>
      <c r="C12" s="48">
        <v>80</v>
      </c>
      <c r="D12" s="48">
        <v>81.900000000000006</v>
      </c>
      <c r="E12" s="64">
        <f t="shared" si="2"/>
        <v>1.9000000000000057</v>
      </c>
      <c r="F12" s="65">
        <f t="shared" si="0"/>
        <v>2.375000000000007E-2</v>
      </c>
      <c r="Q12" s="50"/>
      <c r="R12" s="48" t="s">
        <v>2</v>
      </c>
      <c r="S12" s="49">
        <v>221.3</v>
      </c>
      <c r="T12" s="49">
        <v>225.4</v>
      </c>
      <c r="U12" s="64">
        <f t="shared" si="3"/>
        <v>4.0999999999999943</v>
      </c>
      <c r="V12" s="65">
        <f t="shared" si="1"/>
        <v>1.8526886579304087E-2</v>
      </c>
    </row>
    <row r="13" spans="1:22">
      <c r="A13" s="50"/>
      <c r="B13" s="48" t="s">
        <v>1</v>
      </c>
      <c r="C13" s="48">
        <v>80.5</v>
      </c>
      <c r="D13" s="48">
        <v>82.7</v>
      </c>
      <c r="E13" s="64">
        <f t="shared" si="2"/>
        <v>2.2000000000000028</v>
      </c>
      <c r="F13" s="65">
        <f t="shared" si="0"/>
        <v>2.7329192546583888E-2</v>
      </c>
      <c r="Q13" s="50"/>
      <c r="R13" s="48" t="s">
        <v>1</v>
      </c>
      <c r="S13" s="49">
        <v>220.5</v>
      </c>
      <c r="T13" s="49">
        <v>225.1</v>
      </c>
      <c r="U13" s="64">
        <f t="shared" si="3"/>
        <v>4.5999999999999943</v>
      </c>
      <c r="V13" s="65">
        <f t="shared" si="1"/>
        <v>2.086167800453512E-2</v>
      </c>
    </row>
    <row r="14" spans="1:22">
      <c r="A14" s="50">
        <v>2016</v>
      </c>
      <c r="B14" s="48" t="s">
        <v>0</v>
      </c>
      <c r="C14" s="48">
        <v>80</v>
      </c>
      <c r="D14" s="48">
        <v>82.4</v>
      </c>
      <c r="E14" s="64">
        <f t="shared" si="2"/>
        <v>2.4000000000000057</v>
      </c>
      <c r="F14" s="65">
        <f t="shared" si="0"/>
        <v>3.0000000000000072E-2</v>
      </c>
      <c r="Q14" s="50">
        <v>2016</v>
      </c>
      <c r="R14" s="48" t="s">
        <v>0</v>
      </c>
      <c r="S14" s="48">
        <v>219</v>
      </c>
      <c r="T14" s="48">
        <v>224.1</v>
      </c>
      <c r="U14" s="64">
        <f t="shared" si="3"/>
        <v>5.0999999999999943</v>
      </c>
      <c r="V14" s="65">
        <f t="shared" si="1"/>
        <v>2.3287671232876686E-2</v>
      </c>
    </row>
    <row r="15" spans="1:22">
      <c r="A15" s="50"/>
      <c r="B15" s="48" t="s">
        <v>11</v>
      </c>
      <c r="C15" s="48">
        <v>79.2</v>
      </c>
      <c r="D15" s="48">
        <v>81.900000000000006</v>
      </c>
      <c r="E15" s="64">
        <f t="shared" si="2"/>
        <v>2.7000000000000028</v>
      </c>
      <c r="F15" s="65">
        <f t="shared" si="0"/>
        <v>3.4090909090909123E-2</v>
      </c>
      <c r="Q15" s="50"/>
      <c r="R15" s="48" t="s">
        <v>11</v>
      </c>
      <c r="S15" s="48">
        <v>217.7</v>
      </c>
      <c r="T15" s="48">
        <v>223.3</v>
      </c>
      <c r="U15" s="64">
        <f t="shared" si="3"/>
        <v>5.6000000000000227</v>
      </c>
      <c r="V15" s="65">
        <f t="shared" si="1"/>
        <v>2.5723472668810397E-2</v>
      </c>
    </row>
    <row r="16" spans="1:22">
      <c r="A16" s="50"/>
      <c r="B16" s="48" t="s">
        <v>10</v>
      </c>
      <c r="C16" s="48">
        <v>79.099999999999994</v>
      </c>
      <c r="D16" s="48">
        <v>82</v>
      </c>
      <c r="E16" s="64">
        <f t="shared" si="2"/>
        <v>2.9000000000000057</v>
      </c>
      <c r="F16" s="65">
        <f t="shared" si="0"/>
        <v>3.6662452591656208E-2</v>
      </c>
      <c r="Q16" s="50"/>
      <c r="R16" s="48" t="s">
        <v>10</v>
      </c>
      <c r="S16" s="48">
        <v>219.4</v>
      </c>
      <c r="T16" s="48">
        <v>225.5</v>
      </c>
      <c r="U16" s="64">
        <f t="shared" si="3"/>
        <v>6.0999999999999943</v>
      </c>
      <c r="V16" s="65">
        <f t="shared" si="1"/>
        <v>2.7803099361896053E-2</v>
      </c>
    </row>
    <row r="17" spans="1:22">
      <c r="A17" s="50"/>
      <c r="B17" s="48" t="s">
        <v>9</v>
      </c>
      <c r="C17" s="48">
        <v>80.5</v>
      </c>
      <c r="D17" s="48">
        <v>83.2</v>
      </c>
      <c r="E17" s="64">
        <f t="shared" si="2"/>
        <v>2.7000000000000028</v>
      </c>
      <c r="F17" s="65">
        <f t="shared" si="0"/>
        <v>3.3540372670807492E-2</v>
      </c>
      <c r="Q17" s="50"/>
      <c r="R17" s="48" t="s">
        <v>9</v>
      </c>
      <c r="S17" s="48">
        <v>220.5</v>
      </c>
      <c r="T17" s="48">
        <v>226.7</v>
      </c>
      <c r="U17" s="64">
        <f t="shared" si="3"/>
        <v>6.1999999999999886</v>
      </c>
      <c r="V17" s="65">
        <f t="shared" si="1"/>
        <v>2.8117913832199495E-2</v>
      </c>
    </row>
    <row r="18" spans="1:22">
      <c r="A18" s="50"/>
      <c r="B18" s="48" t="s">
        <v>8</v>
      </c>
      <c r="C18" s="48">
        <v>81.3</v>
      </c>
      <c r="D18" s="48">
        <v>84.1</v>
      </c>
      <c r="E18" s="64">
        <f t="shared" si="2"/>
        <v>2.7999999999999972</v>
      </c>
      <c r="F18" s="65">
        <f t="shared" si="0"/>
        <v>3.4440344403443998E-2</v>
      </c>
      <c r="Q18" s="50"/>
      <c r="R18" s="48" t="s">
        <v>8</v>
      </c>
      <c r="S18" s="48">
        <v>219.8</v>
      </c>
      <c r="T18" s="48">
        <v>226</v>
      </c>
      <c r="U18" s="64">
        <f t="shared" si="3"/>
        <v>6.1999999999999886</v>
      </c>
      <c r="V18" s="65">
        <f t="shared" si="1"/>
        <v>2.8207461328480385E-2</v>
      </c>
    </row>
    <row r="19" spans="1:22">
      <c r="A19" s="50"/>
      <c r="B19" s="48" t="s">
        <v>7</v>
      </c>
      <c r="C19" s="48">
        <v>84.4</v>
      </c>
      <c r="D19" s="48">
        <v>87.3</v>
      </c>
      <c r="E19" s="64">
        <f t="shared" si="2"/>
        <v>2.8999999999999915</v>
      </c>
      <c r="F19" s="65">
        <f t="shared" si="0"/>
        <v>3.4360189573459612E-2</v>
      </c>
      <c r="Q19" s="50"/>
      <c r="R19" s="48" t="s">
        <v>7</v>
      </c>
      <c r="S19" s="48">
        <v>222.4</v>
      </c>
      <c r="T19" s="48">
        <v>228.7</v>
      </c>
      <c r="U19" s="64">
        <f t="shared" si="3"/>
        <v>6.2999999999999829</v>
      </c>
      <c r="V19" s="65">
        <f t="shared" si="1"/>
        <v>2.8327338129496324E-2</v>
      </c>
    </row>
    <row r="20" spans="1:22">
      <c r="A20" s="50"/>
      <c r="B20" s="48" t="s">
        <v>6</v>
      </c>
      <c r="C20" s="48">
        <v>86.9</v>
      </c>
      <c r="D20" s="48">
        <v>89.8</v>
      </c>
      <c r="E20" s="64">
        <f t="shared" si="2"/>
        <v>2.8999999999999915</v>
      </c>
      <c r="F20" s="65">
        <f t="shared" si="0"/>
        <v>3.33716915995396E-2</v>
      </c>
      <c r="Q20" s="50"/>
      <c r="R20" s="48" t="s">
        <v>6</v>
      </c>
      <c r="S20" s="48">
        <v>225</v>
      </c>
      <c r="T20" s="48">
        <v>231.3</v>
      </c>
      <c r="U20" s="64">
        <f t="shared" si="3"/>
        <v>6.3000000000000114</v>
      </c>
      <c r="V20" s="65">
        <f t="shared" si="1"/>
        <v>2.8000000000000049E-2</v>
      </c>
    </row>
    <row r="21" spans="1:22">
      <c r="A21" s="50"/>
      <c r="B21" s="48" t="s">
        <v>5</v>
      </c>
      <c r="C21" s="48">
        <v>87.7</v>
      </c>
      <c r="D21" s="48">
        <v>90.7</v>
      </c>
      <c r="E21" s="64">
        <f t="shared" si="2"/>
        <v>3</v>
      </c>
      <c r="F21" s="65">
        <f t="shared" si="0"/>
        <v>3.4207525655644243E-2</v>
      </c>
      <c r="Q21" s="50"/>
      <c r="R21" s="48" t="s">
        <v>5</v>
      </c>
      <c r="S21" s="48">
        <v>225.1</v>
      </c>
      <c r="T21" s="48">
        <v>231.4</v>
      </c>
      <c r="U21" s="64">
        <f t="shared" si="3"/>
        <v>6.3000000000000114</v>
      </c>
      <c r="V21" s="65">
        <f t="shared" si="1"/>
        <v>2.7987561083962734E-2</v>
      </c>
    </row>
    <row r="22" spans="1:22">
      <c r="A22" s="50"/>
      <c r="B22" s="48" t="s">
        <v>4</v>
      </c>
      <c r="C22" s="48">
        <v>87.3</v>
      </c>
      <c r="D22" s="48">
        <v>90.2</v>
      </c>
      <c r="E22" s="64">
        <f t="shared" si="2"/>
        <v>2.9000000000000057</v>
      </c>
      <c r="F22" s="65">
        <f t="shared" si="0"/>
        <v>3.3218785796105453E-2</v>
      </c>
      <c r="Q22" s="50"/>
      <c r="R22" s="48" t="s">
        <v>4</v>
      </c>
      <c r="S22" s="48">
        <v>227.9</v>
      </c>
      <c r="T22" s="48">
        <v>234.4</v>
      </c>
      <c r="U22" s="64">
        <f t="shared" si="3"/>
        <v>6.5</v>
      </c>
      <c r="V22" s="65">
        <f t="shared" si="1"/>
        <v>2.8521281263712155E-2</v>
      </c>
    </row>
    <row r="23" spans="1:22">
      <c r="A23" s="50"/>
      <c r="B23" s="48" t="s">
        <v>3</v>
      </c>
      <c r="C23" s="48">
        <v>88.5</v>
      </c>
      <c r="D23" s="48">
        <v>91.3</v>
      </c>
      <c r="E23" s="64">
        <f t="shared" si="2"/>
        <v>2.7999999999999972</v>
      </c>
      <c r="F23" s="65">
        <f t="shared" si="0"/>
        <v>3.1638418079096016E-2</v>
      </c>
      <c r="Q23" s="50"/>
      <c r="R23" s="48" t="s">
        <v>3</v>
      </c>
      <c r="S23" s="48">
        <v>229.6</v>
      </c>
      <c r="T23" s="48">
        <v>236</v>
      </c>
      <c r="U23" s="64">
        <f t="shared" si="3"/>
        <v>6.4000000000000057</v>
      </c>
      <c r="V23" s="65">
        <f t="shared" si="1"/>
        <v>2.7874564459930338E-2</v>
      </c>
    </row>
    <row r="24" spans="1:22">
      <c r="A24" s="50"/>
      <c r="B24" s="48" t="s">
        <v>2</v>
      </c>
      <c r="C24" s="48">
        <v>89.5</v>
      </c>
      <c r="D24" s="48">
        <v>92.4</v>
      </c>
      <c r="E24" s="64">
        <f t="shared" si="2"/>
        <v>2.9000000000000057</v>
      </c>
      <c r="F24" s="65">
        <f>E24/C24</f>
        <v>3.2402234636871571E-2</v>
      </c>
      <c r="Q24" s="50"/>
      <c r="R24" s="48" t="s">
        <v>2</v>
      </c>
      <c r="S24" s="48">
        <v>232.6</v>
      </c>
      <c r="T24" s="48">
        <v>238.9</v>
      </c>
      <c r="U24" s="64">
        <f t="shared" si="3"/>
        <v>6.3000000000000114</v>
      </c>
      <c r="V24" s="65">
        <f>U24/S24</f>
        <v>2.7085124677558088E-2</v>
      </c>
    </row>
    <row r="25" spans="1:22">
      <c r="A25" s="50"/>
      <c r="B25" s="48" t="s">
        <v>1</v>
      </c>
      <c r="C25" s="48"/>
      <c r="D25" s="48">
        <v>93.8</v>
      </c>
      <c r="E25" s="64"/>
      <c r="Q25" s="50"/>
      <c r="R25" s="48" t="s">
        <v>1</v>
      </c>
      <c r="S25" s="48"/>
      <c r="T25" s="48">
        <v>240.5</v>
      </c>
      <c r="U25" s="64"/>
    </row>
  </sheetData>
  <mergeCells count="4">
    <mergeCell ref="A2:A13"/>
    <mergeCell ref="A14:A25"/>
    <mergeCell ref="Q2:Q13"/>
    <mergeCell ref="Q14:Q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Report</vt:lpstr>
      <vt:lpstr>Total</vt:lpstr>
      <vt:lpstr>Mortgage loan brokers</vt:lpstr>
      <vt:lpstr>Real estate credit</vt:lpstr>
      <vt:lpstr>Issue Amount</vt:lpstr>
      <vt:lpstr>Sheet1</vt:lpstr>
      <vt:lpstr>CurrentCloseDate</vt:lpstr>
      <vt:lpstr>DatabaseEnv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2017-01-06T22:38:24Z</cp:lastPrinted>
  <dcterms:created xsi:type="dcterms:W3CDTF">2015-03-12T13:39:23Z</dcterms:created>
  <dcterms:modified xsi:type="dcterms:W3CDTF">2017-02-13T19:02:22Z</dcterms:modified>
</cp:coreProperties>
</file>