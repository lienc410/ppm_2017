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queryTables/queryTable11.xml" ContentType="application/vnd.openxmlformats-officedocument.spreadsheetml.query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9185" yWindow="-15" windowWidth="9600" windowHeight="21240" activeTab="5"/>
  </bookViews>
  <sheets>
    <sheet name="Curt" sheetId="1" r:id="rId1"/>
    <sheet name="Dflt" sheetId="2" r:id="rId2"/>
    <sheet name="Turn" sheetId="3" r:id="rId3"/>
    <sheet name="Refi" sheetId="4" r:id="rId4"/>
    <sheet name="Dflt0709" sheetId="6" r:id="rId5"/>
    <sheet name="Turn0709" sheetId="5" r:id="rId6"/>
    <sheet name="Refi0709" sheetId="7" r:id="rId7"/>
  </sheets>
  <definedNames>
    <definedName name="aa" localSheetId="0">Curt!#REF!</definedName>
    <definedName name="aa" localSheetId="1">Dflt!#REF!</definedName>
    <definedName name="aa" localSheetId="3">Refi!$H$18:$R$19</definedName>
    <definedName name="aa" localSheetId="2">Turn!$C$20:$G$21</definedName>
    <definedName name="aa_1" localSheetId="0">Curt!$B$4:$U$5</definedName>
    <definedName name="aa_1" localSheetId="1">Dflt!$C$4:$AA$9</definedName>
    <definedName name="aa_1" localSheetId="3">Refi!#REF!</definedName>
    <definedName name="aa_1" localSheetId="6">Refi0709!$E$48:$R$87</definedName>
    <definedName name="aa_1" localSheetId="2">Turn!$C$4:$M$9</definedName>
    <definedName name="aa_2" localSheetId="0">Curt!$D$34:$W$34</definedName>
    <definedName name="aa_2" localSheetId="1">Dflt!#REF!</definedName>
    <definedName name="aa_2" localSheetId="3">Refi!$I$25:$O$26</definedName>
    <definedName name="aa_2" localSheetId="2">Turn!$I$15:$Q$18</definedName>
    <definedName name="aa_3" localSheetId="1">Dflt!#REF!</definedName>
    <definedName name="aa_3" localSheetId="3">Refi!$H$20:$M$21</definedName>
    <definedName name="aa_3" localSheetId="2">Turn!$B$16:$H$17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9" i="5" l="1"/>
  <c r="AD4" i="4" l="1"/>
  <c r="AD6" i="4"/>
  <c r="AD7" i="4"/>
  <c r="AD8" i="4"/>
  <c r="AD5" i="4"/>
  <c r="AA7" i="4"/>
  <c r="AA8" i="4"/>
  <c r="AA9" i="4"/>
  <c r="AA10" i="4"/>
  <c r="AA11" i="4"/>
  <c r="AA6" i="4"/>
  <c r="AA4" i="4"/>
  <c r="X5" i="4"/>
  <c r="X6" i="4"/>
  <c r="X7" i="4"/>
  <c r="X8" i="4"/>
  <c r="X9" i="4"/>
  <c r="X4" i="4"/>
  <c r="U5" i="4"/>
  <c r="U6" i="4"/>
  <c r="U7" i="4"/>
  <c r="U8" i="4"/>
  <c r="U9" i="4"/>
  <c r="U10" i="4"/>
  <c r="U11" i="4"/>
  <c r="U4" i="4"/>
  <c r="X18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AA10" i="2"/>
  <c r="W5" i="3" l="1"/>
  <c r="W6" i="3"/>
  <c r="W7" i="3"/>
  <c r="W8" i="3"/>
  <c r="W9" i="3"/>
  <c r="W10" i="3"/>
  <c r="W4" i="3"/>
  <c r="Z5" i="3"/>
  <c r="Z6" i="3"/>
  <c r="Z7" i="3"/>
  <c r="Z8" i="3"/>
  <c r="Z9" i="3"/>
  <c r="Z10" i="3"/>
  <c r="Z4" i="3"/>
  <c r="Q4" i="3"/>
  <c r="T4" i="3"/>
  <c r="T5" i="3"/>
  <c r="T6" i="3"/>
  <c r="T7" i="3"/>
  <c r="T8" i="3"/>
  <c r="N10" i="2" l="1"/>
  <c r="N5" i="2"/>
  <c r="N6" i="2"/>
  <c r="N7" i="2"/>
  <c r="N8" i="2"/>
  <c r="N9" i="2"/>
  <c r="N4" i="2"/>
  <c r="R4" i="2"/>
  <c r="U4" i="2"/>
  <c r="L10" i="2"/>
  <c r="L5" i="2"/>
  <c r="L6" i="2"/>
  <c r="AA6" i="2" s="1"/>
  <c r="L7" i="2"/>
  <c r="AA7" i="2" s="1"/>
  <c r="L8" i="2"/>
  <c r="L9" i="2"/>
  <c r="L4" i="2"/>
  <c r="AA4" i="2" s="1"/>
  <c r="AA5" i="2"/>
  <c r="AA8" i="2"/>
  <c r="AA9" i="2"/>
  <c r="U5" i="2"/>
  <c r="U6" i="2"/>
  <c r="U7" i="2"/>
  <c r="U8" i="2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5" i="1"/>
  <c r="I4" i="1"/>
</calcChain>
</file>

<file path=xl/connections.xml><?xml version="1.0" encoding="utf-8"?>
<connections xmlns="http://schemas.openxmlformats.org/spreadsheetml/2006/main">
  <connection id="1" name="aa" type="6" refreshedVersion="5" background="1" saveData="1">
    <textPr codePage="437" sourceFile="C:\Users\lien.chen\Desktop\aa.txt" space="1" consecutive="1">
      <textFields count="5">
        <textField/>
        <textField/>
        <textField/>
        <textField/>
        <textField/>
      </textFields>
    </textPr>
  </connection>
  <connection id="2" name="aa1" type="6" refreshedVersion="5" background="1" saveData="1">
    <textPr codePage="437" sourceFile="C:\Users\lien.chen\Desktop\aa.txt" space="1" consecutive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aa2" type="6" refreshedVersion="5" background="1" saveData="1">
    <textPr codePage="437" sourceFile="C:\Users\lien.chen\Desktop\aa.txt" space="1" consecutive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aa3" type="6" refreshedVersion="5" background="1" saveData="1">
    <textPr codePage="437" sourceFile="C:\Users\lien.chen\Desktop\aa.txt" space="1" consecutive="1">
      <textFields count="7">
        <textField/>
        <textField/>
        <textField/>
        <textField/>
        <textField/>
        <textField/>
        <textField/>
      </textFields>
    </textPr>
  </connection>
  <connection id="5" name="aa31" type="6" refreshedVersion="5" background="1">
    <textPr codePage="437" sourceFile="C:\Users\lien.chen\Desktop\aa.txt" space="1" comma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aa32" type="6" refreshedVersion="5" background="1" saveData="1">
    <textPr codePage="437" sourceFile="C:\Users\lien.chen\Desktop\aa.txt" space="1" comma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aa4" type="6" refreshedVersion="4" background="1" saveData="1">
    <textPr codePage="437" sourceFile="C:\Users\lien.chen\Desktop\aa.txt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name="aa5" type="6" refreshedVersion="4" background="1" saveData="1">
    <textPr codePage="437" sourceFile="C:\Users\lien.chen\Desktop\aa.txt" space="1" consecutive="1">
      <textFields count="7">
        <textField/>
        <textField/>
        <textField/>
        <textField/>
        <textField/>
        <textField/>
        <textField/>
      </textFields>
    </textPr>
  </connection>
  <connection id="9" name="aa51" type="6" refreshedVersion="5" background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10" name="aa52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11" name="aa6" type="6" refreshedVersion="5" background="1" saveData="1">
    <textPr codePage="437" sourceFile="C:\Users\lien.chen\Desktop\aa.txt" space="1" consecutive="1">
      <textFields count="5">
        <textField/>
        <textField/>
        <textField/>
        <textField/>
        <textField/>
      </textFields>
    </textPr>
  </connection>
  <connection id="12" name="aa7" type="6" refreshedVersion="4" background="1" saveData="1">
    <textPr codePage="437" sourceFile="C:\Users\lien.chen\Desktop\aa.txt" space="1" consecutive="1">
      <textFields count="6">
        <textField/>
        <textField/>
        <textField/>
        <textField/>
        <textField/>
        <textField/>
      </textFields>
    </textPr>
  </connection>
  <connection id="13" name="aa8" type="6" refreshedVersion="4" background="1" saveData="1">
    <textPr codePage="437" sourceFile="C:\Users\lien.chen\Desktop\aa.txt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<sst xmlns="http://schemas.openxmlformats.org/spreadsheetml/2006/main" count="160" uniqueCount="42">
  <si>
    <t>curt</t>
  </si>
  <si>
    <t>knots</t>
  </si>
  <si>
    <t>knot</t>
  </si>
  <si>
    <t>curt.Rate</t>
  </si>
  <si>
    <t>difference</t>
  </si>
  <si>
    <t>const</t>
  </si>
  <si>
    <t>cltv</t>
  </si>
  <si>
    <t>wala</t>
  </si>
  <si>
    <t>fico</t>
  </si>
  <si>
    <t>used</t>
  </si>
  <si>
    <t>optim</t>
  </si>
  <si>
    <t xml:space="preserve">Bin's </t>
  </si>
  <si>
    <t>Lien's</t>
  </si>
  <si>
    <t>Bin's</t>
  </si>
  <si>
    <t>cltv.knots</t>
  </si>
  <si>
    <t>cltv.optim</t>
  </si>
  <si>
    <t>fico.knots</t>
  </si>
  <si>
    <t>fico.optim</t>
  </si>
  <si>
    <t>wala.knots</t>
  </si>
  <si>
    <t>wala.optim</t>
  </si>
  <si>
    <t>incentive</t>
  </si>
  <si>
    <t>lockin.knots</t>
  </si>
  <si>
    <t>lockin.optim</t>
  </si>
  <si>
    <t>burnout</t>
  </si>
  <si>
    <t>acls</t>
  </si>
  <si>
    <t>incentive.knots</t>
  </si>
  <si>
    <t>incentive.optim</t>
  </si>
  <si>
    <t>factor.knots</t>
  </si>
  <si>
    <t>factor.optim</t>
  </si>
  <si>
    <t>acls.knots</t>
  </si>
  <si>
    <t>acls.optim</t>
  </si>
  <si>
    <t>calculated</t>
  </si>
  <si>
    <t>after bug fix</t>
  </si>
  <si>
    <t>equal to Lien's calculation</t>
  </si>
  <si>
    <t>bug fixed</t>
  </si>
  <si>
    <t>smm.weighted.mean</t>
  </si>
  <si>
    <t>Lien one time read DB</t>
  </si>
  <si>
    <t>Bin</t>
  </si>
  <si>
    <t>Lien three times read DB</t>
  </si>
  <si>
    <t>bin</t>
  </si>
  <si>
    <t>lien</t>
  </si>
  <si>
    <t>Chunnip: Lock in should stop at 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</si>
</sst>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9" fontId="0" fillId="0" borderId="0" xfId="1" applyFont="1"/>
    <xf numFmtId="11" fontId="0" fillId="0" borderId="0" xfId="0" applyNumberFormat="1"/>
    <xf numFmtId="0" fontId="2" fillId="2" borderId="0" xfId="2"/>
  </cellXfs>
  <cellStyles count="3">
    <cellStyle name="Bad" xfId="2" builtinId="27"/>
    <cellStyle name="Normal" xfId="0" builtinId="0"/>
    <cellStyle name="Percent" xfId="1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Curt!$D$3</c:f>
              <c:strCache>
                <c:ptCount val="1"/>
                <c:pt idx="0">
                  <c:v>optim</c:v>
                </c:pt>
              </c:strCache>
            </c:strRef>
          </c:tx>
          <c:marker>
            <c:symbol val="none"/>
          </c:marker>
          <c:val>
            <c:numRef>
              <c:f>Curt!$D$4:$D$23</c:f>
              <c:numCache>
                <c:formatCode>General</c:formatCode>
                <c:ptCount val="20"/>
                <c:pt idx="0">
                  <c:v>2.6085409999999998E-3</c:v>
                </c:pt>
                <c:pt idx="1">
                  <c:v>4.3841699999999997E-3</c:v>
                </c:pt>
                <c:pt idx="2">
                  <c:v>8.6651260000000004E-3</c:v>
                </c:pt>
                <c:pt idx="3">
                  <c:v>8.0016719999999996E-3</c:v>
                </c:pt>
                <c:pt idx="4">
                  <c:v>1.6312075999999998E-2</c:v>
                </c:pt>
                <c:pt idx="5">
                  <c:v>5.660053E-3</c:v>
                </c:pt>
                <c:pt idx="6">
                  <c:v>1.0441379000000001E-2</c:v>
                </c:pt>
                <c:pt idx="7">
                  <c:v>8.7196930000000006E-3</c:v>
                </c:pt>
                <c:pt idx="8">
                  <c:v>5.8566119999999998E-3</c:v>
                </c:pt>
                <c:pt idx="9">
                  <c:v>9.1143119999999994E-3</c:v>
                </c:pt>
                <c:pt idx="10">
                  <c:v>5.2668089999999999E-3</c:v>
                </c:pt>
                <c:pt idx="11">
                  <c:v>1.3111275E-2</c:v>
                </c:pt>
                <c:pt idx="12">
                  <c:v>2.1319937000000001E-2</c:v>
                </c:pt>
                <c:pt idx="13">
                  <c:v>1.69068E-2</c:v>
                </c:pt>
                <c:pt idx="14">
                  <c:v>2.1977757000000001E-2</c:v>
                </c:pt>
                <c:pt idx="15">
                  <c:v>2.5824336E-2</c:v>
                </c:pt>
                <c:pt idx="16">
                  <c:v>2.1181531999999999E-2</c:v>
                </c:pt>
                <c:pt idx="17">
                  <c:v>6.8068249999999997E-2</c:v>
                </c:pt>
                <c:pt idx="18">
                  <c:v>0.22232697000000001</c:v>
                </c:pt>
                <c:pt idx="19">
                  <c:v>0.299436021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Curt!$G$3</c:f>
              <c:strCache>
                <c:ptCount val="1"/>
                <c:pt idx="0">
                  <c:v>curt.Rate</c:v>
                </c:pt>
              </c:strCache>
            </c:strRef>
          </c:tx>
          <c:marker>
            <c:symbol val="none"/>
          </c:marker>
          <c:val>
            <c:numRef>
              <c:f>Curt!$G$4:$G$23</c:f>
              <c:numCache>
                <c:formatCode>General</c:formatCode>
                <c:ptCount val="20"/>
                <c:pt idx="0">
                  <c:v>2.6085409999999998E-3</c:v>
                </c:pt>
                <c:pt idx="1">
                  <c:v>4.3841699999999997E-3</c:v>
                </c:pt>
                <c:pt idx="2">
                  <c:v>8.6651260000000004E-3</c:v>
                </c:pt>
                <c:pt idx="3">
                  <c:v>8.0016719999999996E-3</c:v>
                </c:pt>
                <c:pt idx="4">
                  <c:v>1.6312075999999998E-2</c:v>
                </c:pt>
                <c:pt idx="5">
                  <c:v>5.660053E-3</c:v>
                </c:pt>
                <c:pt idx="6">
                  <c:v>1.0441379000000001E-2</c:v>
                </c:pt>
                <c:pt idx="7">
                  <c:v>8.7196930000000006E-3</c:v>
                </c:pt>
                <c:pt idx="8">
                  <c:v>5.8566119999999998E-3</c:v>
                </c:pt>
                <c:pt idx="9">
                  <c:v>9.1143119999999994E-3</c:v>
                </c:pt>
                <c:pt idx="10">
                  <c:v>5.2668089999999999E-3</c:v>
                </c:pt>
                <c:pt idx="11">
                  <c:v>1.3111275E-2</c:v>
                </c:pt>
                <c:pt idx="12">
                  <c:v>2.1319937000000001E-2</c:v>
                </c:pt>
                <c:pt idx="13">
                  <c:v>1.69068E-2</c:v>
                </c:pt>
                <c:pt idx="14">
                  <c:v>2.1977757000000001E-2</c:v>
                </c:pt>
                <c:pt idx="15">
                  <c:v>2.5824336E-2</c:v>
                </c:pt>
                <c:pt idx="16">
                  <c:v>2.1181531999999999E-2</c:v>
                </c:pt>
                <c:pt idx="17">
                  <c:v>6.8068249999999997E-2</c:v>
                </c:pt>
                <c:pt idx="18">
                  <c:v>0.22232697000000001</c:v>
                </c:pt>
                <c:pt idx="19">
                  <c:v>0.299436021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31008"/>
        <c:axId val="106732544"/>
      </c:lineChart>
      <c:catAx>
        <c:axId val="1067310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6732544"/>
        <c:crosses val="autoZero"/>
        <c:auto val="1"/>
        <c:lblAlgn val="ctr"/>
        <c:lblOffset val="100"/>
        <c:noMultiLvlLbl val="0"/>
      </c:catAx>
      <c:valAx>
        <c:axId val="10673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73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Dflt!$E$3</c:f>
              <c:strCache>
                <c:ptCount val="1"/>
                <c:pt idx="0">
                  <c:v>optim</c:v>
                </c:pt>
              </c:strCache>
            </c:strRef>
          </c:tx>
          <c:marker>
            <c:symbol val="none"/>
          </c:marker>
          <c:val>
            <c:numRef>
              <c:f>Dflt!$E$4:$E$8</c:f>
              <c:numCache>
                <c:formatCode>General</c:formatCode>
                <c:ptCount val="5"/>
                <c:pt idx="0">
                  <c:v>0.14410690000000001</c:v>
                </c:pt>
                <c:pt idx="1">
                  <c:v>0.71845300000000001</c:v>
                </c:pt>
                <c:pt idx="2">
                  <c:v>0.40717429999999999</c:v>
                </c:pt>
                <c:pt idx="3">
                  <c:v>1.3108302999999999</c:v>
                </c:pt>
                <c:pt idx="4">
                  <c:v>4.0442026000000002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Dflt!$T$3</c:f>
              <c:strCache>
                <c:ptCount val="1"/>
                <c:pt idx="0">
                  <c:v>cltv.optim</c:v>
                </c:pt>
              </c:strCache>
            </c:strRef>
          </c:tx>
          <c:marker>
            <c:symbol val="none"/>
          </c:marker>
          <c:val>
            <c:numRef>
              <c:f>Dflt!$T$4:$T$8</c:f>
              <c:numCache>
                <c:formatCode>General</c:formatCode>
                <c:ptCount val="5"/>
                <c:pt idx="0">
                  <c:v>0.144106928</c:v>
                </c:pt>
                <c:pt idx="1">
                  <c:v>0.71845300599999995</c:v>
                </c:pt>
                <c:pt idx="2">
                  <c:v>0.407174282</c:v>
                </c:pt>
                <c:pt idx="3">
                  <c:v>1.31083029</c:v>
                </c:pt>
                <c:pt idx="4">
                  <c:v>4.0442025839999998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021632"/>
        <c:axId val="95600640"/>
      </c:lineChart>
      <c:catAx>
        <c:axId val="236021632"/>
        <c:scaling>
          <c:orientation val="minMax"/>
        </c:scaling>
        <c:delete val="0"/>
        <c:axPos val="b"/>
        <c:majorTickMark val="out"/>
        <c:minorTickMark val="none"/>
        <c:tickLblPos val="nextTo"/>
        <c:crossAx val="95600640"/>
        <c:crosses val="autoZero"/>
        <c:auto val="1"/>
        <c:lblAlgn val="ctr"/>
        <c:lblOffset val="100"/>
        <c:noMultiLvlLbl val="0"/>
      </c:catAx>
      <c:valAx>
        <c:axId val="9560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021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Dflt!$I$3</c:f>
              <c:strCache>
                <c:ptCount val="1"/>
                <c:pt idx="0">
                  <c:v>after bug fix</c:v>
                </c:pt>
              </c:strCache>
            </c:strRef>
          </c:tx>
          <c:marker>
            <c:symbol val="none"/>
          </c:marker>
          <c:val>
            <c:numRef>
              <c:f>Dflt!$I$4:$I$18</c:f>
              <c:numCache>
                <c:formatCode>General</c:formatCode>
                <c:ptCount val="15"/>
                <c:pt idx="0">
                  <c:v>0.1061642</c:v>
                </c:pt>
                <c:pt idx="1">
                  <c:v>0.28646769999999999</c:v>
                </c:pt>
                <c:pt idx="2">
                  <c:v>0.55506120000000003</c:v>
                </c:pt>
                <c:pt idx="3">
                  <c:v>0.95535190000000003</c:v>
                </c:pt>
                <c:pt idx="4">
                  <c:v>1.1911219</c:v>
                </c:pt>
                <c:pt idx="5">
                  <c:v>1.5625416999999999</c:v>
                </c:pt>
                <c:pt idx="6">
                  <c:v>1.7193388999999999</c:v>
                </c:pt>
                <c:pt idx="7">
                  <c:v>2.0237162</c:v>
                </c:pt>
                <c:pt idx="8">
                  <c:v>2.329663</c:v>
                </c:pt>
                <c:pt idx="9">
                  <c:v>2.5370699999999999</c:v>
                </c:pt>
                <c:pt idx="10">
                  <c:v>2.4705539999999999</c:v>
                </c:pt>
                <c:pt idx="11">
                  <c:v>2.0640800000000001</c:v>
                </c:pt>
                <c:pt idx="12">
                  <c:v>1.8238772000000001</c:v>
                </c:pt>
                <c:pt idx="13">
                  <c:v>1.7252274999999999</c:v>
                </c:pt>
                <c:pt idx="14">
                  <c:v>1.6362323999999999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Dflt!$W$3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Dflt!$W$4:$W$18</c:f>
              <c:numCache>
                <c:formatCode>General</c:formatCode>
                <c:ptCount val="15"/>
                <c:pt idx="0">
                  <c:v>0.106164174</c:v>
                </c:pt>
                <c:pt idx="1">
                  <c:v>0.28646771900000001</c:v>
                </c:pt>
                <c:pt idx="2">
                  <c:v>0.555061158</c:v>
                </c:pt>
                <c:pt idx="3">
                  <c:v>0.95535190299999995</c:v>
                </c:pt>
                <c:pt idx="4">
                  <c:v>1.191121927</c:v>
                </c:pt>
                <c:pt idx="5">
                  <c:v>1.5625416590000001</c:v>
                </c:pt>
                <c:pt idx="6">
                  <c:v>1.7193388869999999</c:v>
                </c:pt>
                <c:pt idx="7">
                  <c:v>2.0237162149999999</c:v>
                </c:pt>
                <c:pt idx="8">
                  <c:v>2.3296630070000002</c:v>
                </c:pt>
                <c:pt idx="9">
                  <c:v>2.5370700429999999</c:v>
                </c:pt>
                <c:pt idx="10">
                  <c:v>2.470554033</c:v>
                </c:pt>
                <c:pt idx="11">
                  <c:v>2.0640799510000001</c:v>
                </c:pt>
                <c:pt idx="12">
                  <c:v>1.8238771840000001</c:v>
                </c:pt>
                <c:pt idx="13">
                  <c:v>1.7252274869999999</c:v>
                </c:pt>
                <c:pt idx="14">
                  <c:v>1.636232363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09216"/>
        <c:axId val="95610752"/>
      </c:lineChart>
      <c:catAx>
        <c:axId val="95609216"/>
        <c:scaling>
          <c:orientation val="minMax"/>
        </c:scaling>
        <c:delete val="0"/>
        <c:axPos val="b"/>
        <c:majorTickMark val="out"/>
        <c:minorTickMark val="none"/>
        <c:tickLblPos val="nextTo"/>
        <c:crossAx val="95610752"/>
        <c:crosses val="autoZero"/>
        <c:auto val="1"/>
        <c:lblAlgn val="ctr"/>
        <c:lblOffset val="100"/>
        <c:noMultiLvlLbl val="0"/>
      </c:catAx>
      <c:valAx>
        <c:axId val="9561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Dflt!$N$3</c:f>
              <c:strCache>
                <c:ptCount val="1"/>
                <c:pt idx="0">
                  <c:v>after bug fix</c:v>
                </c:pt>
              </c:strCache>
            </c:strRef>
          </c:tx>
          <c:marker>
            <c:symbol val="none"/>
          </c:marker>
          <c:val>
            <c:numRef>
              <c:f>Dflt!$N$4:$N$10</c:f>
              <c:numCache>
                <c:formatCode>General</c:formatCode>
                <c:ptCount val="7"/>
                <c:pt idx="0">
                  <c:v>1.4114483</c:v>
                </c:pt>
                <c:pt idx="1">
                  <c:v>2.01851885</c:v>
                </c:pt>
                <c:pt idx="2">
                  <c:v>1.4018987000000001</c:v>
                </c:pt>
                <c:pt idx="3">
                  <c:v>1.22140505</c:v>
                </c:pt>
                <c:pt idx="4">
                  <c:v>0.76679485000000003</c:v>
                </c:pt>
                <c:pt idx="5">
                  <c:v>0.39868975000000001</c:v>
                </c:pt>
                <c:pt idx="6">
                  <c:v>0.70467115000000002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Dflt!$Z$3</c:f>
              <c:strCache>
                <c:ptCount val="1"/>
                <c:pt idx="0">
                  <c:v>fico.optim</c:v>
                </c:pt>
              </c:strCache>
            </c:strRef>
          </c:tx>
          <c:marker>
            <c:symbol val="none"/>
          </c:marker>
          <c:val>
            <c:numRef>
              <c:f>Dflt!$Z$4:$Z$10</c:f>
              <c:numCache>
                <c:formatCode>General</c:formatCode>
                <c:ptCount val="7"/>
                <c:pt idx="0">
                  <c:v>1.4114483236066</c:v>
                </c:pt>
                <c:pt idx="1">
                  <c:v>2.0185188633215598</c:v>
                </c:pt>
                <c:pt idx="2">
                  <c:v>1.401898695156</c:v>
                </c:pt>
                <c:pt idx="3">
                  <c:v>1.22140506112527</c:v>
                </c:pt>
                <c:pt idx="4">
                  <c:v>0.76679483955662198</c:v>
                </c:pt>
                <c:pt idx="5">
                  <c:v>0.39868973354499798</c:v>
                </c:pt>
                <c:pt idx="6">
                  <c:v>0.70467112606341897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58592"/>
        <c:axId val="95760384"/>
      </c:lineChart>
      <c:catAx>
        <c:axId val="95758592"/>
        <c:scaling>
          <c:orientation val="minMax"/>
        </c:scaling>
        <c:delete val="0"/>
        <c:axPos val="b"/>
        <c:majorTickMark val="out"/>
        <c:minorTickMark val="none"/>
        <c:tickLblPos val="nextTo"/>
        <c:crossAx val="95760384"/>
        <c:crosses val="autoZero"/>
        <c:auto val="1"/>
        <c:lblAlgn val="ctr"/>
        <c:lblOffset val="100"/>
        <c:noMultiLvlLbl val="0"/>
      </c:catAx>
      <c:valAx>
        <c:axId val="95760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758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Turn!$F$3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Turn!$F$4:$F$8</c:f>
              <c:numCache>
                <c:formatCode>General</c:formatCode>
                <c:ptCount val="5"/>
                <c:pt idx="0">
                  <c:v>0.41431790000000002</c:v>
                </c:pt>
                <c:pt idx="1">
                  <c:v>0.79975229999999997</c:v>
                </c:pt>
                <c:pt idx="2">
                  <c:v>1.0291319999999999</c:v>
                </c:pt>
                <c:pt idx="3">
                  <c:v>1.2307669999999999</c:v>
                </c:pt>
                <c:pt idx="4">
                  <c:v>1.369445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Turn!$S$3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Turn!$S$4:$S$8</c:f>
              <c:numCache>
                <c:formatCode>General</c:formatCode>
                <c:ptCount val="5"/>
                <c:pt idx="0">
                  <c:v>0.41454949705363298</c:v>
                </c:pt>
                <c:pt idx="1">
                  <c:v>0.80027593286273802</c:v>
                </c:pt>
                <c:pt idx="2">
                  <c:v>1.0281548330532699</c:v>
                </c:pt>
                <c:pt idx="3">
                  <c:v>1.2293384628669399</c:v>
                </c:pt>
                <c:pt idx="4">
                  <c:v>1.3689576375396799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20736"/>
        <c:axId val="96026624"/>
      </c:lineChart>
      <c:catAx>
        <c:axId val="96020736"/>
        <c:scaling>
          <c:orientation val="minMax"/>
        </c:scaling>
        <c:delete val="0"/>
        <c:axPos val="b"/>
        <c:majorTickMark val="out"/>
        <c:minorTickMark val="none"/>
        <c:tickLblPos val="nextTo"/>
        <c:crossAx val="96026624"/>
        <c:crosses val="autoZero"/>
        <c:auto val="1"/>
        <c:lblAlgn val="ctr"/>
        <c:lblOffset val="100"/>
        <c:noMultiLvlLbl val="0"/>
      </c:catAx>
      <c:valAx>
        <c:axId val="9602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20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Turn!$J$3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Turn!$J$4:$J$10</c:f>
              <c:numCache>
                <c:formatCode>General</c:formatCode>
                <c:ptCount val="7"/>
                <c:pt idx="0">
                  <c:v>1.010184</c:v>
                </c:pt>
                <c:pt idx="1">
                  <c:v>1.0772250000000001</c:v>
                </c:pt>
                <c:pt idx="2">
                  <c:v>0.91256340000000002</c:v>
                </c:pt>
                <c:pt idx="3">
                  <c:v>0.73100419999999999</c:v>
                </c:pt>
                <c:pt idx="4">
                  <c:v>0.69630959999999997</c:v>
                </c:pt>
                <c:pt idx="5">
                  <c:v>0.52349570000000001</c:v>
                </c:pt>
                <c:pt idx="6">
                  <c:v>-6.6886109999999997E-3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Turn!$V$3</c:f>
              <c:strCache>
                <c:ptCount val="1"/>
                <c:pt idx="0">
                  <c:v>cltv.optim</c:v>
                </c:pt>
              </c:strCache>
            </c:strRef>
          </c:tx>
          <c:marker>
            <c:symbol val="none"/>
          </c:marker>
          <c:val>
            <c:numRef>
              <c:f>Turn!$V$4:$V$10</c:f>
              <c:numCache>
                <c:formatCode>General</c:formatCode>
                <c:ptCount val="7"/>
                <c:pt idx="0">
                  <c:v>1.0090011699999999</c:v>
                </c:pt>
                <c:pt idx="1">
                  <c:v>1.0779064220000001</c:v>
                </c:pt>
                <c:pt idx="2">
                  <c:v>0.90963366700000003</c:v>
                </c:pt>
                <c:pt idx="3">
                  <c:v>0.73228083300000002</c:v>
                </c:pt>
                <c:pt idx="4">
                  <c:v>0.70300887599999995</c:v>
                </c:pt>
                <c:pt idx="5">
                  <c:v>0.65370019499999998</c:v>
                </c:pt>
                <c:pt idx="6">
                  <c:v>0.57633447900000001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51584"/>
        <c:axId val="96053120"/>
      </c:lineChart>
      <c:catAx>
        <c:axId val="96051584"/>
        <c:scaling>
          <c:orientation val="minMax"/>
        </c:scaling>
        <c:delete val="0"/>
        <c:axPos val="b"/>
        <c:majorTickMark val="out"/>
        <c:minorTickMark val="none"/>
        <c:tickLblPos val="nextTo"/>
        <c:crossAx val="96053120"/>
        <c:crosses val="autoZero"/>
        <c:auto val="1"/>
        <c:lblAlgn val="ctr"/>
        <c:lblOffset val="100"/>
        <c:noMultiLvlLbl val="0"/>
      </c:catAx>
      <c:valAx>
        <c:axId val="9605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51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Turn!$N$3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Turn!$N$4:$N$10</c:f>
              <c:numCache>
                <c:formatCode>General</c:formatCode>
                <c:ptCount val="7"/>
                <c:pt idx="0">
                  <c:v>6.6321829999999998E-2</c:v>
                </c:pt>
                <c:pt idx="1">
                  <c:v>0.24488940000000001</c:v>
                </c:pt>
                <c:pt idx="2">
                  <c:v>0.60704219999999998</c:v>
                </c:pt>
                <c:pt idx="3">
                  <c:v>0.73620640000000004</c:v>
                </c:pt>
                <c:pt idx="4">
                  <c:v>1.0244530000000001</c:v>
                </c:pt>
                <c:pt idx="5">
                  <c:v>1.355092</c:v>
                </c:pt>
                <c:pt idx="6">
                  <c:v>1.4114869999999999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Turn!$Y$3</c:f>
              <c:strCache>
                <c:ptCount val="1"/>
                <c:pt idx="0">
                  <c:v>lockin.optim</c:v>
                </c:pt>
              </c:strCache>
            </c:strRef>
          </c:tx>
          <c:marker>
            <c:symbol val="none"/>
          </c:marker>
          <c:val>
            <c:numRef>
              <c:f>Turn!$Y$4:$Y$10</c:f>
              <c:numCache>
                <c:formatCode>General</c:formatCode>
                <c:ptCount val="7"/>
                <c:pt idx="0">
                  <c:v>6.6084258232601806E-2</c:v>
                </c:pt>
                <c:pt idx="1">
                  <c:v>0.24314995420486801</c:v>
                </c:pt>
                <c:pt idx="2">
                  <c:v>0.609060647564723</c:v>
                </c:pt>
                <c:pt idx="3">
                  <c:v>0.73449543911042103</c:v>
                </c:pt>
                <c:pt idx="4">
                  <c:v>1.0274338313701501</c:v>
                </c:pt>
                <c:pt idx="5">
                  <c:v>1.35675995732726</c:v>
                </c:pt>
                <c:pt idx="6">
                  <c:v>1.3946920406211201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73984"/>
        <c:axId val="96079872"/>
      </c:lineChart>
      <c:catAx>
        <c:axId val="96073984"/>
        <c:scaling>
          <c:orientation val="minMax"/>
        </c:scaling>
        <c:delete val="0"/>
        <c:axPos val="b"/>
        <c:majorTickMark val="out"/>
        <c:minorTickMark val="none"/>
        <c:tickLblPos val="nextTo"/>
        <c:crossAx val="96079872"/>
        <c:crosses val="autoZero"/>
        <c:auto val="1"/>
        <c:lblAlgn val="ctr"/>
        <c:lblOffset val="100"/>
        <c:noMultiLvlLbl val="0"/>
      </c:catAx>
      <c:valAx>
        <c:axId val="96079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73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Refi!$E$3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Refi!$E$4:$E$11</c:f>
              <c:numCache>
                <c:formatCode>General</c:formatCode>
                <c:ptCount val="8"/>
                <c:pt idx="0">
                  <c:v>1.5019230000000001E-3</c:v>
                </c:pt>
                <c:pt idx="1">
                  <c:v>1.3158639999999999E-3</c:v>
                </c:pt>
                <c:pt idx="2">
                  <c:v>3.4147729999999999E-3</c:v>
                </c:pt>
                <c:pt idx="3">
                  <c:v>1.2709649999999999E-2</c:v>
                </c:pt>
                <c:pt idx="4">
                  <c:v>2.8470200000000001E-2</c:v>
                </c:pt>
                <c:pt idx="5">
                  <c:v>4.3900590000000003E-2</c:v>
                </c:pt>
                <c:pt idx="6">
                  <c:v>5.024062E-2</c:v>
                </c:pt>
                <c:pt idx="7">
                  <c:v>4.1995919999999999E-2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Refi!$T$3</c:f>
              <c:strCache>
                <c:ptCount val="1"/>
                <c:pt idx="0">
                  <c:v>incentive.optim</c:v>
                </c:pt>
              </c:strCache>
            </c:strRef>
          </c:tx>
          <c:marker>
            <c:symbol val="none"/>
          </c:marker>
          <c:val>
            <c:numRef>
              <c:f>Refi!$T$4:$T$11</c:f>
              <c:numCache>
                <c:formatCode>General</c:formatCode>
                <c:ptCount val="8"/>
                <c:pt idx="0">
                  <c:v>1.5253875949746E-3</c:v>
                </c:pt>
                <c:pt idx="1">
                  <c:v>1.3975354622455299E-3</c:v>
                </c:pt>
                <c:pt idx="2">
                  <c:v>4.5660790784289003E-3</c:v>
                </c:pt>
                <c:pt idx="3">
                  <c:v>1.08688799234559E-2</c:v>
                </c:pt>
                <c:pt idx="4">
                  <c:v>2.5580030347351301E-2</c:v>
                </c:pt>
                <c:pt idx="5">
                  <c:v>3.4647603287222002E-2</c:v>
                </c:pt>
                <c:pt idx="6">
                  <c:v>3.1602012689821497E-2</c:v>
                </c:pt>
                <c:pt idx="7">
                  <c:v>2.68232931757094E-2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84576"/>
        <c:axId val="96198656"/>
      </c:lineChart>
      <c:catAx>
        <c:axId val="9618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96198656"/>
        <c:crosses val="autoZero"/>
        <c:auto val="1"/>
        <c:lblAlgn val="ctr"/>
        <c:lblOffset val="100"/>
        <c:noMultiLvlLbl val="0"/>
      </c:catAx>
      <c:valAx>
        <c:axId val="9619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184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02405949256338E-2"/>
          <c:y val="7.4548702245552642E-2"/>
          <c:w val="0.66345538057742781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Refi!$I$3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Refi!$I$4:$I$9</c:f>
              <c:numCache>
                <c:formatCode>General</c:formatCode>
                <c:ptCount val="6"/>
                <c:pt idx="0">
                  <c:v>0.48585339999999999</c:v>
                </c:pt>
                <c:pt idx="1">
                  <c:v>0.90198040000000002</c:v>
                </c:pt>
                <c:pt idx="2">
                  <c:v>1.1814370000000001</c:v>
                </c:pt>
                <c:pt idx="3">
                  <c:v>1.217792</c:v>
                </c:pt>
                <c:pt idx="4">
                  <c:v>1.5552550000000001</c:v>
                </c:pt>
                <c:pt idx="5">
                  <c:v>1.991744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Refi!$W$3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Refi!$W$4:$W$9</c:f>
              <c:numCache>
                <c:formatCode>General</c:formatCode>
                <c:ptCount val="6"/>
                <c:pt idx="0">
                  <c:v>0.49552297000000001</c:v>
                </c:pt>
                <c:pt idx="1">
                  <c:v>0.80669174499999996</c:v>
                </c:pt>
                <c:pt idx="2">
                  <c:v>1.1051032649999999</c:v>
                </c:pt>
                <c:pt idx="3">
                  <c:v>1.347817601</c:v>
                </c:pt>
                <c:pt idx="4">
                  <c:v>1.662668298</c:v>
                </c:pt>
                <c:pt idx="5">
                  <c:v>1.5890062389999999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83616"/>
        <c:axId val="98785152"/>
      </c:lineChart>
      <c:catAx>
        <c:axId val="98783616"/>
        <c:scaling>
          <c:orientation val="minMax"/>
        </c:scaling>
        <c:delete val="0"/>
        <c:axPos val="b"/>
        <c:majorTickMark val="out"/>
        <c:minorTickMark val="none"/>
        <c:tickLblPos val="nextTo"/>
        <c:crossAx val="98785152"/>
        <c:crosses val="autoZero"/>
        <c:auto val="1"/>
        <c:lblAlgn val="ctr"/>
        <c:lblOffset val="100"/>
        <c:noMultiLvlLbl val="0"/>
      </c:catAx>
      <c:valAx>
        <c:axId val="9878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783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Refi!$M$3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Refi!$M$4:$M$10</c:f>
              <c:numCache>
                <c:formatCode>General</c:formatCode>
                <c:ptCount val="7"/>
                <c:pt idx="0">
                  <c:v>0.26609640000000001</c:v>
                </c:pt>
                <c:pt idx="1">
                  <c:v>0.49006149999999998</c:v>
                </c:pt>
                <c:pt idx="2">
                  <c:v>0.48983359999999998</c:v>
                </c:pt>
                <c:pt idx="3">
                  <c:v>0.52603169999999999</c:v>
                </c:pt>
                <c:pt idx="4">
                  <c:v>0.58569789999999999</c:v>
                </c:pt>
                <c:pt idx="5">
                  <c:v>0.73109780000000002</c:v>
                </c:pt>
                <c:pt idx="6">
                  <c:v>0.75966069999999997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Refi!$Z$3</c:f>
              <c:strCache>
                <c:ptCount val="1"/>
                <c:pt idx="0">
                  <c:v>factor.optim</c:v>
                </c:pt>
              </c:strCache>
            </c:strRef>
          </c:tx>
          <c:marker>
            <c:symbol val="none"/>
          </c:marker>
          <c:val>
            <c:numRef>
              <c:f>Refi!$Z$4:$Z$11</c:f>
              <c:numCache>
                <c:formatCode>General</c:formatCode>
                <c:ptCount val="8"/>
                <c:pt idx="0">
                  <c:v>0.42914149499999998</c:v>
                </c:pt>
                <c:pt idx="1">
                  <c:v>0.61064881599999998</c:v>
                </c:pt>
                <c:pt idx="2">
                  <c:v>0.73120064100000004</c:v>
                </c:pt>
                <c:pt idx="3">
                  <c:v>0.72523913100000004</c:v>
                </c:pt>
                <c:pt idx="4">
                  <c:v>0.74282157299999996</c:v>
                </c:pt>
                <c:pt idx="5">
                  <c:v>0.74686384800000005</c:v>
                </c:pt>
                <c:pt idx="6">
                  <c:v>0.78336296900000002</c:v>
                </c:pt>
                <c:pt idx="7">
                  <c:v>0.754822887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10112"/>
        <c:axId val="98816000"/>
      </c:lineChart>
      <c:catAx>
        <c:axId val="9881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98816000"/>
        <c:crosses val="autoZero"/>
        <c:auto val="1"/>
        <c:lblAlgn val="ctr"/>
        <c:lblOffset val="100"/>
        <c:noMultiLvlLbl val="0"/>
      </c:catAx>
      <c:valAx>
        <c:axId val="9881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81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258267716535423"/>
          <c:y val="0.38850503062117236"/>
          <c:w val="0.2246395450568678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Refi!$Q$3</c:f>
              <c:strCache>
                <c:ptCount val="1"/>
                <c:pt idx="0">
                  <c:v>bug fixed</c:v>
                </c:pt>
              </c:strCache>
            </c:strRef>
          </c:tx>
          <c:marker>
            <c:symbol val="none"/>
          </c:marker>
          <c:val>
            <c:numRef>
              <c:f>Refi!$Q$4:$Q$8</c:f>
              <c:numCache>
                <c:formatCode>General</c:formatCode>
                <c:ptCount val="5"/>
                <c:pt idx="0">
                  <c:v>0.84731440000000002</c:v>
                </c:pt>
                <c:pt idx="1">
                  <c:v>0.91341419999999995</c:v>
                </c:pt>
                <c:pt idx="2">
                  <c:v>1.599307</c:v>
                </c:pt>
                <c:pt idx="3">
                  <c:v>1.5517369999999999</c:v>
                </c:pt>
                <c:pt idx="4">
                  <c:v>1.0100389999999999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Refi!$AC$3</c:f>
              <c:strCache>
                <c:ptCount val="1"/>
                <c:pt idx="0">
                  <c:v>acls.optim</c:v>
                </c:pt>
              </c:strCache>
            </c:strRef>
          </c:tx>
          <c:marker>
            <c:symbol val="none"/>
          </c:marker>
          <c:val>
            <c:numRef>
              <c:f>Refi!$AC$4:$AC$8</c:f>
              <c:numCache>
                <c:formatCode>General</c:formatCode>
                <c:ptCount val="5"/>
                <c:pt idx="0">
                  <c:v>1.1063865479999999</c:v>
                </c:pt>
                <c:pt idx="1">
                  <c:v>0.89176449000000002</c:v>
                </c:pt>
                <c:pt idx="2">
                  <c:v>1.0729966440000001</c:v>
                </c:pt>
                <c:pt idx="3">
                  <c:v>1.0225186639999999</c:v>
                </c:pt>
                <c:pt idx="4">
                  <c:v>0.86410640900000002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32576"/>
        <c:axId val="103434112"/>
      </c:lineChart>
      <c:catAx>
        <c:axId val="103432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03434112"/>
        <c:crosses val="autoZero"/>
        <c:auto val="1"/>
        <c:lblAlgn val="ctr"/>
        <c:lblOffset val="100"/>
        <c:noMultiLvlLbl val="0"/>
      </c:catAx>
      <c:valAx>
        <c:axId val="10343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43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Dflt0709!$D$2</c:f>
              <c:strCache>
                <c:ptCount val="1"/>
                <c:pt idx="0">
                  <c:v>cltv.optim</c:v>
                </c:pt>
              </c:strCache>
            </c:strRef>
          </c:tx>
          <c:marker>
            <c:symbol val="none"/>
          </c:marker>
          <c:val>
            <c:numRef>
              <c:f>Dflt0709!$D$3:$D$7</c:f>
              <c:numCache>
                <c:formatCode>General</c:formatCode>
                <c:ptCount val="5"/>
                <c:pt idx="0">
                  <c:v>0.161385732</c:v>
                </c:pt>
                <c:pt idx="1">
                  <c:v>0.72581721499999996</c:v>
                </c:pt>
                <c:pt idx="2">
                  <c:v>0.406847403</c:v>
                </c:pt>
                <c:pt idx="3">
                  <c:v>1.3207066359999999</c:v>
                </c:pt>
                <c:pt idx="4">
                  <c:v>4.0900065550000004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Dflt0709!$N$2</c:f>
              <c:strCache>
                <c:ptCount val="1"/>
                <c:pt idx="0">
                  <c:v>cltv.optim</c:v>
                </c:pt>
              </c:strCache>
            </c:strRef>
          </c:tx>
          <c:marker>
            <c:symbol val="none"/>
          </c:marker>
          <c:val>
            <c:numRef>
              <c:f>Dflt0709!$N$3:$N$7</c:f>
              <c:numCache>
                <c:formatCode>General</c:formatCode>
                <c:ptCount val="5"/>
                <c:pt idx="0">
                  <c:v>0.16138569999999999</c:v>
                </c:pt>
                <c:pt idx="1">
                  <c:v>0.72581720000000005</c:v>
                </c:pt>
                <c:pt idx="2">
                  <c:v>0.40684740000000003</c:v>
                </c:pt>
                <c:pt idx="3">
                  <c:v>1.3207070000000001</c:v>
                </c:pt>
                <c:pt idx="4">
                  <c:v>4.0900069999999999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43072"/>
        <c:axId val="103465344"/>
      </c:lineChart>
      <c:catAx>
        <c:axId val="103443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03465344"/>
        <c:crosses val="autoZero"/>
        <c:auto val="1"/>
        <c:lblAlgn val="ctr"/>
        <c:lblOffset val="100"/>
        <c:noMultiLvlLbl val="0"/>
      </c:catAx>
      <c:valAx>
        <c:axId val="10346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443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Dflt0709!$F$2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Dflt0709!$F$3:$F$17</c:f>
              <c:numCache>
                <c:formatCode>General</c:formatCode>
                <c:ptCount val="15"/>
                <c:pt idx="0">
                  <c:v>9.5800658999999996E-2</c:v>
                </c:pt>
                <c:pt idx="1">
                  <c:v>0.27170841600000001</c:v>
                </c:pt>
                <c:pt idx="2">
                  <c:v>0.54883086999999997</c:v>
                </c:pt>
                <c:pt idx="3">
                  <c:v>0.95340624200000001</c:v>
                </c:pt>
                <c:pt idx="4">
                  <c:v>1.19071544</c:v>
                </c:pt>
                <c:pt idx="5">
                  <c:v>1.555770721</c:v>
                </c:pt>
                <c:pt idx="6">
                  <c:v>1.731400161</c:v>
                </c:pt>
                <c:pt idx="7">
                  <c:v>2.0606307799999999</c:v>
                </c:pt>
                <c:pt idx="8">
                  <c:v>2.3535655179999999</c:v>
                </c:pt>
                <c:pt idx="9">
                  <c:v>2.583973286</c:v>
                </c:pt>
                <c:pt idx="10">
                  <c:v>2.4920045069999999</c:v>
                </c:pt>
                <c:pt idx="11">
                  <c:v>2.1159169250000001</c:v>
                </c:pt>
                <c:pt idx="12">
                  <c:v>1.7932425830000001</c:v>
                </c:pt>
                <c:pt idx="13">
                  <c:v>1.703343796</c:v>
                </c:pt>
                <c:pt idx="14">
                  <c:v>1.5638221889999999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Dflt0709!$P$2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Dflt0709!$P$3:$P$17</c:f>
              <c:numCache>
                <c:formatCode>General</c:formatCode>
                <c:ptCount val="15"/>
                <c:pt idx="0">
                  <c:v>9.5800659999999996E-2</c:v>
                </c:pt>
                <c:pt idx="1">
                  <c:v>0.27170840000000002</c:v>
                </c:pt>
                <c:pt idx="2">
                  <c:v>0.54883090000000001</c:v>
                </c:pt>
                <c:pt idx="3">
                  <c:v>0.95340619999999998</c:v>
                </c:pt>
                <c:pt idx="4">
                  <c:v>1.190715</c:v>
                </c:pt>
                <c:pt idx="5">
                  <c:v>1.555771</c:v>
                </c:pt>
                <c:pt idx="6">
                  <c:v>1.7314000000000001</c:v>
                </c:pt>
                <c:pt idx="7">
                  <c:v>2.0606309999999999</c:v>
                </c:pt>
                <c:pt idx="8">
                  <c:v>2.3535659999999998</c:v>
                </c:pt>
                <c:pt idx="9">
                  <c:v>2.5839729999999999</c:v>
                </c:pt>
                <c:pt idx="10">
                  <c:v>2.4920049999999998</c:v>
                </c:pt>
                <c:pt idx="11">
                  <c:v>2.115917</c:v>
                </c:pt>
                <c:pt idx="12">
                  <c:v>1.7932429999999999</c:v>
                </c:pt>
                <c:pt idx="13">
                  <c:v>1.703344</c:v>
                </c:pt>
                <c:pt idx="14">
                  <c:v>1.563822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01600"/>
        <c:axId val="103803136"/>
      </c:lineChart>
      <c:catAx>
        <c:axId val="103801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03803136"/>
        <c:crosses val="autoZero"/>
        <c:auto val="1"/>
        <c:lblAlgn val="ctr"/>
        <c:lblOffset val="100"/>
        <c:noMultiLvlLbl val="0"/>
      </c:catAx>
      <c:valAx>
        <c:axId val="10380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801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Dflt0709!$H$2</c:f>
              <c:strCache>
                <c:ptCount val="1"/>
                <c:pt idx="0">
                  <c:v>fico.optim</c:v>
                </c:pt>
              </c:strCache>
            </c:strRef>
          </c:tx>
          <c:marker>
            <c:symbol val="none"/>
          </c:marker>
          <c:val>
            <c:numRef>
              <c:f>Dflt0709!$H$3:$H$9</c:f>
              <c:numCache>
                <c:formatCode>General</c:formatCode>
                <c:ptCount val="7"/>
                <c:pt idx="0">
                  <c:v>1.4052535719999999</c:v>
                </c:pt>
                <c:pt idx="1">
                  <c:v>2.0073392430000001</c:v>
                </c:pt>
                <c:pt idx="2">
                  <c:v>1.460144745</c:v>
                </c:pt>
                <c:pt idx="3">
                  <c:v>1.328151257</c:v>
                </c:pt>
                <c:pt idx="4">
                  <c:v>0.84572346399999998</c:v>
                </c:pt>
                <c:pt idx="5">
                  <c:v>0.420139347</c:v>
                </c:pt>
                <c:pt idx="6">
                  <c:v>0.72212464700000001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Dflt0709!$R$2</c:f>
              <c:strCache>
                <c:ptCount val="1"/>
                <c:pt idx="0">
                  <c:v>fico.optim</c:v>
                </c:pt>
              </c:strCache>
            </c:strRef>
          </c:tx>
          <c:marker>
            <c:symbol val="none"/>
          </c:marker>
          <c:val>
            <c:numRef>
              <c:f>Dflt0709!$R$3:$R$9</c:f>
              <c:numCache>
                <c:formatCode>General</c:formatCode>
                <c:ptCount val="7"/>
                <c:pt idx="0">
                  <c:v>1.405254</c:v>
                </c:pt>
                <c:pt idx="1">
                  <c:v>2.007339</c:v>
                </c:pt>
                <c:pt idx="2">
                  <c:v>1.460145</c:v>
                </c:pt>
                <c:pt idx="3">
                  <c:v>1.3281510000000001</c:v>
                </c:pt>
                <c:pt idx="4">
                  <c:v>0.84572349999999996</c:v>
                </c:pt>
                <c:pt idx="5">
                  <c:v>0.42013929999999999</c:v>
                </c:pt>
                <c:pt idx="6">
                  <c:v>0.72212460000000001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4208"/>
        <c:axId val="105460096"/>
      </c:lineChart>
      <c:catAx>
        <c:axId val="1054542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5460096"/>
        <c:crosses val="autoZero"/>
        <c:auto val="1"/>
        <c:lblAlgn val="ctr"/>
        <c:lblOffset val="100"/>
        <c:noMultiLvlLbl val="0"/>
      </c:catAx>
      <c:valAx>
        <c:axId val="10546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45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Turn0709!$D$2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Turn0709!$D$3:$D$7</c:f>
              <c:numCache>
                <c:formatCode>General</c:formatCode>
                <c:ptCount val="5"/>
                <c:pt idx="0">
                  <c:v>0.423185056</c:v>
                </c:pt>
                <c:pt idx="1">
                  <c:v>0.80669547100000005</c:v>
                </c:pt>
                <c:pt idx="2">
                  <c:v>1.036668784</c:v>
                </c:pt>
                <c:pt idx="3">
                  <c:v>1.238931569</c:v>
                </c:pt>
                <c:pt idx="4">
                  <c:v>1.3785835280000001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Turn0709!$L$2</c:f>
              <c:strCache>
                <c:ptCount val="1"/>
                <c:pt idx="0">
                  <c:v>wala</c:v>
                </c:pt>
              </c:strCache>
            </c:strRef>
          </c:tx>
          <c:marker>
            <c:symbol val="none"/>
          </c:marker>
          <c:val>
            <c:numRef>
              <c:f>Turn0709!$L$3:$L$7</c:f>
              <c:numCache>
                <c:formatCode>General</c:formatCode>
                <c:ptCount val="5"/>
                <c:pt idx="0">
                  <c:v>0.42450100000000002</c:v>
                </c:pt>
                <c:pt idx="1">
                  <c:v>0.80850480000000002</c:v>
                </c:pt>
                <c:pt idx="2">
                  <c:v>1.038068</c:v>
                </c:pt>
                <c:pt idx="3">
                  <c:v>1.2400439999999999</c:v>
                </c:pt>
                <c:pt idx="4">
                  <c:v>1.378938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10016"/>
        <c:axId val="105511552"/>
      </c:lineChart>
      <c:catAx>
        <c:axId val="10551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105511552"/>
        <c:crosses val="autoZero"/>
        <c:auto val="1"/>
        <c:lblAlgn val="ctr"/>
        <c:lblOffset val="100"/>
        <c:noMultiLvlLbl val="0"/>
      </c:catAx>
      <c:valAx>
        <c:axId val="10551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510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Turn0709!$F$2</c:f>
              <c:strCache>
                <c:ptCount val="1"/>
                <c:pt idx="0">
                  <c:v>lockin.optim</c:v>
                </c:pt>
              </c:strCache>
            </c:strRef>
          </c:tx>
          <c:marker>
            <c:symbol val="none"/>
          </c:marker>
          <c:val>
            <c:numRef>
              <c:f>Turn0709!$F$3:$F$9</c:f>
              <c:numCache>
                <c:formatCode>General</c:formatCode>
                <c:ptCount val="7"/>
                <c:pt idx="0">
                  <c:v>5.5253101999999998E-2</c:v>
                </c:pt>
                <c:pt idx="1">
                  <c:v>0.23452671999999999</c:v>
                </c:pt>
                <c:pt idx="2">
                  <c:v>0.60140582499999995</c:v>
                </c:pt>
                <c:pt idx="3">
                  <c:v>0.730677197</c:v>
                </c:pt>
                <c:pt idx="4">
                  <c:v>1.01658362</c:v>
                </c:pt>
                <c:pt idx="5">
                  <c:v>1.3740186190000001</c:v>
                </c:pt>
                <c:pt idx="6">
                  <c:v>1.4697260990000001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Turn0709!$M$2</c:f>
              <c:strCache>
                <c:ptCount val="1"/>
                <c:pt idx="0">
                  <c:v>incentive</c:v>
                </c:pt>
              </c:strCache>
            </c:strRef>
          </c:tx>
          <c:marker>
            <c:symbol val="none"/>
          </c:marker>
          <c:val>
            <c:numRef>
              <c:f>Turn0709!$M$3:$M$9</c:f>
              <c:numCache>
                <c:formatCode>General</c:formatCode>
                <c:ptCount val="7"/>
                <c:pt idx="0">
                  <c:v>5.1173320000000001E-2</c:v>
                </c:pt>
                <c:pt idx="1">
                  <c:v>0.22844639999999999</c:v>
                </c:pt>
                <c:pt idx="2">
                  <c:v>0.60126659999999998</c:v>
                </c:pt>
                <c:pt idx="3">
                  <c:v>0.73014429999999997</c:v>
                </c:pt>
                <c:pt idx="4">
                  <c:v>1.0142599999999999</c:v>
                </c:pt>
                <c:pt idx="5">
                  <c:v>1.3781350000000001</c:v>
                </c:pt>
                <c:pt idx="6">
                  <c:v>1.47742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40608"/>
        <c:axId val="105546496"/>
      </c:lineChart>
      <c:catAx>
        <c:axId val="105540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5546496"/>
        <c:crosses val="autoZero"/>
        <c:auto val="1"/>
        <c:lblAlgn val="ctr"/>
        <c:lblOffset val="100"/>
        <c:noMultiLvlLbl val="0"/>
      </c:catAx>
      <c:valAx>
        <c:axId val="10554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540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Turn0709!$H$2</c:f>
              <c:strCache>
                <c:ptCount val="1"/>
                <c:pt idx="0">
                  <c:v>cltv.optim</c:v>
                </c:pt>
              </c:strCache>
            </c:strRef>
          </c:tx>
          <c:marker>
            <c:symbol val="none"/>
          </c:marker>
          <c:val>
            <c:numRef>
              <c:f>Turn0709!$H$3:$H$9</c:f>
              <c:numCache>
                <c:formatCode>General</c:formatCode>
                <c:ptCount val="7"/>
                <c:pt idx="0">
                  <c:v>0.99796555899999995</c:v>
                </c:pt>
                <c:pt idx="1">
                  <c:v>1.107525954</c:v>
                </c:pt>
                <c:pt idx="2">
                  <c:v>0.89338469799999998</c:v>
                </c:pt>
                <c:pt idx="3">
                  <c:v>0.76667398899999994</c:v>
                </c:pt>
                <c:pt idx="4">
                  <c:v>0.57981026099999999</c:v>
                </c:pt>
                <c:pt idx="5">
                  <c:v>0.13883728100000001</c:v>
                </c:pt>
                <c:pt idx="6">
                  <c:v>-0.43971080499999998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Turn0709!$N$2</c:f>
              <c:strCache>
                <c:ptCount val="1"/>
                <c:pt idx="0">
                  <c:v>cltv</c:v>
                </c:pt>
              </c:strCache>
            </c:strRef>
          </c:tx>
          <c:marker>
            <c:symbol val="none"/>
          </c:marker>
          <c:val>
            <c:numRef>
              <c:f>Turn0709!$N$3:$N$9</c:f>
              <c:numCache>
                <c:formatCode>General</c:formatCode>
                <c:ptCount val="7"/>
                <c:pt idx="0">
                  <c:v>1.0022850000000001</c:v>
                </c:pt>
                <c:pt idx="1">
                  <c:v>1.102244</c:v>
                </c:pt>
                <c:pt idx="2">
                  <c:v>0.89803500000000003</c:v>
                </c:pt>
                <c:pt idx="3">
                  <c:v>0.75768360000000001</c:v>
                </c:pt>
                <c:pt idx="4">
                  <c:v>0.60298149999999995</c:v>
                </c:pt>
                <c:pt idx="5">
                  <c:v>0.20238819999999999</c:v>
                </c:pt>
                <c:pt idx="6">
                  <c:v>-0.24222479999999999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71456"/>
        <c:axId val="105572992"/>
      </c:lineChart>
      <c:catAx>
        <c:axId val="105571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5572992"/>
        <c:crosses val="autoZero"/>
        <c:auto val="1"/>
        <c:lblAlgn val="ctr"/>
        <c:lblOffset val="100"/>
        <c:noMultiLvlLbl val="0"/>
      </c:catAx>
      <c:valAx>
        <c:axId val="105572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571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88E-2"/>
          <c:y val="5.1400554097404488E-2"/>
          <c:w val="0.5990380577427821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Refi0709!$L$2</c:f>
              <c:strCache>
                <c:ptCount val="1"/>
                <c:pt idx="0">
                  <c:v>incentive</c:v>
                </c:pt>
              </c:strCache>
            </c:strRef>
          </c:tx>
          <c:marker>
            <c:symbol val="none"/>
          </c:marker>
          <c:val>
            <c:numRef>
              <c:f>Refi0709!$L$3:$L$10</c:f>
              <c:numCache>
                <c:formatCode>General</c:formatCode>
                <c:ptCount val="8"/>
                <c:pt idx="0">
                  <c:v>1.2843419999999999E-3</c:v>
                </c:pt>
                <c:pt idx="1">
                  <c:v>9.4322290000000005E-4</c:v>
                </c:pt>
                <c:pt idx="2">
                  <c:v>3.7773529999999998E-3</c:v>
                </c:pt>
                <c:pt idx="3">
                  <c:v>1.196354E-2</c:v>
                </c:pt>
                <c:pt idx="4">
                  <c:v>2.8577390000000001E-2</c:v>
                </c:pt>
                <c:pt idx="5">
                  <c:v>4.3307569999999997E-2</c:v>
                </c:pt>
                <c:pt idx="6">
                  <c:v>5.063397E-2</c:v>
                </c:pt>
                <c:pt idx="7">
                  <c:v>4.1225379999999999E-2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Refi0709!$R$2</c:f>
              <c:strCache>
                <c:ptCount val="1"/>
                <c:pt idx="0">
                  <c:v>incentive.optim</c:v>
                </c:pt>
              </c:strCache>
            </c:strRef>
          </c:tx>
          <c:marker>
            <c:symbol val="none"/>
          </c:marker>
          <c:val>
            <c:numRef>
              <c:f>Refi0709!$R$3:$R$10</c:f>
              <c:numCache>
                <c:formatCode>General</c:formatCode>
                <c:ptCount val="8"/>
                <c:pt idx="0">
                  <c:v>9.64543E-4</c:v>
                </c:pt>
                <c:pt idx="1">
                  <c:v>7.6105200000000002E-4</c:v>
                </c:pt>
                <c:pt idx="2">
                  <c:v>3.4321080000000001E-3</c:v>
                </c:pt>
                <c:pt idx="3">
                  <c:v>1.2011344E-2</c:v>
                </c:pt>
                <c:pt idx="4">
                  <c:v>2.8666763000000001E-2</c:v>
                </c:pt>
                <c:pt idx="5">
                  <c:v>4.3165107000000001E-2</c:v>
                </c:pt>
                <c:pt idx="6">
                  <c:v>5.0599460999999998E-2</c:v>
                </c:pt>
                <c:pt idx="7">
                  <c:v>4.1108898999999997E-2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54624"/>
        <c:axId val="105756160"/>
      </c:lineChart>
      <c:catAx>
        <c:axId val="10575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105756160"/>
        <c:crosses val="autoZero"/>
        <c:auto val="1"/>
        <c:lblAlgn val="ctr"/>
        <c:lblOffset val="100"/>
        <c:noMultiLvlLbl val="0"/>
      </c:catAx>
      <c:valAx>
        <c:axId val="10575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754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Refi0709!$M$2</c:f>
              <c:strCache>
                <c:ptCount val="1"/>
                <c:pt idx="0">
                  <c:v>wala</c:v>
                </c:pt>
              </c:strCache>
            </c:strRef>
          </c:tx>
          <c:marker>
            <c:symbol val="none"/>
          </c:marker>
          <c:val>
            <c:numRef>
              <c:f>Refi0709!$M$3:$M$8</c:f>
              <c:numCache>
                <c:formatCode>General</c:formatCode>
                <c:ptCount val="6"/>
                <c:pt idx="0">
                  <c:v>0.54767790000000005</c:v>
                </c:pt>
                <c:pt idx="1">
                  <c:v>0.7883464</c:v>
                </c:pt>
                <c:pt idx="2">
                  <c:v>1.106975</c:v>
                </c:pt>
                <c:pt idx="3">
                  <c:v>1.404182</c:v>
                </c:pt>
                <c:pt idx="4">
                  <c:v>1.8421970000000001</c:v>
                </c:pt>
                <c:pt idx="5">
                  <c:v>1.7518419999999999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Refi0709!$S$2</c:f>
              <c:strCache>
                <c:ptCount val="1"/>
                <c:pt idx="0">
                  <c:v>wala.optim</c:v>
                </c:pt>
              </c:strCache>
            </c:strRef>
          </c:tx>
          <c:marker>
            <c:symbol val="none"/>
          </c:marker>
          <c:val>
            <c:numRef>
              <c:f>Refi0709!$S$3:$S$8</c:f>
              <c:numCache>
                <c:formatCode>General</c:formatCode>
                <c:ptCount val="6"/>
                <c:pt idx="0">
                  <c:v>0.59907886799999999</c:v>
                </c:pt>
                <c:pt idx="1">
                  <c:v>1.1633630779999999</c:v>
                </c:pt>
                <c:pt idx="2">
                  <c:v>1.590902555</c:v>
                </c:pt>
                <c:pt idx="3">
                  <c:v>1.8451185800000001</c:v>
                </c:pt>
                <c:pt idx="4">
                  <c:v>2.1021905890000001</c:v>
                </c:pt>
                <c:pt idx="5">
                  <c:v>2.010079304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08096"/>
        <c:axId val="105909632"/>
      </c:lineChart>
      <c:catAx>
        <c:axId val="105908096"/>
        <c:scaling>
          <c:orientation val="minMax"/>
        </c:scaling>
        <c:delete val="0"/>
        <c:axPos val="b"/>
        <c:majorTickMark val="out"/>
        <c:minorTickMark val="none"/>
        <c:tickLblPos val="nextTo"/>
        <c:crossAx val="105909632"/>
        <c:crosses val="autoZero"/>
        <c:auto val="1"/>
        <c:lblAlgn val="ctr"/>
        <c:lblOffset val="100"/>
        <c:noMultiLvlLbl val="0"/>
      </c:catAx>
      <c:valAx>
        <c:axId val="105909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908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Refi0709!$N$2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val>
            <c:numRef>
              <c:f>Refi0709!$N$3:$N$10</c:f>
              <c:numCache>
                <c:formatCode>General</c:formatCode>
                <c:ptCount val="8"/>
                <c:pt idx="0">
                  <c:v>0.2824566</c:v>
                </c:pt>
                <c:pt idx="1">
                  <c:v>0.4300332</c:v>
                </c:pt>
                <c:pt idx="2">
                  <c:v>0.51122469999999998</c:v>
                </c:pt>
                <c:pt idx="3">
                  <c:v>0.49963550000000001</c:v>
                </c:pt>
                <c:pt idx="4">
                  <c:v>0.55275229999999997</c:v>
                </c:pt>
                <c:pt idx="5">
                  <c:v>0.63524210000000003</c:v>
                </c:pt>
                <c:pt idx="6">
                  <c:v>0.8378504</c:v>
                </c:pt>
                <c:pt idx="7">
                  <c:v>0.8504292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Refi0709!$T$2</c:f>
              <c:strCache>
                <c:ptCount val="1"/>
                <c:pt idx="0">
                  <c:v>factor.optim</c:v>
                </c:pt>
              </c:strCache>
            </c:strRef>
          </c:tx>
          <c:marker>
            <c:symbol val="none"/>
          </c:marker>
          <c:val>
            <c:numRef>
              <c:f>Refi0709!$T$3:$T$10</c:f>
              <c:numCache>
                <c:formatCode>General</c:formatCode>
                <c:ptCount val="8"/>
                <c:pt idx="0">
                  <c:v>0.26511281599999997</c:v>
                </c:pt>
                <c:pt idx="1">
                  <c:v>0.415301015</c:v>
                </c:pt>
                <c:pt idx="2">
                  <c:v>0.60784463399999999</c:v>
                </c:pt>
                <c:pt idx="3">
                  <c:v>0.58902162599999996</c:v>
                </c:pt>
                <c:pt idx="4">
                  <c:v>0.55625986800000005</c:v>
                </c:pt>
                <c:pt idx="5">
                  <c:v>0.54592346999999997</c:v>
                </c:pt>
                <c:pt idx="6">
                  <c:v>0.78196557799999999</c:v>
                </c:pt>
                <c:pt idx="7">
                  <c:v>0.69890319400000001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96704"/>
        <c:axId val="106698240"/>
      </c:lineChart>
      <c:catAx>
        <c:axId val="10669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06698240"/>
        <c:crosses val="autoZero"/>
        <c:auto val="1"/>
        <c:lblAlgn val="ctr"/>
        <c:lblOffset val="100"/>
        <c:noMultiLvlLbl val="0"/>
      </c:catAx>
      <c:valAx>
        <c:axId val="10669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696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Refi0709!$O$2</c:f>
              <c:strCache>
                <c:ptCount val="1"/>
                <c:pt idx="0">
                  <c:v>acls</c:v>
                </c:pt>
              </c:strCache>
            </c:strRef>
          </c:tx>
          <c:marker>
            <c:symbol val="none"/>
          </c:marker>
          <c:val>
            <c:numRef>
              <c:f>Refi0709!$O$3:$O$7</c:f>
              <c:numCache>
                <c:formatCode>General</c:formatCode>
                <c:ptCount val="5"/>
                <c:pt idx="0">
                  <c:v>0.88835450000000005</c:v>
                </c:pt>
                <c:pt idx="1">
                  <c:v>0.92102249999999997</c:v>
                </c:pt>
                <c:pt idx="2">
                  <c:v>1.4477660000000001</c:v>
                </c:pt>
                <c:pt idx="3">
                  <c:v>1.2951980000000001</c:v>
                </c:pt>
                <c:pt idx="4">
                  <c:v>0.81656340000000005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Refi0709!$U$2</c:f>
              <c:strCache>
                <c:ptCount val="1"/>
                <c:pt idx="0">
                  <c:v>acls.optim</c:v>
                </c:pt>
              </c:strCache>
            </c:strRef>
          </c:tx>
          <c:marker>
            <c:symbol val="none"/>
          </c:marker>
          <c:val>
            <c:numRef>
              <c:f>Refi0709!$U$3:$U$7</c:f>
              <c:numCache>
                <c:formatCode>General</c:formatCode>
                <c:ptCount val="5"/>
                <c:pt idx="0">
                  <c:v>0.85791112899999999</c:v>
                </c:pt>
                <c:pt idx="1">
                  <c:v>0.90371788900000005</c:v>
                </c:pt>
                <c:pt idx="2">
                  <c:v>1.4575794179999999</c:v>
                </c:pt>
                <c:pt idx="3">
                  <c:v>1.325489312</c:v>
                </c:pt>
                <c:pt idx="4">
                  <c:v>0.86355544399999995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93344"/>
        <c:axId val="149994880"/>
      </c:lineChart>
      <c:catAx>
        <c:axId val="149993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9994880"/>
        <c:crosses val="autoZero"/>
        <c:auto val="1"/>
        <c:lblAlgn val="ctr"/>
        <c:lblOffset val="100"/>
        <c:noMultiLvlLbl val="0"/>
      </c:catAx>
      <c:valAx>
        <c:axId val="14999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993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790575</xdr:colOff>
      <xdr:row>21</xdr:row>
      <xdr:rowOff>171450</xdr:rowOff>
    </xdr:from>
    <xdr:to>
      <xdr:col>16</xdr:col>
      <xdr:colOff>561975</xdr:colOff>
      <xdr:row>36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29</xdr:row>
      <xdr:rowOff>47625</xdr:rowOff>
    </xdr:from>
    <xdr:to>
      <xdr:col>8</xdr:col>
      <xdr:colOff>457200</xdr:colOff>
      <xdr:row>43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29</xdr:row>
      <xdr:rowOff>66675</xdr:rowOff>
    </xdr:from>
    <xdr:to>
      <xdr:col>17</xdr:col>
      <xdr:colOff>314325</xdr:colOff>
      <xdr:row>43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190500</xdr:colOff>
      <xdr:row>29</xdr:row>
      <xdr:rowOff>38100</xdr:rowOff>
    </xdr:from>
    <xdr:to>
      <xdr:col>25</xdr:col>
      <xdr:colOff>295275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17</xdr:row>
      <xdr:rowOff>47625</xdr:rowOff>
    </xdr:from>
    <xdr:to>
      <xdr:col>8</xdr:col>
      <xdr:colOff>447675</xdr:colOff>
      <xdr:row>31</xdr:row>
      <xdr:rowOff>123825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76200</xdr:colOff>
      <xdr:row>16</xdr:row>
      <xdr:rowOff>171450</xdr:rowOff>
    </xdr:from>
    <xdr:to>
      <xdr:col>24</xdr:col>
      <xdr:colOff>381000</xdr:colOff>
      <xdr:row>31</xdr:row>
      <xdr:rowOff>57150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552450</xdr:colOff>
      <xdr:row>16</xdr:row>
      <xdr:rowOff>161925</xdr:rowOff>
    </xdr:from>
    <xdr:to>
      <xdr:col>16</xdr:col>
      <xdr:colOff>209550</xdr:colOff>
      <xdr:row>31</xdr:row>
      <xdr:rowOff>47625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27</xdr:row>
      <xdr:rowOff>38100</xdr:rowOff>
    </xdr:from>
    <xdr:to>
      <xdr:col>7</xdr:col>
      <xdr:colOff>171450</xdr:colOff>
      <xdr:row>41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27</xdr:row>
      <xdr:rowOff>19050</xdr:rowOff>
    </xdr:from>
    <xdr:to>
      <xdr:col>16</xdr:col>
      <xdr:colOff>219075</xdr:colOff>
      <xdr:row>41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609600</xdr:colOff>
      <xdr:row>27</xdr:row>
      <xdr:rowOff>28575</xdr:rowOff>
    </xdr:from>
    <xdr:to>
      <xdr:col>24</xdr:col>
      <xdr:colOff>57150</xdr:colOff>
      <xdr:row>41</xdr:row>
      <xdr:rowOff>104775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476250</xdr:colOff>
      <xdr:row>27</xdr:row>
      <xdr:rowOff>85725</xdr:rowOff>
    </xdr:from>
    <xdr:to>
      <xdr:col>32</xdr:col>
      <xdr:colOff>0</xdr:colOff>
      <xdr:row>41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28</xdr:row>
      <xdr:rowOff>152400</xdr:rowOff>
    </xdr:from>
    <xdr:to>
      <xdr:col>8</xdr:col>
      <xdr:colOff>647700</xdr:colOff>
      <xdr:row>43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28</xdr:row>
      <xdr:rowOff>152400</xdr:rowOff>
    </xdr:from>
    <xdr:to>
      <xdr:col>17</xdr:col>
      <xdr:colOff>476250</xdr:colOff>
      <xdr:row>43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66675</xdr:colOff>
      <xdr:row>28</xdr:row>
      <xdr:rowOff>76200</xdr:rowOff>
    </xdr:from>
    <xdr:to>
      <xdr:col>26</xdr:col>
      <xdr:colOff>371475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114300</xdr:rowOff>
    </xdr:from>
    <xdr:to>
      <xdr:col>8</xdr:col>
      <xdr:colOff>504825</xdr:colOff>
      <xdr:row>37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22</xdr:row>
      <xdr:rowOff>114300</xdr:rowOff>
    </xdr:from>
    <xdr:to>
      <xdr:col>17</xdr:col>
      <xdr:colOff>209550</xdr:colOff>
      <xdr:row>37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57150</xdr:colOff>
      <xdr:row>22</xdr:row>
      <xdr:rowOff>57150</xdr:rowOff>
    </xdr:from>
    <xdr:to>
      <xdr:col>26</xdr:col>
      <xdr:colOff>361950</xdr:colOff>
      <xdr:row>36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25</xdr:row>
      <xdr:rowOff>85725</xdr:rowOff>
    </xdr:from>
    <xdr:to>
      <xdr:col>8</xdr:col>
      <xdr:colOff>400050</xdr:colOff>
      <xdr:row>39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25</xdr:row>
      <xdr:rowOff>76200</xdr:rowOff>
    </xdr:from>
    <xdr:to>
      <xdr:col>16</xdr:col>
      <xdr:colOff>342900</xdr:colOff>
      <xdr:row>39</xdr:row>
      <xdr:rowOff>152400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514350</xdr:colOff>
      <xdr:row>25</xdr:row>
      <xdr:rowOff>28575</xdr:rowOff>
    </xdr:from>
    <xdr:to>
      <xdr:col>24</xdr:col>
      <xdr:colOff>209550</xdr:colOff>
      <xdr:row>39</xdr:row>
      <xdr:rowOff>104775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104775</xdr:colOff>
      <xdr:row>25</xdr:row>
      <xdr:rowOff>66675</xdr:rowOff>
    </xdr:from>
    <xdr:to>
      <xdr:col>32</xdr:col>
      <xdr:colOff>409575</xdr:colOff>
      <xdr:row>39</xdr:row>
      <xdr:rowOff>142875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aa_2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a_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aa_1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aa_1" connectionId="10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aa_3" connectionId="4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aa" connectionId="1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aa_2" connectionId="1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aa_2" connectionId="8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aa" connectionId="7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aa_3" connectionId="12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aa_1" connectionId="1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3.xml"/><Relationship Id="rId5" Type="http://schemas.openxmlformats.org/officeDocument/2006/relationships/queryTable" Target="../queryTables/queryTable7.xml"/><Relationship Id="rId4" Type="http://schemas.openxmlformats.org/officeDocument/2006/relationships/queryTable" Target="../queryTables/query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queryTable" Target="../queryTables/queryTable8.xml"/><Relationship Id="rId1" Type="http://schemas.openxmlformats.org/officeDocument/2006/relationships/drawing" Target="../drawings/drawing4.xml"/><Relationship Id="rId4" Type="http://schemas.openxmlformats.org/officeDocument/2006/relationships/queryTable" Target="../queryTables/query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workbookViewId="0">
      <selection activeCell="E27" sqref="E27"/>
    </sheetView>
  </sheetViews>
  <sheetFormatPr defaultRowHeight="15" x14ac:dyDescent="0.25"/>
  <cols>
    <col min="2" max="4" width="12" bestFit="1" customWidth="1"/>
    <col min="5" max="5" width="11" customWidth="1"/>
    <col min="6" max="16" width="12" bestFit="1" customWidth="1"/>
    <col min="17" max="17" width="10" customWidth="1"/>
    <col min="18" max="20" width="12" bestFit="1" customWidth="1"/>
    <col min="21" max="21" width="11" customWidth="1"/>
    <col min="22" max="22" width="11" bestFit="1" customWidth="1"/>
    <col min="23" max="23" width="12" bestFit="1" customWidth="1"/>
  </cols>
  <sheetData>
    <row r="1" spans="2:9" x14ac:dyDescent="0.25">
      <c r="B1" t="s">
        <v>0</v>
      </c>
    </row>
    <row r="2" spans="2:9" x14ac:dyDescent="0.25">
      <c r="B2" t="s">
        <v>11</v>
      </c>
      <c r="F2" t="s">
        <v>12</v>
      </c>
    </row>
    <row r="3" spans="2:9" x14ac:dyDescent="0.25">
      <c r="B3" t="s">
        <v>1</v>
      </c>
      <c r="C3" t="s">
        <v>9</v>
      </c>
      <c r="D3" t="s">
        <v>10</v>
      </c>
      <c r="F3" t="s">
        <v>2</v>
      </c>
      <c r="G3" t="s">
        <v>3</v>
      </c>
      <c r="I3" t="s">
        <v>4</v>
      </c>
    </row>
    <row r="4" spans="2:9" x14ac:dyDescent="0.25">
      <c r="B4">
        <v>0</v>
      </c>
      <c r="C4">
        <v>1.0729769999999999E-3</v>
      </c>
      <c r="D4">
        <v>2.6085409999999998E-3</v>
      </c>
      <c r="F4">
        <v>0</v>
      </c>
      <c r="G4">
        <v>2.6085409999999998E-3</v>
      </c>
      <c r="I4" s="1">
        <f>G4-D4</f>
        <v>0</v>
      </c>
    </row>
    <row r="5" spans="2:9" x14ac:dyDescent="0.25">
      <c r="B5">
        <v>12</v>
      </c>
      <c r="C5">
        <v>4.4360839999999999E-3</v>
      </c>
      <c r="D5">
        <v>4.3841699999999997E-3</v>
      </c>
      <c r="F5">
        <v>12</v>
      </c>
      <c r="G5">
        <v>4.3841699999999997E-3</v>
      </c>
      <c r="I5" s="1">
        <f>G5-D5</f>
        <v>0</v>
      </c>
    </row>
    <row r="6" spans="2:9" x14ac:dyDescent="0.25">
      <c r="B6">
        <v>24</v>
      </c>
      <c r="C6">
        <v>7.0510429999999999E-3</v>
      </c>
      <c r="D6">
        <v>8.6651260000000004E-3</v>
      </c>
      <c r="F6">
        <v>24</v>
      </c>
      <c r="G6">
        <v>8.6651260000000004E-3</v>
      </c>
      <c r="I6" s="1">
        <f t="shared" ref="I6:I23" si="0">G6-D6</f>
        <v>0</v>
      </c>
    </row>
    <row r="7" spans="2:9" x14ac:dyDescent="0.25">
      <c r="B7">
        <v>36</v>
      </c>
      <c r="C7">
        <v>8.4888749999999999E-3</v>
      </c>
      <c r="D7">
        <v>8.0016719999999996E-3</v>
      </c>
      <c r="F7">
        <v>36</v>
      </c>
      <c r="G7">
        <v>8.0016719999999996E-3</v>
      </c>
      <c r="I7" s="1">
        <f t="shared" si="0"/>
        <v>0</v>
      </c>
    </row>
    <row r="8" spans="2:9" x14ac:dyDescent="0.25">
      <c r="B8">
        <v>48</v>
      </c>
      <c r="C8">
        <v>8.5460390000000001E-3</v>
      </c>
      <c r="D8">
        <v>1.6312075999999998E-2</v>
      </c>
      <c r="F8">
        <v>48</v>
      </c>
      <c r="G8">
        <v>1.6312075999999998E-2</v>
      </c>
      <c r="I8" s="1">
        <f t="shared" si="0"/>
        <v>0</v>
      </c>
    </row>
    <row r="9" spans="2:9" x14ac:dyDescent="0.25">
      <c r="B9">
        <v>60</v>
      </c>
      <c r="C9">
        <v>7.406602E-3</v>
      </c>
      <c r="D9">
        <v>5.660053E-3</v>
      </c>
      <c r="F9">
        <v>60</v>
      </c>
      <c r="G9">
        <v>5.660053E-3</v>
      </c>
      <c r="I9" s="1">
        <f t="shared" si="0"/>
        <v>0</v>
      </c>
    </row>
    <row r="10" spans="2:9" x14ac:dyDescent="0.25">
      <c r="B10">
        <v>72</v>
      </c>
      <c r="C10">
        <v>6.1371189999999999E-3</v>
      </c>
      <c r="D10">
        <v>1.0441379000000001E-2</v>
      </c>
      <c r="F10">
        <v>72</v>
      </c>
      <c r="G10">
        <v>1.0441379000000001E-2</v>
      </c>
      <c r="I10" s="1">
        <f t="shared" si="0"/>
        <v>0</v>
      </c>
    </row>
    <row r="11" spans="2:9" x14ac:dyDescent="0.25">
      <c r="B11">
        <v>84</v>
      </c>
      <c r="C11">
        <v>5.4326770000000003E-3</v>
      </c>
      <c r="D11">
        <v>8.7196930000000006E-3</v>
      </c>
      <c r="F11">
        <v>84</v>
      </c>
      <c r="G11">
        <v>8.7196930000000006E-3</v>
      </c>
      <c r="I11" s="1">
        <f t="shared" si="0"/>
        <v>0</v>
      </c>
    </row>
    <row r="12" spans="2:9" x14ac:dyDescent="0.25">
      <c r="B12">
        <v>96</v>
      </c>
      <c r="C12">
        <v>5.493614E-3</v>
      </c>
      <c r="D12">
        <v>5.8566119999999998E-3</v>
      </c>
      <c r="F12">
        <v>96</v>
      </c>
      <c r="G12">
        <v>5.8566119999999998E-3</v>
      </c>
      <c r="I12" s="1">
        <f t="shared" si="0"/>
        <v>0</v>
      </c>
    </row>
    <row r="13" spans="2:9" x14ac:dyDescent="0.25">
      <c r="B13">
        <v>108</v>
      </c>
      <c r="C13">
        <v>5.9135619999999998E-3</v>
      </c>
      <c r="D13">
        <v>9.1143119999999994E-3</v>
      </c>
      <c r="F13">
        <v>108</v>
      </c>
      <c r="G13">
        <v>9.1143119999999994E-3</v>
      </c>
      <c r="I13" s="1">
        <f t="shared" si="0"/>
        <v>0</v>
      </c>
    </row>
    <row r="14" spans="2:9" x14ac:dyDescent="0.25">
      <c r="B14">
        <v>132</v>
      </c>
      <c r="C14">
        <v>6.5963209999999996E-3</v>
      </c>
      <c r="D14">
        <v>5.2668089999999999E-3</v>
      </c>
      <c r="F14">
        <v>132</v>
      </c>
      <c r="G14">
        <v>5.2668089999999999E-3</v>
      </c>
      <c r="I14" s="1">
        <f t="shared" si="0"/>
        <v>0</v>
      </c>
    </row>
    <row r="15" spans="2:9" x14ac:dyDescent="0.25">
      <c r="B15">
        <v>156</v>
      </c>
      <c r="C15">
        <v>1.191362E-2</v>
      </c>
      <c r="D15">
        <v>1.3111275E-2</v>
      </c>
      <c r="F15">
        <v>156</v>
      </c>
      <c r="G15">
        <v>1.3111275E-2</v>
      </c>
      <c r="I15" s="1">
        <f t="shared" si="0"/>
        <v>0</v>
      </c>
    </row>
    <row r="16" spans="2:9" x14ac:dyDescent="0.25">
      <c r="B16">
        <v>180</v>
      </c>
      <c r="C16">
        <v>1.8108289999999999E-2</v>
      </c>
      <c r="D16">
        <v>2.1319937000000001E-2</v>
      </c>
      <c r="F16">
        <v>180</v>
      </c>
      <c r="G16">
        <v>2.1319937000000001E-2</v>
      </c>
      <c r="I16" s="1">
        <f t="shared" si="0"/>
        <v>0</v>
      </c>
    </row>
    <row r="17" spans="2:9" x14ac:dyDescent="0.25">
      <c r="B17">
        <v>204</v>
      </c>
      <c r="C17">
        <v>1.824974E-2</v>
      </c>
      <c r="D17">
        <v>1.69068E-2</v>
      </c>
      <c r="F17">
        <v>204</v>
      </c>
      <c r="G17">
        <v>1.69068E-2</v>
      </c>
      <c r="I17" s="1">
        <f t="shared" si="0"/>
        <v>0</v>
      </c>
    </row>
    <row r="18" spans="2:9" x14ac:dyDescent="0.25">
      <c r="B18">
        <v>228</v>
      </c>
      <c r="C18">
        <v>2.055075E-2</v>
      </c>
      <c r="D18">
        <v>2.1977757000000001E-2</v>
      </c>
      <c r="F18">
        <v>228</v>
      </c>
      <c r="G18">
        <v>2.1977757000000001E-2</v>
      </c>
      <c r="I18" s="1">
        <f t="shared" si="0"/>
        <v>0</v>
      </c>
    </row>
    <row r="19" spans="2:9" x14ac:dyDescent="0.25">
      <c r="B19">
        <v>252</v>
      </c>
      <c r="C19">
        <v>2.051099E-2</v>
      </c>
      <c r="D19">
        <v>2.5824336E-2</v>
      </c>
      <c r="F19">
        <v>252</v>
      </c>
      <c r="G19">
        <v>2.5824336E-2</v>
      </c>
      <c r="I19" s="1">
        <f t="shared" si="0"/>
        <v>0</v>
      </c>
    </row>
    <row r="20" spans="2:9" x14ac:dyDescent="0.25">
      <c r="B20">
        <v>276</v>
      </c>
      <c r="C20">
        <v>2.1876980000000001E-2</v>
      </c>
      <c r="D20">
        <v>2.1181531999999999E-2</v>
      </c>
      <c r="F20">
        <v>276</v>
      </c>
      <c r="G20">
        <v>2.1181531999999999E-2</v>
      </c>
      <c r="I20" s="1">
        <f t="shared" si="0"/>
        <v>0</v>
      </c>
    </row>
    <row r="21" spans="2:9" x14ac:dyDescent="0.25">
      <c r="B21">
        <v>300</v>
      </c>
      <c r="C21">
        <v>7.9320059999999998E-2</v>
      </c>
      <c r="D21">
        <v>6.8068249999999997E-2</v>
      </c>
      <c r="F21">
        <v>300</v>
      </c>
      <c r="G21">
        <v>6.8068249999999997E-2</v>
      </c>
      <c r="I21" s="1">
        <f t="shared" si="0"/>
        <v>0</v>
      </c>
    </row>
    <row r="22" spans="2:9" x14ac:dyDescent="0.25">
      <c r="B22">
        <v>324</v>
      </c>
      <c r="C22">
        <v>0.2033845</v>
      </c>
      <c r="D22">
        <v>0.22232697000000001</v>
      </c>
      <c r="F22">
        <v>324</v>
      </c>
      <c r="G22">
        <v>0.22232697000000001</v>
      </c>
      <c r="I22" s="1">
        <f t="shared" si="0"/>
        <v>0</v>
      </c>
    </row>
    <row r="23" spans="2:9" x14ac:dyDescent="0.25">
      <c r="B23">
        <v>348</v>
      </c>
      <c r="C23">
        <v>0.305867</v>
      </c>
      <c r="D23">
        <v>0.299436021</v>
      </c>
      <c r="F23">
        <v>348</v>
      </c>
      <c r="G23">
        <v>0.299436021</v>
      </c>
      <c r="I23" s="1">
        <f t="shared" si="0"/>
        <v>0</v>
      </c>
    </row>
  </sheetData>
  <conditionalFormatting sqref="I4:I23">
    <cfRule type="cellIs" dxfId="24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selection activeCell="L50" sqref="L50"/>
    </sheetView>
  </sheetViews>
  <sheetFormatPr defaultRowHeight="15" x14ac:dyDescent="0.25"/>
  <cols>
    <col min="3" max="4" width="10" customWidth="1"/>
    <col min="5" max="5" width="10.85546875" customWidth="1"/>
    <col min="6" max="11" width="10" customWidth="1"/>
    <col min="12" max="12" width="9" customWidth="1"/>
    <col min="13" max="15" width="8" customWidth="1"/>
    <col min="16" max="16" width="9" customWidth="1"/>
    <col min="17" max="18" width="11" customWidth="1"/>
    <col min="19" max="19" width="11" bestFit="1" customWidth="1"/>
    <col min="20" max="20" width="12" bestFit="1" customWidth="1"/>
    <col min="21" max="21" width="11" customWidth="1"/>
    <col min="22" max="23" width="11" bestFit="1" customWidth="1"/>
    <col min="24" max="24" width="11" customWidth="1"/>
    <col min="25" max="26" width="11" bestFit="1" customWidth="1"/>
    <col min="27" max="27" width="9" bestFit="1" customWidth="1"/>
  </cols>
  <sheetData>
    <row r="1" spans="1:27" x14ac:dyDescent="0.25">
      <c r="A1" t="s">
        <v>13</v>
      </c>
      <c r="Q1" t="s">
        <v>12</v>
      </c>
    </row>
    <row r="2" spans="1:27" x14ac:dyDescent="0.25">
      <c r="A2" t="s">
        <v>5</v>
      </c>
      <c r="C2" t="s">
        <v>6</v>
      </c>
      <c r="F2" t="s">
        <v>7</v>
      </c>
      <c r="J2" t="s">
        <v>8</v>
      </c>
      <c r="Q2" t="s">
        <v>5</v>
      </c>
      <c r="S2" t="s">
        <v>6</v>
      </c>
      <c r="V2" t="s">
        <v>7</v>
      </c>
      <c r="Y2" t="s">
        <v>8</v>
      </c>
    </row>
    <row r="3" spans="1:27" x14ac:dyDescent="0.25">
      <c r="A3" t="s">
        <v>31</v>
      </c>
      <c r="B3" t="s">
        <v>9</v>
      </c>
      <c r="C3" t="s">
        <v>1</v>
      </c>
      <c r="D3" t="s">
        <v>9</v>
      </c>
      <c r="E3" t="s">
        <v>10</v>
      </c>
      <c r="F3" t="s">
        <v>1</v>
      </c>
      <c r="G3" t="s">
        <v>9</v>
      </c>
      <c r="H3" t="s">
        <v>10</v>
      </c>
      <c r="I3" t="s">
        <v>32</v>
      </c>
      <c r="J3" t="s">
        <v>1</v>
      </c>
      <c r="K3" t="s">
        <v>9</v>
      </c>
      <c r="L3" t="s">
        <v>10</v>
      </c>
      <c r="N3" t="s">
        <v>32</v>
      </c>
      <c r="R3" t="s">
        <v>4</v>
      </c>
      <c r="S3" t="s">
        <v>14</v>
      </c>
      <c r="T3" t="s">
        <v>15</v>
      </c>
      <c r="U3" t="s">
        <v>4</v>
      </c>
      <c r="V3" t="s">
        <v>18</v>
      </c>
      <c r="W3" t="s">
        <v>19</v>
      </c>
      <c r="X3" t="s">
        <v>4</v>
      </c>
      <c r="Y3" t="s">
        <v>16</v>
      </c>
      <c r="Z3" t="s">
        <v>17</v>
      </c>
      <c r="AA3" t="s">
        <v>4</v>
      </c>
    </row>
    <row r="4" spans="1:27" x14ac:dyDescent="0.25">
      <c r="A4">
        <v>1.4981300000000001E-3</v>
      </c>
      <c r="B4">
        <v>0.15190119999999999</v>
      </c>
      <c r="C4">
        <v>20</v>
      </c>
      <c r="D4">
        <v>0.36218889999999998</v>
      </c>
      <c r="E4">
        <v>0.14410690000000001</v>
      </c>
      <c r="F4">
        <v>10</v>
      </c>
      <c r="G4">
        <v>9.0861430000000007E-2</v>
      </c>
      <c r="H4">
        <v>9.8664730000000006E-2</v>
      </c>
      <c r="I4">
        <v>0.1061642</v>
      </c>
      <c r="J4">
        <v>500</v>
      </c>
      <c r="K4">
        <v>1.373794</v>
      </c>
      <c r="L4">
        <f t="shared" ref="L4:L10" si="0">M4*0.5</f>
        <v>1.4074231500000001</v>
      </c>
      <c r="M4">
        <v>2.8148463000000001</v>
      </c>
      <c r="N4">
        <f>O4*0.5</f>
        <v>1.4114483</v>
      </c>
      <c r="O4">
        <v>2.8228966</v>
      </c>
      <c r="Q4">
        <v>1.4981300000000001E-3</v>
      </c>
      <c r="R4" s="1">
        <f>(Q4-A4)/A4</f>
        <v>0</v>
      </c>
      <c r="S4">
        <v>20</v>
      </c>
      <c r="T4">
        <v>0.144106928</v>
      </c>
      <c r="U4" s="1">
        <f>(T4-E4)/E4</f>
        <v>1.9430020342719213E-7</v>
      </c>
      <c r="V4">
        <v>10</v>
      </c>
      <c r="W4">
        <v>0.106164174</v>
      </c>
      <c r="X4" s="1">
        <f>(W4-H4)/H4</f>
        <v>7.6009370319059244E-2</v>
      </c>
      <c r="Y4">
        <v>500</v>
      </c>
      <c r="Z4">
        <v>1.4114483236066</v>
      </c>
      <c r="AA4" s="1">
        <f>(Z4-L4)/L4</f>
        <v>2.8599597829550619E-3</v>
      </c>
    </row>
    <row r="5" spans="1:27" x14ac:dyDescent="0.25">
      <c r="C5">
        <v>40</v>
      </c>
      <c r="D5">
        <v>0.6420439</v>
      </c>
      <c r="E5">
        <v>0.71845300000000001</v>
      </c>
      <c r="F5">
        <v>20</v>
      </c>
      <c r="G5">
        <v>0.27426460000000003</v>
      </c>
      <c r="H5">
        <v>0.27709267999999998</v>
      </c>
      <c r="I5">
        <v>0.28646769999999999</v>
      </c>
      <c r="J5">
        <v>550</v>
      </c>
      <c r="K5">
        <v>1.5944430000000001</v>
      </c>
      <c r="L5">
        <f t="shared" si="0"/>
        <v>1.9733328000000001</v>
      </c>
      <c r="M5">
        <v>3.9466656000000002</v>
      </c>
      <c r="N5">
        <f t="shared" ref="N5:N9" si="1">O5*0.5</f>
        <v>2.01851885</v>
      </c>
      <c r="O5">
        <v>4.0370377</v>
      </c>
      <c r="S5">
        <v>40</v>
      </c>
      <c r="T5">
        <v>0.71845300599999995</v>
      </c>
      <c r="U5" s="1">
        <f t="shared" ref="U5:U8" si="2">(T5-E5)/E5</f>
        <v>8.351276898183616E-9</v>
      </c>
      <c r="V5">
        <v>20</v>
      </c>
      <c r="W5">
        <v>0.28646771900000001</v>
      </c>
      <c r="X5" s="1">
        <f t="shared" ref="X5:X18" si="3">(W5-H5)/H5</f>
        <v>3.3833585932331489E-2</v>
      </c>
      <c r="Y5">
        <v>550</v>
      </c>
      <c r="Z5">
        <v>2.0185188633215598</v>
      </c>
      <c r="AA5" s="1">
        <f t="shared" ref="AA5:AA10" si="4">(Z5-L5)/L5</f>
        <v>2.2898349088182043E-2</v>
      </c>
    </row>
    <row r="6" spans="1:27" x14ac:dyDescent="0.25">
      <c r="C6">
        <v>60</v>
      </c>
      <c r="D6">
        <v>0.43351000000000001</v>
      </c>
      <c r="E6">
        <v>0.40717429999999999</v>
      </c>
      <c r="F6">
        <v>30</v>
      </c>
      <c r="G6">
        <v>0.53813420000000001</v>
      </c>
      <c r="H6">
        <v>0.52390912999999995</v>
      </c>
      <c r="I6">
        <v>0.55506120000000003</v>
      </c>
      <c r="J6">
        <v>600</v>
      </c>
      <c r="K6">
        <v>1.5406439999999999</v>
      </c>
      <c r="L6">
        <f t="shared" si="0"/>
        <v>1.4021517999999999</v>
      </c>
      <c r="M6">
        <v>2.8043035999999999</v>
      </c>
      <c r="N6">
        <f t="shared" si="1"/>
        <v>1.4018987000000001</v>
      </c>
      <c r="O6">
        <v>2.8037974000000001</v>
      </c>
      <c r="S6">
        <v>60</v>
      </c>
      <c r="T6">
        <v>0.407174282</v>
      </c>
      <c r="U6" s="1">
        <f t="shared" si="2"/>
        <v>-4.4207112262550941E-8</v>
      </c>
      <c r="V6">
        <v>30</v>
      </c>
      <c r="W6">
        <v>0.555061158</v>
      </c>
      <c r="X6" s="1">
        <f t="shared" si="3"/>
        <v>5.9460746561145167E-2</v>
      </c>
      <c r="Y6">
        <v>600</v>
      </c>
      <c r="Z6">
        <v>1.401898695156</v>
      </c>
      <c r="AA6" s="1">
        <f t="shared" si="4"/>
        <v>-1.8051172776013626E-4</v>
      </c>
    </row>
    <row r="7" spans="1:27" x14ac:dyDescent="0.25">
      <c r="C7">
        <v>80</v>
      </c>
      <c r="D7">
        <v>1.3476379999999999</v>
      </c>
      <c r="E7">
        <v>1.3108302999999999</v>
      </c>
      <c r="F7">
        <v>40</v>
      </c>
      <c r="G7">
        <v>0.86759209999999998</v>
      </c>
      <c r="H7">
        <v>0.90533207000000004</v>
      </c>
      <c r="I7">
        <v>0.95535190000000003</v>
      </c>
      <c r="J7">
        <v>650</v>
      </c>
      <c r="K7">
        <v>1.3058529999999999</v>
      </c>
      <c r="L7">
        <f t="shared" si="0"/>
        <v>1.37910745</v>
      </c>
      <c r="M7">
        <v>2.7582149</v>
      </c>
      <c r="N7">
        <f t="shared" si="1"/>
        <v>1.22140505</v>
      </c>
      <c r="O7">
        <v>2.4428101</v>
      </c>
      <c r="S7">
        <v>80</v>
      </c>
      <c r="T7">
        <v>1.31083029</v>
      </c>
      <c r="U7" s="1">
        <f t="shared" si="2"/>
        <v>-7.6287525084103495E-9</v>
      </c>
      <c r="V7">
        <v>40</v>
      </c>
      <c r="W7">
        <v>0.95535190299999995</v>
      </c>
      <c r="X7" s="1">
        <f t="shared" si="3"/>
        <v>5.5250260824185653E-2</v>
      </c>
      <c r="Y7">
        <v>650</v>
      </c>
      <c r="Z7">
        <v>1.22140506112527</v>
      </c>
      <c r="AA7" s="1">
        <f t="shared" si="4"/>
        <v>-0.11435105283111188</v>
      </c>
    </row>
    <row r="8" spans="1:27" x14ac:dyDescent="0.25">
      <c r="C8">
        <v>100</v>
      </c>
      <c r="D8">
        <v>3.863264</v>
      </c>
      <c r="E8">
        <v>4.0442026000000002</v>
      </c>
      <c r="F8">
        <v>50</v>
      </c>
      <c r="G8">
        <v>1.186118</v>
      </c>
      <c r="H8">
        <v>1.16020941</v>
      </c>
      <c r="I8">
        <v>1.1911219</v>
      </c>
      <c r="J8">
        <v>700</v>
      </c>
      <c r="K8">
        <v>0.99607950000000001</v>
      </c>
      <c r="L8">
        <f t="shared" si="0"/>
        <v>0.81978470000000003</v>
      </c>
      <c r="M8">
        <v>1.6395694000000001</v>
      </c>
      <c r="N8">
        <f t="shared" si="1"/>
        <v>0.76679485000000003</v>
      </c>
      <c r="O8">
        <v>1.5335897000000001</v>
      </c>
      <c r="S8">
        <v>100</v>
      </c>
      <c r="T8">
        <v>4.0442025839999998</v>
      </c>
      <c r="U8" s="1">
        <f t="shared" si="2"/>
        <v>-3.9562806363033136E-9</v>
      </c>
      <c r="V8">
        <v>50</v>
      </c>
      <c r="W8">
        <v>1.191121927</v>
      </c>
      <c r="X8" s="1">
        <f t="shared" si="3"/>
        <v>2.6643911636607027E-2</v>
      </c>
      <c r="Y8">
        <v>700</v>
      </c>
      <c r="Z8">
        <v>0.76679483955662198</v>
      </c>
      <c r="AA8" s="1">
        <f t="shared" si="4"/>
        <v>-6.4638752642465824E-2</v>
      </c>
    </row>
    <row r="9" spans="1:27" x14ac:dyDescent="0.25">
      <c r="F9">
        <v>60</v>
      </c>
      <c r="G9">
        <v>1.471085</v>
      </c>
      <c r="H9">
        <v>1.5093699899999999</v>
      </c>
      <c r="I9">
        <v>1.5625416999999999</v>
      </c>
      <c r="J9">
        <v>750</v>
      </c>
      <c r="K9">
        <v>0.74451440000000002</v>
      </c>
      <c r="L9">
        <f t="shared" si="0"/>
        <v>0.26506990000000002</v>
      </c>
      <c r="M9">
        <v>0.53013980000000005</v>
      </c>
      <c r="N9">
        <f t="shared" si="1"/>
        <v>0.39868975000000001</v>
      </c>
      <c r="O9">
        <v>0.79737950000000002</v>
      </c>
      <c r="V9">
        <v>60</v>
      </c>
      <c r="W9">
        <v>1.5625416590000001</v>
      </c>
      <c r="X9" s="1">
        <f t="shared" si="3"/>
        <v>3.5227723720676431E-2</v>
      </c>
      <c r="Y9">
        <v>750</v>
      </c>
      <c r="Z9">
        <v>0.39868973354499798</v>
      </c>
      <c r="AA9" s="1">
        <f t="shared" si="4"/>
        <v>0.50409282059184368</v>
      </c>
    </row>
    <row r="10" spans="1:27" x14ac:dyDescent="0.25">
      <c r="F10">
        <v>70</v>
      </c>
      <c r="G10">
        <v>1.6882159999999999</v>
      </c>
      <c r="H10">
        <v>1.6807261099999999</v>
      </c>
      <c r="I10">
        <v>1.7193388999999999</v>
      </c>
      <c r="J10">
        <v>800</v>
      </c>
      <c r="K10">
        <v>0.61138619999999999</v>
      </c>
      <c r="L10">
        <f t="shared" si="0"/>
        <v>0.69023570000000001</v>
      </c>
      <c r="M10">
        <v>1.3804714</v>
      </c>
      <c r="N10">
        <f>O10*0.5</f>
        <v>0.70467115000000002</v>
      </c>
      <c r="O10">
        <v>1.4093423</v>
      </c>
      <c r="V10">
        <v>70</v>
      </c>
      <c r="W10">
        <v>1.7193388869999999</v>
      </c>
      <c r="X10" s="1">
        <f t="shared" si="3"/>
        <v>2.2973866336853652E-2</v>
      </c>
      <c r="Y10">
        <v>800</v>
      </c>
      <c r="Z10">
        <v>0.70467112606341897</v>
      </c>
      <c r="AA10" s="1">
        <f t="shared" si="4"/>
        <v>2.0913763317978142E-2</v>
      </c>
    </row>
    <row r="11" spans="1:27" x14ac:dyDescent="0.25">
      <c r="F11">
        <v>80</v>
      </c>
      <c r="G11">
        <v>1.905473</v>
      </c>
      <c r="H11">
        <v>1.91658025</v>
      </c>
      <c r="I11">
        <v>2.0237162</v>
      </c>
      <c r="N11" s="3" t="s">
        <v>33</v>
      </c>
      <c r="V11">
        <v>80</v>
      </c>
      <c r="W11">
        <v>2.0237162149999999</v>
      </c>
      <c r="X11" s="1">
        <f t="shared" si="3"/>
        <v>5.5899545557771393E-2</v>
      </c>
    </row>
    <row r="12" spans="1:27" x14ac:dyDescent="0.25">
      <c r="F12">
        <v>90</v>
      </c>
      <c r="G12">
        <v>2.1462870000000001</v>
      </c>
      <c r="H12">
        <v>2.1754665599999998</v>
      </c>
      <c r="I12">
        <v>2.329663</v>
      </c>
      <c r="V12">
        <v>90</v>
      </c>
      <c r="W12">
        <v>2.3296630070000002</v>
      </c>
      <c r="X12" s="1">
        <f t="shared" si="3"/>
        <v>7.0879713729086399E-2</v>
      </c>
    </row>
    <row r="13" spans="1:27" x14ac:dyDescent="0.25">
      <c r="F13">
        <v>100</v>
      </c>
      <c r="G13">
        <v>2.3219479999999999</v>
      </c>
      <c r="H13">
        <v>2.3662804300000002</v>
      </c>
      <c r="I13">
        <v>2.5370699999999999</v>
      </c>
      <c r="V13">
        <v>100</v>
      </c>
      <c r="W13">
        <v>2.5370700429999999</v>
      </c>
      <c r="X13" s="1">
        <f t="shared" si="3"/>
        <v>7.2176404298792143E-2</v>
      </c>
    </row>
    <row r="14" spans="1:27" x14ac:dyDescent="0.25">
      <c r="F14">
        <v>110</v>
      </c>
      <c r="G14">
        <v>2.320875</v>
      </c>
      <c r="H14">
        <v>2.4000351900000001</v>
      </c>
      <c r="I14">
        <v>2.4705539999999999</v>
      </c>
      <c r="V14">
        <v>110</v>
      </c>
      <c r="W14">
        <v>2.470554033</v>
      </c>
      <c r="X14" s="1">
        <f t="shared" si="3"/>
        <v>2.9382420430260393E-2</v>
      </c>
    </row>
    <row r="15" spans="1:27" x14ac:dyDescent="0.25">
      <c r="F15">
        <v>120</v>
      </c>
      <c r="G15">
        <v>2.149114</v>
      </c>
      <c r="H15">
        <v>2.13324567</v>
      </c>
      <c r="I15">
        <v>2.0640800000000001</v>
      </c>
      <c r="V15">
        <v>120</v>
      </c>
      <c r="W15">
        <v>2.0640799510000001</v>
      </c>
      <c r="X15" s="1">
        <f>(W15-H15)/H15</f>
        <v>-3.2422763103510673E-2</v>
      </c>
    </row>
    <row r="16" spans="1:27" x14ac:dyDescent="0.25">
      <c r="F16">
        <v>130</v>
      </c>
      <c r="G16">
        <v>1.9821029999999999</v>
      </c>
      <c r="H16">
        <v>1.93193543</v>
      </c>
      <c r="I16">
        <v>1.8238772000000001</v>
      </c>
      <c r="V16">
        <v>130</v>
      </c>
      <c r="W16">
        <v>1.8238771840000001</v>
      </c>
      <c r="X16" s="1">
        <f t="shared" si="3"/>
        <v>-5.5932638494030781E-2</v>
      </c>
    </row>
    <row r="17" spans="6:24" x14ac:dyDescent="0.25">
      <c r="F17">
        <v>140</v>
      </c>
      <c r="G17">
        <v>1.860989</v>
      </c>
      <c r="H17">
        <v>1.8465531399999999</v>
      </c>
      <c r="I17">
        <v>1.7252274999999999</v>
      </c>
      <c r="V17">
        <v>140</v>
      </c>
      <c r="W17">
        <v>1.7252274869999999</v>
      </c>
      <c r="X17" s="1">
        <f t="shared" si="3"/>
        <v>-6.5703851338933028E-2</v>
      </c>
    </row>
    <row r="18" spans="6:24" x14ac:dyDescent="0.25">
      <c r="F18">
        <v>150</v>
      </c>
      <c r="G18">
        <v>1.7596179999999999</v>
      </c>
      <c r="H18">
        <v>1.7712088500000001</v>
      </c>
      <c r="I18">
        <v>1.6362323999999999</v>
      </c>
      <c r="V18">
        <v>150</v>
      </c>
      <c r="W18">
        <v>1.636232363</v>
      </c>
      <c r="X18" s="1">
        <f t="shared" si="3"/>
        <v>-7.6205856243322226E-2</v>
      </c>
    </row>
    <row r="19" spans="6:24" x14ac:dyDescent="0.25">
      <c r="I19" s="3" t="s">
        <v>33</v>
      </c>
    </row>
  </sheetData>
  <conditionalFormatting sqref="R4">
    <cfRule type="cellIs" dxfId="23" priority="9" operator="between">
      <formula>-0.05</formula>
      <formula>0.05</formula>
    </cfRule>
    <cfRule type="cellIs" dxfId="22" priority="13" operator="between">
      <formula>-0.05</formula>
      <formula>0.05</formula>
    </cfRule>
  </conditionalFormatting>
  <conditionalFormatting sqref="U4:U8">
    <cfRule type="cellIs" dxfId="21" priority="7" operator="between">
      <formula>-0.05</formula>
      <formula>0.05</formula>
    </cfRule>
    <cfRule type="cellIs" dxfId="20" priority="8" operator="between">
      <formula>-0.05</formula>
      <formula>0.05</formula>
    </cfRule>
  </conditionalFormatting>
  <conditionalFormatting sqref="X4:X18">
    <cfRule type="cellIs" dxfId="19" priority="5" operator="between">
      <formula>-0.05</formula>
      <formula>0.05</formula>
    </cfRule>
    <cfRule type="cellIs" dxfId="18" priority="6" operator="between">
      <formula>-0.05</formula>
      <formula>0.05</formula>
    </cfRule>
  </conditionalFormatting>
  <conditionalFormatting sqref="AA4:AA10">
    <cfRule type="cellIs" dxfId="17" priority="3" operator="between">
      <formula>-0.05</formula>
      <formula>0.05</formula>
    </cfRule>
    <cfRule type="cellIs" dxfId="16" priority="4" operator="between">
      <formula>-0.05</formula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opLeftCell="B1" workbookViewId="0">
      <selection activeCell="W47" sqref="W47"/>
    </sheetView>
  </sheetViews>
  <sheetFormatPr defaultRowHeight="15" x14ac:dyDescent="0.25"/>
  <cols>
    <col min="2" max="3" width="11" bestFit="1" customWidth="1"/>
    <col min="4" max="4" width="10" bestFit="1" customWidth="1"/>
    <col min="5" max="6" width="11" customWidth="1"/>
    <col min="7" max="8" width="10" customWidth="1"/>
    <col min="9" max="9" width="11" customWidth="1"/>
    <col min="10" max="14" width="10" customWidth="1"/>
    <col min="15" max="15" width="12.7109375" bestFit="1" customWidth="1"/>
    <col min="16" max="16" width="11" bestFit="1" customWidth="1"/>
    <col min="17" max="17" width="10.7109375" bestFit="1" customWidth="1"/>
  </cols>
  <sheetData>
    <row r="1" spans="1:26" x14ac:dyDescent="0.25">
      <c r="A1" t="s">
        <v>13</v>
      </c>
      <c r="P1" t="s">
        <v>12</v>
      </c>
    </row>
    <row r="2" spans="1:26" x14ac:dyDescent="0.25">
      <c r="A2" t="s">
        <v>5</v>
      </c>
      <c r="C2" t="s">
        <v>7</v>
      </c>
      <c r="G2" t="s">
        <v>6</v>
      </c>
      <c r="K2" t="s">
        <v>20</v>
      </c>
      <c r="P2" t="s">
        <v>5</v>
      </c>
      <c r="R2" t="s">
        <v>7</v>
      </c>
      <c r="U2" t="s">
        <v>6</v>
      </c>
      <c r="X2" t="s">
        <v>20</v>
      </c>
    </row>
    <row r="3" spans="1:26" x14ac:dyDescent="0.25">
      <c r="B3" t="s">
        <v>34</v>
      </c>
      <c r="C3" t="s">
        <v>1</v>
      </c>
      <c r="D3" t="s">
        <v>9</v>
      </c>
      <c r="E3" t="s">
        <v>10</v>
      </c>
      <c r="F3" t="s">
        <v>34</v>
      </c>
      <c r="G3" t="s">
        <v>1</v>
      </c>
      <c r="H3" t="s">
        <v>9</v>
      </c>
      <c r="I3" t="s">
        <v>10</v>
      </c>
      <c r="J3" t="s">
        <v>34</v>
      </c>
      <c r="K3" t="s">
        <v>1</v>
      </c>
      <c r="L3" t="s">
        <v>9</v>
      </c>
      <c r="M3" t="s">
        <v>10</v>
      </c>
      <c r="N3" t="s">
        <v>34</v>
      </c>
      <c r="Q3" t="s">
        <v>4</v>
      </c>
      <c r="R3" t="s">
        <v>18</v>
      </c>
      <c r="S3" t="s">
        <v>19</v>
      </c>
      <c r="T3" t="s">
        <v>4</v>
      </c>
      <c r="U3" t="s">
        <v>14</v>
      </c>
      <c r="V3" t="s">
        <v>15</v>
      </c>
      <c r="W3" t="s">
        <v>4</v>
      </c>
      <c r="X3" t="s">
        <v>21</v>
      </c>
      <c r="Y3" t="s">
        <v>22</v>
      </c>
      <c r="Z3" t="s">
        <v>4</v>
      </c>
    </row>
    <row r="4" spans="1:26" x14ac:dyDescent="0.25">
      <c r="A4">
        <v>4.9961670000000001E-3</v>
      </c>
      <c r="B4">
        <v>4.6367780000000003E-3</v>
      </c>
      <c r="C4">
        <v>5</v>
      </c>
      <c r="D4">
        <v>0.4446174</v>
      </c>
      <c r="E4">
        <v>0.42832599999999998</v>
      </c>
      <c r="F4">
        <v>0.41431790000000002</v>
      </c>
      <c r="G4">
        <v>50</v>
      </c>
      <c r="H4">
        <v>0.99904510000000002</v>
      </c>
      <c r="I4">
        <v>0.98823629999999996</v>
      </c>
      <c r="J4">
        <v>1.010184</v>
      </c>
      <c r="K4">
        <v>-250</v>
      </c>
      <c r="L4">
        <v>0.17213719999999999</v>
      </c>
      <c r="M4">
        <v>9.959047E-2</v>
      </c>
      <c r="N4">
        <v>6.6321829999999998E-2</v>
      </c>
      <c r="P4">
        <v>4.6367789999999997E-3</v>
      </c>
      <c r="Q4" s="1">
        <f>(P4-B4)/B4</f>
        <v>2.1566699968677475E-7</v>
      </c>
      <c r="R4">
        <v>5</v>
      </c>
      <c r="S4">
        <v>0.41454949705363298</v>
      </c>
      <c r="T4" s="1">
        <f>(S4-F4)/F4</f>
        <v>5.5898394356835473E-4</v>
      </c>
      <c r="U4">
        <v>50</v>
      </c>
      <c r="V4">
        <v>1.0090011699999999</v>
      </c>
      <c r="W4" s="1">
        <f>(V4-J4)/J4</f>
        <v>-1.1709054984043294E-3</v>
      </c>
      <c r="X4">
        <v>-250</v>
      </c>
      <c r="Y4">
        <v>6.6084258232601806E-2</v>
      </c>
      <c r="Z4" s="1">
        <f>(Y4-N4)/N4</f>
        <v>-3.5821051288571579E-3</v>
      </c>
    </row>
    <row r="5" spans="1:26" x14ac:dyDescent="0.25">
      <c r="C5">
        <v>10</v>
      </c>
      <c r="D5">
        <v>0.75065329999999997</v>
      </c>
      <c r="E5">
        <v>0.78776369999999996</v>
      </c>
      <c r="F5">
        <v>0.79975229999999997</v>
      </c>
      <c r="G5">
        <v>60</v>
      </c>
      <c r="H5">
        <v>1.0291600000000001</v>
      </c>
      <c r="I5">
        <v>1.0510781</v>
      </c>
      <c r="J5">
        <v>1.0772250000000001</v>
      </c>
      <c r="K5">
        <v>-200</v>
      </c>
      <c r="L5">
        <v>0.41362919999999997</v>
      </c>
      <c r="M5">
        <v>0.32186056000000002</v>
      </c>
      <c r="N5">
        <v>0.24488940000000001</v>
      </c>
      <c r="R5">
        <v>10</v>
      </c>
      <c r="S5">
        <v>0.80027593286273802</v>
      </c>
      <c r="T5" s="1">
        <f t="shared" ref="T5:T8" si="0">(S5-F5)/F5</f>
        <v>6.5474380347270498E-4</v>
      </c>
      <c r="U5">
        <v>60</v>
      </c>
      <c r="V5">
        <v>1.0779064220000001</v>
      </c>
      <c r="W5" s="1">
        <f t="shared" ref="W5:W10" si="1">(V5-J5)/J5</f>
        <v>6.325716540184149E-4</v>
      </c>
      <c r="X5">
        <v>-200</v>
      </c>
      <c r="Y5">
        <v>0.24314995420486801</v>
      </c>
      <c r="Z5" s="1">
        <f t="shared" ref="Z5:Z10" si="2">(Y5-N5)/N5</f>
        <v>-7.1029852461233283E-3</v>
      </c>
    </row>
    <row r="6" spans="1:26" x14ac:dyDescent="0.25">
      <c r="C6">
        <v>15</v>
      </c>
      <c r="D6">
        <v>1.00048</v>
      </c>
      <c r="E6">
        <v>1.0220969</v>
      </c>
      <c r="F6">
        <v>1.0291319999999999</v>
      </c>
      <c r="G6">
        <v>70</v>
      </c>
      <c r="H6">
        <v>0.88972340000000005</v>
      </c>
      <c r="I6">
        <v>0.88402029999999998</v>
      </c>
      <c r="J6">
        <v>0.91256340000000002</v>
      </c>
      <c r="K6">
        <v>-150</v>
      </c>
      <c r="L6">
        <v>0.64283699999999999</v>
      </c>
      <c r="M6">
        <v>0.75547777999999999</v>
      </c>
      <c r="N6">
        <v>0.60704219999999998</v>
      </c>
      <c r="R6">
        <v>15</v>
      </c>
      <c r="S6">
        <v>1.0281548330532699</v>
      </c>
      <c r="T6" s="1">
        <f t="shared" si="0"/>
        <v>-9.4950593969481232E-4</v>
      </c>
      <c r="U6">
        <v>70</v>
      </c>
      <c r="V6">
        <v>0.90963366700000003</v>
      </c>
      <c r="W6" s="1">
        <f t="shared" si="1"/>
        <v>-3.2104432415325772E-3</v>
      </c>
      <c r="X6">
        <v>-150</v>
      </c>
      <c r="Y6">
        <v>0.609060647564723</v>
      </c>
      <c r="Z6" s="1">
        <f t="shared" si="2"/>
        <v>3.3250531259985303E-3</v>
      </c>
    </row>
    <row r="7" spans="1:26" x14ac:dyDescent="0.25">
      <c r="C7">
        <v>20</v>
      </c>
      <c r="D7">
        <v>1.1903189999999999</v>
      </c>
      <c r="E7">
        <v>1.2151426000000001</v>
      </c>
      <c r="F7">
        <v>1.2307669999999999</v>
      </c>
      <c r="G7">
        <v>80</v>
      </c>
      <c r="H7">
        <v>0.71843849999999998</v>
      </c>
      <c r="I7">
        <v>0.7186458</v>
      </c>
      <c r="J7">
        <v>0.73100419999999999</v>
      </c>
      <c r="K7">
        <v>-100</v>
      </c>
      <c r="L7">
        <v>0.84259419999999996</v>
      </c>
      <c r="M7">
        <v>0.81560094999999999</v>
      </c>
      <c r="N7">
        <v>0.73620640000000004</v>
      </c>
      <c r="R7">
        <v>20</v>
      </c>
      <c r="S7">
        <v>1.2293384628669399</v>
      </c>
      <c r="T7" s="1">
        <f t="shared" si="0"/>
        <v>-1.1606885243592125E-3</v>
      </c>
      <c r="U7">
        <v>80</v>
      </c>
      <c r="V7">
        <v>0.73228083300000002</v>
      </c>
      <c r="W7" s="1">
        <f t="shared" si="1"/>
        <v>1.7464099385475856E-3</v>
      </c>
      <c r="X7">
        <v>-100</v>
      </c>
      <c r="Y7">
        <v>0.73449543911042103</v>
      </c>
      <c r="Z7" s="1">
        <f t="shared" si="2"/>
        <v>-2.3240233847179339E-3</v>
      </c>
    </row>
    <row r="8" spans="1:26" x14ac:dyDescent="0.25">
      <c r="C8">
        <v>25</v>
      </c>
      <c r="D8">
        <v>1.3313820000000001</v>
      </c>
      <c r="E8">
        <v>1.3190789000000001</v>
      </c>
      <c r="F8">
        <v>1.369445</v>
      </c>
      <c r="G8">
        <v>90</v>
      </c>
      <c r="H8">
        <v>0.64206169999999996</v>
      </c>
      <c r="I8">
        <v>0.63619289999999995</v>
      </c>
      <c r="J8">
        <v>0.69630959999999997</v>
      </c>
      <c r="K8">
        <v>-50</v>
      </c>
      <c r="L8">
        <v>1.0268569999999999</v>
      </c>
      <c r="M8">
        <v>1.01761506</v>
      </c>
      <c r="N8">
        <v>1.0244530000000001</v>
      </c>
      <c r="R8">
        <v>25</v>
      </c>
      <c r="S8">
        <v>1.3689576375396799</v>
      </c>
      <c r="T8" s="1">
        <f t="shared" si="0"/>
        <v>-3.558831937902629E-4</v>
      </c>
      <c r="U8">
        <v>90</v>
      </c>
      <c r="V8">
        <v>0.70300887599999995</v>
      </c>
      <c r="W8" s="1">
        <f t="shared" si="1"/>
        <v>9.6211168135553159E-3</v>
      </c>
      <c r="X8">
        <v>-50</v>
      </c>
      <c r="Y8">
        <v>1.0274338313701501</v>
      </c>
      <c r="Z8" s="1">
        <f t="shared" si="2"/>
        <v>2.9096809420735151E-3</v>
      </c>
    </row>
    <row r="9" spans="1:26" x14ac:dyDescent="0.25">
      <c r="G9">
        <v>100</v>
      </c>
      <c r="H9">
        <v>0.37274990000000002</v>
      </c>
      <c r="I9">
        <v>0.40973290000000001</v>
      </c>
      <c r="J9">
        <v>0.52349570000000001</v>
      </c>
      <c r="K9">
        <v>0</v>
      </c>
      <c r="L9">
        <v>1.2091989999999999</v>
      </c>
      <c r="M9">
        <v>1.3509130600000001</v>
      </c>
      <c r="N9">
        <v>1.355092</v>
      </c>
      <c r="T9" s="1"/>
      <c r="U9">
        <v>100</v>
      </c>
      <c r="V9">
        <v>0.65370019499999998</v>
      </c>
      <c r="W9" s="1">
        <f t="shared" si="1"/>
        <v>0.24872123113905228</v>
      </c>
      <c r="X9">
        <v>0</v>
      </c>
      <c r="Y9">
        <v>1.35675995732726</v>
      </c>
      <c r="Z9" s="1">
        <f t="shared" si="2"/>
        <v>1.2308812444173493E-3</v>
      </c>
    </row>
    <row r="10" spans="1:26" x14ac:dyDescent="0.25">
      <c r="G10">
        <v>110</v>
      </c>
      <c r="H10">
        <v>-0.13172780000000001</v>
      </c>
      <c r="I10">
        <v>-0.13194059999999999</v>
      </c>
      <c r="J10">
        <v>-6.6886109999999997E-3</v>
      </c>
      <c r="K10">
        <v>50</v>
      </c>
      <c r="L10">
        <v>1.3915409999999999</v>
      </c>
      <c r="M10">
        <v>1.3823547</v>
      </c>
      <c r="N10">
        <v>1.4114869999999999</v>
      </c>
      <c r="T10" s="1"/>
      <c r="U10">
        <v>110</v>
      </c>
      <c r="V10">
        <v>0.57633447900000001</v>
      </c>
      <c r="W10" s="1">
        <f t="shared" si="1"/>
        <v>-87.166541752839265</v>
      </c>
      <c r="X10">
        <v>50</v>
      </c>
      <c r="Y10">
        <v>1.3946920406211201</v>
      </c>
      <c r="Z10" s="1">
        <f t="shared" si="2"/>
        <v>-1.1898770147284297E-2</v>
      </c>
    </row>
  </sheetData>
  <conditionalFormatting sqref="T4:T8">
    <cfRule type="cellIs" dxfId="15" priority="7" operator="between">
      <formula>-0.05</formula>
      <formula>0.05</formula>
    </cfRule>
    <cfRule type="cellIs" dxfId="14" priority="8" operator="between">
      <formula>-0.05</formula>
      <formula>0.05</formula>
    </cfRule>
  </conditionalFormatting>
  <conditionalFormatting sqref="W4:W10">
    <cfRule type="cellIs" dxfId="13" priority="5" operator="between">
      <formula>-0.05</formula>
      <formula>0.05</formula>
    </cfRule>
    <cfRule type="cellIs" dxfId="12" priority="6" operator="between">
      <formula>-0.05</formula>
      <formula>0.05</formula>
    </cfRule>
  </conditionalFormatting>
  <conditionalFormatting sqref="Z4:Z10">
    <cfRule type="cellIs" dxfId="11" priority="3" operator="between">
      <formula>-0.05</formula>
      <formula>0.05</formula>
    </cfRule>
    <cfRule type="cellIs" dxfId="10" priority="4" operator="between">
      <formula>-0.05</formula>
      <formula>0.05</formula>
    </cfRule>
  </conditionalFormatting>
  <conditionalFormatting sqref="Q4">
    <cfRule type="cellIs" dxfId="9" priority="1" operator="between">
      <formula>-0.05</formula>
      <formula>0.05</formula>
    </cfRule>
    <cfRule type="cellIs" dxfId="8" priority="2" operator="between">
      <formula>-0.05</formula>
      <formula>0.05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>
      <selection activeCell="M50" sqref="M50"/>
    </sheetView>
  </sheetViews>
  <sheetFormatPr defaultRowHeight="15" x14ac:dyDescent="0.25"/>
  <cols>
    <col min="2" max="4" width="12" bestFit="1" customWidth="1"/>
    <col min="5" max="5" width="12" customWidth="1"/>
    <col min="6" max="7" width="12" bestFit="1" customWidth="1"/>
    <col min="8" max="10" width="10" customWidth="1"/>
    <col min="11" max="13" width="9" customWidth="1"/>
    <col min="14" max="15" width="10" customWidth="1"/>
    <col min="16" max="18" width="11" bestFit="1" customWidth="1"/>
    <col min="28" max="28" width="11.7109375" customWidth="1"/>
  </cols>
  <sheetData>
    <row r="1" spans="1:30" x14ac:dyDescent="0.25">
      <c r="A1" t="s">
        <v>13</v>
      </c>
      <c r="R1" t="s">
        <v>12</v>
      </c>
    </row>
    <row r="2" spans="1:30" x14ac:dyDescent="0.25">
      <c r="B2" t="s">
        <v>20</v>
      </c>
      <c r="F2" t="s">
        <v>7</v>
      </c>
      <c r="J2" t="s">
        <v>23</v>
      </c>
      <c r="N2" t="s">
        <v>24</v>
      </c>
      <c r="S2" t="s">
        <v>20</v>
      </c>
      <c r="V2" t="s">
        <v>7</v>
      </c>
      <c r="Y2" t="s">
        <v>23</v>
      </c>
      <c r="AB2" t="s">
        <v>24</v>
      </c>
    </row>
    <row r="3" spans="1:30" x14ac:dyDescent="0.25">
      <c r="B3" t="s">
        <v>1</v>
      </c>
      <c r="C3" t="s">
        <v>9</v>
      </c>
      <c r="D3" t="s">
        <v>10</v>
      </c>
      <c r="E3" t="s">
        <v>34</v>
      </c>
      <c r="F3" t="s">
        <v>1</v>
      </c>
      <c r="G3" t="s">
        <v>9</v>
      </c>
      <c r="H3" t="s">
        <v>10</v>
      </c>
      <c r="I3" t="s">
        <v>34</v>
      </c>
      <c r="J3" t="s">
        <v>1</v>
      </c>
      <c r="K3" t="s">
        <v>9</v>
      </c>
      <c r="L3" t="s">
        <v>10</v>
      </c>
      <c r="M3" t="s">
        <v>34</v>
      </c>
      <c r="N3" t="s">
        <v>1</v>
      </c>
      <c r="O3" t="s">
        <v>9</v>
      </c>
      <c r="P3" t="s">
        <v>10</v>
      </c>
      <c r="Q3" t="s">
        <v>34</v>
      </c>
      <c r="S3" t="s">
        <v>25</v>
      </c>
      <c r="T3" t="s">
        <v>26</v>
      </c>
      <c r="U3" t="s">
        <v>4</v>
      </c>
      <c r="V3" t="s">
        <v>18</v>
      </c>
      <c r="W3" t="s">
        <v>19</v>
      </c>
      <c r="X3" t="s">
        <v>4</v>
      </c>
      <c r="Y3" t="s">
        <v>27</v>
      </c>
      <c r="Z3" t="s">
        <v>28</v>
      </c>
      <c r="AA3" t="s">
        <v>4</v>
      </c>
      <c r="AB3" t="s">
        <v>29</v>
      </c>
      <c r="AC3" t="s">
        <v>30</v>
      </c>
    </row>
    <row r="4" spans="1:30" x14ac:dyDescent="0.25">
      <c r="B4">
        <v>-100</v>
      </c>
      <c r="C4">
        <v>8.1037609999999995E-4</v>
      </c>
      <c r="D4">
        <v>1.116311E-3</v>
      </c>
      <c r="E4">
        <v>1.5019230000000001E-3</v>
      </c>
      <c r="F4">
        <v>2</v>
      </c>
      <c r="G4">
        <v>0.42820249999999999</v>
      </c>
      <c r="H4">
        <v>0.40132519999999999</v>
      </c>
      <c r="I4">
        <v>0.48585339999999999</v>
      </c>
      <c r="J4">
        <v>0.1</v>
      </c>
      <c r="K4">
        <v>0.27483930000000001</v>
      </c>
      <c r="L4">
        <v>0.27192460000000002</v>
      </c>
      <c r="M4">
        <v>0.26609640000000001</v>
      </c>
      <c r="N4">
        <v>50</v>
      </c>
      <c r="O4">
        <v>0.6926949</v>
      </c>
      <c r="P4">
        <v>0.77228680000000005</v>
      </c>
      <c r="Q4">
        <v>0.84731440000000002</v>
      </c>
      <c r="S4">
        <v>-100</v>
      </c>
      <c r="T4">
        <v>1.5253875949746E-3</v>
      </c>
      <c r="U4" s="1">
        <f>(T4-E4)/E4</f>
        <v>1.5623034586060616E-2</v>
      </c>
      <c r="V4">
        <v>2</v>
      </c>
      <c r="W4">
        <v>0.49552297000000001</v>
      </c>
      <c r="X4" s="1">
        <f>(W4-I4)/I4</f>
        <v>1.9902238000186923E-2</v>
      </c>
      <c r="Y4">
        <v>0.1</v>
      </c>
      <c r="Z4">
        <v>0.42914149499999998</v>
      </c>
      <c r="AA4" s="1">
        <f>(Z4-M4)/M4</f>
        <v>0.61272942813206033</v>
      </c>
      <c r="AB4">
        <v>50000</v>
      </c>
      <c r="AC4">
        <v>1.1063865479999999</v>
      </c>
      <c r="AD4" s="1">
        <f>(AC4-Q4)/Q4</f>
        <v>0.30575680998694216</v>
      </c>
    </row>
    <row r="5" spans="1:30" x14ac:dyDescent="0.25">
      <c r="B5">
        <v>-50</v>
      </c>
      <c r="C5">
        <v>1.080424E-3</v>
      </c>
      <c r="D5">
        <v>1.039875E-3</v>
      </c>
      <c r="E5">
        <v>1.3158639999999999E-3</v>
      </c>
      <c r="F5">
        <v>4</v>
      </c>
      <c r="G5">
        <v>0.85384800000000005</v>
      </c>
      <c r="H5">
        <v>0.84788830000000004</v>
      </c>
      <c r="I5">
        <v>0.90198040000000002</v>
      </c>
      <c r="J5">
        <v>0.3</v>
      </c>
      <c r="K5">
        <v>0.54601169999999999</v>
      </c>
      <c r="L5">
        <v>0.55728069999999996</v>
      </c>
      <c r="M5">
        <v>0.49006149999999998</v>
      </c>
      <c r="N5">
        <v>100</v>
      </c>
      <c r="O5">
        <v>0.86584510000000003</v>
      </c>
      <c r="P5">
        <v>0.80134499999999997</v>
      </c>
      <c r="Q5">
        <v>0.91341419999999995</v>
      </c>
      <c r="S5">
        <v>-50</v>
      </c>
      <c r="T5">
        <v>1.3975354622455299E-3</v>
      </c>
      <c r="U5" s="1">
        <f t="shared" ref="U5:U11" si="0">(T5-E5)/E5</f>
        <v>6.206679584328624E-2</v>
      </c>
      <c r="V5">
        <v>4</v>
      </c>
      <c r="W5">
        <v>0.80669174499999996</v>
      </c>
      <c r="X5" s="1">
        <f t="shared" ref="X5:X9" si="1">(W5-I5)/I5</f>
        <v>-0.10564381997657604</v>
      </c>
      <c r="Y5">
        <v>0.2</v>
      </c>
      <c r="Z5">
        <v>0.61064881599999998</v>
      </c>
      <c r="AA5" s="1"/>
      <c r="AB5" s="2">
        <v>100000</v>
      </c>
      <c r="AC5">
        <v>0.89176449000000002</v>
      </c>
      <c r="AD5" s="1">
        <f>(AC5-Q5)/Q5</f>
        <v>-2.3701963468489906E-2</v>
      </c>
    </row>
    <row r="6" spans="1:30" x14ac:dyDescent="0.25">
      <c r="B6">
        <v>0</v>
      </c>
      <c r="C6">
        <v>4.1355039999999999E-3</v>
      </c>
      <c r="D6">
        <v>4.2685620000000001E-3</v>
      </c>
      <c r="E6">
        <v>3.4147729999999999E-3</v>
      </c>
      <c r="F6">
        <v>6</v>
      </c>
      <c r="G6">
        <v>1.1562030000000001</v>
      </c>
      <c r="H6">
        <v>1.1826772999999999</v>
      </c>
      <c r="I6">
        <v>1.1814370000000001</v>
      </c>
      <c r="J6">
        <v>0.4</v>
      </c>
      <c r="K6">
        <v>0.60720669999999999</v>
      </c>
      <c r="L6">
        <v>0.60450420000000005</v>
      </c>
      <c r="M6">
        <v>0.48983359999999998</v>
      </c>
      <c r="N6">
        <v>150</v>
      </c>
      <c r="O6">
        <v>1.3405309999999999</v>
      </c>
      <c r="P6">
        <v>1.3753175</v>
      </c>
      <c r="Q6">
        <v>1.599307</v>
      </c>
      <c r="S6">
        <v>0</v>
      </c>
      <c r="T6">
        <v>4.5660790784289003E-3</v>
      </c>
      <c r="U6" s="1">
        <f t="shared" si="0"/>
        <v>0.33715449853589113</v>
      </c>
      <c r="V6">
        <v>6</v>
      </c>
      <c r="W6">
        <v>1.1051032649999999</v>
      </c>
      <c r="X6" s="1">
        <f t="shared" si="1"/>
        <v>-6.4610922969231682E-2</v>
      </c>
      <c r="Y6">
        <v>0.3</v>
      </c>
      <c r="Z6">
        <v>0.73120064100000004</v>
      </c>
      <c r="AA6" s="1">
        <f>(Z6-M5)/M5</f>
        <v>0.49205893750070157</v>
      </c>
      <c r="AB6">
        <v>150000</v>
      </c>
      <c r="AC6">
        <v>1.0729966440000001</v>
      </c>
      <c r="AD6" s="1">
        <f t="shared" ref="AD6:AD8" si="2">(AC6-Q6)/Q6</f>
        <v>-0.32908650809381812</v>
      </c>
    </row>
    <row r="7" spans="1:30" x14ac:dyDescent="0.25">
      <c r="B7">
        <v>50</v>
      </c>
      <c r="C7">
        <v>1.2774519999999999E-2</v>
      </c>
      <c r="D7">
        <v>1.2689412000000001E-2</v>
      </c>
      <c r="E7">
        <v>1.2709649999999999E-2</v>
      </c>
      <c r="F7">
        <v>8</v>
      </c>
      <c r="G7">
        <v>1.2815319999999999</v>
      </c>
      <c r="H7">
        <v>1.2492477</v>
      </c>
      <c r="I7">
        <v>1.217792</v>
      </c>
      <c r="J7">
        <v>0.5</v>
      </c>
      <c r="K7">
        <v>0.63850629999999997</v>
      </c>
      <c r="L7">
        <v>0.64376449999999996</v>
      </c>
      <c r="M7">
        <v>0.52603169999999999</v>
      </c>
      <c r="N7">
        <v>200</v>
      </c>
      <c r="O7">
        <v>1.338239</v>
      </c>
      <c r="P7">
        <v>1.310716</v>
      </c>
      <c r="Q7">
        <v>1.5517369999999999</v>
      </c>
      <c r="S7">
        <v>50</v>
      </c>
      <c r="T7">
        <v>1.08688799234559E-2</v>
      </c>
      <c r="U7" s="1">
        <f t="shared" si="0"/>
        <v>-0.14483247583876027</v>
      </c>
      <c r="V7">
        <v>8</v>
      </c>
      <c r="W7">
        <v>1.347817601</v>
      </c>
      <c r="X7" s="1">
        <f t="shared" si="1"/>
        <v>0.10677160056889851</v>
      </c>
      <c r="Y7">
        <v>0.4</v>
      </c>
      <c r="Z7">
        <v>0.72523913100000004</v>
      </c>
      <c r="AA7" s="1">
        <f t="shared" ref="AA7:AA11" si="3">(Z7-M6)/M6</f>
        <v>0.48058265296623193</v>
      </c>
      <c r="AB7" s="2">
        <v>200000</v>
      </c>
      <c r="AC7">
        <v>1.0225186639999999</v>
      </c>
      <c r="AD7" s="1">
        <f t="shared" si="2"/>
        <v>-0.34104898961615276</v>
      </c>
    </row>
    <row r="8" spans="1:30" x14ac:dyDescent="0.25">
      <c r="B8">
        <v>100</v>
      </c>
      <c r="C8">
        <v>2.802638E-2</v>
      </c>
      <c r="D8">
        <v>2.8354112000000001E-2</v>
      </c>
      <c r="E8">
        <v>2.8470200000000001E-2</v>
      </c>
      <c r="F8">
        <v>10</v>
      </c>
      <c r="G8">
        <v>1.5872189999999999</v>
      </c>
      <c r="H8">
        <v>1.573828</v>
      </c>
      <c r="I8">
        <v>1.5552550000000001</v>
      </c>
      <c r="J8">
        <v>0.6</v>
      </c>
      <c r="K8">
        <v>0.66288959999999997</v>
      </c>
      <c r="L8">
        <v>0.65156270000000005</v>
      </c>
      <c r="M8">
        <v>0.58569789999999999</v>
      </c>
      <c r="N8">
        <v>250</v>
      </c>
      <c r="O8">
        <v>0.9260661</v>
      </c>
      <c r="P8">
        <v>0.93501650000000003</v>
      </c>
      <c r="Q8">
        <v>1.0100389999999999</v>
      </c>
      <c r="S8">
        <v>100</v>
      </c>
      <c r="T8">
        <v>2.5580030347351301E-2</v>
      </c>
      <c r="U8" s="1">
        <f t="shared" si="0"/>
        <v>-0.10151560764057507</v>
      </c>
      <c r="V8">
        <v>10</v>
      </c>
      <c r="W8">
        <v>1.662668298</v>
      </c>
      <c r="X8" s="1">
        <f t="shared" si="1"/>
        <v>6.9064750153511795E-2</v>
      </c>
      <c r="Y8">
        <v>0.5</v>
      </c>
      <c r="Z8">
        <v>0.74282157299999996</v>
      </c>
      <c r="AA8" s="1">
        <f t="shared" si="3"/>
        <v>0.41212321044530198</v>
      </c>
      <c r="AB8">
        <v>250000</v>
      </c>
      <c r="AC8">
        <v>0.86410640900000002</v>
      </c>
      <c r="AD8" s="1">
        <f t="shared" si="2"/>
        <v>-0.14448213484825823</v>
      </c>
    </row>
    <row r="9" spans="1:30" x14ac:dyDescent="0.25">
      <c r="B9">
        <v>150</v>
      </c>
      <c r="C9">
        <v>4.358049E-2</v>
      </c>
      <c r="D9">
        <v>4.3218549000000002E-2</v>
      </c>
      <c r="E9">
        <v>4.3900590000000003E-2</v>
      </c>
      <c r="F9">
        <v>12</v>
      </c>
      <c r="G9">
        <v>1.9711529999999999</v>
      </c>
      <c r="H9">
        <v>1.9580150000000001</v>
      </c>
      <c r="I9">
        <v>1.991744</v>
      </c>
      <c r="J9">
        <v>0.7</v>
      </c>
      <c r="K9">
        <v>0.6991366</v>
      </c>
      <c r="L9">
        <v>0.70066799999999996</v>
      </c>
      <c r="M9">
        <v>0.73109780000000002</v>
      </c>
      <c r="S9">
        <v>150</v>
      </c>
      <c r="T9">
        <v>3.4647603287222002E-2</v>
      </c>
      <c r="U9" s="1">
        <f t="shared" si="0"/>
        <v>-0.21077135211116754</v>
      </c>
      <c r="V9">
        <v>12</v>
      </c>
      <c r="W9">
        <v>1.5890062389999999</v>
      </c>
      <c r="X9" s="1">
        <f t="shared" si="1"/>
        <v>-0.20220357686529997</v>
      </c>
      <c r="Y9">
        <v>0.6</v>
      </c>
      <c r="Z9">
        <v>0.74686384800000005</v>
      </c>
      <c r="AA9" s="1">
        <f t="shared" si="3"/>
        <v>0.27516907265674001</v>
      </c>
      <c r="AD9" s="1"/>
    </row>
    <row r="10" spans="1:30" x14ac:dyDescent="0.25">
      <c r="B10">
        <v>200</v>
      </c>
      <c r="C10">
        <v>4.9981299999999999E-2</v>
      </c>
      <c r="D10">
        <v>5.0624992000000001E-2</v>
      </c>
      <c r="E10">
        <v>5.024062E-2</v>
      </c>
      <c r="J10">
        <v>0.8</v>
      </c>
      <c r="K10">
        <v>0.74611769999999999</v>
      </c>
      <c r="L10">
        <v>0.74801640000000003</v>
      </c>
      <c r="M10">
        <v>0.75966069999999997</v>
      </c>
      <c r="S10">
        <v>200</v>
      </c>
      <c r="T10">
        <v>3.1602012689821497E-2</v>
      </c>
      <c r="U10" s="1">
        <f t="shared" si="0"/>
        <v>-0.37098680928257854</v>
      </c>
      <c r="X10" s="1"/>
      <c r="Y10">
        <v>0.7</v>
      </c>
      <c r="Z10">
        <v>0.78336296900000002</v>
      </c>
      <c r="AA10" s="1">
        <f t="shared" si="3"/>
        <v>7.1488614792713095E-2</v>
      </c>
      <c r="AD10" s="1"/>
    </row>
    <row r="11" spans="1:30" x14ac:dyDescent="0.25">
      <c r="B11">
        <v>250</v>
      </c>
      <c r="C11">
        <v>4.1886E-2</v>
      </c>
      <c r="D11">
        <v>4.0896050000000003E-2</v>
      </c>
      <c r="E11">
        <v>4.1995919999999999E-2</v>
      </c>
      <c r="S11">
        <v>250</v>
      </c>
      <c r="T11">
        <v>2.68232931757094E-2</v>
      </c>
      <c r="U11" s="1">
        <f t="shared" si="0"/>
        <v>-0.36128811618582468</v>
      </c>
      <c r="X11" s="1"/>
      <c r="Y11">
        <v>0.8</v>
      </c>
      <c r="Z11">
        <v>0.754822887</v>
      </c>
      <c r="AA11" s="1">
        <f t="shared" si="3"/>
        <v>-6.3683865704780686E-3</v>
      </c>
      <c r="AD11" s="1"/>
    </row>
  </sheetData>
  <conditionalFormatting sqref="U4:U11">
    <cfRule type="cellIs" dxfId="7" priority="7" operator="between">
      <formula>-0.05</formula>
      <formula>0.05</formula>
    </cfRule>
    <cfRule type="cellIs" dxfId="6" priority="8" operator="between">
      <formula>-0.05</formula>
      <formula>0.05</formula>
    </cfRule>
  </conditionalFormatting>
  <conditionalFormatting sqref="X4:X9">
    <cfRule type="cellIs" dxfId="5" priority="5" operator="between">
      <formula>-0.05</formula>
      <formula>0.05</formula>
    </cfRule>
    <cfRule type="cellIs" dxfId="4" priority="6" operator="between">
      <formula>-0.05</formula>
      <formula>0.05</formula>
    </cfRule>
  </conditionalFormatting>
  <conditionalFormatting sqref="AA4:AA11">
    <cfRule type="cellIs" dxfId="3" priority="3" operator="between">
      <formula>-0.05</formula>
      <formula>0.05</formula>
    </cfRule>
    <cfRule type="cellIs" dxfId="2" priority="4" operator="between">
      <formula>-0.05</formula>
      <formula>0.05</formula>
    </cfRule>
  </conditionalFormatting>
  <conditionalFormatting sqref="AD4:AD8">
    <cfRule type="cellIs" dxfId="1" priority="1" operator="between">
      <formula>-0.05</formula>
      <formula>0.05</formula>
    </cfRule>
    <cfRule type="cellIs" dxfId="0" priority="2" operator="between">
      <formula>-0.05</formula>
      <formula>0.05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7"/>
  <sheetViews>
    <sheetView workbookViewId="0">
      <selection activeCell="N48" sqref="N48"/>
    </sheetView>
  </sheetViews>
  <sheetFormatPr defaultRowHeight="15" x14ac:dyDescent="0.25"/>
  <cols>
    <col min="3" max="3" width="9" customWidth="1"/>
    <col min="4" max="4" width="11" bestFit="1" customWidth="1"/>
    <col min="5" max="9" width="10" bestFit="1" customWidth="1"/>
    <col min="10" max="10" width="7" customWidth="1"/>
    <col min="11" max="18" width="9" customWidth="1"/>
  </cols>
  <sheetData>
    <row r="1" spans="2:18" x14ac:dyDescent="0.25">
      <c r="B1" t="s">
        <v>40</v>
      </c>
      <c r="L1" t="s">
        <v>39</v>
      </c>
    </row>
    <row r="2" spans="2:18" x14ac:dyDescent="0.25">
      <c r="B2" t="s">
        <v>35</v>
      </c>
      <c r="C2" t="s">
        <v>14</v>
      </c>
      <c r="D2" t="s">
        <v>15</v>
      </c>
      <c r="E2" t="s">
        <v>18</v>
      </c>
      <c r="F2" t="s">
        <v>19</v>
      </c>
      <c r="G2" t="s">
        <v>16</v>
      </c>
      <c r="H2" t="s">
        <v>17</v>
      </c>
      <c r="L2" t="s">
        <v>35</v>
      </c>
      <c r="M2" t="s">
        <v>14</v>
      </c>
      <c r="N2" t="s">
        <v>15</v>
      </c>
      <c r="O2" t="s">
        <v>18</v>
      </c>
      <c r="P2" t="s">
        <v>19</v>
      </c>
      <c r="Q2" t="s">
        <v>16</v>
      </c>
      <c r="R2" t="s">
        <v>17</v>
      </c>
    </row>
    <row r="3" spans="2:18" x14ac:dyDescent="0.25">
      <c r="B3">
        <v>1.478425E-3</v>
      </c>
      <c r="C3">
        <v>20</v>
      </c>
      <c r="D3">
        <v>0.161385732</v>
      </c>
      <c r="E3">
        <v>10</v>
      </c>
      <c r="F3">
        <v>9.5800658999999996E-2</v>
      </c>
      <c r="G3">
        <v>500</v>
      </c>
      <c r="H3">
        <v>1.4052535719999999</v>
      </c>
      <c r="L3">
        <v>0.14784249999999999</v>
      </c>
      <c r="M3">
        <v>20</v>
      </c>
      <c r="N3">
        <v>0.16138569999999999</v>
      </c>
      <c r="O3">
        <v>10</v>
      </c>
      <c r="P3">
        <v>9.5800659999999996E-2</v>
      </c>
      <c r="Q3">
        <v>500</v>
      </c>
      <c r="R3">
        <v>1.405254</v>
      </c>
    </row>
    <row r="4" spans="2:18" x14ac:dyDescent="0.25">
      <c r="C4">
        <v>40</v>
      </c>
      <c r="D4">
        <v>0.72581721499999996</v>
      </c>
      <c r="E4">
        <v>20</v>
      </c>
      <c r="F4">
        <v>0.27170841600000001</v>
      </c>
      <c r="G4">
        <v>550</v>
      </c>
      <c r="H4">
        <v>2.0073392430000001</v>
      </c>
      <c r="M4">
        <v>40</v>
      </c>
      <c r="N4">
        <v>0.72581720000000005</v>
      </c>
      <c r="O4">
        <v>20</v>
      </c>
      <c r="P4">
        <v>0.27170840000000002</v>
      </c>
      <c r="Q4">
        <v>550</v>
      </c>
      <c r="R4">
        <v>2.007339</v>
      </c>
    </row>
    <row r="5" spans="2:18" x14ac:dyDescent="0.25">
      <c r="C5">
        <v>60</v>
      </c>
      <c r="D5">
        <v>0.406847403</v>
      </c>
      <c r="E5">
        <v>30</v>
      </c>
      <c r="F5">
        <v>0.54883086999999997</v>
      </c>
      <c r="G5">
        <v>600</v>
      </c>
      <c r="H5">
        <v>1.460144745</v>
      </c>
      <c r="M5">
        <v>60</v>
      </c>
      <c r="N5">
        <v>0.40684740000000003</v>
      </c>
      <c r="O5">
        <v>30</v>
      </c>
      <c r="P5">
        <v>0.54883090000000001</v>
      </c>
      <c r="Q5">
        <v>600</v>
      </c>
      <c r="R5">
        <v>1.460145</v>
      </c>
    </row>
    <row r="6" spans="2:18" x14ac:dyDescent="0.25">
      <c r="C6">
        <v>80</v>
      </c>
      <c r="D6">
        <v>1.3207066359999999</v>
      </c>
      <c r="E6">
        <v>40</v>
      </c>
      <c r="F6">
        <v>0.95340624200000001</v>
      </c>
      <c r="G6">
        <v>650</v>
      </c>
      <c r="H6">
        <v>1.328151257</v>
      </c>
      <c r="M6">
        <v>80</v>
      </c>
      <c r="N6">
        <v>1.3207070000000001</v>
      </c>
      <c r="O6">
        <v>40</v>
      </c>
      <c r="P6">
        <v>0.95340619999999998</v>
      </c>
      <c r="Q6">
        <v>650</v>
      </c>
      <c r="R6">
        <v>1.3281510000000001</v>
      </c>
    </row>
    <row r="7" spans="2:18" x14ac:dyDescent="0.25">
      <c r="C7">
        <v>100</v>
      </c>
      <c r="D7">
        <v>4.0900065550000004</v>
      </c>
      <c r="E7">
        <v>50</v>
      </c>
      <c r="F7">
        <v>1.19071544</v>
      </c>
      <c r="G7">
        <v>700</v>
      </c>
      <c r="H7">
        <v>0.84572346399999998</v>
      </c>
      <c r="M7">
        <v>100</v>
      </c>
      <c r="N7">
        <v>4.0900069999999999</v>
      </c>
      <c r="O7">
        <v>50</v>
      </c>
      <c r="P7">
        <v>1.190715</v>
      </c>
      <c r="Q7">
        <v>700</v>
      </c>
      <c r="R7">
        <v>0.84572349999999996</v>
      </c>
    </row>
    <row r="8" spans="2:18" x14ac:dyDescent="0.25">
      <c r="E8">
        <v>60</v>
      </c>
      <c r="F8">
        <v>1.555770721</v>
      </c>
      <c r="G8">
        <v>750</v>
      </c>
      <c r="H8">
        <v>0.420139347</v>
      </c>
      <c r="O8">
        <v>60</v>
      </c>
      <c r="P8">
        <v>1.555771</v>
      </c>
      <c r="Q8">
        <v>750</v>
      </c>
      <c r="R8">
        <v>0.42013929999999999</v>
      </c>
    </row>
    <row r="9" spans="2:18" x14ac:dyDescent="0.25">
      <c r="E9">
        <v>70</v>
      </c>
      <c r="F9">
        <v>1.731400161</v>
      </c>
      <c r="G9">
        <v>800</v>
      </c>
      <c r="H9">
        <v>0.72212464700000001</v>
      </c>
      <c r="O9">
        <v>70</v>
      </c>
      <c r="P9">
        <v>1.7314000000000001</v>
      </c>
      <c r="Q9">
        <v>800</v>
      </c>
      <c r="R9">
        <v>0.72212460000000001</v>
      </c>
    </row>
    <row r="10" spans="2:18" x14ac:dyDescent="0.25">
      <c r="E10">
        <v>80</v>
      </c>
      <c r="F10">
        <v>2.0606307799999999</v>
      </c>
      <c r="O10">
        <v>80</v>
      </c>
      <c r="P10">
        <v>2.0606309999999999</v>
      </c>
    </row>
    <row r="11" spans="2:18" x14ac:dyDescent="0.25">
      <c r="E11">
        <v>90</v>
      </c>
      <c r="F11">
        <v>2.3535655179999999</v>
      </c>
      <c r="O11">
        <v>90</v>
      </c>
      <c r="P11">
        <v>2.3535659999999998</v>
      </c>
    </row>
    <row r="12" spans="2:18" x14ac:dyDescent="0.25">
      <c r="E12">
        <v>100</v>
      </c>
      <c r="F12">
        <v>2.583973286</v>
      </c>
      <c r="O12">
        <v>100</v>
      </c>
      <c r="P12">
        <v>2.5839729999999999</v>
      </c>
    </row>
    <row r="13" spans="2:18" x14ac:dyDescent="0.25">
      <c r="E13">
        <v>110</v>
      </c>
      <c r="F13">
        <v>2.4920045069999999</v>
      </c>
      <c r="O13">
        <v>110</v>
      </c>
      <c r="P13">
        <v>2.4920049999999998</v>
      </c>
    </row>
    <row r="14" spans="2:18" x14ac:dyDescent="0.25">
      <c r="E14">
        <v>120</v>
      </c>
      <c r="F14">
        <v>2.1159169250000001</v>
      </c>
      <c r="O14">
        <v>120</v>
      </c>
      <c r="P14">
        <v>2.115917</v>
      </c>
    </row>
    <row r="15" spans="2:18" x14ac:dyDescent="0.25">
      <c r="E15">
        <v>130</v>
      </c>
      <c r="F15">
        <v>1.7932425830000001</v>
      </c>
      <c r="O15">
        <v>130</v>
      </c>
      <c r="P15">
        <v>1.7932429999999999</v>
      </c>
    </row>
    <row r="16" spans="2:18" x14ac:dyDescent="0.25">
      <c r="E16">
        <v>140</v>
      </c>
      <c r="F16">
        <v>1.703343796</v>
      </c>
      <c r="O16">
        <v>140</v>
      </c>
      <c r="P16">
        <v>1.703344</v>
      </c>
    </row>
    <row r="17" spans="5:16" x14ac:dyDescent="0.25">
      <c r="E17">
        <v>150</v>
      </c>
      <c r="F17">
        <v>1.5638221889999999</v>
      </c>
      <c r="O17">
        <v>150</v>
      </c>
      <c r="P17">
        <v>1.563822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9"/>
  <sheetViews>
    <sheetView tabSelected="1" workbookViewId="0">
      <selection activeCell="O42" sqref="O42"/>
    </sheetView>
  </sheetViews>
  <sheetFormatPr defaultRowHeight="15" x14ac:dyDescent="0.25"/>
  <cols>
    <col min="3" max="3" width="9" customWidth="1"/>
    <col min="4" max="4" width="11" bestFit="1" customWidth="1"/>
    <col min="5" max="7" width="10" bestFit="1" customWidth="1"/>
    <col min="8" max="8" width="11" bestFit="1" customWidth="1"/>
    <col min="9" max="9" width="10" bestFit="1" customWidth="1"/>
    <col min="10" max="13" width="10" customWidth="1"/>
    <col min="14" max="14" width="10.7109375" customWidth="1"/>
    <col min="15" max="18" width="9" customWidth="1"/>
  </cols>
  <sheetData>
    <row r="2" spans="2:20" x14ac:dyDescent="0.25">
      <c r="C2" t="s">
        <v>18</v>
      </c>
      <c r="D2" t="s">
        <v>19</v>
      </c>
      <c r="E2" t="s">
        <v>21</v>
      </c>
      <c r="F2" t="s">
        <v>22</v>
      </c>
      <c r="G2" t="s">
        <v>14</v>
      </c>
      <c r="H2" t="s">
        <v>15</v>
      </c>
      <c r="K2" t="s">
        <v>5</v>
      </c>
      <c r="L2" t="s">
        <v>7</v>
      </c>
      <c r="M2" t="s">
        <v>20</v>
      </c>
      <c r="N2" t="s">
        <v>6</v>
      </c>
    </row>
    <row r="3" spans="2:20" x14ac:dyDescent="0.25">
      <c r="B3">
        <v>4.6118979999999997E-3</v>
      </c>
      <c r="C3">
        <v>5</v>
      </c>
      <c r="D3">
        <v>0.423185056</v>
      </c>
      <c r="E3">
        <v>-250</v>
      </c>
      <c r="F3">
        <v>5.5253101999999998E-2</v>
      </c>
      <c r="G3">
        <v>50</v>
      </c>
      <c r="H3">
        <v>0.99796555899999995</v>
      </c>
      <c r="K3">
        <v>4.6118970000000002E-3</v>
      </c>
      <c r="L3">
        <v>0.42450100000000002</v>
      </c>
      <c r="M3">
        <v>5.1173320000000001E-2</v>
      </c>
      <c r="N3">
        <v>1.0022850000000001</v>
      </c>
    </row>
    <row r="4" spans="2:20" x14ac:dyDescent="0.25">
      <c r="C4">
        <v>10</v>
      </c>
      <c r="D4">
        <v>0.80669547100000005</v>
      </c>
      <c r="E4">
        <v>-200</v>
      </c>
      <c r="F4">
        <v>0.23452671999999999</v>
      </c>
      <c r="G4">
        <v>60</v>
      </c>
      <c r="H4">
        <v>1.107525954</v>
      </c>
      <c r="L4">
        <v>0.80850480000000002</v>
      </c>
      <c r="M4">
        <v>0.22844639999999999</v>
      </c>
      <c r="N4">
        <v>1.102244</v>
      </c>
    </row>
    <row r="5" spans="2:20" x14ac:dyDescent="0.25">
      <c r="C5">
        <v>15</v>
      </c>
      <c r="D5">
        <v>1.036668784</v>
      </c>
      <c r="E5">
        <v>-150</v>
      </c>
      <c r="F5">
        <v>0.60140582499999995</v>
      </c>
      <c r="G5">
        <v>70</v>
      </c>
      <c r="H5">
        <v>0.89338469799999998</v>
      </c>
      <c r="L5">
        <v>1.038068</v>
      </c>
      <c r="M5">
        <v>0.60126659999999998</v>
      </c>
      <c r="N5">
        <v>0.89803500000000003</v>
      </c>
    </row>
    <row r="6" spans="2:20" x14ac:dyDescent="0.25">
      <c r="C6">
        <v>20</v>
      </c>
      <c r="D6">
        <v>1.238931569</v>
      </c>
      <c r="E6">
        <v>-100</v>
      </c>
      <c r="F6">
        <v>0.730677197</v>
      </c>
      <c r="G6">
        <v>80</v>
      </c>
      <c r="H6">
        <v>0.76667398899999994</v>
      </c>
      <c r="L6">
        <v>1.2400439999999999</v>
      </c>
      <c r="M6">
        <v>0.73014429999999997</v>
      </c>
      <c r="N6">
        <v>0.75768360000000001</v>
      </c>
    </row>
    <row r="7" spans="2:20" x14ac:dyDescent="0.25">
      <c r="C7">
        <v>25</v>
      </c>
      <c r="D7">
        <v>1.3785835280000001</v>
      </c>
      <c r="E7">
        <v>-50</v>
      </c>
      <c r="F7">
        <v>1.01658362</v>
      </c>
      <c r="G7">
        <v>90</v>
      </c>
      <c r="H7">
        <v>0.57981026099999999</v>
      </c>
      <c r="L7">
        <v>1.378938</v>
      </c>
      <c r="M7">
        <v>1.0142599999999999</v>
      </c>
      <c r="N7">
        <v>0.60298149999999995</v>
      </c>
    </row>
    <row r="8" spans="2:20" x14ac:dyDescent="0.25">
      <c r="E8">
        <v>0</v>
      </c>
      <c r="F8">
        <v>1.3740186190000001</v>
      </c>
      <c r="G8">
        <v>100</v>
      </c>
      <c r="H8">
        <v>0.13883728100000001</v>
      </c>
      <c r="M8">
        <v>1.3781350000000001</v>
      </c>
      <c r="N8">
        <v>0.20238819999999999</v>
      </c>
      <c r="T8">
        <v>3.7</v>
      </c>
    </row>
    <row r="9" spans="2:20" x14ac:dyDescent="0.25">
      <c r="E9">
        <v>50</v>
      </c>
      <c r="F9">
        <v>1.4697260990000001</v>
      </c>
      <c r="G9">
        <v>110</v>
      </c>
      <c r="H9">
        <v>-0.43971080499999998</v>
      </c>
      <c r="M9">
        <v>1.47742</v>
      </c>
      <c r="N9">
        <v>-0.24222479999999999</v>
      </c>
      <c r="T9">
        <f>T8*K3</f>
        <v>1.7064018900000002E-2</v>
      </c>
    </row>
    <row r="39" spans="12:12" x14ac:dyDescent="0.25">
      <c r="L39" t="s">
        <v>41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0"/>
  <sheetViews>
    <sheetView workbookViewId="0">
      <selection activeCell="L3" sqref="L3:L10"/>
    </sheetView>
  </sheetViews>
  <sheetFormatPr defaultRowHeight="15" x14ac:dyDescent="0.25"/>
  <cols>
    <col min="2" max="6" width="9.140625" customWidth="1"/>
    <col min="7" max="8" width="10" customWidth="1"/>
    <col min="9" max="10" width="9" customWidth="1"/>
    <col min="11" max="16" width="10" customWidth="1"/>
    <col min="17" max="22" width="9.140625" customWidth="1"/>
  </cols>
  <sheetData>
    <row r="1" spans="2:21" x14ac:dyDescent="0.25">
      <c r="B1" t="s">
        <v>36</v>
      </c>
      <c r="L1" t="s">
        <v>37</v>
      </c>
      <c r="R1" t="s">
        <v>38</v>
      </c>
    </row>
    <row r="2" spans="2:21" x14ac:dyDescent="0.25">
      <c r="B2" t="s">
        <v>25</v>
      </c>
      <c r="C2" t="s">
        <v>26</v>
      </c>
      <c r="D2" t="s">
        <v>18</v>
      </c>
      <c r="E2" t="s">
        <v>19</v>
      </c>
      <c r="F2" t="s">
        <v>27</v>
      </c>
      <c r="G2" t="s">
        <v>28</v>
      </c>
      <c r="H2" t="s">
        <v>29</v>
      </c>
      <c r="I2" t="s">
        <v>30</v>
      </c>
      <c r="L2" t="s">
        <v>20</v>
      </c>
      <c r="M2" t="s">
        <v>7</v>
      </c>
      <c r="N2" t="s">
        <v>23</v>
      </c>
      <c r="O2" t="s">
        <v>24</v>
      </c>
      <c r="R2" t="s">
        <v>26</v>
      </c>
      <c r="S2" t="s">
        <v>19</v>
      </c>
      <c r="T2" t="s">
        <v>28</v>
      </c>
      <c r="U2" t="s">
        <v>30</v>
      </c>
    </row>
    <row r="3" spans="2:21" x14ac:dyDescent="0.25">
      <c r="B3">
        <v>-100</v>
      </c>
      <c r="C3">
        <v>1.4526179999999999E-3</v>
      </c>
      <c r="D3">
        <v>2</v>
      </c>
      <c r="E3">
        <v>0.445403563</v>
      </c>
      <c r="F3">
        <v>0.1</v>
      </c>
      <c r="G3">
        <v>0.42546022700000002</v>
      </c>
      <c r="H3">
        <v>50000</v>
      </c>
      <c r="I3">
        <v>1.1348269769999999</v>
      </c>
      <c r="L3">
        <v>1.2843419999999999E-3</v>
      </c>
      <c r="M3">
        <v>0.54767790000000005</v>
      </c>
      <c r="N3">
        <v>0.2824566</v>
      </c>
      <c r="O3">
        <v>0.88835450000000005</v>
      </c>
      <c r="R3">
        <v>9.64543E-4</v>
      </c>
      <c r="S3">
        <v>0.59907886799999999</v>
      </c>
      <c r="T3">
        <v>0.26511281599999997</v>
      </c>
      <c r="U3">
        <v>0.85791112899999999</v>
      </c>
    </row>
    <row r="4" spans="2:21" x14ac:dyDescent="0.25">
      <c r="B4">
        <v>-50</v>
      </c>
      <c r="C4">
        <v>1.2959200000000001E-3</v>
      </c>
      <c r="D4">
        <v>4</v>
      </c>
      <c r="E4">
        <v>0.69123310100000002</v>
      </c>
      <c r="F4">
        <v>0.2</v>
      </c>
      <c r="G4">
        <v>0.61065155599999998</v>
      </c>
      <c r="H4" s="2">
        <v>100000</v>
      </c>
      <c r="I4">
        <v>0.88830993400000002</v>
      </c>
      <c r="L4">
        <v>9.4322290000000005E-4</v>
      </c>
      <c r="M4">
        <v>0.7883464</v>
      </c>
      <c r="N4">
        <v>0.4300332</v>
      </c>
      <c r="O4">
        <v>0.92102249999999997</v>
      </c>
      <c r="R4">
        <v>7.6105200000000002E-4</v>
      </c>
      <c r="S4">
        <v>1.1633630779999999</v>
      </c>
      <c r="T4">
        <v>0.415301015</v>
      </c>
      <c r="U4">
        <v>0.90371788900000005</v>
      </c>
    </row>
    <row r="5" spans="2:21" x14ac:dyDescent="0.25">
      <c r="B5">
        <v>0</v>
      </c>
      <c r="C5">
        <v>4.4544839999999999E-3</v>
      </c>
      <c r="D5">
        <v>6</v>
      </c>
      <c r="E5">
        <v>1.072170187</v>
      </c>
      <c r="F5">
        <v>0.3</v>
      </c>
      <c r="G5">
        <v>0.74892554300000003</v>
      </c>
      <c r="H5">
        <v>150000</v>
      </c>
      <c r="I5">
        <v>1.077554801</v>
      </c>
      <c r="L5">
        <v>3.7773529999999998E-3</v>
      </c>
      <c r="M5">
        <v>1.106975</v>
      </c>
      <c r="N5">
        <v>0.51122469999999998</v>
      </c>
      <c r="O5">
        <v>1.4477660000000001</v>
      </c>
      <c r="R5">
        <v>3.4321080000000001E-3</v>
      </c>
      <c r="S5">
        <v>1.590902555</v>
      </c>
      <c r="T5">
        <v>0.60784463399999999</v>
      </c>
      <c r="U5">
        <v>1.4575794179999999</v>
      </c>
    </row>
    <row r="6" spans="2:21" x14ac:dyDescent="0.25">
      <c r="B6">
        <v>50</v>
      </c>
      <c r="C6">
        <v>1.0677282E-2</v>
      </c>
      <c r="D6">
        <v>8</v>
      </c>
      <c r="E6">
        <v>1.3257277329999999</v>
      </c>
      <c r="F6">
        <v>0.4</v>
      </c>
      <c r="G6">
        <v>0.75095635500000002</v>
      </c>
      <c r="H6" s="2">
        <v>200000</v>
      </c>
      <c r="I6">
        <v>1.0262749980000001</v>
      </c>
      <c r="L6">
        <v>1.196354E-2</v>
      </c>
      <c r="M6">
        <v>1.404182</v>
      </c>
      <c r="N6">
        <v>0.49963550000000001</v>
      </c>
      <c r="O6">
        <v>1.2951980000000001</v>
      </c>
      <c r="R6">
        <v>1.2011344E-2</v>
      </c>
      <c r="S6">
        <v>1.8451185800000001</v>
      </c>
      <c r="T6">
        <v>0.58902162599999996</v>
      </c>
      <c r="U6">
        <v>1.325489312</v>
      </c>
    </row>
    <row r="7" spans="2:21" x14ac:dyDescent="0.25">
      <c r="B7">
        <v>100</v>
      </c>
      <c r="C7">
        <v>2.5136820000000001E-2</v>
      </c>
      <c r="D7">
        <v>10</v>
      </c>
      <c r="E7">
        <v>1.780581668</v>
      </c>
      <c r="F7">
        <v>0.5</v>
      </c>
      <c r="G7">
        <v>0.76160607999999996</v>
      </c>
      <c r="H7">
        <v>250000</v>
      </c>
      <c r="I7">
        <v>0.86480030699999999</v>
      </c>
      <c r="L7">
        <v>2.8577390000000001E-2</v>
      </c>
      <c r="M7">
        <v>1.8421970000000001</v>
      </c>
      <c r="N7">
        <v>0.55275229999999997</v>
      </c>
      <c r="O7">
        <v>0.81656340000000005</v>
      </c>
      <c r="R7">
        <v>2.8666763000000001E-2</v>
      </c>
      <c r="S7">
        <v>2.1021905890000001</v>
      </c>
      <c r="T7">
        <v>0.55625986800000005</v>
      </c>
      <c r="U7">
        <v>0.86355544399999995</v>
      </c>
    </row>
    <row r="8" spans="2:21" x14ac:dyDescent="0.25">
      <c r="B8">
        <v>150</v>
      </c>
      <c r="C8">
        <v>3.4171466999999997E-2</v>
      </c>
      <c r="D8">
        <v>12</v>
      </c>
      <c r="E8">
        <v>1.542371674</v>
      </c>
      <c r="F8">
        <v>0.6</v>
      </c>
      <c r="G8">
        <v>0.76373599800000003</v>
      </c>
      <c r="L8">
        <v>4.3307569999999997E-2</v>
      </c>
      <c r="M8">
        <v>1.7518419999999999</v>
      </c>
      <c r="N8">
        <v>0.63524210000000003</v>
      </c>
      <c r="R8">
        <v>4.3165107000000001E-2</v>
      </c>
      <c r="S8">
        <v>2.010079304</v>
      </c>
      <c r="T8">
        <v>0.54592346999999997</v>
      </c>
    </row>
    <row r="9" spans="2:21" x14ac:dyDescent="0.25">
      <c r="B9">
        <v>200</v>
      </c>
      <c r="C9">
        <v>3.1001127E-2</v>
      </c>
      <c r="F9">
        <v>0.7</v>
      </c>
      <c r="G9">
        <v>0.80204757100000001</v>
      </c>
      <c r="L9">
        <v>5.063397E-2</v>
      </c>
      <c r="N9">
        <v>0.8378504</v>
      </c>
      <c r="R9">
        <v>5.0599460999999998E-2</v>
      </c>
      <c r="T9">
        <v>0.78196557799999999</v>
      </c>
    </row>
    <row r="10" spans="2:21" x14ac:dyDescent="0.25">
      <c r="B10">
        <v>250</v>
      </c>
      <c r="C10">
        <v>2.6263700000000001E-2</v>
      </c>
      <c r="F10">
        <v>0.8</v>
      </c>
      <c r="G10">
        <v>0.77993253699999998</v>
      </c>
      <c r="L10">
        <v>4.1225379999999999E-2</v>
      </c>
      <c r="N10">
        <v>0.8504292</v>
      </c>
      <c r="R10">
        <v>4.1108898999999997E-2</v>
      </c>
      <c r="T10">
        <v>0.69890319400000001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Curt</vt:lpstr>
      <vt:lpstr>Dflt</vt:lpstr>
      <vt:lpstr>Turn</vt:lpstr>
      <vt:lpstr>Refi</vt:lpstr>
      <vt:lpstr>Dflt0709</vt:lpstr>
      <vt:lpstr>Turn0709</vt:lpstr>
      <vt:lpstr>Refi0709</vt:lpstr>
      <vt:lpstr>Refi!aa</vt:lpstr>
      <vt:lpstr>Turn!aa</vt:lpstr>
      <vt:lpstr>Curt!aa_1</vt:lpstr>
      <vt:lpstr>Dflt!aa_1</vt:lpstr>
      <vt:lpstr>Refi0709!aa_1</vt:lpstr>
      <vt:lpstr>Turn!aa_1</vt:lpstr>
      <vt:lpstr>Curt!aa_2</vt:lpstr>
      <vt:lpstr>Refi!aa_2</vt:lpstr>
      <vt:lpstr>Turn!aa_2</vt:lpstr>
      <vt:lpstr>Refi!aa_3</vt:lpstr>
      <vt:lpstr>Turn!aa_3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2014-07-01T17:32:57Z</dcterms:created>
  <dcterms:modified xsi:type="dcterms:W3CDTF">2014-10-22T14:04:09Z</dcterms:modified>
</cp:coreProperties>
</file>