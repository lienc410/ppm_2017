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34515" windowHeight="1870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3" i="1"/>
  <c r="L3" i="1"/>
  <c r="L4" i="1"/>
  <c r="L5" i="1"/>
  <c r="M5" i="1" s="1"/>
  <c r="L6" i="1"/>
  <c r="L7" i="1"/>
  <c r="L8" i="1"/>
  <c r="L9" i="1"/>
  <c r="L10" i="1"/>
  <c r="M10" i="1" s="1"/>
  <c r="L11" i="1"/>
  <c r="M11" i="1" s="1"/>
  <c r="L12" i="1"/>
  <c r="L13" i="1"/>
  <c r="M13" i="1" s="1"/>
  <c r="L14" i="1"/>
  <c r="L15" i="1"/>
  <c r="L16" i="1"/>
  <c r="L17" i="1"/>
  <c r="M17" i="1" s="1"/>
  <c r="L18" i="1"/>
  <c r="M18" i="1" s="1"/>
  <c r="L19" i="1"/>
  <c r="M19" i="1" s="1"/>
  <c r="L20" i="1"/>
  <c r="L21" i="1"/>
  <c r="M21" i="1" s="1"/>
  <c r="L22" i="1"/>
  <c r="L23" i="1"/>
  <c r="L24" i="1"/>
  <c r="L25" i="1"/>
  <c r="M25" i="1" s="1"/>
  <c r="L26" i="1"/>
  <c r="M26" i="1" s="1"/>
  <c r="L27" i="1"/>
  <c r="M27" i="1" s="1"/>
  <c r="L28" i="1"/>
  <c r="L29" i="1"/>
  <c r="M29" i="1" s="1"/>
  <c r="L30" i="1"/>
  <c r="L31" i="1"/>
  <c r="L32" i="1"/>
  <c r="L33" i="1"/>
  <c r="M33" i="1" s="1"/>
  <c r="L34" i="1"/>
  <c r="M34" i="1" s="1"/>
  <c r="L35" i="1"/>
  <c r="M35" i="1" s="1"/>
  <c r="L36" i="1"/>
  <c r="L37" i="1"/>
  <c r="M37" i="1" s="1"/>
  <c r="L38" i="1"/>
  <c r="L39" i="1"/>
  <c r="L40" i="1"/>
  <c r="L41" i="1"/>
  <c r="M41" i="1" s="1"/>
  <c r="L42" i="1"/>
  <c r="M42" i="1" s="1"/>
  <c r="L43" i="1"/>
  <c r="M43" i="1" s="1"/>
  <c r="L44" i="1"/>
  <c r="L45" i="1"/>
  <c r="M45" i="1" s="1"/>
  <c r="L46" i="1"/>
  <c r="L47" i="1"/>
  <c r="L48" i="1"/>
  <c r="L49" i="1"/>
  <c r="M49" i="1" s="1"/>
  <c r="L50" i="1"/>
  <c r="M50" i="1" s="1"/>
  <c r="L51" i="1"/>
  <c r="M51" i="1" s="1"/>
  <c r="L52" i="1"/>
  <c r="L53" i="1"/>
  <c r="M53" i="1" s="1"/>
  <c r="L54" i="1"/>
  <c r="L55" i="1"/>
  <c r="L56" i="1"/>
  <c r="L57" i="1"/>
  <c r="M57" i="1" s="1"/>
  <c r="L58" i="1"/>
  <c r="M58" i="1" s="1"/>
  <c r="L59" i="1"/>
  <c r="M59" i="1" s="1"/>
  <c r="L60" i="1"/>
  <c r="L61" i="1"/>
  <c r="M61" i="1" s="1"/>
  <c r="L62" i="1"/>
  <c r="L63" i="1"/>
  <c r="L64" i="1"/>
  <c r="L65" i="1"/>
  <c r="M65" i="1" s="1"/>
  <c r="L66" i="1"/>
  <c r="M66" i="1" s="1"/>
  <c r="L67" i="1"/>
  <c r="M67" i="1" s="1"/>
  <c r="L68" i="1"/>
  <c r="L69" i="1"/>
  <c r="M69" i="1" s="1"/>
  <c r="L70" i="1"/>
  <c r="L71" i="1"/>
  <c r="L72" i="1"/>
  <c r="L73" i="1"/>
  <c r="M73" i="1" s="1"/>
  <c r="L74" i="1"/>
  <c r="M74" i="1" s="1"/>
  <c r="L75" i="1"/>
  <c r="M75" i="1" s="1"/>
  <c r="L76" i="1"/>
  <c r="L77" i="1"/>
  <c r="M77" i="1" s="1"/>
  <c r="L78" i="1"/>
  <c r="L79" i="1"/>
  <c r="L80" i="1"/>
  <c r="L81" i="1"/>
  <c r="M81" i="1" s="1"/>
  <c r="L82" i="1"/>
  <c r="M82" i="1" s="1"/>
  <c r="L83" i="1"/>
  <c r="M83" i="1" s="1"/>
  <c r="L84" i="1"/>
  <c r="L85" i="1"/>
  <c r="M85" i="1" s="1"/>
  <c r="L86" i="1"/>
  <c r="L87" i="1"/>
  <c r="L88" i="1"/>
  <c r="L89" i="1"/>
  <c r="M89" i="1" s="1"/>
  <c r="L90" i="1"/>
  <c r="M90" i="1" s="1"/>
  <c r="L91" i="1"/>
  <c r="M91" i="1" s="1"/>
  <c r="L92" i="1"/>
  <c r="L93" i="1"/>
  <c r="M93" i="1" s="1"/>
  <c r="L94" i="1"/>
  <c r="L95" i="1"/>
  <c r="L96" i="1"/>
  <c r="L97" i="1"/>
  <c r="M97" i="1" s="1"/>
  <c r="L98" i="1"/>
  <c r="M98" i="1" s="1"/>
  <c r="L99" i="1"/>
  <c r="M99" i="1" s="1"/>
  <c r="L100" i="1"/>
  <c r="L101" i="1"/>
  <c r="M101" i="1" s="1"/>
  <c r="L102" i="1"/>
  <c r="L103" i="1"/>
  <c r="L104" i="1"/>
  <c r="L105" i="1"/>
  <c r="M105" i="1" s="1"/>
  <c r="L106" i="1"/>
  <c r="M106" i="1" s="1"/>
  <c r="L107" i="1"/>
  <c r="M107" i="1" s="1"/>
  <c r="L108" i="1"/>
  <c r="L109" i="1"/>
  <c r="M109" i="1" s="1"/>
  <c r="L110" i="1"/>
  <c r="L111" i="1"/>
  <c r="L112" i="1"/>
  <c r="L113" i="1"/>
  <c r="M113" i="1" s="1"/>
  <c r="L114" i="1"/>
  <c r="M114" i="1" s="1"/>
  <c r="L115" i="1"/>
  <c r="M115" i="1" s="1"/>
  <c r="L116" i="1"/>
  <c r="L117" i="1"/>
  <c r="M117" i="1" s="1"/>
  <c r="L118" i="1"/>
  <c r="L119" i="1"/>
  <c r="L120" i="1"/>
  <c r="L121" i="1"/>
  <c r="M121" i="1" s="1"/>
  <c r="M9" i="1" l="1"/>
  <c r="M3" i="1"/>
  <c r="M120" i="1"/>
  <c r="M112" i="1"/>
  <c r="M104" i="1"/>
  <c r="M96" i="1"/>
  <c r="M88" i="1"/>
  <c r="M80" i="1"/>
  <c r="M72" i="1"/>
  <c r="M64" i="1"/>
  <c r="M56" i="1"/>
  <c r="M48" i="1"/>
  <c r="M40" i="1"/>
  <c r="M32" i="1"/>
  <c r="M24" i="1"/>
  <c r="M16" i="1"/>
  <c r="M8" i="1"/>
  <c r="M119" i="1"/>
  <c r="M111" i="1"/>
  <c r="M103" i="1"/>
  <c r="M95" i="1"/>
  <c r="M87" i="1"/>
  <c r="M79" i="1"/>
  <c r="M71" i="1"/>
  <c r="M63" i="1"/>
  <c r="M55" i="1"/>
  <c r="M47" i="1"/>
  <c r="M39" i="1"/>
  <c r="M31" i="1"/>
  <c r="M23" i="1"/>
  <c r="M15" i="1"/>
  <c r="M7" i="1"/>
  <c r="M118" i="1"/>
  <c r="M110" i="1"/>
  <c r="M102" i="1"/>
  <c r="M94" i="1"/>
  <c r="M86" i="1"/>
  <c r="M78" i="1"/>
  <c r="M70" i="1"/>
  <c r="M62" i="1"/>
  <c r="M54" i="1"/>
  <c r="M46" i="1"/>
  <c r="M38" i="1"/>
  <c r="M30" i="1"/>
  <c r="M22" i="1"/>
  <c r="M14" i="1"/>
  <c r="M6" i="1"/>
  <c r="M116" i="1"/>
  <c r="M108" i="1"/>
  <c r="M100" i="1"/>
  <c r="M92" i="1"/>
  <c r="M84" i="1"/>
  <c r="M76" i="1"/>
  <c r="M68" i="1"/>
  <c r="M60" i="1"/>
  <c r="M52" i="1"/>
  <c r="M44" i="1"/>
  <c r="M36" i="1"/>
  <c r="M28" i="1"/>
  <c r="M20" i="1"/>
  <c r="M12" i="1"/>
  <c r="M4" i="1"/>
</calcChain>
</file>

<file path=xl/sharedStrings.xml><?xml version="1.0" encoding="utf-8"?>
<sst xmlns="http://schemas.openxmlformats.org/spreadsheetml/2006/main" count="13" uniqueCount="8">
  <si>
    <t>PoolissueDate</t>
  </si>
  <si>
    <t>IssueAmount</t>
  </si>
  <si>
    <t>Total</t>
  </si>
  <si>
    <t>Refi-Cash-out</t>
  </si>
  <si>
    <t>Percentage</t>
  </si>
  <si>
    <t>Total Refi Volume</t>
  </si>
  <si>
    <t>Refi Cash-out</t>
  </si>
  <si>
    <t>Total Refi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</si>
</sst>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5" formatCode="_(* #,##0_);_(* \(#,##0\);_(* &quot;-&quot;??_);_(@_)"/>
    <numFmt numFmtId="166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65" fontId="0" fillId="0" borderId="0" xfId="1" applyNumberFormat="1" applyFont="1"/>
    <xf numFmtId="166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Refi CO</a:t>
            </a:r>
            <a:r>
              <a:rPr lang="en-US" baseline="0"/>
              <a:t> </a:t>
            </a:r>
            <a:r>
              <a:rPr lang="en-US"/>
              <a:t>Percentage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Sheet1!$M$2</c:f>
              <c:strCache>
                <c:ptCount val="1"/>
                <c:pt idx="0">
                  <c:v>Percentage</c:v>
                </c:pt>
              </c:strCache>
            </c:strRef>
          </c:tx>
          <c:marker>
            <c:symbol val="none"/>
          </c:marker>
          <c:cat>
            <c:numRef>
              <c:f>Sheet1!$J$3:$J$155</c:f>
              <c:numCache>
                <c:formatCode>m/d/yyyy</c:formatCode>
                <c:ptCount val="153"/>
                <c:pt idx="0">
                  <c:v>42278</c:v>
                </c:pt>
                <c:pt idx="1">
                  <c:v>42248</c:v>
                </c:pt>
                <c:pt idx="2">
                  <c:v>42217</c:v>
                </c:pt>
                <c:pt idx="3">
                  <c:v>42186</c:v>
                </c:pt>
                <c:pt idx="4">
                  <c:v>42156</c:v>
                </c:pt>
                <c:pt idx="5">
                  <c:v>42125</c:v>
                </c:pt>
                <c:pt idx="6">
                  <c:v>42095</c:v>
                </c:pt>
                <c:pt idx="7">
                  <c:v>42064</c:v>
                </c:pt>
                <c:pt idx="8">
                  <c:v>42036</c:v>
                </c:pt>
                <c:pt idx="9">
                  <c:v>42005</c:v>
                </c:pt>
                <c:pt idx="10">
                  <c:v>41974</c:v>
                </c:pt>
                <c:pt idx="11">
                  <c:v>41944</c:v>
                </c:pt>
                <c:pt idx="12">
                  <c:v>41913</c:v>
                </c:pt>
                <c:pt idx="13">
                  <c:v>41883</c:v>
                </c:pt>
                <c:pt idx="14">
                  <c:v>41852</c:v>
                </c:pt>
                <c:pt idx="15">
                  <c:v>41821</c:v>
                </c:pt>
                <c:pt idx="16">
                  <c:v>41791</c:v>
                </c:pt>
                <c:pt idx="17">
                  <c:v>41760</c:v>
                </c:pt>
                <c:pt idx="18">
                  <c:v>41730</c:v>
                </c:pt>
                <c:pt idx="19">
                  <c:v>41699</c:v>
                </c:pt>
                <c:pt idx="20">
                  <c:v>41671</c:v>
                </c:pt>
                <c:pt idx="21">
                  <c:v>41640</c:v>
                </c:pt>
                <c:pt idx="22">
                  <c:v>41609</c:v>
                </c:pt>
                <c:pt idx="23">
                  <c:v>41579</c:v>
                </c:pt>
                <c:pt idx="24">
                  <c:v>41548</c:v>
                </c:pt>
                <c:pt idx="25">
                  <c:v>41518</c:v>
                </c:pt>
                <c:pt idx="26">
                  <c:v>41487</c:v>
                </c:pt>
                <c:pt idx="27">
                  <c:v>41456</c:v>
                </c:pt>
                <c:pt idx="28">
                  <c:v>41426</c:v>
                </c:pt>
                <c:pt idx="29">
                  <c:v>41395</c:v>
                </c:pt>
                <c:pt idx="30">
                  <c:v>41365</c:v>
                </c:pt>
                <c:pt idx="31">
                  <c:v>41334</c:v>
                </c:pt>
                <c:pt idx="32">
                  <c:v>41306</c:v>
                </c:pt>
                <c:pt idx="33">
                  <c:v>41275</c:v>
                </c:pt>
                <c:pt idx="34">
                  <c:v>41244</c:v>
                </c:pt>
                <c:pt idx="35">
                  <c:v>41214</c:v>
                </c:pt>
                <c:pt idx="36">
                  <c:v>41183</c:v>
                </c:pt>
                <c:pt idx="37">
                  <c:v>41153</c:v>
                </c:pt>
                <c:pt idx="38">
                  <c:v>41122</c:v>
                </c:pt>
                <c:pt idx="39">
                  <c:v>41091</c:v>
                </c:pt>
                <c:pt idx="40">
                  <c:v>41061</c:v>
                </c:pt>
                <c:pt idx="41">
                  <c:v>41030</c:v>
                </c:pt>
                <c:pt idx="42">
                  <c:v>41000</c:v>
                </c:pt>
                <c:pt idx="43">
                  <c:v>40969</c:v>
                </c:pt>
                <c:pt idx="44">
                  <c:v>40940</c:v>
                </c:pt>
                <c:pt idx="45">
                  <c:v>40909</c:v>
                </c:pt>
                <c:pt idx="46">
                  <c:v>40878</c:v>
                </c:pt>
                <c:pt idx="47">
                  <c:v>40848</c:v>
                </c:pt>
                <c:pt idx="48">
                  <c:v>40817</c:v>
                </c:pt>
                <c:pt idx="49">
                  <c:v>40787</c:v>
                </c:pt>
                <c:pt idx="50">
                  <c:v>40756</c:v>
                </c:pt>
                <c:pt idx="51">
                  <c:v>40725</c:v>
                </c:pt>
                <c:pt idx="52">
                  <c:v>40695</c:v>
                </c:pt>
                <c:pt idx="53">
                  <c:v>40664</c:v>
                </c:pt>
                <c:pt idx="54">
                  <c:v>40634</c:v>
                </c:pt>
                <c:pt idx="55">
                  <c:v>40603</c:v>
                </c:pt>
                <c:pt idx="56">
                  <c:v>40575</c:v>
                </c:pt>
                <c:pt idx="57">
                  <c:v>40544</c:v>
                </c:pt>
                <c:pt idx="58">
                  <c:v>40513</c:v>
                </c:pt>
                <c:pt idx="59">
                  <c:v>40483</c:v>
                </c:pt>
                <c:pt idx="60">
                  <c:v>40452</c:v>
                </c:pt>
                <c:pt idx="61">
                  <c:v>40422</c:v>
                </c:pt>
                <c:pt idx="62">
                  <c:v>40391</c:v>
                </c:pt>
                <c:pt idx="63">
                  <c:v>40360</c:v>
                </c:pt>
                <c:pt idx="64">
                  <c:v>40330</c:v>
                </c:pt>
                <c:pt idx="65">
                  <c:v>40299</c:v>
                </c:pt>
                <c:pt idx="66">
                  <c:v>40269</c:v>
                </c:pt>
                <c:pt idx="67">
                  <c:v>40238</c:v>
                </c:pt>
                <c:pt idx="68">
                  <c:v>40210</c:v>
                </c:pt>
                <c:pt idx="69">
                  <c:v>40179</c:v>
                </c:pt>
                <c:pt idx="70">
                  <c:v>40148</c:v>
                </c:pt>
                <c:pt idx="71">
                  <c:v>40118</c:v>
                </c:pt>
                <c:pt idx="72">
                  <c:v>40087</c:v>
                </c:pt>
                <c:pt idx="73">
                  <c:v>40057</c:v>
                </c:pt>
                <c:pt idx="74">
                  <c:v>40026</c:v>
                </c:pt>
                <c:pt idx="75">
                  <c:v>39995</c:v>
                </c:pt>
                <c:pt idx="76">
                  <c:v>39965</c:v>
                </c:pt>
                <c:pt idx="77">
                  <c:v>39934</c:v>
                </c:pt>
                <c:pt idx="78">
                  <c:v>39904</c:v>
                </c:pt>
                <c:pt idx="79">
                  <c:v>39873</c:v>
                </c:pt>
                <c:pt idx="80">
                  <c:v>39845</c:v>
                </c:pt>
                <c:pt idx="81">
                  <c:v>39814</c:v>
                </c:pt>
                <c:pt idx="82">
                  <c:v>39783</c:v>
                </c:pt>
                <c:pt idx="83">
                  <c:v>39753</c:v>
                </c:pt>
                <c:pt idx="84">
                  <c:v>39722</c:v>
                </c:pt>
                <c:pt idx="85">
                  <c:v>39692</c:v>
                </c:pt>
                <c:pt idx="86">
                  <c:v>39661</c:v>
                </c:pt>
                <c:pt idx="87">
                  <c:v>39630</c:v>
                </c:pt>
                <c:pt idx="88">
                  <c:v>39600</c:v>
                </c:pt>
                <c:pt idx="89">
                  <c:v>39569</c:v>
                </c:pt>
                <c:pt idx="90">
                  <c:v>39539</c:v>
                </c:pt>
                <c:pt idx="91">
                  <c:v>39508</c:v>
                </c:pt>
                <c:pt idx="92">
                  <c:v>39479</c:v>
                </c:pt>
                <c:pt idx="93">
                  <c:v>39448</c:v>
                </c:pt>
                <c:pt idx="94">
                  <c:v>39417</c:v>
                </c:pt>
                <c:pt idx="95">
                  <c:v>39387</c:v>
                </c:pt>
                <c:pt idx="96">
                  <c:v>39356</c:v>
                </c:pt>
                <c:pt idx="97">
                  <c:v>39326</c:v>
                </c:pt>
                <c:pt idx="98">
                  <c:v>39295</c:v>
                </c:pt>
                <c:pt idx="99">
                  <c:v>39264</c:v>
                </c:pt>
                <c:pt idx="100">
                  <c:v>39234</c:v>
                </c:pt>
                <c:pt idx="101">
                  <c:v>39203</c:v>
                </c:pt>
                <c:pt idx="102">
                  <c:v>39173</c:v>
                </c:pt>
                <c:pt idx="103">
                  <c:v>39142</c:v>
                </c:pt>
                <c:pt idx="104">
                  <c:v>39114</c:v>
                </c:pt>
                <c:pt idx="105">
                  <c:v>39083</c:v>
                </c:pt>
                <c:pt idx="106">
                  <c:v>39052</c:v>
                </c:pt>
                <c:pt idx="107">
                  <c:v>39022</c:v>
                </c:pt>
                <c:pt idx="108">
                  <c:v>38991</c:v>
                </c:pt>
                <c:pt idx="109">
                  <c:v>38961</c:v>
                </c:pt>
                <c:pt idx="110">
                  <c:v>38930</c:v>
                </c:pt>
                <c:pt idx="111">
                  <c:v>38899</c:v>
                </c:pt>
                <c:pt idx="112">
                  <c:v>38869</c:v>
                </c:pt>
                <c:pt idx="113">
                  <c:v>38838</c:v>
                </c:pt>
                <c:pt idx="114">
                  <c:v>38808</c:v>
                </c:pt>
                <c:pt idx="115">
                  <c:v>38777</c:v>
                </c:pt>
                <c:pt idx="116">
                  <c:v>38749</c:v>
                </c:pt>
                <c:pt idx="117">
                  <c:v>38718</c:v>
                </c:pt>
                <c:pt idx="118">
                  <c:v>38687</c:v>
                </c:pt>
              </c:numCache>
            </c:numRef>
          </c:cat>
          <c:val>
            <c:numRef>
              <c:f>Sheet1!$M$3:$M$155</c:f>
              <c:numCache>
                <c:formatCode>0.0%</c:formatCode>
                <c:ptCount val="153"/>
                <c:pt idx="0">
                  <c:v>0.46237039770967497</c:v>
                </c:pt>
                <c:pt idx="1">
                  <c:v>0.42803736417079746</c:v>
                </c:pt>
                <c:pt idx="2">
                  <c:v>0.49724489092373059</c:v>
                </c:pt>
                <c:pt idx="3">
                  <c:v>0.41950843384313596</c:v>
                </c:pt>
                <c:pt idx="4">
                  <c:v>0.3842610925849782</c:v>
                </c:pt>
                <c:pt idx="5">
                  <c:v>0.34437681628957417</c:v>
                </c:pt>
                <c:pt idx="6">
                  <c:v>0.29501915447419558</c:v>
                </c:pt>
                <c:pt idx="7">
                  <c:v>0.29432519808494195</c:v>
                </c:pt>
                <c:pt idx="8">
                  <c:v>0.36713811510508099</c:v>
                </c:pt>
                <c:pt idx="9">
                  <c:v>0.36905956519104616</c:v>
                </c:pt>
                <c:pt idx="10">
                  <c:v>0.34935833018599544</c:v>
                </c:pt>
                <c:pt idx="11">
                  <c:v>0.39310837922242364</c:v>
                </c:pt>
                <c:pt idx="12">
                  <c:v>0.40278475914365597</c:v>
                </c:pt>
                <c:pt idx="13">
                  <c:v>0.39205184998838266</c:v>
                </c:pt>
                <c:pt idx="14">
                  <c:v>0.42012021586209314</c:v>
                </c:pt>
                <c:pt idx="15">
                  <c:v>0.38261680867205483</c:v>
                </c:pt>
                <c:pt idx="16">
                  <c:v>0.37734609182328482</c:v>
                </c:pt>
                <c:pt idx="17">
                  <c:v>0.37365622914465363</c:v>
                </c:pt>
                <c:pt idx="18">
                  <c:v>0.3714423478582099</c:v>
                </c:pt>
                <c:pt idx="19">
                  <c:v>0.35754196581661318</c:v>
                </c:pt>
                <c:pt idx="20">
                  <c:v>0.3212991273778889</c:v>
                </c:pt>
                <c:pt idx="21">
                  <c:v>0.32731458474872033</c:v>
                </c:pt>
                <c:pt idx="22">
                  <c:v>0.34740754869535834</c:v>
                </c:pt>
                <c:pt idx="23">
                  <c:v>0.32541129734939672</c:v>
                </c:pt>
                <c:pt idx="24">
                  <c:v>0.26706527378989398</c:v>
                </c:pt>
                <c:pt idx="25">
                  <c:v>0.25577693162341636</c:v>
                </c:pt>
                <c:pt idx="26">
                  <c:v>0.2650903884505319</c:v>
                </c:pt>
                <c:pt idx="27">
                  <c:v>0.22425728378670878</c:v>
                </c:pt>
                <c:pt idx="28">
                  <c:v>0.22247265930302257</c:v>
                </c:pt>
                <c:pt idx="29">
                  <c:v>0.21443494666533586</c:v>
                </c:pt>
                <c:pt idx="30">
                  <c:v>0.19499017299433039</c:v>
                </c:pt>
                <c:pt idx="31">
                  <c:v>0.2040435692417501</c:v>
                </c:pt>
                <c:pt idx="32">
                  <c:v>0.19118035402756764</c:v>
                </c:pt>
                <c:pt idx="33">
                  <c:v>0.19716736433316601</c:v>
                </c:pt>
                <c:pt idx="34">
                  <c:v>0.20678902631334883</c:v>
                </c:pt>
                <c:pt idx="35">
                  <c:v>0.20409813899893309</c:v>
                </c:pt>
                <c:pt idx="36">
                  <c:v>0.19938992266662281</c:v>
                </c:pt>
                <c:pt idx="37">
                  <c:v>0.19016557982527513</c:v>
                </c:pt>
                <c:pt idx="38">
                  <c:v>0.19698429438698117</c:v>
                </c:pt>
                <c:pt idx="39">
                  <c:v>0.19090043990222663</c:v>
                </c:pt>
                <c:pt idx="40">
                  <c:v>0.19281415497101911</c:v>
                </c:pt>
                <c:pt idx="41">
                  <c:v>0.18132803047063195</c:v>
                </c:pt>
                <c:pt idx="42">
                  <c:v>0.20132066402072551</c:v>
                </c:pt>
                <c:pt idx="43">
                  <c:v>0.17164788089454616</c:v>
                </c:pt>
                <c:pt idx="44">
                  <c:v>0.21613326993862317</c:v>
                </c:pt>
                <c:pt idx="45">
                  <c:v>0.17511586653616612</c:v>
                </c:pt>
                <c:pt idx="46">
                  <c:v>0.14456703849965255</c:v>
                </c:pt>
                <c:pt idx="47">
                  <c:v>0.17541053716898847</c:v>
                </c:pt>
                <c:pt idx="48">
                  <c:v>0.19380208272750385</c:v>
                </c:pt>
                <c:pt idx="49">
                  <c:v>0.2375758353136555</c:v>
                </c:pt>
                <c:pt idx="50">
                  <c:v>0.2713890255144234</c:v>
                </c:pt>
                <c:pt idx="51">
                  <c:v>0.26807935512710113</c:v>
                </c:pt>
                <c:pt idx="52">
                  <c:v>0.29450112593873579</c:v>
                </c:pt>
                <c:pt idx="53">
                  <c:v>0.28076461371573047</c:v>
                </c:pt>
                <c:pt idx="54">
                  <c:v>0.23629615961844341</c:v>
                </c:pt>
                <c:pt idx="55">
                  <c:v>0.24743681759652902</c:v>
                </c:pt>
                <c:pt idx="56">
                  <c:v>0.20408646320003107</c:v>
                </c:pt>
                <c:pt idx="57">
                  <c:v>0.20425997220048614</c:v>
                </c:pt>
                <c:pt idx="58">
                  <c:v>0.17486671639528698</c:v>
                </c:pt>
                <c:pt idx="59">
                  <c:v>0.17922245362199946</c:v>
                </c:pt>
                <c:pt idx="60">
                  <c:v>0.19443277927063504</c:v>
                </c:pt>
                <c:pt idx="61">
                  <c:v>0.19773503199959833</c:v>
                </c:pt>
                <c:pt idx="62">
                  <c:v>0.26888125243035699</c:v>
                </c:pt>
                <c:pt idx="63">
                  <c:v>0.27251364179821791</c:v>
                </c:pt>
                <c:pt idx="64">
                  <c:v>0.31414459003597967</c:v>
                </c:pt>
                <c:pt idx="65">
                  <c:v>0.29277631035790447</c:v>
                </c:pt>
                <c:pt idx="66">
                  <c:v>0.27305469541480482</c:v>
                </c:pt>
                <c:pt idx="67">
                  <c:v>0.32465273542267009</c:v>
                </c:pt>
                <c:pt idx="68">
                  <c:v>0.27484016916495829</c:v>
                </c:pt>
                <c:pt idx="69">
                  <c:v>0.28216554655834686</c:v>
                </c:pt>
                <c:pt idx="70">
                  <c:v>0.30772865005132877</c:v>
                </c:pt>
                <c:pt idx="71">
                  <c:v>0.3421442520571884</c:v>
                </c:pt>
                <c:pt idx="72">
                  <c:v>0.371830197883736</c:v>
                </c:pt>
                <c:pt idx="73">
                  <c:v>0.35414004388978826</c:v>
                </c:pt>
                <c:pt idx="74">
                  <c:v>0.30573328494753804</c:v>
                </c:pt>
                <c:pt idx="75">
                  <c:v>0.29773514192416778</c:v>
                </c:pt>
                <c:pt idx="76">
                  <c:v>0.31060990697825441</c:v>
                </c:pt>
                <c:pt idx="77">
                  <c:v>0.3198814414240031</c:v>
                </c:pt>
                <c:pt idx="78">
                  <c:v>0.30314345332460457</c:v>
                </c:pt>
                <c:pt idx="79">
                  <c:v>0.31705264741751205</c:v>
                </c:pt>
                <c:pt idx="80">
                  <c:v>0.31252353505559549</c:v>
                </c:pt>
                <c:pt idx="81">
                  <c:v>0.40358864099913622</c:v>
                </c:pt>
                <c:pt idx="82">
                  <c:v>0.51764729859045167</c:v>
                </c:pt>
                <c:pt idx="83">
                  <c:v>0.49880323567208978</c:v>
                </c:pt>
                <c:pt idx="84">
                  <c:v>0.5813476459230712</c:v>
                </c:pt>
                <c:pt idx="85">
                  <c:v>0.60750805993277168</c:v>
                </c:pt>
                <c:pt idx="86">
                  <c:v>0.59684842644548697</c:v>
                </c:pt>
                <c:pt idx="87">
                  <c:v>0.56344866826064199</c:v>
                </c:pt>
                <c:pt idx="88">
                  <c:v>0.55568968332666968</c:v>
                </c:pt>
                <c:pt idx="89">
                  <c:v>0.53884458824280479</c:v>
                </c:pt>
                <c:pt idx="90">
                  <c:v>0.49877883855103611</c:v>
                </c:pt>
                <c:pt idx="91">
                  <c:v>0.45137604525816527</c:v>
                </c:pt>
                <c:pt idx="92">
                  <c:v>0.51497624962093014</c:v>
                </c:pt>
                <c:pt idx="93">
                  <c:v>0.5273662066130258</c:v>
                </c:pt>
                <c:pt idx="94">
                  <c:v>0.55350630425635938</c:v>
                </c:pt>
                <c:pt idx="95">
                  <c:v>0.5585140502733853</c:v>
                </c:pt>
                <c:pt idx="96">
                  <c:v>0.56038621694809732</c:v>
                </c:pt>
                <c:pt idx="97">
                  <c:v>0.58774865503403728</c:v>
                </c:pt>
                <c:pt idx="98">
                  <c:v>0.59181491109179474</c:v>
                </c:pt>
                <c:pt idx="99">
                  <c:v>0.59698933762159989</c:v>
                </c:pt>
                <c:pt idx="100">
                  <c:v>0.6037835034612612</c:v>
                </c:pt>
                <c:pt idx="101">
                  <c:v>0.59286175276915964</c:v>
                </c:pt>
                <c:pt idx="102">
                  <c:v>0.57258901944626239</c:v>
                </c:pt>
                <c:pt idx="103">
                  <c:v>0.57229621966190936</c:v>
                </c:pt>
                <c:pt idx="104">
                  <c:v>0.56434007430320854</c:v>
                </c:pt>
                <c:pt idx="105">
                  <c:v>0.56316447269239955</c:v>
                </c:pt>
                <c:pt idx="106">
                  <c:v>0.54305142555323638</c:v>
                </c:pt>
                <c:pt idx="107">
                  <c:v>0.54915446269308987</c:v>
                </c:pt>
                <c:pt idx="108">
                  <c:v>0.53512496304240631</c:v>
                </c:pt>
                <c:pt idx="109">
                  <c:v>0.50688550441292823</c:v>
                </c:pt>
                <c:pt idx="110">
                  <c:v>0.50828510205715549</c:v>
                </c:pt>
                <c:pt idx="111">
                  <c:v>0.52223364977975018</c:v>
                </c:pt>
                <c:pt idx="112">
                  <c:v>0.53585721522208873</c:v>
                </c:pt>
                <c:pt idx="113">
                  <c:v>0.55312428960542104</c:v>
                </c:pt>
                <c:pt idx="114">
                  <c:v>0.57058218701164132</c:v>
                </c:pt>
                <c:pt idx="115">
                  <c:v>0.5697400195858181</c:v>
                </c:pt>
                <c:pt idx="116">
                  <c:v>0.54740333969001975</c:v>
                </c:pt>
                <c:pt idx="117">
                  <c:v>0.56414384473789181</c:v>
                </c:pt>
                <c:pt idx="118">
                  <c:v>0.55278095057246701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0846592"/>
        <c:axId val="421304192"/>
      </c:lineChart>
      <c:dateAx>
        <c:axId val="4208465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21304192"/>
        <c:crosses val="autoZero"/>
        <c:auto val="1"/>
        <c:lblOffset val="100"/>
        <c:baseTimeUnit val="months"/>
      </c:dateAx>
      <c:valAx>
        <c:axId val="421304192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4208465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161925</xdr:colOff>
      <xdr:row>3</xdr:row>
      <xdr:rowOff>85725</xdr:rowOff>
    </xdr:from>
    <xdr:to>
      <xdr:col>24</xdr:col>
      <xdr:colOff>461962</xdr:colOff>
      <xdr:row>21</xdr:row>
      <xdr:rowOff>176212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123825</xdr:colOff>
      <xdr:row>25</xdr:row>
      <xdr:rowOff>47625</xdr:rowOff>
    </xdr:from>
    <xdr:to>
      <xdr:col>24</xdr:col>
      <xdr:colOff>552450</xdr:colOff>
      <xdr:row>34</xdr:row>
      <xdr:rowOff>9525</xdr:rowOff>
    </xdr:to>
    <xdr:sp macro="" textlink="">
      <xdr:nvSpPr>
        <xdr:cNvPr id="4" name="TextBox 3"/>
        <xdr:cNvSpPr txBox="1"/>
      </xdr:nvSpPr>
      <xdr:spPr>
        <a:xfrm>
          <a:off x="5886450" y="4810125"/>
          <a:ext cx="5915025" cy="1676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select l.PoolissueDate, IssueAmount = sum(l.originalLoanAmount) </a:t>
          </a:r>
        </a:p>
        <a:p>
          <a:r>
            <a:rPr lang="en-US" sz="1100"/>
            <a:t>    from fhl.Cello_Loan l</a:t>
          </a:r>
        </a:p>
        <a:p>
          <a:r>
            <a:rPr lang="en-US" sz="1100"/>
            <a:t>where l.marketTicker =</a:t>
          </a:r>
          <a:r>
            <a:rPr lang="en-US" sz="1100" baseline="0"/>
            <a:t> </a:t>
          </a:r>
          <a:r>
            <a:rPr lang="en-US" sz="1100"/>
            <a:t>'FGLMC'</a:t>
          </a:r>
        </a:p>
        <a:p>
          <a:r>
            <a:rPr lang="en-US" sz="1100"/>
            <a:t>--and loanPurposeType = 'RE-FI-CO'</a:t>
          </a:r>
        </a:p>
        <a:p>
          <a:r>
            <a:rPr lang="en-US" sz="1100"/>
            <a:t>and loanPurposeType in ('RE-FI-CO', 'RE-FI-N/S', 'RE-FI-NCO')</a:t>
          </a:r>
        </a:p>
        <a:p>
          <a:r>
            <a:rPr lang="en-US" sz="1100"/>
            <a:t>Group by l.PoolissueDate</a:t>
          </a:r>
        </a:p>
        <a:p>
          <a:r>
            <a:rPr lang="en-US" sz="1100"/>
            <a:t>order by l.PoolissueDate desc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4"/>
  <sheetViews>
    <sheetView tabSelected="1" topLeftCell="I1" workbookViewId="0">
      <selection activeCell="AD20" sqref="AD20"/>
    </sheetView>
  </sheetViews>
  <sheetFormatPr defaultRowHeight="15" x14ac:dyDescent="0.25"/>
  <cols>
    <col min="1" max="1" width="13.85546875" hidden="1" customWidth="1"/>
    <col min="2" max="2" width="18" style="2" hidden="1" customWidth="1"/>
    <col min="3" max="3" width="9.140625" hidden="1" customWidth="1"/>
    <col min="4" max="4" width="13.85546875" hidden="1" customWidth="1"/>
    <col min="5" max="5" width="18" style="2" hidden="1" customWidth="1"/>
    <col min="6" max="8" width="9.140625" hidden="1" customWidth="1"/>
    <col min="9" max="9" width="9.140625" customWidth="1"/>
    <col min="10" max="10" width="13.85546875" bestFit="1" customWidth="1"/>
    <col min="11" max="12" width="18" style="2" bestFit="1" customWidth="1"/>
  </cols>
  <sheetData>
    <row r="1" spans="1:13" x14ac:dyDescent="0.25">
      <c r="A1" t="s">
        <v>2</v>
      </c>
      <c r="D1" t="s">
        <v>6</v>
      </c>
      <c r="G1" t="s">
        <v>7</v>
      </c>
    </row>
    <row r="2" spans="1:13" x14ac:dyDescent="0.25">
      <c r="A2" t="s">
        <v>0</v>
      </c>
      <c r="B2" s="2" t="s">
        <v>1</v>
      </c>
      <c r="D2" t="s">
        <v>0</v>
      </c>
      <c r="E2" s="2" t="s">
        <v>1</v>
      </c>
      <c r="G2" t="s">
        <v>0</v>
      </c>
      <c r="H2" t="s">
        <v>1</v>
      </c>
      <c r="J2" t="s">
        <v>0</v>
      </c>
      <c r="K2" s="2" t="s">
        <v>5</v>
      </c>
      <c r="L2" s="2" t="s">
        <v>3</v>
      </c>
      <c r="M2" t="s">
        <v>4</v>
      </c>
    </row>
    <row r="3" spans="1:13" x14ac:dyDescent="0.25">
      <c r="A3" s="1">
        <v>42278</v>
      </c>
      <c r="B3" s="2">
        <v>20288403739</v>
      </c>
      <c r="D3" s="1">
        <v>42278</v>
      </c>
      <c r="E3" s="2">
        <v>3476574139</v>
      </c>
      <c r="G3" s="1">
        <v>42309</v>
      </c>
      <c r="H3">
        <v>3883288213</v>
      </c>
      <c r="J3" s="1">
        <v>42278</v>
      </c>
      <c r="K3" s="2">
        <f>VLOOKUP(J3,G:H,2,0)</f>
        <v>7519024047</v>
      </c>
      <c r="L3" s="2">
        <f>VLOOKUP(J3,D:E,2,0)</f>
        <v>3476574139</v>
      </c>
      <c r="M3" s="3">
        <f t="shared" ref="M3:M66" si="0">L3/K3</f>
        <v>0.46237039770967497</v>
      </c>
    </row>
    <row r="4" spans="1:13" x14ac:dyDescent="0.25">
      <c r="A4" s="1">
        <v>42248</v>
      </c>
      <c r="B4" s="2">
        <v>21430647547</v>
      </c>
      <c r="D4" s="1">
        <v>42248</v>
      </c>
      <c r="E4" s="2">
        <v>3020366074</v>
      </c>
      <c r="G4" s="1">
        <v>42278</v>
      </c>
      <c r="H4">
        <v>7519024047</v>
      </c>
      <c r="J4" s="1">
        <v>42248</v>
      </c>
      <c r="K4" s="2">
        <f>VLOOKUP(J4,G:H,2,0)</f>
        <v>7056314067</v>
      </c>
      <c r="L4" s="2">
        <f>VLOOKUP(J4,D:E,2,0)</f>
        <v>3020366074</v>
      </c>
      <c r="M4" s="3">
        <f t="shared" si="0"/>
        <v>0.42803736417079746</v>
      </c>
    </row>
    <row r="5" spans="1:13" x14ac:dyDescent="0.25">
      <c r="A5" s="1">
        <v>42217</v>
      </c>
      <c r="B5" s="2">
        <v>19523463081</v>
      </c>
      <c r="D5" s="1">
        <v>42217</v>
      </c>
      <c r="E5" s="2">
        <v>3987619354</v>
      </c>
      <c r="G5" s="1">
        <v>42248</v>
      </c>
      <c r="H5">
        <v>7056314067</v>
      </c>
      <c r="J5" s="1">
        <v>42217</v>
      </c>
      <c r="K5" s="2">
        <f>VLOOKUP(J5,G:H,2,0)</f>
        <v>8019427503</v>
      </c>
      <c r="L5" s="2">
        <f>VLOOKUP(J5,D:E,2,0)</f>
        <v>3987619354</v>
      </c>
      <c r="M5" s="3">
        <f t="shared" si="0"/>
        <v>0.49724489092373059</v>
      </c>
    </row>
    <row r="6" spans="1:13" x14ac:dyDescent="0.25">
      <c r="A6" s="1">
        <v>42186</v>
      </c>
      <c r="B6" s="2">
        <v>23961915146</v>
      </c>
      <c r="D6" s="1">
        <v>42186</v>
      </c>
      <c r="E6" s="2">
        <v>4429718324</v>
      </c>
      <c r="G6" s="1">
        <v>42217</v>
      </c>
      <c r="H6">
        <v>8019427503</v>
      </c>
      <c r="J6" s="1">
        <v>42186</v>
      </c>
      <c r="K6" s="2">
        <f>VLOOKUP(J6,G:H,2,0)</f>
        <v>10559306957</v>
      </c>
      <c r="L6" s="2">
        <f>VLOOKUP(J6,D:E,2,0)</f>
        <v>4429718324</v>
      </c>
      <c r="M6" s="3">
        <f t="shared" si="0"/>
        <v>0.41950843384313596</v>
      </c>
    </row>
    <row r="7" spans="1:13" x14ac:dyDescent="0.25">
      <c r="A7" s="1">
        <v>42156</v>
      </c>
      <c r="B7" s="2">
        <v>25245595511</v>
      </c>
      <c r="D7" s="1">
        <v>42156</v>
      </c>
      <c r="E7" s="2">
        <v>4922094525</v>
      </c>
      <c r="G7" s="1">
        <v>42186</v>
      </c>
      <c r="H7">
        <v>10559306957</v>
      </c>
      <c r="J7" s="1">
        <v>42156</v>
      </c>
      <c r="K7" s="2">
        <f>VLOOKUP(J7,G:H,2,0)</f>
        <v>12809245120</v>
      </c>
      <c r="L7" s="2">
        <f>VLOOKUP(J7,D:E,2,0)</f>
        <v>4922094525</v>
      </c>
      <c r="M7" s="3">
        <f t="shared" si="0"/>
        <v>0.3842610925849782</v>
      </c>
    </row>
    <row r="8" spans="1:13" x14ac:dyDescent="0.25">
      <c r="A8" s="1">
        <v>42125</v>
      </c>
      <c r="B8" s="2">
        <v>22664749314</v>
      </c>
      <c r="D8" s="1">
        <v>42125</v>
      </c>
      <c r="E8" s="2">
        <v>4238288582</v>
      </c>
      <c r="G8" s="1">
        <v>42156</v>
      </c>
      <c r="H8">
        <v>12809245120</v>
      </c>
      <c r="J8" s="1">
        <v>42125</v>
      </c>
      <c r="K8" s="2">
        <f>VLOOKUP(J8,G:H,2,0)</f>
        <v>12307125165</v>
      </c>
      <c r="L8" s="2">
        <f>VLOOKUP(J8,D:E,2,0)</f>
        <v>4238288582</v>
      </c>
      <c r="M8" s="3">
        <f t="shared" si="0"/>
        <v>0.34437681628957417</v>
      </c>
    </row>
    <row r="9" spans="1:13" x14ac:dyDescent="0.25">
      <c r="A9" s="1">
        <v>42095</v>
      </c>
      <c r="B9" s="2">
        <v>23067153612</v>
      </c>
      <c r="D9" s="1">
        <v>42095</v>
      </c>
      <c r="E9" s="2">
        <v>4126683574</v>
      </c>
      <c r="G9" s="1">
        <v>42125</v>
      </c>
      <c r="H9">
        <v>12307125165</v>
      </c>
      <c r="J9" s="1">
        <v>42095</v>
      </c>
      <c r="K9" s="2">
        <f>VLOOKUP(J9,G:H,2,0)</f>
        <v>13987849641</v>
      </c>
      <c r="L9" s="2">
        <f>VLOOKUP(J9,D:E,2,0)</f>
        <v>4126683574</v>
      </c>
      <c r="M9" s="3">
        <f t="shared" si="0"/>
        <v>0.29501915447419558</v>
      </c>
    </row>
    <row r="10" spans="1:13" x14ac:dyDescent="0.25">
      <c r="A10" s="1">
        <v>42064</v>
      </c>
      <c r="B10" s="2">
        <v>17393383642</v>
      </c>
      <c r="D10" s="1">
        <v>42064</v>
      </c>
      <c r="E10" s="2">
        <v>3186195346</v>
      </c>
      <c r="G10" s="1">
        <v>42095</v>
      </c>
      <c r="H10">
        <v>13987849641</v>
      </c>
      <c r="J10" s="1">
        <v>42064</v>
      </c>
      <c r="K10" s="2">
        <f>VLOOKUP(J10,G:H,2,0)</f>
        <v>10825424961</v>
      </c>
      <c r="L10" s="2">
        <f>VLOOKUP(J10,D:E,2,0)</f>
        <v>3186195346</v>
      </c>
      <c r="M10" s="3">
        <f t="shared" si="0"/>
        <v>0.29432519808494195</v>
      </c>
    </row>
    <row r="11" spans="1:13" x14ac:dyDescent="0.25">
      <c r="A11" s="1">
        <v>42036</v>
      </c>
      <c r="B11" s="2">
        <v>22253889124</v>
      </c>
      <c r="D11" s="1">
        <v>42036</v>
      </c>
      <c r="E11" s="2">
        <v>4752444372</v>
      </c>
      <c r="G11" s="1">
        <v>42064</v>
      </c>
      <c r="H11">
        <v>10825424961</v>
      </c>
      <c r="J11" s="1">
        <v>42036</v>
      </c>
      <c r="K11" s="2">
        <f>VLOOKUP(J11,G:H,2,0)</f>
        <v>12944568206</v>
      </c>
      <c r="L11" s="2">
        <f>VLOOKUP(J11,D:E,2,0)</f>
        <v>4752444372</v>
      </c>
      <c r="M11" s="3">
        <f t="shared" si="0"/>
        <v>0.36713811510508099</v>
      </c>
    </row>
    <row r="12" spans="1:13" x14ac:dyDescent="0.25">
      <c r="A12" s="1">
        <v>42005</v>
      </c>
      <c r="B12" s="2">
        <v>15770337232</v>
      </c>
      <c r="D12" s="1">
        <v>42005</v>
      </c>
      <c r="E12" s="2">
        <v>2798732095</v>
      </c>
      <c r="G12" s="1">
        <v>42036</v>
      </c>
      <c r="H12">
        <v>12944568206</v>
      </c>
      <c r="J12" s="1">
        <v>42005</v>
      </c>
      <c r="K12" s="2">
        <f>VLOOKUP(J12,G:H,2,0)</f>
        <v>7583415684</v>
      </c>
      <c r="L12" s="2">
        <f>VLOOKUP(J12,D:E,2,0)</f>
        <v>2798732095</v>
      </c>
      <c r="M12" s="3">
        <f t="shared" si="0"/>
        <v>0.36905956519104616</v>
      </c>
    </row>
    <row r="13" spans="1:13" x14ac:dyDescent="0.25">
      <c r="A13" s="1">
        <v>41974</v>
      </c>
      <c r="B13" s="2">
        <v>15239452111</v>
      </c>
      <c r="D13" s="1">
        <v>41974</v>
      </c>
      <c r="E13" s="2">
        <v>2529588178</v>
      </c>
      <c r="G13" s="1">
        <v>42005</v>
      </c>
      <c r="H13">
        <v>7583415684</v>
      </c>
      <c r="J13" s="1">
        <v>41974</v>
      </c>
      <c r="K13" s="2">
        <f>VLOOKUP(J13,G:H,2,0)</f>
        <v>7240669420</v>
      </c>
      <c r="L13" s="2">
        <f>VLOOKUP(J13,D:E,2,0)</f>
        <v>2529588178</v>
      </c>
      <c r="M13" s="3">
        <f t="shared" si="0"/>
        <v>0.34935833018599544</v>
      </c>
    </row>
    <row r="14" spans="1:13" x14ac:dyDescent="0.25">
      <c r="A14" s="1">
        <v>41944</v>
      </c>
      <c r="B14" s="2">
        <v>17121210785</v>
      </c>
      <c r="D14" s="1">
        <v>41944</v>
      </c>
      <c r="E14" s="2">
        <v>2592351871</v>
      </c>
      <c r="G14" s="1">
        <v>41974</v>
      </c>
      <c r="H14">
        <v>7240669420</v>
      </c>
      <c r="J14" s="1">
        <v>41944</v>
      </c>
      <c r="K14" s="2">
        <f>VLOOKUP(J14,G:H,2,0)</f>
        <v>6594496602</v>
      </c>
      <c r="L14" s="2">
        <f>VLOOKUP(J14,D:E,2,0)</f>
        <v>2592351871</v>
      </c>
      <c r="M14" s="3">
        <f t="shared" si="0"/>
        <v>0.39310837922242364</v>
      </c>
    </row>
    <row r="15" spans="1:13" x14ac:dyDescent="0.25">
      <c r="A15" s="1">
        <v>41913</v>
      </c>
      <c r="B15" s="2">
        <v>18477782043</v>
      </c>
      <c r="D15" s="1">
        <v>41913</v>
      </c>
      <c r="E15" s="2">
        <v>2794572275</v>
      </c>
      <c r="G15" s="1">
        <v>41944</v>
      </c>
      <c r="H15">
        <v>6594496602</v>
      </c>
      <c r="J15" s="1">
        <v>41913</v>
      </c>
      <c r="K15" s="2">
        <f>VLOOKUP(J15,G:H,2,0)</f>
        <v>6938128148</v>
      </c>
      <c r="L15" s="2">
        <f>VLOOKUP(J15,D:E,2,0)</f>
        <v>2794572275</v>
      </c>
      <c r="M15" s="3">
        <f t="shared" si="0"/>
        <v>0.40278475914365597</v>
      </c>
    </row>
    <row r="16" spans="1:13" x14ac:dyDescent="0.25">
      <c r="A16" s="1">
        <v>41883</v>
      </c>
      <c r="B16" s="2">
        <v>18443007662</v>
      </c>
      <c r="D16" s="1">
        <v>41883</v>
      </c>
      <c r="E16" s="2">
        <v>2579547380</v>
      </c>
      <c r="G16" s="1">
        <v>41913</v>
      </c>
      <c r="H16">
        <v>6938128148</v>
      </c>
      <c r="J16" s="1">
        <v>41883</v>
      </c>
      <c r="K16" s="2">
        <f>VLOOKUP(J16,G:H,2,0)</f>
        <v>6579607723</v>
      </c>
      <c r="L16" s="2">
        <f>VLOOKUP(J16,D:E,2,0)</f>
        <v>2579547380</v>
      </c>
      <c r="M16" s="3">
        <f t="shared" si="0"/>
        <v>0.39205184998838266</v>
      </c>
    </row>
    <row r="17" spans="1:13" x14ac:dyDescent="0.25">
      <c r="A17" s="1">
        <v>41852</v>
      </c>
      <c r="B17" s="2">
        <v>20952412262</v>
      </c>
      <c r="D17" s="1">
        <v>41852</v>
      </c>
      <c r="E17" s="2">
        <v>3362467681</v>
      </c>
      <c r="G17" s="1">
        <v>41883</v>
      </c>
      <c r="H17">
        <v>6579607723</v>
      </c>
      <c r="J17" s="1">
        <v>41852</v>
      </c>
      <c r="K17" s="2">
        <f>VLOOKUP(J17,G:H,2,0)</f>
        <v>8003584579</v>
      </c>
      <c r="L17" s="2">
        <f>VLOOKUP(J17,D:E,2,0)</f>
        <v>3362467681</v>
      </c>
      <c r="M17" s="3">
        <f t="shared" si="0"/>
        <v>0.42012021586209314</v>
      </c>
    </row>
    <row r="18" spans="1:13" x14ac:dyDescent="0.25">
      <c r="A18" s="1">
        <v>41821</v>
      </c>
      <c r="B18" s="2">
        <v>15232253164</v>
      </c>
      <c r="D18" s="1">
        <v>41821</v>
      </c>
      <c r="E18" s="2">
        <v>1800975175</v>
      </c>
      <c r="G18" s="1">
        <v>41852</v>
      </c>
      <c r="H18">
        <v>8003584579</v>
      </c>
      <c r="J18" s="1">
        <v>41821</v>
      </c>
      <c r="K18" s="2">
        <f>VLOOKUP(J18,G:H,2,0)</f>
        <v>4706994398</v>
      </c>
      <c r="L18" s="2">
        <f>VLOOKUP(J18,D:E,2,0)</f>
        <v>1800975175</v>
      </c>
      <c r="M18" s="3">
        <f t="shared" si="0"/>
        <v>0.38261680867205483</v>
      </c>
    </row>
    <row r="19" spans="1:13" x14ac:dyDescent="0.25">
      <c r="A19" s="1">
        <v>41791</v>
      </c>
      <c r="B19" s="2">
        <v>14727015366</v>
      </c>
      <c r="D19" s="1">
        <v>41791</v>
      </c>
      <c r="E19" s="2">
        <v>1809809496</v>
      </c>
      <c r="G19" s="1">
        <v>41821</v>
      </c>
      <c r="H19">
        <v>4706994398</v>
      </c>
      <c r="J19" s="1">
        <v>41791</v>
      </c>
      <c r="K19" s="2">
        <f>VLOOKUP(J19,G:H,2,0)</f>
        <v>4796152750</v>
      </c>
      <c r="L19" s="2">
        <f>VLOOKUP(J19,D:E,2,0)</f>
        <v>1809809496</v>
      </c>
      <c r="M19" s="3">
        <f t="shared" si="0"/>
        <v>0.37734609182328482</v>
      </c>
    </row>
    <row r="20" spans="1:13" x14ac:dyDescent="0.25">
      <c r="A20" s="1">
        <v>41760</v>
      </c>
      <c r="B20" s="2">
        <v>12529555818</v>
      </c>
      <c r="D20" s="1">
        <v>41760</v>
      </c>
      <c r="E20" s="2">
        <v>1640068629</v>
      </c>
      <c r="G20" s="1">
        <v>41791</v>
      </c>
      <c r="H20">
        <v>4796152750</v>
      </c>
      <c r="J20" s="1">
        <v>41760</v>
      </c>
      <c r="K20" s="2">
        <f>VLOOKUP(J20,G:H,2,0)</f>
        <v>4389244715</v>
      </c>
      <c r="L20" s="2">
        <f>VLOOKUP(J20,D:E,2,0)</f>
        <v>1640068629</v>
      </c>
      <c r="M20" s="3">
        <f t="shared" si="0"/>
        <v>0.37365622914465363</v>
      </c>
    </row>
    <row r="21" spans="1:13" x14ac:dyDescent="0.25">
      <c r="A21" s="1">
        <v>41730</v>
      </c>
      <c r="B21" s="2">
        <v>11872504424</v>
      </c>
      <c r="D21" s="1">
        <v>41730</v>
      </c>
      <c r="E21" s="2">
        <v>1675159216</v>
      </c>
      <c r="G21" s="1">
        <v>41760</v>
      </c>
      <c r="H21">
        <v>4389244715</v>
      </c>
      <c r="J21" s="1">
        <v>41730</v>
      </c>
      <c r="K21" s="2">
        <f>VLOOKUP(J21,G:H,2,0)</f>
        <v>4509876770</v>
      </c>
      <c r="L21" s="2">
        <f>VLOOKUP(J21,D:E,2,0)</f>
        <v>1675159216</v>
      </c>
      <c r="M21" s="3">
        <f t="shared" si="0"/>
        <v>0.3714423478582099</v>
      </c>
    </row>
    <row r="22" spans="1:13" x14ac:dyDescent="0.25">
      <c r="A22" s="1">
        <v>41699</v>
      </c>
      <c r="B22" s="2">
        <v>9442596077</v>
      </c>
      <c r="D22" s="1">
        <v>41699</v>
      </c>
      <c r="E22" s="2">
        <v>1407667363</v>
      </c>
      <c r="G22" s="1">
        <v>41730</v>
      </c>
      <c r="H22">
        <v>4509876770</v>
      </c>
      <c r="J22" s="1">
        <v>41699</v>
      </c>
      <c r="K22" s="2">
        <f>VLOOKUP(J22,G:H,2,0)</f>
        <v>3937068925</v>
      </c>
      <c r="L22" s="2">
        <f>VLOOKUP(J22,D:E,2,0)</f>
        <v>1407667363</v>
      </c>
      <c r="M22" s="3">
        <f t="shared" si="0"/>
        <v>0.35754196581661318</v>
      </c>
    </row>
    <row r="23" spans="1:13" x14ac:dyDescent="0.25">
      <c r="A23" s="1">
        <v>41671</v>
      </c>
      <c r="B23" s="2">
        <v>12264245294</v>
      </c>
      <c r="D23" s="1">
        <v>41671</v>
      </c>
      <c r="E23" s="2">
        <v>1670977900</v>
      </c>
      <c r="G23" s="1">
        <v>41699</v>
      </c>
      <c r="H23">
        <v>3937068925</v>
      </c>
      <c r="J23" s="1">
        <v>41671</v>
      </c>
      <c r="K23" s="2">
        <f>VLOOKUP(J23,G:H,2,0)</f>
        <v>5200692307</v>
      </c>
      <c r="L23" s="2">
        <f>VLOOKUP(J23,D:E,2,0)</f>
        <v>1670977900</v>
      </c>
      <c r="M23" s="3">
        <f t="shared" si="0"/>
        <v>0.3212991273778889</v>
      </c>
    </row>
    <row r="24" spans="1:13" x14ac:dyDescent="0.25">
      <c r="A24" s="1">
        <v>41640</v>
      </c>
      <c r="B24" s="2">
        <v>13148789422</v>
      </c>
      <c r="D24" s="1">
        <v>41640</v>
      </c>
      <c r="E24" s="2">
        <v>1940550265</v>
      </c>
      <c r="G24" s="1">
        <v>41671</v>
      </c>
      <c r="H24">
        <v>5200692307</v>
      </c>
      <c r="J24" s="1">
        <v>41640</v>
      </c>
      <c r="K24" s="2">
        <f>VLOOKUP(J24,G:H,2,0)</f>
        <v>5928700875</v>
      </c>
      <c r="L24" s="2">
        <f>VLOOKUP(J24,D:E,2,0)</f>
        <v>1940550265</v>
      </c>
      <c r="M24" s="3">
        <f t="shared" si="0"/>
        <v>0.32731458474872033</v>
      </c>
    </row>
    <row r="25" spans="1:13" x14ac:dyDescent="0.25">
      <c r="A25" s="1">
        <v>41609</v>
      </c>
      <c r="B25" s="2">
        <v>15068510563</v>
      </c>
      <c r="D25" s="1">
        <v>41609</v>
      </c>
      <c r="E25" s="2">
        <v>2089704702</v>
      </c>
      <c r="G25" s="1">
        <v>41640</v>
      </c>
      <c r="H25">
        <v>5928700875</v>
      </c>
      <c r="J25" s="1">
        <v>41609</v>
      </c>
      <c r="K25" s="2">
        <f>VLOOKUP(J25,G:H,2,0)</f>
        <v>6015139020</v>
      </c>
      <c r="L25" s="2">
        <f>VLOOKUP(J25,D:E,2,0)</f>
        <v>2089704702</v>
      </c>
      <c r="M25" s="3">
        <f t="shared" si="0"/>
        <v>0.34740754869535834</v>
      </c>
    </row>
    <row r="26" spans="1:13" x14ac:dyDescent="0.25">
      <c r="A26" s="1">
        <v>41579</v>
      </c>
      <c r="B26" s="2">
        <v>14833991379</v>
      </c>
      <c r="D26" s="1">
        <v>41579</v>
      </c>
      <c r="E26" s="2">
        <v>1976801339</v>
      </c>
      <c r="G26" s="1">
        <v>41609</v>
      </c>
      <c r="H26">
        <v>6015139020</v>
      </c>
      <c r="J26" s="1">
        <v>41579</v>
      </c>
      <c r="K26" s="2">
        <f>VLOOKUP(J26,G:H,2,0)</f>
        <v>6074777843</v>
      </c>
      <c r="L26" s="2">
        <f>VLOOKUP(J26,D:E,2,0)</f>
        <v>1976801339</v>
      </c>
      <c r="M26" s="3">
        <f t="shared" si="0"/>
        <v>0.32541129734939672</v>
      </c>
    </row>
    <row r="27" spans="1:13" x14ac:dyDescent="0.25">
      <c r="A27" s="1">
        <v>41548</v>
      </c>
      <c r="B27" s="2">
        <v>13228726460</v>
      </c>
      <c r="D27" s="1">
        <v>41548</v>
      </c>
      <c r="E27" s="2">
        <v>1585350597</v>
      </c>
      <c r="G27" s="1">
        <v>41579</v>
      </c>
      <c r="H27">
        <v>6074777843</v>
      </c>
      <c r="J27" s="1">
        <v>41548</v>
      </c>
      <c r="K27" s="2">
        <f>VLOOKUP(J27,G:H,2,0)</f>
        <v>5936191458</v>
      </c>
      <c r="L27" s="2">
        <f>VLOOKUP(J27,D:E,2,0)</f>
        <v>1585350597</v>
      </c>
      <c r="M27" s="3">
        <f t="shared" si="0"/>
        <v>0.26706527378989398</v>
      </c>
    </row>
    <row r="28" spans="1:13" x14ac:dyDescent="0.25">
      <c r="A28" s="1">
        <v>41518</v>
      </c>
      <c r="B28" s="2">
        <v>15970712499</v>
      </c>
      <c r="D28" s="1">
        <v>41518</v>
      </c>
      <c r="E28" s="2">
        <v>2031899192</v>
      </c>
      <c r="G28" s="1">
        <v>41548</v>
      </c>
      <c r="H28">
        <v>5936191458</v>
      </c>
      <c r="J28" s="1">
        <v>41518</v>
      </c>
      <c r="K28" s="2">
        <f>VLOOKUP(J28,G:H,2,0)</f>
        <v>7944028334</v>
      </c>
      <c r="L28" s="2">
        <f>VLOOKUP(J28,D:E,2,0)</f>
        <v>2031899192</v>
      </c>
      <c r="M28" s="3">
        <f t="shared" si="0"/>
        <v>0.25577693162341636</v>
      </c>
    </row>
    <row r="29" spans="1:13" x14ac:dyDescent="0.25">
      <c r="A29" s="1">
        <v>41487</v>
      </c>
      <c r="B29" s="2">
        <v>22877631471</v>
      </c>
      <c r="D29" s="1">
        <v>41487</v>
      </c>
      <c r="E29" s="2">
        <v>3220025487</v>
      </c>
      <c r="G29" s="1">
        <v>41518</v>
      </c>
      <c r="H29">
        <v>7944028334</v>
      </c>
      <c r="J29" s="1">
        <v>41487</v>
      </c>
      <c r="K29" s="2">
        <f>VLOOKUP(J29,G:H,2,0)</f>
        <v>12146896407</v>
      </c>
      <c r="L29" s="2">
        <f>VLOOKUP(J29,D:E,2,0)</f>
        <v>3220025487</v>
      </c>
      <c r="M29" s="3">
        <f t="shared" si="0"/>
        <v>0.2650903884505319</v>
      </c>
    </row>
    <row r="30" spans="1:13" x14ac:dyDescent="0.25">
      <c r="A30" s="1">
        <v>41456</v>
      </c>
      <c r="B30" s="2">
        <v>23256980782</v>
      </c>
      <c r="D30" s="1">
        <v>41456</v>
      </c>
      <c r="E30" s="2">
        <v>3145015512</v>
      </c>
      <c r="G30" s="1">
        <v>41487</v>
      </c>
      <c r="H30">
        <v>12146896407</v>
      </c>
      <c r="J30" s="1">
        <v>41456</v>
      </c>
      <c r="K30" s="2">
        <f>VLOOKUP(J30,G:H,2,0)</f>
        <v>14024139858</v>
      </c>
      <c r="L30" s="2">
        <f>VLOOKUP(J30,D:E,2,0)</f>
        <v>3145015512</v>
      </c>
      <c r="M30" s="3">
        <f t="shared" si="0"/>
        <v>0.22425728378670878</v>
      </c>
    </row>
    <row r="31" spans="1:13" x14ac:dyDescent="0.25">
      <c r="A31" s="1">
        <v>41426</v>
      </c>
      <c r="B31" s="2">
        <v>27137071687</v>
      </c>
      <c r="D31" s="1">
        <v>41426</v>
      </c>
      <c r="E31" s="2">
        <v>3822327498</v>
      </c>
      <c r="G31" s="1">
        <v>41456</v>
      </c>
      <c r="H31">
        <v>14024139858</v>
      </c>
      <c r="J31" s="1">
        <v>41426</v>
      </c>
      <c r="K31" s="2">
        <f>VLOOKUP(J31,G:H,2,0)</f>
        <v>17181111198</v>
      </c>
      <c r="L31" s="2">
        <f>VLOOKUP(J31,D:E,2,0)</f>
        <v>3822327498</v>
      </c>
      <c r="M31" s="3">
        <f t="shared" si="0"/>
        <v>0.22247265930302257</v>
      </c>
    </row>
    <row r="32" spans="1:13" x14ac:dyDescent="0.25">
      <c r="A32" s="1">
        <v>41395</v>
      </c>
      <c r="B32" s="2">
        <v>22072510490</v>
      </c>
      <c r="D32" s="1">
        <v>41395</v>
      </c>
      <c r="E32" s="2">
        <v>3166115238</v>
      </c>
      <c r="G32" s="1">
        <v>41426</v>
      </c>
      <c r="H32">
        <v>17181111198</v>
      </c>
      <c r="J32" s="1">
        <v>41395</v>
      </c>
      <c r="K32" s="2">
        <f>VLOOKUP(J32,G:H,2,0)</f>
        <v>14764921890</v>
      </c>
      <c r="L32" s="2">
        <f>VLOOKUP(J32,D:E,2,0)</f>
        <v>3166115238</v>
      </c>
      <c r="M32" s="3">
        <f t="shared" si="0"/>
        <v>0.21443494666533586</v>
      </c>
    </row>
    <row r="33" spans="1:13" x14ac:dyDescent="0.25">
      <c r="A33" s="1">
        <v>41365</v>
      </c>
      <c r="B33" s="2">
        <v>26756585071</v>
      </c>
      <c r="D33" s="1">
        <v>41365</v>
      </c>
      <c r="E33" s="2">
        <v>3751426215</v>
      </c>
      <c r="G33" s="1">
        <v>41395</v>
      </c>
      <c r="H33">
        <v>14764921890</v>
      </c>
      <c r="J33" s="1">
        <v>41365</v>
      </c>
      <c r="K33" s="2">
        <f>VLOOKUP(J33,G:H,2,0)</f>
        <v>19239052704</v>
      </c>
      <c r="L33" s="2">
        <f>VLOOKUP(J33,D:E,2,0)</f>
        <v>3751426215</v>
      </c>
      <c r="M33" s="3">
        <f t="shared" si="0"/>
        <v>0.19499017299433039</v>
      </c>
    </row>
    <row r="34" spans="1:13" x14ac:dyDescent="0.25">
      <c r="A34" s="1">
        <v>41334</v>
      </c>
      <c r="B34" s="2">
        <v>28862061379</v>
      </c>
      <c r="D34" s="1">
        <v>41334</v>
      </c>
      <c r="E34" s="2">
        <v>4566066874</v>
      </c>
      <c r="G34" s="1">
        <v>41365</v>
      </c>
      <c r="H34">
        <v>19239052704</v>
      </c>
      <c r="J34" s="1">
        <v>41334</v>
      </c>
      <c r="K34" s="2">
        <f>VLOOKUP(J34,G:H,2,0)</f>
        <v>22377901401</v>
      </c>
      <c r="L34" s="2">
        <f>VLOOKUP(J34,D:E,2,0)</f>
        <v>4566066874</v>
      </c>
      <c r="M34" s="3">
        <f t="shared" si="0"/>
        <v>0.2040435692417501</v>
      </c>
    </row>
    <row r="35" spans="1:13" x14ac:dyDescent="0.25">
      <c r="A35" s="1">
        <v>41306</v>
      </c>
      <c r="B35" s="2">
        <v>23642577196</v>
      </c>
      <c r="D35" s="1">
        <v>41306</v>
      </c>
      <c r="E35" s="2">
        <v>3506794388</v>
      </c>
      <c r="G35" s="1">
        <v>41334</v>
      </c>
      <c r="H35">
        <v>22377901401</v>
      </c>
      <c r="J35" s="1">
        <v>41306</v>
      </c>
      <c r="K35" s="2">
        <f>VLOOKUP(J35,G:H,2,0)</f>
        <v>18342859578</v>
      </c>
      <c r="L35" s="2">
        <f>VLOOKUP(J35,D:E,2,0)</f>
        <v>3506794388</v>
      </c>
      <c r="M35" s="3">
        <f t="shared" si="0"/>
        <v>0.19118035402756764</v>
      </c>
    </row>
    <row r="36" spans="1:13" x14ac:dyDescent="0.25">
      <c r="A36" s="1">
        <v>41275</v>
      </c>
      <c r="B36" s="2">
        <v>24028551926</v>
      </c>
      <c r="D36" s="1">
        <v>41275</v>
      </c>
      <c r="E36" s="2">
        <v>3733267156</v>
      </c>
      <c r="G36" s="1">
        <v>41306</v>
      </c>
      <c r="H36">
        <v>18342859578</v>
      </c>
      <c r="J36" s="1">
        <v>41275</v>
      </c>
      <c r="K36" s="2">
        <f>VLOOKUP(J36,G:H,2,0)</f>
        <v>18934508602</v>
      </c>
      <c r="L36" s="2">
        <f>VLOOKUP(J36,D:E,2,0)</f>
        <v>3733267156</v>
      </c>
      <c r="M36" s="3">
        <f t="shared" si="0"/>
        <v>0.19716736433316601</v>
      </c>
    </row>
    <row r="37" spans="1:13" x14ac:dyDescent="0.25">
      <c r="A37" s="1">
        <v>41244</v>
      </c>
      <c r="B37" s="2">
        <v>15153739256</v>
      </c>
      <c r="D37" s="1">
        <v>41244</v>
      </c>
      <c r="E37" s="2">
        <v>2392372960</v>
      </c>
      <c r="G37" s="1">
        <v>41275</v>
      </c>
      <c r="H37">
        <v>18934508602</v>
      </c>
      <c r="J37" s="1">
        <v>41244</v>
      </c>
      <c r="K37" s="2">
        <f>VLOOKUP(J37,G:H,2,0)</f>
        <v>11569148531</v>
      </c>
      <c r="L37" s="2">
        <f>VLOOKUP(J37,D:E,2,0)</f>
        <v>2392372960</v>
      </c>
      <c r="M37" s="3">
        <f t="shared" si="0"/>
        <v>0.20678902631334883</v>
      </c>
    </row>
    <row r="38" spans="1:13" x14ac:dyDescent="0.25">
      <c r="A38" s="1">
        <v>41214</v>
      </c>
      <c r="B38" s="2">
        <v>33722352390</v>
      </c>
      <c r="D38" s="1">
        <v>41214</v>
      </c>
      <c r="E38" s="2">
        <v>5006108069</v>
      </c>
      <c r="G38" s="1">
        <v>41244</v>
      </c>
      <c r="H38">
        <v>11569148531</v>
      </c>
      <c r="J38" s="1">
        <v>41214</v>
      </c>
      <c r="K38" s="2">
        <f>VLOOKUP(J38,G:H,2,0)</f>
        <v>24527945691</v>
      </c>
      <c r="L38" s="2">
        <f>VLOOKUP(J38,D:E,2,0)</f>
        <v>5006108069</v>
      </c>
      <c r="M38" s="3">
        <f t="shared" si="0"/>
        <v>0.20409813899893309</v>
      </c>
    </row>
    <row r="39" spans="1:13" x14ac:dyDescent="0.25">
      <c r="A39" s="1">
        <v>41183</v>
      </c>
      <c r="B39" s="2">
        <v>25691284590</v>
      </c>
      <c r="D39" s="1">
        <v>41183</v>
      </c>
      <c r="E39" s="2">
        <v>3640297483</v>
      </c>
      <c r="G39" s="1">
        <v>41214</v>
      </c>
      <c r="H39">
        <v>24527945691</v>
      </c>
      <c r="J39" s="1">
        <v>41183</v>
      </c>
      <c r="K39" s="2">
        <f>VLOOKUP(J39,G:H,2,0)</f>
        <v>18257178870</v>
      </c>
      <c r="L39" s="2">
        <f>VLOOKUP(J39,D:E,2,0)</f>
        <v>3640297483</v>
      </c>
      <c r="M39" s="3">
        <f t="shared" si="0"/>
        <v>0.19938992266662281</v>
      </c>
    </row>
    <row r="40" spans="1:13" x14ac:dyDescent="0.25">
      <c r="A40" s="1">
        <v>41153</v>
      </c>
      <c r="B40" s="2">
        <v>18157277597</v>
      </c>
      <c r="D40" s="1">
        <v>41153</v>
      </c>
      <c r="E40" s="2">
        <v>2471814070</v>
      </c>
      <c r="G40" s="1">
        <v>41183</v>
      </c>
      <c r="H40">
        <v>18257178870</v>
      </c>
      <c r="J40" s="1">
        <v>41153</v>
      </c>
      <c r="K40" s="2">
        <f>VLOOKUP(J40,G:H,2,0)</f>
        <v>12998220142</v>
      </c>
      <c r="L40" s="2">
        <f>VLOOKUP(J40,D:E,2,0)</f>
        <v>2471814070</v>
      </c>
      <c r="M40" s="3">
        <f t="shared" si="0"/>
        <v>0.19016557982527513</v>
      </c>
    </row>
    <row r="41" spans="1:13" x14ac:dyDescent="0.25">
      <c r="A41" s="1">
        <v>41122</v>
      </c>
      <c r="B41" s="2">
        <v>22120849810</v>
      </c>
      <c r="D41" s="1">
        <v>41122</v>
      </c>
      <c r="E41" s="2">
        <v>2789251135</v>
      </c>
      <c r="G41" s="1">
        <v>41153</v>
      </c>
      <c r="H41">
        <v>12998220142</v>
      </c>
      <c r="J41" s="1">
        <v>41122</v>
      </c>
      <c r="K41" s="2">
        <f>VLOOKUP(J41,G:H,2,0)</f>
        <v>14159764075</v>
      </c>
      <c r="L41" s="2">
        <f>VLOOKUP(J41,D:E,2,0)</f>
        <v>2789251135</v>
      </c>
      <c r="M41" s="3">
        <f t="shared" si="0"/>
        <v>0.19698429438698117</v>
      </c>
    </row>
    <row r="42" spans="1:13" x14ac:dyDescent="0.25">
      <c r="A42" s="1">
        <v>41091</v>
      </c>
      <c r="B42" s="2">
        <v>15700790486</v>
      </c>
      <c r="D42" s="1">
        <v>41091</v>
      </c>
      <c r="E42" s="2">
        <v>1984005688</v>
      </c>
      <c r="G42" s="1">
        <v>41122</v>
      </c>
      <c r="H42">
        <v>14159764075</v>
      </c>
      <c r="J42" s="1">
        <v>41091</v>
      </c>
      <c r="K42" s="2">
        <f>VLOOKUP(J42,G:H,2,0)</f>
        <v>10392881698</v>
      </c>
      <c r="L42" s="2">
        <f>VLOOKUP(J42,D:E,2,0)</f>
        <v>1984005688</v>
      </c>
      <c r="M42" s="3">
        <f t="shared" si="0"/>
        <v>0.19090043990222663</v>
      </c>
    </row>
    <row r="43" spans="1:13" x14ac:dyDescent="0.25">
      <c r="A43" s="1">
        <v>41061</v>
      </c>
      <c r="B43" s="2">
        <v>21992935861</v>
      </c>
      <c r="D43" s="1">
        <v>41061</v>
      </c>
      <c r="E43" s="2">
        <v>2660730767</v>
      </c>
      <c r="G43" s="1">
        <v>41091</v>
      </c>
      <c r="H43">
        <v>10392881698</v>
      </c>
      <c r="J43" s="1">
        <v>41061</v>
      </c>
      <c r="K43" s="2">
        <f>VLOOKUP(J43,G:H,2,0)</f>
        <v>13799457656</v>
      </c>
      <c r="L43" s="2">
        <f>VLOOKUP(J43,D:E,2,0)</f>
        <v>2660730767</v>
      </c>
      <c r="M43" s="3">
        <f t="shared" si="0"/>
        <v>0.19281415497101911</v>
      </c>
    </row>
    <row r="44" spans="1:13" x14ac:dyDescent="0.25">
      <c r="A44" s="1">
        <v>41030</v>
      </c>
      <c r="B44" s="2">
        <v>12375581100</v>
      </c>
      <c r="D44" s="1">
        <v>41030</v>
      </c>
      <c r="E44" s="2">
        <v>1716881541</v>
      </c>
      <c r="G44" s="1">
        <v>41061</v>
      </c>
      <c r="H44">
        <v>13799457656</v>
      </c>
      <c r="J44" s="1">
        <v>41030</v>
      </c>
      <c r="K44" s="2">
        <f>VLOOKUP(J44,G:H,2,0)</f>
        <v>9468373624</v>
      </c>
      <c r="L44" s="2">
        <f>VLOOKUP(J44,D:E,2,0)</f>
        <v>1716881541</v>
      </c>
      <c r="M44" s="3">
        <f t="shared" si="0"/>
        <v>0.18132803047063195</v>
      </c>
    </row>
    <row r="45" spans="1:13" x14ac:dyDescent="0.25">
      <c r="A45" s="1">
        <v>41000</v>
      </c>
      <c r="B45" s="2">
        <v>15817045192</v>
      </c>
      <c r="D45" s="1">
        <v>41000</v>
      </c>
      <c r="E45" s="2">
        <v>2430179907</v>
      </c>
      <c r="G45" s="1">
        <v>41030</v>
      </c>
      <c r="H45">
        <v>9468373624</v>
      </c>
      <c r="J45" s="1">
        <v>41000</v>
      </c>
      <c r="K45" s="2">
        <f>VLOOKUP(J45,G:H,2,0)</f>
        <v>12071189606</v>
      </c>
      <c r="L45" s="2">
        <f>VLOOKUP(J45,D:E,2,0)</f>
        <v>2430179907</v>
      </c>
      <c r="M45" s="3">
        <f t="shared" si="0"/>
        <v>0.20132066402072551</v>
      </c>
    </row>
    <row r="46" spans="1:13" x14ac:dyDescent="0.25">
      <c r="A46" s="1">
        <v>40969</v>
      </c>
      <c r="B46" s="2">
        <v>18911371463</v>
      </c>
      <c r="D46" s="1">
        <v>40969</v>
      </c>
      <c r="E46" s="2">
        <v>2707619760</v>
      </c>
      <c r="G46" s="1">
        <v>41000</v>
      </c>
      <c r="H46">
        <v>12071189606</v>
      </c>
      <c r="J46" s="1">
        <v>40969</v>
      </c>
      <c r="K46" s="2">
        <f>VLOOKUP(J46,G:H,2,0)</f>
        <v>15774268496</v>
      </c>
      <c r="L46" s="2">
        <f>VLOOKUP(J46,D:E,2,0)</f>
        <v>2707619760</v>
      </c>
      <c r="M46" s="3">
        <f t="shared" si="0"/>
        <v>0.17164788089454616</v>
      </c>
    </row>
    <row r="47" spans="1:13" x14ac:dyDescent="0.25">
      <c r="A47" s="1">
        <v>40940</v>
      </c>
      <c r="B47" s="2">
        <v>22459465880</v>
      </c>
      <c r="D47" s="1">
        <v>40940</v>
      </c>
      <c r="E47" s="2">
        <v>3777000624</v>
      </c>
      <c r="G47" s="1">
        <v>40969</v>
      </c>
      <c r="H47">
        <v>15774268496</v>
      </c>
      <c r="J47" s="1">
        <v>40940</v>
      </c>
      <c r="K47" s="2">
        <f>VLOOKUP(J47,G:H,2,0)</f>
        <v>17475331887</v>
      </c>
      <c r="L47" s="2">
        <f>VLOOKUP(J47,D:E,2,0)</f>
        <v>3777000624</v>
      </c>
      <c r="M47" s="3">
        <f t="shared" si="0"/>
        <v>0.21613326993862317</v>
      </c>
    </row>
    <row r="48" spans="1:13" x14ac:dyDescent="0.25">
      <c r="A48" s="1">
        <v>40909</v>
      </c>
      <c r="B48" s="2">
        <v>15718957354</v>
      </c>
      <c r="D48" s="1">
        <v>40909</v>
      </c>
      <c r="E48" s="2">
        <v>2135588610</v>
      </c>
      <c r="G48" s="1">
        <v>40940</v>
      </c>
      <c r="H48">
        <v>17475331887</v>
      </c>
      <c r="J48" s="1">
        <v>40909</v>
      </c>
      <c r="K48" s="2">
        <f>VLOOKUP(J48,G:H,2,0)</f>
        <v>12195289052</v>
      </c>
      <c r="L48" s="2">
        <f>VLOOKUP(J48,D:E,2,0)</f>
        <v>2135588610</v>
      </c>
      <c r="M48" s="3">
        <f t="shared" si="0"/>
        <v>0.17511586653616612</v>
      </c>
    </row>
    <row r="49" spans="1:13" x14ac:dyDescent="0.25">
      <c r="A49" s="1">
        <v>40878</v>
      </c>
      <c r="B49" s="2">
        <v>10137300034</v>
      </c>
      <c r="D49" s="1">
        <v>40878</v>
      </c>
      <c r="E49" s="2">
        <v>1218837598</v>
      </c>
      <c r="G49" s="1">
        <v>40909</v>
      </c>
      <c r="H49">
        <v>12195289052</v>
      </c>
      <c r="J49" s="1">
        <v>40878</v>
      </c>
      <c r="K49" s="2">
        <f>VLOOKUP(J49,G:H,2,0)</f>
        <v>8430950863</v>
      </c>
      <c r="L49" s="2">
        <f>VLOOKUP(J49,D:E,2,0)</f>
        <v>1218837598</v>
      </c>
      <c r="M49" s="3">
        <f t="shared" si="0"/>
        <v>0.14456703849965255</v>
      </c>
    </row>
    <row r="50" spans="1:13" x14ac:dyDescent="0.25">
      <c r="A50" s="1">
        <v>40848</v>
      </c>
      <c r="B50" s="2">
        <v>12804002696</v>
      </c>
      <c r="D50" s="1">
        <v>40848</v>
      </c>
      <c r="E50" s="2">
        <v>1652839573</v>
      </c>
      <c r="G50" s="1">
        <v>40878</v>
      </c>
      <c r="H50">
        <v>8430950863</v>
      </c>
      <c r="J50" s="1">
        <v>40848</v>
      </c>
      <c r="K50" s="2">
        <f>VLOOKUP(J50,G:H,2,0)</f>
        <v>9422692614</v>
      </c>
      <c r="L50" s="2">
        <f>VLOOKUP(J50,D:E,2,0)</f>
        <v>1652839573</v>
      </c>
      <c r="M50" s="3">
        <f t="shared" si="0"/>
        <v>0.17541053716898847</v>
      </c>
    </row>
    <row r="51" spans="1:13" x14ac:dyDescent="0.25">
      <c r="A51" s="1">
        <v>40817</v>
      </c>
      <c r="B51" s="2">
        <v>14124328522</v>
      </c>
      <c r="D51" s="1">
        <v>40817</v>
      </c>
      <c r="E51" s="2">
        <v>1852611093</v>
      </c>
      <c r="G51" s="1">
        <v>40848</v>
      </c>
      <c r="H51">
        <v>9422692614</v>
      </c>
      <c r="J51" s="1">
        <v>40817</v>
      </c>
      <c r="K51" s="2">
        <f>VLOOKUP(J51,G:H,2,0)</f>
        <v>9559294033</v>
      </c>
      <c r="L51" s="2">
        <f>VLOOKUP(J51,D:E,2,0)</f>
        <v>1852611093</v>
      </c>
      <c r="M51" s="3">
        <f t="shared" si="0"/>
        <v>0.19380208272750385</v>
      </c>
    </row>
    <row r="52" spans="1:13" x14ac:dyDescent="0.25">
      <c r="A52" s="1">
        <v>40787</v>
      </c>
      <c r="B52" s="2">
        <v>13050740380</v>
      </c>
      <c r="D52" s="1">
        <v>40787</v>
      </c>
      <c r="E52" s="2">
        <v>1710030684</v>
      </c>
      <c r="G52" s="1">
        <v>40817</v>
      </c>
      <c r="H52">
        <v>9559294033</v>
      </c>
      <c r="J52" s="1">
        <v>40787</v>
      </c>
      <c r="K52" s="2">
        <f>VLOOKUP(J52,G:H,2,0)</f>
        <v>7197830881</v>
      </c>
      <c r="L52" s="2">
        <f>VLOOKUP(J52,D:E,2,0)</f>
        <v>1710030684</v>
      </c>
      <c r="M52" s="3">
        <f t="shared" si="0"/>
        <v>0.2375758353136555</v>
      </c>
    </row>
    <row r="53" spans="1:13" x14ac:dyDescent="0.25">
      <c r="A53" s="1">
        <v>40756</v>
      </c>
      <c r="B53" s="2">
        <v>12450742198</v>
      </c>
      <c r="D53" s="1">
        <v>40756</v>
      </c>
      <c r="E53" s="2">
        <v>1839672711</v>
      </c>
      <c r="G53" s="1">
        <v>40787</v>
      </c>
      <c r="H53">
        <v>7197830881</v>
      </c>
      <c r="J53" s="1">
        <v>40756</v>
      </c>
      <c r="K53" s="2">
        <f>VLOOKUP(J53,G:H,2,0)</f>
        <v>6778729197</v>
      </c>
      <c r="L53" s="2">
        <f>VLOOKUP(J53,D:E,2,0)</f>
        <v>1839672711</v>
      </c>
      <c r="M53" s="3">
        <f t="shared" si="0"/>
        <v>0.2713890255144234</v>
      </c>
    </row>
    <row r="54" spans="1:13" x14ac:dyDescent="0.25">
      <c r="A54" s="1">
        <v>40725</v>
      </c>
      <c r="B54" s="2">
        <v>9000902612</v>
      </c>
      <c r="D54" s="1">
        <v>40725</v>
      </c>
      <c r="E54" s="2">
        <v>1295800957</v>
      </c>
      <c r="G54" s="1">
        <v>40756</v>
      </c>
      <c r="H54">
        <v>6778729197</v>
      </c>
      <c r="J54" s="1">
        <v>40725</v>
      </c>
      <c r="K54" s="2">
        <f>VLOOKUP(J54,G:H,2,0)</f>
        <v>4833646949</v>
      </c>
      <c r="L54" s="2">
        <f>VLOOKUP(J54,D:E,2,0)</f>
        <v>1295800957</v>
      </c>
      <c r="M54" s="3">
        <f t="shared" si="0"/>
        <v>0.26807935512710113</v>
      </c>
    </row>
    <row r="55" spans="1:13" x14ac:dyDescent="0.25">
      <c r="A55" s="1">
        <v>40695</v>
      </c>
      <c r="B55" s="2">
        <v>11194356214</v>
      </c>
      <c r="D55" s="1">
        <v>40695</v>
      </c>
      <c r="E55" s="2">
        <v>1737332998</v>
      </c>
      <c r="G55" s="1">
        <v>40725</v>
      </c>
      <c r="H55">
        <v>4833646949</v>
      </c>
      <c r="J55" s="1">
        <v>40695</v>
      </c>
      <c r="K55" s="2">
        <f>VLOOKUP(J55,G:H,2,0)</f>
        <v>5899240597</v>
      </c>
      <c r="L55" s="2">
        <f>VLOOKUP(J55,D:E,2,0)</f>
        <v>1737332998</v>
      </c>
      <c r="M55" s="3">
        <f t="shared" si="0"/>
        <v>0.29450112593873579</v>
      </c>
    </row>
    <row r="56" spans="1:13" x14ac:dyDescent="0.25">
      <c r="A56" s="1">
        <v>40664</v>
      </c>
      <c r="B56" s="2">
        <v>10000301522</v>
      </c>
      <c r="D56" s="1">
        <v>40664</v>
      </c>
      <c r="E56" s="2">
        <v>1680440543</v>
      </c>
      <c r="G56" s="1">
        <v>40695</v>
      </c>
      <c r="H56">
        <v>5899240597</v>
      </c>
      <c r="J56" s="1">
        <v>40664</v>
      </c>
      <c r="K56" s="2">
        <f>VLOOKUP(J56,G:H,2,0)</f>
        <v>5985229124</v>
      </c>
      <c r="L56" s="2">
        <f>VLOOKUP(J56,D:E,2,0)</f>
        <v>1680440543</v>
      </c>
      <c r="M56" s="3">
        <f t="shared" si="0"/>
        <v>0.28076461371573047</v>
      </c>
    </row>
    <row r="57" spans="1:13" x14ac:dyDescent="0.25">
      <c r="A57" s="1">
        <v>40634</v>
      </c>
      <c r="B57" s="2">
        <v>11363963908</v>
      </c>
      <c r="D57" s="1">
        <v>40634</v>
      </c>
      <c r="E57" s="2">
        <v>1898664180</v>
      </c>
      <c r="G57" s="1">
        <v>40664</v>
      </c>
      <c r="H57">
        <v>5985229124</v>
      </c>
      <c r="J57" s="1">
        <v>40634</v>
      </c>
      <c r="K57" s="2">
        <f>VLOOKUP(J57,G:H,2,0)</f>
        <v>8035103842</v>
      </c>
      <c r="L57" s="2">
        <f>VLOOKUP(J57,D:E,2,0)</f>
        <v>1898664180</v>
      </c>
      <c r="M57" s="3">
        <f t="shared" si="0"/>
        <v>0.23629615961844341</v>
      </c>
    </row>
    <row r="58" spans="1:13" x14ac:dyDescent="0.25">
      <c r="A58" s="1">
        <v>40603</v>
      </c>
      <c r="B58" s="2">
        <v>12458266258</v>
      </c>
      <c r="D58" s="1">
        <v>40603</v>
      </c>
      <c r="E58" s="2">
        <v>2414232176</v>
      </c>
      <c r="G58" s="1">
        <v>40634</v>
      </c>
      <c r="H58">
        <v>8035103842</v>
      </c>
      <c r="J58" s="1">
        <v>40603</v>
      </c>
      <c r="K58" s="2">
        <f>VLOOKUP(J58,G:H,2,0)</f>
        <v>9756964220</v>
      </c>
      <c r="L58" s="2">
        <f>VLOOKUP(J58,D:E,2,0)</f>
        <v>2414232176</v>
      </c>
      <c r="M58" s="3">
        <f t="shared" si="0"/>
        <v>0.24743681759652902</v>
      </c>
    </row>
    <row r="59" spans="1:13" x14ac:dyDescent="0.25">
      <c r="A59" s="1">
        <v>40575</v>
      </c>
      <c r="B59" s="2">
        <v>22092318319</v>
      </c>
      <c r="D59" s="1">
        <v>40575</v>
      </c>
      <c r="E59" s="2">
        <v>3597340242</v>
      </c>
      <c r="G59" s="1">
        <v>40603</v>
      </c>
      <c r="H59">
        <v>9756964220</v>
      </c>
      <c r="J59" s="1">
        <v>40575</v>
      </c>
      <c r="K59" s="2">
        <f>VLOOKUP(J59,G:H,2,0)</f>
        <v>17626549971</v>
      </c>
      <c r="L59" s="2">
        <f>VLOOKUP(J59,D:E,2,0)</f>
        <v>3597340242</v>
      </c>
      <c r="M59" s="3">
        <f t="shared" si="0"/>
        <v>0.20408646320003107</v>
      </c>
    </row>
    <row r="60" spans="1:13" x14ac:dyDescent="0.25">
      <c r="A60" s="1">
        <v>40544</v>
      </c>
      <c r="B60" s="2">
        <v>23470417032</v>
      </c>
      <c r="D60" s="1">
        <v>40544</v>
      </c>
      <c r="E60" s="2">
        <v>3859081191</v>
      </c>
      <c r="G60" s="1">
        <v>40575</v>
      </c>
      <c r="H60">
        <v>17626549971</v>
      </c>
      <c r="J60" s="1">
        <v>40544</v>
      </c>
      <c r="K60" s="2">
        <f>VLOOKUP(J60,G:H,2,0)</f>
        <v>18892987938</v>
      </c>
      <c r="L60" s="2">
        <f>VLOOKUP(J60,D:E,2,0)</f>
        <v>3859081191</v>
      </c>
      <c r="M60" s="3">
        <f t="shared" si="0"/>
        <v>0.20425997220048614</v>
      </c>
    </row>
    <row r="61" spans="1:13" x14ac:dyDescent="0.25">
      <c r="A61" s="1">
        <v>40513</v>
      </c>
      <c r="B61" s="2">
        <v>25010798071</v>
      </c>
      <c r="D61" s="1">
        <v>40513</v>
      </c>
      <c r="E61" s="2">
        <v>3671850482</v>
      </c>
      <c r="G61" s="1">
        <v>40544</v>
      </c>
      <c r="H61">
        <v>18892987938</v>
      </c>
      <c r="J61" s="1">
        <v>40513</v>
      </c>
      <c r="K61" s="2">
        <f>VLOOKUP(J61,G:H,2,0)</f>
        <v>20997995260</v>
      </c>
      <c r="L61" s="2">
        <f>VLOOKUP(J61,D:E,2,0)</f>
        <v>3671850482</v>
      </c>
      <c r="M61" s="3">
        <f t="shared" si="0"/>
        <v>0.17486671639528698</v>
      </c>
    </row>
    <row r="62" spans="1:13" x14ac:dyDescent="0.25">
      <c r="A62" s="1">
        <v>40483</v>
      </c>
      <c r="B62" s="2">
        <v>22906011360</v>
      </c>
      <c r="D62" s="1">
        <v>40483</v>
      </c>
      <c r="E62" s="2">
        <v>3387760467</v>
      </c>
      <c r="G62" s="1">
        <v>40513</v>
      </c>
      <c r="H62">
        <v>20997995260</v>
      </c>
      <c r="J62" s="1">
        <v>40483</v>
      </c>
      <c r="K62" s="2">
        <f>VLOOKUP(J62,G:H,2,0)</f>
        <v>18902544846</v>
      </c>
      <c r="L62" s="2">
        <f>VLOOKUP(J62,D:E,2,0)</f>
        <v>3387760467</v>
      </c>
      <c r="M62" s="3">
        <f t="shared" si="0"/>
        <v>0.17922245362199946</v>
      </c>
    </row>
    <row r="63" spans="1:13" x14ac:dyDescent="0.25">
      <c r="A63" s="1">
        <v>40452</v>
      </c>
      <c r="B63" s="2">
        <v>21906424969</v>
      </c>
      <c r="D63" s="1">
        <v>40452</v>
      </c>
      <c r="E63" s="2">
        <v>3445553642</v>
      </c>
      <c r="G63" s="1">
        <v>40483</v>
      </c>
      <c r="H63">
        <v>18902544846</v>
      </c>
      <c r="J63" s="1">
        <v>40452</v>
      </c>
      <c r="K63" s="2">
        <f>VLOOKUP(J63,G:H,2,0)</f>
        <v>17721053286</v>
      </c>
      <c r="L63" s="2">
        <f>VLOOKUP(J63,D:E,2,0)</f>
        <v>3445553642</v>
      </c>
      <c r="M63" s="3">
        <f t="shared" si="0"/>
        <v>0.19443277927063504</v>
      </c>
    </row>
    <row r="64" spans="1:13" x14ac:dyDescent="0.25">
      <c r="A64" s="1">
        <v>40422</v>
      </c>
      <c r="B64" s="2">
        <v>24030918153</v>
      </c>
      <c r="D64" s="1">
        <v>40422</v>
      </c>
      <c r="E64" s="2">
        <v>3683797269</v>
      </c>
      <c r="G64" s="1">
        <v>40452</v>
      </c>
      <c r="H64">
        <v>17721053286</v>
      </c>
      <c r="J64" s="1">
        <v>40422</v>
      </c>
      <c r="K64" s="2">
        <f>VLOOKUP(J64,G:H,2,0)</f>
        <v>18629967749</v>
      </c>
      <c r="L64" s="2">
        <f>VLOOKUP(J64,D:E,2,0)</f>
        <v>3683797269</v>
      </c>
      <c r="M64" s="3">
        <f t="shared" si="0"/>
        <v>0.19773503199959833</v>
      </c>
    </row>
    <row r="65" spans="1:13" x14ac:dyDescent="0.25">
      <c r="A65" s="1">
        <v>40391</v>
      </c>
      <c r="B65" s="2">
        <v>17603284561</v>
      </c>
      <c r="D65" s="1">
        <v>40391</v>
      </c>
      <c r="E65" s="2">
        <v>3047501097</v>
      </c>
      <c r="G65" s="1">
        <v>40422</v>
      </c>
      <c r="H65">
        <v>18629967749</v>
      </c>
      <c r="J65" s="1">
        <v>40391</v>
      </c>
      <c r="K65" s="2">
        <f>VLOOKUP(J65,G:H,2,0)</f>
        <v>11334003652</v>
      </c>
      <c r="L65" s="2">
        <f>VLOOKUP(J65,D:E,2,0)</f>
        <v>3047501097</v>
      </c>
      <c r="M65" s="3">
        <f t="shared" si="0"/>
        <v>0.26888125243035699</v>
      </c>
    </row>
    <row r="66" spans="1:13" x14ac:dyDescent="0.25">
      <c r="A66" s="1">
        <v>40360</v>
      </c>
      <c r="B66" s="2">
        <v>18500949338</v>
      </c>
      <c r="D66" s="1">
        <v>40360</v>
      </c>
      <c r="E66" s="2">
        <v>2850469883</v>
      </c>
      <c r="G66" s="1">
        <v>40391</v>
      </c>
      <c r="H66">
        <v>11334003652</v>
      </c>
      <c r="J66" s="1">
        <v>40360</v>
      </c>
      <c r="K66" s="2">
        <f>VLOOKUP(J66,G:H,2,0)</f>
        <v>10459916297</v>
      </c>
      <c r="L66" s="2">
        <f>VLOOKUP(J66,D:E,2,0)</f>
        <v>2850469883</v>
      </c>
      <c r="M66" s="3">
        <f t="shared" si="0"/>
        <v>0.27251364179821791</v>
      </c>
    </row>
    <row r="67" spans="1:13" x14ac:dyDescent="0.25">
      <c r="A67" s="1">
        <v>40330</v>
      </c>
      <c r="B67" s="2">
        <v>19227439503</v>
      </c>
      <c r="D67" s="1">
        <v>40330</v>
      </c>
      <c r="E67" s="2">
        <v>3527105577</v>
      </c>
      <c r="G67" s="1">
        <v>40360</v>
      </c>
      <c r="H67">
        <v>10459916297</v>
      </c>
      <c r="J67" s="1">
        <v>40330</v>
      </c>
      <c r="K67" s="2">
        <f>VLOOKUP(J67,G:H,2,0)</f>
        <v>11227650225</v>
      </c>
      <c r="L67" s="2">
        <f>VLOOKUP(J67,D:E,2,0)</f>
        <v>3527105577</v>
      </c>
      <c r="M67" s="3">
        <f t="shared" ref="M67:M121" si="1">L67/K67</f>
        <v>0.31414459003597967</v>
      </c>
    </row>
    <row r="68" spans="1:13" x14ac:dyDescent="0.25">
      <c r="A68" s="1">
        <v>40299</v>
      </c>
      <c r="B68" s="2">
        <v>16360820673</v>
      </c>
      <c r="D68" s="1">
        <v>40299</v>
      </c>
      <c r="E68" s="2">
        <v>3059691697</v>
      </c>
      <c r="G68" s="1">
        <v>40330</v>
      </c>
      <c r="H68">
        <v>11227650225</v>
      </c>
      <c r="J68" s="1">
        <v>40299</v>
      </c>
      <c r="K68" s="2">
        <f>VLOOKUP(J68,G:H,2,0)</f>
        <v>10450612255</v>
      </c>
      <c r="L68" s="2">
        <f>VLOOKUP(J68,D:E,2,0)</f>
        <v>3059691697</v>
      </c>
      <c r="M68" s="3">
        <f t="shared" si="1"/>
        <v>0.29277631035790447</v>
      </c>
    </row>
    <row r="69" spans="1:13" x14ac:dyDescent="0.25">
      <c r="A69" s="1">
        <v>40269</v>
      </c>
      <c r="B69" s="2">
        <v>15842949899</v>
      </c>
      <c r="D69" s="1">
        <v>40269</v>
      </c>
      <c r="E69" s="2">
        <v>3001434877</v>
      </c>
      <c r="G69" s="1">
        <v>40299</v>
      </c>
      <c r="H69">
        <v>10450612255</v>
      </c>
      <c r="J69" s="1">
        <v>40269</v>
      </c>
      <c r="K69" s="2">
        <f>VLOOKUP(J69,G:H,2,0)</f>
        <v>10992064694</v>
      </c>
      <c r="L69" s="2">
        <f>VLOOKUP(J69,D:E,2,0)</f>
        <v>3001434877</v>
      </c>
      <c r="M69" s="3">
        <f t="shared" si="1"/>
        <v>0.27305469541480482</v>
      </c>
    </row>
    <row r="70" spans="1:13" x14ac:dyDescent="0.25">
      <c r="A70" s="1">
        <v>40238</v>
      </c>
      <c r="B70" s="2">
        <v>23228273158</v>
      </c>
      <c r="D70" s="1">
        <v>40238</v>
      </c>
      <c r="E70" s="2">
        <v>5449403180</v>
      </c>
      <c r="G70" s="1">
        <v>40269</v>
      </c>
      <c r="H70">
        <v>10992064694</v>
      </c>
      <c r="J70" s="1">
        <v>40238</v>
      </c>
      <c r="K70" s="2">
        <f>VLOOKUP(J70,G:H,2,0)</f>
        <v>16785329632</v>
      </c>
      <c r="L70" s="2">
        <f>VLOOKUP(J70,D:E,2,0)</f>
        <v>5449403180</v>
      </c>
      <c r="M70" s="3">
        <f t="shared" si="1"/>
        <v>0.32465273542267009</v>
      </c>
    </row>
    <row r="71" spans="1:13" x14ac:dyDescent="0.25">
      <c r="A71" s="1">
        <v>40210</v>
      </c>
      <c r="B71" s="2">
        <v>22475802507</v>
      </c>
      <c r="D71" s="1">
        <v>40210</v>
      </c>
      <c r="E71" s="2">
        <v>4740320086</v>
      </c>
      <c r="G71" s="1">
        <v>40238</v>
      </c>
      <c r="H71">
        <v>16785329632</v>
      </c>
      <c r="J71" s="1">
        <v>40210</v>
      </c>
      <c r="K71" s="2">
        <f>VLOOKUP(J71,G:H,2,0)</f>
        <v>17247551915</v>
      </c>
      <c r="L71" s="2">
        <f>VLOOKUP(J71,D:E,2,0)</f>
        <v>4740320086</v>
      </c>
      <c r="M71" s="3">
        <f t="shared" si="1"/>
        <v>0.27484016916495829</v>
      </c>
    </row>
    <row r="72" spans="1:13" x14ac:dyDescent="0.25">
      <c r="A72" s="1">
        <v>40179</v>
      </c>
      <c r="B72" s="2">
        <v>22273576560</v>
      </c>
      <c r="D72" s="1">
        <v>40179</v>
      </c>
      <c r="E72" s="2">
        <v>4506189228</v>
      </c>
      <c r="G72" s="1">
        <v>40210</v>
      </c>
      <c r="H72">
        <v>17247551915</v>
      </c>
      <c r="J72" s="1">
        <v>40179</v>
      </c>
      <c r="K72" s="2">
        <f>VLOOKUP(J72,G:H,2,0)</f>
        <v>15970019313</v>
      </c>
      <c r="L72" s="2">
        <f>VLOOKUP(J72,D:E,2,0)</f>
        <v>4506189228</v>
      </c>
      <c r="M72" s="3">
        <f t="shared" si="1"/>
        <v>0.28216554655834686</v>
      </c>
    </row>
    <row r="73" spans="1:13" x14ac:dyDescent="0.25">
      <c r="A73" s="1">
        <v>40148</v>
      </c>
      <c r="B73" s="2">
        <v>28696902832</v>
      </c>
      <c r="D73" s="1">
        <v>40148</v>
      </c>
      <c r="E73" s="2">
        <v>6029787340</v>
      </c>
      <c r="G73" s="1">
        <v>40179</v>
      </c>
      <c r="H73">
        <v>15970019313</v>
      </c>
      <c r="J73" s="1">
        <v>40148</v>
      </c>
      <c r="K73" s="2">
        <f>VLOOKUP(J73,G:H,2,0)</f>
        <v>19594494497</v>
      </c>
      <c r="L73" s="2">
        <f>VLOOKUP(J73,D:E,2,0)</f>
        <v>6029787340</v>
      </c>
      <c r="M73" s="3">
        <f t="shared" si="1"/>
        <v>0.30772865005132877</v>
      </c>
    </row>
    <row r="74" spans="1:13" x14ac:dyDescent="0.25">
      <c r="A74" s="1">
        <v>40118</v>
      </c>
      <c r="B74" s="2">
        <v>20784773931</v>
      </c>
      <c r="D74" s="1">
        <v>40118</v>
      </c>
      <c r="E74" s="2">
        <v>4751665502</v>
      </c>
      <c r="G74" s="1">
        <v>40148</v>
      </c>
      <c r="H74">
        <v>19594494497</v>
      </c>
      <c r="J74" s="1">
        <v>40118</v>
      </c>
      <c r="K74" s="2">
        <f>VLOOKUP(J74,G:H,2,0)</f>
        <v>13887901005</v>
      </c>
      <c r="L74" s="2">
        <f>VLOOKUP(J74,D:E,2,0)</f>
        <v>4751665502</v>
      </c>
      <c r="M74" s="3">
        <f t="shared" si="1"/>
        <v>0.3421442520571884</v>
      </c>
    </row>
    <row r="75" spans="1:13" x14ac:dyDescent="0.25">
      <c r="A75" s="1">
        <v>40087</v>
      </c>
      <c r="B75" s="2">
        <v>20623634702</v>
      </c>
      <c r="D75" s="1">
        <v>40087</v>
      </c>
      <c r="E75" s="2">
        <v>4787148121</v>
      </c>
      <c r="G75" s="1">
        <v>40118</v>
      </c>
      <c r="H75">
        <v>13887901005</v>
      </c>
      <c r="J75" s="1">
        <v>40087</v>
      </c>
      <c r="K75" s="2">
        <f>VLOOKUP(J75,G:H,2,0)</f>
        <v>12874554429</v>
      </c>
      <c r="L75" s="2">
        <f>VLOOKUP(J75,D:E,2,0)</f>
        <v>4787148121</v>
      </c>
      <c r="M75" s="3">
        <f t="shared" si="1"/>
        <v>0.371830197883736</v>
      </c>
    </row>
    <row r="76" spans="1:13" x14ac:dyDescent="0.25">
      <c r="A76" s="1">
        <v>40057</v>
      </c>
      <c r="B76" s="2">
        <v>25111504364</v>
      </c>
      <c r="D76" s="1">
        <v>40057</v>
      </c>
      <c r="E76" s="2">
        <v>5798599086</v>
      </c>
      <c r="G76" s="1">
        <v>40087</v>
      </c>
      <c r="H76">
        <v>12874554429</v>
      </c>
      <c r="J76" s="1">
        <v>40057</v>
      </c>
      <c r="K76" s="2">
        <f>VLOOKUP(J76,G:H,2,0)</f>
        <v>16373745884</v>
      </c>
      <c r="L76" s="2">
        <f>VLOOKUP(J76,D:E,2,0)</f>
        <v>5798599086</v>
      </c>
      <c r="M76" s="3">
        <f t="shared" si="1"/>
        <v>0.35414004388978826</v>
      </c>
    </row>
    <row r="77" spans="1:13" x14ac:dyDescent="0.25">
      <c r="A77" s="1">
        <v>40026</v>
      </c>
      <c r="B77" s="2">
        <v>37137606670</v>
      </c>
      <c r="D77" s="1">
        <v>40026</v>
      </c>
      <c r="E77" s="2">
        <v>8449441542</v>
      </c>
      <c r="G77" s="1">
        <v>40057</v>
      </c>
      <c r="H77">
        <v>16373745884</v>
      </c>
      <c r="J77" s="1">
        <v>40026</v>
      </c>
      <c r="K77" s="2">
        <f>VLOOKUP(J77,G:H,2,0)</f>
        <v>27636642649</v>
      </c>
      <c r="L77" s="2">
        <f>VLOOKUP(J77,D:E,2,0)</f>
        <v>8449441542</v>
      </c>
      <c r="M77" s="3">
        <f t="shared" si="1"/>
        <v>0.30573328494753804</v>
      </c>
    </row>
    <row r="78" spans="1:13" x14ac:dyDescent="0.25">
      <c r="A78" s="1">
        <v>39995</v>
      </c>
      <c r="B78" s="2">
        <v>35723389422</v>
      </c>
      <c r="D78" s="1">
        <v>39995</v>
      </c>
      <c r="E78" s="2">
        <v>8482212475</v>
      </c>
      <c r="G78" s="1">
        <v>40026</v>
      </c>
      <c r="H78">
        <v>27636642649</v>
      </c>
      <c r="J78" s="1">
        <v>39995</v>
      </c>
      <c r="K78" s="2">
        <f>VLOOKUP(J78,G:H,2,0)</f>
        <v>28489120969</v>
      </c>
      <c r="L78" s="2">
        <f>VLOOKUP(J78,D:E,2,0)</f>
        <v>8482212475</v>
      </c>
      <c r="M78" s="3">
        <f t="shared" si="1"/>
        <v>0.29773514192416778</v>
      </c>
    </row>
    <row r="79" spans="1:13" x14ac:dyDescent="0.25">
      <c r="A79" s="1">
        <v>39965</v>
      </c>
      <c r="B79" s="2">
        <v>51104821980</v>
      </c>
      <c r="D79" s="1">
        <v>39965</v>
      </c>
      <c r="E79" s="2">
        <v>13333769311</v>
      </c>
      <c r="G79" s="1">
        <v>39995</v>
      </c>
      <c r="H79">
        <v>28489120969</v>
      </c>
      <c r="J79" s="1">
        <v>39965</v>
      </c>
      <c r="K79" s="2">
        <f>VLOOKUP(J79,G:H,2,0)</f>
        <v>42927701311</v>
      </c>
      <c r="L79" s="2">
        <f>VLOOKUP(J79,D:E,2,0)</f>
        <v>13333769311</v>
      </c>
      <c r="M79" s="3">
        <f t="shared" si="1"/>
        <v>0.31060990697825441</v>
      </c>
    </row>
    <row r="80" spans="1:13" x14ac:dyDescent="0.25">
      <c r="A80" s="1">
        <v>39934</v>
      </c>
      <c r="B80" s="2">
        <v>36758893083</v>
      </c>
      <c r="D80" s="1">
        <v>39934</v>
      </c>
      <c r="E80" s="2">
        <v>9995769835</v>
      </c>
      <c r="G80" s="1">
        <v>39965</v>
      </c>
      <c r="H80">
        <v>42927701311</v>
      </c>
      <c r="J80" s="1">
        <v>39934</v>
      </c>
      <c r="K80" s="2">
        <f>VLOOKUP(J80,G:H,2,0)</f>
        <v>31248358112</v>
      </c>
      <c r="L80" s="2">
        <f>VLOOKUP(J80,D:E,2,0)</f>
        <v>9995769835</v>
      </c>
      <c r="M80" s="3">
        <f t="shared" si="1"/>
        <v>0.3198814414240031</v>
      </c>
    </row>
    <row r="81" spans="1:13" x14ac:dyDescent="0.25">
      <c r="A81" s="1">
        <v>39904</v>
      </c>
      <c r="B81" s="2">
        <v>39194377895</v>
      </c>
      <c r="D81" s="1">
        <v>39904</v>
      </c>
      <c r="E81" s="2">
        <v>10224216981</v>
      </c>
      <c r="G81" s="1">
        <v>39934</v>
      </c>
      <c r="H81">
        <v>31248358112</v>
      </c>
      <c r="J81" s="1">
        <v>39904</v>
      </c>
      <c r="K81" s="2">
        <f>VLOOKUP(J81,G:H,2,0)</f>
        <v>33727322391</v>
      </c>
      <c r="L81" s="2">
        <f>VLOOKUP(J81,D:E,2,0)</f>
        <v>10224216981</v>
      </c>
      <c r="M81" s="3">
        <f t="shared" si="1"/>
        <v>0.30314345332460457</v>
      </c>
    </row>
    <row r="82" spans="1:13" x14ac:dyDescent="0.25">
      <c r="A82" s="1">
        <v>39873</v>
      </c>
      <c r="B82" s="2">
        <v>50874719555</v>
      </c>
      <c r="D82" s="1">
        <v>39873</v>
      </c>
      <c r="E82" s="2">
        <v>14300041515</v>
      </c>
      <c r="G82" s="1">
        <v>39904</v>
      </c>
      <c r="H82">
        <v>33727322391</v>
      </c>
      <c r="J82" s="1">
        <v>39873</v>
      </c>
      <c r="K82" s="2">
        <f>VLOOKUP(J82,G:H,2,0)</f>
        <v>45103050334</v>
      </c>
      <c r="L82" s="2">
        <f>VLOOKUP(J82,D:E,2,0)</f>
        <v>14300041515</v>
      </c>
      <c r="M82" s="3">
        <f t="shared" si="1"/>
        <v>0.31705264741751205</v>
      </c>
    </row>
    <row r="83" spans="1:13" x14ac:dyDescent="0.25">
      <c r="A83" s="1">
        <v>39845</v>
      </c>
      <c r="B83" s="2">
        <v>26556335249</v>
      </c>
      <c r="D83" s="1">
        <v>39845</v>
      </c>
      <c r="E83" s="2">
        <v>6704499539</v>
      </c>
      <c r="G83" s="1">
        <v>39873</v>
      </c>
      <c r="H83">
        <v>45103050334</v>
      </c>
      <c r="J83" s="1">
        <v>39845</v>
      </c>
      <c r="K83" s="2">
        <f>VLOOKUP(J83,G:H,2,0)</f>
        <v>21452782869</v>
      </c>
      <c r="L83" s="2">
        <f>VLOOKUP(J83,D:E,2,0)</f>
        <v>6704499539</v>
      </c>
      <c r="M83" s="3">
        <f t="shared" si="1"/>
        <v>0.31252353505559549</v>
      </c>
    </row>
    <row r="84" spans="1:13" x14ac:dyDescent="0.25">
      <c r="A84" s="1">
        <v>39814</v>
      </c>
      <c r="B84" s="2">
        <v>14367314266</v>
      </c>
      <c r="D84" s="1">
        <v>39814</v>
      </c>
      <c r="E84" s="2">
        <v>3430964783</v>
      </c>
      <c r="G84" s="1">
        <v>39845</v>
      </c>
      <c r="H84">
        <v>21452782869</v>
      </c>
      <c r="J84" s="1">
        <v>39814</v>
      </c>
      <c r="K84" s="2">
        <f>VLOOKUP(J84,G:H,2,0)</f>
        <v>8501143081</v>
      </c>
      <c r="L84" s="2">
        <f>VLOOKUP(J84,D:E,2,0)</f>
        <v>3430964783</v>
      </c>
      <c r="M84" s="3">
        <f t="shared" si="1"/>
        <v>0.40358864099913622</v>
      </c>
    </row>
    <row r="85" spans="1:13" x14ac:dyDescent="0.25">
      <c r="A85" s="1">
        <v>39783</v>
      </c>
      <c r="B85" s="2">
        <v>13635918109</v>
      </c>
      <c r="D85" s="1">
        <v>39783</v>
      </c>
      <c r="E85" s="2">
        <v>3256728316</v>
      </c>
      <c r="G85" s="1">
        <v>39814</v>
      </c>
      <c r="H85">
        <v>8501143081</v>
      </c>
      <c r="J85" s="1">
        <v>39783</v>
      </c>
      <c r="K85" s="2">
        <f>VLOOKUP(J85,G:H,2,0)</f>
        <v>6291404060</v>
      </c>
      <c r="L85" s="2">
        <f>VLOOKUP(J85,D:E,2,0)</f>
        <v>3256728316</v>
      </c>
      <c r="M85" s="3">
        <f t="shared" si="1"/>
        <v>0.51764729859045167</v>
      </c>
    </row>
    <row r="86" spans="1:13" x14ac:dyDescent="0.25">
      <c r="A86" s="1">
        <v>39753</v>
      </c>
      <c r="B86" s="2">
        <v>12294804990</v>
      </c>
      <c r="D86" s="1">
        <v>39753</v>
      </c>
      <c r="E86" s="2">
        <v>3153798091</v>
      </c>
      <c r="G86" s="1">
        <v>39783</v>
      </c>
      <c r="H86">
        <v>6291404060</v>
      </c>
      <c r="J86" s="1">
        <v>39753</v>
      </c>
      <c r="K86" s="2">
        <f>VLOOKUP(J86,G:H,2,0)</f>
        <v>6322729817</v>
      </c>
      <c r="L86" s="2">
        <f>VLOOKUP(J86,D:E,2,0)</f>
        <v>3153798091</v>
      </c>
      <c r="M86" s="3">
        <f t="shared" si="1"/>
        <v>0.49880323567208978</v>
      </c>
    </row>
    <row r="87" spans="1:13" x14ac:dyDescent="0.25">
      <c r="A87" s="1">
        <v>39722</v>
      </c>
      <c r="B87" s="2">
        <v>11225717975</v>
      </c>
      <c r="D87" s="1">
        <v>39722</v>
      </c>
      <c r="E87" s="2">
        <v>2761710180</v>
      </c>
      <c r="G87" s="1">
        <v>39753</v>
      </c>
      <c r="H87">
        <v>6322729817</v>
      </c>
      <c r="J87" s="1">
        <v>39722</v>
      </c>
      <c r="K87" s="2">
        <f>VLOOKUP(J87,G:H,2,0)</f>
        <v>4750531286</v>
      </c>
      <c r="L87" s="2">
        <f>VLOOKUP(J87,D:E,2,0)</f>
        <v>2761710180</v>
      </c>
      <c r="M87" s="3">
        <f t="shared" si="1"/>
        <v>0.5813476459230712</v>
      </c>
    </row>
    <row r="88" spans="1:13" x14ac:dyDescent="0.25">
      <c r="A88" s="1">
        <v>39692</v>
      </c>
      <c r="B88" s="2">
        <v>16116677479</v>
      </c>
      <c r="D88" s="1">
        <v>39692</v>
      </c>
      <c r="E88" s="2">
        <v>3658379042</v>
      </c>
      <c r="G88" s="1">
        <v>39722</v>
      </c>
      <c r="H88">
        <v>4750531286</v>
      </c>
      <c r="J88" s="1">
        <v>39692</v>
      </c>
      <c r="K88" s="2">
        <f>VLOOKUP(J88,G:H,2,0)</f>
        <v>6021943219</v>
      </c>
      <c r="L88" s="2">
        <f>VLOOKUP(J88,D:E,2,0)</f>
        <v>3658379042</v>
      </c>
      <c r="M88" s="3">
        <f t="shared" si="1"/>
        <v>0.60750805993277168</v>
      </c>
    </row>
    <row r="89" spans="1:13" x14ac:dyDescent="0.25">
      <c r="A89" s="1">
        <v>39661</v>
      </c>
      <c r="B89" s="2">
        <v>16715048527</v>
      </c>
      <c r="D89" s="1">
        <v>39661</v>
      </c>
      <c r="E89" s="2">
        <v>4066992408</v>
      </c>
      <c r="G89" s="1">
        <v>39692</v>
      </c>
      <c r="H89">
        <v>6021943219</v>
      </c>
      <c r="J89" s="1">
        <v>39661</v>
      </c>
      <c r="K89" s="2">
        <f>VLOOKUP(J89,G:H,2,0)</f>
        <v>6814112642</v>
      </c>
      <c r="L89" s="2">
        <f>VLOOKUP(J89,D:E,2,0)</f>
        <v>4066992408</v>
      </c>
      <c r="M89" s="3">
        <f t="shared" si="1"/>
        <v>0.59684842644548697</v>
      </c>
    </row>
    <row r="90" spans="1:13" x14ac:dyDescent="0.25">
      <c r="A90" s="1">
        <v>39630</v>
      </c>
      <c r="B90" s="2">
        <v>16332961163</v>
      </c>
      <c r="D90" s="1">
        <v>39630</v>
      </c>
      <c r="E90" s="2">
        <v>4347786088</v>
      </c>
      <c r="G90" s="1">
        <v>39661</v>
      </c>
      <c r="H90">
        <v>6814112642</v>
      </c>
      <c r="J90" s="1">
        <v>39630</v>
      </c>
      <c r="K90" s="2">
        <f>VLOOKUP(J90,G:H,2,0)</f>
        <v>7716383644</v>
      </c>
      <c r="L90" s="2">
        <f>VLOOKUP(J90,D:E,2,0)</f>
        <v>4347786088</v>
      </c>
      <c r="M90" s="3">
        <f t="shared" si="1"/>
        <v>0.56344866826064199</v>
      </c>
    </row>
    <row r="91" spans="1:13" x14ac:dyDescent="0.25">
      <c r="A91" s="1">
        <v>39600</v>
      </c>
      <c r="B91" s="2">
        <v>27394223633</v>
      </c>
      <c r="D91" s="1">
        <v>39600</v>
      </c>
      <c r="E91" s="2">
        <v>8297139033</v>
      </c>
      <c r="G91" s="1">
        <v>39630</v>
      </c>
      <c r="H91">
        <v>7716383644</v>
      </c>
      <c r="J91" s="1">
        <v>39600</v>
      </c>
      <c r="K91" s="2">
        <f>VLOOKUP(J91,G:H,2,0)</f>
        <v>14931245409</v>
      </c>
      <c r="L91" s="2">
        <f>VLOOKUP(J91,D:E,2,0)</f>
        <v>8297139033</v>
      </c>
      <c r="M91" s="3">
        <f t="shared" si="1"/>
        <v>0.55568968332666968</v>
      </c>
    </row>
    <row r="92" spans="1:13" x14ac:dyDescent="0.25">
      <c r="A92" s="1">
        <v>39569</v>
      </c>
      <c r="B92" s="2">
        <v>32420404097</v>
      </c>
      <c r="D92" s="1">
        <v>39569</v>
      </c>
      <c r="E92" s="2">
        <v>10958825932</v>
      </c>
      <c r="G92" s="1">
        <v>39600</v>
      </c>
      <c r="H92">
        <v>14931245409</v>
      </c>
      <c r="J92" s="1">
        <v>39569</v>
      </c>
      <c r="K92" s="2">
        <f>VLOOKUP(J92,G:H,2,0)</f>
        <v>20337637551</v>
      </c>
      <c r="L92" s="2">
        <f>VLOOKUP(J92,D:E,2,0)</f>
        <v>10958825932</v>
      </c>
      <c r="M92" s="3">
        <f t="shared" si="1"/>
        <v>0.53884458824280479</v>
      </c>
    </row>
    <row r="93" spans="1:13" x14ac:dyDescent="0.25">
      <c r="A93" s="1">
        <v>39539</v>
      </c>
      <c r="B93" s="2">
        <v>30728870773</v>
      </c>
      <c r="D93" s="1">
        <v>39539</v>
      </c>
      <c r="E93" s="2">
        <v>10131139668</v>
      </c>
      <c r="G93" s="1">
        <v>39569</v>
      </c>
      <c r="H93">
        <v>20337637551</v>
      </c>
      <c r="J93" s="1">
        <v>39539</v>
      </c>
      <c r="K93" s="2">
        <f>VLOOKUP(J93,G:H,2,0)</f>
        <v>20311887524</v>
      </c>
      <c r="L93" s="2">
        <f>VLOOKUP(J93,D:E,2,0)</f>
        <v>10131139668</v>
      </c>
      <c r="M93" s="3">
        <f t="shared" si="1"/>
        <v>0.49877883855103611</v>
      </c>
    </row>
    <row r="94" spans="1:13" x14ac:dyDescent="0.25">
      <c r="A94" s="1">
        <v>39508</v>
      </c>
      <c r="B94" s="2">
        <v>31805852474</v>
      </c>
      <c r="D94" s="1">
        <v>39508</v>
      </c>
      <c r="E94" s="2">
        <v>10132404914</v>
      </c>
      <c r="G94" s="1">
        <v>39539</v>
      </c>
      <c r="H94">
        <v>20311887524</v>
      </c>
      <c r="J94" s="1">
        <v>39508</v>
      </c>
      <c r="K94" s="2">
        <f>VLOOKUP(J94,G:H,2,0)</f>
        <v>22447812684</v>
      </c>
      <c r="L94" s="2">
        <f>VLOOKUP(J94,D:E,2,0)</f>
        <v>10132404914</v>
      </c>
      <c r="M94" s="3">
        <f t="shared" si="1"/>
        <v>0.45137604525816527</v>
      </c>
    </row>
    <row r="95" spans="1:13" x14ac:dyDescent="0.25">
      <c r="A95" s="1">
        <v>39479</v>
      </c>
      <c r="B95" s="2">
        <v>34668220196</v>
      </c>
      <c r="D95" s="1">
        <v>39479</v>
      </c>
      <c r="E95" s="2">
        <v>10232588225</v>
      </c>
      <c r="G95" s="1">
        <v>39508</v>
      </c>
      <c r="H95">
        <v>22447812684</v>
      </c>
      <c r="J95" s="1">
        <v>39479</v>
      </c>
      <c r="K95" s="2">
        <f>VLOOKUP(J95,G:H,2,0)</f>
        <v>19870019700</v>
      </c>
      <c r="L95" s="2">
        <f>VLOOKUP(J95,D:E,2,0)</f>
        <v>10232588225</v>
      </c>
      <c r="M95" s="3">
        <f t="shared" si="1"/>
        <v>0.51497624962093014</v>
      </c>
    </row>
    <row r="96" spans="1:13" x14ac:dyDescent="0.25">
      <c r="A96" s="1">
        <v>39448</v>
      </c>
      <c r="B96" s="2">
        <v>23773499925</v>
      </c>
      <c r="D96" s="1">
        <v>39448</v>
      </c>
      <c r="E96" s="2">
        <v>6863850193</v>
      </c>
      <c r="G96" s="1">
        <v>39479</v>
      </c>
      <c r="H96">
        <v>19870019700</v>
      </c>
      <c r="J96" s="1">
        <v>39448</v>
      </c>
      <c r="K96" s="2">
        <f>VLOOKUP(J96,G:H,2,0)</f>
        <v>13015339449</v>
      </c>
      <c r="L96" s="2">
        <f>VLOOKUP(J96,D:E,2,0)</f>
        <v>6863850193</v>
      </c>
      <c r="M96" s="3">
        <f t="shared" si="1"/>
        <v>0.5273662066130258</v>
      </c>
    </row>
    <row r="97" spans="1:13" x14ac:dyDescent="0.25">
      <c r="A97" s="1">
        <v>39417</v>
      </c>
      <c r="B97" s="2">
        <v>24282521035</v>
      </c>
      <c r="D97" s="1">
        <v>39417</v>
      </c>
      <c r="E97" s="2">
        <v>6563556651</v>
      </c>
      <c r="G97" s="1">
        <v>39448</v>
      </c>
      <c r="H97">
        <v>13015339449</v>
      </c>
      <c r="J97" s="1">
        <v>39417</v>
      </c>
      <c r="K97" s="2">
        <f>VLOOKUP(J97,G:H,2,0)</f>
        <v>11858142537</v>
      </c>
      <c r="L97" s="2">
        <f>VLOOKUP(J97,D:E,2,0)</f>
        <v>6563556651</v>
      </c>
      <c r="M97" s="3">
        <f t="shared" si="1"/>
        <v>0.55350630425635938</v>
      </c>
    </row>
    <row r="98" spans="1:13" x14ac:dyDescent="0.25">
      <c r="A98" s="1">
        <v>39387</v>
      </c>
      <c r="B98" s="2">
        <v>25891468317</v>
      </c>
      <c r="D98" s="1">
        <v>39387</v>
      </c>
      <c r="E98" s="2">
        <v>6588427060</v>
      </c>
      <c r="G98" s="1">
        <v>39417</v>
      </c>
      <c r="H98">
        <v>11858142537</v>
      </c>
      <c r="J98" s="1">
        <v>39387</v>
      </c>
      <c r="K98" s="2">
        <f>VLOOKUP(J98,G:H,2,0)</f>
        <v>11796349719</v>
      </c>
      <c r="L98" s="2">
        <f>VLOOKUP(J98,D:E,2,0)</f>
        <v>6588427060</v>
      </c>
      <c r="M98" s="3">
        <f t="shared" si="1"/>
        <v>0.5585140502733853</v>
      </c>
    </row>
    <row r="99" spans="1:13" x14ac:dyDescent="0.25">
      <c r="A99" s="1">
        <v>39356</v>
      </c>
      <c r="B99" s="2">
        <v>22295760079</v>
      </c>
      <c r="D99" s="1">
        <v>39356</v>
      </c>
      <c r="E99" s="2">
        <v>5392703688</v>
      </c>
      <c r="G99" s="1">
        <v>39387</v>
      </c>
      <c r="H99">
        <v>11796349719</v>
      </c>
      <c r="J99" s="1">
        <v>39356</v>
      </c>
      <c r="K99" s="2">
        <f>VLOOKUP(J99,G:H,2,0)</f>
        <v>9623191158</v>
      </c>
      <c r="L99" s="2">
        <f>VLOOKUP(J99,D:E,2,0)</f>
        <v>5392703688</v>
      </c>
      <c r="M99" s="3">
        <f t="shared" si="1"/>
        <v>0.56038621694809732</v>
      </c>
    </row>
    <row r="100" spans="1:13" x14ac:dyDescent="0.25">
      <c r="A100" s="1">
        <v>39326</v>
      </c>
      <c r="B100" s="2">
        <v>27255808031</v>
      </c>
      <c r="D100" s="1">
        <v>39326</v>
      </c>
      <c r="E100" s="2">
        <v>6146716277</v>
      </c>
      <c r="G100" s="1">
        <v>39356</v>
      </c>
      <c r="H100">
        <v>9623191158</v>
      </c>
      <c r="J100" s="1">
        <v>39326</v>
      </c>
      <c r="K100" s="2">
        <f>VLOOKUP(J100,G:H,2,0)</f>
        <v>10458069490</v>
      </c>
      <c r="L100" s="2">
        <f>VLOOKUP(J100,D:E,2,0)</f>
        <v>6146716277</v>
      </c>
      <c r="M100" s="3">
        <f t="shared" si="1"/>
        <v>0.58774865503403728</v>
      </c>
    </row>
    <row r="101" spans="1:13" x14ac:dyDescent="0.25">
      <c r="A101" s="1">
        <v>39295</v>
      </c>
      <c r="B101" s="2">
        <v>24444223972</v>
      </c>
      <c r="D101" s="1">
        <v>39295</v>
      </c>
      <c r="E101" s="2">
        <v>6193992333</v>
      </c>
      <c r="G101" s="1">
        <v>39326</v>
      </c>
      <c r="H101">
        <v>10458069490</v>
      </c>
      <c r="J101" s="1">
        <v>39295</v>
      </c>
      <c r="K101" s="2">
        <f>VLOOKUP(J101,G:H,2,0)</f>
        <v>10466097114</v>
      </c>
      <c r="L101" s="2">
        <f>VLOOKUP(J101,D:E,2,0)</f>
        <v>6193992333</v>
      </c>
      <c r="M101" s="3">
        <f t="shared" si="1"/>
        <v>0.59181491109179474</v>
      </c>
    </row>
    <row r="102" spans="1:13" x14ac:dyDescent="0.25">
      <c r="A102" s="1">
        <v>39264</v>
      </c>
      <c r="B102" s="2">
        <v>21480561766</v>
      </c>
      <c r="D102" s="1">
        <v>39264</v>
      </c>
      <c r="E102" s="2">
        <v>6060173247</v>
      </c>
      <c r="G102" s="1">
        <v>39295</v>
      </c>
      <c r="H102">
        <v>10466097114</v>
      </c>
      <c r="J102" s="1">
        <v>39264</v>
      </c>
      <c r="K102" s="2">
        <f>VLOOKUP(J102,G:H,2,0)</f>
        <v>10151225265</v>
      </c>
      <c r="L102" s="2">
        <f>VLOOKUP(J102,D:E,2,0)</f>
        <v>6060173247</v>
      </c>
      <c r="M102" s="3">
        <f t="shared" si="1"/>
        <v>0.59698933762159989</v>
      </c>
    </row>
    <row r="103" spans="1:13" x14ac:dyDescent="0.25">
      <c r="A103" s="1">
        <v>39234</v>
      </c>
      <c r="B103" s="2">
        <v>23746890974</v>
      </c>
      <c r="D103" s="1">
        <v>39234</v>
      </c>
      <c r="E103" s="2">
        <v>7016783639</v>
      </c>
      <c r="G103" s="1">
        <v>39264</v>
      </c>
      <c r="H103">
        <v>10151225265</v>
      </c>
      <c r="J103" s="1">
        <v>39234</v>
      </c>
      <c r="K103" s="2">
        <f>VLOOKUP(J103,G:H,2,0)</f>
        <v>11621356991</v>
      </c>
      <c r="L103" s="2">
        <f>VLOOKUP(J103,D:E,2,0)</f>
        <v>7016783639</v>
      </c>
      <c r="M103" s="3">
        <f t="shared" si="1"/>
        <v>0.6037835034612612</v>
      </c>
    </row>
    <row r="104" spans="1:13" x14ac:dyDescent="0.25">
      <c r="A104" s="1">
        <v>39203</v>
      </c>
      <c r="B104" s="2">
        <v>24680355129</v>
      </c>
      <c r="D104" s="1">
        <v>39203</v>
      </c>
      <c r="E104" s="2">
        <v>7881380267</v>
      </c>
      <c r="G104" s="1">
        <v>39234</v>
      </c>
      <c r="H104">
        <v>11621356991</v>
      </c>
      <c r="J104" s="1">
        <v>39203</v>
      </c>
      <c r="K104" s="2">
        <f>VLOOKUP(J104,G:H,2,0)</f>
        <v>13293791057</v>
      </c>
      <c r="L104" s="2">
        <f>VLOOKUP(J104,D:E,2,0)</f>
        <v>7881380267</v>
      </c>
      <c r="M104" s="3">
        <f t="shared" si="1"/>
        <v>0.59286175276915964</v>
      </c>
    </row>
    <row r="105" spans="1:13" x14ac:dyDescent="0.25">
      <c r="A105" s="1">
        <v>39173</v>
      </c>
      <c r="B105" s="2">
        <v>22675987753</v>
      </c>
      <c r="D105" s="1">
        <v>39173</v>
      </c>
      <c r="E105" s="2">
        <v>7336363946</v>
      </c>
      <c r="G105" s="1">
        <v>39203</v>
      </c>
      <c r="H105">
        <v>13293791057</v>
      </c>
      <c r="J105" s="1">
        <v>39173</v>
      </c>
      <c r="K105" s="2">
        <f>VLOOKUP(J105,G:H,2,0)</f>
        <v>12812617247</v>
      </c>
      <c r="L105" s="2">
        <f>VLOOKUP(J105,D:E,2,0)</f>
        <v>7336363946</v>
      </c>
      <c r="M105" s="3">
        <f t="shared" si="1"/>
        <v>0.57258901944626239</v>
      </c>
    </row>
    <row r="106" spans="1:13" x14ac:dyDescent="0.25">
      <c r="A106" s="1">
        <v>39142</v>
      </c>
      <c r="B106" s="2">
        <v>24056143028</v>
      </c>
      <c r="D106" s="1">
        <v>39142</v>
      </c>
      <c r="E106" s="2">
        <v>7517206504</v>
      </c>
      <c r="G106" s="1">
        <v>39173</v>
      </c>
      <c r="H106">
        <v>12812617247</v>
      </c>
      <c r="J106" s="1">
        <v>39142</v>
      </c>
      <c r="K106" s="2">
        <f>VLOOKUP(J106,G:H,2,0)</f>
        <v>13135167149</v>
      </c>
      <c r="L106" s="2">
        <f>VLOOKUP(J106,D:E,2,0)</f>
        <v>7517206504</v>
      </c>
      <c r="M106" s="3">
        <f t="shared" si="1"/>
        <v>0.57229621966190936</v>
      </c>
    </row>
    <row r="107" spans="1:13" x14ac:dyDescent="0.25">
      <c r="A107" s="1">
        <v>39114</v>
      </c>
      <c r="B107" s="2">
        <v>25631688594</v>
      </c>
      <c r="D107" s="1">
        <v>39114</v>
      </c>
      <c r="E107" s="2">
        <v>8468630038</v>
      </c>
      <c r="G107" s="1">
        <v>39142</v>
      </c>
      <c r="H107">
        <v>13135167149</v>
      </c>
      <c r="J107" s="1">
        <v>39114</v>
      </c>
      <c r="K107" s="2">
        <f>VLOOKUP(J107,G:H,2,0)</f>
        <v>15006253186</v>
      </c>
      <c r="L107" s="2">
        <f>VLOOKUP(J107,D:E,2,0)</f>
        <v>8468630038</v>
      </c>
      <c r="M107" s="3">
        <f t="shared" si="1"/>
        <v>0.56434007430320854</v>
      </c>
    </row>
    <row r="108" spans="1:13" x14ac:dyDescent="0.25">
      <c r="A108" s="1">
        <v>39083</v>
      </c>
      <c r="B108" s="2">
        <v>20711674931</v>
      </c>
      <c r="D108" s="1">
        <v>39083</v>
      </c>
      <c r="E108" s="2">
        <v>6015656641</v>
      </c>
      <c r="G108" s="1">
        <v>39114</v>
      </c>
      <c r="H108">
        <v>15006253186</v>
      </c>
      <c r="J108" s="1">
        <v>39083</v>
      </c>
      <c r="K108" s="2">
        <f>VLOOKUP(J108,G:H,2,0)</f>
        <v>10681882350</v>
      </c>
      <c r="L108" s="2">
        <f>VLOOKUP(J108,D:E,2,0)</f>
        <v>6015656641</v>
      </c>
      <c r="M108" s="3">
        <f t="shared" si="1"/>
        <v>0.56316447269239955</v>
      </c>
    </row>
    <row r="109" spans="1:13" x14ac:dyDescent="0.25">
      <c r="A109" s="1">
        <v>39052</v>
      </c>
      <c r="B109" s="2">
        <v>23357109710</v>
      </c>
      <c r="D109" s="1">
        <v>39052</v>
      </c>
      <c r="E109" s="2">
        <v>6510469241</v>
      </c>
      <c r="G109" s="1">
        <v>39083</v>
      </c>
      <c r="H109">
        <v>10681882350</v>
      </c>
      <c r="J109" s="1">
        <v>39052</v>
      </c>
      <c r="K109" s="2">
        <f>VLOOKUP(J109,G:H,2,0)</f>
        <v>11988679036</v>
      </c>
      <c r="L109" s="2">
        <f>VLOOKUP(J109,D:E,2,0)</f>
        <v>6510469241</v>
      </c>
      <c r="M109" s="3">
        <f t="shared" si="1"/>
        <v>0.54305142555323638</v>
      </c>
    </row>
    <row r="110" spans="1:13" x14ac:dyDescent="0.25">
      <c r="A110" s="1">
        <v>39022</v>
      </c>
      <c r="B110" s="2">
        <v>17399934486</v>
      </c>
      <c r="D110" s="1">
        <v>39022</v>
      </c>
      <c r="E110" s="2">
        <v>4978874973</v>
      </c>
      <c r="G110" s="1">
        <v>39052</v>
      </c>
      <c r="H110">
        <v>11988679036</v>
      </c>
      <c r="J110" s="1">
        <v>39022</v>
      </c>
      <c r="K110" s="2">
        <f>VLOOKUP(J110,G:H,2,0)</f>
        <v>9066438154</v>
      </c>
      <c r="L110" s="2">
        <f>VLOOKUP(J110,D:E,2,0)</f>
        <v>4978874973</v>
      </c>
      <c r="M110" s="3">
        <f t="shared" si="1"/>
        <v>0.54915446269308987</v>
      </c>
    </row>
    <row r="111" spans="1:13" x14ac:dyDescent="0.25">
      <c r="A111" s="1">
        <v>38991</v>
      </c>
      <c r="B111" s="2">
        <v>18557120240</v>
      </c>
      <c r="D111" s="1">
        <v>38991</v>
      </c>
      <c r="E111" s="2">
        <v>4368093500</v>
      </c>
      <c r="G111" s="1">
        <v>39022</v>
      </c>
      <c r="H111">
        <v>9066438154</v>
      </c>
      <c r="J111" s="1">
        <v>38991</v>
      </c>
      <c r="K111" s="2">
        <f>VLOOKUP(J111,G:H,2,0)</f>
        <v>8162754126</v>
      </c>
      <c r="L111" s="2">
        <f>VLOOKUP(J111,D:E,2,0)</f>
        <v>4368093500</v>
      </c>
      <c r="M111" s="3">
        <f t="shared" si="1"/>
        <v>0.53512496304240631</v>
      </c>
    </row>
    <row r="112" spans="1:13" x14ac:dyDescent="0.25">
      <c r="A112" s="1">
        <v>38961</v>
      </c>
      <c r="B112" s="2">
        <v>20818564670</v>
      </c>
      <c r="D112" s="1">
        <v>38961</v>
      </c>
      <c r="E112" s="2">
        <v>4067783859</v>
      </c>
      <c r="G112" s="1">
        <v>38991</v>
      </c>
      <c r="H112">
        <v>8162754126</v>
      </c>
      <c r="J112" s="1">
        <v>38961</v>
      </c>
      <c r="K112" s="2">
        <f>VLOOKUP(J112,G:H,2,0)</f>
        <v>8025054620</v>
      </c>
      <c r="L112" s="2">
        <f>VLOOKUP(J112,D:E,2,0)</f>
        <v>4067783859</v>
      </c>
      <c r="M112" s="3">
        <f t="shared" si="1"/>
        <v>0.50688550441292823</v>
      </c>
    </row>
    <row r="113" spans="1:13" x14ac:dyDescent="0.25">
      <c r="A113" s="1">
        <v>38930</v>
      </c>
      <c r="B113" s="2">
        <v>21428694078</v>
      </c>
      <c r="D113" s="1">
        <v>38930</v>
      </c>
      <c r="E113" s="2">
        <v>4125101595</v>
      </c>
      <c r="G113" s="1">
        <v>38961</v>
      </c>
      <c r="H113">
        <v>8025054620</v>
      </c>
      <c r="J113" s="1">
        <v>38930</v>
      </c>
      <c r="K113" s="2">
        <f>VLOOKUP(J113,G:H,2,0)</f>
        <v>8115723987</v>
      </c>
      <c r="L113" s="2">
        <f>VLOOKUP(J113,D:E,2,0)</f>
        <v>4125101595</v>
      </c>
      <c r="M113" s="3">
        <f t="shared" si="1"/>
        <v>0.50828510205715549</v>
      </c>
    </row>
    <row r="114" spans="1:13" x14ac:dyDescent="0.25">
      <c r="A114" s="1">
        <v>38899</v>
      </c>
      <c r="B114" s="2">
        <v>19824870084</v>
      </c>
      <c r="D114" s="1">
        <v>38899</v>
      </c>
      <c r="E114" s="2">
        <v>4191704762</v>
      </c>
      <c r="G114" s="1">
        <v>38930</v>
      </c>
      <c r="H114">
        <v>8115723987</v>
      </c>
      <c r="J114" s="1">
        <v>38899</v>
      </c>
      <c r="K114" s="2">
        <f>VLOOKUP(J114,G:H,2,0)</f>
        <v>8026493053</v>
      </c>
      <c r="L114" s="2">
        <f>VLOOKUP(J114,D:E,2,0)</f>
        <v>4191704762</v>
      </c>
      <c r="M114" s="3">
        <f t="shared" si="1"/>
        <v>0.52223364977975018</v>
      </c>
    </row>
    <row r="115" spans="1:13" x14ac:dyDescent="0.25">
      <c r="A115" s="1">
        <v>38869</v>
      </c>
      <c r="B115" s="2">
        <v>19339658441</v>
      </c>
      <c r="D115" s="1">
        <v>38869</v>
      </c>
      <c r="E115" s="2">
        <v>4581569661</v>
      </c>
      <c r="G115" s="1">
        <v>38899</v>
      </c>
      <c r="H115">
        <v>8026493053</v>
      </c>
      <c r="J115" s="1">
        <v>38869</v>
      </c>
      <c r="K115" s="2">
        <f>VLOOKUP(J115,G:H,2,0)</f>
        <v>8549982217</v>
      </c>
      <c r="L115" s="2">
        <f>VLOOKUP(J115,D:E,2,0)</f>
        <v>4581569661</v>
      </c>
      <c r="M115" s="3">
        <f t="shared" si="1"/>
        <v>0.53585721522208873</v>
      </c>
    </row>
    <row r="116" spans="1:13" x14ac:dyDescent="0.25">
      <c r="A116" s="1">
        <v>38838</v>
      </c>
      <c r="B116" s="2">
        <v>17302289096</v>
      </c>
      <c r="D116" s="1">
        <v>38838</v>
      </c>
      <c r="E116" s="2">
        <v>4581870461</v>
      </c>
      <c r="G116" s="1">
        <v>38869</v>
      </c>
      <c r="H116">
        <v>8549982217</v>
      </c>
      <c r="J116" s="1">
        <v>38838</v>
      </c>
      <c r="K116" s="2">
        <f>VLOOKUP(J116,G:H,2,0)</f>
        <v>8283618252</v>
      </c>
      <c r="L116" s="2">
        <f>VLOOKUP(J116,D:E,2,0)</f>
        <v>4581870461</v>
      </c>
      <c r="M116" s="3">
        <f t="shared" si="1"/>
        <v>0.55312428960542104</v>
      </c>
    </row>
    <row r="117" spans="1:13" x14ac:dyDescent="0.25">
      <c r="A117" s="1">
        <v>38808</v>
      </c>
      <c r="B117" s="2">
        <v>19513835400</v>
      </c>
      <c r="D117" s="1">
        <v>38808</v>
      </c>
      <c r="E117" s="2">
        <v>6030562171</v>
      </c>
      <c r="G117" s="1">
        <v>38838</v>
      </c>
      <c r="H117">
        <v>8283618252</v>
      </c>
      <c r="J117" s="1">
        <v>38808</v>
      </c>
      <c r="K117" s="2">
        <f>VLOOKUP(J117,G:H,2,0)</f>
        <v>10569138519</v>
      </c>
      <c r="L117" s="2">
        <f>VLOOKUP(J117,D:E,2,0)</f>
        <v>6030562171</v>
      </c>
      <c r="M117" s="3">
        <f t="shared" si="1"/>
        <v>0.57058218701164132</v>
      </c>
    </row>
    <row r="118" spans="1:13" x14ac:dyDescent="0.25">
      <c r="A118" s="1">
        <v>38777</v>
      </c>
      <c r="B118" s="2">
        <v>17976556277</v>
      </c>
      <c r="D118" s="1">
        <v>38777</v>
      </c>
      <c r="E118" s="2">
        <v>5621823547</v>
      </c>
      <c r="G118" s="1">
        <v>38808</v>
      </c>
      <c r="H118">
        <v>10569138519</v>
      </c>
      <c r="J118" s="1">
        <v>38777</v>
      </c>
      <c r="K118" s="2">
        <f>VLOOKUP(J118,G:H,2,0)</f>
        <v>9867348885</v>
      </c>
      <c r="L118" s="2">
        <f>VLOOKUP(J118,D:E,2,0)</f>
        <v>5621823547</v>
      </c>
      <c r="M118" s="3">
        <f t="shared" si="1"/>
        <v>0.5697400195858181</v>
      </c>
    </row>
    <row r="119" spans="1:13" x14ac:dyDescent="0.25">
      <c r="A119" s="1">
        <v>38749</v>
      </c>
      <c r="B119" s="2">
        <v>18553500169</v>
      </c>
      <c r="D119" s="1">
        <v>38749</v>
      </c>
      <c r="E119" s="2">
        <v>5364811902</v>
      </c>
      <c r="G119" s="1">
        <v>38777</v>
      </c>
      <c r="H119">
        <v>9867348885</v>
      </c>
      <c r="J119" s="1">
        <v>38749</v>
      </c>
      <c r="K119" s="2">
        <f>VLOOKUP(J119,G:H,2,0)</f>
        <v>9800473459</v>
      </c>
      <c r="L119" s="2">
        <f>VLOOKUP(J119,D:E,2,0)</f>
        <v>5364811902</v>
      </c>
      <c r="M119" s="3">
        <f t="shared" si="1"/>
        <v>0.54740333969001975</v>
      </c>
    </row>
    <row r="120" spans="1:13" x14ac:dyDescent="0.25">
      <c r="A120" s="1">
        <v>38718</v>
      </c>
      <c r="B120" s="2">
        <v>21518245351</v>
      </c>
      <c r="D120" s="1">
        <v>38718</v>
      </c>
      <c r="E120" s="2">
        <v>6452633716</v>
      </c>
      <c r="G120" s="1">
        <v>38749</v>
      </c>
      <c r="H120">
        <v>9800473459</v>
      </c>
      <c r="J120" s="1">
        <v>38718</v>
      </c>
      <c r="K120" s="2">
        <f>VLOOKUP(J120,G:H,2,0)</f>
        <v>11437922750</v>
      </c>
      <c r="L120" s="2">
        <f>VLOOKUP(J120,D:E,2,0)</f>
        <v>6452633716</v>
      </c>
      <c r="M120" s="3">
        <f t="shared" si="1"/>
        <v>0.56414384473789181</v>
      </c>
    </row>
    <row r="121" spans="1:13" x14ac:dyDescent="0.25">
      <c r="A121" s="1">
        <v>38687</v>
      </c>
      <c r="B121" s="2">
        <v>23067879123</v>
      </c>
      <c r="D121" s="1">
        <v>38687</v>
      </c>
      <c r="E121" s="2">
        <v>6622409707</v>
      </c>
      <c r="G121" s="1">
        <v>38718</v>
      </c>
      <c r="H121">
        <v>11437922750</v>
      </c>
      <c r="J121" s="1">
        <v>38687</v>
      </c>
      <c r="K121" s="2">
        <f>VLOOKUP(J121,G:H,2,0)</f>
        <v>11980169903</v>
      </c>
      <c r="L121" s="2">
        <f>VLOOKUP(J121,D:E,2,0)</f>
        <v>6622409707</v>
      </c>
      <c r="M121" s="3">
        <f t="shared" si="1"/>
        <v>0.55278095057246701</v>
      </c>
    </row>
    <row r="122" spans="1:13" x14ac:dyDescent="0.25">
      <c r="A122" s="1"/>
      <c r="G122" s="1">
        <v>38687</v>
      </c>
      <c r="H122">
        <v>11980169903</v>
      </c>
      <c r="J122" s="1"/>
    </row>
    <row r="123" spans="1:13" x14ac:dyDescent="0.25">
      <c r="A123" s="1"/>
      <c r="J123" s="1"/>
    </row>
    <row r="124" spans="1:13" x14ac:dyDescent="0.25">
      <c r="A124" s="1"/>
      <c r="J124" s="1"/>
    </row>
    <row r="125" spans="1:13" x14ac:dyDescent="0.25">
      <c r="A125" s="1"/>
      <c r="J125" s="1"/>
    </row>
    <row r="126" spans="1:13" x14ac:dyDescent="0.25">
      <c r="A126" s="1"/>
      <c r="J126" s="1"/>
    </row>
    <row r="127" spans="1:13" x14ac:dyDescent="0.25">
      <c r="A127" s="1"/>
      <c r="J127" s="1"/>
    </row>
    <row r="128" spans="1:13" x14ac:dyDescent="0.25">
      <c r="A128" s="1"/>
      <c r="J128" s="1"/>
    </row>
    <row r="129" spans="1:10" x14ac:dyDescent="0.25">
      <c r="A129" s="1"/>
      <c r="J129" s="1"/>
    </row>
    <row r="130" spans="1:10" x14ac:dyDescent="0.25">
      <c r="A130" s="1"/>
      <c r="J130" s="1"/>
    </row>
    <row r="131" spans="1:10" x14ac:dyDescent="0.25">
      <c r="A131" s="1"/>
      <c r="J131" s="1"/>
    </row>
    <row r="132" spans="1:10" x14ac:dyDescent="0.25">
      <c r="A132" s="1"/>
      <c r="J132" s="1"/>
    </row>
    <row r="133" spans="1:10" x14ac:dyDescent="0.25">
      <c r="A133" s="1"/>
      <c r="J133" s="1"/>
    </row>
    <row r="134" spans="1:10" x14ac:dyDescent="0.25">
      <c r="A134" s="1"/>
      <c r="J134" s="1"/>
    </row>
    <row r="135" spans="1:10" x14ac:dyDescent="0.25">
      <c r="A135" s="1"/>
      <c r="J135" s="1"/>
    </row>
    <row r="136" spans="1:10" x14ac:dyDescent="0.25">
      <c r="A136" s="1"/>
      <c r="J136" s="1"/>
    </row>
    <row r="137" spans="1:10" x14ac:dyDescent="0.25">
      <c r="A137" s="1"/>
      <c r="J137" s="1"/>
    </row>
    <row r="138" spans="1:10" x14ac:dyDescent="0.25">
      <c r="A138" s="1"/>
      <c r="J138" s="1"/>
    </row>
    <row r="139" spans="1:10" x14ac:dyDescent="0.25">
      <c r="A139" s="1"/>
      <c r="J139" s="1"/>
    </row>
    <row r="140" spans="1:10" x14ac:dyDescent="0.25">
      <c r="A140" s="1"/>
      <c r="J140" s="1"/>
    </row>
    <row r="141" spans="1:10" x14ac:dyDescent="0.25">
      <c r="A141" s="1"/>
      <c r="J141" s="1"/>
    </row>
    <row r="142" spans="1:10" x14ac:dyDescent="0.25">
      <c r="A142" s="1"/>
      <c r="J142" s="1"/>
    </row>
    <row r="143" spans="1:10" x14ac:dyDescent="0.25">
      <c r="A143" s="1"/>
      <c r="J143" s="1"/>
    </row>
    <row r="144" spans="1:10" x14ac:dyDescent="0.25">
      <c r="A144" s="1"/>
      <c r="J144" s="1"/>
    </row>
    <row r="145" spans="1:10" x14ac:dyDescent="0.25">
      <c r="A145" s="1"/>
      <c r="J145" s="1"/>
    </row>
    <row r="146" spans="1:10" x14ac:dyDescent="0.25">
      <c r="A146" s="1"/>
      <c r="J146" s="1"/>
    </row>
    <row r="147" spans="1:10" x14ac:dyDescent="0.25">
      <c r="A147" s="1"/>
      <c r="J147" s="1"/>
    </row>
    <row r="148" spans="1:10" x14ac:dyDescent="0.25">
      <c r="A148" s="1"/>
      <c r="J148" s="1"/>
    </row>
    <row r="149" spans="1:10" x14ac:dyDescent="0.25">
      <c r="A149" s="1"/>
      <c r="J149" s="1"/>
    </row>
    <row r="150" spans="1:10" x14ac:dyDescent="0.25">
      <c r="A150" s="1"/>
      <c r="J150" s="1"/>
    </row>
    <row r="151" spans="1:10" x14ac:dyDescent="0.25">
      <c r="A151" s="1"/>
      <c r="J151" s="1"/>
    </row>
    <row r="152" spans="1:10" x14ac:dyDescent="0.25">
      <c r="A152" s="1"/>
      <c r="J152" s="1"/>
    </row>
    <row r="153" spans="1:10" x14ac:dyDescent="0.25">
      <c r="A153" s="1"/>
      <c r="J153" s="1"/>
    </row>
    <row r="154" spans="1:10" x14ac:dyDescent="0.25">
      <c r="A154" s="1"/>
      <c r="J154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2015-11-18T15:22:37Z</dcterms:created>
  <dcterms:modified xsi:type="dcterms:W3CDTF">2015-11-18T15:56:55Z</dcterms:modified>
</cp:coreProperties>
</file>