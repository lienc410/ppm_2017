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60" windowWidth="20100" windowHeight="10125" activeTab="4"/>
  </bookViews>
  <sheets>
    <sheet name="Diff" sheetId="3" r:id="rId1"/>
    <sheet name="SpecPool" sheetId="1" r:id="rId2"/>
    <sheet name="Symphony" sheetId="2" r:id="rId3"/>
    <sheet name="One Month" sheetId="4" r:id="rId4"/>
    <sheet name="Sheet5" sheetId="5" r:id="rId5"/>
  </sheets>
  <calcPr calcId="145621"/>
</workbook>
</file>

<file path=xl/calcChain.xml><?xml version="1.0" encoding="utf-8"?>
<calcChain xmlns="http://schemas.openxmlformats.org/spreadsheetml/2006/main">
  <c r="F65" i="5" l="1"/>
  <c r="E65" i="5"/>
  <c r="E3" i="5"/>
  <c r="E4" i="5"/>
  <c r="E5" i="5"/>
  <c r="E6" i="5"/>
  <c r="E7" i="5"/>
  <c r="E8" i="5"/>
  <c r="E9" i="5"/>
  <c r="E10" i="5"/>
  <c r="E11" i="5"/>
  <c r="E12" i="5"/>
  <c r="E13" i="5"/>
  <c r="E14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E32" i="5"/>
  <c r="E33" i="5"/>
  <c r="E34" i="5"/>
  <c r="E35" i="5"/>
  <c r="E36" i="5"/>
  <c r="E37" i="5"/>
  <c r="E38" i="5"/>
  <c r="E39" i="5"/>
  <c r="E40" i="5"/>
  <c r="E41" i="5"/>
  <c r="E42" i="5"/>
  <c r="E43" i="5"/>
  <c r="E44" i="5"/>
  <c r="E45" i="5"/>
  <c r="E46" i="5"/>
  <c r="E47" i="5"/>
  <c r="E48" i="5"/>
  <c r="E49" i="5"/>
  <c r="E50" i="5"/>
  <c r="E51" i="5"/>
  <c r="E52" i="5"/>
  <c r="E53" i="5"/>
  <c r="E54" i="5"/>
  <c r="E55" i="5"/>
  <c r="E56" i="5"/>
  <c r="E57" i="5"/>
  <c r="E58" i="5"/>
  <c r="E59" i="5"/>
  <c r="E60" i="5"/>
  <c r="E61" i="5"/>
  <c r="E62" i="5"/>
  <c r="E63" i="5"/>
  <c r="E64" i="5"/>
  <c r="E2" i="5"/>
  <c r="D3" i="5"/>
  <c r="D4" i="5"/>
  <c r="D5" i="5"/>
  <c r="D6" i="5"/>
  <c r="D7" i="5"/>
  <c r="D8" i="5"/>
  <c r="D9" i="5"/>
  <c r="D10" i="5"/>
  <c r="D11" i="5"/>
  <c r="D12" i="5"/>
  <c r="D13" i="5"/>
  <c r="D14" i="5"/>
  <c r="D15" i="5"/>
  <c r="D16" i="5"/>
  <c r="D17" i="5"/>
  <c r="D18" i="5"/>
  <c r="D19" i="5"/>
  <c r="D20" i="5"/>
  <c r="D21" i="5"/>
  <c r="D22" i="5"/>
  <c r="D23" i="5"/>
  <c r="D24" i="5"/>
  <c r="D25" i="5"/>
  <c r="D26" i="5"/>
  <c r="D27" i="5"/>
  <c r="D28" i="5"/>
  <c r="D29" i="5"/>
  <c r="D30" i="5"/>
  <c r="D31" i="5"/>
  <c r="D32" i="5"/>
  <c r="D33" i="5"/>
  <c r="D34" i="5"/>
  <c r="D35" i="5"/>
  <c r="D36" i="5"/>
  <c r="D37" i="5"/>
  <c r="D38" i="5"/>
  <c r="D39" i="5"/>
  <c r="D40" i="5"/>
  <c r="D41" i="5"/>
  <c r="D42" i="5"/>
  <c r="D43" i="5"/>
  <c r="D44" i="5"/>
  <c r="D45" i="5"/>
  <c r="D46" i="5"/>
  <c r="D47" i="5"/>
  <c r="D48" i="5"/>
  <c r="D49" i="5"/>
  <c r="D50" i="5"/>
  <c r="D51" i="5"/>
  <c r="D52" i="5"/>
  <c r="D53" i="5"/>
  <c r="D54" i="5"/>
  <c r="D55" i="5"/>
  <c r="D56" i="5"/>
  <c r="D57" i="5"/>
  <c r="D58" i="5"/>
  <c r="D59" i="5"/>
  <c r="D60" i="5"/>
  <c r="D61" i="5"/>
  <c r="D62" i="5"/>
  <c r="D63" i="5"/>
  <c r="D64" i="5"/>
  <c r="D2" i="5"/>
  <c r="AK64" i="3"/>
  <c r="AJ64" i="3"/>
  <c r="AI64" i="3"/>
  <c r="AH64" i="3"/>
  <c r="AG64" i="3"/>
  <c r="AF64" i="3"/>
  <c r="AD64" i="3"/>
  <c r="AC64" i="3"/>
  <c r="AB64" i="3"/>
  <c r="Z64" i="3"/>
  <c r="Y64" i="3"/>
  <c r="X64" i="3"/>
  <c r="W64" i="3"/>
  <c r="V64" i="3"/>
  <c r="U64" i="3"/>
  <c r="T64" i="3"/>
  <c r="S64" i="3"/>
  <c r="R64" i="3"/>
  <c r="Q64" i="3"/>
  <c r="P64" i="3"/>
  <c r="O64" i="3"/>
  <c r="N64" i="3"/>
  <c r="M64" i="3"/>
  <c r="L64" i="3"/>
  <c r="K64" i="3"/>
  <c r="I64" i="3"/>
  <c r="H64" i="3"/>
  <c r="F64" i="3"/>
  <c r="E64" i="3"/>
  <c r="D64" i="3"/>
  <c r="B64" i="3"/>
  <c r="AK63" i="3"/>
  <c r="AJ63" i="3"/>
  <c r="AI63" i="3"/>
  <c r="AH63" i="3"/>
  <c r="AG63" i="3"/>
  <c r="AF63" i="3"/>
  <c r="AD63" i="3"/>
  <c r="AC63" i="3"/>
  <c r="AB63" i="3"/>
  <c r="Z63" i="3"/>
  <c r="Y63" i="3"/>
  <c r="X63" i="3"/>
  <c r="W63" i="3"/>
  <c r="V63" i="3"/>
  <c r="U63" i="3"/>
  <c r="T63" i="3"/>
  <c r="S63" i="3"/>
  <c r="R63" i="3"/>
  <c r="Q63" i="3"/>
  <c r="P63" i="3"/>
  <c r="O63" i="3"/>
  <c r="N63" i="3"/>
  <c r="M63" i="3"/>
  <c r="L63" i="3"/>
  <c r="K63" i="3"/>
  <c r="I63" i="3"/>
  <c r="H63" i="3"/>
  <c r="F63" i="3"/>
  <c r="E63" i="3"/>
  <c r="D63" i="3"/>
  <c r="B63" i="3"/>
  <c r="AK62" i="3"/>
  <c r="AJ62" i="3"/>
  <c r="AI62" i="3"/>
  <c r="AH62" i="3"/>
  <c r="AG62" i="3"/>
  <c r="AF62" i="3"/>
  <c r="AD62" i="3"/>
  <c r="AC62" i="3"/>
  <c r="AB62" i="3"/>
  <c r="Z62" i="3"/>
  <c r="Y62" i="3"/>
  <c r="X62" i="3"/>
  <c r="W62" i="3"/>
  <c r="V62" i="3"/>
  <c r="U62" i="3"/>
  <c r="T62" i="3"/>
  <c r="S62" i="3"/>
  <c r="R62" i="3"/>
  <c r="Q62" i="3"/>
  <c r="P62" i="3"/>
  <c r="O62" i="3"/>
  <c r="N62" i="3"/>
  <c r="M62" i="3"/>
  <c r="L62" i="3"/>
  <c r="K62" i="3"/>
  <c r="I62" i="3"/>
  <c r="H62" i="3"/>
  <c r="F62" i="3"/>
  <c r="E62" i="3"/>
  <c r="D62" i="3"/>
  <c r="B62" i="3"/>
  <c r="AK61" i="3"/>
  <c r="AJ61" i="3"/>
  <c r="AI61" i="3"/>
  <c r="AH61" i="3"/>
  <c r="AG61" i="3"/>
  <c r="AF61" i="3"/>
  <c r="AD61" i="3"/>
  <c r="AC61" i="3"/>
  <c r="AB61" i="3"/>
  <c r="Z61" i="3"/>
  <c r="Y61" i="3"/>
  <c r="X61" i="3"/>
  <c r="W61" i="3"/>
  <c r="V61" i="3"/>
  <c r="U61" i="3"/>
  <c r="T61" i="3"/>
  <c r="S61" i="3"/>
  <c r="R61" i="3"/>
  <c r="Q61" i="3"/>
  <c r="P61" i="3"/>
  <c r="O61" i="3"/>
  <c r="N61" i="3"/>
  <c r="M61" i="3"/>
  <c r="L61" i="3"/>
  <c r="K61" i="3"/>
  <c r="I61" i="3"/>
  <c r="H61" i="3"/>
  <c r="F61" i="3"/>
  <c r="E61" i="3"/>
  <c r="D61" i="3"/>
  <c r="B61" i="3"/>
  <c r="AK60" i="3"/>
  <c r="AJ60" i="3"/>
  <c r="AI60" i="3"/>
  <c r="AH60" i="3"/>
  <c r="AG60" i="3"/>
  <c r="AF60" i="3"/>
  <c r="AD60" i="3"/>
  <c r="AC60" i="3"/>
  <c r="AB60" i="3"/>
  <c r="Z60" i="3"/>
  <c r="Y60" i="3"/>
  <c r="X60" i="3"/>
  <c r="W60" i="3"/>
  <c r="V60" i="3"/>
  <c r="U60" i="3"/>
  <c r="T60" i="3"/>
  <c r="S60" i="3"/>
  <c r="R60" i="3"/>
  <c r="Q60" i="3"/>
  <c r="P60" i="3"/>
  <c r="O60" i="3"/>
  <c r="N60" i="3"/>
  <c r="M60" i="3"/>
  <c r="L60" i="3"/>
  <c r="K60" i="3"/>
  <c r="I60" i="3"/>
  <c r="H60" i="3"/>
  <c r="F60" i="3"/>
  <c r="E60" i="3"/>
  <c r="D60" i="3"/>
  <c r="B60" i="3"/>
  <c r="AK59" i="3"/>
  <c r="AJ59" i="3"/>
  <c r="AI59" i="3"/>
  <c r="AH59" i="3"/>
  <c r="AG59" i="3"/>
  <c r="AF59" i="3"/>
  <c r="AD59" i="3"/>
  <c r="AC59" i="3"/>
  <c r="AB59" i="3"/>
  <c r="Z59" i="3"/>
  <c r="Y59" i="3"/>
  <c r="X59" i="3"/>
  <c r="W59" i="3"/>
  <c r="V59" i="3"/>
  <c r="U59" i="3"/>
  <c r="T59" i="3"/>
  <c r="S59" i="3"/>
  <c r="R59" i="3"/>
  <c r="Q59" i="3"/>
  <c r="P59" i="3"/>
  <c r="O59" i="3"/>
  <c r="N59" i="3"/>
  <c r="M59" i="3"/>
  <c r="L59" i="3"/>
  <c r="K59" i="3"/>
  <c r="I59" i="3"/>
  <c r="H59" i="3"/>
  <c r="F59" i="3"/>
  <c r="E59" i="3"/>
  <c r="D59" i="3"/>
  <c r="B59" i="3"/>
  <c r="AK58" i="3"/>
  <c r="AJ58" i="3"/>
  <c r="AI58" i="3"/>
  <c r="AH58" i="3"/>
  <c r="AG58" i="3"/>
  <c r="AF58" i="3"/>
  <c r="AD58" i="3"/>
  <c r="AC58" i="3"/>
  <c r="AB58" i="3"/>
  <c r="Z58" i="3"/>
  <c r="Y58" i="3"/>
  <c r="X58" i="3"/>
  <c r="W58" i="3"/>
  <c r="V58" i="3"/>
  <c r="U58" i="3"/>
  <c r="T58" i="3"/>
  <c r="S58" i="3"/>
  <c r="R58" i="3"/>
  <c r="Q58" i="3"/>
  <c r="P58" i="3"/>
  <c r="O58" i="3"/>
  <c r="N58" i="3"/>
  <c r="M58" i="3"/>
  <c r="L58" i="3"/>
  <c r="K58" i="3"/>
  <c r="I58" i="3"/>
  <c r="H58" i="3"/>
  <c r="F58" i="3"/>
  <c r="E58" i="3"/>
  <c r="D58" i="3"/>
  <c r="B58" i="3"/>
  <c r="AK57" i="3"/>
  <c r="AJ57" i="3"/>
  <c r="AI57" i="3"/>
  <c r="AH57" i="3"/>
  <c r="AG57" i="3"/>
  <c r="AF57" i="3"/>
  <c r="AD57" i="3"/>
  <c r="AC57" i="3"/>
  <c r="AB57" i="3"/>
  <c r="Z57" i="3"/>
  <c r="Y57" i="3"/>
  <c r="X57" i="3"/>
  <c r="W57" i="3"/>
  <c r="V57" i="3"/>
  <c r="U57" i="3"/>
  <c r="T57" i="3"/>
  <c r="S57" i="3"/>
  <c r="R57" i="3"/>
  <c r="Q57" i="3"/>
  <c r="P57" i="3"/>
  <c r="O57" i="3"/>
  <c r="N57" i="3"/>
  <c r="M57" i="3"/>
  <c r="L57" i="3"/>
  <c r="K57" i="3"/>
  <c r="I57" i="3"/>
  <c r="H57" i="3"/>
  <c r="F57" i="3"/>
  <c r="E57" i="3"/>
  <c r="D57" i="3"/>
  <c r="B57" i="3"/>
  <c r="AK56" i="3"/>
  <c r="AJ56" i="3"/>
  <c r="AI56" i="3"/>
  <c r="AH56" i="3"/>
  <c r="AG56" i="3"/>
  <c r="AF56" i="3"/>
  <c r="AD56" i="3"/>
  <c r="AC56" i="3"/>
  <c r="AB56" i="3"/>
  <c r="Z56" i="3"/>
  <c r="Y56" i="3"/>
  <c r="X56" i="3"/>
  <c r="W56" i="3"/>
  <c r="V56" i="3"/>
  <c r="U56" i="3"/>
  <c r="T56" i="3"/>
  <c r="S56" i="3"/>
  <c r="R56" i="3"/>
  <c r="Q56" i="3"/>
  <c r="P56" i="3"/>
  <c r="O56" i="3"/>
  <c r="N56" i="3"/>
  <c r="M56" i="3"/>
  <c r="L56" i="3"/>
  <c r="K56" i="3"/>
  <c r="I56" i="3"/>
  <c r="H56" i="3"/>
  <c r="F56" i="3"/>
  <c r="E56" i="3"/>
  <c r="D56" i="3"/>
  <c r="B56" i="3"/>
  <c r="AK55" i="3"/>
  <c r="AJ55" i="3"/>
  <c r="AI55" i="3"/>
  <c r="AH55" i="3"/>
  <c r="AG55" i="3"/>
  <c r="AF55" i="3"/>
  <c r="AD55" i="3"/>
  <c r="AC55" i="3"/>
  <c r="AB55" i="3"/>
  <c r="Z55" i="3"/>
  <c r="Y55" i="3"/>
  <c r="X55" i="3"/>
  <c r="W55" i="3"/>
  <c r="V55" i="3"/>
  <c r="U55" i="3"/>
  <c r="T55" i="3"/>
  <c r="S55" i="3"/>
  <c r="R55" i="3"/>
  <c r="Q55" i="3"/>
  <c r="P55" i="3"/>
  <c r="O55" i="3"/>
  <c r="N55" i="3"/>
  <c r="M55" i="3"/>
  <c r="L55" i="3"/>
  <c r="K55" i="3"/>
  <c r="I55" i="3"/>
  <c r="H55" i="3"/>
  <c r="F55" i="3"/>
  <c r="E55" i="3"/>
  <c r="D55" i="3"/>
  <c r="B55" i="3"/>
  <c r="AK54" i="3"/>
  <c r="AJ54" i="3"/>
  <c r="AI54" i="3"/>
  <c r="AH54" i="3"/>
  <c r="AG54" i="3"/>
  <c r="AF54" i="3"/>
  <c r="AD54" i="3"/>
  <c r="AC54" i="3"/>
  <c r="AB54" i="3"/>
  <c r="Z54" i="3"/>
  <c r="Y54" i="3"/>
  <c r="X54" i="3"/>
  <c r="W54" i="3"/>
  <c r="V54" i="3"/>
  <c r="U54" i="3"/>
  <c r="T54" i="3"/>
  <c r="S54" i="3"/>
  <c r="R54" i="3"/>
  <c r="Q54" i="3"/>
  <c r="P54" i="3"/>
  <c r="O54" i="3"/>
  <c r="N54" i="3"/>
  <c r="M54" i="3"/>
  <c r="L54" i="3"/>
  <c r="K54" i="3"/>
  <c r="I54" i="3"/>
  <c r="H54" i="3"/>
  <c r="F54" i="3"/>
  <c r="E54" i="3"/>
  <c r="D54" i="3"/>
  <c r="B54" i="3"/>
  <c r="AK53" i="3"/>
  <c r="AJ53" i="3"/>
  <c r="AI53" i="3"/>
  <c r="AH53" i="3"/>
  <c r="AG53" i="3"/>
  <c r="AF53" i="3"/>
  <c r="AD53" i="3"/>
  <c r="AC53" i="3"/>
  <c r="AB53" i="3"/>
  <c r="Z53" i="3"/>
  <c r="Y53" i="3"/>
  <c r="X53" i="3"/>
  <c r="W53" i="3"/>
  <c r="V53" i="3"/>
  <c r="U53" i="3"/>
  <c r="T53" i="3"/>
  <c r="S53" i="3"/>
  <c r="R53" i="3"/>
  <c r="Q53" i="3"/>
  <c r="P53" i="3"/>
  <c r="O53" i="3"/>
  <c r="N53" i="3"/>
  <c r="M53" i="3"/>
  <c r="L53" i="3"/>
  <c r="K53" i="3"/>
  <c r="I53" i="3"/>
  <c r="H53" i="3"/>
  <c r="F53" i="3"/>
  <c r="E53" i="3"/>
  <c r="D53" i="3"/>
  <c r="B53" i="3"/>
  <c r="AK52" i="3"/>
  <c r="AJ52" i="3"/>
  <c r="AI52" i="3"/>
  <c r="AH52" i="3"/>
  <c r="AG52" i="3"/>
  <c r="AF52" i="3"/>
  <c r="AD52" i="3"/>
  <c r="AC52" i="3"/>
  <c r="AB52" i="3"/>
  <c r="Z52" i="3"/>
  <c r="Y52" i="3"/>
  <c r="X52" i="3"/>
  <c r="W52" i="3"/>
  <c r="V52" i="3"/>
  <c r="U52" i="3"/>
  <c r="T52" i="3"/>
  <c r="S52" i="3"/>
  <c r="R52" i="3"/>
  <c r="Q52" i="3"/>
  <c r="P52" i="3"/>
  <c r="O52" i="3"/>
  <c r="N52" i="3"/>
  <c r="M52" i="3"/>
  <c r="L52" i="3"/>
  <c r="K52" i="3"/>
  <c r="I52" i="3"/>
  <c r="H52" i="3"/>
  <c r="F52" i="3"/>
  <c r="E52" i="3"/>
  <c r="D52" i="3"/>
  <c r="B52" i="3"/>
  <c r="AK51" i="3"/>
  <c r="AJ51" i="3"/>
  <c r="AI51" i="3"/>
  <c r="AH51" i="3"/>
  <c r="AG51" i="3"/>
  <c r="AF51" i="3"/>
  <c r="AD51" i="3"/>
  <c r="AC51" i="3"/>
  <c r="AB51" i="3"/>
  <c r="Z51" i="3"/>
  <c r="Y51" i="3"/>
  <c r="X51" i="3"/>
  <c r="W51" i="3"/>
  <c r="V51" i="3"/>
  <c r="U51" i="3"/>
  <c r="T51" i="3"/>
  <c r="S51" i="3"/>
  <c r="R51" i="3"/>
  <c r="Q51" i="3"/>
  <c r="P51" i="3"/>
  <c r="O51" i="3"/>
  <c r="N51" i="3"/>
  <c r="M51" i="3"/>
  <c r="L51" i="3"/>
  <c r="K51" i="3"/>
  <c r="I51" i="3"/>
  <c r="H51" i="3"/>
  <c r="F51" i="3"/>
  <c r="E51" i="3"/>
  <c r="D51" i="3"/>
  <c r="B51" i="3"/>
  <c r="AK50" i="3"/>
  <c r="AJ50" i="3"/>
  <c r="AI50" i="3"/>
  <c r="AH50" i="3"/>
  <c r="AG50" i="3"/>
  <c r="AF50" i="3"/>
  <c r="AD50" i="3"/>
  <c r="AC50" i="3"/>
  <c r="AB50" i="3"/>
  <c r="Z50" i="3"/>
  <c r="Y50" i="3"/>
  <c r="X50" i="3"/>
  <c r="W50" i="3"/>
  <c r="V50" i="3"/>
  <c r="U50" i="3"/>
  <c r="T50" i="3"/>
  <c r="S50" i="3"/>
  <c r="R50" i="3"/>
  <c r="Q50" i="3"/>
  <c r="P50" i="3"/>
  <c r="O50" i="3"/>
  <c r="N50" i="3"/>
  <c r="M50" i="3"/>
  <c r="L50" i="3"/>
  <c r="K50" i="3"/>
  <c r="I50" i="3"/>
  <c r="H50" i="3"/>
  <c r="F50" i="3"/>
  <c r="E50" i="3"/>
  <c r="D50" i="3"/>
  <c r="B50" i="3"/>
  <c r="AK49" i="3"/>
  <c r="AJ49" i="3"/>
  <c r="AI49" i="3"/>
  <c r="AH49" i="3"/>
  <c r="AG49" i="3"/>
  <c r="AF49" i="3"/>
  <c r="AD49" i="3"/>
  <c r="AC49" i="3"/>
  <c r="AB49" i="3"/>
  <c r="Z49" i="3"/>
  <c r="Y49" i="3"/>
  <c r="X49" i="3"/>
  <c r="W49" i="3"/>
  <c r="V49" i="3"/>
  <c r="U49" i="3"/>
  <c r="T49" i="3"/>
  <c r="S49" i="3"/>
  <c r="R49" i="3"/>
  <c r="Q49" i="3"/>
  <c r="P49" i="3"/>
  <c r="O49" i="3"/>
  <c r="N49" i="3"/>
  <c r="M49" i="3"/>
  <c r="L49" i="3"/>
  <c r="K49" i="3"/>
  <c r="I49" i="3"/>
  <c r="H49" i="3"/>
  <c r="F49" i="3"/>
  <c r="E49" i="3"/>
  <c r="D49" i="3"/>
  <c r="B49" i="3"/>
  <c r="AK48" i="3"/>
  <c r="AJ48" i="3"/>
  <c r="AI48" i="3"/>
  <c r="AH48" i="3"/>
  <c r="AG48" i="3"/>
  <c r="AF48" i="3"/>
  <c r="AD48" i="3"/>
  <c r="AC48" i="3"/>
  <c r="AB48" i="3"/>
  <c r="Z48" i="3"/>
  <c r="Y48" i="3"/>
  <c r="X48" i="3"/>
  <c r="W48" i="3"/>
  <c r="V48" i="3"/>
  <c r="U48" i="3"/>
  <c r="T48" i="3"/>
  <c r="S48" i="3"/>
  <c r="R48" i="3"/>
  <c r="Q48" i="3"/>
  <c r="P48" i="3"/>
  <c r="O48" i="3"/>
  <c r="N48" i="3"/>
  <c r="M48" i="3"/>
  <c r="L48" i="3"/>
  <c r="K48" i="3"/>
  <c r="I48" i="3"/>
  <c r="H48" i="3"/>
  <c r="F48" i="3"/>
  <c r="E48" i="3"/>
  <c r="D48" i="3"/>
  <c r="B48" i="3"/>
  <c r="AK47" i="3"/>
  <c r="AJ47" i="3"/>
  <c r="AI47" i="3"/>
  <c r="AH47" i="3"/>
  <c r="AG47" i="3"/>
  <c r="AF47" i="3"/>
  <c r="AD47" i="3"/>
  <c r="AC47" i="3"/>
  <c r="AB47" i="3"/>
  <c r="Z47" i="3"/>
  <c r="Y47" i="3"/>
  <c r="X47" i="3"/>
  <c r="W47" i="3"/>
  <c r="V47" i="3"/>
  <c r="U47" i="3"/>
  <c r="T47" i="3"/>
  <c r="S47" i="3"/>
  <c r="R47" i="3"/>
  <c r="Q47" i="3"/>
  <c r="P47" i="3"/>
  <c r="O47" i="3"/>
  <c r="N47" i="3"/>
  <c r="M47" i="3"/>
  <c r="L47" i="3"/>
  <c r="K47" i="3"/>
  <c r="I47" i="3"/>
  <c r="H47" i="3"/>
  <c r="F47" i="3"/>
  <c r="E47" i="3"/>
  <c r="D47" i="3"/>
  <c r="B47" i="3"/>
  <c r="AK46" i="3"/>
  <c r="AJ46" i="3"/>
  <c r="AI46" i="3"/>
  <c r="AH46" i="3"/>
  <c r="AG46" i="3"/>
  <c r="AF46" i="3"/>
  <c r="AD46" i="3"/>
  <c r="AC46" i="3"/>
  <c r="AB46" i="3"/>
  <c r="Z46" i="3"/>
  <c r="Y46" i="3"/>
  <c r="X46" i="3"/>
  <c r="W46" i="3"/>
  <c r="V46" i="3"/>
  <c r="U46" i="3"/>
  <c r="T46" i="3"/>
  <c r="S46" i="3"/>
  <c r="R46" i="3"/>
  <c r="Q46" i="3"/>
  <c r="P46" i="3"/>
  <c r="O46" i="3"/>
  <c r="N46" i="3"/>
  <c r="M46" i="3"/>
  <c r="L46" i="3"/>
  <c r="K46" i="3"/>
  <c r="I46" i="3"/>
  <c r="H46" i="3"/>
  <c r="F46" i="3"/>
  <c r="E46" i="3"/>
  <c r="D46" i="3"/>
  <c r="B46" i="3"/>
  <c r="AK45" i="3"/>
  <c r="AJ45" i="3"/>
  <c r="AI45" i="3"/>
  <c r="AH45" i="3"/>
  <c r="AG45" i="3"/>
  <c r="AF45" i="3"/>
  <c r="AD45" i="3"/>
  <c r="AC45" i="3"/>
  <c r="AB45" i="3"/>
  <c r="Z45" i="3"/>
  <c r="Y45" i="3"/>
  <c r="X45" i="3"/>
  <c r="W45" i="3"/>
  <c r="V45" i="3"/>
  <c r="U45" i="3"/>
  <c r="T45" i="3"/>
  <c r="S45" i="3"/>
  <c r="R45" i="3"/>
  <c r="Q45" i="3"/>
  <c r="P45" i="3"/>
  <c r="O45" i="3"/>
  <c r="N45" i="3"/>
  <c r="M45" i="3"/>
  <c r="L45" i="3"/>
  <c r="K45" i="3"/>
  <c r="I45" i="3"/>
  <c r="H45" i="3"/>
  <c r="F45" i="3"/>
  <c r="E45" i="3"/>
  <c r="D45" i="3"/>
  <c r="B45" i="3"/>
  <c r="AK44" i="3"/>
  <c r="AJ44" i="3"/>
  <c r="AI44" i="3"/>
  <c r="AH44" i="3"/>
  <c r="AG44" i="3"/>
  <c r="AF44" i="3"/>
  <c r="AD44" i="3"/>
  <c r="AC44" i="3"/>
  <c r="AB44" i="3"/>
  <c r="Z44" i="3"/>
  <c r="Y44" i="3"/>
  <c r="X44" i="3"/>
  <c r="W44" i="3"/>
  <c r="V44" i="3"/>
  <c r="U44" i="3"/>
  <c r="T44" i="3"/>
  <c r="S44" i="3"/>
  <c r="R44" i="3"/>
  <c r="Q44" i="3"/>
  <c r="P44" i="3"/>
  <c r="O44" i="3"/>
  <c r="N44" i="3"/>
  <c r="M44" i="3"/>
  <c r="L44" i="3"/>
  <c r="K44" i="3"/>
  <c r="I44" i="3"/>
  <c r="H44" i="3"/>
  <c r="F44" i="3"/>
  <c r="E44" i="3"/>
  <c r="D44" i="3"/>
  <c r="B44" i="3"/>
  <c r="AK43" i="3"/>
  <c r="AJ43" i="3"/>
  <c r="AI43" i="3"/>
  <c r="AH43" i="3"/>
  <c r="AG43" i="3"/>
  <c r="AF43" i="3"/>
  <c r="AD43" i="3"/>
  <c r="AC43" i="3"/>
  <c r="AB43" i="3"/>
  <c r="Z43" i="3"/>
  <c r="Y43" i="3"/>
  <c r="X43" i="3"/>
  <c r="W43" i="3"/>
  <c r="V43" i="3"/>
  <c r="U43" i="3"/>
  <c r="T43" i="3"/>
  <c r="S43" i="3"/>
  <c r="R43" i="3"/>
  <c r="Q43" i="3"/>
  <c r="P43" i="3"/>
  <c r="O43" i="3"/>
  <c r="N43" i="3"/>
  <c r="M43" i="3"/>
  <c r="L43" i="3"/>
  <c r="K43" i="3"/>
  <c r="I43" i="3"/>
  <c r="H43" i="3"/>
  <c r="F43" i="3"/>
  <c r="E43" i="3"/>
  <c r="D43" i="3"/>
  <c r="B43" i="3"/>
  <c r="AK42" i="3"/>
  <c r="AJ42" i="3"/>
  <c r="AI42" i="3"/>
  <c r="AH42" i="3"/>
  <c r="AG42" i="3"/>
  <c r="AF42" i="3"/>
  <c r="AD42" i="3"/>
  <c r="AC42" i="3"/>
  <c r="AB42" i="3"/>
  <c r="Z42" i="3"/>
  <c r="Y42" i="3"/>
  <c r="X42" i="3"/>
  <c r="W42" i="3"/>
  <c r="V42" i="3"/>
  <c r="U42" i="3"/>
  <c r="T42" i="3"/>
  <c r="S42" i="3"/>
  <c r="R42" i="3"/>
  <c r="Q42" i="3"/>
  <c r="P42" i="3"/>
  <c r="O42" i="3"/>
  <c r="N42" i="3"/>
  <c r="M42" i="3"/>
  <c r="L42" i="3"/>
  <c r="K42" i="3"/>
  <c r="I42" i="3"/>
  <c r="H42" i="3"/>
  <c r="F42" i="3"/>
  <c r="E42" i="3"/>
  <c r="D42" i="3"/>
  <c r="B42" i="3"/>
  <c r="AK41" i="3"/>
  <c r="AJ41" i="3"/>
  <c r="AI41" i="3"/>
  <c r="AH41" i="3"/>
  <c r="AG41" i="3"/>
  <c r="AF41" i="3"/>
  <c r="AD41" i="3"/>
  <c r="AC41" i="3"/>
  <c r="AB41" i="3"/>
  <c r="Z41" i="3"/>
  <c r="Y41" i="3"/>
  <c r="X41" i="3"/>
  <c r="W41" i="3"/>
  <c r="V41" i="3"/>
  <c r="U41" i="3"/>
  <c r="T41" i="3"/>
  <c r="S41" i="3"/>
  <c r="R41" i="3"/>
  <c r="Q41" i="3"/>
  <c r="P41" i="3"/>
  <c r="O41" i="3"/>
  <c r="N41" i="3"/>
  <c r="M41" i="3"/>
  <c r="L41" i="3"/>
  <c r="K41" i="3"/>
  <c r="I41" i="3"/>
  <c r="H41" i="3"/>
  <c r="F41" i="3"/>
  <c r="E41" i="3"/>
  <c r="D41" i="3"/>
  <c r="B41" i="3"/>
  <c r="AK40" i="3"/>
  <c r="AJ40" i="3"/>
  <c r="AI40" i="3"/>
  <c r="AH40" i="3"/>
  <c r="AG40" i="3"/>
  <c r="AF40" i="3"/>
  <c r="AD40" i="3"/>
  <c r="AC40" i="3"/>
  <c r="AB40" i="3"/>
  <c r="Z40" i="3"/>
  <c r="Y40" i="3"/>
  <c r="X40" i="3"/>
  <c r="W40" i="3"/>
  <c r="V40" i="3"/>
  <c r="U40" i="3"/>
  <c r="T40" i="3"/>
  <c r="S40" i="3"/>
  <c r="R40" i="3"/>
  <c r="Q40" i="3"/>
  <c r="P40" i="3"/>
  <c r="O40" i="3"/>
  <c r="N40" i="3"/>
  <c r="M40" i="3"/>
  <c r="L40" i="3"/>
  <c r="K40" i="3"/>
  <c r="I40" i="3"/>
  <c r="H40" i="3"/>
  <c r="F40" i="3"/>
  <c r="E40" i="3"/>
  <c r="D40" i="3"/>
  <c r="B40" i="3"/>
  <c r="AK39" i="3"/>
  <c r="AJ39" i="3"/>
  <c r="AI39" i="3"/>
  <c r="AH39" i="3"/>
  <c r="AG39" i="3"/>
  <c r="AF39" i="3"/>
  <c r="AD39" i="3"/>
  <c r="AC39" i="3"/>
  <c r="AB39" i="3"/>
  <c r="Z39" i="3"/>
  <c r="Y39" i="3"/>
  <c r="X39" i="3"/>
  <c r="W39" i="3"/>
  <c r="V39" i="3"/>
  <c r="U39" i="3"/>
  <c r="T39" i="3"/>
  <c r="S39" i="3"/>
  <c r="R39" i="3"/>
  <c r="Q39" i="3"/>
  <c r="P39" i="3"/>
  <c r="O39" i="3"/>
  <c r="N39" i="3"/>
  <c r="M39" i="3"/>
  <c r="L39" i="3"/>
  <c r="K39" i="3"/>
  <c r="I39" i="3"/>
  <c r="H39" i="3"/>
  <c r="F39" i="3"/>
  <c r="E39" i="3"/>
  <c r="D39" i="3"/>
  <c r="B39" i="3"/>
  <c r="AK38" i="3"/>
  <c r="AJ38" i="3"/>
  <c r="AI38" i="3"/>
  <c r="AH38" i="3"/>
  <c r="AG38" i="3"/>
  <c r="AF38" i="3"/>
  <c r="AD38" i="3"/>
  <c r="AC38" i="3"/>
  <c r="AB38" i="3"/>
  <c r="Z38" i="3"/>
  <c r="Y38" i="3"/>
  <c r="X38" i="3"/>
  <c r="W38" i="3"/>
  <c r="V38" i="3"/>
  <c r="U38" i="3"/>
  <c r="T38" i="3"/>
  <c r="S38" i="3"/>
  <c r="R38" i="3"/>
  <c r="Q38" i="3"/>
  <c r="P38" i="3"/>
  <c r="O38" i="3"/>
  <c r="N38" i="3"/>
  <c r="M38" i="3"/>
  <c r="L38" i="3"/>
  <c r="K38" i="3"/>
  <c r="I38" i="3"/>
  <c r="H38" i="3"/>
  <c r="F38" i="3"/>
  <c r="E38" i="3"/>
  <c r="D38" i="3"/>
  <c r="B38" i="3"/>
  <c r="AK37" i="3"/>
  <c r="AJ37" i="3"/>
  <c r="AI37" i="3"/>
  <c r="AH37" i="3"/>
  <c r="AG37" i="3"/>
  <c r="AF37" i="3"/>
  <c r="AD37" i="3"/>
  <c r="AC37" i="3"/>
  <c r="AB37" i="3"/>
  <c r="Z37" i="3"/>
  <c r="Y37" i="3"/>
  <c r="X37" i="3"/>
  <c r="W37" i="3"/>
  <c r="V37" i="3"/>
  <c r="U37" i="3"/>
  <c r="T37" i="3"/>
  <c r="S37" i="3"/>
  <c r="R37" i="3"/>
  <c r="Q37" i="3"/>
  <c r="P37" i="3"/>
  <c r="O37" i="3"/>
  <c r="N37" i="3"/>
  <c r="M37" i="3"/>
  <c r="L37" i="3"/>
  <c r="K37" i="3"/>
  <c r="I37" i="3"/>
  <c r="H37" i="3"/>
  <c r="F37" i="3"/>
  <c r="E37" i="3"/>
  <c r="D37" i="3"/>
  <c r="B37" i="3"/>
  <c r="AK36" i="3"/>
  <c r="AJ36" i="3"/>
  <c r="AI36" i="3"/>
  <c r="AH36" i="3"/>
  <c r="AG36" i="3"/>
  <c r="AF36" i="3"/>
  <c r="AD36" i="3"/>
  <c r="AC36" i="3"/>
  <c r="AB36" i="3"/>
  <c r="Z36" i="3"/>
  <c r="Y36" i="3"/>
  <c r="X36" i="3"/>
  <c r="W36" i="3"/>
  <c r="V36" i="3"/>
  <c r="U36" i="3"/>
  <c r="T36" i="3"/>
  <c r="S36" i="3"/>
  <c r="R36" i="3"/>
  <c r="Q36" i="3"/>
  <c r="P36" i="3"/>
  <c r="O36" i="3"/>
  <c r="N36" i="3"/>
  <c r="M36" i="3"/>
  <c r="L36" i="3"/>
  <c r="K36" i="3"/>
  <c r="I36" i="3"/>
  <c r="H36" i="3"/>
  <c r="F36" i="3"/>
  <c r="E36" i="3"/>
  <c r="D36" i="3"/>
  <c r="B36" i="3"/>
  <c r="AK35" i="3"/>
  <c r="AJ35" i="3"/>
  <c r="AI35" i="3"/>
  <c r="AH35" i="3"/>
  <c r="AG35" i="3"/>
  <c r="AF35" i="3"/>
  <c r="AD35" i="3"/>
  <c r="AC35" i="3"/>
  <c r="AB35" i="3"/>
  <c r="Z35" i="3"/>
  <c r="Y35" i="3"/>
  <c r="X35" i="3"/>
  <c r="W35" i="3"/>
  <c r="V35" i="3"/>
  <c r="U35" i="3"/>
  <c r="T35" i="3"/>
  <c r="S35" i="3"/>
  <c r="R35" i="3"/>
  <c r="Q35" i="3"/>
  <c r="P35" i="3"/>
  <c r="O35" i="3"/>
  <c r="N35" i="3"/>
  <c r="M35" i="3"/>
  <c r="L35" i="3"/>
  <c r="K35" i="3"/>
  <c r="I35" i="3"/>
  <c r="H35" i="3"/>
  <c r="F35" i="3"/>
  <c r="E35" i="3"/>
  <c r="D35" i="3"/>
  <c r="B35" i="3"/>
  <c r="AK34" i="3"/>
  <c r="AJ34" i="3"/>
  <c r="AI34" i="3"/>
  <c r="AH34" i="3"/>
  <c r="AG34" i="3"/>
  <c r="AF34" i="3"/>
  <c r="AD34" i="3"/>
  <c r="AC34" i="3"/>
  <c r="AB34" i="3"/>
  <c r="Z34" i="3"/>
  <c r="Y34" i="3"/>
  <c r="X34" i="3"/>
  <c r="W34" i="3"/>
  <c r="V34" i="3"/>
  <c r="U34" i="3"/>
  <c r="T34" i="3"/>
  <c r="S34" i="3"/>
  <c r="R34" i="3"/>
  <c r="Q34" i="3"/>
  <c r="P34" i="3"/>
  <c r="O34" i="3"/>
  <c r="N34" i="3"/>
  <c r="M34" i="3"/>
  <c r="L34" i="3"/>
  <c r="K34" i="3"/>
  <c r="I34" i="3"/>
  <c r="H34" i="3"/>
  <c r="F34" i="3"/>
  <c r="E34" i="3"/>
  <c r="D34" i="3"/>
  <c r="B34" i="3"/>
  <c r="AK33" i="3"/>
  <c r="AJ33" i="3"/>
  <c r="AI33" i="3"/>
  <c r="AH33" i="3"/>
  <c r="AG33" i="3"/>
  <c r="AF33" i="3"/>
  <c r="AD33" i="3"/>
  <c r="AC33" i="3"/>
  <c r="AB33" i="3"/>
  <c r="Z33" i="3"/>
  <c r="Y33" i="3"/>
  <c r="X33" i="3"/>
  <c r="W33" i="3"/>
  <c r="V33" i="3"/>
  <c r="U33" i="3"/>
  <c r="T33" i="3"/>
  <c r="S33" i="3"/>
  <c r="R33" i="3"/>
  <c r="Q33" i="3"/>
  <c r="P33" i="3"/>
  <c r="O33" i="3"/>
  <c r="N33" i="3"/>
  <c r="M33" i="3"/>
  <c r="L33" i="3"/>
  <c r="K33" i="3"/>
  <c r="I33" i="3"/>
  <c r="H33" i="3"/>
  <c r="F33" i="3"/>
  <c r="E33" i="3"/>
  <c r="D33" i="3"/>
  <c r="B33" i="3"/>
  <c r="AK32" i="3"/>
  <c r="AJ32" i="3"/>
  <c r="AI32" i="3"/>
  <c r="AH32" i="3"/>
  <c r="AG32" i="3"/>
  <c r="AF32" i="3"/>
  <c r="AD32" i="3"/>
  <c r="AC32" i="3"/>
  <c r="AB32" i="3"/>
  <c r="Z32" i="3"/>
  <c r="Y32" i="3"/>
  <c r="X32" i="3"/>
  <c r="W32" i="3"/>
  <c r="V32" i="3"/>
  <c r="U32" i="3"/>
  <c r="T32" i="3"/>
  <c r="S32" i="3"/>
  <c r="R32" i="3"/>
  <c r="Q32" i="3"/>
  <c r="P32" i="3"/>
  <c r="O32" i="3"/>
  <c r="N32" i="3"/>
  <c r="M32" i="3"/>
  <c r="L32" i="3"/>
  <c r="K32" i="3"/>
  <c r="I32" i="3"/>
  <c r="H32" i="3"/>
  <c r="F32" i="3"/>
  <c r="E32" i="3"/>
  <c r="D32" i="3"/>
  <c r="B32" i="3"/>
  <c r="AK31" i="3"/>
  <c r="AJ31" i="3"/>
  <c r="AI31" i="3"/>
  <c r="AH31" i="3"/>
  <c r="AG31" i="3"/>
  <c r="AF31" i="3"/>
  <c r="AD31" i="3"/>
  <c r="AC31" i="3"/>
  <c r="AB31" i="3"/>
  <c r="Z31" i="3"/>
  <c r="Y31" i="3"/>
  <c r="X31" i="3"/>
  <c r="W31" i="3"/>
  <c r="V31" i="3"/>
  <c r="U31" i="3"/>
  <c r="T31" i="3"/>
  <c r="S31" i="3"/>
  <c r="R31" i="3"/>
  <c r="Q31" i="3"/>
  <c r="P31" i="3"/>
  <c r="O31" i="3"/>
  <c r="N31" i="3"/>
  <c r="M31" i="3"/>
  <c r="L31" i="3"/>
  <c r="K31" i="3"/>
  <c r="I31" i="3"/>
  <c r="H31" i="3"/>
  <c r="F31" i="3"/>
  <c r="E31" i="3"/>
  <c r="D31" i="3"/>
  <c r="B31" i="3"/>
  <c r="AK30" i="3"/>
  <c r="AJ30" i="3"/>
  <c r="AI30" i="3"/>
  <c r="AH30" i="3"/>
  <c r="AG30" i="3"/>
  <c r="AF30" i="3"/>
  <c r="AD30" i="3"/>
  <c r="AC30" i="3"/>
  <c r="AB30" i="3"/>
  <c r="Z30" i="3"/>
  <c r="Y30" i="3"/>
  <c r="X30" i="3"/>
  <c r="W30" i="3"/>
  <c r="V30" i="3"/>
  <c r="U30" i="3"/>
  <c r="T30" i="3"/>
  <c r="S30" i="3"/>
  <c r="R30" i="3"/>
  <c r="Q30" i="3"/>
  <c r="P30" i="3"/>
  <c r="O30" i="3"/>
  <c r="N30" i="3"/>
  <c r="M30" i="3"/>
  <c r="L30" i="3"/>
  <c r="K30" i="3"/>
  <c r="I30" i="3"/>
  <c r="H30" i="3"/>
  <c r="F30" i="3"/>
  <c r="E30" i="3"/>
  <c r="D30" i="3"/>
  <c r="B30" i="3"/>
  <c r="AK29" i="3"/>
  <c r="AJ29" i="3"/>
  <c r="AI29" i="3"/>
  <c r="AH29" i="3"/>
  <c r="AG29" i="3"/>
  <c r="AF29" i="3"/>
  <c r="AD29" i="3"/>
  <c r="AC29" i="3"/>
  <c r="AB29" i="3"/>
  <c r="Z29" i="3"/>
  <c r="Y29" i="3"/>
  <c r="X29" i="3"/>
  <c r="W29" i="3"/>
  <c r="V29" i="3"/>
  <c r="U29" i="3"/>
  <c r="T29" i="3"/>
  <c r="S29" i="3"/>
  <c r="R29" i="3"/>
  <c r="Q29" i="3"/>
  <c r="P29" i="3"/>
  <c r="O29" i="3"/>
  <c r="N29" i="3"/>
  <c r="M29" i="3"/>
  <c r="L29" i="3"/>
  <c r="K29" i="3"/>
  <c r="I29" i="3"/>
  <c r="H29" i="3"/>
  <c r="F29" i="3"/>
  <c r="E29" i="3"/>
  <c r="D29" i="3"/>
  <c r="B29" i="3"/>
  <c r="AK28" i="3"/>
  <c r="AJ28" i="3"/>
  <c r="AI28" i="3"/>
  <c r="AH28" i="3"/>
  <c r="AG28" i="3"/>
  <c r="AF28" i="3"/>
  <c r="AD28" i="3"/>
  <c r="AC28" i="3"/>
  <c r="AB28" i="3"/>
  <c r="Z28" i="3"/>
  <c r="Y28" i="3"/>
  <c r="X28" i="3"/>
  <c r="W28" i="3"/>
  <c r="V28" i="3"/>
  <c r="U28" i="3"/>
  <c r="T28" i="3"/>
  <c r="S28" i="3"/>
  <c r="R28" i="3"/>
  <c r="Q28" i="3"/>
  <c r="P28" i="3"/>
  <c r="O28" i="3"/>
  <c r="N28" i="3"/>
  <c r="M28" i="3"/>
  <c r="L28" i="3"/>
  <c r="K28" i="3"/>
  <c r="I28" i="3"/>
  <c r="H28" i="3"/>
  <c r="F28" i="3"/>
  <c r="E28" i="3"/>
  <c r="D28" i="3"/>
  <c r="B28" i="3"/>
  <c r="AK27" i="3"/>
  <c r="AJ27" i="3"/>
  <c r="AI27" i="3"/>
  <c r="AH27" i="3"/>
  <c r="AG27" i="3"/>
  <c r="AF27" i="3"/>
  <c r="AD27" i="3"/>
  <c r="AC27" i="3"/>
  <c r="AB27" i="3"/>
  <c r="Z27" i="3"/>
  <c r="Y27" i="3"/>
  <c r="X27" i="3"/>
  <c r="W27" i="3"/>
  <c r="V27" i="3"/>
  <c r="U27" i="3"/>
  <c r="T27" i="3"/>
  <c r="S27" i="3"/>
  <c r="R27" i="3"/>
  <c r="Q27" i="3"/>
  <c r="P27" i="3"/>
  <c r="O27" i="3"/>
  <c r="N27" i="3"/>
  <c r="M27" i="3"/>
  <c r="L27" i="3"/>
  <c r="K27" i="3"/>
  <c r="I27" i="3"/>
  <c r="H27" i="3"/>
  <c r="F27" i="3"/>
  <c r="E27" i="3"/>
  <c r="D27" i="3"/>
  <c r="B27" i="3"/>
  <c r="AK26" i="3"/>
  <c r="AJ26" i="3"/>
  <c r="AI26" i="3"/>
  <c r="AH26" i="3"/>
  <c r="AG26" i="3"/>
  <c r="AF26" i="3"/>
  <c r="AD26" i="3"/>
  <c r="AC26" i="3"/>
  <c r="AB26" i="3"/>
  <c r="Z26" i="3"/>
  <c r="Y26" i="3"/>
  <c r="X26" i="3"/>
  <c r="W26" i="3"/>
  <c r="V26" i="3"/>
  <c r="U26" i="3"/>
  <c r="T26" i="3"/>
  <c r="S26" i="3"/>
  <c r="R26" i="3"/>
  <c r="Q26" i="3"/>
  <c r="P26" i="3"/>
  <c r="O26" i="3"/>
  <c r="N26" i="3"/>
  <c r="M26" i="3"/>
  <c r="L26" i="3"/>
  <c r="K26" i="3"/>
  <c r="I26" i="3"/>
  <c r="H26" i="3"/>
  <c r="F26" i="3"/>
  <c r="E26" i="3"/>
  <c r="D26" i="3"/>
  <c r="B26" i="3"/>
  <c r="AK25" i="3"/>
  <c r="AJ25" i="3"/>
  <c r="AI25" i="3"/>
  <c r="AH25" i="3"/>
  <c r="AG25" i="3"/>
  <c r="AF25" i="3"/>
  <c r="AD25" i="3"/>
  <c r="AC25" i="3"/>
  <c r="AB25" i="3"/>
  <c r="Z25" i="3"/>
  <c r="Y25" i="3"/>
  <c r="X25" i="3"/>
  <c r="W25" i="3"/>
  <c r="V25" i="3"/>
  <c r="U25" i="3"/>
  <c r="T25" i="3"/>
  <c r="S25" i="3"/>
  <c r="R25" i="3"/>
  <c r="Q25" i="3"/>
  <c r="P25" i="3"/>
  <c r="O25" i="3"/>
  <c r="N25" i="3"/>
  <c r="M25" i="3"/>
  <c r="L25" i="3"/>
  <c r="K25" i="3"/>
  <c r="I25" i="3"/>
  <c r="H25" i="3"/>
  <c r="F25" i="3"/>
  <c r="E25" i="3"/>
  <c r="D25" i="3"/>
  <c r="B25" i="3"/>
  <c r="AK24" i="3"/>
  <c r="AJ24" i="3"/>
  <c r="AI24" i="3"/>
  <c r="AH24" i="3"/>
  <c r="AG24" i="3"/>
  <c r="AF24" i="3"/>
  <c r="AD24" i="3"/>
  <c r="AC24" i="3"/>
  <c r="AB24" i="3"/>
  <c r="Z24" i="3"/>
  <c r="Y24" i="3"/>
  <c r="X24" i="3"/>
  <c r="W24" i="3"/>
  <c r="V24" i="3"/>
  <c r="U24" i="3"/>
  <c r="T24" i="3"/>
  <c r="S24" i="3"/>
  <c r="R24" i="3"/>
  <c r="Q24" i="3"/>
  <c r="P24" i="3"/>
  <c r="O24" i="3"/>
  <c r="N24" i="3"/>
  <c r="M24" i="3"/>
  <c r="L24" i="3"/>
  <c r="K24" i="3"/>
  <c r="I24" i="3"/>
  <c r="H24" i="3"/>
  <c r="F24" i="3"/>
  <c r="E24" i="3"/>
  <c r="D24" i="3"/>
  <c r="B24" i="3"/>
  <c r="AK23" i="3"/>
  <c r="AJ23" i="3"/>
  <c r="AI23" i="3"/>
  <c r="AH23" i="3"/>
  <c r="AG23" i="3"/>
  <c r="AF23" i="3"/>
  <c r="AD23" i="3"/>
  <c r="AC23" i="3"/>
  <c r="AB23" i="3"/>
  <c r="Z23" i="3"/>
  <c r="Y23" i="3"/>
  <c r="X23" i="3"/>
  <c r="W23" i="3"/>
  <c r="V23" i="3"/>
  <c r="U23" i="3"/>
  <c r="T23" i="3"/>
  <c r="S23" i="3"/>
  <c r="R23" i="3"/>
  <c r="Q23" i="3"/>
  <c r="P23" i="3"/>
  <c r="O23" i="3"/>
  <c r="N23" i="3"/>
  <c r="M23" i="3"/>
  <c r="L23" i="3"/>
  <c r="K23" i="3"/>
  <c r="I23" i="3"/>
  <c r="H23" i="3"/>
  <c r="F23" i="3"/>
  <c r="E23" i="3"/>
  <c r="D23" i="3"/>
  <c r="B23" i="3"/>
  <c r="AK22" i="3"/>
  <c r="AJ22" i="3"/>
  <c r="AI22" i="3"/>
  <c r="AH22" i="3"/>
  <c r="AG22" i="3"/>
  <c r="AF22" i="3"/>
  <c r="AD22" i="3"/>
  <c r="AC22" i="3"/>
  <c r="AB22" i="3"/>
  <c r="Z22" i="3"/>
  <c r="Y22" i="3"/>
  <c r="X22" i="3"/>
  <c r="W22" i="3"/>
  <c r="V22" i="3"/>
  <c r="U22" i="3"/>
  <c r="T22" i="3"/>
  <c r="S22" i="3"/>
  <c r="R22" i="3"/>
  <c r="Q22" i="3"/>
  <c r="P22" i="3"/>
  <c r="O22" i="3"/>
  <c r="N22" i="3"/>
  <c r="M22" i="3"/>
  <c r="L22" i="3"/>
  <c r="K22" i="3"/>
  <c r="I22" i="3"/>
  <c r="H22" i="3"/>
  <c r="F22" i="3"/>
  <c r="E22" i="3"/>
  <c r="D22" i="3"/>
  <c r="B22" i="3"/>
  <c r="AK21" i="3"/>
  <c r="AJ21" i="3"/>
  <c r="AI21" i="3"/>
  <c r="AH21" i="3"/>
  <c r="AG21" i="3"/>
  <c r="AF21" i="3"/>
  <c r="AD21" i="3"/>
  <c r="AC21" i="3"/>
  <c r="AB21" i="3"/>
  <c r="Z21" i="3"/>
  <c r="Y21" i="3"/>
  <c r="X21" i="3"/>
  <c r="W21" i="3"/>
  <c r="V21" i="3"/>
  <c r="U21" i="3"/>
  <c r="T21" i="3"/>
  <c r="S21" i="3"/>
  <c r="R21" i="3"/>
  <c r="Q21" i="3"/>
  <c r="P21" i="3"/>
  <c r="O21" i="3"/>
  <c r="N21" i="3"/>
  <c r="M21" i="3"/>
  <c r="L21" i="3"/>
  <c r="K21" i="3"/>
  <c r="I21" i="3"/>
  <c r="H21" i="3"/>
  <c r="F21" i="3"/>
  <c r="E21" i="3"/>
  <c r="D21" i="3"/>
  <c r="B21" i="3"/>
  <c r="AK20" i="3"/>
  <c r="AJ20" i="3"/>
  <c r="AI20" i="3"/>
  <c r="AH20" i="3"/>
  <c r="AG20" i="3"/>
  <c r="AF20" i="3"/>
  <c r="AD20" i="3"/>
  <c r="AC20" i="3"/>
  <c r="AB20" i="3"/>
  <c r="Z20" i="3"/>
  <c r="Y20" i="3"/>
  <c r="X20" i="3"/>
  <c r="W20" i="3"/>
  <c r="V20" i="3"/>
  <c r="U20" i="3"/>
  <c r="T20" i="3"/>
  <c r="S20" i="3"/>
  <c r="R20" i="3"/>
  <c r="Q20" i="3"/>
  <c r="P20" i="3"/>
  <c r="O20" i="3"/>
  <c r="N20" i="3"/>
  <c r="M20" i="3"/>
  <c r="L20" i="3"/>
  <c r="K20" i="3"/>
  <c r="I20" i="3"/>
  <c r="H20" i="3"/>
  <c r="F20" i="3"/>
  <c r="E20" i="3"/>
  <c r="D20" i="3"/>
  <c r="B20" i="3"/>
  <c r="AK19" i="3"/>
  <c r="AJ19" i="3"/>
  <c r="AI19" i="3"/>
  <c r="AH19" i="3"/>
  <c r="AG19" i="3"/>
  <c r="AF19" i="3"/>
  <c r="AD19" i="3"/>
  <c r="AC19" i="3"/>
  <c r="AB19" i="3"/>
  <c r="Z19" i="3"/>
  <c r="Y19" i="3"/>
  <c r="X19" i="3"/>
  <c r="W19" i="3"/>
  <c r="V19" i="3"/>
  <c r="U19" i="3"/>
  <c r="T19" i="3"/>
  <c r="S19" i="3"/>
  <c r="R19" i="3"/>
  <c r="Q19" i="3"/>
  <c r="P19" i="3"/>
  <c r="O19" i="3"/>
  <c r="N19" i="3"/>
  <c r="M19" i="3"/>
  <c r="L19" i="3"/>
  <c r="K19" i="3"/>
  <c r="I19" i="3"/>
  <c r="H19" i="3"/>
  <c r="F19" i="3"/>
  <c r="E19" i="3"/>
  <c r="D19" i="3"/>
  <c r="B19" i="3"/>
  <c r="AK18" i="3"/>
  <c r="AJ18" i="3"/>
  <c r="AI18" i="3"/>
  <c r="AH18" i="3"/>
  <c r="AG18" i="3"/>
  <c r="AF18" i="3"/>
  <c r="AD18" i="3"/>
  <c r="AC18" i="3"/>
  <c r="AB18" i="3"/>
  <c r="Z18" i="3"/>
  <c r="Y18" i="3"/>
  <c r="X18" i="3"/>
  <c r="W18" i="3"/>
  <c r="V18" i="3"/>
  <c r="U18" i="3"/>
  <c r="T18" i="3"/>
  <c r="S18" i="3"/>
  <c r="R18" i="3"/>
  <c r="Q18" i="3"/>
  <c r="P18" i="3"/>
  <c r="O18" i="3"/>
  <c r="N18" i="3"/>
  <c r="M18" i="3"/>
  <c r="L18" i="3"/>
  <c r="K18" i="3"/>
  <c r="I18" i="3"/>
  <c r="H18" i="3"/>
  <c r="F18" i="3"/>
  <c r="E18" i="3"/>
  <c r="D18" i="3"/>
  <c r="B18" i="3"/>
  <c r="AK17" i="3"/>
  <c r="AJ17" i="3"/>
  <c r="AI17" i="3"/>
  <c r="AH17" i="3"/>
  <c r="AG17" i="3"/>
  <c r="AF17" i="3"/>
  <c r="AD17" i="3"/>
  <c r="AC17" i="3"/>
  <c r="AB17" i="3"/>
  <c r="Z17" i="3"/>
  <c r="Y17" i="3"/>
  <c r="X17" i="3"/>
  <c r="W17" i="3"/>
  <c r="V17" i="3"/>
  <c r="U17" i="3"/>
  <c r="T17" i="3"/>
  <c r="S17" i="3"/>
  <c r="R17" i="3"/>
  <c r="Q17" i="3"/>
  <c r="P17" i="3"/>
  <c r="O17" i="3"/>
  <c r="N17" i="3"/>
  <c r="M17" i="3"/>
  <c r="L17" i="3"/>
  <c r="K17" i="3"/>
  <c r="I17" i="3"/>
  <c r="H17" i="3"/>
  <c r="F17" i="3"/>
  <c r="E17" i="3"/>
  <c r="D17" i="3"/>
  <c r="B17" i="3"/>
  <c r="AK16" i="3"/>
  <c r="AJ16" i="3"/>
  <c r="AI16" i="3"/>
  <c r="AH16" i="3"/>
  <c r="AG16" i="3"/>
  <c r="AF16" i="3"/>
  <c r="AD16" i="3"/>
  <c r="AC16" i="3"/>
  <c r="AB16" i="3"/>
  <c r="Z16" i="3"/>
  <c r="Y16" i="3"/>
  <c r="X16" i="3"/>
  <c r="W16" i="3"/>
  <c r="V16" i="3"/>
  <c r="U16" i="3"/>
  <c r="T16" i="3"/>
  <c r="S16" i="3"/>
  <c r="R16" i="3"/>
  <c r="Q16" i="3"/>
  <c r="P16" i="3"/>
  <c r="O16" i="3"/>
  <c r="N16" i="3"/>
  <c r="M16" i="3"/>
  <c r="L16" i="3"/>
  <c r="K16" i="3"/>
  <c r="I16" i="3"/>
  <c r="H16" i="3"/>
  <c r="F16" i="3"/>
  <c r="E16" i="3"/>
  <c r="D16" i="3"/>
  <c r="B16" i="3"/>
  <c r="AK15" i="3"/>
  <c r="AJ15" i="3"/>
  <c r="AI15" i="3"/>
  <c r="AH15" i="3"/>
  <c r="AG15" i="3"/>
  <c r="AF15" i="3"/>
  <c r="AD15" i="3"/>
  <c r="AC15" i="3"/>
  <c r="AB15" i="3"/>
  <c r="Z15" i="3"/>
  <c r="Y15" i="3"/>
  <c r="X15" i="3"/>
  <c r="W15" i="3"/>
  <c r="V15" i="3"/>
  <c r="U15" i="3"/>
  <c r="T15" i="3"/>
  <c r="S15" i="3"/>
  <c r="R15" i="3"/>
  <c r="Q15" i="3"/>
  <c r="P15" i="3"/>
  <c r="O15" i="3"/>
  <c r="N15" i="3"/>
  <c r="M15" i="3"/>
  <c r="L15" i="3"/>
  <c r="K15" i="3"/>
  <c r="I15" i="3"/>
  <c r="H15" i="3"/>
  <c r="F15" i="3"/>
  <c r="E15" i="3"/>
  <c r="D15" i="3"/>
  <c r="B15" i="3"/>
  <c r="AK14" i="3"/>
  <c r="AJ14" i="3"/>
  <c r="AI14" i="3"/>
  <c r="AH14" i="3"/>
  <c r="AG14" i="3"/>
  <c r="AF14" i="3"/>
  <c r="AD14" i="3"/>
  <c r="AC14" i="3"/>
  <c r="AB14" i="3"/>
  <c r="Z14" i="3"/>
  <c r="Y14" i="3"/>
  <c r="X14" i="3"/>
  <c r="W14" i="3"/>
  <c r="V14" i="3"/>
  <c r="U14" i="3"/>
  <c r="T14" i="3"/>
  <c r="S14" i="3"/>
  <c r="R14" i="3"/>
  <c r="Q14" i="3"/>
  <c r="P14" i="3"/>
  <c r="O14" i="3"/>
  <c r="N14" i="3"/>
  <c r="M14" i="3"/>
  <c r="L14" i="3"/>
  <c r="K14" i="3"/>
  <c r="I14" i="3"/>
  <c r="H14" i="3"/>
  <c r="F14" i="3"/>
  <c r="E14" i="3"/>
  <c r="D14" i="3"/>
  <c r="B14" i="3"/>
  <c r="AK13" i="3"/>
  <c r="AJ13" i="3"/>
  <c r="AI13" i="3"/>
  <c r="AH13" i="3"/>
  <c r="AG13" i="3"/>
  <c r="AF13" i="3"/>
  <c r="AD13" i="3"/>
  <c r="AC13" i="3"/>
  <c r="AB13" i="3"/>
  <c r="Z13" i="3"/>
  <c r="Y13" i="3"/>
  <c r="X13" i="3"/>
  <c r="W13" i="3"/>
  <c r="V13" i="3"/>
  <c r="U13" i="3"/>
  <c r="T13" i="3"/>
  <c r="S13" i="3"/>
  <c r="R13" i="3"/>
  <c r="Q13" i="3"/>
  <c r="P13" i="3"/>
  <c r="O13" i="3"/>
  <c r="N13" i="3"/>
  <c r="M13" i="3"/>
  <c r="L13" i="3"/>
  <c r="K13" i="3"/>
  <c r="I13" i="3"/>
  <c r="H13" i="3"/>
  <c r="F13" i="3"/>
  <c r="E13" i="3"/>
  <c r="D13" i="3"/>
  <c r="B13" i="3"/>
  <c r="AK12" i="3"/>
  <c r="AJ12" i="3"/>
  <c r="AI12" i="3"/>
  <c r="AH12" i="3"/>
  <c r="AG12" i="3"/>
  <c r="AF12" i="3"/>
  <c r="AD12" i="3"/>
  <c r="AC12" i="3"/>
  <c r="AB12" i="3"/>
  <c r="Z12" i="3"/>
  <c r="Y12" i="3"/>
  <c r="X12" i="3"/>
  <c r="W12" i="3"/>
  <c r="V12" i="3"/>
  <c r="U12" i="3"/>
  <c r="T12" i="3"/>
  <c r="S12" i="3"/>
  <c r="R12" i="3"/>
  <c r="Q12" i="3"/>
  <c r="P12" i="3"/>
  <c r="O12" i="3"/>
  <c r="N12" i="3"/>
  <c r="M12" i="3"/>
  <c r="L12" i="3"/>
  <c r="K12" i="3"/>
  <c r="I12" i="3"/>
  <c r="H12" i="3"/>
  <c r="F12" i="3"/>
  <c r="E12" i="3"/>
  <c r="D12" i="3"/>
  <c r="B12" i="3"/>
  <c r="AK11" i="3"/>
  <c r="AJ11" i="3"/>
  <c r="AI11" i="3"/>
  <c r="AH11" i="3"/>
  <c r="AG11" i="3"/>
  <c r="AF11" i="3"/>
  <c r="AD11" i="3"/>
  <c r="AC11" i="3"/>
  <c r="AB11" i="3"/>
  <c r="Z11" i="3"/>
  <c r="Y11" i="3"/>
  <c r="X11" i="3"/>
  <c r="W11" i="3"/>
  <c r="V11" i="3"/>
  <c r="U11" i="3"/>
  <c r="T11" i="3"/>
  <c r="S11" i="3"/>
  <c r="R11" i="3"/>
  <c r="Q11" i="3"/>
  <c r="P11" i="3"/>
  <c r="O11" i="3"/>
  <c r="N11" i="3"/>
  <c r="M11" i="3"/>
  <c r="L11" i="3"/>
  <c r="K11" i="3"/>
  <c r="I11" i="3"/>
  <c r="H11" i="3"/>
  <c r="F11" i="3"/>
  <c r="E11" i="3"/>
  <c r="D11" i="3"/>
  <c r="B11" i="3"/>
  <c r="AK10" i="3"/>
  <c r="AJ10" i="3"/>
  <c r="AI10" i="3"/>
  <c r="AH10" i="3"/>
  <c r="AG10" i="3"/>
  <c r="AF10" i="3"/>
  <c r="AD10" i="3"/>
  <c r="AC10" i="3"/>
  <c r="AB10" i="3"/>
  <c r="Z10" i="3"/>
  <c r="Y10" i="3"/>
  <c r="X10" i="3"/>
  <c r="W10" i="3"/>
  <c r="V10" i="3"/>
  <c r="U10" i="3"/>
  <c r="T10" i="3"/>
  <c r="S10" i="3"/>
  <c r="R10" i="3"/>
  <c r="Q10" i="3"/>
  <c r="P10" i="3"/>
  <c r="O10" i="3"/>
  <c r="N10" i="3"/>
  <c r="M10" i="3"/>
  <c r="L10" i="3"/>
  <c r="K10" i="3"/>
  <c r="I10" i="3"/>
  <c r="H10" i="3"/>
  <c r="F10" i="3"/>
  <c r="E10" i="3"/>
  <c r="D10" i="3"/>
  <c r="B10" i="3"/>
  <c r="AK9" i="3"/>
  <c r="AJ9" i="3"/>
  <c r="AI9" i="3"/>
  <c r="AH9" i="3"/>
  <c r="AG9" i="3"/>
  <c r="AF9" i="3"/>
  <c r="AD9" i="3"/>
  <c r="AC9" i="3"/>
  <c r="AB9" i="3"/>
  <c r="Z9" i="3"/>
  <c r="Y9" i="3"/>
  <c r="X9" i="3"/>
  <c r="W9" i="3"/>
  <c r="V9" i="3"/>
  <c r="U9" i="3"/>
  <c r="T9" i="3"/>
  <c r="S9" i="3"/>
  <c r="R9" i="3"/>
  <c r="Q9" i="3"/>
  <c r="P9" i="3"/>
  <c r="O9" i="3"/>
  <c r="N9" i="3"/>
  <c r="M9" i="3"/>
  <c r="L9" i="3"/>
  <c r="K9" i="3"/>
  <c r="I9" i="3"/>
  <c r="H9" i="3"/>
  <c r="F9" i="3"/>
  <c r="E9" i="3"/>
  <c r="D9" i="3"/>
  <c r="B9" i="3"/>
  <c r="AK8" i="3"/>
  <c r="AJ8" i="3"/>
  <c r="AI8" i="3"/>
  <c r="AH8" i="3"/>
  <c r="AG8" i="3"/>
  <c r="AF8" i="3"/>
  <c r="AD8" i="3"/>
  <c r="AC8" i="3"/>
  <c r="AB8" i="3"/>
  <c r="Z8" i="3"/>
  <c r="Y8" i="3"/>
  <c r="X8" i="3"/>
  <c r="W8" i="3"/>
  <c r="V8" i="3"/>
  <c r="U8" i="3"/>
  <c r="T8" i="3"/>
  <c r="S8" i="3"/>
  <c r="R8" i="3"/>
  <c r="Q8" i="3"/>
  <c r="P8" i="3"/>
  <c r="O8" i="3"/>
  <c r="N8" i="3"/>
  <c r="M8" i="3"/>
  <c r="L8" i="3"/>
  <c r="K8" i="3"/>
  <c r="I8" i="3"/>
  <c r="H8" i="3"/>
  <c r="F8" i="3"/>
  <c r="E8" i="3"/>
  <c r="D8" i="3"/>
  <c r="B8" i="3"/>
  <c r="AK7" i="3"/>
  <c r="AJ7" i="3"/>
  <c r="AI7" i="3"/>
  <c r="AH7" i="3"/>
  <c r="AG7" i="3"/>
  <c r="AF7" i="3"/>
  <c r="AD7" i="3"/>
  <c r="AC7" i="3"/>
  <c r="AB7" i="3"/>
  <c r="Z7" i="3"/>
  <c r="Y7" i="3"/>
  <c r="X7" i="3"/>
  <c r="W7" i="3"/>
  <c r="V7" i="3"/>
  <c r="U7" i="3"/>
  <c r="T7" i="3"/>
  <c r="S7" i="3"/>
  <c r="R7" i="3"/>
  <c r="Q7" i="3"/>
  <c r="P7" i="3"/>
  <c r="O7" i="3"/>
  <c r="N7" i="3"/>
  <c r="M7" i="3"/>
  <c r="L7" i="3"/>
  <c r="K7" i="3"/>
  <c r="I7" i="3"/>
  <c r="H7" i="3"/>
  <c r="F7" i="3"/>
  <c r="E7" i="3"/>
  <c r="D7" i="3"/>
  <c r="B7" i="3"/>
  <c r="AK6" i="3"/>
  <c r="AJ6" i="3"/>
  <c r="AI6" i="3"/>
  <c r="AH6" i="3"/>
  <c r="AG6" i="3"/>
  <c r="AF6" i="3"/>
  <c r="AD6" i="3"/>
  <c r="AC6" i="3"/>
  <c r="AB6" i="3"/>
  <c r="Z6" i="3"/>
  <c r="Y6" i="3"/>
  <c r="X6" i="3"/>
  <c r="W6" i="3"/>
  <c r="V6" i="3"/>
  <c r="U6" i="3"/>
  <c r="T6" i="3"/>
  <c r="S6" i="3"/>
  <c r="R6" i="3"/>
  <c r="Q6" i="3"/>
  <c r="P6" i="3"/>
  <c r="O6" i="3"/>
  <c r="N6" i="3"/>
  <c r="M6" i="3"/>
  <c r="L6" i="3"/>
  <c r="K6" i="3"/>
  <c r="I6" i="3"/>
  <c r="H6" i="3"/>
  <c r="F6" i="3"/>
  <c r="E6" i="3"/>
  <c r="D6" i="3"/>
  <c r="B6" i="3"/>
  <c r="AK5" i="3"/>
  <c r="AJ5" i="3"/>
  <c r="AI5" i="3"/>
  <c r="AH5" i="3"/>
  <c r="AG5" i="3"/>
  <c r="AF5" i="3"/>
  <c r="AD5" i="3"/>
  <c r="AC5" i="3"/>
  <c r="AB5" i="3"/>
  <c r="Z5" i="3"/>
  <c r="Y5" i="3"/>
  <c r="X5" i="3"/>
  <c r="W5" i="3"/>
  <c r="V5" i="3"/>
  <c r="U5" i="3"/>
  <c r="T5" i="3"/>
  <c r="S5" i="3"/>
  <c r="R5" i="3"/>
  <c r="Q5" i="3"/>
  <c r="P5" i="3"/>
  <c r="O5" i="3"/>
  <c r="N5" i="3"/>
  <c r="M5" i="3"/>
  <c r="L5" i="3"/>
  <c r="K5" i="3"/>
  <c r="I5" i="3"/>
  <c r="H5" i="3"/>
  <c r="F5" i="3"/>
  <c r="E5" i="3"/>
  <c r="D5" i="3"/>
  <c r="B5" i="3"/>
  <c r="AK4" i="3"/>
  <c r="AJ4" i="3"/>
  <c r="AI4" i="3"/>
  <c r="AH4" i="3"/>
  <c r="AG4" i="3"/>
  <c r="AF4" i="3"/>
  <c r="AD4" i="3"/>
  <c r="AC4" i="3"/>
  <c r="AB4" i="3"/>
  <c r="Z4" i="3"/>
  <c r="Y4" i="3"/>
  <c r="X4" i="3"/>
  <c r="W4" i="3"/>
  <c r="V4" i="3"/>
  <c r="U4" i="3"/>
  <c r="T4" i="3"/>
  <c r="S4" i="3"/>
  <c r="R4" i="3"/>
  <c r="Q4" i="3"/>
  <c r="P4" i="3"/>
  <c r="O4" i="3"/>
  <c r="N4" i="3"/>
  <c r="M4" i="3"/>
  <c r="L4" i="3"/>
  <c r="K4" i="3"/>
  <c r="I4" i="3"/>
  <c r="H4" i="3"/>
  <c r="F4" i="3"/>
  <c r="E4" i="3"/>
  <c r="D4" i="3"/>
  <c r="B4" i="3"/>
  <c r="AK3" i="3"/>
  <c r="AJ3" i="3"/>
  <c r="AI3" i="3"/>
  <c r="AH3" i="3"/>
  <c r="AG3" i="3"/>
  <c r="AF3" i="3"/>
  <c r="AD3" i="3"/>
  <c r="AC3" i="3"/>
  <c r="AB3" i="3"/>
  <c r="Z3" i="3"/>
  <c r="Y3" i="3"/>
  <c r="X3" i="3"/>
  <c r="W3" i="3"/>
  <c r="V3" i="3"/>
  <c r="U3" i="3"/>
  <c r="T3" i="3"/>
  <c r="S3" i="3"/>
  <c r="R3" i="3"/>
  <c r="Q3" i="3"/>
  <c r="P3" i="3"/>
  <c r="O3" i="3"/>
  <c r="N3" i="3"/>
  <c r="M3" i="3"/>
  <c r="L3" i="3"/>
  <c r="K3" i="3"/>
  <c r="I3" i="3"/>
  <c r="H3" i="3"/>
  <c r="F3" i="3"/>
  <c r="E3" i="3"/>
  <c r="D3" i="3"/>
  <c r="B3" i="3"/>
  <c r="AK2" i="3"/>
  <c r="AJ2" i="3"/>
  <c r="AI2" i="3"/>
  <c r="AH2" i="3"/>
  <c r="AG2" i="3"/>
  <c r="AF2" i="3"/>
  <c r="AD2" i="3"/>
  <c r="AC2" i="3"/>
  <c r="AB2" i="3"/>
  <c r="Z2" i="3"/>
  <c r="Y2" i="3"/>
  <c r="X2" i="3"/>
  <c r="W2" i="3"/>
  <c r="V2" i="3"/>
  <c r="U2" i="3"/>
  <c r="T2" i="3"/>
  <c r="S2" i="3"/>
  <c r="R2" i="3"/>
  <c r="Q2" i="3"/>
  <c r="P2" i="3"/>
  <c r="O2" i="3"/>
  <c r="N2" i="3"/>
  <c r="M2" i="3"/>
  <c r="L2" i="3"/>
  <c r="K2" i="3"/>
  <c r="I2" i="3"/>
  <c r="H2" i="3"/>
  <c r="F2" i="3"/>
  <c r="E2" i="3"/>
  <c r="D2" i="3"/>
  <c r="B2" i="3"/>
  <c r="A3" i="3"/>
  <c r="A4" i="3"/>
  <c r="A5" i="3"/>
  <c r="A6" i="3"/>
  <c r="A7" i="3"/>
  <c r="A8" i="3"/>
  <c r="A9" i="3"/>
  <c r="A10" i="3"/>
  <c r="A11" i="3"/>
  <c r="A12" i="3"/>
  <c r="A13" i="3"/>
  <c r="A14" i="3"/>
  <c r="A15" i="3"/>
  <c r="A16" i="3"/>
  <c r="A17" i="3"/>
  <c r="A18" i="3"/>
  <c r="A19" i="3"/>
  <c r="A20" i="3"/>
  <c r="A21" i="3"/>
  <c r="A22" i="3"/>
  <c r="A23" i="3"/>
  <c r="A24" i="3"/>
  <c r="A25" i="3"/>
  <c r="A26" i="3"/>
  <c r="A27" i="3"/>
  <c r="A28" i="3"/>
  <c r="A29" i="3"/>
  <c r="A30" i="3"/>
  <c r="A31" i="3"/>
  <c r="A32" i="3"/>
  <c r="A33" i="3"/>
  <c r="A34" i="3"/>
  <c r="A35" i="3"/>
  <c r="A36" i="3"/>
  <c r="A37" i="3"/>
  <c r="A38" i="3"/>
  <c r="A39" i="3"/>
  <c r="A40" i="3"/>
  <c r="A41" i="3"/>
  <c r="A42" i="3"/>
  <c r="A43" i="3"/>
  <c r="A44" i="3"/>
  <c r="A45" i="3"/>
  <c r="A46" i="3"/>
  <c r="A47" i="3"/>
  <c r="A48" i="3"/>
  <c r="A49" i="3"/>
  <c r="A50" i="3"/>
  <c r="A51" i="3"/>
  <c r="A52" i="3"/>
  <c r="A53" i="3"/>
  <c r="A54" i="3"/>
  <c r="A55" i="3"/>
  <c r="A56" i="3"/>
  <c r="A57" i="3"/>
  <c r="A58" i="3"/>
  <c r="A59" i="3"/>
  <c r="A60" i="3"/>
  <c r="A61" i="3"/>
  <c r="A62" i="3"/>
  <c r="A63" i="3"/>
  <c r="A64" i="3"/>
  <c r="A2" i="3"/>
  <c r="B6" i="4"/>
  <c r="C6" i="4"/>
  <c r="D6" i="4"/>
  <c r="E6" i="4"/>
  <c r="F6" i="4"/>
  <c r="G6" i="4"/>
  <c r="H6" i="4"/>
  <c r="I6" i="4"/>
  <c r="J6" i="4"/>
  <c r="K6" i="4"/>
  <c r="L6" i="4"/>
  <c r="M6" i="4"/>
  <c r="N6" i="4"/>
  <c r="O6" i="4"/>
  <c r="P6" i="4"/>
  <c r="Q6" i="4"/>
  <c r="R6" i="4"/>
  <c r="S6" i="4"/>
  <c r="T6" i="4"/>
  <c r="U6" i="4"/>
  <c r="V6" i="4"/>
  <c r="W6" i="4"/>
  <c r="X6" i="4"/>
  <c r="Y6" i="4"/>
  <c r="Z6" i="4"/>
  <c r="AA6" i="4"/>
  <c r="AB6" i="4"/>
  <c r="AC6" i="4"/>
  <c r="AD6" i="4"/>
  <c r="AE6" i="4"/>
  <c r="AF6" i="4"/>
  <c r="AG6" i="4"/>
  <c r="AH6" i="4"/>
  <c r="AI6" i="4"/>
  <c r="AJ6" i="4"/>
  <c r="AK6" i="4"/>
  <c r="A6" i="4"/>
</calcChain>
</file>

<file path=xl/sharedStrings.xml><?xml version="1.0" encoding="utf-8"?>
<sst xmlns="http://schemas.openxmlformats.org/spreadsheetml/2006/main" count="888" uniqueCount="46">
  <si>
    <t>HARP_eligible</t>
  </si>
  <si>
    <t>dimensionCombination</t>
  </si>
  <si>
    <t>factorDate</t>
  </si>
  <si>
    <t>modifyDate</t>
  </si>
  <si>
    <t>sliceId</t>
  </si>
  <si>
    <t>wacls</t>
  </si>
  <si>
    <t>ols</t>
  </si>
  <si>
    <t>burnout</t>
  </si>
  <si>
    <t>cpr</t>
  </si>
  <si>
    <t>bal</t>
  </si>
  <si>
    <t>currLLPA</t>
  </si>
  <si>
    <t>currMIP</t>
  </si>
  <si>
    <t>currPMI</t>
  </si>
  <si>
    <t>pct_dq</t>
  </si>
  <si>
    <t>pct_fha</t>
  </si>
  <si>
    <t>pct_HARPed</t>
  </si>
  <si>
    <t>pct_inv</t>
  </si>
  <si>
    <t>issueDate</t>
  </si>
  <si>
    <t>origMIP</t>
  </si>
  <si>
    <t>origPMI</t>
  </si>
  <si>
    <t>pct_owner</t>
  </si>
  <si>
    <t>poolListName</t>
  </si>
  <si>
    <t>refi_elig_pct</t>
  </si>
  <si>
    <t>incentive</t>
  </si>
  <si>
    <t>pct_REFI</t>
  </si>
  <si>
    <t>replineMode</t>
  </si>
  <si>
    <t>origbal</t>
  </si>
  <si>
    <t>pct_2nd</t>
  </si>
  <si>
    <t>pct_tpo</t>
  </si>
  <si>
    <t>cltv</t>
  </si>
  <si>
    <t>odti</t>
  </si>
  <si>
    <t>fico</t>
  </si>
  <si>
    <t>oltv</t>
  </si>
  <si>
    <t>sato</t>
  </si>
  <si>
    <t>wac</t>
  </si>
  <si>
    <t>wala</t>
  </si>
  <si>
    <t>wam</t>
  </si>
  <si>
    <t>ALGORITHM:TICKER</t>
  </si>
  <si>
    <t>TICKER:FGLMC</t>
  </si>
  <si>
    <t>NA</t>
  </si>
  <si>
    <t>FHL30.400.12(GEN)</t>
  </si>
  <si>
    <t>PL</t>
  </si>
  <si>
    <t>poolListName_</t>
  </si>
  <si>
    <t>Factor</t>
  </si>
  <si>
    <t>CPR</t>
  </si>
  <si>
    <t>Model CPR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</si>
</sst>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5" formatCode="0.0"/>
  </numFmts>
  <fonts count="3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11" fontId="0" fillId="0" borderId="0" xfId="0" applyNumberFormat="1"/>
    <xf numFmtId="0" fontId="1" fillId="0" borderId="0" xfId="0" applyFont="1"/>
    <xf numFmtId="2" fontId="0" fillId="0" borderId="0" xfId="0" applyNumberFormat="1"/>
    <xf numFmtId="165" fontId="0" fillId="0" borderId="0" xfId="0" applyNumberFormat="1"/>
    <xf numFmtId="2" fontId="1" fillId="0" borderId="0" xfId="0" applyNumberFormat="1" applyFont="1"/>
    <xf numFmtId="11" fontId="2" fillId="0" borderId="0" xfId="0" applyNumberFormat="1" applyFont="1"/>
    <xf numFmtId="2" fontId="2" fillId="0" borderId="0" xfId="0" applyNumberFormat="1" applyFont="1"/>
  </cellXfs>
  <cellStyles count="1">
    <cellStyle name="Normal" xfId="0" builtinId="0"/>
  </cellStyles>
  <dxfs count="8"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17</xdr:col>
      <xdr:colOff>342900</xdr:colOff>
      <xdr:row>51</xdr:row>
      <xdr:rowOff>161925</xdr:rowOff>
    </xdr:from>
    <xdr:to>
      <xdr:col>24</xdr:col>
      <xdr:colOff>533400</xdr:colOff>
      <xdr:row>54</xdr:row>
      <xdr:rowOff>152400</xdr:rowOff>
    </xdr:to>
    <xdr:sp macro="" textlink="">
      <xdr:nvSpPr>
        <xdr:cNvPr id="2" name="TextBox 1"/>
        <xdr:cNvSpPr txBox="1"/>
      </xdr:nvSpPr>
      <xdr:spPr>
        <a:xfrm>
          <a:off x="10677525" y="9877425"/>
          <a:ext cx="4524375" cy="561975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400">
              <a:solidFill>
                <a:srgbClr val="FF0000"/>
              </a:solidFill>
            </a:rPr>
            <a:t>Only shows</a:t>
          </a:r>
          <a:r>
            <a:rPr lang="en-US" sz="2400" baseline="0">
              <a:solidFill>
                <a:srgbClr val="FF0000"/>
              </a:solidFill>
            </a:rPr>
            <a:t> difference &gt; 0.1</a:t>
          </a:r>
          <a:endParaRPr lang="en-US" sz="2400">
            <a:solidFill>
              <a:srgbClr val="FF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4"/>
  <sheetViews>
    <sheetView workbookViewId="0">
      <selection activeCell="H8" sqref="H8"/>
    </sheetView>
  </sheetViews>
  <sheetFormatPr defaultRowHeight="15" x14ac:dyDescent="0.25"/>
  <cols>
    <col min="6" max="6" width="8.5703125" style="4" customWidth="1"/>
    <col min="7" max="7" width="8.5703125" style="2" customWidth="1"/>
    <col min="8" max="9" width="9.28515625" bestFit="1" customWidth="1"/>
    <col min="10" max="10" width="8.5703125" style="2" customWidth="1"/>
    <col min="11" max="26" width="9.28515625" bestFit="1" customWidth="1"/>
  </cols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s="4" t="s">
        <v>5</v>
      </c>
      <c r="H1" t="s">
        <v>7</v>
      </c>
      <c r="I1" t="s">
        <v>8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B1" t="s">
        <v>27</v>
      </c>
      <c r="AC1" t="s">
        <v>28</v>
      </c>
      <c r="AD1" t="s">
        <v>29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25">
      <c r="A2">
        <f>ABS(SpecPool!A2-Symphony!A2)</f>
        <v>0</v>
      </c>
      <c r="B2" t="e">
        <f>ABS(SpecPool!B2-Symphony!B2)</f>
        <v>#VALUE!</v>
      </c>
      <c r="C2">
        <v>20120101</v>
      </c>
      <c r="D2" s="3">
        <f>ABS(SpecPool!D2-Symphony!D2)</f>
        <v>20079192</v>
      </c>
      <c r="E2" t="e">
        <f>ABS(SpecPool!E2-Symphony!E2)</f>
        <v>#VALUE!</v>
      </c>
      <c r="F2" s="8">
        <f>ABS(SpecPool!F2-Symphony!F2)</f>
        <v>4045.831855263008</v>
      </c>
      <c r="G2" s="7"/>
      <c r="H2" s="5">
        <f>ABS(SpecPool!H2-Symphony!H2)</f>
        <v>34.460793812034701</v>
      </c>
      <c r="I2" s="5">
        <f>ABS(SpecPool!I2-Symphony!I2)</f>
        <v>0</v>
      </c>
      <c r="K2" s="5">
        <f>ABS(SpecPool!K2-Symphony!K2)</f>
        <v>21.928256060199999</v>
      </c>
      <c r="L2" s="5" t="e">
        <f>ABS(SpecPool!L2-Symphony!L2)</f>
        <v>#VALUE!</v>
      </c>
      <c r="M2" s="5">
        <f>ABS(SpecPool!M2-Symphony!M2)</f>
        <v>15.329187656439103</v>
      </c>
      <c r="N2" s="5">
        <f>ABS(SpecPool!N2-Symphony!N2)</f>
        <v>0</v>
      </c>
      <c r="O2" s="5" t="e">
        <f>ABS(SpecPool!O2-Symphony!O2)</f>
        <v>#VALUE!</v>
      </c>
      <c r="P2" s="5">
        <f>ABS(SpecPool!P2-Symphony!P2)</f>
        <v>12.058990626005702</v>
      </c>
      <c r="Q2" s="5">
        <f>ABS(SpecPool!Q2-Symphony!Q2)</f>
        <v>0.17694453599404003</v>
      </c>
      <c r="R2" s="5">
        <f>ABS(SpecPool!R2-Symphony!R2)</f>
        <v>0</v>
      </c>
      <c r="S2" s="5" t="e">
        <f>ABS(SpecPool!S2-Symphony!S2)</f>
        <v>#VALUE!</v>
      </c>
      <c r="T2" s="5">
        <f>ABS(SpecPool!T2-Symphony!T2)</f>
        <v>3.2344813776831303</v>
      </c>
      <c r="U2" s="5">
        <f>ABS(SpecPool!U2-Symphony!U2)</f>
        <v>0.24027894383149828</v>
      </c>
      <c r="V2" s="5" t="e">
        <f>ABS(SpecPool!V2-Symphony!V2)</f>
        <v>#VALUE!</v>
      </c>
      <c r="W2" s="5">
        <f>ABS(SpecPool!W2-Symphony!W2)</f>
        <v>4.165442669956704</v>
      </c>
      <c r="X2" s="5">
        <f>ABS(SpecPool!X2-Symphony!X2)</f>
        <v>19.926864447661604</v>
      </c>
      <c r="Y2" s="5">
        <f>ABS(SpecPool!Y2-Symphony!Y2)</f>
        <v>3.9448044579288108</v>
      </c>
      <c r="Z2" s="5" t="e">
        <f>ABS(SpecPool!Z2-Symphony!Z2)</f>
        <v>#VALUE!</v>
      </c>
      <c r="AB2" s="4">
        <f>ABS(SpecPool!AB2-Symphony!AB2)</f>
        <v>0.40722347982563978</v>
      </c>
      <c r="AC2" s="4">
        <f>ABS(SpecPool!AC2-Symphony!AC2)</f>
        <v>13.211786511250599</v>
      </c>
      <c r="AD2" s="4">
        <f>ABS(SpecPool!AD2-Symphony!AD2)</f>
        <v>7.9291856458637966</v>
      </c>
      <c r="AE2" s="6"/>
      <c r="AF2" s="4">
        <f>ABS(SpecPool!AF2-Symphony!AF2)</f>
        <v>5.3403535305690184</v>
      </c>
      <c r="AG2" s="4">
        <f>ABS(SpecPool!AG2-Symphony!AG2)</f>
        <v>7.8851916959779942</v>
      </c>
      <c r="AH2" s="4">
        <f>ABS(SpecPool!AH2-Symphony!AH2)</f>
        <v>7.6360851664330021</v>
      </c>
      <c r="AI2" s="4">
        <f>ABS(SpecPool!AI2-Symphony!AI2)</f>
        <v>8.3246714529110477E-2</v>
      </c>
      <c r="AJ2" s="4">
        <f>ABS(SpecPool!AJ2-Symphony!AJ2)</f>
        <v>0.107497519926834</v>
      </c>
      <c r="AK2" s="4">
        <f>ABS(SpecPool!AK2-Symphony!AK2)</f>
        <v>1.2996712763340383</v>
      </c>
    </row>
    <row r="3" spans="1:37" x14ac:dyDescent="0.25">
      <c r="A3">
        <f>ABS(SpecPool!A3-Symphony!A3)</f>
        <v>0</v>
      </c>
      <c r="B3" t="e">
        <f>ABS(SpecPool!B3-Symphony!B3)</f>
        <v>#VALUE!</v>
      </c>
      <c r="C3">
        <v>20120201</v>
      </c>
      <c r="D3" s="3">
        <f>ABS(SpecPool!D3-Symphony!D3)</f>
        <v>20079261</v>
      </c>
      <c r="E3" t="e">
        <f>ABS(SpecPool!E3-Symphony!E3)</f>
        <v>#VALUE!</v>
      </c>
      <c r="F3" s="8">
        <f>ABS(SpecPool!F3-Symphony!F3)</f>
        <v>5940.3272333849745</v>
      </c>
      <c r="G3" s="7"/>
      <c r="H3" s="5">
        <f>ABS(SpecPool!H3-Symphony!H3)</f>
        <v>13.042893802399696</v>
      </c>
      <c r="I3" s="5">
        <f>ABS(SpecPool!I3-Symphony!I3)</f>
        <v>5.9785790932980198E-3</v>
      </c>
      <c r="K3" s="5">
        <f>ABS(SpecPool!K3-Symphony!K3)</f>
        <v>14.477237945179994</v>
      </c>
      <c r="L3" s="5" t="e">
        <f>ABS(SpecPool!L3-Symphony!L3)</f>
        <v>#VALUE!</v>
      </c>
      <c r="M3" s="5">
        <f>ABS(SpecPool!M3-Symphony!M3)</f>
        <v>1.9795053998192031</v>
      </c>
      <c r="N3" s="5">
        <f>ABS(SpecPool!N3-Symphony!N3)</f>
        <v>2.3531306344260101E-2</v>
      </c>
      <c r="O3" s="5" t="e">
        <f>ABS(SpecPool!O3-Symphony!O3)</f>
        <v>#VALUE!</v>
      </c>
      <c r="P3" s="5">
        <f>ABS(SpecPool!P3-Symphony!P3)</f>
        <v>14.144520120806</v>
      </c>
      <c r="Q3" s="5">
        <f>ABS(SpecPool!Q3-Symphony!Q3)</f>
        <v>3.9590559556544802</v>
      </c>
      <c r="R3" s="5">
        <f>ABS(SpecPool!R3-Symphony!R3)</f>
        <v>0</v>
      </c>
      <c r="S3" s="5" t="e">
        <f>ABS(SpecPool!S3-Symphony!S3)</f>
        <v>#VALUE!</v>
      </c>
      <c r="T3" s="5">
        <f>ABS(SpecPool!T3-Symphony!T3)</f>
        <v>2.0483159096458596</v>
      </c>
      <c r="U3" s="5">
        <f>ABS(SpecPool!U3-Symphony!U3)</f>
        <v>4.109751359985097</v>
      </c>
      <c r="V3" s="5" t="e">
        <f>ABS(SpecPool!V3-Symphony!V3)</f>
        <v>#VALUE!</v>
      </c>
      <c r="W3" s="5">
        <f>ABS(SpecPool!W3-Symphony!W3)</f>
        <v>0.85724727218220664</v>
      </c>
      <c r="X3" s="5">
        <f>ABS(SpecPool!X3-Symphony!X3)</f>
        <v>1.819451483188697</v>
      </c>
      <c r="Y3" s="5">
        <f>ABS(SpecPool!Y3-Symphony!Y3)</f>
        <v>4.7978720420859986</v>
      </c>
      <c r="Z3" s="5" t="e">
        <f>ABS(SpecPool!Z3-Symphony!Z3)</f>
        <v>#VALUE!</v>
      </c>
      <c r="AB3" s="4">
        <f>ABS(SpecPool!AB3-Symphony!AB3)</f>
        <v>0.13194571935396038</v>
      </c>
      <c r="AC3" s="4">
        <f>ABS(SpecPool!AC3-Symphony!AC3)</f>
        <v>12.516183080285099</v>
      </c>
      <c r="AD3" s="4">
        <f>ABS(SpecPool!AD3-Symphony!AD3)</f>
        <v>0.23474100564669698</v>
      </c>
      <c r="AE3" s="6"/>
      <c r="AF3" s="4">
        <f>ABS(SpecPool!AF3-Symphony!AF3)</f>
        <v>3.4490250167709746</v>
      </c>
      <c r="AG3" s="4">
        <f>ABS(SpecPool!AG3-Symphony!AG3)</f>
        <v>9.4968613395906232E-2</v>
      </c>
      <c r="AH3" s="4">
        <f>ABS(SpecPool!AH3-Symphony!AH3)</f>
        <v>0.80448397095880253</v>
      </c>
      <c r="AI3" s="4">
        <f>ABS(SpecPool!AI3-Symphony!AI3)</f>
        <v>1.2558937028801509E-3</v>
      </c>
      <c r="AJ3" s="4">
        <f>ABS(SpecPool!AJ3-Symphony!AJ3)</f>
        <v>0.26175947872885996</v>
      </c>
      <c r="AK3" s="4">
        <f>ABS(SpecPool!AK3-Symphony!AK3)</f>
        <v>1.6796528647579976</v>
      </c>
    </row>
    <row r="4" spans="1:37" x14ac:dyDescent="0.25">
      <c r="A4">
        <f>ABS(SpecPool!A4-Symphony!A4)</f>
        <v>0</v>
      </c>
      <c r="B4" t="e">
        <f>ABS(SpecPool!B4-Symphony!B4)</f>
        <v>#VALUE!</v>
      </c>
      <c r="C4">
        <v>20120301</v>
      </c>
      <c r="D4" s="3">
        <f>ABS(SpecPool!D4-Symphony!D4)</f>
        <v>20079332</v>
      </c>
      <c r="E4" t="e">
        <f>ABS(SpecPool!E4-Symphony!E4)</f>
        <v>#VALUE!</v>
      </c>
      <c r="F4" s="8">
        <f>ABS(SpecPool!F4-Symphony!F4)</f>
        <v>8535.3455187919899</v>
      </c>
      <c r="G4" s="7"/>
      <c r="H4" s="5">
        <f>ABS(SpecPool!H4-Symphony!H4)</f>
        <v>11.544019391200699</v>
      </c>
      <c r="I4" s="5">
        <f>ABS(SpecPool!I4-Symphony!I4)</f>
        <v>2.4301324970998905E-4</v>
      </c>
      <c r="K4" s="5">
        <f>ABS(SpecPool!K4-Symphony!K4)</f>
        <v>18.786163467077984</v>
      </c>
      <c r="L4" s="5" t="e">
        <f>ABS(SpecPool!L4-Symphony!L4)</f>
        <v>#VALUE!</v>
      </c>
      <c r="M4" s="5">
        <f>ABS(SpecPool!M4-Symphony!M4)</f>
        <v>6.7847173473427986</v>
      </c>
      <c r="N4" s="5">
        <f>ABS(SpecPool!N4-Symphony!N4)</f>
        <v>1.48502372044835E-2</v>
      </c>
      <c r="O4" s="5" t="e">
        <f>ABS(SpecPool!O4-Symphony!O4)</f>
        <v>#VALUE!</v>
      </c>
      <c r="P4" s="5">
        <f>ABS(SpecPool!P4-Symphony!P4)</f>
        <v>9.0126150780382019</v>
      </c>
      <c r="Q4" s="5">
        <f>ABS(SpecPool!Q4-Symphony!Q4)</f>
        <v>0.69250384308688062</v>
      </c>
      <c r="R4" s="5">
        <f>ABS(SpecPool!R4-Symphony!R4)</f>
        <v>0</v>
      </c>
      <c r="S4" s="5" t="e">
        <f>ABS(SpecPool!S4-Symphony!S4)</f>
        <v>#VALUE!</v>
      </c>
      <c r="T4" s="5">
        <f>ABS(SpecPool!T4-Symphony!T4)</f>
        <v>0.59885023951503946</v>
      </c>
      <c r="U4" s="5">
        <f>ABS(SpecPool!U4-Symphony!U4)</f>
        <v>0.5207378504465936</v>
      </c>
      <c r="V4" s="5" t="e">
        <f>ABS(SpecPool!V4-Symphony!V4)</f>
        <v>#VALUE!</v>
      </c>
      <c r="W4" s="5">
        <f>ABS(SpecPool!W4-Symphony!W4)</f>
        <v>3.5383295454576</v>
      </c>
      <c r="X4" s="5">
        <f>ABS(SpecPool!X4-Symphony!X4)</f>
        <v>4.9305427408759002</v>
      </c>
      <c r="Y4" s="5">
        <f>ABS(SpecPool!Y4-Symphony!Y4)</f>
        <v>2.542474742129798</v>
      </c>
      <c r="Z4" s="5" t="e">
        <f>ABS(SpecPool!Z4-Symphony!Z4)</f>
        <v>#VALUE!</v>
      </c>
      <c r="AB4" s="4">
        <f>ABS(SpecPool!AB4-Symphony!AB4)</f>
        <v>0.19050542833579032</v>
      </c>
      <c r="AC4" s="4">
        <f>ABS(SpecPool!AC4-Symphony!AC4)</f>
        <v>6.1194973192462001</v>
      </c>
      <c r="AD4" s="4">
        <f>ABS(SpecPool!AD4-Symphony!AD4)</f>
        <v>1.7839100178136107</v>
      </c>
      <c r="AE4" s="6"/>
      <c r="AF4" s="4">
        <f>ABS(SpecPool!AF4-Symphony!AF4)</f>
        <v>3.6834029979660272</v>
      </c>
      <c r="AG4" s="4">
        <f>ABS(SpecPool!AG4-Symphony!AG4)</f>
        <v>1.742668688923402</v>
      </c>
      <c r="AH4" s="4">
        <f>ABS(SpecPool!AH4-Symphony!AH4)</f>
        <v>2.9329635643525016</v>
      </c>
      <c r="AI4" s="4">
        <f>ABS(SpecPool!AI4-Symphony!AI4)</f>
        <v>4.7837935380199426E-3</v>
      </c>
      <c r="AJ4" s="4">
        <f>ABS(SpecPool!AJ4-Symphony!AJ4)</f>
        <v>0.53396724099223003</v>
      </c>
      <c r="AK4" s="4">
        <f>ABS(SpecPool!AK4-Symphony!AK4)</f>
        <v>0.12710902023098924</v>
      </c>
    </row>
    <row r="5" spans="1:37" x14ac:dyDescent="0.25">
      <c r="A5">
        <f>ABS(SpecPool!A5-Symphony!A5)</f>
        <v>0</v>
      </c>
      <c r="B5" t="e">
        <f>ABS(SpecPool!B5-Symphony!B5)</f>
        <v>#VALUE!</v>
      </c>
      <c r="C5">
        <v>20120401</v>
      </c>
      <c r="D5" s="3">
        <f>ABS(SpecPool!D5-Symphony!D5)</f>
        <v>20079401</v>
      </c>
      <c r="E5" t="e">
        <f>ABS(SpecPool!E5-Symphony!E5)</f>
        <v>#VALUE!</v>
      </c>
      <c r="F5" s="8">
        <f>ABS(SpecPool!F5-Symphony!F5)</f>
        <v>1015.1098627780157</v>
      </c>
      <c r="G5" s="7"/>
      <c r="H5" s="5">
        <f>ABS(SpecPool!H5-Symphony!H5)</f>
        <v>5.7150609268770012</v>
      </c>
      <c r="I5" s="5">
        <f>ABS(SpecPool!I5-Symphony!I5)</f>
        <v>1.8669309122629985E-2</v>
      </c>
      <c r="K5" s="5">
        <f>ABS(SpecPool!K5-Symphony!K5)</f>
        <v>9.4167777039810119</v>
      </c>
      <c r="L5" s="5" t="e">
        <f>ABS(SpecPool!L5-Symphony!L5)</f>
        <v>#VALUE!</v>
      </c>
      <c r="M5" s="5">
        <f>ABS(SpecPool!M5-Symphony!M5)</f>
        <v>3.1522315308670059</v>
      </c>
      <c r="N5" s="5">
        <f>ABS(SpecPool!N5-Symphony!N5)</f>
        <v>2.6284216977709995E-2</v>
      </c>
      <c r="O5" s="5" t="e">
        <f>ABS(SpecPool!O5-Symphony!O5)</f>
        <v>#VALUE!</v>
      </c>
      <c r="P5" s="5">
        <f>ABS(SpecPool!P5-Symphony!P5)</f>
        <v>2.6743150603284036</v>
      </c>
      <c r="Q5" s="5">
        <f>ABS(SpecPool!Q5-Symphony!Q5)</f>
        <v>0.65389616398819861</v>
      </c>
      <c r="R5" s="5">
        <f>ABS(SpecPool!R5-Symphony!R5)</f>
        <v>0</v>
      </c>
      <c r="S5" s="5" t="e">
        <f>ABS(SpecPool!S5-Symphony!S5)</f>
        <v>#VALUE!</v>
      </c>
      <c r="T5" s="5">
        <f>ABS(SpecPool!T5-Symphony!T5)</f>
        <v>6.3407666579850641E-2</v>
      </c>
      <c r="U5" s="5">
        <f>ABS(SpecPool!U5-Symphony!U5)</f>
        <v>0.63701993794730072</v>
      </c>
      <c r="V5" s="5" t="e">
        <f>ABS(SpecPool!V5-Symphony!V5)</f>
        <v>#VALUE!</v>
      </c>
      <c r="W5" s="5">
        <f>ABS(SpecPool!W5-Symphony!W5)</f>
        <v>1.6683418120860125</v>
      </c>
      <c r="X5" s="5">
        <f>ABS(SpecPool!X5-Symphony!X5)</f>
        <v>2.2845489080537007</v>
      </c>
      <c r="Y5" s="5">
        <f>ABS(SpecPool!Y5-Symphony!Y5)</f>
        <v>0.59741374693359717</v>
      </c>
      <c r="Z5" s="5" t="e">
        <f>ABS(SpecPool!Z5-Symphony!Z5)</f>
        <v>#VALUE!</v>
      </c>
      <c r="AB5" s="4">
        <f>ABS(SpecPool!AB5-Symphony!AB5)</f>
        <v>3.5686712161099976E-2</v>
      </c>
      <c r="AC5" s="4">
        <f>ABS(SpecPool!AC5-Symphony!AC5)</f>
        <v>2.2885726158537985</v>
      </c>
      <c r="AD5" s="4">
        <f>ABS(SpecPool!AD5-Symphony!AD5)</f>
        <v>0.8681565190236995</v>
      </c>
      <c r="AE5" s="6"/>
      <c r="AF5" s="4">
        <f>ABS(SpecPool!AF5-Symphony!AF5)</f>
        <v>1.5426919788060331</v>
      </c>
      <c r="AG5" s="4">
        <f>ABS(SpecPool!AG5-Symphony!AG5)</f>
        <v>0.70320974641799694</v>
      </c>
      <c r="AH5" s="4">
        <f>ABS(SpecPool!AH5-Symphony!AH5)</f>
        <v>1.3819633779413003</v>
      </c>
      <c r="AI5" s="4">
        <f>ABS(SpecPool!AI5-Symphony!AI5)</f>
        <v>1.0547164922201091E-3</v>
      </c>
      <c r="AJ5" s="4">
        <f>ABS(SpecPool!AJ5-Symphony!AJ5)</f>
        <v>0.29080741931539023</v>
      </c>
      <c r="AK5" s="4">
        <f>ABS(SpecPool!AK5-Symphony!AK5)</f>
        <v>0.4178834002690337</v>
      </c>
    </row>
    <row r="6" spans="1:37" x14ac:dyDescent="0.25">
      <c r="A6">
        <f>ABS(SpecPool!A6-Symphony!A6)</f>
        <v>0</v>
      </c>
      <c r="B6" t="e">
        <f>ABS(SpecPool!B6-Symphony!B6)</f>
        <v>#VALUE!</v>
      </c>
      <c r="C6">
        <v>20120501</v>
      </c>
      <c r="D6" s="3">
        <f>ABS(SpecPool!D6-Symphony!D6)</f>
        <v>20079471</v>
      </c>
      <c r="E6" t="e">
        <f>ABS(SpecPool!E6-Symphony!E6)</f>
        <v>#VALUE!</v>
      </c>
      <c r="F6" s="8">
        <f>ABS(SpecPool!F6-Symphony!F6)</f>
        <v>9057.9829677270027</v>
      </c>
      <c r="G6" s="7"/>
      <c r="H6" s="5">
        <f>ABS(SpecPool!H6-Symphony!H6)</f>
        <v>10.268230396205105</v>
      </c>
      <c r="I6" s="5">
        <f>ABS(SpecPool!I6-Symphony!I6)</f>
        <v>5.2382274357398728E-3</v>
      </c>
      <c r="K6" s="5">
        <f>ABS(SpecPool!K6-Symphony!K6)</f>
        <v>9.5127561050239819</v>
      </c>
      <c r="L6" s="5" t="e">
        <f>ABS(SpecPool!L6-Symphony!L6)</f>
        <v>#VALUE!</v>
      </c>
      <c r="M6" s="5">
        <f>ABS(SpecPool!M6-Symphony!M6)</f>
        <v>3.3168897235998998</v>
      </c>
      <c r="N6" s="5">
        <f>ABS(SpecPool!N6-Symphony!N6)</f>
        <v>4.8553035853247023E-2</v>
      </c>
      <c r="O6" s="5" t="e">
        <f>ABS(SpecPool!O6-Symphony!O6)</f>
        <v>#VALUE!</v>
      </c>
      <c r="P6" s="5">
        <f>ABS(SpecPool!P6-Symphony!P6)</f>
        <v>2.8717781977610954</v>
      </c>
      <c r="Q6" s="5">
        <f>ABS(SpecPool!Q6-Symphony!Q6)</f>
        <v>0.69150677100780022</v>
      </c>
      <c r="R6" s="5">
        <f>ABS(SpecPool!R6-Symphony!R6)</f>
        <v>0</v>
      </c>
      <c r="S6" s="5" t="e">
        <f>ABS(SpecPool!S6-Symphony!S6)</f>
        <v>#VALUE!</v>
      </c>
      <c r="T6" s="5">
        <f>ABS(SpecPool!T6-Symphony!T6)</f>
        <v>0.24550348844931058</v>
      </c>
      <c r="U6" s="5">
        <f>ABS(SpecPool!U6-Symphony!U6)</f>
        <v>0.63831840979210597</v>
      </c>
      <c r="V6" s="5" t="e">
        <f>ABS(SpecPool!V6-Symphony!V6)</f>
        <v>#VALUE!</v>
      </c>
      <c r="W6" s="5">
        <f>ABS(SpecPool!W6-Symphony!W6)</f>
        <v>1.8283311206140951</v>
      </c>
      <c r="X6" s="5">
        <f>ABS(SpecPool!X6-Symphony!X6)</f>
        <v>3.1608103043748006</v>
      </c>
      <c r="Y6" s="5">
        <f>ABS(SpecPool!Y6-Symphony!Y6)</f>
        <v>0.13832326235169035</v>
      </c>
      <c r="Z6" s="5" t="e">
        <f>ABS(SpecPool!Z6-Symphony!Z6)</f>
        <v>#VALUE!</v>
      </c>
      <c r="AB6" s="4">
        <f>ABS(SpecPool!AB6-Symphony!AB6)</f>
        <v>7.1769381618009831E-2</v>
      </c>
      <c r="AC6" s="4">
        <f>ABS(SpecPool!AC6-Symphony!AC6)</f>
        <v>3.4412035599585025</v>
      </c>
      <c r="AD6" s="4">
        <f>ABS(SpecPool!AD6-Symphony!AD6)</f>
        <v>1.0549348731320976</v>
      </c>
      <c r="AE6" s="6"/>
      <c r="AF6" s="4">
        <f>ABS(SpecPool!AF6-Symphony!AF6)</f>
        <v>1.0268733775620831</v>
      </c>
      <c r="AG6" s="4">
        <f>ABS(SpecPool!AG6-Symphony!AG6)</f>
        <v>0.62824358166930949</v>
      </c>
      <c r="AH6" s="4">
        <f>ABS(SpecPool!AH6-Symphony!AH6)</f>
        <v>0.57379179911289668</v>
      </c>
      <c r="AI6" s="4">
        <f>ABS(SpecPool!AI6-Symphony!AI6)</f>
        <v>3.8663802706802031E-3</v>
      </c>
      <c r="AJ6" s="4">
        <f>ABS(SpecPool!AJ6-Symphony!AJ6)</f>
        <v>0.45697006084128011</v>
      </c>
      <c r="AK6" s="4">
        <f>ABS(SpecPool!AK6-Symphony!AK6)</f>
        <v>1.8306111432991656E-2</v>
      </c>
    </row>
    <row r="7" spans="1:37" x14ac:dyDescent="0.25">
      <c r="A7">
        <f>ABS(SpecPool!A7-Symphony!A7)</f>
        <v>0</v>
      </c>
      <c r="B7" t="e">
        <f>ABS(SpecPool!B7-Symphony!B7)</f>
        <v>#VALUE!</v>
      </c>
      <c r="C7">
        <v>20120601</v>
      </c>
      <c r="D7" s="3">
        <f>ABS(SpecPool!D7-Symphony!D7)</f>
        <v>20079540</v>
      </c>
      <c r="E7" t="e">
        <f>ABS(SpecPool!E7-Symphony!E7)</f>
        <v>#VALUE!</v>
      </c>
      <c r="F7" s="8">
        <f>ABS(SpecPool!F7-Symphony!F7)</f>
        <v>28499.041727734002</v>
      </c>
      <c r="G7" s="7"/>
      <c r="H7" s="5">
        <f>ABS(SpecPool!H7-Symphony!H7)</f>
        <v>39.696386326465792</v>
      </c>
      <c r="I7" s="5">
        <f>ABS(SpecPool!I7-Symphony!I7)</f>
        <v>8.3397002339502535E-3</v>
      </c>
      <c r="K7" s="5">
        <f>ABS(SpecPool!K7-Symphony!K7)</f>
        <v>14.349399594972994</v>
      </c>
      <c r="L7" s="5" t="e">
        <f>ABS(SpecPool!L7-Symphony!L7)</f>
        <v>#VALUE!</v>
      </c>
      <c r="M7" s="5">
        <f>ABS(SpecPool!M7-Symphony!M7)</f>
        <v>3.1452611273153011</v>
      </c>
      <c r="N7" s="5">
        <f>ABS(SpecPool!N7-Symphony!N7)</f>
        <v>0.19384076610037504</v>
      </c>
      <c r="O7" s="5" t="e">
        <f>ABS(SpecPool!O7-Symphony!O7)</f>
        <v>#VALUE!</v>
      </c>
      <c r="P7" s="5">
        <f>ABS(SpecPool!P7-Symphony!P7)</f>
        <v>19.184425483682702</v>
      </c>
      <c r="Q7" s="5">
        <f>ABS(SpecPool!Q7-Symphony!Q7)</f>
        <v>3.9340911287446998</v>
      </c>
      <c r="R7" s="5">
        <f>ABS(SpecPool!R7-Symphony!R7)</f>
        <v>0</v>
      </c>
      <c r="S7" s="5" t="e">
        <f>ABS(SpecPool!S7-Symphony!S7)</f>
        <v>#VALUE!</v>
      </c>
      <c r="T7" s="5">
        <f>ABS(SpecPool!T7-Symphony!T7)</f>
        <v>3.0679395667741201</v>
      </c>
      <c r="U7" s="5">
        <f>ABS(SpecPool!U7-Symphony!U7)</f>
        <v>5.6712697781002106</v>
      </c>
      <c r="V7" s="5" t="e">
        <f>ABS(SpecPool!V7-Symphony!V7)</f>
        <v>#VALUE!</v>
      </c>
      <c r="W7" s="5">
        <f>ABS(SpecPool!W7-Symphony!W7)</f>
        <v>1.8772182520500991</v>
      </c>
      <c r="X7" s="5">
        <f>ABS(SpecPool!X7-Symphony!X7)</f>
        <v>3.3394098343184986</v>
      </c>
      <c r="Y7" s="5">
        <f>ABS(SpecPool!Y7-Symphony!Y7)</f>
        <v>11.235369696050796</v>
      </c>
      <c r="Z7" s="5" t="e">
        <f>ABS(SpecPool!Z7-Symphony!Z7)</f>
        <v>#VALUE!</v>
      </c>
      <c r="AB7" s="4">
        <f>ABS(SpecPool!AB7-Symphony!AB7)</f>
        <v>1.7555890598798802</v>
      </c>
      <c r="AC7" s="4">
        <f>ABS(SpecPool!AC7-Symphony!AC7)</f>
        <v>2.8837859640916008</v>
      </c>
      <c r="AD7" s="4">
        <f>ABS(SpecPool!AD7-Symphony!AD7)</f>
        <v>2.1486638315330993</v>
      </c>
      <c r="AE7" s="6"/>
      <c r="AF7" s="4">
        <f>ABS(SpecPool!AF7-Symphony!AF7)</f>
        <v>18.543786918763089</v>
      </c>
      <c r="AG7" s="4">
        <f>ABS(SpecPool!AG7-Symphony!AG7)</f>
        <v>0.20170761864768849</v>
      </c>
      <c r="AH7" s="4">
        <f>ABS(SpecPool!AH7-Symphony!AH7)</f>
        <v>0.81041990922690132</v>
      </c>
      <c r="AI7" s="4">
        <f>ABS(SpecPool!AI7-Symphony!AI7)</f>
        <v>3.0578011456439569E-2</v>
      </c>
      <c r="AJ7" s="4">
        <f>ABS(SpecPool!AJ7-Symphony!AJ7)</f>
        <v>0.69996467713069022</v>
      </c>
      <c r="AK7" s="4">
        <f>ABS(SpecPool!AK7-Symphony!AK7)</f>
        <v>1.9152063198779956</v>
      </c>
    </row>
    <row r="8" spans="1:37" x14ac:dyDescent="0.25">
      <c r="A8">
        <f>ABS(SpecPool!A8-Symphony!A8)</f>
        <v>0</v>
      </c>
      <c r="B8" t="e">
        <f>ABS(SpecPool!B8-Symphony!B8)</f>
        <v>#VALUE!</v>
      </c>
      <c r="C8">
        <v>20120701</v>
      </c>
      <c r="D8" s="3">
        <f>ABS(SpecPool!D8-Symphony!D8)</f>
        <v>20079610</v>
      </c>
      <c r="E8" t="e">
        <f>ABS(SpecPool!E8-Symphony!E8)</f>
        <v>#VALUE!</v>
      </c>
      <c r="F8" s="8">
        <f>ABS(SpecPool!F8-Symphony!F8)</f>
        <v>1114.482594658999</v>
      </c>
      <c r="G8" s="7"/>
      <c r="H8" s="5">
        <f>ABS(SpecPool!H8-Symphony!H8)</f>
        <v>7.8566369071400004</v>
      </c>
      <c r="I8" s="5">
        <f>ABS(SpecPool!I8-Symphony!I8)</f>
        <v>3.3661411780730788E-2</v>
      </c>
      <c r="K8" s="5">
        <f>ABS(SpecPool!K8-Symphony!K8)</f>
        <v>8.5899825082120174</v>
      </c>
      <c r="L8" s="5" t="e">
        <f>ABS(SpecPool!L8-Symphony!L8)</f>
        <v>#VALUE!</v>
      </c>
      <c r="M8" s="5">
        <f>ABS(SpecPool!M8-Symphony!M8)</f>
        <v>2.4215109468285974</v>
      </c>
      <c r="N8" s="5">
        <f>ABS(SpecPool!N8-Symphony!N8)</f>
        <v>3.0970596066701994E-2</v>
      </c>
      <c r="O8" s="5" t="e">
        <f>ABS(SpecPool!O8-Symphony!O8)</f>
        <v>#VALUE!</v>
      </c>
      <c r="P8" s="5">
        <f>ABS(SpecPool!P8-Symphony!P8)</f>
        <v>1.4611330205379005</v>
      </c>
      <c r="Q8" s="5">
        <f>ABS(SpecPool!Q8-Symphony!Q8)</f>
        <v>0.77498836070400046</v>
      </c>
      <c r="R8" s="5">
        <f>ABS(SpecPool!R8-Symphony!R8)</f>
        <v>0</v>
      </c>
      <c r="S8" s="5" t="e">
        <f>ABS(SpecPool!S8-Symphony!S8)</f>
        <v>#VALUE!</v>
      </c>
      <c r="T8" s="5">
        <f>ABS(SpecPool!T8-Symphony!T8)</f>
        <v>0.12460620775020104</v>
      </c>
      <c r="U8" s="5">
        <f>ABS(SpecPool!U8-Symphony!U8)</f>
        <v>0.73812000708539927</v>
      </c>
      <c r="V8" s="5" t="e">
        <f>ABS(SpecPool!V8-Symphony!V8)</f>
        <v>#VALUE!</v>
      </c>
      <c r="W8" s="5">
        <f>ABS(SpecPool!W8-Symphony!W8)</f>
        <v>1.5442761699255954</v>
      </c>
      <c r="X8" s="5">
        <f>ABS(SpecPool!X8-Symphony!X8)</f>
        <v>2.0172510722184995</v>
      </c>
      <c r="Y8" s="5">
        <f>ABS(SpecPool!Y8-Symphony!Y8)</f>
        <v>9.3732165644908605E-2</v>
      </c>
      <c r="Z8" s="5" t="e">
        <f>ABS(SpecPool!Z8-Symphony!Z8)</f>
        <v>#VALUE!</v>
      </c>
      <c r="AB8" s="4">
        <f>ABS(SpecPool!AB8-Symphony!AB8)</f>
        <v>5.5263233146829904E-2</v>
      </c>
      <c r="AC8" s="4">
        <f>ABS(SpecPool!AC8-Symphony!AC8)</f>
        <v>1.1207358962978979</v>
      </c>
      <c r="AD8" s="4">
        <f>ABS(SpecPool!AD8-Symphony!AD8)</f>
        <v>0.64113873970099178</v>
      </c>
      <c r="AE8" s="6"/>
      <c r="AF8" s="4">
        <f>ABS(SpecPool!AF8-Symphony!AF8)</f>
        <v>1.0855181678820145</v>
      </c>
      <c r="AG8" s="4">
        <f>ABS(SpecPool!AG8-Symphony!AG8)</f>
        <v>0.37004764858698991</v>
      </c>
      <c r="AH8" s="4">
        <f>ABS(SpecPool!AH8-Symphony!AH8)</f>
        <v>1.5091557093235011</v>
      </c>
      <c r="AI8" s="4">
        <f>ABS(SpecPool!AI8-Symphony!AI8)</f>
        <v>3.4872107792693896E-3</v>
      </c>
      <c r="AJ8" s="4">
        <f>ABS(SpecPool!AJ8-Symphony!AJ8)</f>
        <v>0.33409561211433036</v>
      </c>
      <c r="AK8" s="4">
        <f>ABS(SpecPool!AK8-Symphony!AK8)</f>
        <v>0.2978528946920278</v>
      </c>
    </row>
    <row r="9" spans="1:37" x14ac:dyDescent="0.25">
      <c r="A9">
        <f>ABS(SpecPool!A9-Symphony!A9)</f>
        <v>0</v>
      </c>
      <c r="B9" t="e">
        <f>ABS(SpecPool!B9-Symphony!B9)</f>
        <v>#VALUE!</v>
      </c>
      <c r="C9">
        <v>20120801</v>
      </c>
      <c r="D9" s="3">
        <f>ABS(SpecPool!D9-Symphony!D9)</f>
        <v>20079679</v>
      </c>
      <c r="E9" t="e">
        <f>ABS(SpecPool!E9-Symphony!E9)</f>
        <v>#VALUE!</v>
      </c>
      <c r="F9" s="8">
        <f>ABS(SpecPool!F9-Symphony!F9)</f>
        <v>2438.8378182840243</v>
      </c>
      <c r="G9" s="7"/>
      <c r="H9" s="5">
        <f>ABS(SpecPool!H9-Symphony!H9)</f>
        <v>9.0583032495130169</v>
      </c>
      <c r="I9" s="5">
        <f>ABS(SpecPool!I9-Symphony!I9)</f>
        <v>2.8566774794660077E-2</v>
      </c>
      <c r="K9" s="5">
        <f>ABS(SpecPool!K9-Symphony!K9)</f>
        <v>7.3526908307950123</v>
      </c>
      <c r="L9" s="5" t="e">
        <f>ABS(SpecPool!L9-Symphony!L9)</f>
        <v>#VALUE!</v>
      </c>
      <c r="M9" s="5">
        <f>ABS(SpecPool!M9-Symphony!M9)</f>
        <v>1.8352560266869062</v>
      </c>
      <c r="N9" s="5">
        <f>ABS(SpecPool!N9-Symphony!N9)</f>
        <v>3.9382914883989983E-2</v>
      </c>
      <c r="O9" s="5" t="e">
        <f>ABS(SpecPool!O9-Symphony!O9)</f>
        <v>#VALUE!</v>
      </c>
      <c r="P9" s="5">
        <f>ABS(SpecPool!P9-Symphony!P9)</f>
        <v>1.4560662782866984</v>
      </c>
      <c r="Q9" s="5">
        <f>ABS(SpecPool!Q9-Symphony!Q9)</f>
        <v>0.51673354199690102</v>
      </c>
      <c r="R9" s="5">
        <f>ABS(SpecPool!R9-Symphony!R9)</f>
        <v>0</v>
      </c>
      <c r="S9" s="5" t="e">
        <f>ABS(SpecPool!S9-Symphony!S9)</f>
        <v>#VALUE!</v>
      </c>
      <c r="T9" s="5">
        <f>ABS(SpecPool!T9-Symphony!T9)</f>
        <v>2.2421581959299886E-2</v>
      </c>
      <c r="U9" s="5">
        <f>ABS(SpecPool!U9-Symphony!U9)</f>
        <v>0.53546403902089423</v>
      </c>
      <c r="V9" s="5" t="e">
        <f>ABS(SpecPool!V9-Symphony!V9)</f>
        <v>#VALUE!</v>
      </c>
      <c r="W9" s="5">
        <f>ABS(SpecPool!W9-Symphony!W9)</f>
        <v>1.3664705778120947</v>
      </c>
      <c r="X9" s="5">
        <f>ABS(SpecPool!X9-Symphony!X9)</f>
        <v>1.8358023798469034</v>
      </c>
      <c r="Y9" s="5">
        <f>ABS(SpecPool!Y9-Symphony!Y9)</f>
        <v>0.19867390107420135</v>
      </c>
      <c r="Z9" s="5" t="e">
        <f>ABS(SpecPool!Z9-Symphony!Z9)</f>
        <v>#VALUE!</v>
      </c>
      <c r="AB9" s="4">
        <f>ABS(SpecPool!AB9-Symphony!AB9)</f>
        <v>5.0331222501975859E-4</v>
      </c>
      <c r="AC9" s="4">
        <f>ABS(SpecPool!AC9-Symphony!AC9)</f>
        <v>1.3692856524803005</v>
      </c>
      <c r="AD9" s="4">
        <f>ABS(SpecPool!AD9-Symphony!AD9)</f>
        <v>0.42574510672649524</v>
      </c>
      <c r="AE9" s="6"/>
      <c r="AF9" s="4">
        <f>ABS(SpecPool!AF9-Symphony!AF9)</f>
        <v>1.088241217777977</v>
      </c>
      <c r="AG9" s="4">
        <f>ABS(SpecPool!AG9-Symphony!AG9)</f>
        <v>0.16239419508529807</v>
      </c>
      <c r="AH9" s="4">
        <f>ABS(SpecPool!AH9-Symphony!AH9)</f>
        <v>1.7309510281020053</v>
      </c>
      <c r="AI9" s="4">
        <f>ABS(SpecPool!AI9-Symphony!AI9)</f>
        <v>7.467749622509956E-3</v>
      </c>
      <c r="AJ9" s="4">
        <f>ABS(SpecPool!AJ9-Symphony!AJ9)</f>
        <v>0.35012741922305946</v>
      </c>
      <c r="AK9" s="4">
        <f>ABS(SpecPool!AK9-Symphony!AK9)</f>
        <v>0.21817206736699291</v>
      </c>
    </row>
    <row r="10" spans="1:37" x14ac:dyDescent="0.25">
      <c r="A10">
        <f>ABS(SpecPool!A10-Symphony!A10)</f>
        <v>0</v>
      </c>
      <c r="B10" t="e">
        <f>ABS(SpecPool!B10-Symphony!B10)</f>
        <v>#VALUE!</v>
      </c>
      <c r="C10">
        <v>20120901</v>
      </c>
      <c r="D10" s="3">
        <f>ABS(SpecPool!D10-Symphony!D10)</f>
        <v>20079748</v>
      </c>
      <c r="E10" t="e">
        <f>ABS(SpecPool!E10-Symphony!E10)</f>
        <v>#VALUE!</v>
      </c>
      <c r="F10" s="8">
        <f>ABS(SpecPool!F10-Symphony!F10)</f>
        <v>947.65900973798125</v>
      </c>
      <c r="G10" s="7"/>
      <c r="H10" s="5">
        <f>ABS(SpecPool!H10-Symphony!H10)</f>
        <v>6.0706668135830171</v>
      </c>
      <c r="I10" s="5">
        <f>ABS(SpecPool!I10-Symphony!I10)</f>
        <v>3.852121677084952E-2</v>
      </c>
      <c r="K10" s="5">
        <f>ABS(SpecPool!K10-Symphony!K10)</f>
        <v>5.2425241177709836</v>
      </c>
      <c r="L10" s="5" t="e">
        <f>ABS(SpecPool!L10-Symphony!L10)</f>
        <v>#VALUE!</v>
      </c>
      <c r="M10" s="5">
        <f>ABS(SpecPool!M10-Symphony!M10)</f>
        <v>1.3081272784741955</v>
      </c>
      <c r="N10" s="5">
        <f>ABS(SpecPool!N10-Symphony!N10)</f>
        <v>1.6496474812112027E-2</v>
      </c>
      <c r="O10" s="5" t="e">
        <f>ABS(SpecPool!O10-Symphony!O10)</f>
        <v>#VALUE!</v>
      </c>
      <c r="P10" s="5">
        <f>ABS(SpecPool!P10-Symphony!P10)</f>
        <v>0.98840663489460212</v>
      </c>
      <c r="Q10" s="5">
        <f>ABS(SpecPool!Q10-Symphony!Q10)</f>
        <v>0.45823557831440098</v>
      </c>
      <c r="R10" s="5">
        <f>ABS(SpecPool!R10-Symphony!R10)</f>
        <v>0</v>
      </c>
      <c r="S10" s="5" t="e">
        <f>ABS(SpecPool!S10-Symphony!S10)</f>
        <v>#VALUE!</v>
      </c>
      <c r="T10" s="5">
        <f>ABS(SpecPool!T10-Symphony!T10)</f>
        <v>4.9170052381999341E-2</v>
      </c>
      <c r="U10" s="5">
        <f>ABS(SpecPool!U10-Symphony!U10)</f>
        <v>0.43893517480800881</v>
      </c>
      <c r="V10" s="5" t="e">
        <f>ABS(SpecPool!V10-Symphony!V10)</f>
        <v>#VALUE!</v>
      </c>
      <c r="W10" s="5">
        <f>ABS(SpecPool!W10-Symphony!W10)</f>
        <v>1.0093492653007985</v>
      </c>
      <c r="X10" s="5">
        <f>ABS(SpecPool!X10-Symphony!X10)</f>
        <v>1.3623135345851054</v>
      </c>
      <c r="Y10" s="5">
        <f>ABS(SpecPool!Y10-Symphony!Y10)</f>
        <v>0.18586145231229523</v>
      </c>
      <c r="Z10" s="5" t="e">
        <f>ABS(SpecPool!Z10-Symphony!Z10)</f>
        <v>#VALUE!</v>
      </c>
      <c r="AB10" s="4">
        <f>ABS(SpecPool!AB10-Symphony!AB10)</f>
        <v>3.76686529350998E-2</v>
      </c>
      <c r="AC10" s="4">
        <f>ABS(SpecPool!AC10-Symphony!AC10)</f>
        <v>0.84670867226629909</v>
      </c>
      <c r="AD10" s="4">
        <f>ABS(SpecPool!AD10-Symphony!AD10)</f>
        <v>0.32148397382819383</v>
      </c>
      <c r="AE10" s="6"/>
      <c r="AF10" s="4">
        <f>ABS(SpecPool!AF10-Symphony!AF10)</f>
        <v>0.68111131390298851</v>
      </c>
      <c r="AG10" s="4">
        <f>ABS(SpecPool!AG10-Symphony!AG10)</f>
        <v>0.16035864822438839</v>
      </c>
      <c r="AH10" s="4">
        <f>ABS(SpecPool!AH10-Symphony!AH10)</f>
        <v>1.3254469751729019</v>
      </c>
      <c r="AI10" s="4">
        <f>ABS(SpecPool!AI10-Symphony!AI10)</f>
        <v>8.1461375279392456E-3</v>
      </c>
      <c r="AJ10" s="4">
        <f>ABS(SpecPool!AJ10-Symphony!AJ10)</f>
        <v>0.23600374992518969</v>
      </c>
      <c r="AK10" s="4">
        <f>ABS(SpecPool!AK10-Symphony!AK10)</f>
        <v>3.2363223806044061E-2</v>
      </c>
    </row>
    <row r="11" spans="1:37" x14ac:dyDescent="0.25">
      <c r="A11">
        <f>ABS(SpecPool!A11-Symphony!A11)</f>
        <v>0</v>
      </c>
      <c r="B11" t="e">
        <f>ABS(SpecPool!B11-Symphony!B11)</f>
        <v>#VALUE!</v>
      </c>
      <c r="C11">
        <v>20121001</v>
      </c>
      <c r="D11" s="3">
        <f>ABS(SpecPool!D11-Symphony!D11)</f>
        <v>20079818</v>
      </c>
      <c r="E11" t="e">
        <f>ABS(SpecPool!E11-Symphony!E11)</f>
        <v>#VALUE!</v>
      </c>
      <c r="F11" s="8">
        <f>ABS(SpecPool!F11-Symphony!F11)</f>
        <v>1645.3893338799826</v>
      </c>
      <c r="G11" s="7"/>
      <c r="H11" s="5">
        <f>ABS(SpecPool!H11-Symphony!H11)</f>
        <v>5.7107159486229762</v>
      </c>
      <c r="I11" s="5">
        <f>ABS(SpecPool!I11-Symphony!I11)</f>
        <v>6.13344563989493E-2</v>
      </c>
      <c r="K11" s="5">
        <f>ABS(SpecPool!K11-Symphony!K11)</f>
        <v>4.5603251122020083</v>
      </c>
      <c r="L11" s="5" t="e">
        <f>ABS(SpecPool!L11-Symphony!L11)</f>
        <v>#VALUE!</v>
      </c>
      <c r="M11" s="5">
        <f>ABS(SpecPool!M11-Symphony!M11)</f>
        <v>0.52598838141170035</v>
      </c>
      <c r="N11" s="5">
        <f>ABS(SpecPool!N11-Symphony!N11)</f>
        <v>1.497979996186799E-2</v>
      </c>
      <c r="O11" s="5" t="e">
        <f>ABS(SpecPool!O11-Symphony!O11)</f>
        <v>#VALUE!</v>
      </c>
      <c r="P11" s="5">
        <f>ABS(SpecPool!P11-Symphony!P11)</f>
        <v>0.34849615454609761</v>
      </c>
      <c r="Q11" s="5">
        <f>ABS(SpecPool!Q11-Symphony!Q11)</f>
        <v>0.72142256343260058</v>
      </c>
      <c r="R11" s="5">
        <f>ABS(SpecPool!R11-Symphony!R11)</f>
        <v>0</v>
      </c>
      <c r="S11" s="5" t="e">
        <f>ABS(SpecPool!S11-Symphony!S11)</f>
        <v>#VALUE!</v>
      </c>
      <c r="T11" s="5">
        <f>ABS(SpecPool!T11-Symphony!T11)</f>
        <v>7.9242315319898893E-2</v>
      </c>
      <c r="U11" s="5">
        <f>ABS(SpecPool!U11-Symphony!U11)</f>
        <v>0.70117390083279929</v>
      </c>
      <c r="V11" s="5" t="e">
        <f>ABS(SpecPool!V11-Symphony!V11)</f>
        <v>#VALUE!</v>
      </c>
      <c r="W11" s="5">
        <f>ABS(SpecPool!W11-Symphony!W11)</f>
        <v>0.65321932805699134</v>
      </c>
      <c r="X11" s="5">
        <f>ABS(SpecPool!X11-Symphony!X11)</f>
        <v>0.76113406964029906</v>
      </c>
      <c r="Y11" s="5">
        <f>ABS(SpecPool!Y11-Symphony!Y11)</f>
        <v>5.7555342747306781E-2</v>
      </c>
      <c r="Z11" s="5" t="e">
        <f>ABS(SpecPool!Z11-Symphony!Z11)</f>
        <v>#VALUE!</v>
      </c>
      <c r="AB11" s="4">
        <f>ABS(SpecPool!AB11-Symphony!AB11)</f>
        <v>3.8863274199270048E-2</v>
      </c>
      <c r="AC11" s="4">
        <f>ABS(SpecPool!AC11-Symphony!AC11)</f>
        <v>0.48607650496229837</v>
      </c>
      <c r="AD11" s="4">
        <f>ABS(SpecPool!AD11-Symphony!AD11)</f>
        <v>0.14254487987300024</v>
      </c>
      <c r="AE11" s="6"/>
      <c r="AF11" s="4">
        <f>ABS(SpecPool!AF11-Symphony!AF11)</f>
        <v>0.53431041567705506</v>
      </c>
      <c r="AG11" s="4">
        <f>ABS(SpecPool!AG11-Symphony!AG11)</f>
        <v>1.6702750380943598E-3</v>
      </c>
      <c r="AH11" s="4">
        <f>ABS(SpecPool!AH11-Symphony!AH11)</f>
        <v>1.3622250689290993</v>
      </c>
      <c r="AI11" s="4">
        <f>ABS(SpecPool!AI11-Symphony!AI11)</f>
        <v>1.4802602269003984E-3</v>
      </c>
      <c r="AJ11" s="4">
        <f>ABS(SpecPool!AJ11-Symphony!AJ11)</f>
        <v>0.21290026427597031</v>
      </c>
      <c r="AK11" s="4">
        <f>ABS(SpecPool!AK11-Symphony!AK11)</f>
        <v>6.5892189655016864E-2</v>
      </c>
    </row>
    <row r="12" spans="1:37" x14ac:dyDescent="0.25">
      <c r="A12">
        <f>ABS(SpecPool!A12-Symphony!A12)</f>
        <v>0</v>
      </c>
      <c r="B12" t="e">
        <f>ABS(SpecPool!B12-Symphony!B12)</f>
        <v>#VALUE!</v>
      </c>
      <c r="C12">
        <v>20121101</v>
      </c>
      <c r="D12" s="3">
        <f>ABS(SpecPool!D12-Symphony!D12)</f>
        <v>20079887</v>
      </c>
      <c r="E12" t="e">
        <f>ABS(SpecPool!E12-Symphony!E12)</f>
        <v>#VALUE!</v>
      </c>
      <c r="F12" s="8">
        <f>ABS(SpecPool!F12-Symphony!F12)</f>
        <v>2812.3831427650002</v>
      </c>
      <c r="G12" s="7"/>
      <c r="H12" s="5">
        <f>ABS(SpecPool!H12-Symphony!H12)</f>
        <v>9.0899595576219667</v>
      </c>
      <c r="I12" s="5">
        <f>ABS(SpecPool!I12-Symphony!I12)</f>
        <v>8.5743731863599848E-2</v>
      </c>
      <c r="K12" s="5">
        <f>ABS(SpecPool!K12-Symphony!K12)</f>
        <v>5.3664195707260092</v>
      </c>
      <c r="L12" s="5" t="e">
        <f>ABS(SpecPool!L12-Symphony!L12)</f>
        <v>#VALUE!</v>
      </c>
      <c r="M12" s="5">
        <f>ABS(SpecPool!M12-Symphony!M12)</f>
        <v>0.66715578612350157</v>
      </c>
      <c r="N12" s="5">
        <f>ABS(SpecPool!N12-Symphony!N12)</f>
        <v>2.6294773866053944E-2</v>
      </c>
      <c r="O12" s="5" t="e">
        <f>ABS(SpecPool!O12-Symphony!O12)</f>
        <v>#VALUE!</v>
      </c>
      <c r="P12" s="5">
        <f>ABS(SpecPool!P12-Symphony!P12)</f>
        <v>0.63185126039429917</v>
      </c>
      <c r="Q12" s="5">
        <f>ABS(SpecPool!Q12-Symphony!Q12)</f>
        <v>0.75070160684700049</v>
      </c>
      <c r="R12" s="5">
        <f>ABS(SpecPool!R12-Symphony!R12)</f>
        <v>0</v>
      </c>
      <c r="S12" s="5" t="e">
        <f>ABS(SpecPool!S12-Symphony!S12)</f>
        <v>#VALUE!</v>
      </c>
      <c r="T12" s="5">
        <f>ABS(SpecPool!T12-Symphony!T12)</f>
        <v>3.7806826909399405E-2</v>
      </c>
      <c r="U12" s="5">
        <f>ABS(SpecPool!U12-Symphony!U12)</f>
        <v>0.7012950383867036</v>
      </c>
      <c r="V12" s="5" t="e">
        <f>ABS(SpecPool!V12-Symphony!V12)</f>
        <v>#VALUE!</v>
      </c>
      <c r="W12" s="5">
        <f>ABS(SpecPool!W12-Symphony!W12)</f>
        <v>0.83265798233250621</v>
      </c>
      <c r="X12" s="5">
        <f>ABS(SpecPool!X12-Symphony!X12)</f>
        <v>0.84434022079789628</v>
      </c>
      <c r="Y12" s="5">
        <f>ABS(SpecPool!Y12-Symphony!Y12)</f>
        <v>0.1201462835634004</v>
      </c>
      <c r="Z12" s="5" t="e">
        <f>ABS(SpecPool!Z12-Symphony!Z12)</f>
        <v>#VALUE!</v>
      </c>
      <c r="AB12" s="4">
        <f>ABS(SpecPool!AB12-Symphony!AB12)</f>
        <v>5.7420985264080127E-2</v>
      </c>
      <c r="AC12" s="4">
        <f>ABS(SpecPool!AC12-Symphony!AC12)</f>
        <v>0.76952416729239914</v>
      </c>
      <c r="AD12" s="4">
        <f>ABS(SpecPool!AD12-Symphony!AD12)</f>
        <v>0.17362845015320261</v>
      </c>
      <c r="AE12" s="6"/>
      <c r="AF12" s="4">
        <f>ABS(SpecPool!AF12-Symphony!AF12)</f>
        <v>0.72181259745400439</v>
      </c>
      <c r="AG12" s="4">
        <f>ABS(SpecPool!AG12-Symphony!AG12)</f>
        <v>1.4776537036311765E-2</v>
      </c>
      <c r="AH12" s="4">
        <f>ABS(SpecPool!AH12-Symphony!AH12)</f>
        <v>1.7260545600105957</v>
      </c>
      <c r="AI12" s="4">
        <f>ABS(SpecPool!AI12-Symphony!AI12)</f>
        <v>4.9833264553988954E-4</v>
      </c>
      <c r="AJ12" s="4">
        <f>ABS(SpecPool!AJ12-Symphony!AJ12)</f>
        <v>0.29177659225142971</v>
      </c>
      <c r="AK12" s="4">
        <f>ABS(SpecPool!AK12-Symphony!AK12)</f>
        <v>4.7765663049972318E-2</v>
      </c>
    </row>
    <row r="13" spans="1:37" x14ac:dyDescent="0.25">
      <c r="A13">
        <f>ABS(SpecPool!A13-Symphony!A13)</f>
        <v>0</v>
      </c>
      <c r="B13" t="e">
        <f>ABS(SpecPool!B13-Symphony!B13)</f>
        <v>#VALUE!</v>
      </c>
      <c r="C13">
        <v>20121201</v>
      </c>
      <c r="D13" s="3">
        <f>ABS(SpecPool!D13-Symphony!D13)</f>
        <v>20079957</v>
      </c>
      <c r="E13" t="e">
        <f>ABS(SpecPool!E13-Symphony!E13)</f>
        <v>#VALUE!</v>
      </c>
      <c r="F13" s="8">
        <f>ABS(SpecPool!F13-Symphony!F13)</f>
        <v>411.73128468901268</v>
      </c>
      <c r="G13" s="7"/>
      <c r="H13" s="5">
        <f>ABS(SpecPool!H13-Symphony!H13)</f>
        <v>1.6987290235639989</v>
      </c>
      <c r="I13" s="5">
        <f>ABS(SpecPool!I13-Symphony!I13)</f>
        <v>9.4497009873000692E-2</v>
      </c>
      <c r="K13" s="5">
        <f>ABS(SpecPool!K13-Symphony!K13)</f>
        <v>1.6814507241689967</v>
      </c>
      <c r="L13" s="5" t="e">
        <f>ABS(SpecPool!L13-Symphony!L13)</f>
        <v>#VALUE!</v>
      </c>
      <c r="M13" s="5">
        <f>ABS(SpecPool!M13-Symphony!M13)</f>
        <v>0.26001425215989826</v>
      </c>
      <c r="N13" s="5">
        <f>ABS(SpecPool!N13-Symphony!N13)</f>
        <v>7.6880770972679313E-3</v>
      </c>
      <c r="O13" s="5" t="e">
        <f>ABS(SpecPool!O13-Symphony!O13)</f>
        <v>#VALUE!</v>
      </c>
      <c r="P13" s="5">
        <f>ABS(SpecPool!P13-Symphony!P13)</f>
        <v>9.2038450000600847E-2</v>
      </c>
      <c r="Q13" s="5">
        <f>ABS(SpecPool!Q13-Symphony!Q13)</f>
        <v>0.24922478704249862</v>
      </c>
      <c r="R13" s="5">
        <f>ABS(SpecPool!R13-Symphony!R13)</f>
        <v>0</v>
      </c>
      <c r="S13" s="5" t="e">
        <f>ABS(SpecPool!S13-Symphony!S13)</f>
        <v>#VALUE!</v>
      </c>
      <c r="T13" s="5">
        <f>ABS(SpecPool!T13-Symphony!T13)</f>
        <v>5.8228479082300666E-2</v>
      </c>
      <c r="U13" s="5">
        <f>ABS(SpecPool!U13-Symphony!U13)</f>
        <v>0.23822129945769177</v>
      </c>
      <c r="V13" s="5" t="e">
        <f>ABS(SpecPool!V13-Symphony!V13)</f>
        <v>#VALUE!</v>
      </c>
      <c r="W13" s="5">
        <f>ABS(SpecPool!W13-Symphony!W13)</f>
        <v>0.29456586818990615</v>
      </c>
      <c r="X13" s="5">
        <f>ABS(SpecPool!X13-Symphony!X13)</f>
        <v>0.23526126037280903</v>
      </c>
      <c r="Y13" s="5">
        <f>ABS(SpecPool!Y13-Symphony!Y13)</f>
        <v>9.3850470228304061E-2</v>
      </c>
      <c r="Z13" s="5" t="e">
        <f>ABS(SpecPool!Z13-Symphony!Z13)</f>
        <v>#VALUE!</v>
      </c>
      <c r="AB13" s="4">
        <f>ABS(SpecPool!AB13-Symphony!AB13)</f>
        <v>2.9442373318569803E-2</v>
      </c>
      <c r="AC13" s="4">
        <f>ABS(SpecPool!AC13-Symphony!AC13)</f>
        <v>0.24812758854490014</v>
      </c>
      <c r="AD13" s="4">
        <f>ABS(SpecPool!AD13-Symphony!AD13)</f>
        <v>5.8514930533405618E-2</v>
      </c>
      <c r="AE13" s="6"/>
      <c r="AF13" s="4">
        <f>ABS(SpecPool!AF13-Symphony!AF13)</f>
        <v>0.19984009587005858</v>
      </c>
      <c r="AG13" s="4">
        <f>ABS(SpecPool!AG13-Symphony!AG13)</f>
        <v>3.4086114413014457E-3</v>
      </c>
      <c r="AH13" s="4">
        <f>ABS(SpecPool!AH13-Symphony!AH13)</f>
        <v>0.46869184019929833</v>
      </c>
      <c r="AI13" s="4">
        <f>ABS(SpecPool!AI13-Symphony!AI13)</f>
        <v>1.5286800413294444E-3</v>
      </c>
      <c r="AJ13" s="4">
        <f>ABS(SpecPool!AJ13-Symphony!AJ13)</f>
        <v>9.1846577142030483E-2</v>
      </c>
      <c r="AK13" s="4">
        <f>ABS(SpecPool!AK13-Symphony!AK13)</f>
        <v>3.948580452799888E-2</v>
      </c>
    </row>
    <row r="14" spans="1:37" x14ac:dyDescent="0.25">
      <c r="A14">
        <f>ABS(SpecPool!A14-Symphony!A14)</f>
        <v>0</v>
      </c>
      <c r="B14" t="e">
        <f>ABS(SpecPool!B14-Symphony!B14)</f>
        <v>#VALUE!</v>
      </c>
      <c r="C14">
        <v>20130101</v>
      </c>
      <c r="D14" s="3">
        <f>ABS(SpecPool!D14-Symphony!D14)</f>
        <v>20088826</v>
      </c>
      <c r="E14" t="e">
        <f>ABS(SpecPool!E14-Symphony!E14)</f>
        <v>#VALUE!</v>
      </c>
      <c r="F14" s="8">
        <f>ABS(SpecPool!F14-Symphony!F14)</f>
        <v>624.88362182199489</v>
      </c>
      <c r="G14" s="7"/>
      <c r="H14" s="5">
        <f>ABS(SpecPool!H14-Symphony!H14)</f>
        <v>6.7451173331430141</v>
      </c>
      <c r="I14" s="5">
        <f>ABS(SpecPool!I14-Symphony!I14)</f>
        <v>2.4678056405999627E-2</v>
      </c>
      <c r="K14" s="5">
        <f>ABS(SpecPool!K14-Symphony!K14)</f>
        <v>2.0506067258129974</v>
      </c>
      <c r="L14" s="5" t="e">
        <f>ABS(SpecPool!L14-Symphony!L14)</f>
        <v>#VALUE!</v>
      </c>
      <c r="M14" s="5">
        <f>ABS(SpecPool!M14-Symphony!M14)</f>
        <v>0.18803050575609603</v>
      </c>
      <c r="N14" s="5">
        <f>ABS(SpecPool!N14-Symphony!N14)</f>
        <v>2.3305450478966927E-2</v>
      </c>
      <c r="O14" s="5" t="e">
        <f>ABS(SpecPool!O14-Symphony!O14)</f>
        <v>#VALUE!</v>
      </c>
      <c r="P14" s="5">
        <f>ABS(SpecPool!P14-Symphony!P14)</f>
        <v>0.70112186657028985</v>
      </c>
      <c r="Q14" s="5">
        <f>ABS(SpecPool!Q14-Symphony!Q14)</f>
        <v>0.65376262754080194</v>
      </c>
      <c r="R14" s="5">
        <f>ABS(SpecPool!R14-Symphony!R14)</f>
        <v>0</v>
      </c>
      <c r="S14" s="5" t="e">
        <f>ABS(SpecPool!S14-Symphony!S14)</f>
        <v>#VALUE!</v>
      </c>
      <c r="T14" s="5">
        <f>ABS(SpecPool!T14-Symphony!T14)</f>
        <v>7.7974331539998332E-3</v>
      </c>
      <c r="U14" s="5">
        <f>ABS(SpecPool!U14-Symphony!U14)</f>
        <v>0.61839874611659695</v>
      </c>
      <c r="V14" s="5" t="e">
        <f>ABS(SpecPool!V14-Symphony!V14)</f>
        <v>#VALUE!</v>
      </c>
      <c r="W14" s="5">
        <f>ABS(SpecPool!W14-Symphony!W14)</f>
        <v>8.3347727430705731E-2</v>
      </c>
      <c r="X14" s="5">
        <f>ABS(SpecPool!X14-Symphony!X14)</f>
        <v>0.12933154390850632</v>
      </c>
      <c r="Y14" s="5">
        <f>ABS(SpecPool!Y14-Symphony!Y14)</f>
        <v>0.42254619324269527</v>
      </c>
      <c r="Z14" s="5" t="e">
        <f>ABS(SpecPool!Z14-Symphony!Z14)</f>
        <v>#VALUE!</v>
      </c>
      <c r="AB14" s="4">
        <f>ABS(SpecPool!AB14-Symphony!AB14)</f>
        <v>4.3598289083889963E-2</v>
      </c>
      <c r="AC14" s="4">
        <f>ABS(SpecPool!AC14-Symphony!AC14)</f>
        <v>2.9426915167601209E-2</v>
      </c>
      <c r="AD14" s="4">
        <f>ABS(SpecPool!AD14-Symphony!AD14)</f>
        <v>4.5251191325903051E-2</v>
      </c>
      <c r="AE14" s="6"/>
      <c r="AF14" s="4">
        <f>ABS(SpecPool!AF14-Symphony!AF14)</f>
        <v>0.1410437991719391</v>
      </c>
      <c r="AG14" s="4">
        <f>ABS(SpecPool!AG14-Symphony!AG14)</f>
        <v>0.12349334120749234</v>
      </c>
      <c r="AH14" s="4">
        <f>ABS(SpecPool!AH14-Symphony!AH14)</f>
        <v>0.79971787474659806</v>
      </c>
      <c r="AI14" s="4">
        <f>ABS(SpecPool!AI14-Symphony!AI14)</f>
        <v>1.8120662063498827E-3</v>
      </c>
      <c r="AJ14" s="4">
        <f>ABS(SpecPool!AJ14-Symphony!AJ14)</f>
        <v>0.14100913976885998</v>
      </c>
      <c r="AK14" s="4">
        <f>ABS(SpecPool!AK14-Symphony!AK14)</f>
        <v>0.17826123474401356</v>
      </c>
    </row>
    <row r="15" spans="1:37" x14ac:dyDescent="0.25">
      <c r="A15">
        <f>ABS(SpecPool!A15-Symphony!A15)</f>
        <v>0</v>
      </c>
      <c r="B15" t="e">
        <f>ABS(SpecPool!B15-Symphony!B15)</f>
        <v>#VALUE!</v>
      </c>
      <c r="C15">
        <v>20130201</v>
      </c>
      <c r="D15" s="3">
        <f>ABS(SpecPool!D15-Symphony!D15)</f>
        <v>20088895</v>
      </c>
      <c r="E15" t="e">
        <f>ABS(SpecPool!E15-Symphony!E15)</f>
        <v>#VALUE!</v>
      </c>
      <c r="F15" s="8">
        <f>ABS(SpecPool!F15-Symphony!F15)</f>
        <v>97.086091752978973</v>
      </c>
      <c r="G15" s="7"/>
      <c r="H15" s="5">
        <f>ABS(SpecPool!H15-Symphony!H15)</f>
        <v>0.48000373965697918</v>
      </c>
      <c r="I15" s="5">
        <f>ABS(SpecPool!I15-Symphony!I15)</f>
        <v>2.1272049065899523E-2</v>
      </c>
      <c r="K15" s="5">
        <f>ABS(SpecPool!K15-Symphony!K15)</f>
        <v>0.12107630248698342</v>
      </c>
      <c r="L15" s="5" t="e">
        <f>ABS(SpecPool!L15-Symphony!L15)</f>
        <v>#VALUE!</v>
      </c>
      <c r="M15" s="5">
        <f>ABS(SpecPool!M15-Symphony!M15)</f>
        <v>0.20738104440630423</v>
      </c>
      <c r="N15" s="5">
        <f>ABS(SpecPool!N15-Symphony!N15)</f>
        <v>8.5175036212650213E-3</v>
      </c>
      <c r="O15" s="5" t="e">
        <f>ABS(SpecPool!O15-Symphony!O15)</f>
        <v>#VALUE!</v>
      </c>
      <c r="P15" s="5">
        <f>ABS(SpecPool!P15-Symphony!P15)</f>
        <v>0.22398201656919525</v>
      </c>
      <c r="Q15" s="5">
        <f>ABS(SpecPool!Q15-Symphony!Q15)</f>
        <v>0.10250080729129962</v>
      </c>
      <c r="R15" s="5">
        <f>ABS(SpecPool!R15-Symphony!R15)</f>
        <v>0</v>
      </c>
      <c r="S15" s="5" t="e">
        <f>ABS(SpecPool!S15-Symphony!S15)</f>
        <v>#VALUE!</v>
      </c>
      <c r="T15" s="5">
        <f>ABS(SpecPool!T15-Symphony!T15)</f>
        <v>1.322868187920001E-2</v>
      </c>
      <c r="U15" s="5">
        <f>ABS(SpecPool!U15-Symphony!U15)</f>
        <v>0.10642410293669968</v>
      </c>
      <c r="V15" s="5" t="e">
        <f>ABS(SpecPool!V15-Symphony!V15)</f>
        <v>#VALUE!</v>
      </c>
      <c r="W15" s="5">
        <f>ABS(SpecPool!W15-Symphony!W15)</f>
        <v>5.1100301031496542E-2</v>
      </c>
      <c r="X15" s="5">
        <f>ABS(SpecPool!X15-Symphony!X15)</f>
        <v>9.8371165491002444E-2</v>
      </c>
      <c r="Y15" s="5">
        <f>ABS(SpecPool!Y15-Symphony!Y15)</f>
        <v>0.20377936089590776</v>
      </c>
      <c r="Z15" s="5" t="e">
        <f>ABS(SpecPool!Z15-Symphony!Z15)</f>
        <v>#VALUE!</v>
      </c>
      <c r="AB15" s="4">
        <f>ABS(SpecPool!AB15-Symphony!AB15)</f>
        <v>2.4253728480180037E-2</v>
      </c>
      <c r="AC15" s="4">
        <f>ABS(SpecPool!AC15-Symphony!AC15)</f>
        <v>6.8648733623497549E-2</v>
      </c>
      <c r="AD15" s="4">
        <f>ABS(SpecPool!AD15-Symphony!AD15)</f>
        <v>6.4624603618398169E-2</v>
      </c>
      <c r="AE15" s="6"/>
      <c r="AF15" s="4">
        <f>ABS(SpecPool!AF15-Symphony!AF15)</f>
        <v>6.8998408443007975E-2</v>
      </c>
      <c r="AG15" s="4">
        <f>ABS(SpecPool!AG15-Symphony!AG15)</f>
        <v>7.0359843396502697E-2</v>
      </c>
      <c r="AH15" s="4">
        <f>ABS(SpecPool!AH15-Symphony!AH15)</f>
        <v>0.12158852447669943</v>
      </c>
      <c r="AI15" s="4">
        <f>ABS(SpecPool!AI15-Symphony!AI15)</f>
        <v>2.7913445656997382E-3</v>
      </c>
      <c r="AJ15" s="4">
        <f>ABS(SpecPool!AJ15-Symphony!AJ15)</f>
        <v>2.8202524808309093E-2</v>
      </c>
      <c r="AK15" s="4">
        <f>ABS(SpecPool!AK15-Symphony!AK15)</f>
        <v>3.0039948302373887E-4</v>
      </c>
    </row>
    <row r="16" spans="1:37" x14ac:dyDescent="0.25">
      <c r="A16">
        <f>ABS(SpecPool!A16-Symphony!A16)</f>
        <v>0</v>
      </c>
      <c r="B16" t="e">
        <f>ABS(SpecPool!B16-Symphony!B16)</f>
        <v>#VALUE!</v>
      </c>
      <c r="C16">
        <v>20130301</v>
      </c>
      <c r="D16" s="3">
        <f>ABS(SpecPool!D16-Symphony!D16)</f>
        <v>20088967</v>
      </c>
      <c r="E16" t="e">
        <f>ABS(SpecPool!E16-Symphony!E16)</f>
        <v>#VALUE!</v>
      </c>
      <c r="F16" s="8">
        <f>ABS(SpecPool!F16-Symphony!F16)</f>
        <v>31.663163113989867</v>
      </c>
      <c r="G16" s="7"/>
      <c r="H16" s="5">
        <f>ABS(SpecPool!H16-Symphony!H16)</f>
        <v>0.95262873980902896</v>
      </c>
      <c r="I16" s="5">
        <f>ABS(SpecPool!I16-Symphony!I16)</f>
        <v>4.7450327807601056E-2</v>
      </c>
      <c r="K16" s="5">
        <f>ABS(SpecPool!K16-Symphony!K16)</f>
        <v>0.10452107239601105</v>
      </c>
      <c r="L16" s="5" t="e">
        <f>ABS(SpecPool!L16-Symphony!L16)</f>
        <v>#VALUE!</v>
      </c>
      <c r="M16" s="5">
        <f>ABS(SpecPool!M16-Symphony!M16)</f>
        <v>0.1479670173037988</v>
      </c>
      <c r="N16" s="5">
        <f>ABS(SpecPool!N16-Symphony!N16)</f>
        <v>6.9452829030419716E-3</v>
      </c>
      <c r="O16" s="5" t="e">
        <f>ABS(SpecPool!O16-Symphony!O16)</f>
        <v>#VALUE!</v>
      </c>
      <c r="P16" s="5">
        <f>ABS(SpecPool!P16-Symphony!P16)</f>
        <v>0.14899122466839287</v>
      </c>
      <c r="Q16" s="5">
        <f>ABS(SpecPool!Q16-Symphony!Q16)</f>
        <v>7.814468241150152E-2</v>
      </c>
      <c r="R16" s="5">
        <f>ABS(SpecPool!R16-Symphony!R16)</f>
        <v>0</v>
      </c>
      <c r="S16" s="5" t="e">
        <f>ABS(SpecPool!S16-Symphony!S16)</f>
        <v>#VALUE!</v>
      </c>
      <c r="T16" s="5">
        <f>ABS(SpecPool!T16-Symphony!T16)</f>
        <v>4.1338950130054286E-4</v>
      </c>
      <c r="U16" s="5">
        <f>ABS(SpecPool!U16-Symphony!U16)</f>
        <v>7.7817936109198627E-2</v>
      </c>
      <c r="V16" s="5" t="e">
        <f>ABS(SpecPool!V16-Symphony!V16)</f>
        <v>#VALUE!</v>
      </c>
      <c r="W16" s="5">
        <f>ABS(SpecPool!W16-Symphony!W16)</f>
        <v>2.3089377486897433E-2</v>
      </c>
      <c r="X16" s="5">
        <f>ABS(SpecPool!X16-Symphony!X16)</f>
        <v>7.5045188606694069E-2</v>
      </c>
      <c r="Y16" s="5">
        <f>ABS(SpecPool!Y16-Symphony!Y16)</f>
        <v>0.16694219961588885</v>
      </c>
      <c r="Z16" s="5" t="e">
        <f>ABS(SpecPool!Z16-Symphony!Z16)</f>
        <v>#VALUE!</v>
      </c>
      <c r="AB16" s="4">
        <f>ABS(SpecPool!AB16-Symphony!AB16)</f>
        <v>1.8855075692510326E-2</v>
      </c>
      <c r="AC16" s="4">
        <f>ABS(SpecPool!AC16-Symphony!AC16)</f>
        <v>6.7723451243399069E-2</v>
      </c>
      <c r="AD16" s="4">
        <f>ABS(SpecPool!AD16-Symphony!AD16)</f>
        <v>7.5801367035296607E-2</v>
      </c>
      <c r="AE16" s="6"/>
      <c r="AF16" s="4">
        <f>ABS(SpecPool!AF16-Symphony!AF16)</f>
        <v>7.5089553053999225E-2</v>
      </c>
      <c r="AG16" s="4">
        <f>ABS(SpecPool!AG16-Symphony!AG16)</f>
        <v>6.4208658082208103E-2</v>
      </c>
      <c r="AH16" s="4">
        <f>ABS(SpecPool!AH16-Symphony!AH16)</f>
        <v>0.10415517444260303</v>
      </c>
      <c r="AI16" s="4">
        <f>ABS(SpecPool!AI16-Symphony!AI16)</f>
        <v>3.0532067085795589E-3</v>
      </c>
      <c r="AJ16" s="4">
        <f>ABS(SpecPool!AJ16-Symphony!AJ16)</f>
        <v>2.1861995500199072E-2</v>
      </c>
      <c r="AK16" s="4">
        <f>ABS(SpecPool!AK16-Symphony!AK16)</f>
        <v>6.9783079069907217E-3</v>
      </c>
    </row>
    <row r="17" spans="1:37" x14ac:dyDescent="0.25">
      <c r="A17">
        <f>ABS(SpecPool!A17-Symphony!A17)</f>
        <v>0</v>
      </c>
      <c r="B17" t="e">
        <f>ABS(SpecPool!B17-Symphony!B17)</f>
        <v>#VALUE!</v>
      </c>
      <c r="C17">
        <v>20130401</v>
      </c>
      <c r="D17" s="3">
        <f>ABS(SpecPool!D17-Symphony!D17)</f>
        <v>20089036</v>
      </c>
      <c r="E17" t="e">
        <f>ABS(SpecPool!E17-Symphony!E17)</f>
        <v>#VALUE!</v>
      </c>
      <c r="F17" s="8">
        <f>ABS(SpecPool!F17-Symphony!F17)</f>
        <v>44.703898375999415</v>
      </c>
      <c r="G17" s="7"/>
      <c r="H17" s="5">
        <f>ABS(SpecPool!H17-Symphony!H17)</f>
        <v>1.4776924462860279</v>
      </c>
      <c r="I17" s="5">
        <f>ABS(SpecPool!I17-Symphony!I17)</f>
        <v>9.2015827702459418E-2</v>
      </c>
      <c r="K17" s="5">
        <f>ABS(SpecPool!K17-Symphony!K17)</f>
        <v>0.10711422225000433</v>
      </c>
      <c r="L17" s="5" t="e">
        <f>ABS(SpecPool!L17-Symphony!L17)</f>
        <v>#VALUE!</v>
      </c>
      <c r="M17" s="5">
        <f>ABS(SpecPool!M17-Symphony!M17)</f>
        <v>0.14363212695389649</v>
      </c>
      <c r="N17" s="5">
        <f>ABS(SpecPool!N17-Symphony!N17)</f>
        <v>1.872512637389967E-3</v>
      </c>
      <c r="O17" s="5" t="e">
        <f>ABS(SpecPool!O17-Symphony!O17)</f>
        <v>#VALUE!</v>
      </c>
      <c r="P17" s="5">
        <f>ABS(SpecPool!P17-Symphony!P17)</f>
        <v>0.14199585409299686</v>
      </c>
      <c r="Q17" s="5">
        <f>ABS(SpecPool!Q17-Symphony!Q17)</f>
        <v>7.9130971878196732E-2</v>
      </c>
      <c r="R17" s="5">
        <f>ABS(SpecPool!R17-Symphony!R17)</f>
        <v>0</v>
      </c>
      <c r="S17" s="5" t="e">
        <f>ABS(SpecPool!S17-Symphony!S17)</f>
        <v>#VALUE!</v>
      </c>
      <c r="T17" s="5">
        <f>ABS(SpecPool!T17-Symphony!T17)</f>
        <v>7.982518191800736E-3</v>
      </c>
      <c r="U17" s="5">
        <f>ABS(SpecPool!U17-Symphony!U17)</f>
        <v>6.9207618179703445E-2</v>
      </c>
      <c r="V17" s="5" t="e">
        <f>ABS(SpecPool!V17-Symphony!V17)</f>
        <v>#VALUE!</v>
      </c>
      <c r="W17" s="5">
        <f>ABS(SpecPool!W17-Symphony!W17)</f>
        <v>2.6463596363896613E-2</v>
      </c>
      <c r="X17" s="5">
        <f>ABS(SpecPool!X17-Symphony!X17)</f>
        <v>7.4047187016496707E-2</v>
      </c>
      <c r="Y17" s="5">
        <f>ABS(SpecPool!Y17-Symphony!Y17)</f>
        <v>0.16234775207270502</v>
      </c>
      <c r="Z17" s="5" t="e">
        <f>ABS(SpecPool!Z17-Symphony!Z17)</f>
        <v>#VALUE!</v>
      </c>
      <c r="AB17" s="4">
        <f>ABS(SpecPool!AB17-Symphony!AB17)</f>
        <v>1.8147127692879739E-2</v>
      </c>
      <c r="AC17" s="4">
        <f>ABS(SpecPool!AC17-Symphony!AC17)</f>
        <v>8.2093069080897862E-2</v>
      </c>
      <c r="AD17" s="4">
        <f>ABS(SpecPool!AD17-Symphony!AD17)</f>
        <v>7.2581169845108207E-2</v>
      </c>
      <c r="AE17" s="6"/>
      <c r="AF17" s="4">
        <f>ABS(SpecPool!AF17-Symphony!AF17)</f>
        <v>7.0900327399044727E-2</v>
      </c>
      <c r="AG17" s="4">
        <f>ABS(SpecPool!AG17-Symphony!AG17)</f>
        <v>6.6460243598697843E-2</v>
      </c>
      <c r="AH17" s="4">
        <f>ABS(SpecPool!AH17-Symphony!AH17)</f>
        <v>7.7195749649398238E-2</v>
      </c>
      <c r="AI17" s="4">
        <f>ABS(SpecPool!AI17-Symphony!AI17)</f>
        <v>2.9814986590395165E-3</v>
      </c>
      <c r="AJ17" s="4">
        <f>ABS(SpecPool!AJ17-Symphony!AJ17)</f>
        <v>1.7526156744500199E-2</v>
      </c>
      <c r="AK17" s="4">
        <f>ABS(SpecPool!AK17-Symphony!AK17)</f>
        <v>1.2959435857965218E-2</v>
      </c>
    </row>
    <row r="18" spans="1:37" x14ac:dyDescent="0.25">
      <c r="A18">
        <f>ABS(SpecPool!A18-Symphony!A18)</f>
        <v>0</v>
      </c>
      <c r="B18" t="e">
        <f>ABS(SpecPool!B18-Symphony!B18)</f>
        <v>#VALUE!</v>
      </c>
      <c r="C18">
        <v>20130501</v>
      </c>
      <c r="D18" s="3">
        <f>ABS(SpecPool!D18-Symphony!D18)</f>
        <v>20089106</v>
      </c>
      <c r="E18" t="e">
        <f>ABS(SpecPool!E18-Symphony!E18)</f>
        <v>#VALUE!</v>
      </c>
      <c r="F18" s="8">
        <f>ABS(SpecPool!F18-Symphony!F18)</f>
        <v>416.12612544401782</v>
      </c>
      <c r="G18" s="7"/>
      <c r="H18" s="5">
        <f>ABS(SpecPool!H18-Symphony!H18)</f>
        <v>1.7825955158359648</v>
      </c>
      <c r="I18" s="5">
        <f>ABS(SpecPool!I18-Symphony!I18)</f>
        <v>8.2270711589099932E-2</v>
      </c>
      <c r="K18" s="5">
        <f>ABS(SpecPool!K18-Symphony!K18)</f>
        <v>0.56183129626899131</v>
      </c>
      <c r="L18" s="5" t="e">
        <f>ABS(SpecPool!L18-Symphony!L18)</f>
        <v>#VALUE!</v>
      </c>
      <c r="M18" s="5">
        <f>ABS(SpecPool!M18-Symphony!M18)</f>
        <v>9.8303632179298717E-2</v>
      </c>
      <c r="N18" s="5">
        <f>ABS(SpecPool!N18-Symphony!N18)</f>
        <v>2.8390712949130092E-3</v>
      </c>
      <c r="O18" s="5" t="e">
        <f>ABS(SpecPool!O18-Symphony!O18)</f>
        <v>#VALUE!</v>
      </c>
      <c r="P18" s="5">
        <f>ABS(SpecPool!P18-Symphony!P18)</f>
        <v>0.3653214185555953</v>
      </c>
      <c r="Q18" s="5">
        <f>ABS(SpecPool!Q18-Symphony!Q18)</f>
        <v>0.17702997067819837</v>
      </c>
      <c r="R18" s="5">
        <f>ABS(SpecPool!R18-Symphony!R18)</f>
        <v>0</v>
      </c>
      <c r="S18" s="5" t="e">
        <f>ABS(SpecPool!S18-Symphony!S18)</f>
        <v>#VALUE!</v>
      </c>
      <c r="T18" s="5">
        <f>ABS(SpecPool!T18-Symphony!T18)</f>
        <v>3.8924516211000793E-3</v>
      </c>
      <c r="U18" s="5">
        <f>ABS(SpecPool!U18-Symphony!U18)</f>
        <v>0.17008854806709905</v>
      </c>
      <c r="V18" s="5" t="e">
        <f>ABS(SpecPool!V18-Symphony!V18)</f>
        <v>#VALUE!</v>
      </c>
      <c r="W18" s="5">
        <f>ABS(SpecPool!W18-Symphony!W18)</f>
        <v>2.8286876909703551E-2</v>
      </c>
      <c r="X18" s="5">
        <f>ABS(SpecPool!X18-Symphony!X18)</f>
        <v>1.3083671568800526E-2</v>
      </c>
      <c r="Y18" s="5">
        <f>ABS(SpecPool!Y18-Symphony!Y18)</f>
        <v>0.23242068216549683</v>
      </c>
      <c r="Z18" s="5" t="e">
        <f>ABS(SpecPool!Z18-Symphony!Z18)</f>
        <v>#VALUE!</v>
      </c>
      <c r="AB18" s="4">
        <f>ABS(SpecPool!AB18-Symphony!AB18)</f>
        <v>1.5502947432399772E-2</v>
      </c>
      <c r="AC18" s="4">
        <f>ABS(SpecPool!AC18-Symphony!AC18)</f>
        <v>3.8470307949200588E-2</v>
      </c>
      <c r="AD18" s="4">
        <f>ABS(SpecPool!AD18-Symphony!AD18)</f>
        <v>7.7314024226410538E-2</v>
      </c>
      <c r="AE18" s="6"/>
      <c r="AF18" s="4">
        <f>ABS(SpecPool!AF18-Symphony!AF18)</f>
        <v>0.16146991823700318</v>
      </c>
      <c r="AG18" s="4">
        <f>ABS(SpecPool!AG18-Symphony!AG18)</f>
        <v>8.969546677670337E-2</v>
      </c>
      <c r="AH18" s="4">
        <f>ABS(SpecPool!AH18-Symphony!AH18)</f>
        <v>0.25025281590500015</v>
      </c>
      <c r="AI18" s="4">
        <f>ABS(SpecPool!AI18-Symphony!AI18)</f>
        <v>2.9291881003201681E-3</v>
      </c>
      <c r="AJ18" s="4">
        <f>ABS(SpecPool!AJ18-Symphony!AJ18)</f>
        <v>6.4831390079399753E-2</v>
      </c>
      <c r="AK18" s="4">
        <f>ABS(SpecPool!AK18-Symphony!AK18)</f>
        <v>0.11408305848300415</v>
      </c>
    </row>
    <row r="19" spans="1:37" x14ac:dyDescent="0.25">
      <c r="A19">
        <f>ABS(SpecPool!A19-Symphony!A19)</f>
        <v>0</v>
      </c>
      <c r="B19" t="e">
        <f>ABS(SpecPool!B19-Symphony!B19)</f>
        <v>#VALUE!</v>
      </c>
      <c r="C19">
        <v>20130601</v>
      </c>
      <c r="D19" s="3">
        <f>ABS(SpecPool!D19-Symphony!D19)</f>
        <v>20089175</v>
      </c>
      <c r="E19" t="e">
        <f>ABS(SpecPool!E19-Symphony!E19)</f>
        <v>#VALUE!</v>
      </c>
      <c r="F19" s="8">
        <f>ABS(SpecPool!F19-Symphony!F19)</f>
        <v>430.94183485701797</v>
      </c>
      <c r="G19" s="7"/>
      <c r="H19" s="5">
        <f>ABS(SpecPool!H19-Symphony!H19)</f>
        <v>1.5994228699229325</v>
      </c>
      <c r="I19" s="5">
        <f>ABS(SpecPool!I19-Symphony!I19)</f>
        <v>5.3790995882600612E-2</v>
      </c>
      <c r="K19" s="5">
        <f>ABS(SpecPool!K19-Symphony!K19)</f>
        <v>0.52355978614900778</v>
      </c>
      <c r="L19" s="5" t="e">
        <f>ABS(SpecPool!L19-Symphony!L19)</f>
        <v>#VALUE!</v>
      </c>
      <c r="M19" s="5">
        <f>ABS(SpecPool!M19-Symphony!M19)</f>
        <v>7.7195296842798911E-2</v>
      </c>
      <c r="N19" s="5">
        <f>ABS(SpecPool!N19-Symphony!N19)</f>
        <v>7.2247610406594998E-4</v>
      </c>
      <c r="O19" s="5" t="e">
        <f>ABS(SpecPool!O19-Symphony!O19)</f>
        <v>#VALUE!</v>
      </c>
      <c r="P19" s="5">
        <f>ABS(SpecPool!P19-Symphony!P19)</f>
        <v>0.3520312709645026</v>
      </c>
      <c r="Q19" s="5">
        <f>ABS(SpecPool!Q19-Symphony!Q19)</f>
        <v>0.16369016245729995</v>
      </c>
      <c r="R19" s="5">
        <f>ABS(SpecPool!R19-Symphony!R19)</f>
        <v>0</v>
      </c>
      <c r="S19" s="5" t="e">
        <f>ABS(SpecPool!S19-Symphony!S19)</f>
        <v>#VALUE!</v>
      </c>
      <c r="T19" s="5">
        <f>ABS(SpecPool!T19-Symphony!T19)</f>
        <v>5.5121790782006741E-3</v>
      </c>
      <c r="U19" s="5">
        <f>ABS(SpecPool!U19-Symphony!U19)</f>
        <v>0.16220080928049185</v>
      </c>
      <c r="V19" s="5" t="e">
        <f>ABS(SpecPool!V19-Symphony!V19)</f>
        <v>#VALUE!</v>
      </c>
      <c r="W19" s="5">
        <f>ABS(SpecPool!W19-Symphony!W19)</f>
        <v>3.1002510900890456E-2</v>
      </c>
      <c r="X19" s="5">
        <f>ABS(SpecPool!X19-Symphony!X19)</f>
        <v>2.3278988691970426E-3</v>
      </c>
      <c r="Y19" s="5">
        <f>ABS(SpecPool!Y19-Symphony!Y19)</f>
        <v>0.22912190039680524</v>
      </c>
      <c r="Z19" s="5" t="e">
        <f>ABS(SpecPool!Z19-Symphony!Z19)</f>
        <v>#VALUE!</v>
      </c>
      <c r="AB19" s="4">
        <f>ABS(SpecPool!AB19-Symphony!AB19)</f>
        <v>1.9757303677329752E-2</v>
      </c>
      <c r="AC19" s="4">
        <f>ABS(SpecPool!AC19-Symphony!AC19)</f>
        <v>3.4354842206198555E-2</v>
      </c>
      <c r="AD19" s="4">
        <f>ABS(SpecPool!AD19-Symphony!AD19)</f>
        <v>6.3657911459102934E-2</v>
      </c>
      <c r="AE19" s="6"/>
      <c r="AF19" s="4">
        <f>ABS(SpecPool!AF19-Symphony!AF19)</f>
        <v>0.13813176333098909</v>
      </c>
      <c r="AG19" s="4">
        <f>ABS(SpecPool!AG19-Symphony!AG19)</f>
        <v>8.3527222962402448E-2</v>
      </c>
      <c r="AH19" s="4">
        <f>ABS(SpecPool!AH19-Symphony!AH19)</f>
        <v>0.2407785044412023</v>
      </c>
      <c r="AI19" s="4">
        <f>ABS(SpecPool!AI19-Symphony!AI19)</f>
        <v>2.902789457599475E-3</v>
      </c>
      <c r="AJ19" s="4">
        <f>ABS(SpecPool!AJ19-Symphony!AJ19)</f>
        <v>6.0409298602300154E-2</v>
      </c>
      <c r="AK19" s="4">
        <f>ABS(SpecPool!AK19-Symphony!AK19)</f>
        <v>0.1039704490119675</v>
      </c>
    </row>
    <row r="20" spans="1:37" x14ac:dyDescent="0.25">
      <c r="A20">
        <f>ABS(SpecPool!A20-Symphony!A20)</f>
        <v>0</v>
      </c>
      <c r="B20" t="e">
        <f>ABS(SpecPool!B20-Symphony!B20)</f>
        <v>#VALUE!</v>
      </c>
      <c r="C20">
        <v>20130701</v>
      </c>
      <c r="D20" s="3">
        <f>ABS(SpecPool!D20-Symphony!D20)</f>
        <v>20089245</v>
      </c>
      <c r="E20" t="e">
        <f>ABS(SpecPool!E20-Symphony!E20)</f>
        <v>#VALUE!</v>
      </c>
      <c r="F20" s="8">
        <f>ABS(SpecPool!F20-Symphony!F20)</f>
        <v>431.18164597798022</v>
      </c>
      <c r="G20" s="7"/>
      <c r="H20" s="5">
        <f>ABS(SpecPool!H20-Symphony!H20)</f>
        <v>1.7910335103570105</v>
      </c>
      <c r="I20" s="5">
        <f>ABS(SpecPool!I20-Symphony!I20)</f>
        <v>0.10308224339479999</v>
      </c>
      <c r="K20" s="5">
        <f>ABS(SpecPool!K20-Symphony!K20)</f>
        <v>0.54521582814697922</v>
      </c>
      <c r="L20" s="5" t="e">
        <f>ABS(SpecPool!L20-Symphony!L20)</f>
        <v>#VALUE!</v>
      </c>
      <c r="M20" s="5">
        <f>ABS(SpecPool!M20-Symphony!M20)</f>
        <v>6.754858664169916E-2</v>
      </c>
      <c r="N20" s="5">
        <f>ABS(SpecPool!N20-Symphony!N20)</f>
        <v>7.0103171317720259E-3</v>
      </c>
      <c r="O20" s="5" t="e">
        <f>ABS(SpecPool!O20-Symphony!O20)</f>
        <v>#VALUE!</v>
      </c>
      <c r="P20" s="5">
        <f>ABS(SpecPool!P20-Symphony!P20)</f>
        <v>0.35023789665270044</v>
      </c>
      <c r="Q20" s="5">
        <f>ABS(SpecPool!Q20-Symphony!Q20)</f>
        <v>0.16640433544899835</v>
      </c>
      <c r="R20" s="5">
        <f>ABS(SpecPool!R20-Symphony!R20)</f>
        <v>0</v>
      </c>
      <c r="S20" s="5" t="e">
        <f>ABS(SpecPool!S20-Symphony!S20)</f>
        <v>#VALUE!</v>
      </c>
      <c r="T20" s="5">
        <f>ABS(SpecPool!T20-Symphony!T20)</f>
        <v>1.3048013113600376E-2</v>
      </c>
      <c r="U20" s="5">
        <f>ABS(SpecPool!U20-Symphony!U20)</f>
        <v>0.16462830171739995</v>
      </c>
      <c r="V20" s="5" t="e">
        <f>ABS(SpecPool!V20-Symphony!V20)</f>
        <v>#VALUE!</v>
      </c>
      <c r="W20" s="5">
        <f>ABS(SpecPool!W20-Symphony!W20)</f>
        <v>3.2588103241096178E-2</v>
      </c>
      <c r="X20" s="5">
        <f>ABS(SpecPool!X20-Symphony!X20)</f>
        <v>4.9635001081203001E-3</v>
      </c>
      <c r="Y20" s="5">
        <f>ABS(SpecPool!Y20-Symphony!Y20)</f>
        <v>0.22233973020719588</v>
      </c>
      <c r="Z20" s="5" t="e">
        <f>ABS(SpecPool!Z20-Symphony!Z20)</f>
        <v>#VALUE!</v>
      </c>
      <c r="AB20" s="4">
        <f>ABS(SpecPool!AB20-Symphony!AB20)</f>
        <v>2.0040579719370122E-2</v>
      </c>
      <c r="AC20" s="4">
        <f>ABS(SpecPool!AC20-Symphony!AC20)</f>
        <v>3.771247983559789E-2</v>
      </c>
      <c r="AD20" s="4">
        <f>ABS(SpecPool!AD20-Symphony!AD20)</f>
        <v>6.778984378701125E-2</v>
      </c>
      <c r="AE20" s="6"/>
      <c r="AF20" s="4">
        <f>ABS(SpecPool!AF20-Symphony!AF20)</f>
        <v>0.14577822637602367</v>
      </c>
      <c r="AG20" s="4">
        <f>ABS(SpecPool!AG20-Symphony!AG20)</f>
        <v>8.6693697916999213E-2</v>
      </c>
      <c r="AH20" s="4">
        <f>ABS(SpecPool!AH20-Symphony!AH20)</f>
        <v>0.24978502148620407</v>
      </c>
      <c r="AI20" s="4">
        <f>ABS(SpecPool!AI20-Symphony!AI20)</f>
        <v>3.0587391783400975E-3</v>
      </c>
      <c r="AJ20" s="4">
        <f>ABS(SpecPool!AJ20-Symphony!AJ20)</f>
        <v>5.8231153357999332E-2</v>
      </c>
      <c r="AK20" s="4">
        <f>ABS(SpecPool!AK20-Symphony!AK20)</f>
        <v>0.11367871430803689</v>
      </c>
    </row>
    <row r="21" spans="1:37" x14ac:dyDescent="0.25">
      <c r="A21">
        <f>ABS(SpecPool!A21-Symphony!A21)</f>
        <v>0</v>
      </c>
      <c r="B21" t="e">
        <f>ABS(SpecPool!B21-Symphony!B21)</f>
        <v>#VALUE!</v>
      </c>
      <c r="C21">
        <v>20130801</v>
      </c>
      <c r="D21" s="3">
        <f>ABS(SpecPool!D21-Symphony!D21)</f>
        <v>20089314</v>
      </c>
      <c r="E21" t="e">
        <f>ABS(SpecPool!E21-Symphony!E21)</f>
        <v>#VALUE!</v>
      </c>
      <c r="F21" s="8">
        <f>ABS(SpecPool!F21-Symphony!F21)</f>
        <v>431.36580713800504</v>
      </c>
      <c r="G21" s="7"/>
      <c r="H21" s="5">
        <f>ABS(SpecPool!H21-Symphony!H21)</f>
        <v>1.8023285837009553</v>
      </c>
      <c r="I21" s="5">
        <f>ABS(SpecPool!I21-Symphony!I21)</f>
        <v>5.5269585954000888E-3</v>
      </c>
      <c r="K21" s="5">
        <f>ABS(SpecPool!K21-Symphony!K21)</f>
        <v>0.51669447435898519</v>
      </c>
      <c r="L21" s="5" t="e">
        <f>ABS(SpecPool!L21-Symphony!L21)</f>
        <v>#VALUE!</v>
      </c>
      <c r="M21" s="5">
        <f>ABS(SpecPool!M21-Symphony!M21)</f>
        <v>5.145125131570083E-2</v>
      </c>
      <c r="N21" s="5">
        <f>ABS(SpecPool!N21-Symphony!N21)</f>
        <v>2.2428788956260215E-3</v>
      </c>
      <c r="O21" s="5" t="e">
        <f>ABS(SpecPool!O21-Symphony!O21)</f>
        <v>#VALUE!</v>
      </c>
      <c r="P21" s="5">
        <f>ABS(SpecPool!P21-Symphony!P21)</f>
        <v>0.34415748234789589</v>
      </c>
      <c r="Q21" s="5">
        <f>ABS(SpecPool!Q21-Symphony!Q21)</f>
        <v>0.16579148775790031</v>
      </c>
      <c r="R21" s="5">
        <f>ABS(SpecPool!R21-Symphony!R21)</f>
        <v>0</v>
      </c>
      <c r="S21" s="5" t="e">
        <f>ABS(SpecPool!S21-Symphony!S21)</f>
        <v>#VALUE!</v>
      </c>
      <c r="T21" s="5">
        <f>ABS(SpecPool!T21-Symphony!T21)</f>
        <v>7.1031718452001513E-3</v>
      </c>
      <c r="U21" s="5">
        <f>ABS(SpecPool!U21-Symphony!U21)</f>
        <v>0.16829568657290395</v>
      </c>
      <c r="V21" s="5" t="e">
        <f>ABS(SpecPool!V21-Symphony!V21)</f>
        <v>#VALUE!</v>
      </c>
      <c r="W21" s="5">
        <f>ABS(SpecPool!W21-Symphony!W21)</f>
        <v>3.0379820299302196E-2</v>
      </c>
      <c r="X21" s="5">
        <f>ABS(SpecPool!X21-Symphony!X21)</f>
        <v>5.1062313754002275E-3</v>
      </c>
      <c r="Y21" s="5">
        <f>ABS(SpecPool!Y21-Symphony!Y21)</f>
        <v>0.22192295684129704</v>
      </c>
      <c r="Z21" s="5" t="e">
        <f>ABS(SpecPool!Z21-Symphony!Z21)</f>
        <v>#VALUE!</v>
      </c>
      <c r="AB21" s="4">
        <f>ABS(SpecPool!AB21-Symphony!AB21)</f>
        <v>1.596352413553026E-2</v>
      </c>
      <c r="AC21" s="4">
        <f>ABS(SpecPool!AC21-Symphony!AC21)</f>
        <v>3.5076972677298812E-2</v>
      </c>
      <c r="AD21" s="4">
        <f>ABS(SpecPool!AD21-Symphony!AD21)</f>
        <v>6.0138650887807898E-2</v>
      </c>
      <c r="AE21" s="6"/>
      <c r="AF21" s="4">
        <f>ABS(SpecPool!AF21-Symphony!AF21)</f>
        <v>0.14535430010903383</v>
      </c>
      <c r="AG21" s="4">
        <f>ABS(SpecPool!AG21-Symphony!AG21)</f>
        <v>8.1347361197899204E-2</v>
      </c>
      <c r="AH21" s="4">
        <f>ABS(SpecPool!AH21-Symphony!AH21)</f>
        <v>0.24986479483099799</v>
      </c>
      <c r="AI21" s="4">
        <f>ABS(SpecPool!AI21-Symphony!AI21)</f>
        <v>2.9042716855194328E-3</v>
      </c>
      <c r="AJ21" s="4">
        <f>ABS(SpecPool!AJ21-Symphony!AJ21)</f>
        <v>6.1266773225700177E-2</v>
      </c>
      <c r="AK21" s="4">
        <f>ABS(SpecPool!AK21-Symphony!AK21)</f>
        <v>0.111837308588008</v>
      </c>
    </row>
    <row r="22" spans="1:37" x14ac:dyDescent="0.25">
      <c r="A22">
        <f>ABS(SpecPool!A22-Symphony!A22)</f>
        <v>0</v>
      </c>
      <c r="B22" t="e">
        <f>ABS(SpecPool!B22-Symphony!B22)</f>
        <v>#VALUE!</v>
      </c>
      <c r="C22">
        <v>20130901</v>
      </c>
      <c r="D22" s="3">
        <f>ABS(SpecPool!D22-Symphony!D22)</f>
        <v>20089383</v>
      </c>
      <c r="E22" t="e">
        <f>ABS(SpecPool!E22-Symphony!E22)</f>
        <v>#VALUE!</v>
      </c>
      <c r="F22" s="8">
        <f>ABS(SpecPool!F22-Symphony!F22)</f>
        <v>52.052709712006617</v>
      </c>
      <c r="G22" s="7"/>
      <c r="H22" s="5">
        <f>ABS(SpecPool!H22-Symphony!H22)</f>
        <v>1.136294578266984</v>
      </c>
      <c r="I22" s="5">
        <f>ABS(SpecPool!I22-Symphony!I22)</f>
        <v>2.9982822088900463E-2</v>
      </c>
      <c r="K22" s="5">
        <f>ABS(SpecPool!K22-Symphony!K22)</f>
        <v>0.19538228297801652</v>
      </c>
      <c r="L22" s="5" t="e">
        <f>ABS(SpecPool!L22-Symphony!L22)</f>
        <v>#VALUE!</v>
      </c>
      <c r="M22" s="5">
        <f>ABS(SpecPool!M22-Symphony!M22)</f>
        <v>6.8750810390000083E-2</v>
      </c>
      <c r="N22" s="5">
        <f>ABS(SpecPool!N22-Symphony!N22)</f>
        <v>4.8253593925207117E-4</v>
      </c>
      <c r="O22" s="5" t="e">
        <f>ABS(SpecPool!O22-Symphony!O22)</f>
        <v>#VALUE!</v>
      </c>
      <c r="P22" s="5">
        <f>ABS(SpecPool!P22-Symphony!P22)</f>
        <v>0.15872436678471047</v>
      </c>
      <c r="Q22" s="5">
        <f>ABS(SpecPool!Q22-Symphony!Q22)</f>
        <v>6.583282771000043E-2</v>
      </c>
      <c r="R22" s="5">
        <f>ABS(SpecPool!R22-Symphony!R22)</f>
        <v>0</v>
      </c>
      <c r="S22" s="5" t="e">
        <f>ABS(SpecPool!S22-Symphony!S22)</f>
        <v>#VALUE!</v>
      </c>
      <c r="T22" s="5">
        <f>ABS(SpecPool!T22-Symphony!T22)</f>
        <v>9.6612026095996839E-3</v>
      </c>
      <c r="U22" s="5">
        <f>ABS(SpecPool!U22-Symphony!U22)</f>
        <v>7.068529358410558E-2</v>
      </c>
      <c r="V22" s="5" t="e">
        <f>ABS(SpecPool!V22-Symphony!V22)</f>
        <v>#VALUE!</v>
      </c>
      <c r="W22" s="5">
        <f>ABS(SpecPool!W22-Symphony!W22)</f>
        <v>5.0998555667121082E-3</v>
      </c>
      <c r="X22" s="5">
        <f>ABS(SpecPool!X22-Symphony!X22)</f>
        <v>3.46312704507028E-2</v>
      </c>
      <c r="Y22" s="5">
        <f>ABS(SpecPool!Y22-Symphony!Y22)</f>
        <v>0.15689121089410207</v>
      </c>
      <c r="Z22" s="5" t="e">
        <f>ABS(SpecPool!Z22-Symphony!Z22)</f>
        <v>#VALUE!</v>
      </c>
      <c r="AB22" s="4">
        <f>ABS(SpecPool!AB22-Symphony!AB22)</f>
        <v>1.3259547416220041E-2</v>
      </c>
      <c r="AC22" s="4">
        <f>ABS(SpecPool!AC22-Symphony!AC22)</f>
        <v>7.5123146674798136E-2</v>
      </c>
      <c r="AD22" s="4">
        <f>ABS(SpecPool!AD22-Symphony!AD22)</f>
        <v>5.964856184360201E-2</v>
      </c>
      <c r="AE22" s="6"/>
      <c r="AF22" s="4">
        <f>ABS(SpecPool!AF22-Symphony!AF22)</f>
        <v>8.8586526048970882E-2</v>
      </c>
      <c r="AG22" s="4">
        <f>ABS(SpecPool!AG22-Symphony!AG22)</f>
        <v>7.8351238641104715E-2</v>
      </c>
      <c r="AH22" s="4">
        <f>ABS(SpecPool!AH22-Symphony!AH22)</f>
        <v>8.2046001150402503E-2</v>
      </c>
      <c r="AI22" s="4">
        <f>ABS(SpecPool!AI22-Symphony!AI22)</f>
        <v>2.8384571161499395E-3</v>
      </c>
      <c r="AJ22" s="4">
        <f>ABS(SpecPool!AJ22-Symphony!AJ22)</f>
        <v>2.5445507039798088E-2</v>
      </c>
      <c r="AK22" s="4">
        <f>ABS(SpecPool!AK22-Symphony!AK22)</f>
        <v>4.9399067097510851E-4</v>
      </c>
    </row>
    <row r="23" spans="1:37" x14ac:dyDescent="0.25">
      <c r="A23">
        <f>ABS(SpecPool!A23-Symphony!A23)</f>
        <v>0</v>
      </c>
      <c r="B23" t="e">
        <f>ABS(SpecPool!B23-Symphony!B23)</f>
        <v>#VALUE!</v>
      </c>
      <c r="C23">
        <v>20131001</v>
      </c>
      <c r="D23" s="3">
        <f>ABS(SpecPool!D23-Symphony!D23)</f>
        <v>20089453</v>
      </c>
      <c r="E23" t="e">
        <f>ABS(SpecPool!E23-Symphony!E23)</f>
        <v>#VALUE!</v>
      </c>
      <c r="F23" s="8">
        <f>ABS(SpecPool!F23-Symphony!F23)</f>
        <v>97.267847388982773</v>
      </c>
      <c r="G23" s="7"/>
      <c r="H23" s="5">
        <f>ABS(SpecPool!H23-Symphony!H23)</f>
        <v>1.6989016515229878</v>
      </c>
      <c r="I23" s="5">
        <f>ABS(SpecPool!I23-Symphony!I23)</f>
        <v>2.6557771182340595E-2</v>
      </c>
      <c r="K23" s="5">
        <f>ABS(SpecPool!K23-Symphony!K23)</f>
        <v>0.21006013982500349</v>
      </c>
      <c r="L23" s="5" t="e">
        <f>ABS(SpecPool!L23-Symphony!L23)</f>
        <v>#VALUE!</v>
      </c>
      <c r="M23" s="5">
        <f>ABS(SpecPool!M23-Symphony!M23)</f>
        <v>7.960643185230154E-2</v>
      </c>
      <c r="N23" s="5">
        <f>ABS(SpecPool!N23-Symphony!N23)</f>
        <v>9.8599106944197157E-4</v>
      </c>
      <c r="O23" s="5" t="e">
        <f>ABS(SpecPool!O23-Symphony!O23)</f>
        <v>#VALUE!</v>
      </c>
      <c r="P23" s="5">
        <f>ABS(SpecPool!P23-Symphony!P23)</f>
        <v>0.15932097194149719</v>
      </c>
      <c r="Q23" s="5">
        <f>ABS(SpecPool!Q23-Symphony!Q23)</f>
        <v>7.7813784422399834E-2</v>
      </c>
      <c r="R23" s="5">
        <f>ABS(SpecPool!R23-Symphony!R23)</f>
        <v>0</v>
      </c>
      <c r="S23" s="5" t="e">
        <f>ABS(SpecPool!S23-Symphony!S23)</f>
        <v>#VALUE!</v>
      </c>
      <c r="T23" s="5">
        <f>ABS(SpecPool!T23-Symphony!T23)</f>
        <v>5.6905580382000664E-3</v>
      </c>
      <c r="U23" s="5">
        <f>ABS(SpecPool!U23-Symphony!U23)</f>
        <v>6.8230641860694163E-2</v>
      </c>
      <c r="V23" s="5" t="e">
        <f>ABS(SpecPool!V23-Symphony!V23)</f>
        <v>#VALUE!</v>
      </c>
      <c r="W23" s="5">
        <f>ABS(SpecPool!W23-Symphony!W23)</f>
        <v>2.7927797905107354E-3</v>
      </c>
      <c r="X23" s="5">
        <f>ABS(SpecPool!X23-Symphony!X23)</f>
        <v>3.7162157126999773E-2</v>
      </c>
      <c r="Y23" s="5">
        <f>ABS(SpecPool!Y23-Symphony!Y23)</f>
        <v>0.1567463972060068</v>
      </c>
      <c r="Z23" s="5" t="e">
        <f>ABS(SpecPool!Z23-Symphony!Z23)</f>
        <v>#VALUE!</v>
      </c>
      <c r="AB23" s="4">
        <f>ABS(SpecPool!AB23-Symphony!AB23)</f>
        <v>1.7920025327200051E-2</v>
      </c>
      <c r="AC23" s="4">
        <f>ABS(SpecPool!AC23-Symphony!AC23)</f>
        <v>7.5686118289798543E-2</v>
      </c>
      <c r="AD23" s="4">
        <f>ABS(SpecPool!AD23-Symphony!AD23)</f>
        <v>7.3234104214506601E-2</v>
      </c>
      <c r="AE23" s="6"/>
      <c r="AF23" s="4">
        <f>ABS(SpecPool!AF23-Symphony!AF23)</f>
        <v>9.4485588423935951E-2</v>
      </c>
      <c r="AG23" s="4">
        <f>ABS(SpecPool!AG23-Symphony!AG23)</f>
        <v>7.4323738099394632E-2</v>
      </c>
      <c r="AH23" s="4">
        <f>ABS(SpecPool!AH23-Symphony!AH23)</f>
        <v>8.9903627754004845E-2</v>
      </c>
      <c r="AI23" s="4">
        <f>ABS(SpecPool!AI23-Symphony!AI23)</f>
        <v>2.7203095164898272E-3</v>
      </c>
      <c r="AJ23" s="4">
        <f>ABS(SpecPool!AJ23-Symphony!AJ23)</f>
        <v>2.3573037122801566E-2</v>
      </c>
      <c r="AK23" s="4">
        <f>ABS(SpecPool!AK23-Symphony!AK23)</f>
        <v>6.1229607098312044E-4</v>
      </c>
    </row>
    <row r="24" spans="1:37" x14ac:dyDescent="0.25">
      <c r="A24">
        <f>ABS(SpecPool!A24-Symphony!A24)</f>
        <v>0</v>
      </c>
      <c r="B24" t="e">
        <f>ABS(SpecPool!B24-Symphony!B24)</f>
        <v>#VALUE!</v>
      </c>
      <c r="C24">
        <v>20131101</v>
      </c>
      <c r="D24" s="3">
        <f>ABS(SpecPool!D24-Symphony!D24)</f>
        <v>20089522</v>
      </c>
      <c r="E24" t="e">
        <f>ABS(SpecPool!E24-Symphony!E24)</f>
        <v>#VALUE!</v>
      </c>
      <c r="F24" s="8">
        <f>ABS(SpecPool!F24-Symphony!F24)</f>
        <v>94.57509504299378</v>
      </c>
      <c r="G24" s="7"/>
      <c r="H24" s="5">
        <f>ABS(SpecPool!H24-Symphony!H24)</f>
        <v>1.7235841293339718</v>
      </c>
      <c r="I24" s="5">
        <f>ABS(SpecPool!I24-Symphony!I24)</f>
        <v>9.5615610118139571E-2</v>
      </c>
      <c r="K24" s="5">
        <f>ABS(SpecPool!K24-Symphony!K24)</f>
        <v>0.14186720115100115</v>
      </c>
      <c r="L24" s="5" t="e">
        <f>ABS(SpecPool!L24-Symphony!L24)</f>
        <v>#VALUE!</v>
      </c>
      <c r="M24" s="5">
        <f>ABS(SpecPool!M24-Symphony!M24)</f>
        <v>0.10454882286450129</v>
      </c>
      <c r="N24" s="5">
        <f>ABS(SpecPool!N24-Symphony!N24)</f>
        <v>1.0142553841629987E-3</v>
      </c>
      <c r="O24" s="5" t="e">
        <f>ABS(SpecPool!O24-Symphony!O24)</f>
        <v>#VALUE!</v>
      </c>
      <c r="P24" s="5">
        <f>ABS(SpecPool!P24-Symphony!P24)</f>
        <v>0.15587694034749688</v>
      </c>
      <c r="Q24" s="5">
        <f>ABS(SpecPool!Q24-Symphony!Q24)</f>
        <v>6.2128706979901693E-2</v>
      </c>
      <c r="R24" s="5">
        <f>ABS(SpecPool!R24-Symphony!R24)</f>
        <v>0</v>
      </c>
      <c r="S24" s="5" t="e">
        <f>ABS(SpecPool!S24-Symphony!S24)</f>
        <v>#VALUE!</v>
      </c>
      <c r="T24" s="5">
        <f>ABS(SpecPool!T24-Symphony!T24)</f>
        <v>1.5116454193599083E-2</v>
      </c>
      <c r="U24" s="5">
        <f>ABS(SpecPool!U24-Symphony!U24)</f>
        <v>5.6665789964299051E-2</v>
      </c>
      <c r="V24" s="5" t="e">
        <f>ABS(SpecPool!V24-Symphony!V24)</f>
        <v>#VALUE!</v>
      </c>
      <c r="W24" s="5">
        <f>ABS(SpecPool!W24-Symphony!W24)</f>
        <v>7.1366791765115067E-3</v>
      </c>
      <c r="X24" s="5">
        <f>ABS(SpecPool!X24-Symphony!X24)</f>
        <v>6.2961266071730027E-2</v>
      </c>
      <c r="Y24" s="5">
        <f>ABS(SpecPool!Y24-Symphony!Y24)</f>
        <v>0.16814246828791113</v>
      </c>
      <c r="Z24" s="5" t="e">
        <f>ABS(SpecPool!Z24-Symphony!Z24)</f>
        <v>#VALUE!</v>
      </c>
      <c r="AB24" s="4">
        <f>ABS(SpecPool!AB24-Symphony!AB24)</f>
        <v>2.3658516825749931E-2</v>
      </c>
      <c r="AC24" s="4">
        <f>ABS(SpecPool!AC24-Symphony!AC24)</f>
        <v>8.5813354141802023E-2</v>
      </c>
      <c r="AD24" s="4">
        <f>ABS(SpecPool!AD24-Symphony!AD24)</f>
        <v>7.5829696346005449E-2</v>
      </c>
      <c r="AE24" s="6"/>
      <c r="AF24" s="4">
        <f>ABS(SpecPool!AF24-Symphony!AF24)</f>
        <v>6.6838143776976722E-2</v>
      </c>
      <c r="AG24" s="4">
        <f>ABS(SpecPool!AG24-Symphony!AG24)</f>
        <v>6.8313075942000978E-2</v>
      </c>
      <c r="AH24" s="4">
        <f>ABS(SpecPool!AH24-Symphony!AH24)</f>
        <v>7.8542139206199124E-2</v>
      </c>
      <c r="AI24" s="4">
        <f>ABS(SpecPool!AI24-Symphony!AI24)</f>
        <v>2.6545157355997162E-3</v>
      </c>
      <c r="AJ24" s="4">
        <f>ABS(SpecPool!AJ24-Symphony!AJ24)</f>
        <v>2.0421870180800994E-2</v>
      </c>
      <c r="AK24" s="4">
        <f>ABS(SpecPool!AK24-Symphony!AK24)</f>
        <v>5.7548560390046077E-3</v>
      </c>
    </row>
    <row r="25" spans="1:37" x14ac:dyDescent="0.25">
      <c r="A25">
        <f>ABS(SpecPool!A25-Symphony!A25)</f>
        <v>0</v>
      </c>
      <c r="B25" t="e">
        <f>ABS(SpecPool!B25-Symphony!B25)</f>
        <v>#VALUE!</v>
      </c>
      <c r="C25">
        <v>20131201</v>
      </c>
      <c r="D25" s="3">
        <f>ABS(SpecPool!D25-Symphony!D25)</f>
        <v>20089592</v>
      </c>
      <c r="E25" t="e">
        <f>ABS(SpecPool!E25-Symphony!E25)</f>
        <v>#VALUE!</v>
      </c>
      <c r="F25" s="8">
        <f>ABS(SpecPool!F25-Symphony!F25)</f>
        <v>60.353314348991262</v>
      </c>
      <c r="G25" s="7"/>
      <c r="H25" s="5">
        <f>ABS(SpecPool!H25-Symphony!H25)</f>
        <v>1.7928856713859886</v>
      </c>
      <c r="I25" s="5">
        <f>ABS(SpecPool!I25-Symphony!I25)</f>
        <v>6.6083387539705996E-3</v>
      </c>
      <c r="K25" s="5">
        <f>ABS(SpecPool!K25-Symphony!K25)</f>
        <v>0.18813700458798621</v>
      </c>
      <c r="L25" s="5" t="e">
        <f>ABS(SpecPool!L25-Symphony!L25)</f>
        <v>#VALUE!</v>
      </c>
      <c r="M25" s="5">
        <f>ABS(SpecPool!M25-Symphony!M25)</f>
        <v>8.9364782227598027E-2</v>
      </c>
      <c r="N25" s="5">
        <f>ABS(SpecPool!N25-Symphony!N25)</f>
        <v>4.6179674497209833E-3</v>
      </c>
      <c r="O25" s="5" t="e">
        <f>ABS(SpecPool!O25-Symphony!O25)</f>
        <v>#VALUE!</v>
      </c>
      <c r="P25" s="5">
        <f>ABS(SpecPool!P25-Symphony!P25)</f>
        <v>0.13978868733660477</v>
      </c>
      <c r="Q25" s="5">
        <f>ABS(SpecPool!Q25-Symphony!Q25)</f>
        <v>6.4986759380200709E-2</v>
      </c>
      <c r="R25" s="5">
        <f>ABS(SpecPool!R25-Symphony!R25)</f>
        <v>0</v>
      </c>
      <c r="S25" s="5" t="e">
        <f>ABS(SpecPool!S25-Symphony!S25)</f>
        <v>#VALUE!</v>
      </c>
      <c r="T25" s="5">
        <f>ABS(SpecPool!T25-Symphony!T25)</f>
        <v>1.3232007194000417E-2</v>
      </c>
      <c r="U25" s="5">
        <f>ABS(SpecPool!U25-Symphony!U25)</f>
        <v>6.2328859717908358E-2</v>
      </c>
      <c r="V25" s="5" t="e">
        <f>ABS(SpecPool!V25-Symphony!V25)</f>
        <v>#VALUE!</v>
      </c>
      <c r="W25" s="5">
        <f>ABS(SpecPool!W25-Symphony!W25)</f>
        <v>2.6129778177050866E-3</v>
      </c>
      <c r="X25" s="5">
        <f>ABS(SpecPool!X25-Symphony!X25)</f>
        <v>4.2121873876800109E-2</v>
      </c>
      <c r="Y25" s="5">
        <f>ABS(SpecPool!Y25-Symphony!Y25)</f>
        <v>0.14877967883680299</v>
      </c>
      <c r="Z25" s="5" t="e">
        <f>ABS(SpecPool!Z25-Symphony!Z25)</f>
        <v>#VALUE!</v>
      </c>
      <c r="AB25" s="4">
        <f>ABS(SpecPool!AB25-Symphony!AB25)</f>
        <v>2.1094831407329817E-2</v>
      </c>
      <c r="AC25" s="4">
        <f>ABS(SpecPool!AC25-Symphony!AC25)</f>
        <v>8.8292995814200026E-2</v>
      </c>
      <c r="AD25" s="4">
        <f>ABS(SpecPool!AD25-Symphony!AD25)</f>
        <v>8.9806754871190719E-2</v>
      </c>
      <c r="AE25" s="6"/>
      <c r="AF25" s="4">
        <f>ABS(SpecPool!AF25-Symphony!AF25)</f>
        <v>8.050093676195047E-2</v>
      </c>
      <c r="AG25" s="4">
        <f>ABS(SpecPool!AG25-Symphony!AG25)</f>
        <v>6.8078635161811007E-2</v>
      </c>
      <c r="AH25" s="4">
        <f>ABS(SpecPool!AH25-Symphony!AH25)</f>
        <v>8.2282842067499473E-2</v>
      </c>
      <c r="AI25" s="4">
        <f>ABS(SpecPool!AI25-Symphony!AI25)</f>
        <v>2.5981195948299174E-3</v>
      </c>
      <c r="AJ25" s="4">
        <f>ABS(SpecPool!AJ25-Symphony!AJ25)</f>
        <v>2.119744540310009E-2</v>
      </c>
      <c r="AK25" s="4">
        <f>ABS(SpecPool!AK25-Symphony!AK25)</f>
        <v>8.7707202000046891E-3</v>
      </c>
    </row>
    <row r="26" spans="1:37" x14ac:dyDescent="0.25">
      <c r="A26">
        <f>ABS(SpecPool!A26-Symphony!A26)</f>
        <v>0</v>
      </c>
      <c r="B26" t="e">
        <f>ABS(SpecPool!B26-Symphony!B26)</f>
        <v>#VALUE!</v>
      </c>
      <c r="C26">
        <v>20140101</v>
      </c>
      <c r="D26" s="3">
        <f>ABS(SpecPool!D26-Symphony!D26)</f>
        <v>20098461</v>
      </c>
      <c r="E26" t="e">
        <f>ABS(SpecPool!E26-Symphony!E26)</f>
        <v>#VALUE!</v>
      </c>
      <c r="F26" s="8">
        <f>ABS(SpecPool!F26-Symphony!F26)</f>
        <v>110.2746059600031</v>
      </c>
      <c r="G26" s="7"/>
      <c r="H26" s="5">
        <f>ABS(SpecPool!H26-Symphony!H26)</f>
        <v>1.6946021833470013</v>
      </c>
      <c r="I26" s="5">
        <f>ABS(SpecPool!I26-Symphony!I26)</f>
        <v>1.956713946601063E-2</v>
      </c>
      <c r="K26" s="5">
        <f>ABS(SpecPool!K26-Symphony!K26)</f>
        <v>0.21891147889002127</v>
      </c>
      <c r="L26" s="5" t="e">
        <f>ABS(SpecPool!L26-Symphony!L26)</f>
        <v>#VALUE!</v>
      </c>
      <c r="M26" s="5">
        <f>ABS(SpecPool!M26-Symphony!M26)</f>
        <v>6.2410370261996917E-2</v>
      </c>
      <c r="N26" s="5">
        <f>ABS(SpecPool!N26-Symphony!N26)</f>
        <v>2.8579618385800032E-3</v>
      </c>
      <c r="O26" s="5" t="e">
        <f>ABS(SpecPool!O26-Symphony!O26)</f>
        <v>#VALUE!</v>
      </c>
      <c r="P26" s="5">
        <f>ABS(SpecPool!P26-Symphony!P26)</f>
        <v>0.15535217304460502</v>
      </c>
      <c r="Q26" s="5">
        <f>ABS(SpecPool!Q26-Symphony!Q26)</f>
        <v>6.4213349761999439E-2</v>
      </c>
      <c r="R26" s="5">
        <f>ABS(SpecPool!R26-Symphony!R26)</f>
        <v>0</v>
      </c>
      <c r="S26" s="5" t="e">
        <f>ABS(SpecPool!S26-Symphony!S26)</f>
        <v>#VALUE!</v>
      </c>
      <c r="T26" s="5">
        <f>ABS(SpecPool!T26-Symphony!T26)</f>
        <v>4.3281923818003776E-3</v>
      </c>
      <c r="U26" s="5">
        <f>ABS(SpecPool!U26-Symphony!U26)</f>
        <v>6.3454519612108129E-2</v>
      </c>
      <c r="V26" s="5" t="e">
        <f>ABS(SpecPool!V26-Symphony!V26)</f>
        <v>#VALUE!</v>
      </c>
      <c r="W26" s="5">
        <f>ABS(SpecPool!W26-Symphony!W26)</f>
        <v>2.5696930331093881E-3</v>
      </c>
      <c r="X26" s="5">
        <f>ABS(SpecPool!X26-Symphony!X26)</f>
        <v>2.4479986333098225E-2</v>
      </c>
      <c r="Y26" s="5">
        <f>ABS(SpecPool!Y26-Symphony!Y26)</f>
        <v>0.15966038503329116</v>
      </c>
      <c r="Z26" s="5" t="e">
        <f>ABS(SpecPool!Z26-Symphony!Z26)</f>
        <v>#VALUE!</v>
      </c>
      <c r="AB26" s="4">
        <f>ABS(SpecPool!AB26-Symphony!AB26)</f>
        <v>1.927193606117994E-2</v>
      </c>
      <c r="AC26" s="4">
        <f>ABS(SpecPool!AC26-Symphony!AC26)</f>
        <v>7.759081143450075E-2</v>
      </c>
      <c r="AD26" s="4">
        <f>ABS(SpecPool!AD26-Symphony!AD26)</f>
        <v>8.0899389040098413E-2</v>
      </c>
      <c r="AE26" s="6"/>
      <c r="AF26" s="4">
        <f>ABS(SpecPool!AF26-Symphony!AF26)</f>
        <v>8.9232989288916542E-2</v>
      </c>
      <c r="AG26" s="4">
        <f>ABS(SpecPool!AG26-Symphony!AG26)</f>
        <v>6.1895901771507056E-2</v>
      </c>
      <c r="AH26" s="4">
        <f>ABS(SpecPool!AH26-Symphony!AH26)</f>
        <v>6.8784745735705144E-2</v>
      </c>
      <c r="AI26" s="4">
        <f>ABS(SpecPool!AI26-Symphony!AI26)</f>
        <v>2.5252140351401664E-3</v>
      </c>
      <c r="AJ26" s="4">
        <f>ABS(SpecPool!AJ26-Symphony!AJ26)</f>
        <v>2.8577483776398793E-2</v>
      </c>
      <c r="AK26" s="4">
        <f>ABS(SpecPool!AK26-Symphony!AK26)</f>
        <v>6.549384810000447E-3</v>
      </c>
    </row>
    <row r="27" spans="1:37" x14ac:dyDescent="0.25">
      <c r="A27">
        <f>ABS(SpecPool!A27-Symphony!A27)</f>
        <v>0</v>
      </c>
      <c r="B27" t="e">
        <f>ABS(SpecPool!B27-Symphony!B27)</f>
        <v>#VALUE!</v>
      </c>
      <c r="C27">
        <v>20140201</v>
      </c>
      <c r="D27" s="3">
        <f>ABS(SpecPool!D27-Symphony!D27)</f>
        <v>20098530</v>
      </c>
      <c r="E27" t="e">
        <f>ABS(SpecPool!E27-Symphony!E27)</f>
        <v>#VALUE!</v>
      </c>
      <c r="F27" s="8">
        <f>ABS(SpecPool!F27-Symphony!F27)</f>
        <v>110.17354201700073</v>
      </c>
      <c r="G27" s="7"/>
      <c r="H27" s="5">
        <f>ABS(SpecPool!H27-Symphony!H27)</f>
        <v>1.7045231658380544</v>
      </c>
      <c r="I27" s="5">
        <f>ABS(SpecPool!I27-Symphony!I27)</f>
        <v>2.3711412563000245E-2</v>
      </c>
      <c r="K27" s="5">
        <f>ABS(SpecPool!K27-Symphony!K27)</f>
        <v>0.23046339860499643</v>
      </c>
      <c r="L27" s="5" t="e">
        <f>ABS(SpecPool!L27-Symphony!L27)</f>
        <v>#VALUE!</v>
      </c>
      <c r="M27" s="5">
        <f>ABS(SpecPool!M27-Symphony!M27)</f>
        <v>6.4350235032598846E-2</v>
      </c>
      <c r="N27" s="5">
        <f>ABS(SpecPool!N27-Symphony!N27)</f>
        <v>1.7439399891099328E-3</v>
      </c>
      <c r="O27" s="5" t="e">
        <f>ABS(SpecPool!O27-Symphony!O27)</f>
        <v>#VALUE!</v>
      </c>
      <c r="P27" s="5">
        <f>ABS(SpecPool!P27-Symphony!P27)</f>
        <v>0.15924699183150892</v>
      </c>
      <c r="Q27" s="5">
        <f>ABS(SpecPool!Q27-Symphony!Q27)</f>
        <v>6.7334331352999044E-2</v>
      </c>
      <c r="R27" s="5">
        <f>ABS(SpecPool!R27-Symphony!R27)</f>
        <v>0</v>
      </c>
      <c r="S27" s="5" t="e">
        <f>ABS(SpecPool!S27-Symphony!S27)</f>
        <v>#VALUE!</v>
      </c>
      <c r="T27" s="5">
        <f>ABS(SpecPool!T27-Symphony!T27)</f>
        <v>1.5859325143008363E-3</v>
      </c>
      <c r="U27" s="5">
        <f>ABS(SpecPool!U27-Symphony!U27)</f>
        <v>6.6959985302901259E-2</v>
      </c>
      <c r="V27" s="5" t="e">
        <f>ABS(SpecPool!V27-Symphony!V27)</f>
        <v>#VALUE!</v>
      </c>
      <c r="W27" s="5">
        <f>ABS(SpecPool!W27-Symphony!W27)</f>
        <v>1.0942041280941339E-3</v>
      </c>
      <c r="X27" s="5">
        <f>ABS(SpecPool!X27-Symphony!X27)</f>
        <v>2.0609659329597463E-2</v>
      </c>
      <c r="Y27" s="5">
        <f>ABS(SpecPool!Y27-Symphony!Y27)</f>
        <v>0.15740725070040185</v>
      </c>
      <c r="Z27" s="5" t="e">
        <f>ABS(SpecPool!Z27-Symphony!Z27)</f>
        <v>#VALUE!</v>
      </c>
      <c r="AB27" s="4">
        <f>ABS(SpecPool!AB27-Symphony!AB27)</f>
        <v>1.875237200274027E-2</v>
      </c>
      <c r="AC27" s="4">
        <f>ABS(SpecPool!AC27-Symphony!AC27)</f>
        <v>7.6119605947599922E-2</v>
      </c>
      <c r="AD27" s="4">
        <f>ABS(SpecPool!AD27-Symphony!AD27)</f>
        <v>7.2906937849509745E-2</v>
      </c>
      <c r="AE27" s="6"/>
      <c r="AF27" s="4">
        <f>ABS(SpecPool!AF27-Symphony!AF27)</f>
        <v>9.0829073458962739E-2</v>
      </c>
      <c r="AG27" s="4">
        <f>ABS(SpecPool!AG27-Symphony!AG27)</f>
        <v>6.9453694803300436E-2</v>
      </c>
      <c r="AH27" s="4">
        <f>ABS(SpecPool!AH27-Symphony!AH27)</f>
        <v>6.8691841433199841E-2</v>
      </c>
      <c r="AI27" s="4">
        <f>ABS(SpecPool!AI27-Symphony!AI27)</f>
        <v>2.4129094667095785E-3</v>
      </c>
      <c r="AJ27" s="4">
        <f>ABS(SpecPool!AJ27-Symphony!AJ27)</f>
        <v>2.8300001312398848E-2</v>
      </c>
      <c r="AK27" s="4">
        <f>ABS(SpecPool!AK27-Symphony!AK27)</f>
        <v>7.3753132099909635E-3</v>
      </c>
    </row>
    <row r="28" spans="1:37" x14ac:dyDescent="0.25">
      <c r="A28">
        <f>ABS(SpecPool!A28-Symphony!A28)</f>
        <v>0</v>
      </c>
      <c r="B28" t="e">
        <f>ABS(SpecPool!B28-Symphony!B28)</f>
        <v>#VALUE!</v>
      </c>
      <c r="C28">
        <v>20140301</v>
      </c>
      <c r="D28" s="3">
        <f>ABS(SpecPool!D28-Symphony!D28)</f>
        <v>20098602</v>
      </c>
      <c r="E28" t="e">
        <f>ABS(SpecPool!E28-Symphony!E28)</f>
        <v>#VALUE!</v>
      </c>
      <c r="F28" s="8">
        <f>ABS(SpecPool!F28-Symphony!F28)</f>
        <v>137.74220878601773</v>
      </c>
      <c r="G28" s="7"/>
      <c r="H28" s="5">
        <f>ABS(SpecPool!H28-Symphony!H28)</f>
        <v>1.7435646568320635</v>
      </c>
      <c r="I28" s="5">
        <f>ABS(SpecPool!I28-Symphony!I28)</f>
        <v>1.3818103830920414E-2</v>
      </c>
      <c r="K28" s="5">
        <f>ABS(SpecPool!K28-Symphony!K28)</f>
        <v>0.19616579097601061</v>
      </c>
      <c r="L28" s="5" t="e">
        <f>ABS(SpecPool!L28-Symphony!L28)</f>
        <v>#VALUE!</v>
      </c>
      <c r="M28" s="5">
        <f>ABS(SpecPool!M28-Symphony!M28)</f>
        <v>7.7529178460299164E-2</v>
      </c>
      <c r="N28" s="5">
        <f>ABS(SpecPool!N28-Symphony!N28)</f>
        <v>2.0747873178199594E-3</v>
      </c>
      <c r="O28" s="5" t="e">
        <f>ABS(SpecPool!O28-Symphony!O28)</f>
        <v>#VALUE!</v>
      </c>
      <c r="P28" s="5">
        <f>ABS(SpecPool!P28-Symphony!P28)</f>
        <v>0.17537261271660043</v>
      </c>
      <c r="Q28" s="5">
        <f>ABS(SpecPool!Q28-Symphony!Q28)</f>
        <v>7.0610677090499507E-2</v>
      </c>
      <c r="R28" s="5">
        <f>ABS(SpecPool!R28-Symphony!R28)</f>
        <v>0</v>
      </c>
      <c r="S28" s="5" t="e">
        <f>ABS(SpecPool!S28-Symphony!S28)</f>
        <v>#VALUE!</v>
      </c>
      <c r="T28" s="5">
        <f>ABS(SpecPool!T28-Symphony!T28)</f>
        <v>2.5689887496991304E-3</v>
      </c>
      <c r="U28" s="5">
        <f>ABS(SpecPool!U28-Symphony!U28)</f>
        <v>7.3341177452491024E-2</v>
      </c>
      <c r="V28" s="5" t="e">
        <f>ABS(SpecPool!V28-Symphony!V28)</f>
        <v>#VALUE!</v>
      </c>
      <c r="W28" s="5">
        <f>ABS(SpecPool!W28-Symphony!W28)</f>
        <v>3.1078267641078128E-3</v>
      </c>
      <c r="X28" s="5">
        <f>ABS(SpecPool!X28-Symphony!X28)</f>
        <v>2.8322050930499998E-2</v>
      </c>
      <c r="Y28" s="5">
        <f>ABS(SpecPool!Y28-Symphony!Y28)</f>
        <v>0.17062946707561366</v>
      </c>
      <c r="Z28" s="5" t="e">
        <f>ABS(SpecPool!Z28-Symphony!Z28)</f>
        <v>#VALUE!</v>
      </c>
      <c r="AB28" s="4">
        <f>ABS(SpecPool!AB28-Symphony!AB28)</f>
        <v>1.5858535502530025E-2</v>
      </c>
      <c r="AC28" s="4">
        <f>ABS(SpecPool!AC28-Symphony!AC28)</f>
        <v>7.3273297479598654E-2</v>
      </c>
      <c r="AD28" s="4">
        <f>ABS(SpecPool!AD28-Symphony!AD28)</f>
        <v>6.8844754637908068E-2</v>
      </c>
      <c r="AE28" s="6"/>
      <c r="AF28" s="4">
        <f>ABS(SpecPool!AF28-Symphony!AF28)</f>
        <v>9.5131168787020215E-2</v>
      </c>
      <c r="AG28" s="4">
        <f>ABS(SpecPool!AG28-Symphony!AG28)</f>
        <v>6.6643922308898595E-2</v>
      </c>
      <c r="AH28" s="4">
        <f>ABS(SpecPool!AH28-Symphony!AH28)</f>
        <v>6.9919013875697544E-2</v>
      </c>
      <c r="AI28" s="4">
        <f>ABS(SpecPool!AI28-Symphony!AI28)</f>
        <v>2.368055869559349E-3</v>
      </c>
      <c r="AJ28" s="4">
        <f>ABS(SpecPool!AJ28-Symphony!AJ28)</f>
        <v>2.7976476086198687E-2</v>
      </c>
      <c r="AK28" s="4">
        <f>ABS(SpecPool!AK28-Symphony!AK28)</f>
        <v>3.1970729399972697E-3</v>
      </c>
    </row>
    <row r="29" spans="1:37" x14ac:dyDescent="0.25">
      <c r="A29">
        <f>ABS(SpecPool!A29-Symphony!A29)</f>
        <v>0</v>
      </c>
      <c r="B29" t="e">
        <f>ABS(SpecPool!B29-Symphony!B29)</f>
        <v>#VALUE!</v>
      </c>
      <c r="C29">
        <v>20140401</v>
      </c>
      <c r="D29" s="3">
        <f>ABS(SpecPool!D29-Symphony!D29)</f>
        <v>20098671</v>
      </c>
      <c r="E29" t="e">
        <f>ABS(SpecPool!E29-Symphony!E29)</f>
        <v>#VALUE!</v>
      </c>
      <c r="F29" s="8">
        <f>ABS(SpecPool!F29-Symphony!F29)</f>
        <v>131.14046970900381</v>
      </c>
      <c r="G29" s="7"/>
      <c r="H29" s="5">
        <f>ABS(SpecPool!H29-Symphony!H29)</f>
        <v>1.8876828614330634</v>
      </c>
      <c r="I29" s="5">
        <f>ABS(SpecPool!I29-Symphony!I29)</f>
        <v>9.6996373763600374E-3</v>
      </c>
      <c r="K29" s="5">
        <f>ABS(SpecPool!K29-Symphony!K29)</f>
        <v>0.13401676061300805</v>
      </c>
      <c r="L29" s="5" t="e">
        <f>ABS(SpecPool!L29-Symphony!L29)</f>
        <v>#VALUE!</v>
      </c>
      <c r="M29" s="5">
        <f>ABS(SpecPool!M29-Symphony!M29)</f>
        <v>6.6062571834500261E-2</v>
      </c>
      <c r="N29" s="5">
        <f>ABS(SpecPool!N29-Symphony!N29)</f>
        <v>7.7995717513998919E-3</v>
      </c>
      <c r="O29" s="5" t="e">
        <f>ABS(SpecPool!O29-Symphony!O29)</f>
        <v>#VALUE!</v>
      </c>
      <c r="P29" s="5">
        <f>ABS(SpecPool!P29-Symphony!P29)</f>
        <v>0.17027589397319787</v>
      </c>
      <c r="Q29" s="5">
        <f>ABS(SpecPool!Q29-Symphony!Q29)</f>
        <v>6.8435322981901692E-2</v>
      </c>
      <c r="R29" s="5">
        <f>ABS(SpecPool!R29-Symphony!R29)</f>
        <v>0</v>
      </c>
      <c r="S29" s="5" t="e">
        <f>ABS(SpecPool!S29-Symphony!S29)</f>
        <v>#VALUE!</v>
      </c>
      <c r="T29" s="5">
        <f>ABS(SpecPool!T29-Symphony!T29)</f>
        <v>1.5471160907001291E-3</v>
      </c>
      <c r="U29" s="5">
        <f>ABS(SpecPool!U29-Symphony!U29)</f>
        <v>6.1922943133311037E-2</v>
      </c>
      <c r="V29" s="5" t="e">
        <f>ABS(SpecPool!V29-Symphony!V29)</f>
        <v>#VALUE!</v>
      </c>
      <c r="W29" s="5">
        <f>ABS(SpecPool!W29-Symphony!W29)</f>
        <v>4.7416065648917538E-3</v>
      </c>
      <c r="X29" s="5">
        <f>ABS(SpecPool!X29-Symphony!X29)</f>
        <v>3.1361066416899064E-2</v>
      </c>
      <c r="Y29" s="5">
        <f>ABS(SpecPool!Y29-Symphony!Y29)</f>
        <v>0.16520224044859333</v>
      </c>
      <c r="Z29" s="5" t="e">
        <f>ABS(SpecPool!Z29-Symphony!Z29)</f>
        <v>#VALUE!</v>
      </c>
      <c r="AB29" s="4">
        <f>ABS(SpecPool!AB29-Symphony!AB29)</f>
        <v>1.5027681141070115E-2</v>
      </c>
      <c r="AC29" s="4">
        <f>ABS(SpecPool!AC29-Symphony!AC29)</f>
        <v>6.9421160047500763E-2</v>
      </c>
      <c r="AD29" s="4">
        <f>ABS(SpecPool!AD29-Symphony!AD29)</f>
        <v>9.2836705421191823E-2</v>
      </c>
      <c r="AE29" s="6"/>
      <c r="AF29" s="4">
        <f>ABS(SpecPool!AF29-Symphony!AF29)</f>
        <v>8.8340608208909543E-2</v>
      </c>
      <c r="AG29" s="4">
        <f>ABS(SpecPool!AG29-Symphony!AG29)</f>
        <v>6.2624270811099336E-2</v>
      </c>
      <c r="AH29" s="4">
        <f>ABS(SpecPool!AH29-Symphony!AH29)</f>
        <v>6.993788338469642E-2</v>
      </c>
      <c r="AI29" s="4">
        <f>ABS(SpecPool!AI29-Symphony!AI29)</f>
        <v>2.3200240126897143E-3</v>
      </c>
      <c r="AJ29" s="4">
        <f>ABS(SpecPool!AJ29-Symphony!AJ29)</f>
        <v>2.6282964528700603E-2</v>
      </c>
      <c r="AK29" s="4">
        <f>ABS(SpecPool!AK29-Symphony!AK29)</f>
        <v>6.1601820040095845E-3</v>
      </c>
    </row>
    <row r="30" spans="1:37" x14ac:dyDescent="0.25">
      <c r="A30">
        <f>ABS(SpecPool!A30-Symphony!A30)</f>
        <v>0</v>
      </c>
      <c r="B30" t="e">
        <f>ABS(SpecPool!B30-Symphony!B30)</f>
        <v>#VALUE!</v>
      </c>
      <c r="C30">
        <v>20140501</v>
      </c>
      <c r="D30" s="3">
        <f>ABS(SpecPool!D30-Symphony!D30)</f>
        <v>20098741</v>
      </c>
      <c r="E30" t="e">
        <f>ABS(SpecPool!E30-Symphony!E30)</f>
        <v>#VALUE!</v>
      </c>
      <c r="F30" s="8">
        <f>ABS(SpecPool!F30-Symphony!F30)</f>
        <v>114.07354790699901</v>
      </c>
      <c r="G30" s="7"/>
      <c r="H30" s="5">
        <f>ABS(SpecPool!H30-Symphony!H30)</f>
        <v>1.8338354615440267</v>
      </c>
      <c r="I30" s="5">
        <f>ABS(SpecPool!I30-Symphony!I30)</f>
        <v>1.7507227310010087E-2</v>
      </c>
      <c r="K30" s="5">
        <f>ABS(SpecPool!K30-Symphony!K30)</f>
        <v>0.13645796546899192</v>
      </c>
      <c r="L30" s="5" t="e">
        <f>ABS(SpecPool!L30-Symphony!L30)</f>
        <v>#VALUE!</v>
      </c>
      <c r="M30" s="5">
        <f>ABS(SpecPool!M30-Symphony!M30)</f>
        <v>5.8152671671699352E-2</v>
      </c>
      <c r="N30" s="5">
        <f>ABS(SpecPool!N30-Symphony!N30)</f>
        <v>7.9223872827569597E-3</v>
      </c>
      <c r="O30" s="5" t="e">
        <f>ABS(SpecPool!O30-Symphony!O30)</f>
        <v>#VALUE!</v>
      </c>
      <c r="P30" s="5">
        <f>ABS(SpecPool!P30-Symphony!P30)</f>
        <v>0.15532687551869628</v>
      </c>
      <c r="Q30" s="5">
        <f>ABS(SpecPool!Q30-Symphony!Q30)</f>
        <v>6.8599450505601567E-2</v>
      </c>
      <c r="R30" s="5">
        <f>ABS(SpecPool!R30-Symphony!R30)</f>
        <v>0</v>
      </c>
      <c r="S30" s="5" t="e">
        <f>ABS(SpecPool!S30-Symphony!S30)</f>
        <v>#VALUE!</v>
      </c>
      <c r="T30" s="5">
        <f>ABS(SpecPool!T30-Symphony!T30)</f>
        <v>3.4334976057994737E-3</v>
      </c>
      <c r="U30" s="5">
        <f>ABS(SpecPool!U30-Symphony!U30)</f>
        <v>6.4903081685500297E-2</v>
      </c>
      <c r="V30" s="5" t="e">
        <f>ABS(SpecPool!V30-Symphony!V30)</f>
        <v>#VALUE!</v>
      </c>
      <c r="W30" s="5">
        <f>ABS(SpecPool!W30-Symphony!W30)</f>
        <v>4.0689110429070752E-3</v>
      </c>
      <c r="X30" s="5">
        <f>ABS(SpecPool!X30-Symphony!X30)</f>
        <v>2.7339024619600139E-2</v>
      </c>
      <c r="Y30" s="5">
        <f>ABS(SpecPool!Y30-Symphony!Y30)</f>
        <v>0.15791573432240114</v>
      </c>
      <c r="Z30" s="5" t="e">
        <f>ABS(SpecPool!Z30-Symphony!Z30)</f>
        <v>#VALUE!</v>
      </c>
      <c r="AB30" s="4">
        <f>ABS(SpecPool!AB30-Symphony!AB30)</f>
        <v>2.201270685466028E-2</v>
      </c>
      <c r="AC30" s="4">
        <f>ABS(SpecPool!AC30-Symphony!AC30)</f>
        <v>7.4607436825999685E-2</v>
      </c>
      <c r="AD30" s="4">
        <f>ABS(SpecPool!AD30-Symphony!AD30)</f>
        <v>9.543915848450979E-2</v>
      </c>
      <c r="AE30" s="6"/>
      <c r="AF30" s="4">
        <f>ABS(SpecPool!AF30-Symphony!AF30)</f>
        <v>8.6839280751974002E-2</v>
      </c>
      <c r="AG30" s="4">
        <f>ABS(SpecPool!AG30-Symphony!AG30)</f>
        <v>6.7417368808492029E-2</v>
      </c>
      <c r="AH30" s="4">
        <f>ABS(SpecPool!AH30-Symphony!AH30)</f>
        <v>7.5624572731499029E-2</v>
      </c>
      <c r="AI30" s="4">
        <f>ABS(SpecPool!AI30-Symphony!AI30)</f>
        <v>2.2582029613094079E-3</v>
      </c>
      <c r="AJ30" s="4">
        <f>ABS(SpecPool!AJ30-Symphony!AJ30)</f>
        <v>2.6045132829199957E-2</v>
      </c>
      <c r="AK30" s="4">
        <f>ABS(SpecPool!AK30-Symphony!AK30)</f>
        <v>2.0707350699922245E-4</v>
      </c>
    </row>
    <row r="31" spans="1:37" x14ac:dyDescent="0.25">
      <c r="A31">
        <f>ABS(SpecPool!A31-Symphony!A31)</f>
        <v>0</v>
      </c>
      <c r="B31" t="e">
        <f>ABS(SpecPool!B31-Symphony!B31)</f>
        <v>#VALUE!</v>
      </c>
      <c r="C31">
        <v>20140601</v>
      </c>
      <c r="D31" s="3">
        <f>ABS(SpecPool!D31-Symphony!D31)</f>
        <v>20098810</v>
      </c>
      <c r="E31" t="e">
        <f>ABS(SpecPool!E31-Symphony!E31)</f>
        <v>#VALUE!</v>
      </c>
      <c r="F31" s="8">
        <f>ABS(SpecPool!F31-Symphony!F31)</f>
        <v>73.68469814202399</v>
      </c>
      <c r="G31" s="7"/>
      <c r="H31" s="5">
        <f>ABS(SpecPool!H31-Symphony!H31)</f>
        <v>2.0127037029959638</v>
      </c>
      <c r="I31" s="5">
        <f>ABS(SpecPool!I31-Symphony!I31)</f>
        <v>6.9209774180880146E-2</v>
      </c>
      <c r="K31" s="5">
        <f>ABS(SpecPool!K31-Symphony!K31)</f>
        <v>7.8666318076983544E-2</v>
      </c>
      <c r="L31" s="5" t="e">
        <f>ABS(SpecPool!L31-Symphony!L31)</f>
        <v>#VALUE!</v>
      </c>
      <c r="M31" s="5">
        <f>ABS(SpecPool!M31-Symphony!M31)</f>
        <v>6.9277711654001095E-2</v>
      </c>
      <c r="N31" s="5">
        <f>ABS(SpecPool!N31-Symphony!N31)</f>
        <v>4.5943875918696975E-4</v>
      </c>
      <c r="O31" s="5" t="e">
        <f>ABS(SpecPool!O31-Symphony!O31)</f>
        <v>#VALUE!</v>
      </c>
      <c r="P31" s="5">
        <f>ABS(SpecPool!P31-Symphony!P31)</f>
        <v>0.14334750845588928</v>
      </c>
      <c r="Q31" s="5">
        <f>ABS(SpecPool!Q31-Symphony!Q31)</f>
        <v>6.3057734219100325E-2</v>
      </c>
      <c r="R31" s="5">
        <f>ABS(SpecPool!R31-Symphony!R31)</f>
        <v>0</v>
      </c>
      <c r="S31" s="5" t="e">
        <f>ABS(SpecPool!S31-Symphony!S31)</f>
        <v>#VALUE!</v>
      </c>
      <c r="T31" s="5">
        <f>ABS(SpecPool!T31-Symphony!T31)</f>
        <v>1.0017936230800828E-2</v>
      </c>
      <c r="U31" s="5">
        <f>ABS(SpecPool!U31-Symphony!U31)</f>
        <v>5.5193604489701897E-2</v>
      </c>
      <c r="V31" s="5" t="e">
        <f>ABS(SpecPool!V31-Symphony!V31)</f>
        <v>#VALUE!</v>
      </c>
      <c r="W31" s="5">
        <f>ABS(SpecPool!W31-Symphony!W31)</f>
        <v>1.2294211672099209E-3</v>
      </c>
      <c r="X31" s="5">
        <f>ABS(SpecPool!X31-Symphony!X31)</f>
        <v>2.0895825688210579E-2</v>
      </c>
      <c r="Y31" s="5">
        <f>ABS(SpecPool!Y31-Symphony!Y31)</f>
        <v>0.14931097134720517</v>
      </c>
      <c r="Z31" s="5" t="e">
        <f>ABS(SpecPool!Z31-Symphony!Z31)</f>
        <v>#VALUE!</v>
      </c>
      <c r="AB31" s="4">
        <f>ABS(SpecPool!AB31-Symphony!AB31)</f>
        <v>1.5998271546060039E-2</v>
      </c>
      <c r="AC31" s="4">
        <f>ABS(SpecPool!AC31-Symphony!AC31)</f>
        <v>8.6103705768497463E-2</v>
      </c>
      <c r="AD31" s="4">
        <f>ABS(SpecPool!AD31-Symphony!AD31)</f>
        <v>0.10668479348549909</v>
      </c>
      <c r="AE31" s="6"/>
      <c r="AF31" s="4">
        <f>ABS(SpecPool!AF31-Symphony!AF31)</f>
        <v>7.0411929678016349E-2</v>
      </c>
      <c r="AG31" s="4">
        <f>ABS(SpecPool!AG31-Symphony!AG31)</f>
        <v>6.1664158381006473E-2</v>
      </c>
      <c r="AH31" s="4">
        <f>ABS(SpecPool!AH31-Symphony!AH31)</f>
        <v>6.5672934950697481E-2</v>
      </c>
      <c r="AI31" s="4">
        <f>ABS(SpecPool!AI31-Symphony!AI31)</f>
        <v>2.2483322322095489E-3</v>
      </c>
      <c r="AJ31" s="4">
        <f>ABS(SpecPool!AJ31-Symphony!AJ31)</f>
        <v>2.42021655122997E-2</v>
      </c>
      <c r="AK31" s="4">
        <f>ABS(SpecPool!AK31-Symphony!AK31)</f>
        <v>8.1877622790216265E-3</v>
      </c>
    </row>
    <row r="32" spans="1:37" x14ac:dyDescent="0.25">
      <c r="A32">
        <f>ABS(SpecPool!A32-Symphony!A32)</f>
        <v>0</v>
      </c>
      <c r="B32" t="e">
        <f>ABS(SpecPool!B32-Symphony!B32)</f>
        <v>#VALUE!</v>
      </c>
      <c r="C32">
        <v>20140701</v>
      </c>
      <c r="D32" s="3">
        <f>ABS(SpecPool!D32-Symphony!D32)</f>
        <v>20098880</v>
      </c>
      <c r="E32" t="e">
        <f>ABS(SpecPool!E32-Symphony!E32)</f>
        <v>#VALUE!</v>
      </c>
      <c r="F32" s="8">
        <f>ABS(SpecPool!F32-Symphony!F32)</f>
        <v>186.59919178800192</v>
      </c>
      <c r="G32" s="7"/>
      <c r="H32" s="5">
        <f>ABS(SpecPool!H32-Symphony!H32)</f>
        <v>1.0337018250509118</v>
      </c>
      <c r="I32" s="5">
        <f>ABS(SpecPool!I32-Symphony!I32)</f>
        <v>5.2954321693690076E-3</v>
      </c>
      <c r="K32" s="5">
        <f>ABS(SpecPool!K32-Symphony!K32)</f>
        <v>0.13180587985399939</v>
      </c>
      <c r="L32" s="5" t="e">
        <f>ABS(SpecPool!L32-Symphony!L32)</f>
        <v>#VALUE!</v>
      </c>
      <c r="M32" s="5">
        <f>ABS(SpecPool!M32-Symphony!M32)</f>
        <v>4.9652805334400085E-2</v>
      </c>
      <c r="N32" s="5">
        <f>ABS(SpecPool!N32-Symphony!N32)</f>
        <v>6.7557271641494054E-4</v>
      </c>
      <c r="O32" s="5" t="e">
        <f>ABS(SpecPool!O32-Symphony!O32)</f>
        <v>#VALUE!</v>
      </c>
      <c r="P32" s="5">
        <f>ABS(SpecPool!P32-Symphony!P32)</f>
        <v>9.718945719079386E-2</v>
      </c>
      <c r="Q32" s="5">
        <f>ABS(SpecPool!Q32-Symphony!Q32)</f>
        <v>8.6702049249399948E-2</v>
      </c>
      <c r="R32" s="5">
        <f>ABS(SpecPool!R32-Symphony!R32)</f>
        <v>0</v>
      </c>
      <c r="S32" s="5" t="e">
        <f>ABS(SpecPool!S32-Symphony!S32)</f>
        <v>#VALUE!</v>
      </c>
      <c r="T32" s="5">
        <f>ABS(SpecPool!T32-Symphony!T32)</f>
        <v>4.4309537799598786E-2</v>
      </c>
      <c r="U32" s="5">
        <f>ABS(SpecPool!U32-Symphony!U32)</f>
        <v>8.6674570126007211E-2</v>
      </c>
      <c r="V32" s="5" t="e">
        <f>ABS(SpecPool!V32-Symphony!V32)</f>
        <v>#VALUE!</v>
      </c>
      <c r="W32" s="5">
        <f>ABS(SpecPool!W32-Symphony!W32)</f>
        <v>4.2745610209067308E-3</v>
      </c>
      <c r="X32" s="5">
        <f>ABS(SpecPool!X32-Symphony!X32)</f>
        <v>2.7359809630500109E-2</v>
      </c>
      <c r="Y32" s="5">
        <f>ABS(SpecPool!Y32-Symphony!Y32)</f>
        <v>7.9957003535298554E-2</v>
      </c>
      <c r="Z32" s="5" t="e">
        <f>ABS(SpecPool!Z32-Symphony!Z32)</f>
        <v>#VALUE!</v>
      </c>
      <c r="AB32" s="4">
        <f>ABS(SpecPool!AB32-Symphony!AB32)</f>
        <v>1.8301251572069965E-2</v>
      </c>
      <c r="AC32" s="4">
        <f>ABS(SpecPool!AC32-Symphony!AC32)</f>
        <v>7.0988948842600763E-2</v>
      </c>
      <c r="AD32" s="4">
        <f>ABS(SpecPool!AD32-Symphony!AD32)</f>
        <v>0.11197057884351125</v>
      </c>
      <c r="AE32" s="6"/>
      <c r="AF32" s="4">
        <f>ABS(SpecPool!AF32-Symphony!AF32)</f>
        <v>9.7246173521057244E-2</v>
      </c>
      <c r="AG32" s="4">
        <f>ABS(SpecPool!AG32-Symphony!AG32)</f>
        <v>7.1503850352002019E-2</v>
      </c>
      <c r="AH32" s="4">
        <f>ABS(SpecPool!AH32-Symphony!AH32)</f>
        <v>8.7274616808400651E-2</v>
      </c>
      <c r="AI32" s="4">
        <f>ABS(SpecPool!AI32-Symphony!AI32)</f>
        <v>2.1100318133493445E-3</v>
      </c>
      <c r="AJ32" s="4">
        <f>ABS(SpecPool!AJ32-Symphony!AJ32)</f>
        <v>2.7313304420697904E-2</v>
      </c>
      <c r="AK32" s="4">
        <f>ABS(SpecPool!AK32-Symphony!AK32)</f>
        <v>6.4736998580201544E-3</v>
      </c>
    </row>
    <row r="33" spans="1:37" x14ac:dyDescent="0.25">
      <c r="A33">
        <f>ABS(SpecPool!A33-Symphony!A33)</f>
        <v>0</v>
      </c>
      <c r="B33" t="e">
        <f>ABS(SpecPool!B33-Symphony!B33)</f>
        <v>#VALUE!</v>
      </c>
      <c r="C33">
        <v>20140801</v>
      </c>
      <c r="D33" s="3">
        <f>ABS(SpecPool!D33-Symphony!D33)</f>
        <v>20098949</v>
      </c>
      <c r="E33" t="e">
        <f>ABS(SpecPool!E33-Symphony!E33)</f>
        <v>#VALUE!</v>
      </c>
      <c r="F33" s="8">
        <f>ABS(SpecPool!F33-Symphony!F33)</f>
        <v>32.368594842002494</v>
      </c>
      <c r="G33" s="7"/>
      <c r="H33" s="5">
        <f>ABS(SpecPool!H33-Symphony!H33)</f>
        <v>1.3195507764380636</v>
      </c>
      <c r="I33" s="5">
        <f>ABS(SpecPool!I33-Symphony!I33)</f>
        <v>9.1309514820103743E-4</v>
      </c>
      <c r="K33" s="5">
        <f>ABS(SpecPool!K33-Symphony!K33)</f>
        <v>2.0257142486997282E-2</v>
      </c>
      <c r="L33" s="5" t="e">
        <f>ABS(SpecPool!L33-Symphony!L33)</f>
        <v>#VALUE!</v>
      </c>
      <c r="M33" s="5">
        <f>ABS(SpecPool!M33-Symphony!M33)</f>
        <v>7.8809848715000186E-2</v>
      </c>
      <c r="N33" s="5">
        <f>ABS(SpecPool!N33-Symphony!N33)</f>
        <v>7.4252992232899384E-3</v>
      </c>
      <c r="O33" s="5" t="e">
        <f>ABS(SpecPool!O33-Symphony!O33)</f>
        <v>#VALUE!</v>
      </c>
      <c r="P33" s="5">
        <f>ABS(SpecPool!P33-Symphony!P33)</f>
        <v>0.22767206534258833</v>
      </c>
      <c r="Q33" s="5">
        <f>ABS(SpecPool!Q33-Symphony!Q33)</f>
        <v>7.6606409903600792E-2</v>
      </c>
      <c r="R33" s="5">
        <f>ABS(SpecPool!R33-Symphony!R33)</f>
        <v>0</v>
      </c>
      <c r="S33" s="5" t="e">
        <f>ABS(SpecPool!S33-Symphony!S33)</f>
        <v>#VALUE!</v>
      </c>
      <c r="T33" s="5">
        <f>ABS(SpecPool!T33-Symphony!T33)</f>
        <v>2.0905536614000297E-2</v>
      </c>
      <c r="U33" s="5">
        <f>ABS(SpecPool!U33-Symphony!U33)</f>
        <v>7.0640708738096691E-2</v>
      </c>
      <c r="V33" s="5" t="e">
        <f>ABS(SpecPool!V33-Symphony!V33)</f>
        <v>#VALUE!</v>
      </c>
      <c r="W33" s="5">
        <f>ABS(SpecPool!W33-Symphony!W33)</f>
        <v>4.1804565749714584E-4</v>
      </c>
      <c r="X33" s="5">
        <f>ABS(SpecPool!X33-Symphony!X33)</f>
        <v>4.2893806279000302E-2</v>
      </c>
      <c r="Y33" s="5">
        <f>ABS(SpecPool!Y33-Symphony!Y33)</f>
        <v>0.14774128591670888</v>
      </c>
      <c r="Z33" s="5" t="e">
        <f>ABS(SpecPool!Z33-Symphony!Z33)</f>
        <v>#VALUE!</v>
      </c>
      <c r="AB33" s="4">
        <f>ABS(SpecPool!AB33-Symphony!AB33)</f>
        <v>2.4110660153570329E-2</v>
      </c>
      <c r="AC33" s="4">
        <f>ABS(SpecPool!AC33-Symphony!AC33)</f>
        <v>0.10537783751279761</v>
      </c>
      <c r="AD33" s="4">
        <f>ABS(SpecPool!AD33-Symphony!AD33)</f>
        <v>0.11186950131920526</v>
      </c>
      <c r="AE33" s="6"/>
      <c r="AF33" s="4">
        <f>ABS(SpecPool!AF33-Symphony!AF33)</f>
        <v>5.1061436974919161E-2</v>
      </c>
      <c r="AG33" s="4">
        <f>ABS(SpecPool!AG33-Symphony!AG33)</f>
        <v>7.9893240581398572E-2</v>
      </c>
      <c r="AH33" s="4">
        <f>ABS(SpecPool!AH33-Symphony!AH33)</f>
        <v>7.2877995646699389E-2</v>
      </c>
      <c r="AI33" s="4">
        <f>ABS(SpecPool!AI33-Symphony!AI33)</f>
        <v>1.9316846141599342E-3</v>
      </c>
      <c r="AJ33" s="4">
        <f>ABS(SpecPool!AJ33-Symphony!AJ33)</f>
        <v>2.4354323091600349E-2</v>
      </c>
      <c r="AK33" s="4">
        <f>ABS(SpecPool!AK33-Symphony!AK33)</f>
        <v>6.2255778889834801E-3</v>
      </c>
    </row>
    <row r="34" spans="1:37" x14ac:dyDescent="0.25">
      <c r="A34">
        <f>ABS(SpecPool!A34-Symphony!A34)</f>
        <v>0</v>
      </c>
      <c r="B34" t="e">
        <f>ABS(SpecPool!B34-Symphony!B34)</f>
        <v>#VALUE!</v>
      </c>
      <c r="C34">
        <v>20140901</v>
      </c>
      <c r="D34" s="3">
        <f>ABS(SpecPool!D34-Symphony!D34)</f>
        <v>20099018</v>
      </c>
      <c r="E34" t="e">
        <f>ABS(SpecPool!E34-Symphony!E34)</f>
        <v>#VALUE!</v>
      </c>
      <c r="F34" s="8">
        <f>ABS(SpecPool!F34-Symphony!F34)</f>
        <v>186.28569461900042</v>
      </c>
      <c r="G34" s="7"/>
      <c r="H34" s="5">
        <f>ABS(SpecPool!H34-Symphony!H34)</f>
        <v>3.6444562077579121</v>
      </c>
      <c r="I34" s="5">
        <f>ABS(SpecPool!I34-Symphony!I34)</f>
        <v>2.9194822680400634E-2</v>
      </c>
      <c r="K34" s="5">
        <f>ABS(SpecPool!K34-Symphony!K34)</f>
        <v>0.63354730040001073</v>
      </c>
      <c r="L34" s="5" t="e">
        <f>ABS(SpecPool!L34-Symphony!L34)</f>
        <v>#VALUE!</v>
      </c>
      <c r="M34" s="5">
        <f>ABS(SpecPool!M34-Symphony!M34)</f>
        <v>0.16445173655309908</v>
      </c>
      <c r="N34" s="5">
        <f>ABS(SpecPool!N34-Symphony!N34)</f>
        <v>1.5814241061530065E-2</v>
      </c>
      <c r="O34" s="5" t="e">
        <f>ABS(SpecPool!O34-Symphony!O34)</f>
        <v>#VALUE!</v>
      </c>
      <c r="P34" s="5">
        <f>ABS(SpecPool!P34-Symphony!P34)</f>
        <v>0.72449962893550435</v>
      </c>
      <c r="Q34" s="5">
        <f>ABS(SpecPool!Q34-Symphony!Q34)</f>
        <v>0.11848336716889918</v>
      </c>
      <c r="R34" s="5">
        <f>ABS(SpecPool!R34-Symphony!R34)</f>
        <v>0</v>
      </c>
      <c r="S34" s="5" t="e">
        <f>ABS(SpecPool!S34-Symphony!S34)</f>
        <v>#VALUE!</v>
      </c>
      <c r="T34" s="5">
        <f>ABS(SpecPool!T34-Symphony!T34)</f>
        <v>7.843300554059951E-2</v>
      </c>
      <c r="U34" s="5">
        <f>ABS(SpecPool!U34-Symphony!U34)</f>
        <v>9.3865384092794102E-2</v>
      </c>
      <c r="V34" s="5" t="e">
        <f>ABS(SpecPool!V34-Symphony!V34)</f>
        <v>#VALUE!</v>
      </c>
      <c r="W34" s="5">
        <f>ABS(SpecPool!W34-Symphony!W34)</f>
        <v>2.3583001689900129E-2</v>
      </c>
      <c r="X34" s="5">
        <f>ABS(SpecPool!X34-Symphony!X34)</f>
        <v>0.35157411885879952</v>
      </c>
      <c r="Y34" s="5">
        <f>ABS(SpecPool!Y34-Symphony!Y34)</f>
        <v>0.50586394448909289</v>
      </c>
      <c r="Z34" s="5" t="e">
        <f>ABS(SpecPool!Z34-Symphony!Z34)</f>
        <v>#VALUE!</v>
      </c>
      <c r="AB34" s="4">
        <f>ABS(SpecPool!AB34-Symphony!AB34)</f>
        <v>6.1656833880796569E-3</v>
      </c>
      <c r="AC34" s="4">
        <f>ABS(SpecPool!AC34-Symphony!AC34)</f>
        <v>2.339538444620004E-2</v>
      </c>
      <c r="AD34" s="4">
        <f>ABS(SpecPool!AD34-Symphony!AD34)</f>
        <v>0.16601681450929107</v>
      </c>
      <c r="AE34" s="6"/>
      <c r="AF34" s="4">
        <f>ABS(SpecPool!AF34-Symphony!AF34)</f>
        <v>0.15369443483598388</v>
      </c>
      <c r="AG34" s="4">
        <f>ABS(SpecPool!AG34-Symphony!AG34)</f>
        <v>0.16782358152370591</v>
      </c>
      <c r="AH34" s="4">
        <f>ABS(SpecPool!AH34-Symphony!AH34)</f>
        <v>0.13721241845249921</v>
      </c>
      <c r="AI34" s="4">
        <f>ABS(SpecPool!AI34-Symphony!AI34)</f>
        <v>1.8598269769700693E-3</v>
      </c>
      <c r="AJ34" s="4">
        <f>ABS(SpecPool!AJ34-Symphony!AJ34)</f>
        <v>9.9101304590121231E-4</v>
      </c>
      <c r="AK34" s="4">
        <f>ABS(SpecPool!AK34-Symphony!AK34)</f>
        <v>3.4552550429793882E-3</v>
      </c>
    </row>
    <row r="35" spans="1:37" x14ac:dyDescent="0.25">
      <c r="A35">
        <f>ABS(SpecPool!A35-Symphony!A35)</f>
        <v>0</v>
      </c>
      <c r="B35" t="e">
        <f>ABS(SpecPool!B35-Symphony!B35)</f>
        <v>#VALUE!</v>
      </c>
      <c r="C35">
        <v>20141001</v>
      </c>
      <c r="D35" s="3">
        <f>ABS(SpecPool!D35-Symphony!D35)</f>
        <v>20099088</v>
      </c>
      <c r="E35" t="e">
        <f>ABS(SpecPool!E35-Symphony!E35)</f>
        <v>#VALUE!</v>
      </c>
      <c r="F35" s="8">
        <f>ABS(SpecPool!F35-Symphony!F35)</f>
        <v>51.737367882975377</v>
      </c>
      <c r="G35" s="7"/>
      <c r="H35" s="5">
        <f>ABS(SpecPool!H35-Symphony!H35)</f>
        <v>1.1529666590159877</v>
      </c>
      <c r="I35" s="5">
        <f>ABS(SpecPool!I35-Symphony!I35)</f>
        <v>8.7270691902309849E-2</v>
      </c>
      <c r="K35" s="5">
        <f>ABS(SpecPool!K35-Symphony!K35)</f>
        <v>2.141645271100856E-2</v>
      </c>
      <c r="L35" s="5" t="e">
        <f>ABS(SpecPool!L35-Symphony!L35)</f>
        <v>#VALUE!</v>
      </c>
      <c r="M35" s="5">
        <f>ABS(SpecPool!M35-Symphony!M35)</f>
        <v>7.083040400300078E-2</v>
      </c>
      <c r="N35" s="5">
        <f>ABS(SpecPool!N35-Symphony!N35)</f>
        <v>4.8888251292700247E-3</v>
      </c>
      <c r="O35" s="5" t="e">
        <f>ABS(SpecPool!O35-Symphony!O35)</f>
        <v>#VALUE!</v>
      </c>
      <c r="P35" s="5">
        <f>ABS(SpecPool!P35-Symphony!P35)</f>
        <v>0.22078206452189875</v>
      </c>
      <c r="Q35" s="5">
        <f>ABS(SpecPool!Q35-Symphony!Q35)</f>
        <v>5.549596929829903E-2</v>
      </c>
      <c r="R35" s="5">
        <f>ABS(SpecPool!R35-Symphony!R35)</f>
        <v>0</v>
      </c>
      <c r="S35" s="5" t="e">
        <f>ABS(SpecPool!S35-Symphony!S35)</f>
        <v>#VALUE!</v>
      </c>
      <c r="T35" s="5">
        <f>ABS(SpecPool!T35-Symphony!T35)</f>
        <v>2.1278969801800329E-2</v>
      </c>
      <c r="U35" s="5">
        <f>ABS(SpecPool!U35-Symphony!U35)</f>
        <v>6.855586023731064E-2</v>
      </c>
      <c r="V35" s="5" t="e">
        <f>ABS(SpecPool!V35-Symphony!V35)</f>
        <v>#VALUE!</v>
      </c>
      <c r="W35" s="5">
        <f>ABS(SpecPool!W35-Symphony!W35)</f>
        <v>1.1039168648608211E-2</v>
      </c>
      <c r="X35" s="5">
        <f>ABS(SpecPool!X35-Symphony!X35)</f>
        <v>5.600572490869915E-2</v>
      </c>
      <c r="Y35" s="5">
        <f>ABS(SpecPool!Y35-Symphony!Y35)</f>
        <v>0.20201111050469933</v>
      </c>
      <c r="Z35" s="5" t="e">
        <f>ABS(SpecPool!Z35-Symphony!Z35)</f>
        <v>#VALUE!</v>
      </c>
      <c r="AB35" s="4">
        <f>ABS(SpecPool!AB35-Symphony!AB35)</f>
        <v>5.1265901913399858E-3</v>
      </c>
      <c r="AC35" s="4">
        <f>ABS(SpecPool!AC35-Symphony!AC35)</f>
        <v>5.9580674642802478E-2</v>
      </c>
      <c r="AD35" s="4">
        <f>ABS(SpecPool!AD35-Symphony!AD35)</f>
        <v>0.10624611172019627</v>
      </c>
      <c r="AE35" s="6"/>
      <c r="AF35" s="4">
        <f>ABS(SpecPool!AF35-Symphony!AF35)</f>
        <v>2.8018933149041914E-2</v>
      </c>
      <c r="AG35" s="4">
        <f>ABS(SpecPool!AG35-Symphony!AG35)</f>
        <v>8.5302488323009129E-2</v>
      </c>
      <c r="AH35" s="4">
        <f>ABS(SpecPool!AH35-Symphony!AH35)</f>
        <v>0.17569874148080089</v>
      </c>
      <c r="AI35" s="4">
        <f>ABS(SpecPool!AI35-Symphony!AI35)</f>
        <v>3.4127951979101567E-3</v>
      </c>
      <c r="AJ35" s="4">
        <f>ABS(SpecPool!AJ35-Symphony!AJ35)</f>
        <v>3.0115240885599803E-2</v>
      </c>
      <c r="AK35" s="4">
        <f>ABS(SpecPool!AK35-Symphony!AK35)</f>
        <v>3.5153901599755955E-3</v>
      </c>
    </row>
    <row r="36" spans="1:37" x14ac:dyDescent="0.25">
      <c r="A36">
        <f>ABS(SpecPool!A36-Symphony!A36)</f>
        <v>0</v>
      </c>
      <c r="B36" t="e">
        <f>ABS(SpecPool!B36-Symphony!B36)</f>
        <v>#VALUE!</v>
      </c>
      <c r="C36">
        <v>20141101</v>
      </c>
      <c r="D36" s="3">
        <f>ABS(SpecPool!D36-Symphony!D36)</f>
        <v>20099157</v>
      </c>
      <c r="E36" t="e">
        <f>ABS(SpecPool!E36-Symphony!E36)</f>
        <v>#VALUE!</v>
      </c>
      <c r="F36" s="8">
        <f>ABS(SpecPool!F36-Symphony!F36)</f>
        <v>141.18844687601086</v>
      </c>
      <c r="G36" s="7"/>
      <c r="H36" s="5">
        <f>ABS(SpecPool!H36-Symphony!H36)</f>
        <v>0.49874864979699396</v>
      </c>
      <c r="I36" s="5">
        <f>ABS(SpecPool!I36-Symphony!I36)</f>
        <v>2.3336872218198579E-2</v>
      </c>
      <c r="K36" s="5">
        <f>ABS(SpecPool!K36-Symphony!K36)</f>
        <v>1.6847788575006462E-2</v>
      </c>
      <c r="L36" s="5" t="e">
        <f>ABS(SpecPool!L36-Symphony!L36)</f>
        <v>#VALUE!</v>
      </c>
      <c r="M36" s="5">
        <f>ABS(SpecPool!M36-Symphony!M36)</f>
        <v>5.5744062621005952E-3</v>
      </c>
      <c r="N36" s="5">
        <f>ABS(SpecPool!N36-Symphony!N36)</f>
        <v>7.0568187940900362E-3</v>
      </c>
      <c r="O36" s="5" t="e">
        <f>ABS(SpecPool!O36-Symphony!O36)</f>
        <v>#VALUE!</v>
      </c>
      <c r="P36" s="5">
        <f>ABS(SpecPool!P36-Symphony!P36)</f>
        <v>4.5428687525799205E-2</v>
      </c>
      <c r="Q36" s="5">
        <f>ABS(SpecPool!Q36-Symphony!Q36)</f>
        <v>2.9406230191700189E-2</v>
      </c>
      <c r="R36" s="5">
        <f>ABS(SpecPool!R36-Symphony!R36)</f>
        <v>0</v>
      </c>
      <c r="S36" s="5" t="e">
        <f>ABS(SpecPool!S36-Symphony!S36)</f>
        <v>#VALUE!</v>
      </c>
      <c r="T36" s="5">
        <f>ABS(SpecPool!T36-Symphony!T36)</f>
        <v>2.702943232980104E-2</v>
      </c>
      <c r="U36" s="5">
        <f>ABS(SpecPool!U36-Symphony!U36)</f>
        <v>1.9098202482794591E-2</v>
      </c>
      <c r="V36" s="5" t="e">
        <f>ABS(SpecPool!V36-Symphony!V36)</f>
        <v>#VALUE!</v>
      </c>
      <c r="W36" s="5">
        <f>ABS(SpecPool!W36-Symphony!W36)</f>
        <v>3.3116759620099856E-4</v>
      </c>
      <c r="X36" s="5">
        <f>ABS(SpecPool!X36-Symphony!X36)</f>
        <v>3.0269810393900087E-2</v>
      </c>
      <c r="Y36" s="5">
        <f>ABS(SpecPool!Y36-Symphony!Y36)</f>
        <v>9.3355720134397302E-2</v>
      </c>
      <c r="Z36" s="5" t="e">
        <f>ABS(SpecPool!Z36-Symphony!Z36)</f>
        <v>#VALUE!</v>
      </c>
      <c r="AB36" s="4">
        <f>ABS(SpecPool!AB36-Symphony!AB36)</f>
        <v>7.7919004440398787E-3</v>
      </c>
      <c r="AC36" s="4">
        <f>ABS(SpecPool!AC36-Symphony!AC36)</f>
        <v>7.1659864125997785E-2</v>
      </c>
      <c r="AD36" s="4">
        <f>ABS(SpecPool!AD36-Symphony!AD36)</f>
        <v>5.400723147180031E-2</v>
      </c>
      <c r="AE36" s="6"/>
      <c r="AF36" s="4">
        <f>ABS(SpecPool!AF36-Symphony!AF36)</f>
        <v>1.0290277620015331E-3</v>
      </c>
      <c r="AG36" s="4">
        <f>ABS(SpecPool!AG36-Symphony!AG36)</f>
        <v>1.1387586213089662E-3</v>
      </c>
      <c r="AH36" s="4">
        <f>ABS(SpecPool!AH36-Symphony!AH36)</f>
        <v>1.2339614690198175E-2</v>
      </c>
      <c r="AI36" s="4">
        <f>ABS(SpecPool!AI36-Symphony!AI36)</f>
        <v>3.5973233564901008E-3</v>
      </c>
      <c r="AJ36" s="4">
        <f>ABS(SpecPool!AJ36-Symphony!AJ36)</f>
        <v>4.3105577817001972E-3</v>
      </c>
      <c r="AK36" s="4">
        <f>ABS(SpecPool!AK36-Symphony!AK36)</f>
        <v>1.8719661287036615E-2</v>
      </c>
    </row>
    <row r="37" spans="1:37" x14ac:dyDescent="0.25">
      <c r="A37">
        <f>ABS(SpecPool!A37-Symphony!A37)</f>
        <v>0</v>
      </c>
      <c r="B37" t="e">
        <f>ABS(SpecPool!B37-Symphony!B37)</f>
        <v>#VALUE!</v>
      </c>
      <c r="C37">
        <v>20141201</v>
      </c>
      <c r="D37" s="3">
        <f>ABS(SpecPool!D37-Symphony!D37)</f>
        <v>20099227</v>
      </c>
      <c r="E37" t="e">
        <f>ABS(SpecPool!E37-Symphony!E37)</f>
        <v>#VALUE!</v>
      </c>
      <c r="F37" s="8">
        <f>ABS(SpecPool!F37-Symphony!F37)</f>
        <v>69.705960005987436</v>
      </c>
      <c r="G37" s="7"/>
      <c r="H37" s="5">
        <f>ABS(SpecPool!H37-Symphony!H37)</f>
        <v>0.40349196254396702</v>
      </c>
      <c r="I37" s="5">
        <f>ABS(SpecPool!I37-Symphony!I37)</f>
        <v>5.784419610218805E-3</v>
      </c>
      <c r="K37" s="5">
        <f>ABS(SpecPool!K37-Symphony!K37)</f>
        <v>3.0394012068001075E-2</v>
      </c>
      <c r="L37" s="5" t="e">
        <f>ABS(SpecPool!L37-Symphony!L37)</f>
        <v>#VALUE!</v>
      </c>
      <c r="M37" s="5">
        <f>ABS(SpecPool!M37-Symphony!M37)</f>
        <v>1.2728431546999985E-3</v>
      </c>
      <c r="N37" s="5">
        <f>ABS(SpecPool!N37-Symphony!N37)</f>
        <v>1.4011548074501778E-3</v>
      </c>
      <c r="O37" s="5" t="e">
        <f>ABS(SpecPool!O37-Symphony!O37)</f>
        <v>#VALUE!</v>
      </c>
      <c r="P37" s="5">
        <f>ABS(SpecPool!P37-Symphony!P37)</f>
        <v>1.7815773672992918E-2</v>
      </c>
      <c r="Q37" s="5">
        <f>ABS(SpecPool!Q37-Symphony!Q37)</f>
        <v>7.4961079205024816E-3</v>
      </c>
      <c r="R37" s="5">
        <f>ABS(SpecPool!R37-Symphony!R37)</f>
        <v>0</v>
      </c>
      <c r="S37" s="5" t="e">
        <f>ABS(SpecPool!S37-Symphony!S37)</f>
        <v>#VALUE!</v>
      </c>
      <c r="T37" s="5">
        <f>ABS(SpecPool!T37-Symphony!T37)</f>
        <v>2.1548230639400145E-2</v>
      </c>
      <c r="U37" s="5">
        <f>ABS(SpecPool!U37-Symphony!U37)</f>
        <v>2.8169566230928922E-4</v>
      </c>
      <c r="V37" s="5" t="e">
        <f>ABS(SpecPool!V37-Symphony!V37)</f>
        <v>#VALUE!</v>
      </c>
      <c r="W37" s="5">
        <f>ABS(SpecPool!W37-Symphony!W37)</f>
        <v>4.3278488639089119E-3</v>
      </c>
      <c r="X37" s="5">
        <f>ABS(SpecPool!X37-Symphony!X37)</f>
        <v>1.9006473539896263E-2</v>
      </c>
      <c r="Y37" s="5">
        <f>ABS(SpecPool!Y37-Symphony!Y37)</f>
        <v>2.3206118982983526E-3</v>
      </c>
      <c r="Z37" s="5" t="e">
        <f>ABS(SpecPool!Z37-Symphony!Z37)</f>
        <v>#VALUE!</v>
      </c>
      <c r="AB37" s="4">
        <f>ABS(SpecPool!AB37-Symphony!AB37)</f>
        <v>1.0778559247009767E-2</v>
      </c>
      <c r="AC37" s="4">
        <f>ABS(SpecPool!AC37-Symphony!AC37)</f>
        <v>4.6400292978802327E-2</v>
      </c>
      <c r="AD37" s="4">
        <f>ABS(SpecPool!AD37-Symphony!AD37)</f>
        <v>6.7946894114797374E-2</v>
      </c>
      <c r="AE37" s="6"/>
      <c r="AF37" s="4">
        <f>ABS(SpecPool!AF37-Symphony!AF37)</f>
        <v>2.5176102702971548E-2</v>
      </c>
      <c r="AG37" s="4">
        <f>ABS(SpecPool!AG37-Symphony!AG37)</f>
        <v>6.1598019657935765E-3</v>
      </c>
      <c r="AH37" s="4">
        <f>ABS(SpecPool!AH37-Symphony!AH37)</f>
        <v>3.0290587151995396E-2</v>
      </c>
      <c r="AI37" s="4">
        <f>ABS(SpecPool!AI37-Symphony!AI37)</f>
        <v>3.494887021579629E-3</v>
      </c>
      <c r="AJ37" s="4">
        <f>ABS(SpecPool!AJ37-Symphony!AJ37)</f>
        <v>6.8271642080013351E-3</v>
      </c>
      <c r="AK37" s="4">
        <f>ABS(SpecPool!AK37-Symphony!AK37)</f>
        <v>1.3557044708988997E-2</v>
      </c>
    </row>
    <row r="38" spans="1:37" x14ac:dyDescent="0.25">
      <c r="A38">
        <f>ABS(SpecPool!A38-Symphony!A38)</f>
        <v>0</v>
      </c>
      <c r="B38" t="e">
        <f>ABS(SpecPool!B38-Symphony!B38)</f>
        <v>#VALUE!</v>
      </c>
      <c r="C38">
        <v>20150101</v>
      </c>
      <c r="D38" s="3">
        <f>ABS(SpecPool!D38-Symphony!D38)</f>
        <v>20108096</v>
      </c>
      <c r="E38" t="e">
        <f>ABS(SpecPool!E38-Symphony!E38)</f>
        <v>#VALUE!</v>
      </c>
      <c r="F38" s="8">
        <f>ABS(SpecPool!F38-Symphony!F38)</f>
        <v>15.932140834978782</v>
      </c>
      <c r="G38" s="7"/>
      <c r="H38" s="5">
        <f>ABS(SpecPool!H38-Symphony!H38)</f>
        <v>0.5320872253670359</v>
      </c>
      <c r="I38" s="5">
        <f>ABS(SpecPool!I38-Symphony!I38)</f>
        <v>4.6549200664003365E-3</v>
      </c>
      <c r="K38" s="5">
        <f>ABS(SpecPool!K38-Symphony!K38)</f>
        <v>4.2941349423998076E-2</v>
      </c>
      <c r="L38" s="5" t="e">
        <f>ABS(SpecPool!L38-Symphony!L38)</f>
        <v>#VALUE!</v>
      </c>
      <c r="M38" s="5">
        <f>ABS(SpecPool!M38-Symphony!M38)</f>
        <v>2.301158398900327E-3</v>
      </c>
      <c r="N38" s="5">
        <f>ABS(SpecPool!N38-Symphony!N38)</f>
        <v>5.9439330608601626E-3</v>
      </c>
      <c r="O38" s="5" t="e">
        <f>ABS(SpecPool!O38-Symphony!O38)</f>
        <v>#VALUE!</v>
      </c>
      <c r="P38" s="5">
        <f>ABS(SpecPool!P38-Symphony!P38)</f>
        <v>3.0909538274102033E-3</v>
      </c>
      <c r="Q38" s="5">
        <f>ABS(SpecPool!Q38-Symphony!Q38)</f>
        <v>9.557510131401159E-3</v>
      </c>
      <c r="R38" s="5">
        <f>ABS(SpecPool!R38-Symphony!R38)</f>
        <v>0</v>
      </c>
      <c r="S38" s="5" t="e">
        <f>ABS(SpecPool!S38-Symphony!S38)</f>
        <v>#VALUE!</v>
      </c>
      <c r="T38" s="5">
        <f>ABS(SpecPool!T38-Symphony!T38)</f>
        <v>9.2973432284004787E-3</v>
      </c>
      <c r="U38" s="5">
        <f>ABS(SpecPool!U38-Symphony!U38)</f>
        <v>3.2414245550000942E-3</v>
      </c>
      <c r="V38" s="5" t="e">
        <f>ABS(SpecPool!V38-Symphony!V38)</f>
        <v>#VALUE!</v>
      </c>
      <c r="W38" s="5">
        <f>ABS(SpecPool!W38-Symphony!W38)</f>
        <v>2.465770112962673E-4</v>
      </c>
      <c r="X38" s="5">
        <f>ABS(SpecPool!X38-Symphony!X38)</f>
        <v>1.8855443466797794E-2</v>
      </c>
      <c r="Y38" s="5">
        <f>ABS(SpecPool!Y38-Symphony!Y38)</f>
        <v>4.6541544450917627E-3</v>
      </c>
      <c r="Z38" s="5" t="e">
        <f>ABS(SpecPool!Z38-Symphony!Z38)</f>
        <v>#VALUE!</v>
      </c>
      <c r="AB38" s="4">
        <f>ABS(SpecPool!AB38-Symphony!AB38)</f>
        <v>5.3634196204197515E-3</v>
      </c>
      <c r="AC38" s="4">
        <f>ABS(SpecPool!AC38-Symphony!AC38)</f>
        <v>2.9680094208298868E-2</v>
      </c>
      <c r="AD38" s="4">
        <f>ABS(SpecPool!AD38-Symphony!AD38)</f>
        <v>5.9275290465905073E-2</v>
      </c>
      <c r="AE38" s="6"/>
      <c r="AF38" s="4">
        <f>ABS(SpecPool!AF38-Symphony!AF38)</f>
        <v>4.6556431702015288E-2</v>
      </c>
      <c r="AG38" s="4">
        <f>ABS(SpecPool!AG38-Symphony!AG38)</f>
        <v>5.6197054933875279E-3</v>
      </c>
      <c r="AH38" s="4">
        <f>ABS(SpecPool!AH38-Symphony!AH38)</f>
        <v>3.658803989399928E-2</v>
      </c>
      <c r="AI38" s="4">
        <f>ABS(SpecPool!AI38-Symphony!AI38)</f>
        <v>3.1913846550502001E-3</v>
      </c>
      <c r="AJ38" s="4">
        <f>ABS(SpecPool!AJ38-Symphony!AJ38)</f>
        <v>1.1861367855999561E-2</v>
      </c>
      <c r="AK38" s="4">
        <f>ABS(SpecPool!AK38-Symphony!AK38)</f>
        <v>9.4017871439859846E-3</v>
      </c>
    </row>
    <row r="39" spans="1:37" x14ac:dyDescent="0.25">
      <c r="A39">
        <f>ABS(SpecPool!A39-Symphony!A39)</f>
        <v>0</v>
      </c>
      <c r="B39" t="e">
        <f>ABS(SpecPool!B39-Symphony!B39)</f>
        <v>#VALUE!</v>
      </c>
      <c r="C39">
        <v>20150201</v>
      </c>
      <c r="D39" s="3">
        <f>ABS(SpecPool!D39-Symphony!D39)</f>
        <v>20108165</v>
      </c>
      <c r="E39" t="e">
        <f>ABS(SpecPool!E39-Symphony!E39)</f>
        <v>#VALUE!</v>
      </c>
      <c r="F39" s="8">
        <f>ABS(SpecPool!F39-Symphony!F39)</f>
        <v>148.15678211901104</v>
      </c>
      <c r="G39" s="7"/>
      <c r="H39" s="5">
        <f>ABS(SpecPool!H39-Symphony!H39)</f>
        <v>4.0737904471419597</v>
      </c>
      <c r="I39" s="5">
        <f>ABS(SpecPool!I39-Symphony!I39)</f>
        <v>5.4085182630299045E-2</v>
      </c>
      <c r="K39" s="5">
        <f>ABS(SpecPool!K39-Symphony!K39)</f>
        <v>0.49176196373500147</v>
      </c>
      <c r="L39" s="5" t="e">
        <f>ABS(SpecPool!L39-Symphony!L39)</f>
        <v>#VALUE!</v>
      </c>
      <c r="M39" s="5">
        <f>ABS(SpecPool!M39-Symphony!M39)</f>
        <v>7.8539738237900281E-2</v>
      </c>
      <c r="N39" s="5">
        <f>ABS(SpecPool!N39-Symphony!N39)</f>
        <v>1.5522997026520047E-2</v>
      </c>
      <c r="O39" s="5" t="e">
        <f>ABS(SpecPool!O39-Symphony!O39)</f>
        <v>#VALUE!</v>
      </c>
      <c r="P39" s="5">
        <f>ABS(SpecPool!P39-Symphony!P39)</f>
        <v>0.50693255950069727</v>
      </c>
      <c r="Q39" s="5">
        <f>ABS(SpecPool!Q39-Symphony!Q39)</f>
        <v>4.9784052056001116E-2</v>
      </c>
      <c r="R39" s="5">
        <f>ABS(SpecPool!R39-Symphony!R39)</f>
        <v>0</v>
      </c>
      <c r="S39" s="5" t="e">
        <f>ABS(SpecPool!S39-Symphony!S39)</f>
        <v>#VALUE!</v>
      </c>
      <c r="T39" s="5">
        <f>ABS(SpecPool!T39-Symphony!T39)</f>
        <v>2.6911947940799763E-2</v>
      </c>
      <c r="U39" s="5">
        <f>ABS(SpecPool!U39-Symphony!U39)</f>
        <v>2.936145742759777E-2</v>
      </c>
      <c r="V39" s="5" t="e">
        <f>ABS(SpecPool!V39-Symphony!V39)</f>
        <v>#VALUE!</v>
      </c>
      <c r="W39" s="5">
        <f>ABS(SpecPool!W39-Symphony!W39)</f>
        <v>1.2507399458002055E-2</v>
      </c>
      <c r="X39" s="5">
        <f>ABS(SpecPool!X39-Symphony!X39)</f>
        <v>8.1113344209896354E-2</v>
      </c>
      <c r="Y39" s="5">
        <f>ABS(SpecPool!Y39-Symphony!Y39)</f>
        <v>8.0718053539200696E-2</v>
      </c>
      <c r="Z39" s="5" t="e">
        <f>ABS(SpecPool!Z39-Symphony!Z39)</f>
        <v>#VALUE!</v>
      </c>
      <c r="AB39" s="4">
        <f>ABS(SpecPool!AB39-Symphony!AB39)</f>
        <v>2.250657621109653E-3</v>
      </c>
      <c r="AC39" s="4">
        <f>ABS(SpecPool!AC39-Symphony!AC39)</f>
        <v>0.14471021500860104</v>
      </c>
      <c r="AD39" s="4">
        <f>ABS(SpecPool!AD39-Symphony!AD39)</f>
        <v>0.13126890660250012</v>
      </c>
      <c r="AE39" s="6"/>
      <c r="AF39" s="4">
        <f>ABS(SpecPool!AF39-Symphony!AF39)</f>
        <v>0.17127594265400603</v>
      </c>
      <c r="AG39" s="4">
        <f>ABS(SpecPool!AG39-Symphony!AG39)</f>
        <v>0.10975140609400569</v>
      </c>
      <c r="AH39" s="4">
        <f>ABS(SpecPool!AH39-Symphony!AH39)</f>
        <v>8.7413165195698639E-2</v>
      </c>
      <c r="AI39" s="4">
        <f>ABS(SpecPool!AI39-Symphony!AI39)</f>
        <v>3.0453559209195902E-3</v>
      </c>
      <c r="AJ39" s="4">
        <f>ABS(SpecPool!AJ39-Symphony!AJ39)</f>
        <v>1.672099453859488E-2</v>
      </c>
      <c r="AK39" s="4">
        <f>ABS(SpecPool!AK39-Symphony!AK39)</f>
        <v>2.6199688809981581E-2</v>
      </c>
    </row>
    <row r="40" spans="1:37" x14ac:dyDescent="0.25">
      <c r="A40">
        <f>ABS(SpecPool!A40-Symphony!A40)</f>
        <v>0</v>
      </c>
      <c r="B40" t="e">
        <f>ABS(SpecPool!B40-Symphony!B40)</f>
        <v>#VALUE!</v>
      </c>
      <c r="C40">
        <v>20150301</v>
      </c>
      <c r="D40" s="3">
        <f>ABS(SpecPool!D40-Symphony!D40)</f>
        <v>20108237</v>
      </c>
      <c r="E40" t="e">
        <f>ABS(SpecPool!E40-Symphony!E40)</f>
        <v>#VALUE!</v>
      </c>
      <c r="F40" s="8">
        <f>ABS(SpecPool!F40-Symphony!F40)</f>
        <v>57.063962901011109</v>
      </c>
      <c r="G40" s="7"/>
      <c r="H40" s="5">
        <f>ABS(SpecPool!H40-Symphony!H40)</f>
        <v>0.92561858819703957</v>
      </c>
      <c r="I40" s="5">
        <f>ABS(SpecPool!I40-Symphony!I40)</f>
        <v>2.7326255320501147E-2</v>
      </c>
      <c r="K40" s="5">
        <f>ABS(SpecPool!K40-Symphony!K40)</f>
        <v>3.5806744046993799E-2</v>
      </c>
      <c r="L40" s="5" t="e">
        <f>ABS(SpecPool!L40-Symphony!L40)</f>
        <v>#VALUE!</v>
      </c>
      <c r="M40" s="5">
        <f>ABS(SpecPool!M40-Symphony!M40)</f>
        <v>6.1732666490144084E-4</v>
      </c>
      <c r="N40" s="5">
        <f>ABS(SpecPool!N40-Symphony!N40)</f>
        <v>2.872057426060115E-3</v>
      </c>
      <c r="O40" s="5" t="e">
        <f>ABS(SpecPool!O40-Symphony!O40)</f>
        <v>#VALUE!</v>
      </c>
      <c r="P40" s="5">
        <f>ABS(SpecPool!P40-Symphony!P40)</f>
        <v>8.270988965020365E-2</v>
      </c>
      <c r="Q40" s="5">
        <f>ABS(SpecPool!Q40-Symphony!Q40)</f>
        <v>2.2226961709499449E-2</v>
      </c>
      <c r="R40" s="5">
        <f>ABS(SpecPool!R40-Symphony!R40)</f>
        <v>0</v>
      </c>
      <c r="S40" s="5" t="e">
        <f>ABS(SpecPool!S40-Symphony!S40)</f>
        <v>#VALUE!</v>
      </c>
      <c r="T40" s="5">
        <f>ABS(SpecPool!T40-Symphony!T40)</f>
        <v>3.7225787986301384E-2</v>
      </c>
      <c r="U40" s="5">
        <f>ABS(SpecPool!U40-Symphony!U40)</f>
        <v>1.5118017366205549E-2</v>
      </c>
      <c r="V40" s="5" t="e">
        <f>ABS(SpecPool!V40-Symphony!V40)</f>
        <v>#VALUE!</v>
      </c>
      <c r="W40" s="5">
        <f>ABS(SpecPool!W40-Symphony!W40)</f>
        <v>5.2582338644953097E-3</v>
      </c>
      <c r="X40" s="5">
        <f>ABS(SpecPool!X40-Symphony!X40)</f>
        <v>2.6914084265797555E-2</v>
      </c>
      <c r="Y40" s="5">
        <f>ABS(SpecPool!Y40-Symphony!Y40)</f>
        <v>8.6934080494799559E-2</v>
      </c>
      <c r="Z40" s="5" t="e">
        <f>ABS(SpecPool!Z40-Symphony!Z40)</f>
        <v>#VALUE!</v>
      </c>
      <c r="AB40" s="4">
        <f>ABS(SpecPool!AB40-Symphony!AB40)</f>
        <v>1.1417521229539762E-2</v>
      </c>
      <c r="AC40" s="4">
        <f>ABS(SpecPool!AC40-Symphony!AC40)</f>
        <v>2.3282150769500021E-2</v>
      </c>
      <c r="AD40" s="4">
        <f>ABS(SpecPool!AD40-Symphony!AD40)</f>
        <v>4.4892283641104314E-2</v>
      </c>
      <c r="AE40" s="6"/>
      <c r="AF40" s="4">
        <f>ABS(SpecPool!AF40-Symphony!AF40)</f>
        <v>2.8241591948017231E-2</v>
      </c>
      <c r="AG40" s="4">
        <f>ABS(SpecPool!AG40-Symphony!AG40)</f>
        <v>6.5340037640027049E-3</v>
      </c>
      <c r="AH40" s="4">
        <f>ABS(SpecPool!AH40-Symphony!AH40)</f>
        <v>1.5004939368395753E-2</v>
      </c>
      <c r="AI40" s="4">
        <f>ABS(SpecPool!AI40-Symphony!AI40)</f>
        <v>2.728090466989741E-3</v>
      </c>
      <c r="AJ40" s="4">
        <f>ABS(SpecPool!AJ40-Symphony!AJ40)</f>
        <v>9.3995622051963323E-3</v>
      </c>
      <c r="AK40" s="4">
        <f>ABS(SpecPool!AK40-Symphony!AK40)</f>
        <v>4.5262790459901225E-3</v>
      </c>
    </row>
    <row r="41" spans="1:37" x14ac:dyDescent="0.25">
      <c r="A41">
        <f>ABS(SpecPool!A41-Symphony!A41)</f>
        <v>0</v>
      </c>
      <c r="B41" t="e">
        <f>ABS(SpecPool!B41-Symphony!B41)</f>
        <v>#VALUE!</v>
      </c>
      <c r="C41">
        <v>20150401</v>
      </c>
      <c r="D41" s="3">
        <f>ABS(SpecPool!D41-Symphony!D41)</f>
        <v>20108306</v>
      </c>
      <c r="E41" t="e">
        <f>ABS(SpecPool!E41-Symphony!E41)</f>
        <v>#VALUE!</v>
      </c>
      <c r="F41" s="8">
        <f>ABS(SpecPool!F41-Symphony!F41)</f>
        <v>57.749555768008577</v>
      </c>
      <c r="G41" s="7"/>
      <c r="H41" s="5">
        <f>ABS(SpecPool!H41-Symphony!H41)</f>
        <v>0.90072061894409217</v>
      </c>
      <c r="I41" s="5">
        <f>ABS(SpecPool!I41-Symphony!I41)</f>
        <v>6.8504729470966197E-3</v>
      </c>
      <c r="K41" s="5">
        <f>ABS(SpecPool!K41-Symphony!K41)</f>
        <v>3.0078052888995899E-2</v>
      </c>
      <c r="L41" s="5" t="e">
        <f>ABS(SpecPool!L41-Symphony!L41)</f>
        <v>#VALUE!</v>
      </c>
      <c r="M41" s="5">
        <f>ABS(SpecPool!M41-Symphony!M41)</f>
        <v>3.8655924492996263E-3</v>
      </c>
      <c r="N41" s="5">
        <f>ABS(SpecPool!N41-Symphony!N41)</f>
        <v>2.7768585115699462E-3</v>
      </c>
      <c r="O41" s="5" t="e">
        <f>ABS(SpecPool!O41-Symphony!O41)</f>
        <v>#VALUE!</v>
      </c>
      <c r="P41" s="5">
        <f>ABS(SpecPool!P41-Symphony!P41)</f>
        <v>8.2408713228502961E-2</v>
      </c>
      <c r="Q41" s="5">
        <f>ABS(SpecPool!Q41-Symphony!Q41)</f>
        <v>1.9386534056398119E-2</v>
      </c>
      <c r="R41" s="5">
        <f>ABS(SpecPool!R41-Symphony!R41)</f>
        <v>0</v>
      </c>
      <c r="S41" s="5" t="e">
        <f>ABS(SpecPool!S41-Symphony!S41)</f>
        <v>#VALUE!</v>
      </c>
      <c r="T41" s="5">
        <f>ABS(SpecPool!T41-Symphony!T41)</f>
        <v>3.7319421345198833E-2</v>
      </c>
      <c r="U41" s="5">
        <f>ABS(SpecPool!U41-Symphony!U41)</f>
        <v>2.2195754773605358E-2</v>
      </c>
      <c r="V41" s="5" t="e">
        <f>ABS(SpecPool!V41-Symphony!V41)</f>
        <v>#VALUE!</v>
      </c>
      <c r="W41" s="5">
        <f>ABS(SpecPool!W41-Symphony!W41)</f>
        <v>1.0046043639988511E-4</v>
      </c>
      <c r="X41" s="5">
        <f>ABS(SpecPool!X41-Symphony!X41)</f>
        <v>3.11878183313965E-2</v>
      </c>
      <c r="Y41" s="5">
        <f>ABS(SpecPool!Y41-Symphony!Y41)</f>
        <v>0.10030246093630524</v>
      </c>
      <c r="Z41" s="5" t="e">
        <f>ABS(SpecPool!Z41-Symphony!Z41)</f>
        <v>#VALUE!</v>
      </c>
      <c r="AB41" s="4">
        <f>ABS(SpecPool!AB41-Symphony!AB41)</f>
        <v>1.1355512854459793E-2</v>
      </c>
      <c r="AC41" s="4">
        <f>ABS(SpecPool!AC41-Symphony!AC41)</f>
        <v>1.7345789201002049E-2</v>
      </c>
      <c r="AD41" s="4">
        <f>ABS(SpecPool!AD41-Symphony!AD41)</f>
        <v>4.2817328450695413E-2</v>
      </c>
      <c r="AE41" s="6"/>
      <c r="AF41" s="4">
        <f>ABS(SpecPool!AF41-Symphony!AF41)</f>
        <v>1.5573035313991568E-2</v>
      </c>
      <c r="AG41" s="4">
        <f>ABS(SpecPool!AG41-Symphony!AG41)</f>
        <v>2.0237278427970296E-3</v>
      </c>
      <c r="AH41" s="4">
        <f>ABS(SpecPool!AH41-Symphony!AH41)</f>
        <v>7.6656954656968423E-3</v>
      </c>
      <c r="AI41" s="4">
        <f>ABS(SpecPool!AI41-Symphony!AI41)</f>
        <v>2.6692005216100156E-3</v>
      </c>
      <c r="AJ41" s="4">
        <f>ABS(SpecPool!AJ41-Symphony!AJ41)</f>
        <v>4.7796363239029915E-3</v>
      </c>
      <c r="AK41" s="4">
        <f>ABS(SpecPool!AK41-Symphony!AK41)</f>
        <v>1.0543798539004001E-2</v>
      </c>
    </row>
    <row r="42" spans="1:37" x14ac:dyDescent="0.25">
      <c r="A42">
        <f>ABS(SpecPool!A42-Symphony!A42)</f>
        <v>0</v>
      </c>
      <c r="B42" t="e">
        <f>ABS(SpecPool!B42-Symphony!B42)</f>
        <v>#VALUE!</v>
      </c>
      <c r="C42">
        <v>20150501</v>
      </c>
      <c r="D42" s="3">
        <f>ABS(SpecPool!D42-Symphony!D42)</f>
        <v>20108376</v>
      </c>
      <c r="E42" t="e">
        <f>ABS(SpecPool!E42-Symphony!E42)</f>
        <v>#VALUE!</v>
      </c>
      <c r="F42" s="8">
        <f>ABS(SpecPool!F42-Symphony!F42)</f>
        <v>44.132553030009149</v>
      </c>
      <c r="G42" s="7"/>
      <c r="H42" s="5">
        <f>ABS(SpecPool!H42-Symphony!H42)</f>
        <v>0.77539077893993635</v>
      </c>
      <c r="I42" s="5">
        <f>ABS(SpecPool!I42-Symphony!I42)</f>
        <v>3.946882463590029E-2</v>
      </c>
      <c r="K42" s="5">
        <f>ABS(SpecPool!K42-Symphony!K42)</f>
        <v>8.0012509189003822E-2</v>
      </c>
      <c r="L42" s="5" t="e">
        <f>ABS(SpecPool!L42-Symphony!L42)</f>
        <v>#VALUE!</v>
      </c>
      <c r="M42" s="5">
        <f>ABS(SpecPool!M42-Symphony!M42)</f>
        <v>9.6446954923692374E-3</v>
      </c>
      <c r="N42" s="5">
        <f>ABS(SpecPool!N42-Symphony!N42)</f>
        <v>3.5405458948001289E-4</v>
      </c>
      <c r="O42" s="5" t="e">
        <f>ABS(SpecPool!O42-Symphony!O42)</f>
        <v>#VALUE!</v>
      </c>
      <c r="P42" s="5">
        <f>ABS(SpecPool!P42-Symphony!P42)</f>
        <v>2.4921787765990189E-2</v>
      </c>
      <c r="Q42" s="5">
        <f>ABS(SpecPool!Q42-Symphony!Q42)</f>
        <v>4.2050356320189053E-4</v>
      </c>
      <c r="R42" s="5">
        <f>ABS(SpecPool!R42-Symphony!R42)</f>
        <v>0</v>
      </c>
      <c r="S42" s="5" t="e">
        <f>ABS(SpecPool!S42-Symphony!S42)</f>
        <v>#VALUE!</v>
      </c>
      <c r="T42" s="5">
        <f>ABS(SpecPool!T42-Symphony!T42)</f>
        <v>4.5953633322994847E-3</v>
      </c>
      <c r="U42" s="5">
        <f>ABS(SpecPool!U42-Symphony!U42)</f>
        <v>5.455192852593882E-3</v>
      </c>
      <c r="V42" s="5" t="e">
        <f>ABS(SpecPool!V42-Symphony!V42)</f>
        <v>#VALUE!</v>
      </c>
      <c r="W42" s="5">
        <f>ABS(SpecPool!W42-Symphony!W42)</f>
        <v>1.3556675615092217E-2</v>
      </c>
      <c r="X42" s="5">
        <f>ABS(SpecPool!X42-Symphony!X42)</f>
        <v>2.2856280719011579E-2</v>
      </c>
      <c r="Y42" s="5">
        <f>ABS(SpecPool!Y42-Symphony!Y42)</f>
        <v>7.9282245650915684E-3</v>
      </c>
      <c r="Z42" s="5" t="e">
        <f>ABS(SpecPool!Z42-Symphony!Z42)</f>
        <v>#VALUE!</v>
      </c>
      <c r="AB42" s="4">
        <f>ABS(SpecPool!AB42-Symphony!AB42)</f>
        <v>1.2545670093659922E-2</v>
      </c>
      <c r="AC42" s="4">
        <f>ABS(SpecPool!AC42-Symphony!AC42)</f>
        <v>3.3815205141301874E-2</v>
      </c>
      <c r="AD42" s="4">
        <f>ABS(SpecPool!AD42-Symphony!AD42)</f>
        <v>2.8809968201798597E-2</v>
      </c>
      <c r="AE42" s="6"/>
      <c r="AF42" s="4">
        <f>ABS(SpecPool!AF42-Symphony!AF42)</f>
        <v>4.1936104965998311E-2</v>
      </c>
      <c r="AG42" s="4">
        <f>ABS(SpecPool!AG42-Symphony!AG42)</f>
        <v>2.5866793289708312E-4</v>
      </c>
      <c r="AH42" s="4">
        <f>ABS(SpecPool!AH42-Symphony!AH42)</f>
        <v>4.2451758168795095E-2</v>
      </c>
      <c r="AI42" s="4">
        <f>ABS(SpecPool!AI42-Symphony!AI42)</f>
        <v>2.587771038569997E-3</v>
      </c>
      <c r="AJ42" s="4">
        <f>ABS(SpecPool!AJ42-Symphony!AJ42)</f>
        <v>1.1041253117198835E-2</v>
      </c>
      <c r="AK42" s="4">
        <f>ABS(SpecPool!AK42-Symphony!AK42)</f>
        <v>7.6191284850324337E-3</v>
      </c>
    </row>
    <row r="43" spans="1:37" x14ac:dyDescent="0.25">
      <c r="A43">
        <f>ABS(SpecPool!A43-Symphony!A43)</f>
        <v>0</v>
      </c>
      <c r="B43" t="e">
        <f>ABS(SpecPool!B43-Symphony!B43)</f>
        <v>#VALUE!</v>
      </c>
      <c r="C43">
        <v>20150601</v>
      </c>
      <c r="D43" s="3">
        <f>ABS(SpecPool!D43-Symphony!D43)</f>
        <v>20108445</v>
      </c>
      <c r="E43" t="e">
        <f>ABS(SpecPool!E43-Symphony!E43)</f>
        <v>#VALUE!</v>
      </c>
      <c r="F43" s="8">
        <f>ABS(SpecPool!F43-Symphony!F43)</f>
        <v>59.591904656001134</v>
      </c>
      <c r="G43" s="7"/>
      <c r="H43" s="5">
        <f>ABS(SpecPool!H43-Symphony!H43)</f>
        <v>0.51519876338988979</v>
      </c>
      <c r="I43" s="5">
        <f>ABS(SpecPool!I43-Symphony!I43)</f>
        <v>1.0840368275699674E-2</v>
      </c>
      <c r="K43" s="5">
        <f>ABS(SpecPool!K43-Symphony!K43)</f>
        <v>6.5629367305703568E-2</v>
      </c>
      <c r="L43" s="5" t="e">
        <f>ABS(SpecPool!L43-Symphony!L43)</f>
        <v>#VALUE!</v>
      </c>
      <c r="M43" s="5">
        <f>ABS(SpecPool!M43-Symphony!M43)</f>
        <v>1.0431028126969721E-2</v>
      </c>
      <c r="N43" s="5">
        <f>ABS(SpecPool!N43-Symphony!N43)</f>
        <v>9.7769367910993665E-4</v>
      </c>
      <c r="O43" s="5" t="e">
        <f>ABS(SpecPool!O43-Symphony!O43)</f>
        <v>#VALUE!</v>
      </c>
      <c r="P43" s="5">
        <f>ABS(SpecPool!P43-Symphony!P43)</f>
        <v>3.9177747320024991E-3</v>
      </c>
      <c r="Q43" s="5">
        <f>ABS(SpecPool!Q43-Symphony!Q43)</f>
        <v>6.3488673940987894E-3</v>
      </c>
      <c r="R43" s="5">
        <f>ABS(SpecPool!R43-Symphony!R43)</f>
        <v>0</v>
      </c>
      <c r="S43" s="5" t="e">
        <f>ABS(SpecPool!S43-Symphony!S43)</f>
        <v>#VALUE!</v>
      </c>
      <c r="T43" s="5">
        <f>ABS(SpecPool!T43-Symphony!T43)</f>
        <v>1.1246838214997723E-3</v>
      </c>
      <c r="U43" s="5">
        <f>ABS(SpecPool!U43-Symphony!U43)</f>
        <v>3.4368632368000362E-3</v>
      </c>
      <c r="V43" s="5" t="e">
        <f>ABS(SpecPool!V43-Symphony!V43)</f>
        <v>#VALUE!</v>
      </c>
      <c r="W43" s="5">
        <f>ABS(SpecPool!W43-Symphony!W43)</f>
        <v>1.168129880349511E-2</v>
      </c>
      <c r="X43" s="5">
        <f>ABS(SpecPool!X43-Symphony!X43)</f>
        <v>1.3223789285000009E-2</v>
      </c>
      <c r="Y43" s="5">
        <f>ABS(SpecPool!Y43-Symphony!Y43)</f>
        <v>1.0942894022036853E-6</v>
      </c>
      <c r="Z43" s="5" t="e">
        <f>ABS(SpecPool!Z43-Symphony!Z43)</f>
        <v>#VALUE!</v>
      </c>
      <c r="AB43" s="4">
        <f>ABS(SpecPool!AB43-Symphony!AB43)</f>
        <v>5.2360810780300859E-3</v>
      </c>
      <c r="AC43" s="4">
        <f>ABS(SpecPool!AC43-Symphony!AC43)</f>
        <v>4.2340119524197917E-2</v>
      </c>
      <c r="AD43" s="4">
        <f>ABS(SpecPool!AD43-Symphony!AD43)</f>
        <v>3.4553995149202876E-2</v>
      </c>
      <c r="AE43" s="6"/>
      <c r="AF43" s="4">
        <f>ABS(SpecPool!AF43-Symphony!AF43)</f>
        <v>3.7861133960063853E-2</v>
      </c>
      <c r="AG43" s="4">
        <f>ABS(SpecPool!AG43-Symphony!AG43)</f>
        <v>4.4244146673975138E-3</v>
      </c>
      <c r="AH43" s="4">
        <f>ABS(SpecPool!AH43-Symphony!AH43)</f>
        <v>4.1834025362199156E-2</v>
      </c>
      <c r="AI43" s="4">
        <f>ABS(SpecPool!AI43-Symphony!AI43)</f>
        <v>2.4961752887602273E-3</v>
      </c>
      <c r="AJ43" s="4">
        <f>ABS(SpecPool!AJ43-Symphony!AJ43)</f>
        <v>1.3974211088296329E-2</v>
      </c>
      <c r="AK43" s="4">
        <f>ABS(SpecPool!AK43-Symphony!AK43)</f>
        <v>1.1512729802007016E-2</v>
      </c>
    </row>
    <row r="44" spans="1:37" x14ac:dyDescent="0.25">
      <c r="A44">
        <f>ABS(SpecPool!A44-Symphony!A44)</f>
        <v>0</v>
      </c>
      <c r="B44" t="e">
        <f>ABS(SpecPool!B44-Symphony!B44)</f>
        <v>#VALUE!</v>
      </c>
      <c r="C44">
        <v>20150701</v>
      </c>
      <c r="D44" s="3">
        <f>ABS(SpecPool!D44-Symphony!D44)</f>
        <v>20108515</v>
      </c>
      <c r="E44" t="e">
        <f>ABS(SpecPool!E44-Symphony!E44)</f>
        <v>#VALUE!</v>
      </c>
      <c r="F44" s="8">
        <f>ABS(SpecPool!F44-Symphony!F44)</f>
        <v>234.39902877100394</v>
      </c>
      <c r="G44" s="7"/>
      <c r="H44" s="5">
        <f>ABS(SpecPool!H44-Symphony!H44)</f>
        <v>3.3553131981000206</v>
      </c>
      <c r="I44" s="5">
        <f>ABS(SpecPool!I44-Symphony!I44)</f>
        <v>5.4654572905199927E-2</v>
      </c>
      <c r="K44" s="5">
        <f>ABS(SpecPool!K44-Symphony!K44)</f>
        <v>0.11625741944460799</v>
      </c>
      <c r="L44" s="5" t="e">
        <f>ABS(SpecPool!L44-Symphony!L44)</f>
        <v>#VALUE!</v>
      </c>
      <c r="M44" s="5">
        <f>ABS(SpecPool!M44-Symphony!M44)</f>
        <v>1.0126261014370641E-2</v>
      </c>
      <c r="N44" s="5">
        <f>ABS(SpecPool!N44-Symphony!N44)</f>
        <v>3.2721835944400368E-3</v>
      </c>
      <c r="O44" s="5" t="e">
        <f>ABS(SpecPool!O44-Symphony!O44)</f>
        <v>#VALUE!</v>
      </c>
      <c r="P44" s="5">
        <f>ABS(SpecPool!P44-Symphony!P44)</f>
        <v>0.17748183006470697</v>
      </c>
      <c r="Q44" s="5">
        <f>ABS(SpecPool!Q44-Symphony!Q44)</f>
        <v>1.9119966067698613E-2</v>
      </c>
      <c r="R44" s="5">
        <f>ABS(SpecPool!R44-Symphony!R44)</f>
        <v>0</v>
      </c>
      <c r="S44" s="5" t="e">
        <f>ABS(SpecPool!S44-Symphony!S44)</f>
        <v>#VALUE!</v>
      </c>
      <c r="T44" s="5">
        <f>ABS(SpecPool!T44-Symphony!T44)</f>
        <v>2.415171665509952E-2</v>
      </c>
      <c r="U44" s="5">
        <f>ABS(SpecPool!U44-Symphony!U44)</f>
        <v>9.2683597618048452E-3</v>
      </c>
      <c r="V44" s="5" t="e">
        <f>ABS(SpecPool!V44-Symphony!V44)</f>
        <v>#VALUE!</v>
      </c>
      <c r="W44" s="5">
        <f>ABS(SpecPool!W44-Symphony!W44)</f>
        <v>7.1718419649045018E-3</v>
      </c>
      <c r="X44" s="5">
        <f>ABS(SpecPool!X44-Symphony!X44)</f>
        <v>3.0814940170898808E-2</v>
      </c>
      <c r="Y44" s="5">
        <f>ABS(SpecPool!Y44-Symphony!Y44)</f>
        <v>8.3972287192040085E-3</v>
      </c>
      <c r="Z44" s="5" t="e">
        <f>ABS(SpecPool!Z44-Symphony!Z44)</f>
        <v>#VALUE!</v>
      </c>
      <c r="AB44" s="4">
        <f>ABS(SpecPool!AB44-Symphony!AB44)</f>
        <v>1.4670209542497759E-3</v>
      </c>
      <c r="AC44" s="4">
        <f>ABS(SpecPool!AC44-Symphony!AC44)</f>
        <v>7.2877244219899495E-2</v>
      </c>
      <c r="AD44" s="4">
        <f>ABS(SpecPool!AD44-Symphony!AD44)</f>
        <v>8.2096806970803016E-2</v>
      </c>
      <c r="AE44" s="6"/>
      <c r="AF44" s="4">
        <f>ABS(SpecPool!AF44-Symphony!AF44)</f>
        <v>5.4935324462007884E-2</v>
      </c>
      <c r="AG44" s="4">
        <f>ABS(SpecPool!AG44-Symphony!AG44)</f>
        <v>4.2624893510989637E-2</v>
      </c>
      <c r="AH44" s="4">
        <f>ABS(SpecPool!AH44-Symphony!AH44)</f>
        <v>4.8070509578096221E-2</v>
      </c>
      <c r="AI44" s="4">
        <f>ABS(SpecPool!AI44-Symphony!AI44)</f>
        <v>2.5558447731999223E-3</v>
      </c>
      <c r="AJ44" s="4">
        <f>ABS(SpecPool!AJ44-Symphony!AJ44)</f>
        <v>2.5616952071985111E-3</v>
      </c>
      <c r="AK44" s="4">
        <f>ABS(SpecPool!AK44-Symphony!AK44)</f>
        <v>1.8357146137987002E-2</v>
      </c>
    </row>
    <row r="45" spans="1:37" x14ac:dyDescent="0.25">
      <c r="A45">
        <f>ABS(SpecPool!A45-Symphony!A45)</f>
        <v>0</v>
      </c>
      <c r="B45" t="e">
        <f>ABS(SpecPool!B45-Symphony!B45)</f>
        <v>#VALUE!</v>
      </c>
      <c r="C45">
        <v>20150801</v>
      </c>
      <c r="D45" s="3">
        <f>ABS(SpecPool!D45-Symphony!D45)</f>
        <v>20108584</v>
      </c>
      <c r="E45" t="e">
        <f>ABS(SpecPool!E45-Symphony!E45)</f>
        <v>#VALUE!</v>
      </c>
      <c r="F45" s="8">
        <f>ABS(SpecPool!F45-Symphony!F45)</f>
        <v>29.790631654002937</v>
      </c>
      <c r="G45" s="7"/>
      <c r="H45" s="5">
        <f>ABS(SpecPool!H45-Symphony!H45)</f>
        <v>0.35981412484011344</v>
      </c>
      <c r="I45" s="5">
        <f>ABS(SpecPool!I45-Symphony!I45)</f>
        <v>2.8205419743599691E-2</v>
      </c>
      <c r="K45" s="5">
        <f>ABS(SpecPool!K45-Symphony!K45)</f>
        <v>5.6766707524303683E-2</v>
      </c>
      <c r="L45" s="5" t="e">
        <f>ABS(SpecPool!L45-Symphony!L45)</f>
        <v>#VALUE!</v>
      </c>
      <c r="M45" s="5">
        <f>ABS(SpecPool!M45-Symphony!M45)</f>
        <v>5.6285073787201156E-3</v>
      </c>
      <c r="N45" s="5">
        <f>ABS(SpecPool!N45-Symphony!N45)</f>
        <v>9.9135715074982755E-4</v>
      </c>
      <c r="O45" s="5" t="e">
        <f>ABS(SpecPool!O45-Symphony!O45)</f>
        <v>#VALUE!</v>
      </c>
      <c r="P45" s="5">
        <f>ABS(SpecPool!P45-Symphony!P45)</f>
        <v>1.3270755996103389E-2</v>
      </c>
      <c r="Q45" s="5">
        <f>ABS(SpecPool!Q45-Symphony!Q45)</f>
        <v>4.3898958532011534E-3</v>
      </c>
      <c r="R45" s="5">
        <f>ABS(SpecPool!R45-Symphony!R45)</f>
        <v>0</v>
      </c>
      <c r="S45" s="5" t="e">
        <f>ABS(SpecPool!S45-Symphony!S45)</f>
        <v>#VALUE!</v>
      </c>
      <c r="T45" s="5">
        <f>ABS(SpecPool!T45-Symphony!T45)</f>
        <v>4.6768455994001812E-3</v>
      </c>
      <c r="U45" s="5">
        <f>ABS(SpecPool!U45-Symphony!U45)</f>
        <v>1.0642476657949373E-3</v>
      </c>
      <c r="V45" s="5" t="e">
        <f>ABS(SpecPool!V45-Symphony!V45)</f>
        <v>#VALUE!</v>
      </c>
      <c r="W45" s="5">
        <f>ABS(SpecPool!W45-Symphony!W45)</f>
        <v>7.3682526114993152E-3</v>
      </c>
      <c r="X45" s="5">
        <f>ABS(SpecPool!X45-Symphony!X45)</f>
        <v>1.4241833651901459E-2</v>
      </c>
      <c r="Y45" s="5">
        <f>ABS(SpecPool!Y45-Symphony!Y45)</f>
        <v>8.4123439523011712E-3</v>
      </c>
      <c r="Z45" s="5" t="e">
        <f>ABS(SpecPool!Z45-Symphony!Z45)</f>
        <v>#VALUE!</v>
      </c>
      <c r="AB45" s="4">
        <f>ABS(SpecPool!AB45-Symphony!AB45)</f>
        <v>1.2583742766739903E-2</v>
      </c>
      <c r="AC45" s="4">
        <f>ABS(SpecPool!AC45-Symphony!AC45)</f>
        <v>3.7055458435901301E-2</v>
      </c>
      <c r="AD45" s="4">
        <f>ABS(SpecPool!AD45-Symphony!AD45)</f>
        <v>5.0811660600096786E-2</v>
      </c>
      <c r="AE45" s="6"/>
      <c r="AF45" s="4">
        <f>ABS(SpecPool!AF45-Symphony!AF45)</f>
        <v>3.1254208140921946E-2</v>
      </c>
      <c r="AG45" s="4">
        <f>ABS(SpecPool!AG45-Symphony!AG45)</f>
        <v>2.7947461343984514E-3</v>
      </c>
      <c r="AH45" s="4">
        <f>ABS(SpecPool!AH45-Symphony!AH45)</f>
        <v>2.9446585256295066E-2</v>
      </c>
      <c r="AI45" s="4">
        <f>ABS(SpecPool!AI45-Symphony!AI45)</f>
        <v>1.8753886588998014E-3</v>
      </c>
      <c r="AJ45" s="4">
        <f>ABS(SpecPool!AJ45-Symphony!AJ45)</f>
        <v>1.1192856120800343E-2</v>
      </c>
      <c r="AK45" s="4">
        <f>ABS(SpecPool!AK45-Symphony!AK45)</f>
        <v>8.0387487429902649E-3</v>
      </c>
    </row>
    <row r="46" spans="1:37" x14ac:dyDescent="0.25">
      <c r="A46">
        <f>ABS(SpecPool!A46-Symphony!A46)</f>
        <v>0</v>
      </c>
      <c r="B46" t="e">
        <f>ABS(SpecPool!B46-Symphony!B46)</f>
        <v>#VALUE!</v>
      </c>
      <c r="C46">
        <v>20150901</v>
      </c>
      <c r="D46" s="3">
        <f>ABS(SpecPool!D46-Symphony!D46)</f>
        <v>20108653</v>
      </c>
      <c r="E46" t="e">
        <f>ABS(SpecPool!E46-Symphony!E46)</f>
        <v>#VALUE!</v>
      </c>
      <c r="F46" s="8">
        <f>ABS(SpecPool!F46-Symphony!F46)</f>
        <v>31.124448012007633</v>
      </c>
      <c r="G46" s="7"/>
      <c r="H46" s="5">
        <f>ABS(SpecPool!H46-Symphony!H46)</f>
        <v>0.475948027819868</v>
      </c>
      <c r="I46" s="5">
        <f>ABS(SpecPool!I46-Symphony!I46)</f>
        <v>2.6843498091000839E-2</v>
      </c>
      <c r="K46" s="5">
        <f>ABS(SpecPool!K46-Symphony!K46)</f>
        <v>5.4637154440300151E-2</v>
      </c>
      <c r="L46" s="5" t="e">
        <f>ABS(SpecPool!L46-Symphony!L46)</f>
        <v>#VALUE!</v>
      </c>
      <c r="M46" s="5">
        <f>ABS(SpecPool!M46-Symphony!M46)</f>
        <v>7.5307488750997464E-3</v>
      </c>
      <c r="N46" s="5">
        <f>ABS(SpecPool!N46-Symphony!N46)</f>
        <v>7.673888126259909E-3</v>
      </c>
      <c r="O46" s="5" t="e">
        <f>ABS(SpecPool!O46-Symphony!O46)</f>
        <v>#VALUE!</v>
      </c>
      <c r="P46" s="5">
        <f>ABS(SpecPool!P46-Symphony!P46)</f>
        <v>4.5743625068013216E-3</v>
      </c>
      <c r="Q46" s="5">
        <f>ABS(SpecPool!Q46-Symphony!Q46)</f>
        <v>4.6757497582987639E-3</v>
      </c>
      <c r="R46" s="5">
        <f>ABS(SpecPool!R46-Symphony!R46)</f>
        <v>0</v>
      </c>
      <c r="S46" s="5" t="e">
        <f>ABS(SpecPool!S46-Symphony!S46)</f>
        <v>#VALUE!</v>
      </c>
      <c r="T46" s="5">
        <f>ABS(SpecPool!T46-Symphony!T46)</f>
        <v>2.9777685960041822E-4</v>
      </c>
      <c r="U46" s="5">
        <f>ABS(SpecPool!U46-Symphony!U46)</f>
        <v>2.744338081299702E-3</v>
      </c>
      <c r="V46" s="5" t="e">
        <f>ABS(SpecPool!V46-Symphony!V46)</f>
        <v>#VALUE!</v>
      </c>
      <c r="W46" s="5">
        <f>ABS(SpecPool!W46-Symphony!W46)</f>
        <v>5.0690437997928939E-3</v>
      </c>
      <c r="X46" s="5">
        <f>ABS(SpecPool!X46-Symphony!X46)</f>
        <v>1.276076430860229E-2</v>
      </c>
      <c r="Y46" s="5">
        <f>ABS(SpecPool!Y46-Symphony!Y46)</f>
        <v>1.0756970285910938E-2</v>
      </c>
      <c r="Z46" s="5" t="e">
        <f>ABS(SpecPool!Z46-Symphony!Z46)</f>
        <v>#VALUE!</v>
      </c>
      <c r="AB46" s="4">
        <f>ABS(SpecPool!AB46-Symphony!AB46)</f>
        <v>1.1066243603679915E-2</v>
      </c>
      <c r="AC46" s="4">
        <f>ABS(SpecPool!AC46-Symphony!AC46)</f>
        <v>3.1813122920901549E-2</v>
      </c>
      <c r="AD46" s="4">
        <f>ABS(SpecPool!AD46-Symphony!AD46)</f>
        <v>6.625361120210016E-2</v>
      </c>
      <c r="AE46" s="6"/>
      <c r="AF46" s="4">
        <f>ABS(SpecPool!AF46-Symphony!AF46)</f>
        <v>3.036876227099583E-2</v>
      </c>
      <c r="AG46" s="4">
        <f>ABS(SpecPool!AG46-Symphony!AG46)</f>
        <v>3.3953092027019238E-3</v>
      </c>
      <c r="AH46" s="4">
        <f>ABS(SpecPool!AH46-Symphony!AH46)</f>
        <v>2.578657419230268E-2</v>
      </c>
      <c r="AI46" s="4">
        <f>ABS(SpecPool!AI46-Symphony!AI46)</f>
        <v>1.7273682311493843E-3</v>
      </c>
      <c r="AJ46" s="4">
        <f>ABS(SpecPool!AJ46-Symphony!AJ46)</f>
        <v>1.0588856689494719E-2</v>
      </c>
      <c r="AK46" s="4">
        <f>ABS(SpecPool!AK46-Symphony!AK46)</f>
        <v>3.3799826770177788E-3</v>
      </c>
    </row>
    <row r="47" spans="1:37" x14ac:dyDescent="0.25">
      <c r="A47">
        <f>ABS(SpecPool!A47-Symphony!A47)</f>
        <v>0</v>
      </c>
      <c r="B47" t="e">
        <f>ABS(SpecPool!B47-Symphony!B47)</f>
        <v>#VALUE!</v>
      </c>
      <c r="C47">
        <v>20151001</v>
      </c>
      <c r="D47" s="3">
        <f>ABS(SpecPool!D47-Symphony!D47)</f>
        <v>20108723</v>
      </c>
      <c r="E47" t="e">
        <f>ABS(SpecPool!E47-Symphony!E47)</f>
        <v>#VALUE!</v>
      </c>
      <c r="F47" s="8">
        <f>ABS(SpecPool!F47-Symphony!F47)</f>
        <v>1.4979072150017601</v>
      </c>
      <c r="G47" s="7"/>
      <c r="H47" s="5">
        <f>ABS(SpecPool!H47-Symphony!H47)</f>
        <v>0.80805716132999805</v>
      </c>
      <c r="I47" s="5">
        <f>ABS(SpecPool!I47-Symphony!I47)</f>
        <v>9.6580907570995578E-3</v>
      </c>
      <c r="K47" s="5">
        <f>ABS(SpecPool!K47-Symphony!K47)</f>
        <v>5.1504198982996741E-2</v>
      </c>
      <c r="L47" s="5" t="e">
        <f>ABS(SpecPool!L47-Symphony!L47)</f>
        <v>#VALUE!</v>
      </c>
      <c r="M47" s="5">
        <f>ABS(SpecPool!M47-Symphony!M47)</f>
        <v>1.2499106923649528E-2</v>
      </c>
      <c r="N47" s="5">
        <f>ABS(SpecPool!N47-Symphony!N47)</f>
        <v>1.5206527230597899E-3</v>
      </c>
      <c r="O47" s="5" t="e">
        <f>ABS(SpecPool!O47-Symphony!O47)</f>
        <v>#VALUE!</v>
      </c>
      <c r="P47" s="5">
        <f>ABS(SpecPool!P47-Symphony!P47)</f>
        <v>2.828263915139928E-2</v>
      </c>
      <c r="Q47" s="5">
        <f>ABS(SpecPool!Q47-Symphony!Q47)</f>
        <v>1.5889973861007434E-3</v>
      </c>
      <c r="R47" s="5">
        <f>ABS(SpecPool!R47-Symphony!R47)</f>
        <v>0</v>
      </c>
      <c r="S47" s="5" t="e">
        <f>ABS(SpecPool!S47-Symphony!S47)</f>
        <v>#VALUE!</v>
      </c>
      <c r="T47" s="5">
        <f>ABS(SpecPool!T47-Symphony!T47)</f>
        <v>1.2643264317002689E-3</v>
      </c>
      <c r="U47" s="5">
        <f>ABS(SpecPool!U47-Symphony!U47)</f>
        <v>8.4597329664006793E-3</v>
      </c>
      <c r="V47" s="5" t="e">
        <f>ABS(SpecPool!V47-Symphony!V47)</f>
        <v>#VALUE!</v>
      </c>
      <c r="W47" s="5">
        <f>ABS(SpecPool!W47-Symphony!W47)</f>
        <v>1.1313963434801622E-2</v>
      </c>
      <c r="X47" s="5">
        <f>ABS(SpecPool!X47-Symphony!X47)</f>
        <v>1.5180071535802142E-2</v>
      </c>
      <c r="Y47" s="5">
        <f>ABS(SpecPool!Y47-Symphony!Y47)</f>
        <v>1.4188964802897885E-2</v>
      </c>
      <c r="Z47" s="5" t="e">
        <f>ABS(SpecPool!Z47-Symphony!Z47)</f>
        <v>#VALUE!</v>
      </c>
      <c r="AB47" s="4">
        <f>ABS(SpecPool!AB47-Symphony!AB47)</f>
        <v>8.2802262405397009E-3</v>
      </c>
      <c r="AC47" s="4">
        <f>ABS(SpecPool!AC47-Symphony!AC47)</f>
        <v>3.4273764001699902E-2</v>
      </c>
      <c r="AD47" s="4">
        <f>ABS(SpecPool!AD47-Symphony!AD47)</f>
        <v>6.4010737057799361E-2</v>
      </c>
      <c r="AE47" s="6"/>
      <c r="AF47" s="4">
        <f>ABS(SpecPool!AF47-Symphony!AF47)</f>
        <v>2.5837511641952915E-2</v>
      </c>
      <c r="AG47" s="4">
        <f>ABS(SpecPool!AG47-Symphony!AG47)</f>
        <v>4.9173395991033431E-3</v>
      </c>
      <c r="AH47" s="4">
        <f>ABS(SpecPool!AH47-Symphony!AH47)</f>
        <v>2.4777104161600505E-2</v>
      </c>
      <c r="AI47" s="4">
        <f>ABS(SpecPool!AI47-Symphony!AI47)</f>
        <v>1.6490638107899969E-3</v>
      </c>
      <c r="AJ47" s="4">
        <f>ABS(SpecPool!AJ47-Symphony!AJ47)</f>
        <v>1.4491684872204758E-2</v>
      </c>
      <c r="AK47" s="4">
        <f>ABS(SpecPool!AK47-Symphony!AK47)</f>
        <v>5.6665611670041471E-3</v>
      </c>
    </row>
    <row r="48" spans="1:37" x14ac:dyDescent="0.25">
      <c r="A48">
        <f>ABS(SpecPool!A48-Symphony!A48)</f>
        <v>0</v>
      </c>
      <c r="B48" t="e">
        <f>ABS(SpecPool!B48-Symphony!B48)</f>
        <v>#VALUE!</v>
      </c>
      <c r="C48">
        <v>20151101</v>
      </c>
      <c r="D48" s="3">
        <f>ABS(SpecPool!D48-Symphony!D48)</f>
        <v>20108792</v>
      </c>
      <c r="E48" t="e">
        <f>ABS(SpecPool!E48-Symphony!E48)</f>
        <v>#VALUE!</v>
      </c>
      <c r="F48" s="8">
        <f>ABS(SpecPool!F48-Symphony!F48)</f>
        <v>72.44033541000681</v>
      </c>
      <c r="G48" s="7"/>
      <c r="H48" s="5">
        <f>ABS(SpecPool!H48-Symphony!H48)</f>
        <v>0.17926545322006859</v>
      </c>
      <c r="I48" s="5">
        <f>ABS(SpecPool!I48-Symphony!I48)</f>
        <v>9.6676188376001448E-3</v>
      </c>
      <c r="K48" s="5">
        <f>ABS(SpecPool!K48-Symphony!K48)</f>
        <v>8.2961801328494289E-2</v>
      </c>
      <c r="L48" s="5" t="e">
        <f>ABS(SpecPool!L48-Symphony!L48)</f>
        <v>#VALUE!</v>
      </c>
      <c r="M48" s="5">
        <f>ABS(SpecPool!M48-Symphony!M48)</f>
        <v>1.4950355112779867E-2</v>
      </c>
      <c r="N48" s="5">
        <f>ABS(SpecPool!N48-Symphony!N48)</f>
        <v>4.4097110865199962E-3</v>
      </c>
      <c r="O48" s="5" t="e">
        <f>ABS(SpecPool!O48-Symphony!O48)</f>
        <v>#VALUE!</v>
      </c>
      <c r="P48" s="5">
        <f>ABS(SpecPool!P48-Symphony!P48)</f>
        <v>1.3575715628391549E-2</v>
      </c>
      <c r="Q48" s="5">
        <f>ABS(SpecPool!Q48-Symphony!Q48)</f>
        <v>8.8980107780045614E-4</v>
      </c>
      <c r="R48" s="5">
        <f>ABS(SpecPool!R48-Symphony!R48)</f>
        <v>0</v>
      </c>
      <c r="S48" s="5" t="e">
        <f>ABS(SpecPool!S48-Symphony!S48)</f>
        <v>#VALUE!</v>
      </c>
      <c r="T48" s="5">
        <f>ABS(SpecPool!T48-Symphony!T48)</f>
        <v>2.5197249835002822E-3</v>
      </c>
      <c r="U48" s="5">
        <f>ABS(SpecPool!U48-Symphony!U48)</f>
        <v>4.6200772598012918E-3</v>
      </c>
      <c r="V48" s="5" t="e">
        <f>ABS(SpecPool!V48-Symphony!V48)</f>
        <v>#VALUE!</v>
      </c>
      <c r="W48" s="5">
        <f>ABS(SpecPool!W48-Symphony!W48)</f>
        <v>1.4958959331110577E-2</v>
      </c>
      <c r="X48" s="5">
        <f>ABS(SpecPool!X48-Symphony!X48)</f>
        <v>2.57071264693991E-2</v>
      </c>
      <c r="Y48" s="5">
        <f>ABS(SpecPool!Y48-Symphony!Y48)</f>
        <v>6.2644308577972652E-3</v>
      </c>
      <c r="Z48" s="5" t="e">
        <f>ABS(SpecPool!Z48-Symphony!Z48)</f>
        <v>#VALUE!</v>
      </c>
      <c r="AB48" s="4">
        <f>ABS(SpecPool!AB48-Symphony!AB48)</f>
        <v>1.2787466208890041E-2</v>
      </c>
      <c r="AC48" s="4">
        <f>ABS(SpecPool!AC48-Symphony!AC48)</f>
        <v>3.2100487783001341E-2</v>
      </c>
      <c r="AD48" s="4">
        <f>ABS(SpecPool!AD48-Symphony!AD48)</f>
        <v>5.7173579112003381E-2</v>
      </c>
      <c r="AE48" s="6"/>
      <c r="AF48" s="4">
        <f>ABS(SpecPool!AF48-Symphony!AF48)</f>
        <v>3.3034354535971033E-2</v>
      </c>
      <c r="AG48" s="4">
        <f>ABS(SpecPool!AG48-Symphony!AG48)</f>
        <v>4.2368493781026473E-3</v>
      </c>
      <c r="AH48" s="4">
        <f>ABS(SpecPool!AH48-Symphony!AH48)</f>
        <v>2.888468896509977E-2</v>
      </c>
      <c r="AI48" s="4">
        <f>ABS(SpecPool!AI48-Symphony!AI48)</f>
        <v>1.6984789736396166E-3</v>
      </c>
      <c r="AJ48" s="4">
        <f>ABS(SpecPool!AJ48-Symphony!AJ48)</f>
        <v>7.7884319776941879E-3</v>
      </c>
      <c r="AK48" s="4">
        <f>ABS(SpecPool!AK48-Symphony!AK48)</f>
        <v>3.6335869409640509E-3</v>
      </c>
    </row>
    <row r="49" spans="1:37" x14ac:dyDescent="0.25">
      <c r="A49">
        <f>ABS(SpecPool!A49-Symphony!A49)</f>
        <v>0</v>
      </c>
      <c r="B49" t="e">
        <f>ABS(SpecPool!B49-Symphony!B49)</f>
        <v>#VALUE!</v>
      </c>
      <c r="C49">
        <v>20151201</v>
      </c>
      <c r="D49" s="3">
        <f>ABS(SpecPool!D49-Symphony!D49)</f>
        <v>20108862</v>
      </c>
      <c r="E49" t="e">
        <f>ABS(SpecPool!E49-Symphony!E49)</f>
        <v>#VALUE!</v>
      </c>
      <c r="F49" s="8">
        <f>ABS(SpecPool!F49-Symphony!F49)</f>
        <v>29.98701251699822</v>
      </c>
      <c r="G49" s="7"/>
      <c r="H49" s="5">
        <f>ABS(SpecPool!H49-Symphony!H49)</f>
        <v>0.73747070458011876</v>
      </c>
      <c r="I49" s="5">
        <f>ABS(SpecPool!I49-Symphony!I49)</f>
        <v>7.8767943456998779E-3</v>
      </c>
      <c r="K49" s="5">
        <f>ABS(SpecPool!K49-Symphony!K49)</f>
        <v>8.1379497601488993E-2</v>
      </c>
      <c r="L49" s="5" t="e">
        <f>ABS(SpecPool!L49-Symphony!L49)</f>
        <v>#VALUE!</v>
      </c>
      <c r="M49" s="5">
        <f>ABS(SpecPool!M49-Symphony!M49)</f>
        <v>7.7387588726400836E-3</v>
      </c>
      <c r="N49" s="5">
        <f>ABS(SpecPool!N49-Symphony!N49)</f>
        <v>3.2673462598200587E-3</v>
      </c>
      <c r="O49" s="5" t="e">
        <f>ABS(SpecPool!O49-Symphony!O49)</f>
        <v>#VALUE!</v>
      </c>
      <c r="P49" s="5">
        <f>ABS(SpecPool!P49-Symphony!P49)</f>
        <v>2.4625294417006671E-3</v>
      </c>
      <c r="Q49" s="5">
        <f>ABS(SpecPool!Q49-Symphony!Q49)</f>
        <v>1.2338592271397886E-2</v>
      </c>
      <c r="R49" s="5">
        <f>ABS(SpecPool!R49-Symphony!R49)</f>
        <v>0</v>
      </c>
      <c r="S49" s="5" t="e">
        <f>ABS(SpecPool!S49-Symphony!S49)</f>
        <v>#VALUE!</v>
      </c>
      <c r="T49" s="5">
        <f>ABS(SpecPool!T49-Symphony!T49)</f>
        <v>3.1823005018196682E-3</v>
      </c>
      <c r="U49" s="5">
        <f>ABS(SpecPool!U49-Symphony!U49)</f>
        <v>1.4043889411297528E-2</v>
      </c>
      <c r="V49" s="5" t="e">
        <f>ABS(SpecPool!V49-Symphony!V49)</f>
        <v>#VALUE!</v>
      </c>
      <c r="W49" s="5">
        <f>ABS(SpecPool!W49-Symphony!W49)</f>
        <v>5.8225486412908367E-3</v>
      </c>
      <c r="X49" s="5">
        <f>ABS(SpecPool!X49-Symphony!X49)</f>
        <v>3.4759922005498822E-2</v>
      </c>
      <c r="Y49" s="5">
        <f>ABS(SpecPool!Y49-Symphony!Y49)</f>
        <v>8.0217809314007127E-3</v>
      </c>
      <c r="Z49" s="5" t="e">
        <f>ABS(SpecPool!Z49-Symphony!Z49)</f>
        <v>#VALUE!</v>
      </c>
      <c r="AB49" s="4">
        <f>ABS(SpecPool!AB49-Symphony!AB49)</f>
        <v>6.6004391315099831E-3</v>
      </c>
      <c r="AC49" s="4">
        <f>ABS(SpecPool!AC49-Symphony!AC49)</f>
        <v>3.8549694893699638E-2</v>
      </c>
      <c r="AD49" s="4">
        <f>ABS(SpecPool!AD49-Symphony!AD49)</f>
        <v>6.2654234077200499E-2</v>
      </c>
      <c r="AE49" s="6"/>
      <c r="AF49" s="4">
        <f>ABS(SpecPool!AF49-Symphony!AF49)</f>
        <v>7.065861739988577E-3</v>
      </c>
      <c r="AG49" s="4">
        <f>ABS(SpecPool!AG49-Symphony!AG49)</f>
        <v>1.6906855820053579E-3</v>
      </c>
      <c r="AH49" s="4">
        <f>ABS(SpecPool!AH49-Symphony!AH49)</f>
        <v>9.9830082171976642E-3</v>
      </c>
      <c r="AI49" s="4">
        <f>ABS(SpecPool!AI49-Symphony!AI49)</f>
        <v>1.6107505121496501E-3</v>
      </c>
      <c r="AJ49" s="4">
        <f>ABS(SpecPool!AJ49-Symphony!AJ49)</f>
        <v>6.2849502430992743E-3</v>
      </c>
      <c r="AK49" s="4">
        <f>ABS(SpecPool!AK49-Symphony!AK49)</f>
        <v>5.0419736060121068E-3</v>
      </c>
    </row>
    <row r="50" spans="1:37" x14ac:dyDescent="0.25">
      <c r="A50">
        <f>ABS(SpecPool!A50-Symphony!A50)</f>
        <v>0</v>
      </c>
      <c r="B50" t="e">
        <f>ABS(SpecPool!B50-Symphony!B50)</f>
        <v>#VALUE!</v>
      </c>
      <c r="C50">
        <v>20160101</v>
      </c>
      <c r="D50" s="3">
        <f>ABS(SpecPool!D50-Symphony!D50)</f>
        <v>20117731</v>
      </c>
      <c r="E50" t="e">
        <f>ABS(SpecPool!E50-Symphony!E50)</f>
        <v>#VALUE!</v>
      </c>
      <c r="F50" s="8">
        <f>ABS(SpecPool!F50-Symphony!F50)</f>
        <v>28.441334172006464</v>
      </c>
      <c r="G50" s="7"/>
      <c r="H50" s="5">
        <f>ABS(SpecPool!H50-Symphony!H50)</f>
        <v>0.63914147878995209</v>
      </c>
      <c r="I50" s="5">
        <f>ABS(SpecPool!I50-Symphony!I50)</f>
        <v>5.4919790152499814E-2</v>
      </c>
      <c r="K50" s="5">
        <f>ABS(SpecPool!K50-Symphony!K50)</f>
        <v>9.1912321920602835E-2</v>
      </c>
      <c r="L50" s="5" t="e">
        <f>ABS(SpecPool!L50-Symphony!L50)</f>
        <v>#VALUE!</v>
      </c>
      <c r="M50" s="5">
        <f>ABS(SpecPool!M50-Symphony!M50)</f>
        <v>1.7302580110960086E-2</v>
      </c>
      <c r="N50" s="5">
        <f>ABS(SpecPool!N50-Symphony!N50)</f>
        <v>2.8898529063801082E-3</v>
      </c>
      <c r="O50" s="5" t="e">
        <f>ABS(SpecPool!O50-Symphony!O50)</f>
        <v>#VALUE!</v>
      </c>
      <c r="P50" s="5">
        <f>ABS(SpecPool!P50-Symphony!P50)</f>
        <v>2.4376377085957301E-3</v>
      </c>
      <c r="Q50" s="5">
        <f>ABS(SpecPool!Q50-Symphony!Q50)</f>
        <v>9.4534601473981184E-3</v>
      </c>
      <c r="R50" s="5">
        <f>ABS(SpecPool!R50-Symphony!R50)</f>
        <v>0</v>
      </c>
      <c r="S50" s="5" t="e">
        <f>ABS(SpecPool!S50-Symphony!S50)</f>
        <v>#VALUE!</v>
      </c>
      <c r="T50" s="5">
        <f>ABS(SpecPool!T50-Symphony!T50)</f>
        <v>5.9727212377094219E-3</v>
      </c>
      <c r="U50" s="5">
        <f>ABS(SpecPool!U50-Symphony!U50)</f>
        <v>1.5665060561602218E-2</v>
      </c>
      <c r="V50" s="5" t="e">
        <f>ABS(SpecPool!V50-Symphony!V50)</f>
        <v>#VALUE!</v>
      </c>
      <c r="W50" s="5">
        <f>ABS(SpecPool!W50-Symphony!W50)</f>
        <v>1.4226101761011023E-2</v>
      </c>
      <c r="X50" s="5">
        <f>ABS(SpecPool!X50-Symphony!X50)</f>
        <v>3.491975676190151E-2</v>
      </c>
      <c r="Y50" s="5">
        <f>ABS(SpecPool!Y50-Symphony!Y50)</f>
        <v>1.1337557948095878E-2</v>
      </c>
      <c r="Z50" s="5" t="e">
        <f>ABS(SpecPool!Z50-Symphony!Z50)</f>
        <v>#VALUE!</v>
      </c>
      <c r="AB50" s="4">
        <f>ABS(SpecPool!AB50-Symphony!AB50)</f>
        <v>1.2097176248379693E-2</v>
      </c>
      <c r="AC50" s="4">
        <f>ABS(SpecPool!AC50-Symphony!AC50)</f>
        <v>2.7424601306201168E-2</v>
      </c>
      <c r="AD50" s="4">
        <f>ABS(SpecPool!AD50-Symphony!AD50)</f>
        <v>4.4301687344102447E-2</v>
      </c>
      <c r="AE50" s="6"/>
      <c r="AF50" s="4">
        <f>ABS(SpecPool!AF50-Symphony!AF50)</f>
        <v>1.5650408544047423E-2</v>
      </c>
      <c r="AG50" s="4">
        <f>ABS(SpecPool!AG50-Symphony!AG50)</f>
        <v>5.0544077619036898E-3</v>
      </c>
      <c r="AH50" s="4">
        <f>ABS(SpecPool!AH50-Symphony!AH50)</f>
        <v>1.1471928906900075E-2</v>
      </c>
      <c r="AI50" s="4">
        <f>ABS(SpecPool!AI50-Symphony!AI50)</f>
        <v>1.6361121264996115E-3</v>
      </c>
      <c r="AJ50" s="4">
        <f>ABS(SpecPool!AJ50-Symphony!AJ50)</f>
        <v>1.2525450243302316E-2</v>
      </c>
      <c r="AK50" s="4">
        <f>ABS(SpecPool!AK50-Symphony!AK50)</f>
        <v>1.054779032699571E-2</v>
      </c>
    </row>
    <row r="51" spans="1:37" x14ac:dyDescent="0.25">
      <c r="A51">
        <f>ABS(SpecPool!A51-Symphony!A51)</f>
        <v>0</v>
      </c>
      <c r="B51" t="e">
        <f>ABS(SpecPool!B51-Symphony!B51)</f>
        <v>#VALUE!</v>
      </c>
      <c r="C51">
        <v>20160201</v>
      </c>
      <c r="D51" s="3">
        <f>ABS(SpecPool!D51-Symphony!D51)</f>
        <v>20117800</v>
      </c>
      <c r="E51" t="e">
        <f>ABS(SpecPool!E51-Symphony!E51)</f>
        <v>#VALUE!</v>
      </c>
      <c r="F51" s="8">
        <f>ABS(SpecPool!F51-Symphony!F51)</f>
        <v>4.3684863199887332</v>
      </c>
      <c r="G51" s="7"/>
      <c r="H51" s="5">
        <f>ABS(SpecPool!H51-Symphony!H51)</f>
        <v>0.79974521680992439</v>
      </c>
      <c r="I51" s="5">
        <f>ABS(SpecPool!I51-Symphony!I51)</f>
        <v>2.1098170616010492E-2</v>
      </c>
      <c r="K51" s="5">
        <f>ABS(SpecPool!K51-Symphony!K51)</f>
        <v>0.11295593586540065</v>
      </c>
      <c r="L51" s="5" t="e">
        <f>ABS(SpecPool!L51-Symphony!L51)</f>
        <v>#VALUE!</v>
      </c>
      <c r="M51" s="5">
        <f>ABS(SpecPool!M51-Symphony!M51)</f>
        <v>1.1493598068650357E-2</v>
      </c>
      <c r="N51" s="5">
        <f>ABS(SpecPool!N51-Symphony!N51)</f>
        <v>6.4449251012601572E-3</v>
      </c>
      <c r="O51" s="5" t="e">
        <f>ABS(SpecPool!O51-Symphony!O51)</f>
        <v>#VALUE!</v>
      </c>
      <c r="P51" s="5">
        <f>ABS(SpecPool!P51-Symphony!P51)</f>
        <v>9.4961025206004024E-3</v>
      </c>
      <c r="Q51" s="5">
        <f>ABS(SpecPool!Q51-Symphony!Q51)</f>
        <v>1.4329482458499854E-2</v>
      </c>
      <c r="R51" s="5">
        <f>ABS(SpecPool!R51-Symphony!R51)</f>
        <v>0</v>
      </c>
      <c r="S51" s="5" t="e">
        <f>ABS(SpecPool!S51-Symphony!S51)</f>
        <v>#VALUE!</v>
      </c>
      <c r="T51" s="5">
        <f>ABS(SpecPool!T51-Symphony!T51)</f>
        <v>4.857673388080741E-3</v>
      </c>
      <c r="U51" s="5">
        <f>ABS(SpecPool!U51-Symphony!U51)</f>
        <v>2.5784788243498724E-2</v>
      </c>
      <c r="V51" s="5" t="e">
        <f>ABS(SpecPool!V51-Symphony!V51)</f>
        <v>#VALUE!</v>
      </c>
      <c r="W51" s="5">
        <f>ABS(SpecPool!W51-Symphony!W51)</f>
        <v>1.1748842925598524E-2</v>
      </c>
      <c r="X51" s="5">
        <f>ABS(SpecPool!X51-Symphony!X51)</f>
        <v>3.6186951224401298E-2</v>
      </c>
      <c r="Y51" s="5">
        <f>ABS(SpecPool!Y51-Symphony!Y51)</f>
        <v>3.3850522448091169E-3</v>
      </c>
      <c r="Z51" s="5" t="e">
        <f>ABS(SpecPool!Z51-Symphony!Z51)</f>
        <v>#VALUE!</v>
      </c>
      <c r="AB51" s="4">
        <f>ABS(SpecPool!AB51-Symphony!AB51)</f>
        <v>6.8829853915799433E-3</v>
      </c>
      <c r="AC51" s="4">
        <f>ABS(SpecPool!AC51-Symphony!AC51)</f>
        <v>3.1000525408398261E-2</v>
      </c>
      <c r="AD51" s="4">
        <f>ABS(SpecPool!AD51-Symphony!AD51)</f>
        <v>3.3710644618601293E-2</v>
      </c>
      <c r="AE51" s="6"/>
      <c r="AF51" s="4">
        <f>ABS(SpecPool!AF51-Symphony!AF51)</f>
        <v>1.1667421160950653E-2</v>
      </c>
      <c r="AG51" s="4">
        <f>ABS(SpecPool!AG51-Symphony!AG51)</f>
        <v>1.0111967199293304E-2</v>
      </c>
      <c r="AH51" s="4">
        <f>ABS(SpecPool!AH51-Symphony!AH51)</f>
        <v>2.2298568247599349E-2</v>
      </c>
      <c r="AI51" s="4">
        <f>ABS(SpecPool!AI51-Symphony!AI51)</f>
        <v>1.5700382829297865E-3</v>
      </c>
      <c r="AJ51" s="4">
        <f>ABS(SpecPool!AJ51-Symphony!AJ51)</f>
        <v>1.1028490212105169E-2</v>
      </c>
      <c r="AK51" s="4">
        <f>ABS(SpecPool!AK51-Symphony!AK51)</f>
        <v>2.9422172020190374E-3</v>
      </c>
    </row>
    <row r="52" spans="1:37" x14ac:dyDescent="0.25">
      <c r="A52">
        <f>ABS(SpecPool!A52-Symphony!A52)</f>
        <v>0</v>
      </c>
      <c r="B52" t="e">
        <f>ABS(SpecPool!B52-Symphony!B52)</f>
        <v>#VALUE!</v>
      </c>
      <c r="C52">
        <v>20160301</v>
      </c>
      <c r="D52" s="3">
        <f>ABS(SpecPool!D52-Symphony!D52)</f>
        <v>20117871</v>
      </c>
      <c r="E52" t="e">
        <f>ABS(SpecPool!E52-Symphony!E52)</f>
        <v>#VALUE!</v>
      </c>
      <c r="F52" s="8">
        <f>ABS(SpecPool!F52-Symphony!F52)</f>
        <v>1.4954813790100161</v>
      </c>
      <c r="G52" s="7"/>
      <c r="H52" s="5">
        <f>ABS(SpecPool!H52-Symphony!H52)</f>
        <v>1.0811774940900705</v>
      </c>
      <c r="I52" s="5">
        <f>ABS(SpecPool!I52-Symphony!I52)</f>
        <v>3.8052556541799731E-2</v>
      </c>
      <c r="K52" s="5">
        <f>ABS(SpecPool!K52-Symphony!K52)</f>
        <v>0.13683501074280002</v>
      </c>
      <c r="L52" s="5" t="e">
        <f>ABS(SpecPool!L52-Symphony!L52)</f>
        <v>#VALUE!</v>
      </c>
      <c r="M52" s="5">
        <f>ABS(SpecPool!M52-Symphony!M52)</f>
        <v>1.899021378162935E-2</v>
      </c>
      <c r="N52" s="5">
        <f>ABS(SpecPool!N52-Symphony!N52)</f>
        <v>9.8127591556300686E-3</v>
      </c>
      <c r="O52" s="5" t="e">
        <f>ABS(SpecPool!O52-Symphony!O52)</f>
        <v>#VALUE!</v>
      </c>
      <c r="P52" s="5">
        <f>ABS(SpecPool!P52-Symphony!P52)</f>
        <v>2.0360541886887518E-2</v>
      </c>
      <c r="Q52" s="5">
        <f>ABS(SpecPool!Q52-Symphony!Q52)</f>
        <v>2.5971642998502631E-2</v>
      </c>
      <c r="R52" s="5">
        <f>ABS(SpecPool!R52-Symphony!R52)</f>
        <v>0</v>
      </c>
      <c r="S52" s="5" t="e">
        <f>ABS(SpecPool!S52-Symphony!S52)</f>
        <v>#VALUE!</v>
      </c>
      <c r="T52" s="5">
        <f>ABS(SpecPool!T52-Symphony!T52)</f>
        <v>1.71380868390969E-4</v>
      </c>
      <c r="U52" s="5">
        <f>ABS(SpecPool!U52-Symphony!U52)</f>
        <v>3.1659885411599475E-2</v>
      </c>
      <c r="V52" s="5" t="e">
        <f>ABS(SpecPool!V52-Symphony!V52)</f>
        <v>#VALUE!</v>
      </c>
      <c r="W52" s="5">
        <f>ABS(SpecPool!W52-Symphony!W52)</f>
        <v>1.2879603978589671E-2</v>
      </c>
      <c r="X52" s="5">
        <f>ABS(SpecPool!X52-Symphony!X52)</f>
        <v>4.0970621630393111E-2</v>
      </c>
      <c r="Y52" s="5">
        <f>ABS(SpecPool!Y52-Symphony!Y52)</f>
        <v>7.8215250612032605E-3</v>
      </c>
      <c r="Z52" s="5" t="e">
        <f>ABS(SpecPool!Z52-Symphony!Z52)</f>
        <v>#VALUE!</v>
      </c>
      <c r="AB52" s="4">
        <f>ABS(SpecPool!AB52-Symphony!AB52)</f>
        <v>2.2475020498298193E-3</v>
      </c>
      <c r="AC52" s="4">
        <f>ABS(SpecPool!AC52-Symphony!AC52)</f>
        <v>3.6887077780498601E-2</v>
      </c>
      <c r="AD52" s="4">
        <f>ABS(SpecPool!AD52-Symphony!AD52)</f>
        <v>1.7372990087700657E-2</v>
      </c>
      <c r="AE52" s="6"/>
      <c r="AF52" s="4">
        <f>ABS(SpecPool!AF52-Symphony!AF52)</f>
        <v>1.0744042861915659E-2</v>
      </c>
      <c r="AG52" s="4">
        <f>ABS(SpecPool!AG52-Symphony!AG52)</f>
        <v>9.8745837454998764E-3</v>
      </c>
      <c r="AH52" s="4">
        <f>ABS(SpecPool!AH52-Symphony!AH52)</f>
        <v>3.3709791538598211E-2</v>
      </c>
      <c r="AI52" s="4">
        <f>ABS(SpecPool!AI52-Symphony!AI52)</f>
        <v>1.4133939781197924E-3</v>
      </c>
      <c r="AJ52" s="4">
        <f>ABS(SpecPool!AJ52-Symphony!AJ52)</f>
        <v>1.2211256405301185E-2</v>
      </c>
      <c r="AK52" s="4">
        <f>ABS(SpecPool!AK52-Symphony!AK52)</f>
        <v>4.7750810169873148E-3</v>
      </c>
    </row>
    <row r="53" spans="1:37" x14ac:dyDescent="0.25">
      <c r="A53">
        <f>ABS(SpecPool!A53-Symphony!A53)</f>
        <v>0</v>
      </c>
      <c r="B53" t="e">
        <f>ABS(SpecPool!B53-Symphony!B53)</f>
        <v>#VALUE!</v>
      </c>
      <c r="C53">
        <v>20160401</v>
      </c>
      <c r="D53" s="3">
        <f>ABS(SpecPool!D53-Symphony!D53)</f>
        <v>20117940</v>
      </c>
      <c r="E53" t="e">
        <f>ABS(SpecPool!E53-Symphony!E53)</f>
        <v>#VALUE!</v>
      </c>
      <c r="F53" s="8">
        <f>ABS(SpecPool!F53-Symphony!F53)</f>
        <v>17.88439996400848</v>
      </c>
      <c r="G53" s="7"/>
      <c r="H53" s="5">
        <f>ABS(SpecPool!H53-Symphony!H53)</f>
        <v>2.5299953429600919</v>
      </c>
      <c r="I53" s="5">
        <f>ABS(SpecPool!I53-Symphony!I53)</f>
        <v>1.732024393149878E-2</v>
      </c>
      <c r="K53" s="5">
        <f>ABS(SpecPool!K53-Symphony!K53)</f>
        <v>8.4993184172802216E-2</v>
      </c>
      <c r="L53" s="5" t="e">
        <f>ABS(SpecPool!L53-Symphony!L53)</f>
        <v>#VALUE!</v>
      </c>
      <c r="M53" s="5">
        <f>ABS(SpecPool!M53-Symphony!M53)</f>
        <v>7.7646403423905497E-3</v>
      </c>
      <c r="N53" s="5">
        <f>ABS(SpecPool!N53-Symphony!N53)</f>
        <v>1.1827127623970091E-2</v>
      </c>
      <c r="O53" s="5" t="e">
        <f>ABS(SpecPool!O53-Symphony!O53)</f>
        <v>#VALUE!</v>
      </c>
      <c r="P53" s="5">
        <f>ABS(SpecPool!P53-Symphony!P53)</f>
        <v>3.0623483163097376E-2</v>
      </c>
      <c r="Q53" s="5">
        <f>ABS(SpecPool!Q53-Symphony!Q53)</f>
        <v>1.6004010530199508E-2</v>
      </c>
      <c r="R53" s="5">
        <f>ABS(SpecPool!R53-Symphony!R53)</f>
        <v>0</v>
      </c>
      <c r="S53" s="5" t="e">
        <f>ABS(SpecPool!S53-Symphony!S53)</f>
        <v>#VALUE!</v>
      </c>
      <c r="T53" s="5">
        <f>ABS(SpecPool!T53-Symphony!T53)</f>
        <v>5.8488903248594681E-3</v>
      </c>
      <c r="U53" s="5">
        <f>ABS(SpecPool!U53-Symphony!U53)</f>
        <v>1.6134969373709396E-2</v>
      </c>
      <c r="V53" s="5" t="e">
        <f>ABS(SpecPool!V53-Symphony!V53)</f>
        <v>#VALUE!</v>
      </c>
      <c r="W53" s="5">
        <f>ABS(SpecPool!W53-Symphony!W53)</f>
        <v>6.0027571467031748E-3</v>
      </c>
      <c r="X53" s="5">
        <f>ABS(SpecPool!X53-Symphony!X53)</f>
        <v>4.616207189290833E-2</v>
      </c>
      <c r="Y53" s="5">
        <f>ABS(SpecPool!Y53-Symphony!Y53)</f>
        <v>2.0870814479195587E-2</v>
      </c>
      <c r="Z53" s="5" t="e">
        <f>ABS(SpecPool!Z53-Symphony!Z53)</f>
        <v>#VALUE!</v>
      </c>
      <c r="AB53" s="4">
        <f>ABS(SpecPool!AB53-Symphony!AB53)</f>
        <v>8.2230514026200296E-3</v>
      </c>
      <c r="AC53" s="4">
        <f>ABS(SpecPool!AC53-Symphony!AC53)</f>
        <v>5.7233984869998977E-2</v>
      </c>
      <c r="AD53" s="4">
        <f>ABS(SpecPool!AD53-Symphony!AD53)</f>
        <v>3.3959675806897849E-2</v>
      </c>
      <c r="AE53" s="6"/>
      <c r="AF53" s="4">
        <f>ABS(SpecPool!AF53-Symphony!AF53)</f>
        <v>3.2383562410132072E-3</v>
      </c>
      <c r="AG53" s="4">
        <f>ABS(SpecPool!AG53-Symphony!AG53)</f>
        <v>7.1689516919946072E-3</v>
      </c>
      <c r="AH53" s="4">
        <f>ABS(SpecPool!AH53-Symphony!AH53)</f>
        <v>3.248899702139596E-2</v>
      </c>
      <c r="AI53" s="4">
        <f>ABS(SpecPool!AI53-Symphony!AI53)</f>
        <v>1.4144009290797399E-3</v>
      </c>
      <c r="AJ53" s="4">
        <f>ABS(SpecPool!AJ53-Symphony!AJ53)</f>
        <v>1.3709069436501409E-2</v>
      </c>
      <c r="AK53" s="4">
        <f>ABS(SpecPool!AK53-Symphony!AK53)</f>
        <v>5.3532178590103285E-3</v>
      </c>
    </row>
    <row r="54" spans="1:37" x14ac:dyDescent="0.25">
      <c r="A54">
        <f>ABS(SpecPool!A54-Symphony!A54)</f>
        <v>0</v>
      </c>
      <c r="B54" t="e">
        <f>ABS(SpecPool!B54-Symphony!B54)</f>
        <v>#VALUE!</v>
      </c>
      <c r="C54">
        <v>20160501</v>
      </c>
      <c r="D54" s="3">
        <f>ABS(SpecPool!D54-Symphony!D54)</f>
        <v>20118010</v>
      </c>
      <c r="E54" t="e">
        <f>ABS(SpecPool!E54-Symphony!E54)</f>
        <v>#VALUE!</v>
      </c>
      <c r="F54" s="8">
        <f>ABS(SpecPool!F54-Symphony!F54)</f>
        <v>28.031274646986276</v>
      </c>
      <c r="G54" s="7"/>
      <c r="H54" s="5">
        <f>ABS(SpecPool!H54-Symphony!H54)</f>
        <v>1.2411161806899145</v>
      </c>
      <c r="I54" s="5">
        <f>ABS(SpecPool!I54-Symphony!I54)</f>
        <v>8.7202330681002138E-3</v>
      </c>
      <c r="K54" s="5">
        <f>ABS(SpecPool!K54-Symphony!K54)</f>
        <v>0.13086960878429466</v>
      </c>
      <c r="L54" s="5" t="e">
        <f>ABS(SpecPool!L54-Symphony!L54)</f>
        <v>#VALUE!</v>
      </c>
      <c r="M54" s="5">
        <f>ABS(SpecPool!M54-Symphony!M54)</f>
        <v>9.8954647314402067E-3</v>
      </c>
      <c r="N54" s="5">
        <f>ABS(SpecPool!N54-Symphony!N54)</f>
        <v>3.5484497340049215E-3</v>
      </c>
      <c r="O54" s="5" t="e">
        <f>ABS(SpecPool!O54-Symphony!O54)</f>
        <v>#VALUE!</v>
      </c>
      <c r="P54" s="5">
        <f>ABS(SpecPool!P54-Symphony!P54)</f>
        <v>2.6964536776688419E-2</v>
      </c>
      <c r="Q54" s="5">
        <f>ABS(SpecPool!Q54-Symphony!Q54)</f>
        <v>1.9252680680700962E-2</v>
      </c>
      <c r="R54" s="5">
        <f>ABS(SpecPool!R54-Symphony!R54)</f>
        <v>0</v>
      </c>
      <c r="S54" s="5" t="e">
        <f>ABS(SpecPool!S54-Symphony!S54)</f>
        <v>#VALUE!</v>
      </c>
      <c r="T54" s="5">
        <f>ABS(SpecPool!T54-Symphony!T54)</f>
        <v>9.1048316838602261E-3</v>
      </c>
      <c r="U54" s="5">
        <f>ABS(SpecPool!U54-Symphony!U54)</f>
        <v>2.5201932028991791E-2</v>
      </c>
      <c r="V54" s="5" t="e">
        <f>ABS(SpecPool!V54-Symphony!V54)</f>
        <v>#VALUE!</v>
      </c>
      <c r="W54" s="5">
        <f>ABS(SpecPool!W54-Symphony!W54)</f>
        <v>1.2021316235092172E-2</v>
      </c>
      <c r="X54" s="5">
        <f>ABS(SpecPool!X54-Symphony!X54)</f>
        <v>3.942234338738615E-2</v>
      </c>
      <c r="Y54" s="5">
        <f>ABS(SpecPool!Y54-Symphony!Y54)</f>
        <v>3.3278144790074293E-3</v>
      </c>
      <c r="Z54" s="5" t="e">
        <f>ABS(SpecPool!Z54-Symphony!Z54)</f>
        <v>#VALUE!</v>
      </c>
      <c r="AB54" s="4">
        <f>ABS(SpecPool!AB54-Symphony!AB54)</f>
        <v>2.6351639304302843E-3</v>
      </c>
      <c r="AC54" s="4">
        <f>ABS(SpecPool!AC54-Symphony!AC54)</f>
        <v>4.2176647547499613E-2</v>
      </c>
      <c r="AD54" s="4">
        <f>ABS(SpecPool!AD54-Symphony!AD54)</f>
        <v>1.0649530261801488E-2</v>
      </c>
      <c r="AE54" s="6"/>
      <c r="AF54" s="4">
        <f>ABS(SpecPool!AF54-Symphony!AF54)</f>
        <v>2.0420247354991261E-2</v>
      </c>
      <c r="AG54" s="4">
        <f>ABS(SpecPool!AG54-Symphony!AG54)</f>
        <v>1.588724375341144E-2</v>
      </c>
      <c r="AH54" s="4">
        <f>ABS(SpecPool!AH54-Symphony!AH54)</f>
        <v>3.0309672780099106E-2</v>
      </c>
      <c r="AI54" s="4">
        <f>ABS(SpecPool!AI54-Symphony!AI54)</f>
        <v>1.3417368955597198E-3</v>
      </c>
      <c r="AJ54" s="4">
        <f>ABS(SpecPool!AJ54-Symphony!AJ54)</f>
        <v>1.6084570021703826E-2</v>
      </c>
      <c r="AK54" s="4">
        <f>ABS(SpecPool!AK54-Symphony!AK54)</f>
        <v>1.5499284930342583E-3</v>
      </c>
    </row>
    <row r="55" spans="1:37" x14ac:dyDescent="0.25">
      <c r="A55">
        <f>ABS(SpecPool!A55-Symphony!A55)</f>
        <v>0</v>
      </c>
      <c r="B55" t="e">
        <f>ABS(SpecPool!B55-Symphony!B55)</f>
        <v>#VALUE!</v>
      </c>
      <c r="C55">
        <v>20160601</v>
      </c>
      <c r="D55" s="3">
        <f>ABS(SpecPool!D55-Symphony!D55)</f>
        <v>20118079</v>
      </c>
      <c r="E55" t="e">
        <f>ABS(SpecPool!E55-Symphony!E55)</f>
        <v>#VALUE!</v>
      </c>
      <c r="F55" s="8">
        <f>ABS(SpecPool!F55-Symphony!F55)</f>
        <v>8.0232803660037462</v>
      </c>
      <c r="G55" s="7"/>
      <c r="H55" s="5">
        <f>ABS(SpecPool!H55-Symphony!H55)</f>
        <v>0.50680730524004503</v>
      </c>
      <c r="I55" s="5">
        <f>ABS(SpecPool!I55-Symphony!I55)</f>
        <v>2.4325931894797037E-2</v>
      </c>
      <c r="K55" s="5">
        <f>ABS(SpecPool!K55-Symphony!K55)</f>
        <v>5.3459423141191564E-2</v>
      </c>
      <c r="L55" s="5" t="e">
        <f>ABS(SpecPool!L55-Symphony!L55)</f>
        <v>#VALUE!</v>
      </c>
      <c r="M55" s="5">
        <f>ABS(SpecPool!M55-Symphony!M55)</f>
        <v>4.5559403019979072E-5</v>
      </c>
      <c r="N55" s="5">
        <f>ABS(SpecPool!N55-Symphony!N55)</f>
        <v>5.8706320300498938E-3</v>
      </c>
      <c r="O55" s="5" t="e">
        <f>ABS(SpecPool!O55-Symphony!O55)</f>
        <v>#VALUE!</v>
      </c>
      <c r="P55" s="5">
        <f>ABS(SpecPool!P55-Symphony!P55)</f>
        <v>5.4889995492999333E-3</v>
      </c>
      <c r="Q55" s="5">
        <f>ABS(SpecPool!Q55-Symphony!Q55)</f>
        <v>7.0892228039909355E-4</v>
      </c>
      <c r="R55" s="5">
        <f>ABS(SpecPool!R55-Symphony!R55)</f>
        <v>0</v>
      </c>
      <c r="S55" s="5" t="e">
        <f>ABS(SpecPool!S55-Symphony!S55)</f>
        <v>#VALUE!</v>
      </c>
      <c r="T55" s="5">
        <f>ABS(SpecPool!T55-Symphony!T55)</f>
        <v>1.1931958313828872E-2</v>
      </c>
      <c r="U55" s="5">
        <f>ABS(SpecPool!U55-Symphony!U55)</f>
        <v>3.0736864157034915E-3</v>
      </c>
      <c r="V55" s="5" t="e">
        <f>ABS(SpecPool!V55-Symphony!V55)</f>
        <v>#VALUE!</v>
      </c>
      <c r="W55" s="5">
        <f>ABS(SpecPool!W55-Symphony!W55)</f>
        <v>5.8059233036971136E-3</v>
      </c>
      <c r="X55" s="5">
        <f>ABS(SpecPool!X55-Symphony!X55)</f>
        <v>2.8868306370597452E-2</v>
      </c>
      <c r="Y55" s="5">
        <f>ABS(SpecPool!Y55-Symphony!Y55)</f>
        <v>1.0996905165001181E-2</v>
      </c>
      <c r="Z55" s="5" t="e">
        <f>ABS(SpecPool!Z55-Symphony!Z55)</f>
        <v>#VALUE!</v>
      </c>
      <c r="AB55" s="4">
        <f>ABS(SpecPool!AB55-Symphony!AB55)</f>
        <v>4.1837887817197661E-3</v>
      </c>
      <c r="AC55" s="4">
        <f>ABS(SpecPool!AC55-Symphony!AC55)</f>
        <v>3.177677562070258E-2</v>
      </c>
      <c r="AD55" s="4">
        <f>ABS(SpecPool!AD55-Symphony!AD55)</f>
        <v>1.9125668414801567E-2</v>
      </c>
      <c r="AE55" s="6"/>
      <c r="AF55" s="4">
        <f>ABS(SpecPool!AF55-Symphony!AF55)</f>
        <v>9.8659967280809724E-3</v>
      </c>
      <c r="AG55" s="4">
        <f>ABS(SpecPool!AG55-Symphony!AG55)</f>
        <v>3.7550954670990677E-3</v>
      </c>
      <c r="AH55" s="4">
        <f>ABS(SpecPool!AH55-Symphony!AH55)</f>
        <v>8.5898665454990919E-3</v>
      </c>
      <c r="AI55" s="4">
        <f>ABS(SpecPool!AI55-Symphony!AI55)</f>
        <v>1.3207090036297942E-3</v>
      </c>
      <c r="AJ55" s="4">
        <f>ABS(SpecPool!AJ55-Symphony!AJ55)</f>
        <v>8.3217410374061274E-3</v>
      </c>
      <c r="AK55" s="4">
        <f>ABS(SpecPool!AK55-Symphony!AK55)</f>
        <v>5.6004419359965141E-3</v>
      </c>
    </row>
    <row r="56" spans="1:37" x14ac:dyDescent="0.25">
      <c r="A56">
        <f>ABS(SpecPool!A56-Symphony!A56)</f>
        <v>0</v>
      </c>
      <c r="B56" t="e">
        <f>ABS(SpecPool!B56-Symphony!B56)</f>
        <v>#VALUE!</v>
      </c>
      <c r="C56">
        <v>20160701</v>
      </c>
      <c r="D56" s="3">
        <f>ABS(SpecPool!D56-Symphony!D56)</f>
        <v>20118149</v>
      </c>
      <c r="E56" t="e">
        <f>ABS(SpecPool!E56-Symphony!E56)</f>
        <v>#VALUE!</v>
      </c>
      <c r="F56" s="8">
        <f>ABS(SpecPool!F56-Symphony!F56)</f>
        <v>5.5016983550158329</v>
      </c>
      <c r="G56" s="7"/>
      <c r="H56" s="5">
        <f>ABS(SpecPool!H56-Symphony!H56)</f>
        <v>0.55667645047992664</v>
      </c>
      <c r="I56" s="5">
        <f>ABS(SpecPool!I56-Symphony!I56)</f>
        <v>5.1602611879900451E-2</v>
      </c>
      <c r="K56" s="5">
        <f>ABS(SpecPool!K56-Symphony!K56)</f>
        <v>5.1094510941908311E-2</v>
      </c>
      <c r="L56" s="5" t="e">
        <f>ABS(SpecPool!L56-Symphony!L56)</f>
        <v>#VALUE!</v>
      </c>
      <c r="M56" s="5">
        <f>ABS(SpecPool!M56-Symphony!M56)</f>
        <v>6.9106850364000216E-3</v>
      </c>
      <c r="N56" s="5">
        <f>ABS(SpecPool!N56-Symphony!N56)</f>
        <v>1.1597583573139891E-2</v>
      </c>
      <c r="O56" s="5" t="e">
        <f>ABS(SpecPool!O56-Symphony!O56)</f>
        <v>#VALUE!</v>
      </c>
      <c r="P56" s="5">
        <f>ABS(SpecPool!P56-Symphony!P56)</f>
        <v>2.8703185859058067E-3</v>
      </c>
      <c r="Q56" s="5">
        <f>ABS(SpecPool!Q56-Symphony!Q56)</f>
        <v>1.077285584102583E-3</v>
      </c>
      <c r="R56" s="5">
        <f>ABS(SpecPool!R56-Symphony!R56)</f>
        <v>0</v>
      </c>
      <c r="S56" s="5" t="e">
        <f>ABS(SpecPool!S56-Symphony!S56)</f>
        <v>#VALUE!</v>
      </c>
      <c r="T56" s="5">
        <f>ABS(SpecPool!T56-Symphony!T56)</f>
        <v>6.1878166246209787E-3</v>
      </c>
      <c r="U56" s="5">
        <f>ABS(SpecPool!U56-Symphony!U56)</f>
        <v>1.0236359990102528E-2</v>
      </c>
      <c r="V56" s="5" t="e">
        <f>ABS(SpecPool!V56-Symphony!V56)</f>
        <v>#VALUE!</v>
      </c>
      <c r="W56" s="5">
        <f>ABS(SpecPool!W56-Symphony!W56)</f>
        <v>7.2362883428098712E-3</v>
      </c>
      <c r="X56" s="5">
        <f>ABS(SpecPool!X56-Symphony!X56)</f>
        <v>3.5989562007003428E-2</v>
      </c>
      <c r="Y56" s="5">
        <f>ABS(SpecPool!Y56-Symphony!Y56)</f>
        <v>6.0944785016090464E-3</v>
      </c>
      <c r="Z56" s="5" t="e">
        <f>ABS(SpecPool!Z56-Symphony!Z56)</f>
        <v>#VALUE!</v>
      </c>
      <c r="AB56" s="4">
        <f>ABS(SpecPool!AB56-Symphony!AB56)</f>
        <v>9.1946608032698052E-3</v>
      </c>
      <c r="AC56" s="4">
        <f>ABS(SpecPool!AC56-Symphony!AC56)</f>
        <v>3.6208403801598621E-2</v>
      </c>
      <c r="AD56" s="4">
        <f>ABS(SpecPool!AD56-Symphony!AD56)</f>
        <v>3.9411976827992135E-3</v>
      </c>
      <c r="AE56" s="6"/>
      <c r="AF56" s="4">
        <f>ABS(SpecPool!AF56-Symphony!AF56)</f>
        <v>6.9030000779548573E-3</v>
      </c>
      <c r="AG56" s="4">
        <f>ABS(SpecPool!AG56-Symphony!AG56)</f>
        <v>2.394718456201872E-3</v>
      </c>
      <c r="AH56" s="4">
        <f>ABS(SpecPool!AH56-Symphony!AH56)</f>
        <v>2.6213018478031813E-3</v>
      </c>
      <c r="AI56" s="4">
        <f>ABS(SpecPool!AI56-Symphony!AI56)</f>
        <v>1.3070908021202143E-3</v>
      </c>
      <c r="AJ56" s="4">
        <f>ABS(SpecPool!AJ56-Symphony!AJ56)</f>
        <v>1.3337206735002383E-2</v>
      </c>
      <c r="AK56" s="4">
        <f>ABS(SpecPool!AK56-Symphony!AK56)</f>
        <v>1.1528458515044804E-2</v>
      </c>
    </row>
    <row r="57" spans="1:37" x14ac:dyDescent="0.25">
      <c r="A57">
        <f>ABS(SpecPool!A57-Symphony!A57)</f>
        <v>0</v>
      </c>
      <c r="B57" t="e">
        <f>ABS(SpecPool!B57-Symphony!B57)</f>
        <v>#VALUE!</v>
      </c>
      <c r="C57">
        <v>20160801</v>
      </c>
      <c r="D57" s="3">
        <f>ABS(SpecPool!D57-Symphony!D57)</f>
        <v>20118218</v>
      </c>
      <c r="E57" t="e">
        <f>ABS(SpecPool!E57-Symphony!E57)</f>
        <v>#VALUE!</v>
      </c>
      <c r="F57" s="8">
        <f>ABS(SpecPool!F57-Symphony!F57)</f>
        <v>19.728183256025659</v>
      </c>
      <c r="G57" s="7"/>
      <c r="H57" s="5">
        <f>ABS(SpecPool!H57-Symphony!H57)</f>
        <v>0.47992555513997104</v>
      </c>
      <c r="I57" s="5">
        <f>ABS(SpecPool!I57-Symphony!I57)</f>
        <v>4.3647822046004592E-3</v>
      </c>
      <c r="K57" s="5">
        <f>ABS(SpecPool!K57-Symphony!K57)</f>
        <v>3.2692003149506377E-2</v>
      </c>
      <c r="L57" s="5" t="e">
        <f>ABS(SpecPool!L57-Symphony!L57)</f>
        <v>#VALUE!</v>
      </c>
      <c r="M57" s="5">
        <f>ABS(SpecPool!M57-Symphony!M57)</f>
        <v>6.240668756970269E-3</v>
      </c>
      <c r="N57" s="5">
        <f>ABS(SpecPool!N57-Symphony!N57)</f>
        <v>4.879083282389951E-3</v>
      </c>
      <c r="O57" s="5" t="e">
        <f>ABS(SpecPool!O57-Symphony!O57)</f>
        <v>#VALUE!</v>
      </c>
      <c r="P57" s="5">
        <f>ABS(SpecPool!P57-Symphony!P57)</f>
        <v>2.5955202577989667E-3</v>
      </c>
      <c r="Q57" s="5">
        <f>ABS(SpecPool!Q57-Symphony!Q57)</f>
        <v>3.4810067745993933E-3</v>
      </c>
      <c r="R57" s="5">
        <f>ABS(SpecPool!R57-Symphony!R57)</f>
        <v>0</v>
      </c>
      <c r="S57" s="5" t="e">
        <f>ABS(SpecPool!S57-Symphony!S57)</f>
        <v>#VALUE!</v>
      </c>
      <c r="T57" s="5">
        <f>ABS(SpecPool!T57-Symphony!T57)</f>
        <v>1.0885124919450817E-2</v>
      </c>
      <c r="U57" s="5">
        <f>ABS(SpecPool!U57-Symphony!U57)</f>
        <v>4.9888352343003817E-3</v>
      </c>
      <c r="V57" s="5" t="e">
        <f>ABS(SpecPool!V57-Symphony!V57)</f>
        <v>#VALUE!</v>
      </c>
      <c r="W57" s="5">
        <f>ABS(SpecPool!W57-Symphony!W57)</f>
        <v>9.157207598505579E-3</v>
      </c>
      <c r="X57" s="5">
        <f>ABS(SpecPool!X57-Symphony!X57)</f>
        <v>3.5157846549992655E-2</v>
      </c>
      <c r="Y57" s="5">
        <f>ABS(SpecPool!Y57-Symphony!Y57)</f>
        <v>7.7068756157956386E-3</v>
      </c>
      <c r="Z57" s="5" t="e">
        <f>ABS(SpecPool!Z57-Symphony!Z57)</f>
        <v>#VALUE!</v>
      </c>
      <c r="AB57" s="4">
        <f>ABS(SpecPool!AB57-Symphony!AB57)</f>
        <v>9.7243286549897334E-3</v>
      </c>
      <c r="AC57" s="4">
        <f>ABS(SpecPool!AC57-Symphony!AC57)</f>
        <v>2.2227619752200667E-2</v>
      </c>
      <c r="AD57" s="4">
        <f>ABS(SpecPool!AD57-Symphony!AD57)</f>
        <v>3.1822954573001994E-2</v>
      </c>
      <c r="AE57" s="6"/>
      <c r="AF57" s="4">
        <f>ABS(SpecPool!AF57-Symphony!AF57)</f>
        <v>3.4121718090318609E-3</v>
      </c>
      <c r="AG57" s="4">
        <f>ABS(SpecPool!AG57-Symphony!AG57)</f>
        <v>5.9122289122086613E-3</v>
      </c>
      <c r="AH57" s="4">
        <f>ABS(SpecPool!AH57-Symphony!AH57)</f>
        <v>2.6150052274971358E-3</v>
      </c>
      <c r="AI57" s="4">
        <f>ABS(SpecPool!AI57-Symphony!AI57)</f>
        <v>1.3447689310295274E-3</v>
      </c>
      <c r="AJ57" s="4">
        <f>ABS(SpecPool!AJ57-Symphony!AJ57)</f>
        <v>1.2532164361097387E-2</v>
      </c>
      <c r="AK57" s="4">
        <f>ABS(SpecPool!AK57-Symphony!AK57)</f>
        <v>6.6796232289902946E-3</v>
      </c>
    </row>
    <row r="58" spans="1:37" x14ac:dyDescent="0.25">
      <c r="A58">
        <f>ABS(SpecPool!A58-Symphony!A58)</f>
        <v>0</v>
      </c>
      <c r="B58" t="e">
        <f>ABS(SpecPool!B58-Symphony!B58)</f>
        <v>#VALUE!</v>
      </c>
      <c r="C58">
        <v>20160901</v>
      </c>
      <c r="D58" s="3">
        <f>ABS(SpecPool!D58-Symphony!D58)</f>
        <v>20118287</v>
      </c>
      <c r="E58" t="e">
        <f>ABS(SpecPool!E58-Symphony!E58)</f>
        <v>#VALUE!</v>
      </c>
      <c r="F58" s="8">
        <f>ABS(SpecPool!F58-Symphony!F58)</f>
        <v>23.920061561017064</v>
      </c>
      <c r="G58" s="7"/>
      <c r="H58" s="5">
        <f>ABS(SpecPool!H58-Symphony!H58)</f>
        <v>0.50811183309997432</v>
      </c>
      <c r="I58" s="5">
        <f>ABS(SpecPool!I58-Symphony!I58)</f>
        <v>6.1125886144502317E-2</v>
      </c>
      <c r="K58" s="5">
        <f>ABS(SpecPool!K58-Symphony!K58)</f>
        <v>3.2115685056396615E-2</v>
      </c>
      <c r="L58" s="5" t="e">
        <f>ABS(SpecPool!L58-Symphony!L58)</f>
        <v>#VALUE!</v>
      </c>
      <c r="M58" s="5">
        <f>ABS(SpecPool!M58-Symphony!M58)</f>
        <v>2.001729119870177E-3</v>
      </c>
      <c r="N58" s="5">
        <f>ABS(SpecPool!N58-Symphony!N58)</f>
        <v>9.5447132058001927E-4</v>
      </c>
      <c r="O58" s="5" t="e">
        <f>ABS(SpecPool!O58-Symphony!O58)</f>
        <v>#VALUE!</v>
      </c>
      <c r="P58" s="5">
        <f>ABS(SpecPool!P58-Symphony!P58)</f>
        <v>7.2634723346993724E-3</v>
      </c>
      <c r="Q58" s="5">
        <f>ABS(SpecPool!Q58-Symphony!Q58)</f>
        <v>4.5941141599996627E-3</v>
      </c>
      <c r="R58" s="5">
        <f>ABS(SpecPool!R58-Symphony!R58)</f>
        <v>0</v>
      </c>
      <c r="S58" s="5" t="e">
        <f>ABS(SpecPool!S58-Symphony!S58)</f>
        <v>#VALUE!</v>
      </c>
      <c r="T58" s="5">
        <f>ABS(SpecPool!T58-Symphony!T58)</f>
        <v>1.19222478513894E-2</v>
      </c>
      <c r="U58" s="5">
        <f>ABS(SpecPool!U58-Symphony!U58)</f>
        <v>9.0901992157057521E-3</v>
      </c>
      <c r="V58" s="5" t="e">
        <f>ABS(SpecPool!V58-Symphony!V58)</f>
        <v>#VALUE!</v>
      </c>
      <c r="W58" s="5">
        <f>ABS(SpecPool!W58-Symphony!W58)</f>
        <v>9.223572955292525E-3</v>
      </c>
      <c r="X58" s="5">
        <f>ABS(SpecPool!X58-Symphony!X58)</f>
        <v>3.5915180715008432E-2</v>
      </c>
      <c r="Y58" s="5">
        <f>ABS(SpecPool!Y58-Symphony!Y58)</f>
        <v>2.2200405161925119E-3</v>
      </c>
      <c r="Z58" s="5" t="e">
        <f>ABS(SpecPool!Z58-Symphony!Z58)</f>
        <v>#VALUE!</v>
      </c>
      <c r="AB58" s="4">
        <f>ABS(SpecPool!AB58-Symphony!AB58)</f>
        <v>4.8713669266997606E-3</v>
      </c>
      <c r="AC58" s="4">
        <f>ABS(SpecPool!AC58-Symphony!AC58)</f>
        <v>1.6434762949202764E-2</v>
      </c>
      <c r="AD58" s="4">
        <f>ABS(SpecPool!AD58-Symphony!AD58)</f>
        <v>5.0254397506904525E-2</v>
      </c>
      <c r="AE58" s="6"/>
      <c r="AF58" s="4">
        <f>ABS(SpecPool!AF58-Symphony!AF58)</f>
        <v>5.6468600830612559E-3</v>
      </c>
      <c r="AG58" s="4">
        <f>ABS(SpecPool!AG58-Symphony!AG58)</f>
        <v>8.9886340703060341E-5</v>
      </c>
      <c r="AH58" s="4">
        <f>ABS(SpecPool!AH58-Symphony!AH58)</f>
        <v>5.4791954717003932E-3</v>
      </c>
      <c r="AI58" s="4">
        <f>ABS(SpecPool!AI58-Symphony!AI58)</f>
        <v>1.4001417089000157E-3</v>
      </c>
      <c r="AJ58" s="4">
        <f>ABS(SpecPool!AJ58-Symphony!AJ58)</f>
        <v>1.1622734181301553E-2</v>
      </c>
      <c r="AK58" s="4">
        <f>ABS(SpecPool!AK58-Symphony!AK58)</f>
        <v>6.3209039069533901E-3</v>
      </c>
    </row>
    <row r="59" spans="1:37" x14ac:dyDescent="0.25">
      <c r="A59">
        <f>ABS(SpecPool!A59-Symphony!A59)</f>
        <v>0</v>
      </c>
      <c r="B59" t="e">
        <f>ABS(SpecPool!B59-Symphony!B59)</f>
        <v>#VALUE!</v>
      </c>
      <c r="C59">
        <v>20161001</v>
      </c>
      <c r="D59" s="3">
        <f>ABS(SpecPool!D59-Symphony!D59)</f>
        <v>20118357</v>
      </c>
      <c r="E59" t="e">
        <f>ABS(SpecPool!E59-Symphony!E59)</f>
        <v>#VALUE!</v>
      </c>
      <c r="F59" s="8">
        <f>ABS(SpecPool!F59-Symphony!F59)</f>
        <v>14.610393393988488</v>
      </c>
      <c r="G59" s="7"/>
      <c r="H59" s="5">
        <f>ABS(SpecPool!H59-Symphony!H59)</f>
        <v>0.77067567219000921</v>
      </c>
      <c r="I59" s="5">
        <f>ABS(SpecPool!I59-Symphony!I59)</f>
        <v>2.4813434477803042E-2</v>
      </c>
      <c r="K59" s="5">
        <f>ABS(SpecPool!K59-Symphony!K59)</f>
        <v>4.4978620370599742E-2</v>
      </c>
      <c r="L59" s="5" t="e">
        <f>ABS(SpecPool!L59-Symphony!L59)</f>
        <v>#VALUE!</v>
      </c>
      <c r="M59" s="5">
        <f>ABS(SpecPool!M59-Symphony!M59)</f>
        <v>5.0385170549001046E-3</v>
      </c>
      <c r="N59" s="5">
        <f>ABS(SpecPool!N59-Symphony!N59)</f>
        <v>3.1445188852299299E-3</v>
      </c>
      <c r="O59" s="5" t="e">
        <f>ABS(SpecPool!O59-Symphony!O59)</f>
        <v>#VALUE!</v>
      </c>
      <c r="P59" s="5">
        <f>ABS(SpecPool!P59-Symphony!P59)</f>
        <v>3.8579599410013543E-3</v>
      </c>
      <c r="Q59" s="5">
        <f>ABS(SpecPool!Q59-Symphony!Q59)</f>
        <v>2.0745874845005119E-3</v>
      </c>
      <c r="R59" s="5">
        <f>ABS(SpecPool!R59-Symphony!R59)</f>
        <v>0</v>
      </c>
      <c r="S59" s="5" t="e">
        <f>ABS(SpecPool!S59-Symphony!S59)</f>
        <v>#VALUE!</v>
      </c>
      <c r="T59" s="5">
        <f>ABS(SpecPool!T59-Symphony!T59)</f>
        <v>3.4703049532112118E-3</v>
      </c>
      <c r="U59" s="5">
        <f>ABS(SpecPool!U59-Symphony!U59)</f>
        <v>1.4472646237805975E-2</v>
      </c>
      <c r="V59" s="5" t="e">
        <f>ABS(SpecPool!V59-Symphony!V59)</f>
        <v>#VALUE!</v>
      </c>
      <c r="W59" s="5">
        <f>ABS(SpecPool!W59-Symphony!W59)</f>
        <v>1.3562598551999372E-3</v>
      </c>
      <c r="X59" s="5">
        <f>ABS(SpecPool!X59-Symphony!X59)</f>
        <v>2.5971479166997824E-2</v>
      </c>
      <c r="Y59" s="5">
        <f>ABS(SpecPool!Y59-Symphony!Y59)</f>
        <v>1.1210115673407017E-2</v>
      </c>
      <c r="Z59" s="5" t="e">
        <f>ABS(SpecPool!Z59-Symphony!Z59)</f>
        <v>#VALUE!</v>
      </c>
      <c r="AB59" s="4">
        <f>ABS(SpecPool!AB59-Symphony!AB59)</f>
        <v>5.9342978157799209E-3</v>
      </c>
      <c r="AC59" s="4">
        <f>ABS(SpecPool!AC59-Symphony!AC59)</f>
        <v>2.0509276261801546E-2</v>
      </c>
      <c r="AD59" s="4">
        <f>ABS(SpecPool!AD59-Symphony!AD59)</f>
        <v>7.8935258839997857E-2</v>
      </c>
      <c r="AE59" s="6"/>
      <c r="AF59" s="4">
        <f>ABS(SpecPool!AF59-Symphony!AF59)</f>
        <v>4.2683078420395759E-3</v>
      </c>
      <c r="AG59" s="4">
        <f>ABS(SpecPool!AG59-Symphony!AG59)</f>
        <v>3.0831410438025841E-3</v>
      </c>
      <c r="AH59" s="4">
        <f>ABS(SpecPool!AH59-Symphony!AH59)</f>
        <v>9.8802578040988465E-3</v>
      </c>
      <c r="AI59" s="4">
        <f>ABS(SpecPool!AI59-Symphony!AI59)</f>
        <v>1.5380075091995238E-3</v>
      </c>
      <c r="AJ59" s="4">
        <f>ABS(SpecPool!AJ59-Symphony!AJ59)</f>
        <v>1.1339363884800946E-2</v>
      </c>
      <c r="AK59" s="4">
        <f>ABS(SpecPool!AK59-Symphony!AK59)</f>
        <v>6.8494524400080081E-3</v>
      </c>
    </row>
    <row r="60" spans="1:37" x14ac:dyDescent="0.25">
      <c r="A60">
        <f>ABS(SpecPool!A60-Symphony!A60)</f>
        <v>0</v>
      </c>
      <c r="B60" t="e">
        <f>ABS(SpecPool!B60-Symphony!B60)</f>
        <v>#VALUE!</v>
      </c>
      <c r="C60">
        <v>20161101</v>
      </c>
      <c r="D60" s="3">
        <f>ABS(SpecPool!D60-Symphony!D60)</f>
        <v>20118426</v>
      </c>
      <c r="E60" t="e">
        <f>ABS(SpecPool!E60-Symphony!E60)</f>
        <v>#VALUE!</v>
      </c>
      <c r="F60" s="8">
        <f>ABS(SpecPool!F60-Symphony!F60)</f>
        <v>60.844299490010599</v>
      </c>
      <c r="G60" s="7"/>
      <c r="H60" s="5">
        <f>ABS(SpecPool!H60-Symphony!H60)</f>
        <v>0.98015559302029942</v>
      </c>
      <c r="I60" s="5">
        <f>ABS(SpecPool!I60-Symphony!I60)</f>
        <v>8.1379942474981704E-3</v>
      </c>
      <c r="K60" s="5">
        <f>ABS(SpecPool!K60-Symphony!K60)</f>
        <v>7.2555219910697133E-2</v>
      </c>
      <c r="L60" s="5" t="e">
        <f>ABS(SpecPool!L60-Symphony!L60)</f>
        <v>#VALUE!</v>
      </c>
      <c r="M60" s="5">
        <f>ABS(SpecPool!M60-Symphony!M60)</f>
        <v>6.8661836576597857E-3</v>
      </c>
      <c r="N60" s="5">
        <f>ABS(SpecPool!N60-Symphony!N60)</f>
        <v>1.7485934748899812E-3</v>
      </c>
      <c r="O60" s="5" t="e">
        <f>ABS(SpecPool!O60-Symphony!O60)</f>
        <v>#VALUE!</v>
      </c>
      <c r="P60" s="5">
        <f>ABS(SpecPool!P60-Symphony!P60)</f>
        <v>0.12838806027050964</v>
      </c>
      <c r="Q60" s="5">
        <f>ABS(SpecPool!Q60-Symphony!Q60)</f>
        <v>9.9857853495990412E-3</v>
      </c>
      <c r="R60" s="5">
        <f>ABS(SpecPool!R60-Symphony!R60)</f>
        <v>0</v>
      </c>
      <c r="S60" s="5" t="e">
        <f>ABS(SpecPool!S60-Symphony!S60)</f>
        <v>#VALUE!</v>
      </c>
      <c r="T60" s="5">
        <f>ABS(SpecPool!T60-Symphony!T60)</f>
        <v>1.3402468613950447E-2</v>
      </c>
      <c r="U60" s="5">
        <f>ABS(SpecPool!U60-Symphony!U60)</f>
        <v>1.9081049795801164E-2</v>
      </c>
      <c r="V60" s="5" t="e">
        <f>ABS(SpecPool!V60-Symphony!V60)</f>
        <v>#VALUE!</v>
      </c>
      <c r="W60" s="5">
        <f>ABS(SpecPool!W60-Symphony!W60)</f>
        <v>4.7134071775047914E-3</v>
      </c>
      <c r="X60" s="5">
        <f>ABS(SpecPool!X60-Symphony!X60)</f>
        <v>5.4740977810041613E-3</v>
      </c>
      <c r="Y60" s="5">
        <f>ABS(SpecPool!Y60-Symphony!Y60)</f>
        <v>2.7577182303303971E-2</v>
      </c>
      <c r="Z60" s="5" t="e">
        <f>ABS(SpecPool!Z60-Symphony!Z60)</f>
        <v>#VALUE!</v>
      </c>
      <c r="AB60" s="4">
        <f>ABS(SpecPool!AB60-Symphony!AB60)</f>
        <v>9.1073193833297594E-3</v>
      </c>
      <c r="AC60" s="4">
        <f>ABS(SpecPool!AC60-Symphony!AC60)</f>
        <v>0.10515739932129975</v>
      </c>
      <c r="AD60" s="4">
        <f>ABS(SpecPool!AD60-Symphony!AD60)</f>
        <v>0.11272202312279944</v>
      </c>
      <c r="AE60" s="6"/>
      <c r="AF60" s="4">
        <f>ABS(SpecPool!AF60-Symphony!AF60)</f>
        <v>2.9359914664951248E-2</v>
      </c>
      <c r="AG60" s="4">
        <f>ABS(SpecPool!AG60-Symphony!AG60)</f>
        <v>1.9191716086893962E-2</v>
      </c>
      <c r="AH60" s="4">
        <f>ABS(SpecPool!AH60-Symphony!AH60)</f>
        <v>4.1923855716802905E-2</v>
      </c>
      <c r="AI60" s="4">
        <f>ABS(SpecPool!AI60-Symphony!AI60)</f>
        <v>1.7783572284901794E-3</v>
      </c>
      <c r="AJ60" s="4">
        <f>ABS(SpecPool!AJ60-Symphony!AJ60)</f>
        <v>1.3429878695696118E-2</v>
      </c>
      <c r="AK60" s="4">
        <f>ABS(SpecPool!AK60-Symphony!AK60)</f>
        <v>4.6381485710185189E-3</v>
      </c>
    </row>
    <row r="61" spans="1:37" x14ac:dyDescent="0.25">
      <c r="A61">
        <f>ABS(SpecPool!A61-Symphony!A61)</f>
        <v>0</v>
      </c>
      <c r="B61" t="e">
        <f>ABS(SpecPool!B61-Symphony!B61)</f>
        <v>#VALUE!</v>
      </c>
      <c r="C61">
        <v>20161201</v>
      </c>
      <c r="D61" s="3">
        <f>ABS(SpecPool!D61-Symphony!D61)</f>
        <v>20118496</v>
      </c>
      <c r="E61" t="e">
        <f>ABS(SpecPool!E61-Symphony!E61)</f>
        <v>#VALUE!</v>
      </c>
      <c r="F61" s="8">
        <f>ABS(SpecPool!F61-Symphony!F61)</f>
        <v>92.455157752992818</v>
      </c>
      <c r="G61" s="7"/>
      <c r="H61" s="5">
        <f>ABS(SpecPool!H61-Symphony!H61)</f>
        <v>0.7543698383597075</v>
      </c>
      <c r="I61" s="5">
        <f>ABS(SpecPool!I61-Symphony!I61)</f>
        <v>1.1639188334797268E-2</v>
      </c>
      <c r="K61" s="5">
        <f>ABS(SpecPool!K61-Symphony!K61)</f>
        <v>9.743990638800426E-2</v>
      </c>
      <c r="L61" s="5" t="e">
        <f>ABS(SpecPool!L61-Symphony!L61)</f>
        <v>#VALUE!</v>
      </c>
      <c r="M61" s="5">
        <f>ABS(SpecPool!M61-Symphony!M61)</f>
        <v>9.1551185257010559E-4</v>
      </c>
      <c r="N61" s="5">
        <f>ABS(SpecPool!N61-Symphony!N61)</f>
        <v>3.4555732965002584E-4</v>
      </c>
      <c r="O61" s="5" t="e">
        <f>ABS(SpecPool!O61-Symphony!O61)</f>
        <v>#VALUE!</v>
      </c>
      <c r="P61" s="5">
        <f>ABS(SpecPool!P61-Symphony!P61)</f>
        <v>0.11398271182260089</v>
      </c>
      <c r="Q61" s="5">
        <f>ABS(SpecPool!Q61-Symphony!Q61)</f>
        <v>1.3008037883000867E-2</v>
      </c>
      <c r="R61" s="5">
        <f>ABS(SpecPool!R61-Symphony!R61)</f>
        <v>0</v>
      </c>
      <c r="S61" s="5" t="e">
        <f>ABS(SpecPool!S61-Symphony!S61)</f>
        <v>#VALUE!</v>
      </c>
      <c r="T61" s="5">
        <f>ABS(SpecPool!T61-Symphony!T61)</f>
        <v>4.8699735294395197E-3</v>
      </c>
      <c r="U61" s="5">
        <f>ABS(SpecPool!U61-Symphony!U61)</f>
        <v>3.0261635371900297E-2</v>
      </c>
      <c r="V61" s="5" t="e">
        <f>ABS(SpecPool!V61-Symphony!V61)</f>
        <v>#VALUE!</v>
      </c>
      <c r="W61" s="5">
        <f>ABS(SpecPool!W61-Symphony!W61)</f>
        <v>5.5211613982066865E-3</v>
      </c>
      <c r="X61" s="5">
        <f>ABS(SpecPool!X61-Symphony!X61)</f>
        <v>1.3779973667027434E-3</v>
      </c>
      <c r="Y61" s="5">
        <f>ABS(SpecPool!Y61-Symphony!Y61)</f>
        <v>2.4359263099810846E-2</v>
      </c>
      <c r="Z61" s="5" t="e">
        <f>ABS(SpecPool!Z61-Symphony!Z61)</f>
        <v>#VALUE!</v>
      </c>
      <c r="AB61" s="4">
        <f>ABS(SpecPool!AB61-Symphony!AB61)</f>
        <v>1.4192985038001815E-3</v>
      </c>
      <c r="AC61" s="4">
        <f>ABS(SpecPool!AC61-Symphony!AC61)</f>
        <v>8.699014502349911E-2</v>
      </c>
      <c r="AD61" s="4">
        <f>ABS(SpecPool!AD61-Symphony!AD61)</f>
        <v>0.13049813057810411</v>
      </c>
      <c r="AE61" s="6"/>
      <c r="AF61" s="4">
        <f>ABS(SpecPool!AF61-Symphony!AF61)</f>
        <v>3.9467678482992596E-2</v>
      </c>
      <c r="AG61" s="4">
        <f>ABS(SpecPool!AG61-Symphony!AG61)</f>
        <v>1.4234273558102473E-2</v>
      </c>
      <c r="AH61" s="4">
        <f>ABS(SpecPool!AH61-Symphony!AH61)</f>
        <v>4.9858770949896325E-2</v>
      </c>
      <c r="AI61" s="4">
        <f>ABS(SpecPool!AI61-Symphony!AI61)</f>
        <v>1.7878653017193713E-3</v>
      </c>
      <c r="AJ61" s="4">
        <f>ABS(SpecPool!AJ61-Symphony!AJ61)</f>
        <v>7.1545955564999986E-3</v>
      </c>
      <c r="AK61" s="4">
        <f>ABS(SpecPool!AK61-Symphony!AK61)</f>
        <v>2.031825204994675E-3</v>
      </c>
    </row>
    <row r="62" spans="1:37" x14ac:dyDescent="0.25">
      <c r="A62">
        <f>ABS(SpecPool!A62-Symphony!A62)</f>
        <v>0</v>
      </c>
      <c r="B62" t="e">
        <f>ABS(SpecPool!B62-Symphony!B62)</f>
        <v>#VALUE!</v>
      </c>
      <c r="C62">
        <v>20170101</v>
      </c>
      <c r="D62" s="3">
        <f>ABS(SpecPool!D62-Symphony!D62)</f>
        <v>20127365</v>
      </c>
      <c r="E62" t="e">
        <f>ABS(SpecPool!E62-Symphony!E62)</f>
        <v>#VALUE!</v>
      </c>
      <c r="F62" s="8">
        <f>ABS(SpecPool!F62-Symphony!F62)</f>
        <v>92.69101845100522</v>
      </c>
      <c r="G62" s="7"/>
      <c r="H62" s="5">
        <f>ABS(SpecPool!H62-Symphony!H62)</f>
        <v>0.80225538791000872</v>
      </c>
      <c r="I62" s="5">
        <f>ABS(SpecPool!I62-Symphony!I62)</f>
        <v>2.8558150927100456E-2</v>
      </c>
      <c r="K62" s="5">
        <f>ABS(SpecPool!K62-Symphony!K62)</f>
        <v>0.10767143208829566</v>
      </c>
      <c r="L62" s="5" t="e">
        <f>ABS(SpecPool!L62-Symphony!L62)</f>
        <v>#VALUE!</v>
      </c>
      <c r="M62" s="5">
        <f>ABS(SpecPool!M62-Symphony!M62)</f>
        <v>2.0702818389999322E-3</v>
      </c>
      <c r="N62" s="5">
        <f>ABS(SpecPool!N62-Symphony!N62)</f>
        <v>1.0340603669320103E-2</v>
      </c>
      <c r="O62" s="5" t="e">
        <f>ABS(SpecPool!O62-Symphony!O62)</f>
        <v>#VALUE!</v>
      </c>
      <c r="P62" s="5">
        <f>ABS(SpecPool!P62-Symphony!P62)</f>
        <v>0.10463652903248999</v>
      </c>
      <c r="Q62" s="5">
        <f>ABS(SpecPool!Q62-Symphony!Q62)</f>
        <v>2.1705581935997031E-2</v>
      </c>
      <c r="R62" s="5">
        <f>ABS(SpecPool!R62-Symphony!R62)</f>
        <v>0</v>
      </c>
      <c r="S62" s="5" t="e">
        <f>ABS(SpecPool!S62-Symphony!S62)</f>
        <v>#VALUE!</v>
      </c>
      <c r="T62" s="5">
        <f>ABS(SpecPool!T62-Symphony!T62)</f>
        <v>4.8407116046593757E-3</v>
      </c>
      <c r="U62" s="5">
        <f>ABS(SpecPool!U62-Symphony!U62)</f>
        <v>2.905727187589946E-2</v>
      </c>
      <c r="V62" s="5" t="e">
        <f>ABS(SpecPool!V62-Symphony!V62)</f>
        <v>#VALUE!</v>
      </c>
      <c r="W62" s="5">
        <f>ABS(SpecPool!W62-Symphony!W62)</f>
        <v>3.4471671539080262E-3</v>
      </c>
      <c r="X62" s="5">
        <f>ABS(SpecPool!X62-Symphony!X62)</f>
        <v>1.2422785976013984E-3</v>
      </c>
      <c r="Y62" s="5">
        <f>ABS(SpecPool!Y62-Symphony!Y62)</f>
        <v>2.1527841578304674E-2</v>
      </c>
      <c r="Z62" s="5" t="e">
        <f>ABS(SpecPool!Z62-Symphony!Z62)</f>
        <v>#VALUE!</v>
      </c>
      <c r="AB62" s="4">
        <f>ABS(SpecPool!AB62-Symphony!AB62)</f>
        <v>1.1423136451198523E-3</v>
      </c>
      <c r="AC62" s="4">
        <f>ABS(SpecPool!AC62-Symphony!AC62)</f>
        <v>9.5847555314900745E-2</v>
      </c>
      <c r="AD62" s="4">
        <f>ABS(SpecPool!AD62-Symphony!AD62)</f>
        <v>0.13023022344989954</v>
      </c>
      <c r="AE62" s="6"/>
      <c r="AF62" s="4">
        <f>ABS(SpecPool!AF62-Symphony!AF62)</f>
        <v>3.0565002364937754E-2</v>
      </c>
      <c r="AG62" s="4">
        <f>ABS(SpecPool!AG62-Symphony!AG62)</f>
        <v>1.4150571912210808E-2</v>
      </c>
      <c r="AH62" s="4">
        <f>ABS(SpecPool!AH62-Symphony!AH62)</f>
        <v>4.4822325955401254E-2</v>
      </c>
      <c r="AI62" s="4">
        <f>ABS(SpecPool!AI62-Symphony!AI62)</f>
        <v>1.7562729345099726E-3</v>
      </c>
      <c r="AJ62" s="4">
        <f>ABS(SpecPool!AJ62-Symphony!AJ62)</f>
        <v>1.1512534156096876E-2</v>
      </c>
      <c r="AK62" s="4">
        <f>ABS(SpecPool!AK62-Symphony!AK62)</f>
        <v>1.9792084539744792E-3</v>
      </c>
    </row>
    <row r="63" spans="1:37" x14ac:dyDescent="0.25">
      <c r="A63">
        <f>ABS(SpecPool!A63-Symphony!A63)</f>
        <v>0</v>
      </c>
      <c r="B63" t="e">
        <f>ABS(SpecPool!B63-Symphony!B63)</f>
        <v>#VALUE!</v>
      </c>
      <c r="C63">
        <v>20170201</v>
      </c>
      <c r="D63" s="3">
        <f>ABS(SpecPool!D63-Symphony!D63)</f>
        <v>20127434</v>
      </c>
      <c r="E63" t="e">
        <f>ABS(SpecPool!E63-Symphony!E63)</f>
        <v>#VALUE!</v>
      </c>
      <c r="F63" s="8">
        <f>ABS(SpecPool!F63-Symphony!F63)</f>
        <v>221.81392996499198</v>
      </c>
      <c r="G63" s="7"/>
      <c r="H63" s="5">
        <f>ABS(SpecPool!H63-Symphony!H63)</f>
        <v>2.7245998550370132E-2</v>
      </c>
      <c r="I63" s="5">
        <f>ABS(SpecPool!I63-Symphony!I63)</f>
        <v>6.373636515299097E-3</v>
      </c>
      <c r="K63" s="5">
        <f>ABS(SpecPool!K63-Symphony!K63)</f>
        <v>6.8791642245003004E-3</v>
      </c>
      <c r="L63" s="5" t="e">
        <f>ABS(SpecPool!L63-Symphony!L63)</f>
        <v>#VALUE!</v>
      </c>
      <c r="M63" s="5">
        <f>ABS(SpecPool!M63-Symphony!M63)</f>
        <v>5.5188645132999703E-3</v>
      </c>
      <c r="N63" s="5">
        <f>ABS(SpecPool!N63-Symphony!N63)</f>
        <v>1.1842395947390116E-2</v>
      </c>
      <c r="O63" s="5" t="e">
        <f>ABS(SpecPool!O63-Symphony!O63)</f>
        <v>#VALUE!</v>
      </c>
      <c r="P63" s="5">
        <f>ABS(SpecPool!P63-Symphony!P63)</f>
        <v>0.307609546744402</v>
      </c>
      <c r="Q63" s="5">
        <f>ABS(SpecPool!Q63-Symphony!Q63)</f>
        <v>7.2434602988600716E-2</v>
      </c>
      <c r="R63" s="5">
        <f>ABS(SpecPool!R63-Symphony!R63)</f>
        <v>0</v>
      </c>
      <c r="S63" s="5" t="e">
        <f>ABS(SpecPool!S63-Symphony!S63)</f>
        <v>#VALUE!</v>
      </c>
      <c r="T63" s="5">
        <f>ABS(SpecPool!T63-Symphony!T63)</f>
        <v>4.960122032109382E-4</v>
      </c>
      <c r="U63" s="5">
        <f>ABS(SpecPool!U63-Symphony!U63)</f>
        <v>0.35166698084560721</v>
      </c>
      <c r="V63" s="5" t="e">
        <f>ABS(SpecPool!V63-Symphony!V63)</f>
        <v>#VALUE!</v>
      </c>
      <c r="W63" s="5">
        <f>ABS(SpecPool!W63-Symphony!W63)</f>
        <v>0.43764216327519989</v>
      </c>
      <c r="X63" s="5">
        <f>ABS(SpecPool!X63-Symphony!X63)</f>
        <v>5.6375998756976742E-3</v>
      </c>
      <c r="Y63" s="5">
        <f>ABS(SpecPool!Y63-Symphony!Y63)</f>
        <v>0.39652420376310715</v>
      </c>
      <c r="Z63" s="5" t="e">
        <f>ABS(SpecPool!Z63-Symphony!Z63)</f>
        <v>#VALUE!</v>
      </c>
      <c r="AB63" s="4">
        <f>ABS(SpecPool!AB63-Symphony!AB63)</f>
        <v>1.4088687278960066E-2</v>
      </c>
      <c r="AC63" s="4">
        <f>ABS(SpecPool!AC63-Symphony!AC63)</f>
        <v>8.0285403183800952E-2</v>
      </c>
      <c r="AD63" s="4">
        <f>ABS(SpecPool!AD63-Symphony!AD63)</f>
        <v>0.11433419780320264</v>
      </c>
      <c r="AE63" s="6"/>
      <c r="AF63" s="4">
        <f>ABS(SpecPool!AF63-Symphony!AF63)</f>
        <v>2.0965351950508193E-5</v>
      </c>
      <c r="AG63" s="4">
        <f>ABS(SpecPool!AG63-Symphony!AG63)</f>
        <v>6.6568497451498843E-2</v>
      </c>
      <c r="AH63" s="4">
        <f>ABS(SpecPool!AH63-Symphony!AH63)</f>
        <v>3.5314445661100535E-2</v>
      </c>
      <c r="AI63" s="4">
        <f>ABS(SpecPool!AI63-Symphony!AI63)</f>
        <v>1.6952012255293525E-3</v>
      </c>
      <c r="AJ63" s="4">
        <f>ABS(SpecPool!AJ63-Symphony!AJ63)</f>
        <v>9.4424756514968067E-3</v>
      </c>
      <c r="AK63" s="4">
        <f>ABS(SpecPool!AK63-Symphony!AK63)</f>
        <v>2.2571054823970371E-2</v>
      </c>
    </row>
    <row r="64" spans="1:37" x14ac:dyDescent="0.25">
      <c r="A64">
        <f>ABS(SpecPool!A64-Symphony!A64)</f>
        <v>0</v>
      </c>
      <c r="B64" t="e">
        <f>ABS(SpecPool!B64-Symphony!B64)</f>
        <v>#VALUE!</v>
      </c>
      <c r="C64">
        <v>20170301</v>
      </c>
      <c r="D64" s="3">
        <f>ABS(SpecPool!D64-Symphony!D64)</f>
        <v>20127506</v>
      </c>
      <c r="E64" t="e">
        <f>ABS(SpecPool!E64-Symphony!E64)</f>
        <v>#VALUE!</v>
      </c>
      <c r="F64" s="8">
        <f>ABS(SpecPool!F64-Symphony!F64)</f>
        <v>5.2541820041369647E-3</v>
      </c>
      <c r="G64" s="7"/>
      <c r="H64" s="5">
        <f>ABS(SpecPool!H64-Symphony!H64)</f>
        <v>8.9939722997769422E-3</v>
      </c>
      <c r="I64" s="5">
        <f>ABS(SpecPool!I64-Symphony!I64)</f>
        <v>6.3997631249890219E-4</v>
      </c>
      <c r="K64" s="5">
        <f>ABS(SpecPool!K64-Symphony!K64)</f>
        <v>4.30646184549488E-3</v>
      </c>
      <c r="L64" s="5" t="e">
        <f>ABS(SpecPool!L64-Symphony!L64)</f>
        <v>#VALUE!</v>
      </c>
      <c r="M64" s="5">
        <f>ABS(SpecPool!M64-Symphony!M64)</f>
        <v>5.3526764124814941E-3</v>
      </c>
      <c r="N64" s="5">
        <f>ABS(SpecPool!N64-Symphony!N64)</f>
        <v>2.7734762043201133E-3</v>
      </c>
      <c r="O64" s="5" t="e">
        <f>ABS(SpecPool!O64-Symphony!O64)</f>
        <v>#VALUE!</v>
      </c>
      <c r="P64" s="5">
        <f>ABS(SpecPool!P64-Symphony!P64)</f>
        <v>4.2800427308975486E-3</v>
      </c>
      <c r="Q64" s="5">
        <f>ABS(SpecPool!Q64-Symphony!Q64)</f>
        <v>7.0574876987983259E-3</v>
      </c>
      <c r="R64" s="5">
        <f>ABS(SpecPool!R64-Symphony!R64)</f>
        <v>0</v>
      </c>
      <c r="S64" s="5" t="e">
        <f>ABS(SpecPool!S64-Symphony!S64)</f>
        <v>#VALUE!</v>
      </c>
      <c r="T64" s="5">
        <f>ABS(SpecPool!T64-Symphony!T64)</f>
        <v>8.7360847100015349E-3</v>
      </c>
      <c r="U64" s="5">
        <f>ABS(SpecPool!U64-Symphony!U64)</f>
        <v>5.6143375289252617E-4</v>
      </c>
      <c r="V64" s="5" t="e">
        <f>ABS(SpecPool!V64-Symphony!V64)</f>
        <v>#VALUE!</v>
      </c>
      <c r="W64" s="5">
        <f>ABS(SpecPool!W64-Symphony!W64)</f>
        <v>1.5471189029057086E-3</v>
      </c>
      <c r="X64" s="5">
        <f>ABS(SpecPool!X64-Symphony!X64)</f>
        <v>2.9607341594015679E-3</v>
      </c>
      <c r="Y64" s="5">
        <f>ABS(SpecPool!Y64-Symphony!Y64)</f>
        <v>9.4463395295036889E-3</v>
      </c>
      <c r="Z64" s="5" t="e">
        <f>ABS(SpecPool!Z64-Symphony!Z64)</f>
        <v>#VALUE!</v>
      </c>
      <c r="AB64" s="4">
        <f>ABS(SpecPool!AB64-Symphony!AB64)</f>
        <v>9.1686741075003297E-4</v>
      </c>
      <c r="AC64" s="4">
        <f>ABS(SpecPool!AC64-Symphony!AC64)</f>
        <v>7.1234526348007421E-3</v>
      </c>
      <c r="AD64" s="4">
        <f>ABS(SpecPool!AD64-Symphony!AD64)</f>
        <v>1.6998625073938456E-3</v>
      </c>
      <c r="AE64" s="6"/>
      <c r="AF64" s="4">
        <f>ABS(SpecPool!AF64-Symphony!AF64)</f>
        <v>2.9035083399548967E-3</v>
      </c>
      <c r="AG64" s="4">
        <f>ABS(SpecPool!AG64-Symphony!AG64)</f>
        <v>4.7467637461977574E-3</v>
      </c>
      <c r="AH64" s="4">
        <f>ABS(SpecPool!AH64-Symphony!AH64)</f>
        <v>5.9850456949561703E-4</v>
      </c>
      <c r="AI64" s="4">
        <f>ABS(SpecPool!AI64-Symphony!AI64)</f>
        <v>1.0261040665300314E-3</v>
      </c>
      <c r="AJ64" s="4">
        <f>ABS(SpecPool!AJ64-Symphony!AJ64)</f>
        <v>1.2974389506936745E-3</v>
      </c>
      <c r="AK64" s="4">
        <f>ABS(SpecPool!AK64-Symphony!AK64)</f>
        <v>8.1625735460306714E-3</v>
      </c>
    </row>
  </sheetData>
  <conditionalFormatting sqref="A1:XFD1048576">
    <cfRule type="containsErrors" dxfId="1" priority="1">
      <formula>ISERROR(A1)</formula>
    </cfRule>
    <cfRule type="cellIs" dxfId="0" priority="2" operator="lessThan">
      <formula>0.1</formula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4"/>
  <sheetViews>
    <sheetView workbookViewId="0">
      <selection activeCell="V2" sqref="V2"/>
    </sheetView>
  </sheetViews>
  <sheetFormatPr defaultRowHeight="15" x14ac:dyDescent="0.25"/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25">
      <c r="A2">
        <v>0</v>
      </c>
      <c r="B2" t="s">
        <v>37</v>
      </c>
      <c r="C2">
        <v>20120101</v>
      </c>
      <c r="D2">
        <v>20120101</v>
      </c>
      <c r="E2" t="s">
        <v>38</v>
      </c>
      <c r="F2">
        <v>210431.38</v>
      </c>
      <c r="G2">
        <v>210593.65</v>
      </c>
      <c r="H2">
        <v>20.21</v>
      </c>
      <c r="I2">
        <v>0</v>
      </c>
      <c r="J2">
        <v>2135247244</v>
      </c>
      <c r="K2">
        <v>101.61</v>
      </c>
      <c r="L2" t="s">
        <v>39</v>
      </c>
      <c r="M2">
        <v>34.270000000000003</v>
      </c>
      <c r="N2">
        <v>0</v>
      </c>
      <c r="O2" t="s">
        <v>39</v>
      </c>
      <c r="P2">
        <v>59.07</v>
      </c>
      <c r="Q2">
        <v>5.77</v>
      </c>
      <c r="R2">
        <v>20120101</v>
      </c>
      <c r="S2" t="s">
        <v>39</v>
      </c>
      <c r="T2">
        <v>7.08</v>
      </c>
      <c r="U2">
        <v>90.92</v>
      </c>
      <c r="V2" t="s">
        <v>40</v>
      </c>
      <c r="W2">
        <v>92.55</v>
      </c>
      <c r="X2">
        <v>15.95</v>
      </c>
      <c r="Y2">
        <v>89.6</v>
      </c>
      <c r="Z2" t="s">
        <v>41</v>
      </c>
      <c r="AA2">
        <v>145480297.09999999</v>
      </c>
      <c r="AB2">
        <v>3.3</v>
      </c>
      <c r="AC2">
        <v>26.99</v>
      </c>
      <c r="AD2">
        <v>76.209999999999994</v>
      </c>
      <c r="AE2">
        <v>32.72</v>
      </c>
      <c r="AF2">
        <v>754.39</v>
      </c>
      <c r="AG2">
        <v>76.22</v>
      </c>
      <c r="AH2">
        <v>27.2</v>
      </c>
      <c r="AI2">
        <v>4.46</v>
      </c>
      <c r="AJ2">
        <v>0</v>
      </c>
      <c r="AK2">
        <v>355.58</v>
      </c>
    </row>
    <row r="3" spans="1:37" x14ac:dyDescent="0.25">
      <c r="A3">
        <v>0</v>
      </c>
      <c r="B3" t="s">
        <v>37</v>
      </c>
      <c r="C3">
        <v>20120201</v>
      </c>
      <c r="D3">
        <v>20120201</v>
      </c>
      <c r="E3" t="s">
        <v>38</v>
      </c>
      <c r="F3">
        <v>215095.3</v>
      </c>
      <c r="G3">
        <v>215438.53</v>
      </c>
      <c r="H3">
        <v>25.92</v>
      </c>
      <c r="I3">
        <v>0.97</v>
      </c>
      <c r="J3">
        <v>7100080921</v>
      </c>
      <c r="K3">
        <v>118.44</v>
      </c>
      <c r="L3" t="s">
        <v>39</v>
      </c>
      <c r="M3">
        <v>34.4</v>
      </c>
      <c r="N3">
        <v>0</v>
      </c>
      <c r="O3" t="s">
        <v>39</v>
      </c>
      <c r="P3">
        <v>44.63</v>
      </c>
      <c r="Q3">
        <v>9.7200000000000006</v>
      </c>
      <c r="R3">
        <v>20120101</v>
      </c>
      <c r="S3" t="s">
        <v>39</v>
      </c>
      <c r="T3">
        <v>9.25</v>
      </c>
      <c r="U3">
        <v>86.79</v>
      </c>
      <c r="V3" t="s">
        <v>40</v>
      </c>
      <c r="W3">
        <v>91.58</v>
      </c>
      <c r="X3">
        <v>18.489999999999998</v>
      </c>
      <c r="Y3">
        <v>84.78</v>
      </c>
      <c r="Z3" t="s">
        <v>41</v>
      </c>
      <c r="AA3">
        <v>2141137085</v>
      </c>
      <c r="AB3">
        <v>3.47</v>
      </c>
      <c r="AC3">
        <v>40.04</v>
      </c>
      <c r="AD3">
        <v>76.39</v>
      </c>
      <c r="AE3">
        <v>33.35</v>
      </c>
      <c r="AF3">
        <v>750.64</v>
      </c>
      <c r="AG3">
        <v>76.28</v>
      </c>
      <c r="AH3">
        <v>27.87</v>
      </c>
      <c r="AI3">
        <v>4.46</v>
      </c>
      <c r="AJ3">
        <v>0.77</v>
      </c>
      <c r="AK3">
        <v>356.26</v>
      </c>
    </row>
    <row r="4" spans="1:37" x14ac:dyDescent="0.25">
      <c r="A4">
        <v>0</v>
      </c>
      <c r="B4" t="s">
        <v>37</v>
      </c>
      <c r="C4">
        <v>20120301</v>
      </c>
      <c r="D4">
        <v>20120301</v>
      </c>
      <c r="E4" t="s">
        <v>38</v>
      </c>
      <c r="F4">
        <v>205837.34</v>
      </c>
      <c r="G4">
        <v>206323.25</v>
      </c>
      <c r="H4">
        <v>35.020000000000003</v>
      </c>
      <c r="I4">
        <v>1.47</v>
      </c>
      <c r="J4">
        <v>10751913557</v>
      </c>
      <c r="K4">
        <v>139.22999999999999</v>
      </c>
      <c r="L4" t="s">
        <v>39</v>
      </c>
      <c r="M4">
        <v>42.12</v>
      </c>
      <c r="N4">
        <v>0.01</v>
      </c>
      <c r="O4" t="s">
        <v>39</v>
      </c>
      <c r="P4">
        <v>53.6</v>
      </c>
      <c r="Q4">
        <v>10.4</v>
      </c>
      <c r="R4">
        <v>20120101</v>
      </c>
      <c r="S4" t="s">
        <v>39</v>
      </c>
      <c r="T4">
        <v>9.8699999999999992</v>
      </c>
      <c r="U4">
        <v>86.28</v>
      </c>
      <c r="V4" t="s">
        <v>40</v>
      </c>
      <c r="W4">
        <v>87.92</v>
      </c>
      <c r="X4">
        <v>15.45</v>
      </c>
      <c r="Y4">
        <v>87.31</v>
      </c>
      <c r="Z4" t="s">
        <v>41</v>
      </c>
      <c r="AA4">
        <v>7090568994</v>
      </c>
      <c r="AB4">
        <v>3.3</v>
      </c>
      <c r="AC4">
        <v>34.049999999999997</v>
      </c>
      <c r="AD4">
        <v>78.040000000000006</v>
      </c>
      <c r="AE4">
        <v>33.54</v>
      </c>
      <c r="AF4">
        <v>746.86</v>
      </c>
      <c r="AG4">
        <v>78.03</v>
      </c>
      <c r="AH4">
        <v>30.78</v>
      </c>
      <c r="AI4">
        <v>4.47</v>
      </c>
      <c r="AJ4">
        <v>1.25</v>
      </c>
      <c r="AK4">
        <v>355.12</v>
      </c>
    </row>
    <row r="5" spans="1:37" x14ac:dyDescent="0.25">
      <c r="A5">
        <v>0</v>
      </c>
      <c r="B5" t="s">
        <v>37</v>
      </c>
      <c r="C5">
        <v>20120401</v>
      </c>
      <c r="D5">
        <v>20120401</v>
      </c>
      <c r="E5" t="s">
        <v>38</v>
      </c>
      <c r="F5">
        <v>204240.81</v>
      </c>
      <c r="G5">
        <v>204972.25</v>
      </c>
      <c r="H5">
        <v>45.81</v>
      </c>
      <c r="I5">
        <v>1.75</v>
      </c>
      <c r="J5">
        <v>12420905073</v>
      </c>
      <c r="K5">
        <v>140.81</v>
      </c>
      <c r="L5" t="s">
        <v>39</v>
      </c>
      <c r="M5">
        <v>40.950000000000003</v>
      </c>
      <c r="N5">
        <v>0.17</v>
      </c>
      <c r="O5" t="s">
        <v>39</v>
      </c>
      <c r="P5">
        <v>56.24</v>
      </c>
      <c r="Q5">
        <v>11.04</v>
      </c>
      <c r="R5">
        <v>20120101</v>
      </c>
      <c r="S5" t="s">
        <v>39</v>
      </c>
      <c r="T5">
        <v>9.9600000000000009</v>
      </c>
      <c r="U5">
        <v>85.66</v>
      </c>
      <c r="V5" t="s">
        <v>40</v>
      </c>
      <c r="W5">
        <v>88.35</v>
      </c>
      <c r="X5">
        <v>9.92</v>
      </c>
      <c r="Y5">
        <v>87.92</v>
      </c>
      <c r="Z5" t="s">
        <v>41</v>
      </c>
      <c r="AA5">
        <v>10742873770</v>
      </c>
      <c r="AB5">
        <v>3.28</v>
      </c>
      <c r="AC5">
        <v>31.87</v>
      </c>
      <c r="AD5">
        <v>77.67</v>
      </c>
      <c r="AE5">
        <v>33.700000000000003</v>
      </c>
      <c r="AF5">
        <v>745.24</v>
      </c>
      <c r="AG5">
        <v>78.73</v>
      </c>
      <c r="AH5">
        <v>32.22</v>
      </c>
      <c r="AI5">
        <v>4.47</v>
      </c>
      <c r="AJ5">
        <v>1.95</v>
      </c>
      <c r="AK5">
        <v>354.47</v>
      </c>
    </row>
    <row r="6" spans="1:37" x14ac:dyDescent="0.25">
      <c r="A6">
        <v>0</v>
      </c>
      <c r="B6" t="s">
        <v>37</v>
      </c>
      <c r="C6">
        <v>20120501</v>
      </c>
      <c r="D6">
        <v>20120501</v>
      </c>
      <c r="E6" t="s">
        <v>38</v>
      </c>
      <c r="F6">
        <v>194665.12</v>
      </c>
      <c r="G6">
        <v>195549.69</v>
      </c>
      <c r="H6">
        <v>56.93</v>
      </c>
      <c r="I6">
        <v>2.92</v>
      </c>
      <c r="J6">
        <v>15204124825</v>
      </c>
      <c r="K6">
        <v>142.69999999999999</v>
      </c>
      <c r="L6" t="s">
        <v>39</v>
      </c>
      <c r="M6">
        <v>40.71</v>
      </c>
      <c r="N6">
        <v>0.21</v>
      </c>
      <c r="O6" t="s">
        <v>39</v>
      </c>
      <c r="P6">
        <v>59.15</v>
      </c>
      <c r="Q6">
        <v>11.72</v>
      </c>
      <c r="R6">
        <v>20120101</v>
      </c>
      <c r="S6" t="s">
        <v>39</v>
      </c>
      <c r="T6">
        <v>9.74</v>
      </c>
      <c r="U6">
        <v>85.05</v>
      </c>
      <c r="V6" t="s">
        <v>40</v>
      </c>
      <c r="W6">
        <v>88.83</v>
      </c>
      <c r="X6">
        <v>13.51</v>
      </c>
      <c r="Y6">
        <v>88.07</v>
      </c>
      <c r="Z6" t="s">
        <v>41</v>
      </c>
      <c r="AA6">
        <v>12404155574</v>
      </c>
      <c r="AB6">
        <v>3.21</v>
      </c>
      <c r="AC6">
        <v>28.45</v>
      </c>
      <c r="AD6">
        <v>77.53</v>
      </c>
      <c r="AE6">
        <v>33.69</v>
      </c>
      <c r="AF6">
        <v>744.17</v>
      </c>
      <c r="AG6">
        <v>79.37</v>
      </c>
      <c r="AH6">
        <v>32.729999999999997</v>
      </c>
      <c r="AI6">
        <v>4.4800000000000004</v>
      </c>
      <c r="AJ6">
        <v>2.5</v>
      </c>
      <c r="AK6">
        <v>353.37</v>
      </c>
    </row>
    <row r="7" spans="1:37" x14ac:dyDescent="0.25">
      <c r="A7">
        <v>0</v>
      </c>
      <c r="B7" t="s">
        <v>37</v>
      </c>
      <c r="C7">
        <v>20120601</v>
      </c>
      <c r="D7">
        <v>20120601</v>
      </c>
      <c r="E7" t="s">
        <v>38</v>
      </c>
      <c r="F7">
        <v>222627.48</v>
      </c>
      <c r="G7">
        <v>223735.84</v>
      </c>
      <c r="H7">
        <v>45.35</v>
      </c>
      <c r="I7">
        <v>4.2300000000000004</v>
      </c>
      <c r="J7">
        <v>39843417992</v>
      </c>
      <c r="K7">
        <v>148.84</v>
      </c>
      <c r="L7" t="s">
        <v>39</v>
      </c>
      <c r="M7">
        <v>33.979999999999997</v>
      </c>
      <c r="N7">
        <v>0.11</v>
      </c>
      <c r="O7" t="s">
        <v>39</v>
      </c>
      <c r="P7">
        <v>40.03</v>
      </c>
      <c r="Q7">
        <v>7.79</v>
      </c>
      <c r="R7">
        <v>20120101</v>
      </c>
      <c r="S7" t="s">
        <v>39</v>
      </c>
      <c r="T7">
        <v>12.82</v>
      </c>
      <c r="U7">
        <v>90.73</v>
      </c>
      <c r="V7" t="s">
        <v>40</v>
      </c>
      <c r="W7">
        <v>93.13</v>
      </c>
      <c r="X7">
        <v>23.43</v>
      </c>
      <c r="Y7">
        <v>76.86</v>
      </c>
      <c r="Z7" t="s">
        <v>41</v>
      </c>
      <c r="AA7">
        <v>15181173582</v>
      </c>
      <c r="AB7">
        <v>1.46</v>
      </c>
      <c r="AC7">
        <v>25.58</v>
      </c>
      <c r="AD7">
        <v>78.42</v>
      </c>
      <c r="AE7">
        <v>34.78</v>
      </c>
      <c r="AF7">
        <v>725.55</v>
      </c>
      <c r="AG7">
        <v>79.599999999999994</v>
      </c>
      <c r="AH7">
        <v>31.93</v>
      </c>
      <c r="AI7">
        <v>4.45</v>
      </c>
      <c r="AJ7">
        <v>2.8</v>
      </c>
      <c r="AK7">
        <v>354.18</v>
      </c>
    </row>
    <row r="8" spans="1:37" x14ac:dyDescent="0.25">
      <c r="A8">
        <v>0</v>
      </c>
      <c r="B8" t="s">
        <v>37</v>
      </c>
      <c r="C8">
        <v>20120701</v>
      </c>
      <c r="D8">
        <v>20120701</v>
      </c>
      <c r="E8" t="s">
        <v>38</v>
      </c>
      <c r="F8">
        <v>188931.72</v>
      </c>
      <c r="G8">
        <v>190186.14</v>
      </c>
      <c r="H8">
        <v>100.99</v>
      </c>
      <c r="I8">
        <v>5.69</v>
      </c>
      <c r="J8">
        <v>20038854977</v>
      </c>
      <c r="K8">
        <v>151.61000000000001</v>
      </c>
      <c r="L8" t="s">
        <v>39</v>
      </c>
      <c r="M8">
        <v>42.04</v>
      </c>
      <c r="N8">
        <v>0.27</v>
      </c>
      <c r="O8" t="s">
        <v>39</v>
      </c>
      <c r="P8">
        <v>61.31</v>
      </c>
      <c r="Q8">
        <v>13.23</v>
      </c>
      <c r="R8">
        <v>20120101</v>
      </c>
      <c r="S8" t="s">
        <v>39</v>
      </c>
      <c r="T8">
        <v>10.46</v>
      </c>
      <c r="U8">
        <v>83.6</v>
      </c>
      <c r="V8" t="s">
        <v>40</v>
      </c>
      <c r="W8">
        <v>88.43</v>
      </c>
      <c r="X8">
        <v>36.44</v>
      </c>
      <c r="Y8">
        <v>87.06</v>
      </c>
      <c r="Z8" t="s">
        <v>41</v>
      </c>
      <c r="AA8">
        <v>18336867012</v>
      </c>
      <c r="AB8">
        <v>3.15</v>
      </c>
      <c r="AC8">
        <v>26.39</v>
      </c>
      <c r="AD8">
        <v>77.599999999999994</v>
      </c>
      <c r="AE8">
        <v>34.04</v>
      </c>
      <c r="AF8">
        <v>740.75</v>
      </c>
      <c r="AG8">
        <v>80.569999999999993</v>
      </c>
      <c r="AH8">
        <v>34.78</v>
      </c>
      <c r="AI8">
        <v>4.4800000000000004</v>
      </c>
      <c r="AJ8">
        <v>3.71</v>
      </c>
      <c r="AK8">
        <v>351.86</v>
      </c>
    </row>
    <row r="9" spans="1:37" x14ac:dyDescent="0.25">
      <c r="A9">
        <v>0</v>
      </c>
      <c r="B9" t="s">
        <v>37</v>
      </c>
      <c r="C9">
        <v>20120801</v>
      </c>
      <c r="D9">
        <v>20120801</v>
      </c>
      <c r="E9" t="s">
        <v>38</v>
      </c>
      <c r="F9">
        <v>185819.55</v>
      </c>
      <c r="G9">
        <v>187252.71</v>
      </c>
      <c r="H9">
        <v>135.38999999999999</v>
      </c>
      <c r="I9">
        <v>8.19</v>
      </c>
      <c r="J9">
        <v>21550422763</v>
      </c>
      <c r="K9">
        <v>155.80000000000001</v>
      </c>
      <c r="L9" t="s">
        <v>39</v>
      </c>
      <c r="M9">
        <v>42.84</v>
      </c>
      <c r="N9">
        <v>0.39</v>
      </c>
      <c r="O9" t="s">
        <v>39</v>
      </c>
      <c r="P9">
        <v>63.26</v>
      </c>
      <c r="Q9">
        <v>13.63</v>
      </c>
      <c r="R9">
        <v>20120101</v>
      </c>
      <c r="S9" t="s">
        <v>39</v>
      </c>
      <c r="T9">
        <v>10.5</v>
      </c>
      <c r="U9">
        <v>83.18</v>
      </c>
      <c r="V9" t="s">
        <v>40</v>
      </c>
      <c r="W9">
        <v>87.97</v>
      </c>
      <c r="X9">
        <v>47.4</v>
      </c>
      <c r="Y9">
        <v>87.51</v>
      </c>
      <c r="Z9" t="s">
        <v>41</v>
      </c>
      <c r="AA9">
        <v>20011324622</v>
      </c>
      <c r="AB9">
        <v>3.17</v>
      </c>
      <c r="AC9">
        <v>24.84</v>
      </c>
      <c r="AD9">
        <v>77.69</v>
      </c>
      <c r="AE9">
        <v>34.15</v>
      </c>
      <c r="AF9">
        <v>739.6</v>
      </c>
      <c r="AG9">
        <v>80.88</v>
      </c>
      <c r="AH9">
        <v>36.49</v>
      </c>
      <c r="AI9">
        <v>4.4800000000000004</v>
      </c>
      <c r="AJ9">
        <v>4.3600000000000003</v>
      </c>
      <c r="AK9">
        <v>350.99</v>
      </c>
    </row>
    <row r="10" spans="1:37" x14ac:dyDescent="0.25">
      <c r="A10">
        <v>0</v>
      </c>
      <c r="B10" t="s">
        <v>37</v>
      </c>
      <c r="C10">
        <v>20120901</v>
      </c>
      <c r="D10">
        <v>20120901</v>
      </c>
      <c r="E10" t="s">
        <v>38</v>
      </c>
      <c r="F10">
        <v>184148.6</v>
      </c>
      <c r="G10">
        <v>185816.68</v>
      </c>
      <c r="H10">
        <v>169.16</v>
      </c>
      <c r="I10">
        <v>9.64</v>
      </c>
      <c r="J10">
        <v>22264855253</v>
      </c>
      <c r="K10">
        <v>157.76</v>
      </c>
      <c r="L10" t="s">
        <v>39</v>
      </c>
      <c r="M10">
        <v>42.98</v>
      </c>
      <c r="N10">
        <v>0.41</v>
      </c>
      <c r="O10" t="s">
        <v>39</v>
      </c>
      <c r="P10">
        <v>64.81</v>
      </c>
      <c r="Q10">
        <v>13.99</v>
      </c>
      <c r="R10">
        <v>20120101</v>
      </c>
      <c r="S10" t="s">
        <v>39</v>
      </c>
      <c r="T10">
        <v>10.47</v>
      </c>
      <c r="U10">
        <v>82.83</v>
      </c>
      <c r="V10" t="s">
        <v>40</v>
      </c>
      <c r="W10">
        <v>87.88</v>
      </c>
      <c r="X10">
        <v>43.87</v>
      </c>
      <c r="Y10">
        <v>87.92</v>
      </c>
      <c r="Z10" t="s">
        <v>41</v>
      </c>
      <c r="AA10">
        <v>21498901798</v>
      </c>
      <c r="AB10">
        <v>3.16</v>
      </c>
      <c r="AC10">
        <v>23.77</v>
      </c>
      <c r="AD10">
        <v>77.72</v>
      </c>
      <c r="AE10">
        <v>34.24</v>
      </c>
      <c r="AF10">
        <v>738.82</v>
      </c>
      <c r="AG10">
        <v>81.239999999999995</v>
      </c>
      <c r="AH10">
        <v>37.82</v>
      </c>
      <c r="AI10">
        <v>4.4800000000000004</v>
      </c>
      <c r="AJ10">
        <v>5.13</v>
      </c>
      <c r="AK10">
        <v>349.84</v>
      </c>
    </row>
    <row r="11" spans="1:37" x14ac:dyDescent="0.25">
      <c r="A11">
        <v>0</v>
      </c>
      <c r="B11" t="s">
        <v>37</v>
      </c>
      <c r="C11">
        <v>20121001</v>
      </c>
      <c r="D11">
        <v>20121001</v>
      </c>
      <c r="E11" t="s">
        <v>38</v>
      </c>
      <c r="F11">
        <v>181862.16</v>
      </c>
      <c r="G11">
        <v>183756</v>
      </c>
      <c r="H11">
        <v>210.05</v>
      </c>
      <c r="I11">
        <v>9.08</v>
      </c>
      <c r="J11">
        <v>22837522962</v>
      </c>
      <c r="K11">
        <v>161.36000000000001</v>
      </c>
      <c r="L11" t="s">
        <v>39</v>
      </c>
      <c r="M11">
        <v>43.23</v>
      </c>
      <c r="N11">
        <v>0.42</v>
      </c>
      <c r="O11" t="s">
        <v>39</v>
      </c>
      <c r="P11">
        <v>65.64</v>
      </c>
      <c r="Q11">
        <v>14.68</v>
      </c>
      <c r="R11">
        <v>20120101</v>
      </c>
      <c r="S11" t="s">
        <v>39</v>
      </c>
      <c r="T11">
        <v>10.38</v>
      </c>
      <c r="U11">
        <v>82.16</v>
      </c>
      <c r="V11" t="s">
        <v>40</v>
      </c>
      <c r="W11">
        <v>87.48</v>
      </c>
      <c r="X11">
        <v>54.14</v>
      </c>
      <c r="Y11">
        <v>88.07</v>
      </c>
      <c r="Z11" t="s">
        <v>41</v>
      </c>
      <c r="AA11">
        <v>22233918934</v>
      </c>
      <c r="AB11">
        <v>3.14</v>
      </c>
      <c r="AC11">
        <v>23.07</v>
      </c>
      <c r="AD11">
        <v>77.72</v>
      </c>
      <c r="AE11">
        <v>34.299999999999997</v>
      </c>
      <c r="AF11">
        <v>738.15</v>
      </c>
      <c r="AG11">
        <v>81.36</v>
      </c>
      <c r="AH11">
        <v>39.17</v>
      </c>
      <c r="AI11">
        <v>4.49</v>
      </c>
      <c r="AJ11">
        <v>5.93</v>
      </c>
      <c r="AK11">
        <v>348.79</v>
      </c>
    </row>
    <row r="12" spans="1:37" x14ac:dyDescent="0.25">
      <c r="A12">
        <v>0</v>
      </c>
      <c r="B12" t="s">
        <v>37</v>
      </c>
      <c r="C12">
        <v>20121101</v>
      </c>
      <c r="D12">
        <v>20121101</v>
      </c>
      <c r="E12" t="s">
        <v>38</v>
      </c>
      <c r="F12">
        <v>178415.62</v>
      </c>
      <c r="G12">
        <v>180491.75</v>
      </c>
      <c r="H12">
        <v>254.18</v>
      </c>
      <c r="I12">
        <v>10.14</v>
      </c>
      <c r="J12">
        <v>23612238117</v>
      </c>
      <c r="K12">
        <v>165.58</v>
      </c>
      <c r="L12" t="s">
        <v>39</v>
      </c>
      <c r="M12">
        <v>43.56</v>
      </c>
      <c r="N12">
        <v>0.64</v>
      </c>
      <c r="O12" t="s">
        <v>39</v>
      </c>
      <c r="P12">
        <v>66.77</v>
      </c>
      <c r="Q12">
        <v>15.4</v>
      </c>
      <c r="R12">
        <v>20120101</v>
      </c>
      <c r="S12" t="s">
        <v>39</v>
      </c>
      <c r="T12">
        <v>10.41</v>
      </c>
      <c r="U12">
        <v>81.5</v>
      </c>
      <c r="V12" t="s">
        <v>40</v>
      </c>
      <c r="W12">
        <v>86.86</v>
      </c>
      <c r="X12">
        <v>63.49</v>
      </c>
      <c r="Y12">
        <v>88.39</v>
      </c>
      <c r="Z12" t="s">
        <v>41</v>
      </c>
      <c r="AA12">
        <v>22805611104</v>
      </c>
      <c r="AB12">
        <v>3.09</v>
      </c>
      <c r="AC12">
        <v>22.14</v>
      </c>
      <c r="AD12">
        <v>77.75</v>
      </c>
      <c r="AE12">
        <v>34.35</v>
      </c>
      <c r="AF12">
        <v>737.34</v>
      </c>
      <c r="AG12">
        <v>81.459999999999994</v>
      </c>
      <c r="AH12">
        <v>40.909999999999997</v>
      </c>
      <c r="AI12">
        <v>4.49</v>
      </c>
      <c r="AJ12">
        <v>6.65</v>
      </c>
      <c r="AK12">
        <v>347.71</v>
      </c>
    </row>
    <row r="13" spans="1:37" x14ac:dyDescent="0.25">
      <c r="A13">
        <v>0</v>
      </c>
      <c r="B13" t="s">
        <v>37</v>
      </c>
      <c r="C13">
        <v>20121201</v>
      </c>
      <c r="D13">
        <v>20121201</v>
      </c>
      <c r="E13" t="s">
        <v>38</v>
      </c>
      <c r="F13">
        <v>177387.36</v>
      </c>
      <c r="G13">
        <v>179724.33</v>
      </c>
      <c r="H13">
        <v>306.8</v>
      </c>
      <c r="I13">
        <v>10.32</v>
      </c>
      <c r="J13">
        <v>23599260473</v>
      </c>
      <c r="K13">
        <v>166.43</v>
      </c>
      <c r="L13" t="s">
        <v>39</v>
      </c>
      <c r="M13">
        <v>43.43</v>
      </c>
      <c r="N13">
        <v>0.56000000000000005</v>
      </c>
      <c r="O13" t="s">
        <v>39</v>
      </c>
      <c r="P13">
        <v>67.33</v>
      </c>
      <c r="Q13">
        <v>15.62</v>
      </c>
      <c r="R13">
        <v>20120101</v>
      </c>
      <c r="S13" t="s">
        <v>39</v>
      </c>
      <c r="T13">
        <v>10.46</v>
      </c>
      <c r="U13">
        <v>81.28</v>
      </c>
      <c r="V13" t="s">
        <v>40</v>
      </c>
      <c r="W13">
        <v>86.88</v>
      </c>
      <c r="X13">
        <v>66.569999999999993</v>
      </c>
      <c r="Y13">
        <v>88.5</v>
      </c>
      <c r="Z13" t="s">
        <v>41</v>
      </c>
      <c r="AA13">
        <v>23598408731</v>
      </c>
      <c r="AB13">
        <v>3.08</v>
      </c>
      <c r="AC13">
        <v>21.73</v>
      </c>
      <c r="AD13">
        <v>77.67</v>
      </c>
      <c r="AE13">
        <v>34.380000000000003</v>
      </c>
      <c r="AF13">
        <v>737.01</v>
      </c>
      <c r="AG13">
        <v>81.58</v>
      </c>
      <c r="AH13">
        <v>41.41</v>
      </c>
      <c r="AI13">
        <v>4.49</v>
      </c>
      <c r="AJ13">
        <v>7.56</v>
      </c>
      <c r="AK13">
        <v>346.66</v>
      </c>
    </row>
    <row r="14" spans="1:37" x14ac:dyDescent="0.25">
      <c r="A14">
        <v>0</v>
      </c>
      <c r="B14" t="s">
        <v>37</v>
      </c>
      <c r="C14">
        <v>20130101</v>
      </c>
      <c r="D14">
        <v>20130101</v>
      </c>
      <c r="E14" t="s">
        <v>38</v>
      </c>
      <c r="F14">
        <v>176034.07</v>
      </c>
      <c r="G14">
        <v>178604.59</v>
      </c>
      <c r="H14">
        <v>354.94</v>
      </c>
      <c r="I14">
        <v>11.51</v>
      </c>
      <c r="J14">
        <v>23914052796</v>
      </c>
      <c r="K14">
        <v>165.2</v>
      </c>
      <c r="L14" t="s">
        <v>39</v>
      </c>
      <c r="M14">
        <v>42.06</v>
      </c>
      <c r="N14">
        <v>0.67</v>
      </c>
      <c r="O14" t="s">
        <v>39</v>
      </c>
      <c r="P14">
        <v>67.180000000000007</v>
      </c>
      <c r="Q14">
        <v>16.170000000000002</v>
      </c>
      <c r="R14">
        <v>20120101</v>
      </c>
      <c r="S14" t="s">
        <v>39</v>
      </c>
      <c r="T14">
        <v>10.47</v>
      </c>
      <c r="U14">
        <v>80.760000000000005</v>
      </c>
      <c r="V14" t="s">
        <v>40</v>
      </c>
      <c r="W14">
        <v>87.49</v>
      </c>
      <c r="X14">
        <v>67.819999999999993</v>
      </c>
      <c r="Y14">
        <v>88.31</v>
      </c>
      <c r="Z14" t="s">
        <v>41</v>
      </c>
      <c r="AA14">
        <v>23556920350</v>
      </c>
      <c r="AB14">
        <v>3.06</v>
      </c>
      <c r="AC14">
        <v>21.48</v>
      </c>
      <c r="AD14">
        <v>77.28</v>
      </c>
      <c r="AE14">
        <v>34.39</v>
      </c>
      <c r="AF14">
        <v>736.72</v>
      </c>
      <c r="AG14">
        <v>81.59</v>
      </c>
      <c r="AH14">
        <v>42.25</v>
      </c>
      <c r="AI14">
        <v>4.49</v>
      </c>
      <c r="AJ14">
        <v>8.42</v>
      </c>
      <c r="AK14">
        <v>345.68</v>
      </c>
    </row>
    <row r="15" spans="1:37" x14ac:dyDescent="0.25">
      <c r="A15">
        <v>0</v>
      </c>
      <c r="B15" t="s">
        <v>37</v>
      </c>
      <c r="C15">
        <v>20130201</v>
      </c>
      <c r="D15">
        <v>20130201</v>
      </c>
      <c r="E15" t="s">
        <v>38</v>
      </c>
      <c r="F15">
        <v>175200.26</v>
      </c>
      <c r="G15">
        <v>178053.27</v>
      </c>
      <c r="H15">
        <v>405.38</v>
      </c>
      <c r="I15">
        <v>11.17</v>
      </c>
      <c r="J15">
        <v>23678140462</v>
      </c>
      <c r="K15">
        <v>162.66999999999999</v>
      </c>
      <c r="L15" t="s">
        <v>39</v>
      </c>
      <c r="M15">
        <v>40.799999999999997</v>
      </c>
      <c r="N15">
        <v>0.73</v>
      </c>
      <c r="O15" t="s">
        <v>39</v>
      </c>
      <c r="P15">
        <v>67.45</v>
      </c>
      <c r="Q15">
        <v>16.21</v>
      </c>
      <c r="R15">
        <v>20120101</v>
      </c>
      <c r="S15" t="s">
        <v>39</v>
      </c>
      <c r="T15">
        <v>10.48</v>
      </c>
      <c r="U15">
        <v>80.7</v>
      </c>
      <c r="V15" t="s">
        <v>40</v>
      </c>
      <c r="W15">
        <v>88.13</v>
      </c>
      <c r="X15">
        <v>61.93</v>
      </c>
      <c r="Y15">
        <v>88.32</v>
      </c>
      <c r="Z15" t="s">
        <v>41</v>
      </c>
      <c r="AA15">
        <v>23870721271</v>
      </c>
      <c r="AB15">
        <v>3.06</v>
      </c>
      <c r="AC15">
        <v>21.26</v>
      </c>
      <c r="AD15">
        <v>76.900000000000006</v>
      </c>
      <c r="AE15">
        <v>34.39</v>
      </c>
      <c r="AF15">
        <v>736.53</v>
      </c>
      <c r="AG15">
        <v>81.67</v>
      </c>
      <c r="AH15">
        <v>42.37</v>
      </c>
      <c r="AI15">
        <v>4.49</v>
      </c>
      <c r="AJ15">
        <v>9.4</v>
      </c>
      <c r="AK15">
        <v>344.54</v>
      </c>
    </row>
    <row r="16" spans="1:37" x14ac:dyDescent="0.25">
      <c r="A16">
        <v>0</v>
      </c>
      <c r="B16" t="s">
        <v>37</v>
      </c>
      <c r="C16">
        <v>20130301</v>
      </c>
      <c r="D16">
        <v>20130301</v>
      </c>
      <c r="E16" t="s">
        <v>38</v>
      </c>
      <c r="F16">
        <v>174529.79</v>
      </c>
      <c r="G16">
        <v>177668.81</v>
      </c>
      <c r="H16">
        <v>446.37</v>
      </c>
      <c r="I16">
        <v>9.82</v>
      </c>
      <c r="J16">
        <v>23458549490</v>
      </c>
      <c r="K16">
        <v>160.33000000000001</v>
      </c>
      <c r="L16" t="s">
        <v>39</v>
      </c>
      <c r="M16">
        <v>39.6</v>
      </c>
      <c r="N16">
        <v>0.74</v>
      </c>
      <c r="O16" t="s">
        <v>39</v>
      </c>
      <c r="P16">
        <v>67.73</v>
      </c>
      <c r="Q16">
        <v>16.23</v>
      </c>
      <c r="R16">
        <v>20120101</v>
      </c>
      <c r="S16" t="s">
        <v>39</v>
      </c>
      <c r="T16">
        <v>10.5</v>
      </c>
      <c r="U16">
        <v>80.680000000000007</v>
      </c>
      <c r="V16" t="s">
        <v>40</v>
      </c>
      <c r="W16">
        <v>88.75</v>
      </c>
      <c r="X16">
        <v>48.55</v>
      </c>
      <c r="Y16">
        <v>88.37</v>
      </c>
      <c r="Z16" t="s">
        <v>41</v>
      </c>
      <c r="AA16">
        <v>23644323123</v>
      </c>
      <c r="AB16">
        <v>3.07</v>
      </c>
      <c r="AC16">
        <v>21.07</v>
      </c>
      <c r="AD16">
        <v>76.48</v>
      </c>
      <c r="AE16">
        <v>34.409999999999997</v>
      </c>
      <c r="AF16">
        <v>736.42</v>
      </c>
      <c r="AG16">
        <v>81.709999999999994</v>
      </c>
      <c r="AH16">
        <v>42.49</v>
      </c>
      <c r="AI16">
        <v>4.49</v>
      </c>
      <c r="AJ16">
        <v>10.38</v>
      </c>
      <c r="AK16">
        <v>343.43</v>
      </c>
    </row>
    <row r="17" spans="1:37" x14ac:dyDescent="0.25">
      <c r="A17">
        <v>0</v>
      </c>
      <c r="B17" t="s">
        <v>37</v>
      </c>
      <c r="C17">
        <v>20130401</v>
      </c>
      <c r="D17">
        <v>20130401</v>
      </c>
      <c r="E17" t="s">
        <v>38</v>
      </c>
      <c r="F17">
        <v>173962.31</v>
      </c>
      <c r="G17">
        <v>177381.96</v>
      </c>
      <c r="H17">
        <v>489.5</v>
      </c>
      <c r="I17">
        <v>9.75</v>
      </c>
      <c r="J17">
        <v>23232318732</v>
      </c>
      <c r="K17">
        <v>151.06</v>
      </c>
      <c r="L17" t="s">
        <v>39</v>
      </c>
      <c r="M17">
        <v>35.020000000000003</v>
      </c>
      <c r="N17">
        <v>0.86</v>
      </c>
      <c r="O17" t="s">
        <v>39</v>
      </c>
      <c r="P17">
        <v>67.94</v>
      </c>
      <c r="Q17">
        <v>16.239999999999998</v>
      </c>
      <c r="R17">
        <v>20120101</v>
      </c>
      <c r="S17" t="s">
        <v>39</v>
      </c>
      <c r="T17">
        <v>10.5</v>
      </c>
      <c r="U17">
        <v>80.67</v>
      </c>
      <c r="V17" t="s">
        <v>40</v>
      </c>
      <c r="W17">
        <v>91.13</v>
      </c>
      <c r="X17">
        <v>49.72</v>
      </c>
      <c r="Y17">
        <v>88.42</v>
      </c>
      <c r="Z17" t="s">
        <v>41</v>
      </c>
      <c r="AA17">
        <v>23431953310</v>
      </c>
      <c r="AB17">
        <v>3.08</v>
      </c>
      <c r="AC17">
        <v>20.89</v>
      </c>
      <c r="AD17">
        <v>75.19</v>
      </c>
      <c r="AE17">
        <v>34.43</v>
      </c>
      <c r="AF17">
        <v>736.31</v>
      </c>
      <c r="AG17">
        <v>81.75</v>
      </c>
      <c r="AH17">
        <v>42.51</v>
      </c>
      <c r="AI17">
        <v>4.49</v>
      </c>
      <c r="AJ17">
        <v>11.37</v>
      </c>
      <c r="AK17">
        <v>342.29</v>
      </c>
    </row>
    <row r="18" spans="1:37" x14ac:dyDescent="0.25">
      <c r="A18">
        <v>0</v>
      </c>
      <c r="B18" t="s">
        <v>37</v>
      </c>
      <c r="C18">
        <v>20130501</v>
      </c>
      <c r="D18">
        <v>20130501</v>
      </c>
      <c r="E18" t="s">
        <v>38</v>
      </c>
      <c r="F18">
        <v>173805.76</v>
      </c>
      <c r="G18">
        <v>177515.29</v>
      </c>
      <c r="H18">
        <v>545.51</v>
      </c>
      <c r="I18">
        <v>10.7</v>
      </c>
      <c r="J18">
        <v>22792888487</v>
      </c>
      <c r="K18">
        <v>143.19999999999999</v>
      </c>
      <c r="L18" t="s">
        <v>39</v>
      </c>
      <c r="M18">
        <v>31.59</v>
      </c>
      <c r="N18">
        <v>0.78</v>
      </c>
      <c r="O18" t="s">
        <v>39</v>
      </c>
      <c r="P18">
        <v>67.92</v>
      </c>
      <c r="Q18">
        <v>16.36</v>
      </c>
      <c r="R18">
        <v>20120101</v>
      </c>
      <c r="S18" t="s">
        <v>39</v>
      </c>
      <c r="T18">
        <v>10.52</v>
      </c>
      <c r="U18">
        <v>80.55</v>
      </c>
      <c r="V18" t="s">
        <v>40</v>
      </c>
      <c r="W18">
        <v>93.08</v>
      </c>
      <c r="X18">
        <v>63.26</v>
      </c>
      <c r="Y18">
        <v>88.39</v>
      </c>
      <c r="Z18" t="s">
        <v>41</v>
      </c>
      <c r="AA18">
        <v>23008917239</v>
      </c>
      <c r="AB18">
        <v>3.08</v>
      </c>
      <c r="AC18">
        <v>20.87</v>
      </c>
      <c r="AD18">
        <v>73.959999999999994</v>
      </c>
      <c r="AE18">
        <v>34.5</v>
      </c>
      <c r="AF18">
        <v>736.14</v>
      </c>
      <c r="AG18">
        <v>81.8</v>
      </c>
      <c r="AH18">
        <v>42.57</v>
      </c>
      <c r="AI18">
        <v>4.49</v>
      </c>
      <c r="AJ18">
        <v>12.32</v>
      </c>
      <c r="AK18">
        <v>341.29</v>
      </c>
    </row>
    <row r="19" spans="1:37" x14ac:dyDescent="0.25">
      <c r="A19">
        <v>0</v>
      </c>
      <c r="B19" t="s">
        <v>37</v>
      </c>
      <c r="C19">
        <v>20130601</v>
      </c>
      <c r="D19">
        <v>20130601</v>
      </c>
      <c r="E19" t="s">
        <v>38</v>
      </c>
      <c r="F19">
        <v>173063.29</v>
      </c>
      <c r="G19">
        <v>177065.57</v>
      </c>
      <c r="H19">
        <v>597.79999999999995</v>
      </c>
      <c r="I19">
        <v>13.73</v>
      </c>
      <c r="J19">
        <v>22500824069</v>
      </c>
      <c r="K19">
        <v>135.99</v>
      </c>
      <c r="L19" t="s">
        <v>39</v>
      </c>
      <c r="M19">
        <v>27.66</v>
      </c>
      <c r="N19">
        <v>0.71</v>
      </c>
      <c r="O19" t="s">
        <v>39</v>
      </c>
      <c r="P19">
        <v>68.2</v>
      </c>
      <c r="Q19">
        <v>16.34</v>
      </c>
      <c r="R19">
        <v>20120101</v>
      </c>
      <c r="S19" t="s">
        <v>39</v>
      </c>
      <c r="T19">
        <v>10.51</v>
      </c>
      <c r="U19">
        <v>80.56</v>
      </c>
      <c r="V19" t="s">
        <v>40</v>
      </c>
      <c r="W19">
        <v>94.59</v>
      </c>
      <c r="X19">
        <v>59.2</v>
      </c>
      <c r="Y19">
        <v>88.44</v>
      </c>
      <c r="Z19" t="s">
        <v>41</v>
      </c>
      <c r="AA19">
        <v>22772881200</v>
      </c>
      <c r="AB19">
        <v>3.08</v>
      </c>
      <c r="AC19">
        <v>20.68</v>
      </c>
      <c r="AD19">
        <v>72.78</v>
      </c>
      <c r="AE19">
        <v>34.53</v>
      </c>
      <c r="AF19">
        <v>736.01</v>
      </c>
      <c r="AG19">
        <v>81.86</v>
      </c>
      <c r="AH19">
        <v>42.72</v>
      </c>
      <c r="AI19">
        <v>4.49</v>
      </c>
      <c r="AJ19">
        <v>13.31</v>
      </c>
      <c r="AK19">
        <v>340.14</v>
      </c>
    </row>
    <row r="20" spans="1:37" x14ac:dyDescent="0.25">
      <c r="A20">
        <v>0</v>
      </c>
      <c r="B20" t="s">
        <v>37</v>
      </c>
      <c r="C20">
        <v>20130701</v>
      </c>
      <c r="D20">
        <v>20130701</v>
      </c>
      <c r="E20" t="s">
        <v>38</v>
      </c>
      <c r="F20">
        <v>172382.58</v>
      </c>
      <c r="G20">
        <v>176677.62</v>
      </c>
      <c r="H20">
        <v>611.15</v>
      </c>
      <c r="I20">
        <v>12.66</v>
      </c>
      <c r="J20">
        <v>22215805199</v>
      </c>
      <c r="K20">
        <v>133.54</v>
      </c>
      <c r="L20" t="s">
        <v>39</v>
      </c>
      <c r="M20">
        <v>26.02</v>
      </c>
      <c r="N20">
        <v>0.69</v>
      </c>
      <c r="O20" t="s">
        <v>39</v>
      </c>
      <c r="P20">
        <v>68.42</v>
      </c>
      <c r="Q20">
        <v>16.36</v>
      </c>
      <c r="R20">
        <v>20120101</v>
      </c>
      <c r="S20" t="s">
        <v>39</v>
      </c>
      <c r="T20">
        <v>10.49</v>
      </c>
      <c r="U20">
        <v>80.53</v>
      </c>
      <c r="V20" t="s">
        <v>40</v>
      </c>
      <c r="W20">
        <v>95.12</v>
      </c>
      <c r="X20">
        <v>6.66</v>
      </c>
      <c r="Y20">
        <v>88.48</v>
      </c>
      <c r="Z20" t="s">
        <v>41</v>
      </c>
      <c r="AA20">
        <v>22467950034</v>
      </c>
      <c r="AB20">
        <v>3.09</v>
      </c>
      <c r="AC20">
        <v>20.52</v>
      </c>
      <c r="AD20">
        <v>72.209999999999994</v>
      </c>
      <c r="AE20">
        <v>34.549999999999997</v>
      </c>
      <c r="AF20">
        <v>735.86</v>
      </c>
      <c r="AG20">
        <v>81.900000000000006</v>
      </c>
      <c r="AH20">
        <v>42.78</v>
      </c>
      <c r="AI20">
        <v>4.49</v>
      </c>
      <c r="AJ20">
        <v>14.3</v>
      </c>
      <c r="AK20">
        <v>338.99</v>
      </c>
    </row>
    <row r="21" spans="1:37" x14ac:dyDescent="0.25">
      <c r="A21">
        <v>0</v>
      </c>
      <c r="B21" t="s">
        <v>37</v>
      </c>
      <c r="C21">
        <v>20130801</v>
      </c>
      <c r="D21">
        <v>20130801</v>
      </c>
      <c r="E21" t="s">
        <v>38</v>
      </c>
      <c r="F21">
        <v>171860.06</v>
      </c>
      <c r="G21">
        <v>176444.4</v>
      </c>
      <c r="H21">
        <v>611.92999999999995</v>
      </c>
      <c r="I21">
        <v>11.58</v>
      </c>
      <c r="J21">
        <v>21958044580</v>
      </c>
      <c r="K21">
        <v>131.22</v>
      </c>
      <c r="L21" t="s">
        <v>39</v>
      </c>
      <c r="M21">
        <v>25.52</v>
      </c>
      <c r="N21">
        <v>0.99</v>
      </c>
      <c r="O21" t="s">
        <v>39</v>
      </c>
      <c r="P21">
        <v>68.540000000000006</v>
      </c>
      <c r="Q21">
        <v>16.37</v>
      </c>
      <c r="R21">
        <v>20120101</v>
      </c>
      <c r="S21" t="s">
        <v>39</v>
      </c>
      <c r="T21">
        <v>10.49</v>
      </c>
      <c r="U21">
        <v>80.52</v>
      </c>
      <c r="V21" t="s">
        <v>40</v>
      </c>
      <c r="W21">
        <v>95.59</v>
      </c>
      <c r="X21">
        <v>-21.97</v>
      </c>
      <c r="Y21">
        <v>88.51</v>
      </c>
      <c r="Z21" t="s">
        <v>41</v>
      </c>
      <c r="AA21">
        <v>22183153525</v>
      </c>
      <c r="AB21">
        <v>3.09</v>
      </c>
      <c r="AC21">
        <v>20.45</v>
      </c>
      <c r="AD21">
        <v>71.66</v>
      </c>
      <c r="AE21">
        <v>34.56</v>
      </c>
      <c r="AF21">
        <v>735.76</v>
      </c>
      <c r="AG21">
        <v>81.95</v>
      </c>
      <c r="AH21">
        <v>42.82</v>
      </c>
      <c r="AI21">
        <v>4.49</v>
      </c>
      <c r="AJ21">
        <v>15.29</v>
      </c>
      <c r="AK21">
        <v>337.89</v>
      </c>
    </row>
    <row r="22" spans="1:37" x14ac:dyDescent="0.25">
      <c r="A22">
        <v>0</v>
      </c>
      <c r="B22" t="s">
        <v>37</v>
      </c>
      <c r="C22">
        <v>20130901</v>
      </c>
      <c r="D22">
        <v>20130901</v>
      </c>
      <c r="E22" t="s">
        <v>38</v>
      </c>
      <c r="F22">
        <v>170934.36</v>
      </c>
      <c r="G22">
        <v>175811.56</v>
      </c>
      <c r="H22">
        <v>611.29</v>
      </c>
      <c r="I22">
        <v>10.07</v>
      </c>
      <c r="J22">
        <v>21902845895</v>
      </c>
      <c r="K22">
        <v>128.30000000000001</v>
      </c>
      <c r="L22" t="s">
        <v>39</v>
      </c>
      <c r="M22">
        <v>23.91</v>
      </c>
      <c r="N22">
        <v>0.8</v>
      </c>
      <c r="O22" t="s">
        <v>39</v>
      </c>
      <c r="P22">
        <v>68.77</v>
      </c>
      <c r="Q22">
        <v>16.28</v>
      </c>
      <c r="R22">
        <v>20120101</v>
      </c>
      <c r="S22" t="s">
        <v>39</v>
      </c>
      <c r="T22">
        <v>10.48</v>
      </c>
      <c r="U22">
        <v>80.61</v>
      </c>
      <c r="V22" t="s">
        <v>40</v>
      </c>
      <c r="W22">
        <v>95.99</v>
      </c>
      <c r="X22">
        <v>-29.83</v>
      </c>
      <c r="Y22">
        <v>88.58</v>
      </c>
      <c r="Z22" t="s">
        <v>41</v>
      </c>
      <c r="AA22">
        <v>22077876249</v>
      </c>
      <c r="AB22">
        <v>3.09</v>
      </c>
      <c r="AC22">
        <v>20.32</v>
      </c>
      <c r="AD22">
        <v>71.09</v>
      </c>
      <c r="AE22">
        <v>34.479999999999997</v>
      </c>
      <c r="AF22">
        <v>735.75</v>
      </c>
      <c r="AG22">
        <v>81.97</v>
      </c>
      <c r="AH22">
        <v>42.71</v>
      </c>
      <c r="AI22">
        <v>4.49</v>
      </c>
      <c r="AJ22">
        <v>16.32</v>
      </c>
      <c r="AK22">
        <v>336.66</v>
      </c>
    </row>
    <row r="23" spans="1:37" x14ac:dyDescent="0.25">
      <c r="A23">
        <v>0</v>
      </c>
      <c r="B23" t="s">
        <v>37</v>
      </c>
      <c r="C23">
        <v>20131001</v>
      </c>
      <c r="D23">
        <v>20131001</v>
      </c>
      <c r="E23" t="s">
        <v>38</v>
      </c>
      <c r="F23">
        <v>170551.23</v>
      </c>
      <c r="G23">
        <v>175724.48</v>
      </c>
      <c r="H23">
        <v>611.52</v>
      </c>
      <c r="I23">
        <v>7.56</v>
      </c>
      <c r="J23">
        <v>21727374195</v>
      </c>
      <c r="K23">
        <v>128.71</v>
      </c>
      <c r="L23" t="s">
        <v>39</v>
      </c>
      <c r="M23">
        <v>24.04</v>
      </c>
      <c r="N23">
        <v>0.87</v>
      </c>
      <c r="O23" t="s">
        <v>39</v>
      </c>
      <c r="P23">
        <v>68.8</v>
      </c>
      <c r="Q23">
        <v>16.29</v>
      </c>
      <c r="R23">
        <v>20120101</v>
      </c>
      <c r="S23" t="s">
        <v>39</v>
      </c>
      <c r="T23">
        <v>10.49</v>
      </c>
      <c r="U23">
        <v>80.61</v>
      </c>
      <c r="V23" t="s">
        <v>40</v>
      </c>
      <c r="W23">
        <v>95.93</v>
      </c>
      <c r="X23">
        <v>-31.66</v>
      </c>
      <c r="Y23">
        <v>88.58</v>
      </c>
      <c r="Z23" t="s">
        <v>41</v>
      </c>
      <c r="AA23">
        <v>21870260795</v>
      </c>
      <c r="AB23">
        <v>3.09</v>
      </c>
      <c r="AC23">
        <v>20.3</v>
      </c>
      <c r="AD23">
        <v>71.05</v>
      </c>
      <c r="AE23">
        <v>34.479999999999997</v>
      </c>
      <c r="AF23">
        <v>735.74</v>
      </c>
      <c r="AG23">
        <v>81.98</v>
      </c>
      <c r="AH23">
        <v>42.7</v>
      </c>
      <c r="AI23">
        <v>4.49</v>
      </c>
      <c r="AJ23">
        <v>17.309999999999999</v>
      </c>
      <c r="AK23">
        <v>335.56</v>
      </c>
    </row>
    <row r="24" spans="1:37" x14ac:dyDescent="0.25">
      <c r="A24">
        <v>0</v>
      </c>
      <c r="B24" t="s">
        <v>37</v>
      </c>
      <c r="C24">
        <v>20131101</v>
      </c>
      <c r="D24">
        <v>20131101</v>
      </c>
      <c r="E24" t="s">
        <v>38</v>
      </c>
      <c r="F24">
        <v>170245.62</v>
      </c>
      <c r="G24">
        <v>175711.44</v>
      </c>
      <c r="H24">
        <v>620.98</v>
      </c>
      <c r="I24">
        <v>7.09</v>
      </c>
      <c r="J24">
        <v>21585953411</v>
      </c>
      <c r="K24">
        <v>128.80000000000001</v>
      </c>
      <c r="L24" t="s">
        <v>39</v>
      </c>
      <c r="M24">
        <v>24.18</v>
      </c>
      <c r="N24">
        <v>0.97</v>
      </c>
      <c r="O24" t="s">
        <v>39</v>
      </c>
      <c r="P24">
        <v>68.8</v>
      </c>
      <c r="Q24">
        <v>16.28</v>
      </c>
      <c r="R24">
        <v>20120101</v>
      </c>
      <c r="S24" t="s">
        <v>39</v>
      </c>
      <c r="T24">
        <v>10.49</v>
      </c>
      <c r="U24">
        <v>80.62</v>
      </c>
      <c r="V24" t="s">
        <v>40</v>
      </c>
      <c r="W24">
        <v>95.87</v>
      </c>
      <c r="X24">
        <v>-1.78</v>
      </c>
      <c r="Y24">
        <v>88.57</v>
      </c>
      <c r="Z24" t="s">
        <v>41</v>
      </c>
      <c r="AA24">
        <v>21712405856</v>
      </c>
      <c r="AB24">
        <v>3.08</v>
      </c>
      <c r="AC24">
        <v>20.27</v>
      </c>
      <c r="AD24">
        <v>71.03</v>
      </c>
      <c r="AE24">
        <v>34.5</v>
      </c>
      <c r="AF24">
        <v>735.74</v>
      </c>
      <c r="AG24">
        <v>82</v>
      </c>
      <c r="AH24">
        <v>42.69</v>
      </c>
      <c r="AI24">
        <v>4.49</v>
      </c>
      <c r="AJ24">
        <v>18.309999999999999</v>
      </c>
      <c r="AK24">
        <v>334.45</v>
      </c>
    </row>
    <row r="25" spans="1:37" x14ac:dyDescent="0.25">
      <c r="A25">
        <v>0</v>
      </c>
      <c r="B25" t="s">
        <v>37</v>
      </c>
      <c r="C25">
        <v>20131201</v>
      </c>
      <c r="D25">
        <v>20131201</v>
      </c>
      <c r="E25" t="s">
        <v>38</v>
      </c>
      <c r="F25">
        <v>169880.87</v>
      </c>
      <c r="G25">
        <v>175641.61</v>
      </c>
      <c r="H25">
        <v>625.78</v>
      </c>
      <c r="I25">
        <v>6.48</v>
      </c>
      <c r="J25">
        <v>21436927427</v>
      </c>
      <c r="K25">
        <v>148.16999999999999</v>
      </c>
      <c r="L25" t="s">
        <v>39</v>
      </c>
      <c r="M25">
        <v>24.39</v>
      </c>
      <c r="N25">
        <v>0.96</v>
      </c>
      <c r="O25" t="s">
        <v>39</v>
      </c>
      <c r="P25">
        <v>68.8</v>
      </c>
      <c r="Q25">
        <v>16.3</v>
      </c>
      <c r="R25">
        <v>20120101</v>
      </c>
      <c r="S25" t="s">
        <v>39</v>
      </c>
      <c r="T25">
        <v>10.48</v>
      </c>
      <c r="U25">
        <v>80.599999999999994</v>
      </c>
      <c r="V25" t="s">
        <v>40</v>
      </c>
      <c r="W25">
        <v>95.76</v>
      </c>
      <c r="X25">
        <v>-12.32</v>
      </c>
      <c r="Y25">
        <v>88.57</v>
      </c>
      <c r="Z25" t="s">
        <v>41</v>
      </c>
      <c r="AA25">
        <v>21554422736</v>
      </c>
      <c r="AB25">
        <v>3.08</v>
      </c>
      <c r="AC25">
        <v>20.239999999999998</v>
      </c>
      <c r="AD25">
        <v>70.98</v>
      </c>
      <c r="AE25">
        <v>34.49</v>
      </c>
      <c r="AF25">
        <v>735.73</v>
      </c>
      <c r="AG25">
        <v>81.99</v>
      </c>
      <c r="AH25">
        <v>42.71</v>
      </c>
      <c r="AI25">
        <v>4.49</v>
      </c>
      <c r="AJ25">
        <v>19.309999999999999</v>
      </c>
      <c r="AK25">
        <v>333.35</v>
      </c>
    </row>
    <row r="26" spans="1:37" x14ac:dyDescent="0.25">
      <c r="A26">
        <v>0</v>
      </c>
      <c r="B26" t="s">
        <v>37</v>
      </c>
      <c r="C26">
        <v>20140101</v>
      </c>
      <c r="D26">
        <v>20140101</v>
      </c>
      <c r="E26" t="s">
        <v>38</v>
      </c>
      <c r="F26">
        <v>169434.46</v>
      </c>
      <c r="G26">
        <v>175495.7</v>
      </c>
      <c r="H26">
        <v>626.13</v>
      </c>
      <c r="I26">
        <v>7.64</v>
      </c>
      <c r="J26">
        <v>21239627108</v>
      </c>
      <c r="K26">
        <v>147.46</v>
      </c>
      <c r="L26" t="s">
        <v>39</v>
      </c>
      <c r="M26">
        <v>24.01</v>
      </c>
      <c r="N26">
        <v>1.0900000000000001</v>
      </c>
      <c r="O26" t="s">
        <v>39</v>
      </c>
      <c r="P26">
        <v>68.819999999999993</v>
      </c>
      <c r="Q26">
        <v>16.3</v>
      </c>
      <c r="R26">
        <v>20120101</v>
      </c>
      <c r="S26" t="s">
        <v>39</v>
      </c>
      <c r="T26">
        <v>10.49</v>
      </c>
      <c r="U26">
        <v>80.599999999999994</v>
      </c>
      <c r="V26" t="s">
        <v>40</v>
      </c>
      <c r="W26">
        <v>95.8</v>
      </c>
      <c r="X26">
        <v>-30.23</v>
      </c>
      <c r="Y26">
        <v>88.56</v>
      </c>
      <c r="Z26" t="s">
        <v>41</v>
      </c>
      <c r="AA26">
        <v>21380890178</v>
      </c>
      <c r="AB26">
        <v>3.08</v>
      </c>
      <c r="AC26">
        <v>20.22</v>
      </c>
      <c r="AD26">
        <v>70.77</v>
      </c>
      <c r="AE26">
        <v>34.51</v>
      </c>
      <c r="AF26">
        <v>735.71</v>
      </c>
      <c r="AG26">
        <v>82</v>
      </c>
      <c r="AH26">
        <v>42.67</v>
      </c>
      <c r="AI26">
        <v>4.49</v>
      </c>
      <c r="AJ26">
        <v>20.3</v>
      </c>
      <c r="AK26">
        <v>332.25</v>
      </c>
    </row>
    <row r="27" spans="1:37" x14ac:dyDescent="0.25">
      <c r="A27">
        <v>0</v>
      </c>
      <c r="B27" t="s">
        <v>37</v>
      </c>
      <c r="C27">
        <v>20140201</v>
      </c>
      <c r="D27">
        <v>20140201</v>
      </c>
      <c r="E27" t="s">
        <v>38</v>
      </c>
      <c r="F27">
        <v>169082.92</v>
      </c>
      <c r="G27">
        <v>175443.63</v>
      </c>
      <c r="H27">
        <v>627.1</v>
      </c>
      <c r="I27">
        <v>5.72</v>
      </c>
      <c r="J27">
        <v>21103409135</v>
      </c>
      <c r="K27">
        <v>146.69</v>
      </c>
      <c r="L27" t="s">
        <v>39</v>
      </c>
      <c r="M27">
        <v>23.57</v>
      </c>
      <c r="N27">
        <v>1.07</v>
      </c>
      <c r="O27" t="s">
        <v>39</v>
      </c>
      <c r="P27">
        <v>68.819999999999993</v>
      </c>
      <c r="Q27">
        <v>16.29</v>
      </c>
      <c r="R27">
        <v>20120101</v>
      </c>
      <c r="S27" t="s">
        <v>39</v>
      </c>
      <c r="T27">
        <v>10.49</v>
      </c>
      <c r="U27">
        <v>80.62</v>
      </c>
      <c r="V27" t="s">
        <v>40</v>
      </c>
      <c r="W27">
        <v>95.85</v>
      </c>
      <c r="X27">
        <v>-28.92</v>
      </c>
      <c r="Y27">
        <v>88.57</v>
      </c>
      <c r="Z27" t="s">
        <v>41</v>
      </c>
      <c r="AA27">
        <v>21207282533</v>
      </c>
      <c r="AB27">
        <v>3.07</v>
      </c>
      <c r="AC27">
        <v>20.21</v>
      </c>
      <c r="AD27">
        <v>70.569999999999993</v>
      </c>
      <c r="AE27">
        <v>34.51</v>
      </c>
      <c r="AF27">
        <v>735.72</v>
      </c>
      <c r="AG27">
        <v>82</v>
      </c>
      <c r="AH27">
        <v>42.66</v>
      </c>
      <c r="AI27">
        <v>4.49</v>
      </c>
      <c r="AJ27">
        <v>21.3</v>
      </c>
      <c r="AK27">
        <v>331.13</v>
      </c>
    </row>
    <row r="28" spans="1:37" x14ac:dyDescent="0.25">
      <c r="A28">
        <v>0</v>
      </c>
      <c r="B28" t="s">
        <v>37</v>
      </c>
      <c r="C28">
        <v>20140301</v>
      </c>
      <c r="D28">
        <v>20140301</v>
      </c>
      <c r="E28" t="s">
        <v>38</v>
      </c>
      <c r="F28">
        <v>168680.9</v>
      </c>
      <c r="G28">
        <v>175356.13</v>
      </c>
      <c r="H28">
        <v>631.1</v>
      </c>
      <c r="I28">
        <v>5.7</v>
      </c>
      <c r="J28">
        <v>20975977052</v>
      </c>
      <c r="K28">
        <v>145.99</v>
      </c>
      <c r="L28" t="s">
        <v>39</v>
      </c>
      <c r="M28">
        <v>23.25</v>
      </c>
      <c r="N28">
        <v>1.01</v>
      </c>
      <c r="O28" t="s">
        <v>39</v>
      </c>
      <c r="P28">
        <v>68.83</v>
      </c>
      <c r="Q28">
        <v>16.29</v>
      </c>
      <c r="R28">
        <v>20120101</v>
      </c>
      <c r="S28" t="s">
        <v>39</v>
      </c>
      <c r="T28">
        <v>10.48</v>
      </c>
      <c r="U28">
        <v>80.62</v>
      </c>
      <c r="V28" t="s">
        <v>40</v>
      </c>
      <c r="W28">
        <v>95.87</v>
      </c>
      <c r="X28">
        <v>-15.03</v>
      </c>
      <c r="Y28">
        <v>88.57</v>
      </c>
      <c r="Z28" t="s">
        <v>41</v>
      </c>
      <c r="AA28">
        <v>21075477170</v>
      </c>
      <c r="AB28">
        <v>3.07</v>
      </c>
      <c r="AC28">
        <v>20.190000000000001</v>
      </c>
      <c r="AD28">
        <v>70.349999999999994</v>
      </c>
      <c r="AE28">
        <v>34.5</v>
      </c>
      <c r="AF28">
        <v>735.72</v>
      </c>
      <c r="AG28">
        <v>82</v>
      </c>
      <c r="AH28">
        <v>42.66</v>
      </c>
      <c r="AI28">
        <v>4.49</v>
      </c>
      <c r="AJ28">
        <v>22.3</v>
      </c>
      <c r="AK28">
        <v>330</v>
      </c>
    </row>
    <row r="29" spans="1:37" x14ac:dyDescent="0.25">
      <c r="A29">
        <v>0</v>
      </c>
      <c r="B29" t="s">
        <v>37</v>
      </c>
      <c r="C29">
        <v>20140401</v>
      </c>
      <c r="D29">
        <v>20140401</v>
      </c>
      <c r="E29" t="s">
        <v>38</v>
      </c>
      <c r="F29">
        <v>168334.5</v>
      </c>
      <c r="G29">
        <v>175320.22</v>
      </c>
      <c r="H29">
        <v>635.19000000000005</v>
      </c>
      <c r="I29">
        <v>7.13</v>
      </c>
      <c r="J29">
        <v>20814898201</v>
      </c>
      <c r="K29">
        <v>141.28</v>
      </c>
      <c r="L29" t="s">
        <v>39</v>
      </c>
      <c r="M29">
        <v>20.38</v>
      </c>
      <c r="N29">
        <v>1.08</v>
      </c>
      <c r="O29" t="s">
        <v>39</v>
      </c>
      <c r="P29">
        <v>68.84</v>
      </c>
      <c r="Q29">
        <v>16.3</v>
      </c>
      <c r="R29">
        <v>20120101</v>
      </c>
      <c r="S29" t="s">
        <v>39</v>
      </c>
      <c r="T29">
        <v>10.47</v>
      </c>
      <c r="U29">
        <v>80.63</v>
      </c>
      <c r="V29" t="s">
        <v>40</v>
      </c>
      <c r="W29">
        <v>96.68</v>
      </c>
      <c r="X29">
        <v>-14.56</v>
      </c>
      <c r="Y29">
        <v>88.59</v>
      </c>
      <c r="Z29" t="s">
        <v>41</v>
      </c>
      <c r="AA29">
        <v>20943654587</v>
      </c>
      <c r="AB29">
        <v>3.06</v>
      </c>
      <c r="AC29">
        <v>20.18</v>
      </c>
      <c r="AD29">
        <v>69.42</v>
      </c>
      <c r="AE29">
        <v>34.51</v>
      </c>
      <c r="AF29">
        <v>735.71</v>
      </c>
      <c r="AG29">
        <v>82</v>
      </c>
      <c r="AH29">
        <v>42.66</v>
      </c>
      <c r="AI29">
        <v>4.49</v>
      </c>
      <c r="AJ29">
        <v>23.3</v>
      </c>
      <c r="AK29">
        <v>328.87</v>
      </c>
    </row>
    <row r="30" spans="1:37" x14ac:dyDescent="0.25">
      <c r="A30">
        <v>0</v>
      </c>
      <c r="B30" t="s">
        <v>37</v>
      </c>
      <c r="C30">
        <v>20140501</v>
      </c>
      <c r="D30">
        <v>20140501</v>
      </c>
      <c r="E30" t="s">
        <v>38</v>
      </c>
      <c r="F30">
        <v>167974.31</v>
      </c>
      <c r="G30">
        <v>175271.4</v>
      </c>
      <c r="H30">
        <v>639.99</v>
      </c>
      <c r="I30">
        <v>7.72</v>
      </c>
      <c r="J30">
        <v>20639675391</v>
      </c>
      <c r="K30">
        <v>136.35</v>
      </c>
      <c r="L30" t="s">
        <v>39</v>
      </c>
      <c r="M30">
        <v>17.95</v>
      </c>
      <c r="N30">
        <v>0.88</v>
      </c>
      <c r="O30" t="s">
        <v>39</v>
      </c>
      <c r="P30">
        <v>68.89</v>
      </c>
      <c r="Q30">
        <v>16.28</v>
      </c>
      <c r="R30">
        <v>20120101</v>
      </c>
      <c r="S30" t="s">
        <v>39</v>
      </c>
      <c r="T30">
        <v>10.46</v>
      </c>
      <c r="U30">
        <v>80.650000000000006</v>
      </c>
      <c r="V30" t="s">
        <v>40</v>
      </c>
      <c r="W30">
        <v>97.25</v>
      </c>
      <c r="X30">
        <v>-10.99</v>
      </c>
      <c r="Y30">
        <v>88.61</v>
      </c>
      <c r="Z30" t="s">
        <v>41</v>
      </c>
      <c r="AA30">
        <v>20778373010</v>
      </c>
      <c r="AB30">
        <v>3.05</v>
      </c>
      <c r="AC30">
        <v>20.149999999999999</v>
      </c>
      <c r="AD30">
        <v>68.55</v>
      </c>
      <c r="AE30">
        <v>34.520000000000003</v>
      </c>
      <c r="AF30">
        <v>735.69</v>
      </c>
      <c r="AG30">
        <v>82.01</v>
      </c>
      <c r="AH30">
        <v>42.69</v>
      </c>
      <c r="AI30">
        <v>4.49</v>
      </c>
      <c r="AJ30">
        <v>24.3</v>
      </c>
      <c r="AK30">
        <v>327.77</v>
      </c>
    </row>
    <row r="31" spans="1:37" x14ac:dyDescent="0.25">
      <c r="A31">
        <v>0</v>
      </c>
      <c r="B31" t="s">
        <v>37</v>
      </c>
      <c r="C31">
        <v>20140601</v>
      </c>
      <c r="D31">
        <v>20140601</v>
      </c>
      <c r="E31" t="s">
        <v>38</v>
      </c>
      <c r="F31">
        <v>167617.54999999999</v>
      </c>
      <c r="G31">
        <v>175223.2</v>
      </c>
      <c r="H31">
        <v>655.37</v>
      </c>
      <c r="I31">
        <v>9.34</v>
      </c>
      <c r="J31">
        <v>20454873274</v>
      </c>
      <c r="K31">
        <v>131.66</v>
      </c>
      <c r="L31" t="s">
        <v>39</v>
      </c>
      <c r="M31">
        <v>15.69</v>
      </c>
      <c r="N31">
        <v>0.95</v>
      </c>
      <c r="O31" t="s">
        <v>39</v>
      </c>
      <c r="P31">
        <v>68.900000000000006</v>
      </c>
      <c r="Q31">
        <v>16.27</v>
      </c>
      <c r="R31">
        <v>20120101</v>
      </c>
      <c r="S31" t="s">
        <v>39</v>
      </c>
      <c r="T31">
        <v>10.44</v>
      </c>
      <c r="U31">
        <v>80.67</v>
      </c>
      <c r="V31" t="s">
        <v>40</v>
      </c>
      <c r="W31">
        <v>97.66</v>
      </c>
      <c r="X31">
        <v>9.5500000000000007</v>
      </c>
      <c r="Y31">
        <v>88.63</v>
      </c>
      <c r="Z31" t="s">
        <v>41</v>
      </c>
      <c r="AA31">
        <v>20622827664</v>
      </c>
      <c r="AB31">
        <v>3.05</v>
      </c>
      <c r="AC31">
        <v>20.12</v>
      </c>
      <c r="AD31">
        <v>67.69</v>
      </c>
      <c r="AE31">
        <v>34.54</v>
      </c>
      <c r="AF31">
        <v>735.65</v>
      </c>
      <c r="AG31">
        <v>82.02</v>
      </c>
      <c r="AH31">
        <v>42.68</v>
      </c>
      <c r="AI31">
        <v>4.49</v>
      </c>
      <c r="AJ31">
        <v>25.3</v>
      </c>
      <c r="AK31">
        <v>326.64</v>
      </c>
    </row>
    <row r="32" spans="1:37" x14ac:dyDescent="0.25">
      <c r="A32">
        <v>0</v>
      </c>
      <c r="B32" t="s">
        <v>37</v>
      </c>
      <c r="C32">
        <v>20140701</v>
      </c>
      <c r="D32">
        <v>20140701</v>
      </c>
      <c r="E32" t="s">
        <v>38</v>
      </c>
      <c r="F32">
        <v>167104.29999999999</v>
      </c>
      <c r="G32">
        <v>175009.37</v>
      </c>
      <c r="H32">
        <v>671.31</v>
      </c>
      <c r="I32">
        <v>9.84</v>
      </c>
      <c r="J32">
        <v>20212435950</v>
      </c>
      <c r="K32">
        <v>130.06</v>
      </c>
      <c r="L32" t="s">
        <v>39</v>
      </c>
      <c r="M32">
        <v>15.05</v>
      </c>
      <c r="N32">
        <v>0.98</v>
      </c>
      <c r="O32" t="s">
        <v>39</v>
      </c>
      <c r="P32">
        <v>68.95</v>
      </c>
      <c r="Q32">
        <v>16.309999999999999</v>
      </c>
      <c r="R32">
        <v>20120101</v>
      </c>
      <c r="S32" t="s">
        <v>39</v>
      </c>
      <c r="T32">
        <v>10.4</v>
      </c>
      <c r="U32">
        <v>80.63</v>
      </c>
      <c r="V32" t="s">
        <v>40</v>
      </c>
      <c r="W32">
        <v>97.72</v>
      </c>
      <c r="X32">
        <v>12.1</v>
      </c>
      <c r="Y32">
        <v>88.7</v>
      </c>
      <c r="Z32" t="s">
        <v>41</v>
      </c>
      <c r="AA32">
        <v>20387671689</v>
      </c>
      <c r="AB32">
        <v>3.04</v>
      </c>
      <c r="AC32">
        <v>20.14</v>
      </c>
      <c r="AD32">
        <v>67.319999999999993</v>
      </c>
      <c r="AE32">
        <v>34.53</v>
      </c>
      <c r="AF32">
        <v>735.56</v>
      </c>
      <c r="AG32">
        <v>82</v>
      </c>
      <c r="AH32">
        <v>42.69</v>
      </c>
      <c r="AI32">
        <v>4.49</v>
      </c>
      <c r="AJ32">
        <v>26.3</v>
      </c>
      <c r="AK32">
        <v>325.52</v>
      </c>
    </row>
    <row r="33" spans="1:37" x14ac:dyDescent="0.25">
      <c r="A33">
        <v>0</v>
      </c>
      <c r="B33" t="s">
        <v>37</v>
      </c>
      <c r="C33">
        <v>20140801</v>
      </c>
      <c r="D33">
        <v>20140801</v>
      </c>
      <c r="E33" t="s">
        <v>38</v>
      </c>
      <c r="F33">
        <v>166796.15</v>
      </c>
      <c r="G33">
        <v>175016.29</v>
      </c>
      <c r="H33">
        <v>690.69</v>
      </c>
      <c r="I33">
        <v>11.49</v>
      </c>
      <c r="J33">
        <v>20026047148</v>
      </c>
      <c r="K33">
        <v>128.31</v>
      </c>
      <c r="L33" t="s">
        <v>39</v>
      </c>
      <c r="M33">
        <v>14.4</v>
      </c>
      <c r="N33">
        <v>1.03</v>
      </c>
      <c r="O33" t="s">
        <v>39</v>
      </c>
      <c r="P33">
        <v>68.790000000000006</v>
      </c>
      <c r="Q33">
        <v>16.28</v>
      </c>
      <c r="R33">
        <v>20120101</v>
      </c>
      <c r="S33" t="s">
        <v>39</v>
      </c>
      <c r="T33">
        <v>10.41</v>
      </c>
      <c r="U33">
        <v>80.67</v>
      </c>
      <c r="V33" t="s">
        <v>40</v>
      </c>
      <c r="W33">
        <v>97.8</v>
      </c>
      <c r="X33">
        <v>14.97</v>
      </c>
      <c r="Y33">
        <v>88.63</v>
      </c>
      <c r="Z33" t="s">
        <v>41</v>
      </c>
      <c r="AA33">
        <v>20207052578</v>
      </c>
      <c r="AB33">
        <v>3.03</v>
      </c>
      <c r="AC33">
        <v>20.12</v>
      </c>
      <c r="AD33">
        <v>67.16</v>
      </c>
      <c r="AE33">
        <v>34.549999999999997</v>
      </c>
      <c r="AF33">
        <v>735.59</v>
      </c>
      <c r="AG33">
        <v>81.98</v>
      </c>
      <c r="AH33">
        <v>42.65</v>
      </c>
      <c r="AI33">
        <v>4.49</v>
      </c>
      <c r="AJ33">
        <v>27.3</v>
      </c>
      <c r="AK33">
        <v>324.42</v>
      </c>
    </row>
    <row r="34" spans="1:37" x14ac:dyDescent="0.25">
      <c r="A34">
        <v>0</v>
      </c>
      <c r="B34" t="s">
        <v>37</v>
      </c>
      <c r="C34">
        <v>20140901</v>
      </c>
      <c r="D34">
        <v>20140901</v>
      </c>
      <c r="E34" t="s">
        <v>38</v>
      </c>
      <c r="F34">
        <v>166644.44</v>
      </c>
      <c r="G34">
        <v>175198.72</v>
      </c>
      <c r="H34">
        <v>705.33</v>
      </c>
      <c r="I34">
        <v>10.06</v>
      </c>
      <c r="J34">
        <v>19994167752</v>
      </c>
      <c r="K34">
        <v>125.82</v>
      </c>
      <c r="L34" t="s">
        <v>39</v>
      </c>
      <c r="M34">
        <v>13.72</v>
      </c>
      <c r="N34">
        <v>1</v>
      </c>
      <c r="O34" t="s">
        <v>39</v>
      </c>
      <c r="P34">
        <v>68.25</v>
      </c>
      <c r="Q34">
        <v>16.11</v>
      </c>
      <c r="R34">
        <v>20120101</v>
      </c>
      <c r="S34" t="s">
        <v>39</v>
      </c>
      <c r="T34">
        <v>10.33</v>
      </c>
      <c r="U34">
        <v>80.819999999999993</v>
      </c>
      <c r="V34" t="s">
        <v>40</v>
      </c>
      <c r="W34">
        <v>97.91</v>
      </c>
      <c r="X34">
        <v>18.23</v>
      </c>
      <c r="Y34">
        <v>88.28</v>
      </c>
      <c r="Z34" t="s">
        <v>41</v>
      </c>
      <c r="AA34">
        <v>19991125276</v>
      </c>
      <c r="AB34">
        <v>3.05</v>
      </c>
      <c r="AC34">
        <v>20.149999999999999</v>
      </c>
      <c r="AD34">
        <v>66.540000000000006</v>
      </c>
      <c r="AE34">
        <v>34.56</v>
      </c>
      <c r="AF34">
        <v>735.79</v>
      </c>
      <c r="AG34">
        <v>81.88</v>
      </c>
      <c r="AH34">
        <v>42.71</v>
      </c>
      <c r="AI34">
        <v>4.49</v>
      </c>
      <c r="AJ34">
        <v>28.32</v>
      </c>
      <c r="AK34">
        <v>323.33999999999997</v>
      </c>
    </row>
    <row r="35" spans="1:37" x14ac:dyDescent="0.25">
      <c r="A35">
        <v>0</v>
      </c>
      <c r="B35" t="s">
        <v>37</v>
      </c>
      <c r="C35">
        <v>20141001</v>
      </c>
      <c r="D35">
        <v>20141001</v>
      </c>
      <c r="E35" t="s">
        <v>38</v>
      </c>
      <c r="F35">
        <v>166246.70000000001</v>
      </c>
      <c r="G35">
        <v>175115.86</v>
      </c>
      <c r="H35">
        <v>723.47</v>
      </c>
      <c r="I35">
        <v>9.57</v>
      </c>
      <c r="J35">
        <v>19827080698</v>
      </c>
      <c r="K35">
        <v>125.4</v>
      </c>
      <c r="L35" t="s">
        <v>39</v>
      </c>
      <c r="M35">
        <v>13.59</v>
      </c>
      <c r="N35">
        <v>1.22</v>
      </c>
      <c r="O35" t="s">
        <v>39</v>
      </c>
      <c r="P35">
        <v>68.12</v>
      </c>
      <c r="Q35">
        <v>16.149999999999999</v>
      </c>
      <c r="R35">
        <v>20120101</v>
      </c>
      <c r="S35" t="s">
        <v>39</v>
      </c>
      <c r="T35">
        <v>10.31</v>
      </c>
      <c r="U35">
        <v>80.77</v>
      </c>
      <c r="V35" t="s">
        <v>40</v>
      </c>
      <c r="W35">
        <v>97.93</v>
      </c>
      <c r="X35">
        <v>15.53</v>
      </c>
      <c r="Y35">
        <v>88.19</v>
      </c>
      <c r="Z35" t="s">
        <v>41</v>
      </c>
      <c r="AA35">
        <v>19962252071</v>
      </c>
      <c r="AB35">
        <v>3.06</v>
      </c>
      <c r="AC35">
        <v>20.2</v>
      </c>
      <c r="AD35">
        <v>66.44</v>
      </c>
      <c r="AE35">
        <v>34.56</v>
      </c>
      <c r="AF35">
        <v>735.79</v>
      </c>
      <c r="AG35">
        <v>81.849999999999994</v>
      </c>
      <c r="AH35">
        <v>42.83</v>
      </c>
      <c r="AI35">
        <v>4.49</v>
      </c>
      <c r="AJ35">
        <v>29.31</v>
      </c>
      <c r="AK35">
        <v>322.25</v>
      </c>
    </row>
    <row r="36" spans="1:37" x14ac:dyDescent="0.25">
      <c r="A36">
        <v>0</v>
      </c>
      <c r="B36" t="s">
        <v>37</v>
      </c>
      <c r="C36">
        <v>20141101</v>
      </c>
      <c r="D36">
        <v>20141101</v>
      </c>
      <c r="E36" t="s">
        <v>38</v>
      </c>
      <c r="F36">
        <v>166038.82</v>
      </c>
      <c r="G36">
        <v>175225.38</v>
      </c>
      <c r="H36">
        <v>750.49</v>
      </c>
      <c r="I36">
        <v>11.64</v>
      </c>
      <c r="J36">
        <v>19655344419</v>
      </c>
      <c r="K36">
        <v>124.91</v>
      </c>
      <c r="L36" t="s">
        <v>39</v>
      </c>
      <c r="M36">
        <v>13.57</v>
      </c>
      <c r="N36">
        <v>1.18</v>
      </c>
      <c r="O36" t="s">
        <v>39</v>
      </c>
      <c r="P36">
        <v>68.209999999999994</v>
      </c>
      <c r="Q36">
        <v>16.12</v>
      </c>
      <c r="R36">
        <v>20120101</v>
      </c>
      <c r="S36" t="s">
        <v>39</v>
      </c>
      <c r="T36">
        <v>10.32</v>
      </c>
      <c r="U36">
        <v>80.8</v>
      </c>
      <c r="V36" t="s">
        <v>40</v>
      </c>
      <c r="W36">
        <v>97.92</v>
      </c>
      <c r="X36">
        <v>28.78</v>
      </c>
      <c r="Y36">
        <v>88.25</v>
      </c>
      <c r="Z36" t="s">
        <v>41</v>
      </c>
      <c r="AA36">
        <v>19856337810</v>
      </c>
      <c r="AB36">
        <v>3.06</v>
      </c>
      <c r="AC36">
        <v>20.21</v>
      </c>
      <c r="AD36">
        <v>66.39</v>
      </c>
      <c r="AE36">
        <v>34.54</v>
      </c>
      <c r="AF36">
        <v>735.88</v>
      </c>
      <c r="AG36">
        <v>81.91</v>
      </c>
      <c r="AH36">
        <v>42.79</v>
      </c>
      <c r="AI36">
        <v>4.49</v>
      </c>
      <c r="AJ36">
        <v>30.32</v>
      </c>
      <c r="AK36">
        <v>321.14999999999998</v>
      </c>
    </row>
    <row r="37" spans="1:37" x14ac:dyDescent="0.25">
      <c r="A37">
        <v>0</v>
      </c>
      <c r="B37" t="s">
        <v>37</v>
      </c>
      <c r="C37">
        <v>20141201</v>
      </c>
      <c r="D37">
        <v>20141201</v>
      </c>
      <c r="E37" t="s">
        <v>38</v>
      </c>
      <c r="F37">
        <v>165510.9</v>
      </c>
      <c r="G37">
        <v>175008.6</v>
      </c>
      <c r="H37">
        <v>780.57</v>
      </c>
      <c r="I37">
        <v>9.2100000000000009</v>
      </c>
      <c r="J37">
        <v>19450014301</v>
      </c>
      <c r="K37">
        <v>124.66</v>
      </c>
      <c r="L37" t="s">
        <v>39</v>
      </c>
      <c r="M37">
        <v>13.54</v>
      </c>
      <c r="N37">
        <v>1.1100000000000001</v>
      </c>
      <c r="O37" t="s">
        <v>39</v>
      </c>
      <c r="P37">
        <v>68.3</v>
      </c>
      <c r="Q37">
        <v>16.149999999999999</v>
      </c>
      <c r="R37">
        <v>20120101</v>
      </c>
      <c r="S37" t="s">
        <v>39</v>
      </c>
      <c r="T37">
        <v>10.27</v>
      </c>
      <c r="U37">
        <v>80.77</v>
      </c>
      <c r="V37" t="s">
        <v>40</v>
      </c>
      <c r="W37">
        <v>97.91</v>
      </c>
      <c r="X37">
        <v>32.17</v>
      </c>
      <c r="Y37">
        <v>88.34</v>
      </c>
      <c r="Z37" t="s">
        <v>41</v>
      </c>
      <c r="AA37">
        <v>19607324791</v>
      </c>
      <c r="AB37">
        <v>3.06</v>
      </c>
      <c r="AC37">
        <v>20.2</v>
      </c>
      <c r="AD37">
        <v>66.27</v>
      </c>
      <c r="AE37">
        <v>34.54</v>
      </c>
      <c r="AF37">
        <v>735.85</v>
      </c>
      <c r="AG37">
        <v>81.900000000000006</v>
      </c>
      <c r="AH37">
        <v>42.8</v>
      </c>
      <c r="AI37">
        <v>4.49</v>
      </c>
      <c r="AJ37">
        <v>31.32</v>
      </c>
      <c r="AK37">
        <v>320.04000000000002</v>
      </c>
    </row>
    <row r="38" spans="1:37" x14ac:dyDescent="0.25">
      <c r="A38">
        <v>0</v>
      </c>
      <c r="B38" t="s">
        <v>37</v>
      </c>
      <c r="C38">
        <v>20150101</v>
      </c>
      <c r="D38">
        <v>20150101</v>
      </c>
      <c r="E38" t="s">
        <v>38</v>
      </c>
      <c r="F38">
        <v>164914.73000000001</v>
      </c>
      <c r="G38">
        <v>174701.62</v>
      </c>
      <c r="H38">
        <v>824.04</v>
      </c>
      <c r="I38">
        <v>12.13</v>
      </c>
      <c r="J38">
        <v>19208608350</v>
      </c>
      <c r="K38">
        <v>109.21</v>
      </c>
      <c r="L38" t="s">
        <v>39</v>
      </c>
      <c r="M38">
        <v>13.22</v>
      </c>
      <c r="N38">
        <v>1.39</v>
      </c>
      <c r="O38" t="s">
        <v>39</v>
      </c>
      <c r="P38">
        <v>68.349999999999994</v>
      </c>
      <c r="Q38">
        <v>16.16</v>
      </c>
      <c r="R38">
        <v>20120101</v>
      </c>
      <c r="S38" t="s">
        <v>39</v>
      </c>
      <c r="T38">
        <v>10.26</v>
      </c>
      <c r="U38">
        <v>80.760000000000005</v>
      </c>
      <c r="V38" t="s">
        <v>40</v>
      </c>
      <c r="W38">
        <v>97.97</v>
      </c>
      <c r="X38">
        <v>47.54</v>
      </c>
      <c r="Y38">
        <v>88.37</v>
      </c>
      <c r="Z38" t="s">
        <v>41</v>
      </c>
      <c r="AA38">
        <v>19414574851</v>
      </c>
      <c r="AB38">
        <v>3.06</v>
      </c>
      <c r="AC38">
        <v>20.16</v>
      </c>
      <c r="AD38">
        <v>66.02</v>
      </c>
      <c r="AE38">
        <v>34.54</v>
      </c>
      <c r="AF38">
        <v>735.8</v>
      </c>
      <c r="AG38">
        <v>81.900000000000006</v>
      </c>
      <c r="AH38">
        <v>42.79</v>
      </c>
      <c r="AI38">
        <v>4.49</v>
      </c>
      <c r="AJ38">
        <v>32.31</v>
      </c>
      <c r="AK38">
        <v>318.94</v>
      </c>
    </row>
    <row r="39" spans="1:37" x14ac:dyDescent="0.25">
      <c r="A39">
        <v>0</v>
      </c>
      <c r="B39" t="s">
        <v>37</v>
      </c>
      <c r="C39">
        <v>20150201</v>
      </c>
      <c r="D39">
        <v>20150201</v>
      </c>
      <c r="E39" t="s">
        <v>38</v>
      </c>
      <c r="F39">
        <v>164583.39000000001</v>
      </c>
      <c r="G39">
        <v>174709.39</v>
      </c>
      <c r="H39">
        <v>880.7</v>
      </c>
      <c r="I39">
        <v>9.2200000000000006</v>
      </c>
      <c r="J39">
        <v>19167382542</v>
      </c>
      <c r="K39">
        <v>107.95</v>
      </c>
      <c r="L39" t="s">
        <v>39</v>
      </c>
      <c r="M39">
        <v>12.86</v>
      </c>
      <c r="N39">
        <v>1.1399999999999999</v>
      </c>
      <c r="O39" t="s">
        <v>39</v>
      </c>
      <c r="P39">
        <v>67.89</v>
      </c>
      <c r="Q39">
        <v>16.11</v>
      </c>
      <c r="R39">
        <v>20120101</v>
      </c>
      <c r="S39" t="s">
        <v>39</v>
      </c>
      <c r="T39">
        <v>10.23</v>
      </c>
      <c r="U39">
        <v>80.8</v>
      </c>
      <c r="V39" t="s">
        <v>40</v>
      </c>
      <c r="W39">
        <v>98.03</v>
      </c>
      <c r="X39">
        <v>69.36</v>
      </c>
      <c r="Y39">
        <v>88.32</v>
      </c>
      <c r="Z39" t="s">
        <v>41</v>
      </c>
      <c r="AA39">
        <v>19203761058</v>
      </c>
      <c r="AB39">
        <v>3.07</v>
      </c>
      <c r="AC39">
        <v>19.989999999999998</v>
      </c>
      <c r="AD39">
        <v>65.69</v>
      </c>
      <c r="AE39">
        <v>34.51</v>
      </c>
      <c r="AF39">
        <v>736</v>
      </c>
      <c r="AG39">
        <v>81.8</v>
      </c>
      <c r="AH39">
        <v>42.7</v>
      </c>
      <c r="AI39">
        <v>4.49</v>
      </c>
      <c r="AJ39">
        <v>33.33</v>
      </c>
      <c r="AK39">
        <v>317.81</v>
      </c>
    </row>
    <row r="40" spans="1:37" x14ac:dyDescent="0.25">
      <c r="A40">
        <v>0</v>
      </c>
      <c r="B40" t="s">
        <v>37</v>
      </c>
      <c r="C40">
        <v>20150301</v>
      </c>
      <c r="D40">
        <v>20150301</v>
      </c>
      <c r="E40" t="s">
        <v>38</v>
      </c>
      <c r="F40">
        <v>163979.25</v>
      </c>
      <c r="G40">
        <v>174412.31</v>
      </c>
      <c r="H40">
        <v>937.5</v>
      </c>
      <c r="I40">
        <v>12.35</v>
      </c>
      <c r="J40">
        <v>18926649910</v>
      </c>
      <c r="K40">
        <v>107.2</v>
      </c>
      <c r="L40" t="s">
        <v>39</v>
      </c>
      <c r="M40">
        <v>12.61</v>
      </c>
      <c r="N40">
        <v>1.22</v>
      </c>
      <c r="O40" t="s">
        <v>39</v>
      </c>
      <c r="P40">
        <v>67.959999999999994</v>
      </c>
      <c r="Q40">
        <v>16.12</v>
      </c>
      <c r="R40">
        <v>20120101</v>
      </c>
      <c r="S40" t="s">
        <v>39</v>
      </c>
      <c r="T40">
        <v>10.220000000000001</v>
      </c>
      <c r="U40">
        <v>80.78</v>
      </c>
      <c r="V40" t="s">
        <v>40</v>
      </c>
      <c r="W40">
        <v>98.04</v>
      </c>
      <c r="X40">
        <v>65.64</v>
      </c>
      <c r="Y40">
        <v>88.35</v>
      </c>
      <c r="Z40" t="s">
        <v>41</v>
      </c>
      <c r="AA40">
        <v>19135863752</v>
      </c>
      <c r="AB40">
        <v>3.08</v>
      </c>
      <c r="AC40">
        <v>19.920000000000002</v>
      </c>
      <c r="AD40">
        <v>65.42</v>
      </c>
      <c r="AE40">
        <v>34.53</v>
      </c>
      <c r="AF40">
        <v>735.9</v>
      </c>
      <c r="AG40">
        <v>81.8</v>
      </c>
      <c r="AH40">
        <v>42.69</v>
      </c>
      <c r="AI40">
        <v>4.49</v>
      </c>
      <c r="AJ40">
        <v>34.32</v>
      </c>
      <c r="AK40">
        <v>316.72000000000003</v>
      </c>
    </row>
    <row r="41" spans="1:37" x14ac:dyDescent="0.25">
      <c r="A41">
        <v>0</v>
      </c>
      <c r="B41" t="s">
        <v>37</v>
      </c>
      <c r="C41">
        <v>20150401</v>
      </c>
      <c r="D41">
        <v>20150401</v>
      </c>
      <c r="E41" t="s">
        <v>38</v>
      </c>
      <c r="F41">
        <v>163253.85</v>
      </c>
      <c r="G41">
        <v>173964.75</v>
      </c>
      <c r="H41">
        <v>990.71</v>
      </c>
      <c r="I41">
        <v>16.079999999999998</v>
      </c>
      <c r="J41">
        <v>18622366768</v>
      </c>
      <c r="K41">
        <v>104.43</v>
      </c>
      <c r="L41" t="s">
        <v>39</v>
      </c>
      <c r="M41">
        <v>10.9</v>
      </c>
      <c r="N41">
        <v>1.24</v>
      </c>
      <c r="O41" t="s">
        <v>39</v>
      </c>
      <c r="P41">
        <v>68.09</v>
      </c>
      <c r="Q41">
        <v>16.16</v>
      </c>
      <c r="R41">
        <v>20120101</v>
      </c>
      <c r="S41" t="s">
        <v>39</v>
      </c>
      <c r="T41">
        <v>10.199999999999999</v>
      </c>
      <c r="U41">
        <v>80.75</v>
      </c>
      <c r="V41" t="s">
        <v>40</v>
      </c>
      <c r="W41">
        <v>98.3</v>
      </c>
      <c r="X41">
        <v>61.75</v>
      </c>
      <c r="Y41">
        <v>88.39</v>
      </c>
      <c r="Z41" t="s">
        <v>41</v>
      </c>
      <c r="AA41">
        <v>18895344137</v>
      </c>
      <c r="AB41">
        <v>3.08</v>
      </c>
      <c r="AC41">
        <v>19.809999999999999</v>
      </c>
      <c r="AD41">
        <v>64.540000000000006</v>
      </c>
      <c r="AE41">
        <v>34.54</v>
      </c>
      <c r="AF41">
        <v>735.75</v>
      </c>
      <c r="AG41">
        <v>81.790000000000006</v>
      </c>
      <c r="AH41">
        <v>42.69</v>
      </c>
      <c r="AI41">
        <v>4.49</v>
      </c>
      <c r="AJ41">
        <v>35.33</v>
      </c>
      <c r="AK41">
        <v>315.63</v>
      </c>
    </row>
    <row r="42" spans="1:37" x14ac:dyDescent="0.25">
      <c r="A42">
        <v>0</v>
      </c>
      <c r="B42" t="s">
        <v>37</v>
      </c>
      <c r="C42">
        <v>20150501</v>
      </c>
      <c r="D42">
        <v>20150501</v>
      </c>
      <c r="E42" t="s">
        <v>38</v>
      </c>
      <c r="F42">
        <v>162572.51</v>
      </c>
      <c r="G42">
        <v>173581.81</v>
      </c>
      <c r="H42">
        <v>1052.3</v>
      </c>
      <c r="I42">
        <v>15.83</v>
      </c>
      <c r="J42">
        <v>18318833027</v>
      </c>
      <c r="K42">
        <v>101.87</v>
      </c>
      <c r="L42" t="s">
        <v>39</v>
      </c>
      <c r="M42">
        <v>9.44</v>
      </c>
      <c r="N42">
        <v>0.94</v>
      </c>
      <c r="O42" t="s">
        <v>39</v>
      </c>
      <c r="P42">
        <v>68.3</v>
      </c>
      <c r="Q42">
        <v>16.2</v>
      </c>
      <c r="R42">
        <v>20120101</v>
      </c>
      <c r="S42" t="s">
        <v>39</v>
      </c>
      <c r="T42">
        <v>10.14</v>
      </c>
      <c r="U42">
        <v>80.7</v>
      </c>
      <c r="V42" t="s">
        <v>40</v>
      </c>
      <c r="W42">
        <v>98.48</v>
      </c>
      <c r="X42">
        <v>72.349999999999994</v>
      </c>
      <c r="Y42">
        <v>88.55</v>
      </c>
      <c r="Z42" t="s">
        <v>41</v>
      </c>
      <c r="AA42">
        <v>18583951377</v>
      </c>
      <c r="AB42">
        <v>3.08</v>
      </c>
      <c r="AC42">
        <v>19.7</v>
      </c>
      <c r="AD42">
        <v>63.71</v>
      </c>
      <c r="AE42">
        <v>34.520000000000003</v>
      </c>
      <c r="AF42">
        <v>735.6</v>
      </c>
      <c r="AG42">
        <v>81.8</v>
      </c>
      <c r="AH42">
        <v>42.69</v>
      </c>
      <c r="AI42">
        <v>4.49</v>
      </c>
      <c r="AJ42">
        <v>36.32</v>
      </c>
      <c r="AK42">
        <v>314.51</v>
      </c>
    </row>
    <row r="43" spans="1:37" x14ac:dyDescent="0.25">
      <c r="A43">
        <v>0</v>
      </c>
      <c r="B43" t="s">
        <v>37</v>
      </c>
      <c r="C43">
        <v>20150601</v>
      </c>
      <c r="D43">
        <v>20150601</v>
      </c>
      <c r="E43" t="s">
        <v>38</v>
      </c>
      <c r="F43">
        <v>161949.62</v>
      </c>
      <c r="G43">
        <v>173256.9</v>
      </c>
      <c r="H43">
        <v>1102.72</v>
      </c>
      <c r="I43">
        <v>15.83</v>
      </c>
      <c r="J43">
        <v>18031633535</v>
      </c>
      <c r="K43">
        <v>99.11</v>
      </c>
      <c r="L43" t="s">
        <v>39</v>
      </c>
      <c r="M43">
        <v>8</v>
      </c>
      <c r="N43">
        <v>1.04</v>
      </c>
      <c r="O43" t="s">
        <v>39</v>
      </c>
      <c r="P43">
        <v>68.37</v>
      </c>
      <c r="Q43">
        <v>16.21</v>
      </c>
      <c r="R43">
        <v>20120101</v>
      </c>
      <c r="S43" t="s">
        <v>39</v>
      </c>
      <c r="T43">
        <v>10.130000000000001</v>
      </c>
      <c r="U43">
        <v>80.680000000000007</v>
      </c>
      <c r="V43" t="s">
        <v>40</v>
      </c>
      <c r="W43">
        <v>98.68</v>
      </c>
      <c r="X43">
        <v>56.73</v>
      </c>
      <c r="Y43">
        <v>88.58</v>
      </c>
      <c r="Z43" t="s">
        <v>41</v>
      </c>
      <c r="AA43">
        <v>18292554598</v>
      </c>
      <c r="AB43">
        <v>3.1</v>
      </c>
      <c r="AC43">
        <v>19.62</v>
      </c>
      <c r="AD43">
        <v>62.86</v>
      </c>
      <c r="AE43">
        <v>34.56</v>
      </c>
      <c r="AF43">
        <v>735.51</v>
      </c>
      <c r="AG43">
        <v>81.790000000000006</v>
      </c>
      <c r="AH43">
        <v>42.72</v>
      </c>
      <c r="AI43">
        <v>4.49</v>
      </c>
      <c r="AJ43">
        <v>37.31</v>
      </c>
      <c r="AK43">
        <v>313.39</v>
      </c>
    </row>
    <row r="44" spans="1:37" x14ac:dyDescent="0.25">
      <c r="A44">
        <v>0</v>
      </c>
      <c r="B44" t="s">
        <v>37</v>
      </c>
      <c r="C44">
        <v>20150701</v>
      </c>
      <c r="D44">
        <v>20150701</v>
      </c>
      <c r="E44" t="s">
        <v>38</v>
      </c>
      <c r="F44">
        <v>161507.01999999999</v>
      </c>
      <c r="G44">
        <v>173135.95</v>
      </c>
      <c r="H44">
        <v>1136.5899999999999</v>
      </c>
      <c r="I44">
        <v>17.05</v>
      </c>
      <c r="J44">
        <v>17767549368</v>
      </c>
      <c r="K44">
        <v>97.88</v>
      </c>
      <c r="L44" t="s">
        <v>39</v>
      </c>
      <c r="M44">
        <v>7.52</v>
      </c>
      <c r="N44">
        <v>1.19</v>
      </c>
      <c r="O44" t="s">
        <v>39</v>
      </c>
      <c r="P44">
        <v>68.25</v>
      </c>
      <c r="Q44">
        <v>16.23</v>
      </c>
      <c r="R44">
        <v>20120101</v>
      </c>
      <c r="S44" t="s">
        <v>39</v>
      </c>
      <c r="T44">
        <v>10.09</v>
      </c>
      <c r="U44">
        <v>80.650000000000006</v>
      </c>
      <c r="V44" t="s">
        <v>40</v>
      </c>
      <c r="W44">
        <v>98.74</v>
      </c>
      <c r="X44">
        <v>42.32</v>
      </c>
      <c r="Y44">
        <v>88.6</v>
      </c>
      <c r="Z44" t="s">
        <v>41</v>
      </c>
      <c r="AA44">
        <v>17999101343</v>
      </c>
      <c r="AB44">
        <v>3.11</v>
      </c>
      <c r="AC44">
        <v>19.53</v>
      </c>
      <c r="AD44">
        <v>62.44</v>
      </c>
      <c r="AE44">
        <v>34.54</v>
      </c>
      <c r="AF44">
        <v>735.51</v>
      </c>
      <c r="AG44">
        <v>81.760000000000005</v>
      </c>
      <c r="AH44">
        <v>42.67</v>
      </c>
      <c r="AI44">
        <v>4.49</v>
      </c>
      <c r="AJ44">
        <v>38.32</v>
      </c>
      <c r="AK44">
        <v>312.3</v>
      </c>
    </row>
    <row r="45" spans="1:37" x14ac:dyDescent="0.25">
      <c r="A45">
        <v>0</v>
      </c>
      <c r="B45" t="s">
        <v>37</v>
      </c>
      <c r="C45">
        <v>20150801</v>
      </c>
      <c r="D45">
        <v>20150801</v>
      </c>
      <c r="E45" t="s">
        <v>38</v>
      </c>
      <c r="F45">
        <v>160946.97</v>
      </c>
      <c r="G45">
        <v>172872.81</v>
      </c>
      <c r="H45">
        <v>1170.06</v>
      </c>
      <c r="I45">
        <v>15.51</v>
      </c>
      <c r="J45">
        <v>17493648220</v>
      </c>
      <c r="K45">
        <v>96.9</v>
      </c>
      <c r="L45" t="s">
        <v>39</v>
      </c>
      <c r="M45">
        <v>7.07</v>
      </c>
      <c r="N45">
        <v>1.1200000000000001</v>
      </c>
      <c r="O45" t="s">
        <v>39</v>
      </c>
      <c r="P45">
        <v>68.239999999999995</v>
      </c>
      <c r="Q45">
        <v>16.25</v>
      </c>
      <c r="R45">
        <v>20120101</v>
      </c>
      <c r="S45" t="s">
        <v>39</v>
      </c>
      <c r="T45">
        <v>10.08</v>
      </c>
      <c r="U45">
        <v>80.61</v>
      </c>
      <c r="V45" t="s">
        <v>40</v>
      </c>
      <c r="W45">
        <v>98.81</v>
      </c>
      <c r="X45">
        <v>37.64</v>
      </c>
      <c r="Y45">
        <v>88.6</v>
      </c>
      <c r="Z45" t="s">
        <v>41</v>
      </c>
      <c r="AA45">
        <v>17741105703</v>
      </c>
      <c r="AB45">
        <v>3.12</v>
      </c>
      <c r="AC45">
        <v>19.52</v>
      </c>
      <c r="AD45">
        <v>62.03</v>
      </c>
      <c r="AE45">
        <v>34.590000000000003</v>
      </c>
      <c r="AF45">
        <v>735.46</v>
      </c>
      <c r="AG45">
        <v>81.72</v>
      </c>
      <c r="AH45">
        <v>42.65</v>
      </c>
      <c r="AI45">
        <v>4.49</v>
      </c>
      <c r="AJ45">
        <v>39.31</v>
      </c>
      <c r="AK45">
        <v>311.23</v>
      </c>
    </row>
    <row r="46" spans="1:37" x14ac:dyDescent="0.25">
      <c r="A46">
        <v>0</v>
      </c>
      <c r="B46" t="s">
        <v>37</v>
      </c>
      <c r="C46">
        <v>20150901</v>
      </c>
      <c r="D46">
        <v>20150901</v>
      </c>
      <c r="E46" t="s">
        <v>38</v>
      </c>
      <c r="F46">
        <v>160454.28</v>
      </c>
      <c r="G46">
        <v>172695.87</v>
      </c>
      <c r="H46">
        <v>1216.46</v>
      </c>
      <c r="I46">
        <v>13.95</v>
      </c>
      <c r="J46">
        <v>17244984956</v>
      </c>
      <c r="K46">
        <v>94.65</v>
      </c>
      <c r="L46" t="s">
        <v>39</v>
      </c>
      <c r="M46">
        <v>6.67</v>
      </c>
      <c r="N46">
        <v>1</v>
      </c>
      <c r="O46" t="s">
        <v>39</v>
      </c>
      <c r="P46">
        <v>68.27</v>
      </c>
      <c r="Q46">
        <v>16.27</v>
      </c>
      <c r="R46">
        <v>20120101</v>
      </c>
      <c r="S46" t="s">
        <v>39</v>
      </c>
      <c r="T46">
        <v>10.029999999999999</v>
      </c>
      <c r="U46">
        <v>80.58</v>
      </c>
      <c r="V46" t="s">
        <v>40</v>
      </c>
      <c r="W46">
        <v>98.89</v>
      </c>
      <c r="X46">
        <v>52.41</v>
      </c>
      <c r="Y46">
        <v>88.6</v>
      </c>
      <c r="Z46" t="s">
        <v>41</v>
      </c>
      <c r="AA46">
        <v>17462302114</v>
      </c>
      <c r="AB46">
        <v>3.13</v>
      </c>
      <c r="AC46">
        <v>19.489999999999998</v>
      </c>
      <c r="AD46">
        <v>61.63</v>
      </c>
      <c r="AE46">
        <v>34.58</v>
      </c>
      <c r="AF46">
        <v>735.4</v>
      </c>
      <c r="AG46">
        <v>81.709999999999994</v>
      </c>
      <c r="AH46">
        <v>42.64</v>
      </c>
      <c r="AI46">
        <v>4.49</v>
      </c>
      <c r="AJ46">
        <v>40.31</v>
      </c>
      <c r="AK46">
        <v>310.08999999999997</v>
      </c>
    </row>
    <row r="47" spans="1:37" x14ac:dyDescent="0.25">
      <c r="A47">
        <v>0</v>
      </c>
      <c r="B47" t="s">
        <v>37</v>
      </c>
      <c r="C47">
        <v>20151001</v>
      </c>
      <c r="D47">
        <v>20151001</v>
      </c>
      <c r="E47" t="s">
        <v>38</v>
      </c>
      <c r="F47">
        <v>159909.70000000001</v>
      </c>
      <c r="G47">
        <v>172468.29</v>
      </c>
      <c r="H47">
        <v>1264.08</v>
      </c>
      <c r="I47">
        <v>13.58</v>
      </c>
      <c r="J47">
        <v>17011993504</v>
      </c>
      <c r="K47">
        <v>94.44</v>
      </c>
      <c r="L47" t="s">
        <v>39</v>
      </c>
      <c r="M47">
        <v>6.76</v>
      </c>
      <c r="N47">
        <v>1.1299999999999999</v>
      </c>
      <c r="O47" t="s">
        <v>39</v>
      </c>
      <c r="P47">
        <v>68.3</v>
      </c>
      <c r="Q47">
        <v>16.27</v>
      </c>
      <c r="R47">
        <v>20120101</v>
      </c>
      <c r="S47" t="s">
        <v>39</v>
      </c>
      <c r="T47">
        <v>10.02</v>
      </c>
      <c r="U47">
        <v>80.569999999999993</v>
      </c>
      <c r="V47" t="s">
        <v>40</v>
      </c>
      <c r="W47">
        <v>98.86</v>
      </c>
      <c r="X47">
        <v>54.21</v>
      </c>
      <c r="Y47">
        <v>88.62</v>
      </c>
      <c r="Z47" t="s">
        <v>41</v>
      </c>
      <c r="AA47">
        <v>17216718441</v>
      </c>
      <c r="AB47">
        <v>3.14</v>
      </c>
      <c r="AC47">
        <v>19.43</v>
      </c>
      <c r="AD47">
        <v>61.52</v>
      </c>
      <c r="AE47">
        <v>34.57</v>
      </c>
      <c r="AF47">
        <v>735.38</v>
      </c>
      <c r="AG47">
        <v>81.709999999999994</v>
      </c>
      <c r="AH47">
        <v>42.68</v>
      </c>
      <c r="AI47">
        <v>4.49</v>
      </c>
      <c r="AJ47">
        <v>41.3</v>
      </c>
      <c r="AK47">
        <v>308.99</v>
      </c>
    </row>
    <row r="48" spans="1:37" x14ac:dyDescent="0.25">
      <c r="A48">
        <v>0</v>
      </c>
      <c r="B48" t="s">
        <v>37</v>
      </c>
      <c r="C48">
        <v>20151101</v>
      </c>
      <c r="D48">
        <v>20151101</v>
      </c>
      <c r="E48" t="s">
        <v>38</v>
      </c>
      <c r="F48">
        <v>159436.39000000001</v>
      </c>
      <c r="G48">
        <v>172307.18</v>
      </c>
      <c r="H48">
        <v>1322.02</v>
      </c>
      <c r="I48">
        <v>13.29</v>
      </c>
      <c r="J48">
        <v>16780680434</v>
      </c>
      <c r="K48">
        <v>94.21</v>
      </c>
      <c r="L48" t="s">
        <v>39</v>
      </c>
      <c r="M48">
        <v>6.82</v>
      </c>
      <c r="N48">
        <v>1.1599999999999999</v>
      </c>
      <c r="O48" t="s">
        <v>39</v>
      </c>
      <c r="P48">
        <v>68.33</v>
      </c>
      <c r="Q48">
        <v>16.28</v>
      </c>
      <c r="R48">
        <v>20120101</v>
      </c>
      <c r="S48" t="s">
        <v>39</v>
      </c>
      <c r="T48">
        <v>10.02</v>
      </c>
      <c r="U48">
        <v>80.569999999999993</v>
      </c>
      <c r="V48" t="s">
        <v>40</v>
      </c>
      <c r="W48">
        <v>98.82</v>
      </c>
      <c r="X48">
        <v>64.7</v>
      </c>
      <c r="Y48">
        <v>88.62</v>
      </c>
      <c r="Z48" t="s">
        <v>41</v>
      </c>
      <c r="AA48">
        <v>16981411962</v>
      </c>
      <c r="AB48">
        <v>3.13</v>
      </c>
      <c r="AC48">
        <v>19.399999999999999</v>
      </c>
      <c r="AD48">
        <v>61.4</v>
      </c>
      <c r="AE48">
        <v>34.57</v>
      </c>
      <c r="AF48">
        <v>735.33</v>
      </c>
      <c r="AG48">
        <v>81.7</v>
      </c>
      <c r="AH48">
        <v>42.67</v>
      </c>
      <c r="AI48">
        <v>4.49</v>
      </c>
      <c r="AJ48">
        <v>42.31</v>
      </c>
      <c r="AK48">
        <v>307.91000000000003</v>
      </c>
    </row>
    <row r="49" spans="1:37" x14ac:dyDescent="0.25">
      <c r="A49">
        <v>0</v>
      </c>
      <c r="B49" t="s">
        <v>37</v>
      </c>
      <c r="C49">
        <v>20151201</v>
      </c>
      <c r="D49">
        <v>20151201</v>
      </c>
      <c r="E49" t="s">
        <v>38</v>
      </c>
      <c r="F49">
        <v>158854.44</v>
      </c>
      <c r="G49">
        <v>172044.08</v>
      </c>
      <c r="H49">
        <v>1364.6</v>
      </c>
      <c r="I49">
        <v>11.4</v>
      </c>
      <c r="J49">
        <v>16582021246</v>
      </c>
      <c r="K49">
        <v>93.88</v>
      </c>
      <c r="L49" t="s">
        <v>39</v>
      </c>
      <c r="M49">
        <v>6.87</v>
      </c>
      <c r="N49">
        <v>1.1100000000000001</v>
      </c>
      <c r="O49" t="s">
        <v>39</v>
      </c>
      <c r="P49">
        <v>68.34</v>
      </c>
      <c r="Q49">
        <v>16.309999999999999</v>
      </c>
      <c r="R49">
        <v>20120101</v>
      </c>
      <c r="S49" t="s">
        <v>39</v>
      </c>
      <c r="T49">
        <v>9.98</v>
      </c>
      <c r="U49">
        <v>80.540000000000006</v>
      </c>
      <c r="V49" t="s">
        <v>40</v>
      </c>
      <c r="W49">
        <v>98.79</v>
      </c>
      <c r="X49">
        <v>48.09</v>
      </c>
      <c r="Y49">
        <v>88.61</v>
      </c>
      <c r="Z49" t="s">
        <v>41</v>
      </c>
      <c r="AA49">
        <v>16748342849</v>
      </c>
      <c r="AB49">
        <v>3.14</v>
      </c>
      <c r="AC49">
        <v>19.350000000000001</v>
      </c>
      <c r="AD49">
        <v>61.28</v>
      </c>
      <c r="AE49">
        <v>34.57</v>
      </c>
      <c r="AF49">
        <v>735.36</v>
      </c>
      <c r="AG49">
        <v>81.7</v>
      </c>
      <c r="AH49">
        <v>42.62</v>
      </c>
      <c r="AI49">
        <v>4.49</v>
      </c>
      <c r="AJ49">
        <v>43.31</v>
      </c>
      <c r="AK49">
        <v>306.77999999999997</v>
      </c>
    </row>
    <row r="50" spans="1:37" x14ac:dyDescent="0.25">
      <c r="A50">
        <v>0</v>
      </c>
      <c r="B50" t="s">
        <v>37</v>
      </c>
      <c r="C50">
        <v>20160101</v>
      </c>
      <c r="D50">
        <v>20160101</v>
      </c>
      <c r="E50" t="s">
        <v>38</v>
      </c>
      <c r="F50">
        <v>158318.41</v>
      </c>
      <c r="G50">
        <v>171816.07</v>
      </c>
      <c r="H50">
        <v>1405.94</v>
      </c>
      <c r="I50">
        <v>13.39</v>
      </c>
      <c r="J50">
        <v>16353500365</v>
      </c>
      <c r="K50">
        <v>93.11</v>
      </c>
      <c r="L50" t="s">
        <v>39</v>
      </c>
      <c r="M50">
        <v>6.65</v>
      </c>
      <c r="N50">
        <v>1.2</v>
      </c>
      <c r="O50" t="s">
        <v>39</v>
      </c>
      <c r="P50">
        <v>68.38</v>
      </c>
      <c r="Q50">
        <v>16.309999999999999</v>
      </c>
      <c r="R50">
        <v>20120101</v>
      </c>
      <c r="S50" t="s">
        <v>39</v>
      </c>
      <c r="T50">
        <v>9.99</v>
      </c>
      <c r="U50">
        <v>80.53</v>
      </c>
      <c r="V50" t="s">
        <v>40</v>
      </c>
      <c r="W50">
        <v>98.82</v>
      </c>
      <c r="X50">
        <v>46.85</v>
      </c>
      <c r="Y50">
        <v>88.64</v>
      </c>
      <c r="Z50" t="s">
        <v>41</v>
      </c>
      <c r="AA50">
        <v>16550716024</v>
      </c>
      <c r="AB50">
        <v>3.14</v>
      </c>
      <c r="AC50">
        <v>19.29</v>
      </c>
      <c r="AD50">
        <v>61.01</v>
      </c>
      <c r="AE50">
        <v>34.57</v>
      </c>
      <c r="AF50">
        <v>735.31</v>
      </c>
      <c r="AG50">
        <v>81.7</v>
      </c>
      <c r="AH50">
        <v>42.67</v>
      </c>
      <c r="AI50">
        <v>4.49</v>
      </c>
      <c r="AJ50">
        <v>44.3</v>
      </c>
      <c r="AK50">
        <v>305.7</v>
      </c>
    </row>
    <row r="51" spans="1:37" x14ac:dyDescent="0.25">
      <c r="A51">
        <v>0</v>
      </c>
      <c r="B51" t="s">
        <v>37</v>
      </c>
      <c r="C51">
        <v>20160201</v>
      </c>
      <c r="D51">
        <v>20160201</v>
      </c>
      <c r="E51" t="s">
        <v>38</v>
      </c>
      <c r="F51">
        <v>157838.12</v>
      </c>
      <c r="G51">
        <v>171663.06</v>
      </c>
      <c r="H51">
        <v>1455.75</v>
      </c>
      <c r="I51">
        <v>9.7799999999999994</v>
      </c>
      <c r="J51">
        <v>16184721576</v>
      </c>
      <c r="K51">
        <v>92.44</v>
      </c>
      <c r="L51" t="s">
        <v>39</v>
      </c>
      <c r="M51">
        <v>6.46</v>
      </c>
      <c r="N51">
        <v>1.1299999999999999</v>
      </c>
      <c r="O51" t="s">
        <v>39</v>
      </c>
      <c r="P51">
        <v>68.42</v>
      </c>
      <c r="Q51">
        <v>16.34</v>
      </c>
      <c r="R51">
        <v>20120101</v>
      </c>
      <c r="S51" t="s">
        <v>39</v>
      </c>
      <c r="T51">
        <v>9.99</v>
      </c>
      <c r="U51">
        <v>80.5</v>
      </c>
      <c r="V51" t="s">
        <v>40</v>
      </c>
      <c r="W51">
        <v>98.86</v>
      </c>
      <c r="X51">
        <v>56.26</v>
      </c>
      <c r="Y51">
        <v>88.66</v>
      </c>
      <c r="Z51" t="s">
        <v>41</v>
      </c>
      <c r="AA51">
        <v>16324218249</v>
      </c>
      <c r="AB51">
        <v>3.14</v>
      </c>
      <c r="AC51">
        <v>19.25</v>
      </c>
      <c r="AD51">
        <v>60.73</v>
      </c>
      <c r="AE51">
        <v>34.549999999999997</v>
      </c>
      <c r="AF51">
        <v>735.33</v>
      </c>
      <c r="AG51">
        <v>81.709999999999994</v>
      </c>
      <c r="AH51">
        <v>42.67</v>
      </c>
      <c r="AI51">
        <v>4.49</v>
      </c>
      <c r="AJ51">
        <v>45.3</v>
      </c>
      <c r="AK51">
        <v>304.62</v>
      </c>
    </row>
    <row r="52" spans="1:37" x14ac:dyDescent="0.25">
      <c r="A52">
        <v>0</v>
      </c>
      <c r="B52" t="s">
        <v>37</v>
      </c>
      <c r="C52">
        <v>20160301</v>
      </c>
      <c r="D52">
        <v>20160301</v>
      </c>
      <c r="E52" t="s">
        <v>38</v>
      </c>
      <c r="F52">
        <v>157430.23000000001</v>
      </c>
      <c r="G52">
        <v>171567.76</v>
      </c>
      <c r="H52">
        <v>1527.03</v>
      </c>
      <c r="I52">
        <v>10.35</v>
      </c>
      <c r="J52">
        <v>16010497596</v>
      </c>
      <c r="K52">
        <v>91.57</v>
      </c>
      <c r="L52" t="s">
        <v>39</v>
      </c>
      <c r="M52">
        <v>6.27</v>
      </c>
      <c r="N52">
        <v>1.39</v>
      </c>
      <c r="O52" t="s">
        <v>39</v>
      </c>
      <c r="P52">
        <v>68.459999999999994</v>
      </c>
      <c r="Q52">
        <v>16.350000000000001</v>
      </c>
      <c r="R52">
        <v>20120101</v>
      </c>
      <c r="S52" t="s">
        <v>39</v>
      </c>
      <c r="T52">
        <v>9.9600000000000009</v>
      </c>
      <c r="U52">
        <v>80.5</v>
      </c>
      <c r="V52" t="s">
        <v>40</v>
      </c>
      <c r="W52">
        <v>98.9</v>
      </c>
      <c r="X52">
        <v>79</v>
      </c>
      <c r="Y52">
        <v>88.69</v>
      </c>
      <c r="Z52" t="s">
        <v>41</v>
      </c>
      <c r="AA52">
        <v>16156995581</v>
      </c>
      <c r="AB52">
        <v>3.14</v>
      </c>
      <c r="AC52">
        <v>19.23</v>
      </c>
      <c r="AD52">
        <v>60.44</v>
      </c>
      <c r="AE52">
        <v>34.549999999999997</v>
      </c>
      <c r="AF52">
        <v>735.32</v>
      </c>
      <c r="AG52">
        <v>81.680000000000007</v>
      </c>
      <c r="AH52">
        <v>42.66</v>
      </c>
      <c r="AI52">
        <v>4.49</v>
      </c>
      <c r="AJ52">
        <v>46.3</v>
      </c>
      <c r="AK52">
        <v>303.56</v>
      </c>
    </row>
    <row r="53" spans="1:37" x14ac:dyDescent="0.25">
      <c r="A53">
        <v>0</v>
      </c>
      <c r="B53" t="s">
        <v>37</v>
      </c>
      <c r="C53">
        <v>20160401</v>
      </c>
      <c r="D53">
        <v>20160401</v>
      </c>
      <c r="E53" t="s">
        <v>38</v>
      </c>
      <c r="F53">
        <v>156847.79999999999</v>
      </c>
      <c r="G53">
        <v>171300.98</v>
      </c>
      <c r="H53">
        <v>1598.01</v>
      </c>
      <c r="I53">
        <v>15.06</v>
      </c>
      <c r="J53">
        <v>15779987059</v>
      </c>
      <c r="K53">
        <v>89.11</v>
      </c>
      <c r="L53" t="s">
        <v>39</v>
      </c>
      <c r="M53">
        <v>4.4400000000000004</v>
      </c>
      <c r="N53">
        <v>1.1599999999999999</v>
      </c>
      <c r="O53" t="s">
        <v>39</v>
      </c>
      <c r="P53">
        <v>68.41</v>
      </c>
      <c r="Q53">
        <v>16.36</v>
      </c>
      <c r="R53">
        <v>20120101</v>
      </c>
      <c r="S53" t="s">
        <v>39</v>
      </c>
      <c r="T53">
        <v>9.93</v>
      </c>
      <c r="U53">
        <v>80.489999999999995</v>
      </c>
      <c r="V53" t="s">
        <v>40</v>
      </c>
      <c r="W53">
        <v>99.06</v>
      </c>
      <c r="X53">
        <v>78.489999999999995</v>
      </c>
      <c r="Y53">
        <v>88.68</v>
      </c>
      <c r="Z53" t="s">
        <v>41</v>
      </c>
      <c r="AA53">
        <v>15981122979</v>
      </c>
      <c r="AB53">
        <v>3.14</v>
      </c>
      <c r="AC53">
        <v>19.170000000000002</v>
      </c>
      <c r="AD53">
        <v>59.61</v>
      </c>
      <c r="AE53">
        <v>34.56</v>
      </c>
      <c r="AF53">
        <v>735.29</v>
      </c>
      <c r="AG53">
        <v>81.650000000000006</v>
      </c>
      <c r="AH53">
        <v>42.65</v>
      </c>
      <c r="AI53">
        <v>4.49</v>
      </c>
      <c r="AJ53">
        <v>47.3</v>
      </c>
      <c r="AK53">
        <v>302.45</v>
      </c>
    </row>
    <row r="54" spans="1:37" x14ac:dyDescent="0.25">
      <c r="A54">
        <v>0</v>
      </c>
      <c r="B54" t="s">
        <v>37</v>
      </c>
      <c r="C54">
        <v>20160501</v>
      </c>
      <c r="D54">
        <v>20160501</v>
      </c>
      <c r="E54" t="s">
        <v>38</v>
      </c>
      <c r="F54">
        <v>156320.03</v>
      </c>
      <c r="G54">
        <v>171101.81</v>
      </c>
      <c r="H54">
        <v>1677.68</v>
      </c>
      <c r="I54">
        <v>15.16</v>
      </c>
      <c r="J54">
        <v>15535241010</v>
      </c>
      <c r="K54">
        <v>87.03</v>
      </c>
      <c r="L54" t="s">
        <v>39</v>
      </c>
      <c r="M54">
        <v>3.68</v>
      </c>
      <c r="N54">
        <v>0.93</v>
      </c>
      <c r="O54" t="s">
        <v>39</v>
      </c>
      <c r="P54">
        <v>68.459999999999994</v>
      </c>
      <c r="Q54">
        <v>16.36</v>
      </c>
      <c r="R54">
        <v>20120101</v>
      </c>
      <c r="S54" t="s">
        <v>39</v>
      </c>
      <c r="T54">
        <v>9.91</v>
      </c>
      <c r="U54">
        <v>80.48</v>
      </c>
      <c r="V54" t="s">
        <v>40</v>
      </c>
      <c r="W54">
        <v>99.18</v>
      </c>
      <c r="X54">
        <v>86.93</v>
      </c>
      <c r="Y54">
        <v>88.69</v>
      </c>
      <c r="Z54" t="s">
        <v>41</v>
      </c>
      <c r="AA54">
        <v>15749594411</v>
      </c>
      <c r="AB54">
        <v>3.15</v>
      </c>
      <c r="AC54">
        <v>19.12</v>
      </c>
      <c r="AD54">
        <v>58.85</v>
      </c>
      <c r="AE54">
        <v>34.549999999999997</v>
      </c>
      <c r="AF54">
        <v>735.2</v>
      </c>
      <c r="AG54">
        <v>81.680000000000007</v>
      </c>
      <c r="AH54">
        <v>42.67</v>
      </c>
      <c r="AI54">
        <v>4.49</v>
      </c>
      <c r="AJ54">
        <v>48.29</v>
      </c>
      <c r="AK54">
        <v>301.36</v>
      </c>
    </row>
    <row r="55" spans="1:37" x14ac:dyDescent="0.25">
      <c r="A55">
        <v>0</v>
      </c>
      <c r="B55" t="s">
        <v>37</v>
      </c>
      <c r="C55">
        <v>20160601</v>
      </c>
      <c r="D55">
        <v>20160601</v>
      </c>
      <c r="E55" t="s">
        <v>38</v>
      </c>
      <c r="F55">
        <v>155695.09</v>
      </c>
      <c r="G55">
        <v>170786.98</v>
      </c>
      <c r="H55">
        <v>1760.59</v>
      </c>
      <c r="I55">
        <v>16.510000000000002</v>
      </c>
      <c r="J55">
        <v>15266370749</v>
      </c>
      <c r="K55">
        <v>84.57</v>
      </c>
      <c r="L55" t="s">
        <v>39</v>
      </c>
      <c r="M55">
        <v>2.95</v>
      </c>
      <c r="N55">
        <v>1.07</v>
      </c>
      <c r="O55" t="s">
        <v>39</v>
      </c>
      <c r="P55">
        <v>68.48</v>
      </c>
      <c r="Q55">
        <v>16.350000000000001</v>
      </c>
      <c r="R55">
        <v>20120101</v>
      </c>
      <c r="S55" t="s">
        <v>39</v>
      </c>
      <c r="T55">
        <v>9.89</v>
      </c>
      <c r="U55">
        <v>80.5</v>
      </c>
      <c r="V55" t="s">
        <v>40</v>
      </c>
      <c r="W55">
        <v>99.28</v>
      </c>
      <c r="X55">
        <v>88.28</v>
      </c>
      <c r="Y55">
        <v>88.71</v>
      </c>
      <c r="Z55" t="s">
        <v>41</v>
      </c>
      <c r="AA55">
        <v>15497768446</v>
      </c>
      <c r="AB55">
        <v>3.14</v>
      </c>
      <c r="AC55">
        <v>19.079999999999998</v>
      </c>
      <c r="AD55">
        <v>58.05</v>
      </c>
      <c r="AE55">
        <v>34.54</v>
      </c>
      <c r="AF55">
        <v>735.16</v>
      </c>
      <c r="AG55">
        <v>81.64</v>
      </c>
      <c r="AH55">
        <v>42.66</v>
      </c>
      <c r="AI55">
        <v>4.49</v>
      </c>
      <c r="AJ55">
        <v>49.3</v>
      </c>
      <c r="AK55">
        <v>300.26</v>
      </c>
    </row>
    <row r="56" spans="1:37" x14ac:dyDescent="0.25">
      <c r="A56">
        <v>0</v>
      </c>
      <c r="B56" t="s">
        <v>37</v>
      </c>
      <c r="C56">
        <v>20160701</v>
      </c>
      <c r="D56">
        <v>20160701</v>
      </c>
      <c r="E56" t="s">
        <v>38</v>
      </c>
      <c r="F56">
        <v>155059.16</v>
      </c>
      <c r="G56">
        <v>170464.58</v>
      </c>
      <c r="H56">
        <v>1846.71</v>
      </c>
      <c r="I56">
        <v>18.100000000000001</v>
      </c>
      <c r="J56">
        <v>14987243813</v>
      </c>
      <c r="K56">
        <v>83.67</v>
      </c>
      <c r="L56" t="s">
        <v>39</v>
      </c>
      <c r="M56">
        <v>2.77</v>
      </c>
      <c r="N56">
        <v>1.05</v>
      </c>
      <c r="O56" t="s">
        <v>39</v>
      </c>
      <c r="P56">
        <v>68.540000000000006</v>
      </c>
      <c r="Q56">
        <v>16.350000000000001</v>
      </c>
      <c r="R56">
        <v>20120101</v>
      </c>
      <c r="S56" t="s">
        <v>39</v>
      </c>
      <c r="T56">
        <v>9.86</v>
      </c>
      <c r="U56">
        <v>80.489999999999995</v>
      </c>
      <c r="V56" t="s">
        <v>40</v>
      </c>
      <c r="W56">
        <v>99.3</v>
      </c>
      <c r="X56">
        <v>92.49</v>
      </c>
      <c r="Y56">
        <v>88.74</v>
      </c>
      <c r="Z56" t="s">
        <v>41</v>
      </c>
      <c r="AA56">
        <v>15238731187</v>
      </c>
      <c r="AB56">
        <v>3.14</v>
      </c>
      <c r="AC56">
        <v>19.010000000000002</v>
      </c>
      <c r="AD56">
        <v>57.69</v>
      </c>
      <c r="AE56">
        <v>34.56</v>
      </c>
      <c r="AF56">
        <v>735.11</v>
      </c>
      <c r="AG56">
        <v>81.62</v>
      </c>
      <c r="AH56">
        <v>42.68</v>
      </c>
      <c r="AI56">
        <v>4.49</v>
      </c>
      <c r="AJ56">
        <v>50.29</v>
      </c>
      <c r="AK56">
        <v>299.14999999999998</v>
      </c>
    </row>
    <row r="57" spans="1:37" x14ac:dyDescent="0.25">
      <c r="A57">
        <v>0</v>
      </c>
      <c r="B57" t="s">
        <v>37</v>
      </c>
      <c r="C57">
        <v>20160801</v>
      </c>
      <c r="D57">
        <v>20160801</v>
      </c>
      <c r="E57" t="s">
        <v>38</v>
      </c>
      <c r="F57">
        <v>154548.17000000001</v>
      </c>
      <c r="G57">
        <v>170259.49</v>
      </c>
      <c r="H57">
        <v>1945.99</v>
      </c>
      <c r="I57">
        <v>15.9</v>
      </c>
      <c r="J57">
        <v>14749459457</v>
      </c>
      <c r="K57">
        <v>82.67</v>
      </c>
      <c r="L57" t="s">
        <v>39</v>
      </c>
      <c r="M57">
        <v>2.58</v>
      </c>
      <c r="N57">
        <v>1.1000000000000001</v>
      </c>
      <c r="O57" t="s">
        <v>39</v>
      </c>
      <c r="P57">
        <v>68.58</v>
      </c>
      <c r="Q57">
        <v>16.38</v>
      </c>
      <c r="R57">
        <v>20120101</v>
      </c>
      <c r="S57" t="s">
        <v>39</v>
      </c>
      <c r="T57">
        <v>9.84</v>
      </c>
      <c r="U57">
        <v>80.459999999999994</v>
      </c>
      <c r="V57" t="s">
        <v>40</v>
      </c>
      <c r="W57">
        <v>99.33</v>
      </c>
      <c r="X57">
        <v>106.09</v>
      </c>
      <c r="Y57">
        <v>88.75</v>
      </c>
      <c r="Z57" t="s">
        <v>41</v>
      </c>
      <c r="AA57">
        <v>14963857571</v>
      </c>
      <c r="AB57">
        <v>3.14</v>
      </c>
      <c r="AC57">
        <v>18.989999999999998</v>
      </c>
      <c r="AD57">
        <v>57.34</v>
      </c>
      <c r="AE57">
        <v>34.590000000000003</v>
      </c>
      <c r="AF57">
        <v>735.06</v>
      </c>
      <c r="AG57">
        <v>81.62</v>
      </c>
      <c r="AH57">
        <v>42.68</v>
      </c>
      <c r="AI57">
        <v>4.49</v>
      </c>
      <c r="AJ57">
        <v>51.29</v>
      </c>
      <c r="AK57">
        <v>298.06</v>
      </c>
    </row>
    <row r="58" spans="1:37" x14ac:dyDescent="0.25">
      <c r="A58">
        <v>0</v>
      </c>
      <c r="B58" t="s">
        <v>37</v>
      </c>
      <c r="C58">
        <v>20160901</v>
      </c>
      <c r="D58">
        <v>20160901</v>
      </c>
      <c r="E58" t="s">
        <v>38</v>
      </c>
      <c r="F58">
        <v>153896.01</v>
      </c>
      <c r="G58">
        <v>169925.21</v>
      </c>
      <c r="H58">
        <v>2045.73</v>
      </c>
      <c r="I58">
        <v>19.45</v>
      </c>
      <c r="J58">
        <v>14459146412</v>
      </c>
      <c r="K58">
        <v>81.81</v>
      </c>
      <c r="L58" t="s">
        <v>39</v>
      </c>
      <c r="M58">
        <v>2.39</v>
      </c>
      <c r="N58">
        <v>1.27</v>
      </c>
      <c r="O58" t="s">
        <v>39</v>
      </c>
      <c r="P58">
        <v>68.64</v>
      </c>
      <c r="Q58">
        <v>16.43</v>
      </c>
      <c r="R58">
        <v>20120101</v>
      </c>
      <c r="S58" t="s">
        <v>39</v>
      </c>
      <c r="T58">
        <v>9.8000000000000007</v>
      </c>
      <c r="U58">
        <v>80.41</v>
      </c>
      <c r="V58" t="s">
        <v>40</v>
      </c>
      <c r="W58">
        <v>99.34</v>
      </c>
      <c r="X58">
        <v>105.83</v>
      </c>
      <c r="Y58">
        <v>88.78</v>
      </c>
      <c r="Z58" t="s">
        <v>41</v>
      </c>
      <c r="AA58">
        <v>14722241400</v>
      </c>
      <c r="AB58">
        <v>3.14</v>
      </c>
      <c r="AC58">
        <v>18.899999999999999</v>
      </c>
      <c r="AD58">
        <v>56.95</v>
      </c>
      <c r="AE58">
        <v>34.590000000000003</v>
      </c>
      <c r="AF58">
        <v>735.01</v>
      </c>
      <c r="AG58">
        <v>81.56</v>
      </c>
      <c r="AH58">
        <v>42.71</v>
      </c>
      <c r="AI58">
        <v>4.49</v>
      </c>
      <c r="AJ58">
        <v>52.29</v>
      </c>
      <c r="AK58">
        <v>296.97000000000003</v>
      </c>
    </row>
    <row r="59" spans="1:37" x14ac:dyDescent="0.25">
      <c r="A59">
        <v>0</v>
      </c>
      <c r="B59" t="s">
        <v>37</v>
      </c>
      <c r="C59">
        <v>20161001</v>
      </c>
      <c r="D59">
        <v>20161001</v>
      </c>
      <c r="E59" t="s">
        <v>38</v>
      </c>
      <c r="F59">
        <v>153118.82999999999</v>
      </c>
      <c r="G59">
        <v>169448.13</v>
      </c>
      <c r="H59">
        <v>2141.6799999999998</v>
      </c>
      <c r="I59">
        <v>19.850000000000001</v>
      </c>
      <c r="J59">
        <v>14171454046</v>
      </c>
      <c r="K59">
        <v>81.77</v>
      </c>
      <c r="L59" t="s">
        <v>39</v>
      </c>
      <c r="M59">
        <v>2.29</v>
      </c>
      <c r="N59">
        <v>1.1000000000000001</v>
      </c>
      <c r="O59" t="s">
        <v>39</v>
      </c>
      <c r="P59">
        <v>68.72</v>
      </c>
      <c r="Q59">
        <v>16.510000000000002</v>
      </c>
      <c r="R59">
        <v>20120101</v>
      </c>
      <c r="S59" t="s">
        <v>39</v>
      </c>
      <c r="T59">
        <v>9.7799999999999994</v>
      </c>
      <c r="U59">
        <v>80.33</v>
      </c>
      <c r="V59" t="s">
        <v>40</v>
      </c>
      <c r="W59">
        <v>99.35</v>
      </c>
      <c r="X59">
        <v>103.12</v>
      </c>
      <c r="Y59">
        <v>88.8</v>
      </c>
      <c r="Z59" t="s">
        <v>41</v>
      </c>
      <c r="AA59">
        <v>14434050903</v>
      </c>
      <c r="AB59">
        <v>3.14</v>
      </c>
      <c r="AC59">
        <v>18.809999999999999</v>
      </c>
      <c r="AD59">
        <v>56.82</v>
      </c>
      <c r="AE59">
        <v>34.590000000000003</v>
      </c>
      <c r="AF59">
        <v>734.91</v>
      </c>
      <c r="AG59">
        <v>81.52</v>
      </c>
      <c r="AH59">
        <v>42.74</v>
      </c>
      <c r="AI59">
        <v>4.49</v>
      </c>
      <c r="AJ59">
        <v>53.29</v>
      </c>
      <c r="AK59">
        <v>295.89</v>
      </c>
    </row>
    <row r="60" spans="1:37" x14ac:dyDescent="0.25">
      <c r="A60">
        <v>0</v>
      </c>
      <c r="B60" t="s">
        <v>37</v>
      </c>
      <c r="C60">
        <v>20161101</v>
      </c>
      <c r="D60">
        <v>20161101</v>
      </c>
      <c r="E60" t="s">
        <v>38</v>
      </c>
      <c r="F60">
        <v>152301</v>
      </c>
      <c r="G60">
        <v>168910.96</v>
      </c>
      <c r="H60">
        <v>2235.62</v>
      </c>
      <c r="I60">
        <v>19.46</v>
      </c>
      <c r="J60">
        <v>13889546800</v>
      </c>
      <c r="K60">
        <v>81.709999999999994</v>
      </c>
      <c r="L60" t="s">
        <v>39</v>
      </c>
      <c r="M60">
        <v>2.25</v>
      </c>
      <c r="N60">
        <v>1.18</v>
      </c>
      <c r="O60" t="s">
        <v>39</v>
      </c>
      <c r="P60">
        <v>68.95</v>
      </c>
      <c r="Q60">
        <v>16.59</v>
      </c>
      <c r="R60">
        <v>20120101</v>
      </c>
      <c r="S60" t="s">
        <v>39</v>
      </c>
      <c r="T60">
        <v>9.74</v>
      </c>
      <c r="U60">
        <v>80.25</v>
      </c>
      <c r="V60" t="s">
        <v>40</v>
      </c>
      <c r="W60">
        <v>99.35</v>
      </c>
      <c r="X60">
        <v>102.17</v>
      </c>
      <c r="Y60">
        <v>88.86</v>
      </c>
      <c r="Z60" t="s">
        <v>41</v>
      </c>
      <c r="AA60">
        <v>14142444186</v>
      </c>
      <c r="AB60">
        <v>3.14</v>
      </c>
      <c r="AC60">
        <v>18.63</v>
      </c>
      <c r="AD60">
        <v>56.73</v>
      </c>
      <c r="AE60">
        <v>34.6</v>
      </c>
      <c r="AF60">
        <v>734.85</v>
      </c>
      <c r="AG60">
        <v>81.55</v>
      </c>
      <c r="AH60">
        <v>42.81</v>
      </c>
      <c r="AI60">
        <v>4.49</v>
      </c>
      <c r="AJ60">
        <v>54.28</v>
      </c>
      <c r="AK60">
        <v>294.82</v>
      </c>
    </row>
    <row r="61" spans="1:37" x14ac:dyDescent="0.25">
      <c r="A61">
        <v>0</v>
      </c>
      <c r="B61" t="s">
        <v>37</v>
      </c>
      <c r="C61">
        <v>20161201</v>
      </c>
      <c r="D61">
        <v>20161201</v>
      </c>
      <c r="E61" t="s">
        <v>38</v>
      </c>
      <c r="F61">
        <v>151578.63</v>
      </c>
      <c r="G61">
        <v>168472.36</v>
      </c>
      <c r="H61">
        <v>2297.5300000000002</v>
      </c>
      <c r="I61">
        <v>18.88</v>
      </c>
      <c r="J61">
        <v>13619947017</v>
      </c>
      <c r="K61">
        <v>81.69</v>
      </c>
      <c r="L61" t="s">
        <v>39</v>
      </c>
      <c r="M61">
        <v>2.19</v>
      </c>
      <c r="N61">
        <v>1.21</v>
      </c>
      <c r="O61" t="s">
        <v>39</v>
      </c>
      <c r="P61">
        <v>69.03</v>
      </c>
      <c r="Q61">
        <v>16.64</v>
      </c>
      <c r="R61">
        <v>20120101</v>
      </c>
      <c r="S61" t="s">
        <v>39</v>
      </c>
      <c r="T61">
        <v>9.75</v>
      </c>
      <c r="U61">
        <v>80.209999999999994</v>
      </c>
      <c r="V61" t="s">
        <v>40</v>
      </c>
      <c r="W61">
        <v>99.35</v>
      </c>
      <c r="X61">
        <v>68.010000000000005</v>
      </c>
      <c r="Y61">
        <v>88.87</v>
      </c>
      <c r="Z61" t="s">
        <v>41</v>
      </c>
      <c r="AA61">
        <v>13859611134</v>
      </c>
      <c r="AB61">
        <v>3.13</v>
      </c>
      <c r="AC61">
        <v>18.55</v>
      </c>
      <c r="AD61">
        <v>56.6</v>
      </c>
      <c r="AE61">
        <v>34.61</v>
      </c>
      <c r="AF61">
        <v>734.67</v>
      </c>
      <c r="AG61">
        <v>81.510000000000005</v>
      </c>
      <c r="AH61">
        <v>42.83</v>
      </c>
      <c r="AI61">
        <v>4.49</v>
      </c>
      <c r="AJ61">
        <v>55.28</v>
      </c>
      <c r="AK61">
        <v>293.73</v>
      </c>
    </row>
    <row r="62" spans="1:37" x14ac:dyDescent="0.25">
      <c r="A62">
        <v>0</v>
      </c>
      <c r="B62" t="s">
        <v>37</v>
      </c>
      <c r="C62">
        <v>20170101</v>
      </c>
      <c r="D62">
        <v>20170101</v>
      </c>
      <c r="E62" t="s">
        <v>38</v>
      </c>
      <c r="F62">
        <v>150937.32</v>
      </c>
      <c r="G62">
        <v>168119.93</v>
      </c>
      <c r="H62">
        <v>2322.66</v>
      </c>
      <c r="I62">
        <v>19.04</v>
      </c>
      <c r="J62">
        <v>13357198521</v>
      </c>
      <c r="K62">
        <v>81.66</v>
      </c>
      <c r="L62" t="s">
        <v>39</v>
      </c>
      <c r="M62">
        <v>2.13</v>
      </c>
      <c r="N62">
        <v>1.23</v>
      </c>
      <c r="O62" t="s">
        <v>39</v>
      </c>
      <c r="P62">
        <v>69.13</v>
      </c>
      <c r="Q62">
        <v>16.649999999999999</v>
      </c>
      <c r="R62">
        <v>20120101</v>
      </c>
      <c r="S62" t="s">
        <v>39</v>
      </c>
      <c r="T62">
        <v>9.75</v>
      </c>
      <c r="U62">
        <v>80.22</v>
      </c>
      <c r="V62" t="s">
        <v>40</v>
      </c>
      <c r="W62">
        <v>99.35</v>
      </c>
      <c r="X62">
        <v>28.5</v>
      </c>
      <c r="Y62">
        <v>88.93</v>
      </c>
      <c r="Z62" t="s">
        <v>41</v>
      </c>
      <c r="AA62">
        <v>13594436467</v>
      </c>
      <c r="AB62">
        <v>3.12</v>
      </c>
      <c r="AC62">
        <v>18.43</v>
      </c>
      <c r="AD62">
        <v>56.5</v>
      </c>
      <c r="AE62">
        <v>34.61</v>
      </c>
      <c r="AF62">
        <v>734.61</v>
      </c>
      <c r="AG62">
        <v>81.510000000000005</v>
      </c>
      <c r="AH62">
        <v>42.84</v>
      </c>
      <c r="AI62">
        <v>4.49</v>
      </c>
      <c r="AJ62">
        <v>56.27</v>
      </c>
      <c r="AK62">
        <v>292.67</v>
      </c>
    </row>
    <row r="63" spans="1:37" x14ac:dyDescent="0.25">
      <c r="A63">
        <v>0</v>
      </c>
      <c r="B63" t="s">
        <v>37</v>
      </c>
      <c r="C63">
        <v>20170201</v>
      </c>
      <c r="D63">
        <v>20170201</v>
      </c>
      <c r="E63" t="s">
        <v>38</v>
      </c>
      <c r="F63">
        <v>150279.09</v>
      </c>
      <c r="G63">
        <v>167749.26</v>
      </c>
      <c r="H63">
        <v>2356.34</v>
      </c>
      <c r="I63">
        <v>14.06</v>
      </c>
      <c r="J63">
        <v>13238686422</v>
      </c>
      <c r="K63">
        <v>81.27</v>
      </c>
      <c r="L63" t="s">
        <v>39</v>
      </c>
      <c r="M63">
        <v>2.0699999999999998</v>
      </c>
      <c r="N63">
        <v>1.24</v>
      </c>
      <c r="O63" t="s">
        <v>39</v>
      </c>
      <c r="P63">
        <v>68.739999999999995</v>
      </c>
      <c r="Q63">
        <v>16.59</v>
      </c>
      <c r="R63">
        <v>20120101</v>
      </c>
      <c r="S63" t="s">
        <v>39</v>
      </c>
      <c r="T63">
        <v>9.7200000000000006</v>
      </c>
      <c r="U63">
        <v>79.86</v>
      </c>
      <c r="V63" t="s">
        <v>40</v>
      </c>
      <c r="W63">
        <v>98.92</v>
      </c>
      <c r="X63">
        <v>36.17</v>
      </c>
      <c r="Y63">
        <v>88.52</v>
      </c>
      <c r="Z63" t="s">
        <v>41</v>
      </c>
      <c r="AA63">
        <v>13348522704</v>
      </c>
      <c r="AB63">
        <v>3.11</v>
      </c>
      <c r="AC63">
        <v>18.43</v>
      </c>
      <c r="AD63">
        <v>56.38</v>
      </c>
      <c r="AE63">
        <v>34.6</v>
      </c>
      <c r="AF63">
        <v>734.68</v>
      </c>
      <c r="AG63">
        <v>81.56</v>
      </c>
      <c r="AH63">
        <v>42.76</v>
      </c>
      <c r="AI63">
        <v>4.49</v>
      </c>
      <c r="AJ63">
        <v>57.27</v>
      </c>
      <c r="AK63">
        <v>291.63</v>
      </c>
    </row>
    <row r="64" spans="1:37" x14ac:dyDescent="0.25">
      <c r="A64">
        <v>0</v>
      </c>
      <c r="B64" t="s">
        <v>37</v>
      </c>
      <c r="C64">
        <v>20170301</v>
      </c>
      <c r="D64">
        <v>20170301</v>
      </c>
      <c r="E64" t="s">
        <v>38</v>
      </c>
      <c r="F64">
        <v>149839.41</v>
      </c>
      <c r="G64">
        <v>167631.23000000001</v>
      </c>
      <c r="H64">
        <v>2420.4</v>
      </c>
      <c r="I64">
        <v>11.23</v>
      </c>
      <c r="J64">
        <v>13083827901</v>
      </c>
      <c r="K64">
        <v>50.99</v>
      </c>
      <c r="L64" t="s">
        <v>39</v>
      </c>
      <c r="M64">
        <v>0.05</v>
      </c>
      <c r="N64">
        <v>1.1399999999999999</v>
      </c>
      <c r="O64" t="s">
        <v>39</v>
      </c>
      <c r="P64">
        <v>68.75</v>
      </c>
      <c r="Q64">
        <v>16.600000000000001</v>
      </c>
      <c r="R64">
        <v>20120101</v>
      </c>
      <c r="S64" t="s">
        <v>39</v>
      </c>
      <c r="T64">
        <v>46.79</v>
      </c>
      <c r="U64">
        <v>80.290000000000006</v>
      </c>
      <c r="V64" t="s">
        <v>40</v>
      </c>
      <c r="W64">
        <v>99.36</v>
      </c>
      <c r="X64">
        <v>79.03</v>
      </c>
      <c r="Y64">
        <v>88.53</v>
      </c>
      <c r="Z64" t="s">
        <v>41</v>
      </c>
      <c r="AA64">
        <v>13214362984</v>
      </c>
      <c r="AB64">
        <v>3.1</v>
      </c>
      <c r="AC64">
        <v>18.41</v>
      </c>
      <c r="AD64">
        <v>56.2</v>
      </c>
      <c r="AE64">
        <v>34.590000000000003</v>
      </c>
      <c r="AF64">
        <v>734.71</v>
      </c>
      <c r="AG64">
        <v>81.55</v>
      </c>
      <c r="AH64">
        <v>42.74</v>
      </c>
      <c r="AI64">
        <v>4.49</v>
      </c>
      <c r="AJ64">
        <v>58.27</v>
      </c>
      <c r="AK64">
        <v>290.51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4"/>
  <sheetViews>
    <sheetView workbookViewId="0">
      <selection activeCell="V2" sqref="V2"/>
    </sheetView>
  </sheetViews>
  <sheetFormatPr defaultRowHeight="15" x14ac:dyDescent="0.25"/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42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25">
      <c r="A2">
        <v>0</v>
      </c>
      <c r="B2" t="s">
        <v>37</v>
      </c>
      <c r="C2" s="1">
        <v>40909</v>
      </c>
      <c r="D2" s="1">
        <v>40909</v>
      </c>
      <c r="E2" t="s">
        <v>38</v>
      </c>
      <c r="F2">
        <v>214477.21185526301</v>
      </c>
      <c r="G2">
        <v>3157.91578947368</v>
      </c>
      <c r="H2">
        <v>54.670793812034702</v>
      </c>
      <c r="I2">
        <v>0</v>
      </c>
      <c r="J2">
        <v>163002681.00999999</v>
      </c>
      <c r="K2">
        <v>79.6817439398</v>
      </c>
      <c r="L2">
        <v>118.525065764172</v>
      </c>
      <c r="M2">
        <v>18.9408123435609</v>
      </c>
      <c r="N2">
        <v>0</v>
      </c>
      <c r="O2">
        <v>0</v>
      </c>
      <c r="P2">
        <v>71.128990626005702</v>
      </c>
      <c r="Q2">
        <v>5.9469445359940396</v>
      </c>
      <c r="R2">
        <v>20120101</v>
      </c>
      <c r="S2">
        <v>0</v>
      </c>
      <c r="T2">
        <v>3.8455186223168698</v>
      </c>
      <c r="U2">
        <v>91.1602789438315</v>
      </c>
      <c r="V2" t="s">
        <v>40</v>
      </c>
      <c r="W2">
        <v>96.715442669956701</v>
      </c>
      <c r="X2">
        <v>35.876864447661603</v>
      </c>
      <c r="Y2">
        <v>93.544804457928805</v>
      </c>
      <c r="Z2" t="s">
        <v>41</v>
      </c>
      <c r="AA2">
        <v>0</v>
      </c>
      <c r="AB2">
        <v>2.89277652017436</v>
      </c>
      <c r="AC2">
        <v>13.778213488749399</v>
      </c>
      <c r="AD2">
        <v>68.280814354136197</v>
      </c>
      <c r="AE2">
        <v>0</v>
      </c>
      <c r="AF2">
        <v>749.04964646943097</v>
      </c>
      <c r="AG2">
        <v>68.334808304022005</v>
      </c>
      <c r="AH2">
        <v>34.836085166433001</v>
      </c>
      <c r="AI2">
        <v>4.5432467145291104</v>
      </c>
      <c r="AJ2">
        <v>0.107497519926834</v>
      </c>
      <c r="AK2">
        <v>356.87967127633402</v>
      </c>
    </row>
    <row r="3" spans="1:37" x14ac:dyDescent="0.25">
      <c r="A3">
        <v>0</v>
      </c>
      <c r="B3" t="s">
        <v>37</v>
      </c>
      <c r="C3" s="1">
        <v>40940</v>
      </c>
      <c r="D3" s="1">
        <v>40940</v>
      </c>
      <c r="E3" t="s">
        <v>38</v>
      </c>
      <c r="F3">
        <v>209154.97276661501</v>
      </c>
      <c r="G3">
        <v>2704.0501352395599</v>
      </c>
      <c r="H3">
        <v>38.962893802399698</v>
      </c>
      <c r="I3">
        <v>0.96402142090670195</v>
      </c>
      <c r="J3">
        <v>2165172278.0799999</v>
      </c>
      <c r="K3">
        <v>103.96276205482</v>
      </c>
      <c r="L3">
        <v>118.846638806733</v>
      </c>
      <c r="M3">
        <v>36.379505399819202</v>
      </c>
      <c r="N3">
        <v>2.3531306344260101E-2</v>
      </c>
      <c r="O3">
        <v>0</v>
      </c>
      <c r="P3">
        <v>58.774520120806002</v>
      </c>
      <c r="Q3">
        <v>5.7609440443455204</v>
      </c>
      <c r="R3">
        <v>20120101</v>
      </c>
      <c r="S3">
        <v>0</v>
      </c>
      <c r="T3">
        <v>7.2016840903541404</v>
      </c>
      <c r="U3">
        <v>90.899751359985103</v>
      </c>
      <c r="V3" t="s">
        <v>40</v>
      </c>
      <c r="W3">
        <v>92.437247272182205</v>
      </c>
      <c r="X3">
        <v>16.670548516811301</v>
      </c>
      <c r="Y3">
        <v>89.577872042086</v>
      </c>
      <c r="Z3" t="s">
        <v>41</v>
      </c>
      <c r="AA3">
        <v>0</v>
      </c>
      <c r="AB3">
        <v>3.3380542806460398</v>
      </c>
      <c r="AC3">
        <v>27.5238169197149</v>
      </c>
      <c r="AD3">
        <v>76.155258994353304</v>
      </c>
      <c r="AE3">
        <v>0</v>
      </c>
      <c r="AF3">
        <v>754.08902501677096</v>
      </c>
      <c r="AG3">
        <v>76.185031386604095</v>
      </c>
      <c r="AH3">
        <v>27.065516029041198</v>
      </c>
      <c r="AI3">
        <v>4.4612558937028801</v>
      </c>
      <c r="AJ3">
        <v>1.03175947872886</v>
      </c>
      <c r="AK3">
        <v>354.58034713524199</v>
      </c>
    </row>
    <row r="4" spans="1:37" x14ac:dyDescent="0.25">
      <c r="A4">
        <v>0</v>
      </c>
      <c r="B4" t="s">
        <v>37</v>
      </c>
      <c r="C4" s="1">
        <v>40969</v>
      </c>
      <c r="D4" s="1">
        <v>40969</v>
      </c>
      <c r="E4" t="s">
        <v>38</v>
      </c>
      <c r="F4">
        <v>214372.68551879199</v>
      </c>
      <c r="G4">
        <v>2669.3389886792402</v>
      </c>
      <c r="H4">
        <v>46.564019391200702</v>
      </c>
      <c r="I4">
        <v>1.47024301324971</v>
      </c>
      <c r="J4">
        <v>7101095207.8100004</v>
      </c>
      <c r="K4">
        <v>120.44383653292201</v>
      </c>
      <c r="L4">
        <v>118.89942988965601</v>
      </c>
      <c r="M4">
        <v>35.335282652657199</v>
      </c>
      <c r="N4">
        <v>2.48502372044835E-2</v>
      </c>
      <c r="O4">
        <v>0</v>
      </c>
      <c r="P4">
        <v>44.587384921961799</v>
      </c>
      <c r="Q4">
        <v>9.7074961569131197</v>
      </c>
      <c r="R4">
        <v>20120101</v>
      </c>
      <c r="S4">
        <v>0</v>
      </c>
      <c r="T4">
        <v>9.2711497604849598</v>
      </c>
      <c r="U4">
        <v>86.800737850446595</v>
      </c>
      <c r="V4" t="s">
        <v>40</v>
      </c>
      <c r="W4">
        <v>91.458329545457602</v>
      </c>
      <c r="X4">
        <v>20.380542740875899</v>
      </c>
      <c r="Y4">
        <v>84.767525257870204</v>
      </c>
      <c r="Z4" t="s">
        <v>41</v>
      </c>
      <c r="AA4">
        <v>0</v>
      </c>
      <c r="AB4">
        <v>3.4905054283357901</v>
      </c>
      <c r="AC4">
        <v>40.169497319246197</v>
      </c>
      <c r="AD4">
        <v>76.256089982186396</v>
      </c>
      <c r="AE4">
        <v>0</v>
      </c>
      <c r="AF4">
        <v>750.54340299796604</v>
      </c>
      <c r="AG4">
        <v>76.287331311076599</v>
      </c>
      <c r="AH4">
        <v>27.8470364356475</v>
      </c>
      <c r="AI4">
        <v>4.4652162064619798</v>
      </c>
      <c r="AJ4">
        <v>1.78396724099223</v>
      </c>
      <c r="AK4">
        <v>355.24710902023099</v>
      </c>
    </row>
    <row r="5" spans="1:37" x14ac:dyDescent="0.25">
      <c r="A5">
        <v>0</v>
      </c>
      <c r="B5" t="s">
        <v>37</v>
      </c>
      <c r="C5" s="1">
        <v>41000</v>
      </c>
      <c r="D5" s="1">
        <v>41000</v>
      </c>
      <c r="E5" t="s">
        <v>38</v>
      </c>
      <c r="F5">
        <v>205255.91986277801</v>
      </c>
      <c r="G5">
        <v>3082.5672349208699</v>
      </c>
      <c r="H5">
        <v>51.525060926877003</v>
      </c>
      <c r="I5">
        <v>1.76866930912263</v>
      </c>
      <c r="J5">
        <v>10739810750.9</v>
      </c>
      <c r="K5">
        <v>131.39322229601899</v>
      </c>
      <c r="L5">
        <v>118.920560893507</v>
      </c>
      <c r="M5">
        <v>37.797768469132997</v>
      </c>
      <c r="N5">
        <v>0.19628421697771001</v>
      </c>
      <c r="O5">
        <v>0</v>
      </c>
      <c r="P5">
        <v>53.565684939671598</v>
      </c>
      <c r="Q5">
        <v>10.386103836011801</v>
      </c>
      <c r="R5">
        <v>20120101</v>
      </c>
      <c r="S5">
        <v>0</v>
      </c>
      <c r="T5">
        <v>9.8965923334201502</v>
      </c>
      <c r="U5">
        <v>86.297019937947297</v>
      </c>
      <c r="V5" t="s">
        <v>40</v>
      </c>
      <c r="W5">
        <v>90.018341812086007</v>
      </c>
      <c r="X5">
        <v>12.204548908053701</v>
      </c>
      <c r="Y5">
        <v>87.322586253066405</v>
      </c>
      <c r="Z5" t="s">
        <v>41</v>
      </c>
      <c r="AA5">
        <v>0</v>
      </c>
      <c r="AB5">
        <v>3.3156867121610998</v>
      </c>
      <c r="AC5">
        <v>34.158572615853799</v>
      </c>
      <c r="AD5">
        <v>76.801843480976302</v>
      </c>
      <c r="AE5">
        <v>0</v>
      </c>
      <c r="AF5">
        <v>746.78269197880604</v>
      </c>
      <c r="AG5">
        <v>78.026790253582007</v>
      </c>
      <c r="AH5">
        <v>30.838036622058699</v>
      </c>
      <c r="AI5">
        <v>4.4710547164922199</v>
      </c>
      <c r="AJ5">
        <v>2.2408074193153902</v>
      </c>
      <c r="AK5">
        <v>354.05211659973099</v>
      </c>
    </row>
    <row r="6" spans="1:37" x14ac:dyDescent="0.25">
      <c r="A6">
        <v>0</v>
      </c>
      <c r="B6" t="s">
        <v>37</v>
      </c>
      <c r="C6" s="1">
        <v>41030</v>
      </c>
      <c r="D6" s="1">
        <v>41030</v>
      </c>
      <c r="E6" t="s">
        <v>38</v>
      </c>
      <c r="F6">
        <v>203723.102967727</v>
      </c>
      <c r="G6">
        <v>3335.9909037076</v>
      </c>
      <c r="H6">
        <v>67.198230396205105</v>
      </c>
      <c r="I6">
        <v>2.9252382274357398</v>
      </c>
      <c r="J6">
        <v>12385142321.82</v>
      </c>
      <c r="K6">
        <v>133.18724389497601</v>
      </c>
      <c r="L6">
        <v>135.13046298463101</v>
      </c>
      <c r="M6">
        <v>37.393110276400101</v>
      </c>
      <c r="N6">
        <v>0.25855303585324702</v>
      </c>
      <c r="O6">
        <v>0</v>
      </c>
      <c r="P6">
        <v>56.278221802238903</v>
      </c>
      <c r="Q6">
        <v>11.0284932289922</v>
      </c>
      <c r="R6">
        <v>20120101</v>
      </c>
      <c r="S6">
        <v>0</v>
      </c>
      <c r="T6">
        <v>9.9855034884493108</v>
      </c>
      <c r="U6">
        <v>85.688318409792103</v>
      </c>
      <c r="V6" t="s">
        <v>40</v>
      </c>
      <c r="W6">
        <v>90.658331120614093</v>
      </c>
      <c r="X6">
        <v>16.6708103043748</v>
      </c>
      <c r="Y6">
        <v>87.931676737648303</v>
      </c>
      <c r="Z6" t="s">
        <v>41</v>
      </c>
      <c r="AA6">
        <v>0</v>
      </c>
      <c r="AB6">
        <v>3.2817693816180098</v>
      </c>
      <c r="AC6">
        <v>31.891203559958502</v>
      </c>
      <c r="AD6">
        <v>76.475065126867904</v>
      </c>
      <c r="AE6">
        <v>0</v>
      </c>
      <c r="AF6">
        <v>745.19687337756204</v>
      </c>
      <c r="AG6">
        <v>78.741756418330695</v>
      </c>
      <c r="AH6">
        <v>32.1562082008871</v>
      </c>
      <c r="AI6">
        <v>4.4761336197293202</v>
      </c>
      <c r="AJ6">
        <v>2.9569700608412801</v>
      </c>
      <c r="AK6">
        <v>353.35169388856701</v>
      </c>
    </row>
    <row r="7" spans="1:37" x14ac:dyDescent="0.25">
      <c r="A7">
        <v>0</v>
      </c>
      <c r="B7" t="s">
        <v>37</v>
      </c>
      <c r="C7" s="1">
        <v>41061</v>
      </c>
      <c r="D7" s="1">
        <v>41061</v>
      </c>
      <c r="E7" t="s">
        <v>38</v>
      </c>
      <c r="F7">
        <v>194128.43827226601</v>
      </c>
      <c r="G7">
        <v>3263.7671304905398</v>
      </c>
      <c r="H7">
        <v>85.046386326465793</v>
      </c>
      <c r="I7">
        <v>4.2216602997660502</v>
      </c>
      <c r="J7">
        <v>15137164974.280001</v>
      </c>
      <c r="K7">
        <v>134.49060040502701</v>
      </c>
      <c r="L7">
        <v>135.09681102151899</v>
      </c>
      <c r="M7">
        <v>37.125261127315298</v>
      </c>
      <c r="N7">
        <v>0.30384076610037503</v>
      </c>
      <c r="O7">
        <v>0</v>
      </c>
      <c r="P7">
        <v>59.214425483682703</v>
      </c>
      <c r="Q7">
        <v>11.7240911287447</v>
      </c>
      <c r="R7">
        <v>20120101</v>
      </c>
      <c r="S7">
        <v>0</v>
      </c>
      <c r="T7">
        <v>9.7520604332258802</v>
      </c>
      <c r="U7">
        <v>85.058730221899793</v>
      </c>
      <c r="V7" t="s">
        <v>40</v>
      </c>
      <c r="W7">
        <v>91.252781747949896</v>
      </c>
      <c r="X7">
        <v>26.769409834318498</v>
      </c>
      <c r="Y7">
        <v>88.095369696050795</v>
      </c>
      <c r="Z7" t="s">
        <v>41</v>
      </c>
      <c r="AA7">
        <v>0</v>
      </c>
      <c r="AB7">
        <v>3.2155890598798802</v>
      </c>
      <c r="AC7">
        <v>28.463785964091599</v>
      </c>
      <c r="AD7">
        <v>76.271336168466902</v>
      </c>
      <c r="AE7">
        <v>0</v>
      </c>
      <c r="AF7">
        <v>744.09378691876304</v>
      </c>
      <c r="AG7">
        <v>79.398292381352306</v>
      </c>
      <c r="AH7">
        <v>32.740419909226901</v>
      </c>
      <c r="AI7">
        <v>4.4805780114564397</v>
      </c>
      <c r="AJ7">
        <v>3.49996467713069</v>
      </c>
      <c r="AK7">
        <v>352.26479368012201</v>
      </c>
    </row>
    <row r="8" spans="1:37" x14ac:dyDescent="0.25">
      <c r="A8">
        <v>0</v>
      </c>
      <c r="B8" t="s">
        <v>37</v>
      </c>
      <c r="C8" s="1">
        <v>41091</v>
      </c>
      <c r="D8" s="1">
        <v>41091</v>
      </c>
      <c r="E8" t="s">
        <v>38</v>
      </c>
      <c r="F8">
        <v>190046.202594659</v>
      </c>
      <c r="G8">
        <v>3182.6039796342402</v>
      </c>
      <c r="H8">
        <v>108.84663690714</v>
      </c>
      <c r="I8">
        <v>5.6563385882192696</v>
      </c>
      <c r="J8">
        <v>18290046537.709999</v>
      </c>
      <c r="K8">
        <v>143.020017491788</v>
      </c>
      <c r="L8">
        <v>135.23640094669099</v>
      </c>
      <c r="M8">
        <v>39.618489053171402</v>
      </c>
      <c r="N8">
        <v>0.30097059606670201</v>
      </c>
      <c r="O8">
        <v>0</v>
      </c>
      <c r="P8">
        <v>59.848866979462102</v>
      </c>
      <c r="Q8">
        <v>12.455011639296</v>
      </c>
      <c r="R8">
        <v>20120101</v>
      </c>
      <c r="S8">
        <v>0</v>
      </c>
      <c r="T8">
        <v>10.3353937922498</v>
      </c>
      <c r="U8">
        <v>84.338120007085394</v>
      </c>
      <c r="V8" t="s">
        <v>40</v>
      </c>
      <c r="W8">
        <v>89.974276169925602</v>
      </c>
      <c r="X8">
        <v>38.457251072218497</v>
      </c>
      <c r="Y8">
        <v>86.966267834355094</v>
      </c>
      <c r="Z8" t="s">
        <v>41</v>
      </c>
      <c r="AA8">
        <v>0</v>
      </c>
      <c r="AB8">
        <v>3.2052632331468298</v>
      </c>
      <c r="AC8">
        <v>27.510735896297899</v>
      </c>
      <c r="AD8">
        <v>76.958861260299003</v>
      </c>
      <c r="AE8">
        <v>0</v>
      </c>
      <c r="AF8">
        <v>741.83551816788201</v>
      </c>
      <c r="AG8">
        <v>80.199952351413003</v>
      </c>
      <c r="AH8">
        <v>33.2708442906765</v>
      </c>
      <c r="AI8">
        <v>4.4834872107792698</v>
      </c>
      <c r="AJ8">
        <v>4.0440956121143303</v>
      </c>
      <c r="AK8">
        <v>351.56214710530799</v>
      </c>
    </row>
    <row r="9" spans="1:37" x14ac:dyDescent="0.25">
      <c r="A9">
        <v>0</v>
      </c>
      <c r="B9" t="s">
        <v>37</v>
      </c>
      <c r="C9" s="1">
        <v>41122</v>
      </c>
      <c r="D9" s="1">
        <v>41122</v>
      </c>
      <c r="E9" t="s">
        <v>38</v>
      </c>
      <c r="F9">
        <v>188258.38781828401</v>
      </c>
      <c r="G9">
        <v>3354.5022974378298</v>
      </c>
      <c r="H9">
        <v>144.448303249513</v>
      </c>
      <c r="I9">
        <v>8.1614332252053394</v>
      </c>
      <c r="J9">
        <v>19912089679.540001</v>
      </c>
      <c r="K9">
        <v>148.447309169205</v>
      </c>
      <c r="L9">
        <v>135.25780177351001</v>
      </c>
      <c r="M9">
        <v>41.004743973313097</v>
      </c>
      <c r="N9">
        <v>0.42938291488399</v>
      </c>
      <c r="O9">
        <v>0</v>
      </c>
      <c r="P9">
        <v>61.8039337217133</v>
      </c>
      <c r="Q9">
        <v>13.1132664580031</v>
      </c>
      <c r="R9">
        <v>20120101</v>
      </c>
      <c r="S9">
        <v>0</v>
      </c>
      <c r="T9">
        <v>10.4775784180407</v>
      </c>
      <c r="U9">
        <v>83.715464039020901</v>
      </c>
      <c r="V9" t="s">
        <v>40</v>
      </c>
      <c r="W9">
        <v>89.336470577812094</v>
      </c>
      <c r="X9">
        <v>49.235802379846902</v>
      </c>
      <c r="Y9">
        <v>87.311326098925804</v>
      </c>
      <c r="Z9" t="s">
        <v>41</v>
      </c>
      <c r="AA9">
        <v>0</v>
      </c>
      <c r="AB9">
        <v>3.1694966877749802</v>
      </c>
      <c r="AC9">
        <v>26.2092856524803</v>
      </c>
      <c r="AD9">
        <v>77.264254893273502</v>
      </c>
      <c r="AE9">
        <v>0</v>
      </c>
      <c r="AF9">
        <v>740.688241217778</v>
      </c>
      <c r="AG9">
        <v>80.717605804914697</v>
      </c>
      <c r="AH9">
        <v>34.759048971897997</v>
      </c>
      <c r="AI9">
        <v>4.4874677496225104</v>
      </c>
      <c r="AJ9">
        <v>4.7101274192230598</v>
      </c>
      <c r="AK9">
        <v>350.77182793263302</v>
      </c>
    </row>
    <row r="10" spans="1:37" x14ac:dyDescent="0.25">
      <c r="A10">
        <v>0</v>
      </c>
      <c r="B10" t="s">
        <v>37</v>
      </c>
      <c r="C10" s="1">
        <v>41153</v>
      </c>
      <c r="D10" s="1">
        <v>41153</v>
      </c>
      <c r="E10" t="s">
        <v>38</v>
      </c>
      <c r="F10">
        <v>185096.25900973799</v>
      </c>
      <c r="G10">
        <v>3490.9508288966799</v>
      </c>
      <c r="H10">
        <v>175.23066681358301</v>
      </c>
      <c r="I10">
        <v>9.6785212167708501</v>
      </c>
      <c r="J10">
        <v>21381394359.509998</v>
      </c>
      <c r="K10">
        <v>152.51747588222901</v>
      </c>
      <c r="L10">
        <v>135.270077235087</v>
      </c>
      <c r="M10">
        <v>41.671872721525801</v>
      </c>
      <c r="N10">
        <v>0.426496474812112</v>
      </c>
      <c r="O10">
        <v>0</v>
      </c>
      <c r="P10">
        <v>63.8215933651054</v>
      </c>
      <c r="Q10">
        <v>13.531764421685599</v>
      </c>
      <c r="R10">
        <v>20120101</v>
      </c>
      <c r="S10">
        <v>0</v>
      </c>
      <c r="T10">
        <v>10.519170052382</v>
      </c>
      <c r="U10">
        <v>83.268935174808007</v>
      </c>
      <c r="V10" t="s">
        <v>40</v>
      </c>
      <c r="W10">
        <v>88.889349265300794</v>
      </c>
      <c r="X10">
        <v>45.232313534585103</v>
      </c>
      <c r="Y10">
        <v>87.734138547687706</v>
      </c>
      <c r="Z10" t="s">
        <v>41</v>
      </c>
      <c r="AA10">
        <v>0</v>
      </c>
      <c r="AB10">
        <v>3.1976686529350999</v>
      </c>
      <c r="AC10">
        <v>24.616708672266299</v>
      </c>
      <c r="AD10">
        <v>77.398516026171805</v>
      </c>
      <c r="AE10">
        <v>0</v>
      </c>
      <c r="AF10">
        <v>739.50111131390304</v>
      </c>
      <c r="AG10">
        <v>81.079641351775606</v>
      </c>
      <c r="AH10">
        <v>36.494553024827098</v>
      </c>
      <c r="AI10">
        <v>4.4881461375279397</v>
      </c>
      <c r="AJ10">
        <v>5.3660037499251896</v>
      </c>
      <c r="AK10">
        <v>349.87236322380602</v>
      </c>
    </row>
    <row r="11" spans="1:37" x14ac:dyDescent="0.25">
      <c r="A11">
        <v>0</v>
      </c>
      <c r="B11" t="s">
        <v>37</v>
      </c>
      <c r="C11" s="1">
        <v>41183</v>
      </c>
      <c r="D11" s="1">
        <v>41183</v>
      </c>
      <c r="E11" t="s">
        <v>38</v>
      </c>
      <c r="F11">
        <v>183507.54933387999</v>
      </c>
      <c r="G11">
        <v>3641.9488940879701</v>
      </c>
      <c r="H11">
        <v>215.76071594862299</v>
      </c>
      <c r="I11">
        <v>9.0186655436010508</v>
      </c>
      <c r="J11">
        <v>22118898951.41</v>
      </c>
      <c r="K11">
        <v>156.79967488779801</v>
      </c>
      <c r="L11">
        <v>135.29065956927599</v>
      </c>
      <c r="M11">
        <v>42.704011618588297</v>
      </c>
      <c r="N11">
        <v>0.43497979996186797</v>
      </c>
      <c r="O11">
        <v>0</v>
      </c>
      <c r="P11">
        <v>65.291503845453903</v>
      </c>
      <c r="Q11">
        <v>13.958577436567399</v>
      </c>
      <c r="R11">
        <v>20120101</v>
      </c>
      <c r="S11">
        <v>0</v>
      </c>
      <c r="T11">
        <v>10.4592423153199</v>
      </c>
      <c r="U11">
        <v>82.861173900832796</v>
      </c>
      <c r="V11" t="s">
        <v>40</v>
      </c>
      <c r="W11">
        <v>88.133219328056995</v>
      </c>
      <c r="X11">
        <v>54.9011340696403</v>
      </c>
      <c r="Y11">
        <v>88.1275553427473</v>
      </c>
      <c r="Z11" t="s">
        <v>41</v>
      </c>
      <c r="AA11">
        <v>0</v>
      </c>
      <c r="AB11">
        <v>3.1788632741992702</v>
      </c>
      <c r="AC11">
        <v>23.556076504962299</v>
      </c>
      <c r="AD11">
        <v>77.577455120126999</v>
      </c>
      <c r="AE11">
        <v>0</v>
      </c>
      <c r="AF11">
        <v>738.68431041567703</v>
      </c>
      <c r="AG11">
        <v>81.358329724961905</v>
      </c>
      <c r="AH11">
        <v>37.807774931070902</v>
      </c>
      <c r="AI11">
        <v>4.4885197397730998</v>
      </c>
      <c r="AJ11">
        <v>6.14290026427597</v>
      </c>
      <c r="AK11">
        <v>348.724107810345</v>
      </c>
    </row>
    <row r="12" spans="1:37" x14ac:dyDescent="0.25">
      <c r="A12">
        <v>0</v>
      </c>
      <c r="B12" t="s">
        <v>37</v>
      </c>
      <c r="C12" s="1">
        <v>41214</v>
      </c>
      <c r="D12" s="1">
        <v>41214</v>
      </c>
      <c r="E12" t="s">
        <v>38</v>
      </c>
      <c r="F12">
        <v>181228.003142765</v>
      </c>
      <c r="G12">
        <v>3704.7088154159801</v>
      </c>
      <c r="H12">
        <v>263.26995955762197</v>
      </c>
      <c r="I12">
        <v>10.054256268136401</v>
      </c>
      <c r="J12">
        <v>22665280213.049999</v>
      </c>
      <c r="K12">
        <v>160.213580429274</v>
      </c>
      <c r="L12">
        <v>135.29536653562801</v>
      </c>
      <c r="M12">
        <v>42.892844213876501</v>
      </c>
      <c r="N12">
        <v>0.66629477386605396</v>
      </c>
      <c r="O12">
        <v>0</v>
      </c>
      <c r="P12">
        <v>66.138148739605697</v>
      </c>
      <c r="Q12">
        <v>14.649298393153</v>
      </c>
      <c r="R12">
        <v>20120101</v>
      </c>
      <c r="S12">
        <v>0</v>
      </c>
      <c r="T12">
        <v>10.372193173090601</v>
      </c>
      <c r="U12">
        <v>82.201295038386704</v>
      </c>
      <c r="V12" t="s">
        <v>40</v>
      </c>
      <c r="W12">
        <v>87.692657982332506</v>
      </c>
      <c r="X12">
        <v>64.334340220797898</v>
      </c>
      <c r="Y12">
        <v>88.2698537164366</v>
      </c>
      <c r="Z12" t="s">
        <v>41</v>
      </c>
      <c r="AA12">
        <v>0</v>
      </c>
      <c r="AB12">
        <v>3.14742098526408</v>
      </c>
      <c r="AC12">
        <v>22.9095241672924</v>
      </c>
      <c r="AD12">
        <v>77.576371549846797</v>
      </c>
      <c r="AE12">
        <v>0</v>
      </c>
      <c r="AF12">
        <v>738.06181259745404</v>
      </c>
      <c r="AG12">
        <v>81.474776537036306</v>
      </c>
      <c r="AH12">
        <v>39.183945439989401</v>
      </c>
      <c r="AI12">
        <v>4.4904983326455401</v>
      </c>
      <c r="AJ12">
        <v>6.9417765922514301</v>
      </c>
      <c r="AK12">
        <v>347.66223433695001</v>
      </c>
    </row>
    <row r="13" spans="1:37" x14ac:dyDescent="0.25">
      <c r="A13">
        <v>0</v>
      </c>
      <c r="B13" t="s">
        <v>37</v>
      </c>
      <c r="C13" s="1">
        <v>41244</v>
      </c>
      <c r="D13" s="1">
        <v>41244</v>
      </c>
      <c r="E13" t="s">
        <v>38</v>
      </c>
      <c r="F13">
        <v>177799.091284689</v>
      </c>
      <c r="G13">
        <v>3755.2834528552398</v>
      </c>
      <c r="H13">
        <v>308.49872902356401</v>
      </c>
      <c r="I13">
        <v>10.225502990127</v>
      </c>
      <c r="J13">
        <v>23429475254.040001</v>
      </c>
      <c r="K13">
        <v>164.74854927583101</v>
      </c>
      <c r="L13">
        <v>135.304166324893</v>
      </c>
      <c r="M13">
        <v>43.169985747840101</v>
      </c>
      <c r="N13">
        <v>0.56768807709726798</v>
      </c>
      <c r="O13">
        <v>0</v>
      </c>
      <c r="P13">
        <v>67.237961549999397</v>
      </c>
      <c r="Q13">
        <v>15.370775212957501</v>
      </c>
      <c r="R13">
        <v>20120101</v>
      </c>
      <c r="S13">
        <v>0</v>
      </c>
      <c r="T13">
        <v>10.4017715209177</v>
      </c>
      <c r="U13">
        <v>81.518221299457693</v>
      </c>
      <c r="V13" t="s">
        <v>40</v>
      </c>
      <c r="W13">
        <v>87.174565868189902</v>
      </c>
      <c r="X13">
        <v>66.805261260372802</v>
      </c>
      <c r="Y13">
        <v>88.593850470228304</v>
      </c>
      <c r="Z13" t="s">
        <v>41</v>
      </c>
      <c r="AA13">
        <v>0</v>
      </c>
      <c r="AB13">
        <v>3.1094423733185699</v>
      </c>
      <c r="AC13">
        <v>21.978127588544901</v>
      </c>
      <c r="AD13">
        <v>77.611485069466596</v>
      </c>
      <c r="AE13">
        <v>0</v>
      </c>
      <c r="AF13">
        <v>737.20984009587005</v>
      </c>
      <c r="AG13">
        <v>81.576591388558697</v>
      </c>
      <c r="AH13">
        <v>40.941308159800698</v>
      </c>
      <c r="AI13">
        <v>4.4915286800413297</v>
      </c>
      <c r="AJ13">
        <v>7.6518465771420301</v>
      </c>
      <c r="AK13">
        <v>346.62051419547203</v>
      </c>
    </row>
    <row r="14" spans="1:37" x14ac:dyDescent="0.25">
      <c r="A14">
        <v>0</v>
      </c>
      <c r="B14" t="s">
        <v>37</v>
      </c>
      <c r="C14" s="1">
        <v>41275</v>
      </c>
      <c r="D14" s="1">
        <v>41275</v>
      </c>
      <c r="E14" t="s">
        <v>38</v>
      </c>
      <c r="F14">
        <v>176658.953621822</v>
      </c>
      <c r="G14">
        <v>3822.99023335626</v>
      </c>
      <c r="H14">
        <v>361.68511733314301</v>
      </c>
      <c r="I14">
        <v>11.485321943594</v>
      </c>
      <c r="J14">
        <v>23369682997.77</v>
      </c>
      <c r="K14">
        <v>163.14939327418699</v>
      </c>
      <c r="L14">
        <v>135.27051569104299</v>
      </c>
      <c r="M14">
        <v>42.248030505756098</v>
      </c>
      <c r="N14">
        <v>0.69330545047896697</v>
      </c>
      <c r="O14">
        <v>0</v>
      </c>
      <c r="P14">
        <v>67.881121866570297</v>
      </c>
      <c r="Q14">
        <v>15.5162373724592</v>
      </c>
      <c r="R14">
        <v>20120101</v>
      </c>
      <c r="S14">
        <v>0</v>
      </c>
      <c r="T14">
        <v>10.462202566846001</v>
      </c>
      <c r="U14">
        <v>81.378398746116602</v>
      </c>
      <c r="V14" t="s">
        <v>40</v>
      </c>
      <c r="W14">
        <v>87.573347727430701</v>
      </c>
      <c r="X14">
        <v>67.949331543908499</v>
      </c>
      <c r="Y14">
        <v>88.732546193242698</v>
      </c>
      <c r="Z14" t="s">
        <v>41</v>
      </c>
      <c r="AA14">
        <v>0</v>
      </c>
      <c r="AB14">
        <v>3.10359828908389</v>
      </c>
      <c r="AC14">
        <v>21.509426915167602</v>
      </c>
      <c r="AD14">
        <v>77.325251191325904</v>
      </c>
      <c r="AE14">
        <v>0</v>
      </c>
      <c r="AF14">
        <v>736.86104379917197</v>
      </c>
      <c r="AG14">
        <v>81.713493341207496</v>
      </c>
      <c r="AH14">
        <v>41.450282125253402</v>
      </c>
      <c r="AI14">
        <v>4.4918120662063501</v>
      </c>
      <c r="AJ14">
        <v>8.5610091397688599</v>
      </c>
      <c r="AK14">
        <v>345.50173876525599</v>
      </c>
    </row>
    <row r="15" spans="1:37" x14ac:dyDescent="0.25">
      <c r="A15">
        <v>0</v>
      </c>
      <c r="B15" t="s">
        <v>37</v>
      </c>
      <c r="C15" s="1">
        <v>41306</v>
      </c>
      <c r="D15" s="1">
        <v>41306</v>
      </c>
      <c r="E15" t="s">
        <v>38</v>
      </c>
      <c r="F15">
        <v>175297.34609175299</v>
      </c>
      <c r="G15">
        <v>3824.01496170779</v>
      </c>
      <c r="H15">
        <v>404.89999626034302</v>
      </c>
      <c r="I15">
        <v>11.1487279509341</v>
      </c>
      <c r="J15">
        <v>23690559837.57</v>
      </c>
      <c r="K15">
        <v>162.548923697513</v>
      </c>
      <c r="L15">
        <v>135.23189350439301</v>
      </c>
      <c r="M15">
        <v>41.007381044406301</v>
      </c>
      <c r="N15">
        <v>0.738517503621265</v>
      </c>
      <c r="O15">
        <v>0</v>
      </c>
      <c r="P15">
        <v>67.673982016569198</v>
      </c>
      <c r="Q15">
        <v>16.107499192708701</v>
      </c>
      <c r="R15">
        <v>20120101</v>
      </c>
      <c r="S15">
        <v>0</v>
      </c>
      <c r="T15">
        <v>10.4932286818792</v>
      </c>
      <c r="U15">
        <v>80.806424102936703</v>
      </c>
      <c r="V15" t="s">
        <v>40</v>
      </c>
      <c r="W15">
        <v>88.078899698968499</v>
      </c>
      <c r="X15">
        <v>61.831628834508997</v>
      </c>
      <c r="Y15">
        <v>88.523779360895901</v>
      </c>
      <c r="Z15" t="s">
        <v>41</v>
      </c>
      <c r="AA15">
        <v>0</v>
      </c>
      <c r="AB15">
        <v>3.0842537284801801</v>
      </c>
      <c r="AC15">
        <v>21.328648733623499</v>
      </c>
      <c r="AD15">
        <v>76.964624603618404</v>
      </c>
      <c r="AE15">
        <v>0</v>
      </c>
      <c r="AF15">
        <v>736.59899840844298</v>
      </c>
      <c r="AG15">
        <v>81.740359843396504</v>
      </c>
      <c r="AH15">
        <v>42.248411475523298</v>
      </c>
      <c r="AI15">
        <v>4.4927913445657</v>
      </c>
      <c r="AJ15">
        <v>9.4282025248083094</v>
      </c>
      <c r="AK15">
        <v>344.539699600517</v>
      </c>
    </row>
    <row r="16" spans="1:37" x14ac:dyDescent="0.25">
      <c r="A16">
        <v>0</v>
      </c>
      <c r="B16" t="s">
        <v>37</v>
      </c>
      <c r="C16" s="1">
        <v>41334</v>
      </c>
      <c r="D16" s="1">
        <v>41334</v>
      </c>
      <c r="E16" t="s">
        <v>38</v>
      </c>
      <c r="F16">
        <v>174561.453163114</v>
      </c>
      <c r="G16">
        <v>3842.5947433716401</v>
      </c>
      <c r="H16">
        <v>445.41737126019098</v>
      </c>
      <c r="I16">
        <v>9.7725496721923992</v>
      </c>
      <c r="J16">
        <v>23497891771.740002</v>
      </c>
      <c r="K16">
        <v>160.225478927604</v>
      </c>
      <c r="L16">
        <v>135.188630209189</v>
      </c>
      <c r="M16">
        <v>39.7479670173038</v>
      </c>
      <c r="N16">
        <v>0.74694528290304196</v>
      </c>
      <c r="O16">
        <v>0</v>
      </c>
      <c r="P16">
        <v>67.878991224668397</v>
      </c>
      <c r="Q16">
        <v>16.151855317588499</v>
      </c>
      <c r="R16">
        <v>20120101</v>
      </c>
      <c r="S16">
        <v>0</v>
      </c>
      <c r="T16">
        <v>10.499586610498699</v>
      </c>
      <c r="U16">
        <v>80.757817936109205</v>
      </c>
      <c r="V16" t="s">
        <v>40</v>
      </c>
      <c r="W16">
        <v>88.726910622513103</v>
      </c>
      <c r="X16">
        <v>48.474954811393303</v>
      </c>
      <c r="Y16">
        <v>88.536942199615893</v>
      </c>
      <c r="Z16" t="s">
        <v>41</v>
      </c>
      <c r="AA16">
        <v>0</v>
      </c>
      <c r="AB16">
        <v>3.0888550756925102</v>
      </c>
      <c r="AC16">
        <v>21.137723451243399</v>
      </c>
      <c r="AD16">
        <v>76.555801367035301</v>
      </c>
      <c r="AE16">
        <v>0</v>
      </c>
      <c r="AF16">
        <v>736.49508955305396</v>
      </c>
      <c r="AG16">
        <v>81.774208658082202</v>
      </c>
      <c r="AH16">
        <v>42.385844825557399</v>
      </c>
      <c r="AI16">
        <v>4.4930532067085798</v>
      </c>
      <c r="AJ16">
        <v>10.4018619955002</v>
      </c>
      <c r="AK16">
        <v>343.436978307907</v>
      </c>
    </row>
    <row r="17" spans="1:37" x14ac:dyDescent="0.25">
      <c r="A17">
        <v>0</v>
      </c>
      <c r="B17" t="s">
        <v>37</v>
      </c>
      <c r="C17" s="1">
        <v>41365</v>
      </c>
      <c r="D17" s="1">
        <v>41365</v>
      </c>
      <c r="E17" t="s">
        <v>38</v>
      </c>
      <c r="F17">
        <v>174007.013898376</v>
      </c>
      <c r="G17">
        <v>3872.8599251160199</v>
      </c>
      <c r="H17">
        <v>488.02230755371397</v>
      </c>
      <c r="I17">
        <v>9.6579841722975406</v>
      </c>
      <c r="J17">
        <v>23283356508.700001</v>
      </c>
      <c r="K17">
        <v>150.95288577775</v>
      </c>
      <c r="L17">
        <v>135.053003216918</v>
      </c>
      <c r="M17">
        <v>35.1636321269539</v>
      </c>
      <c r="N17">
        <v>0.86187251263738995</v>
      </c>
      <c r="O17">
        <v>0</v>
      </c>
      <c r="P17">
        <v>68.081995854092995</v>
      </c>
      <c r="Q17">
        <v>16.160869028121802</v>
      </c>
      <c r="R17">
        <v>20120101</v>
      </c>
      <c r="S17">
        <v>0</v>
      </c>
      <c r="T17">
        <v>10.507982518191801</v>
      </c>
      <c r="U17">
        <v>80.739207618179705</v>
      </c>
      <c r="V17" t="s">
        <v>40</v>
      </c>
      <c r="W17">
        <v>91.103536403636099</v>
      </c>
      <c r="X17">
        <v>49.645952812983502</v>
      </c>
      <c r="Y17">
        <v>88.582347752072707</v>
      </c>
      <c r="Z17" t="s">
        <v>41</v>
      </c>
      <c r="AA17">
        <v>0</v>
      </c>
      <c r="AB17">
        <v>3.0981471276928798</v>
      </c>
      <c r="AC17">
        <v>20.972093069080898</v>
      </c>
      <c r="AD17">
        <v>75.262581169845106</v>
      </c>
      <c r="AE17">
        <v>0</v>
      </c>
      <c r="AF17">
        <v>736.38090032739899</v>
      </c>
      <c r="AG17">
        <v>81.816460243598698</v>
      </c>
      <c r="AH17">
        <v>42.4328042503506</v>
      </c>
      <c r="AI17">
        <v>4.4929814986590397</v>
      </c>
      <c r="AJ17">
        <v>11.387526156744499</v>
      </c>
      <c r="AK17">
        <v>342.30295943585799</v>
      </c>
    </row>
    <row r="18" spans="1:37" x14ac:dyDescent="0.25">
      <c r="A18">
        <v>0</v>
      </c>
      <c r="B18" t="s">
        <v>37</v>
      </c>
      <c r="C18" s="1">
        <v>41395</v>
      </c>
      <c r="D18" s="1">
        <v>41395</v>
      </c>
      <c r="E18" t="s">
        <v>38</v>
      </c>
      <c r="F18">
        <v>173389.63387455599</v>
      </c>
      <c r="G18">
        <v>3897.4940793881401</v>
      </c>
      <c r="H18">
        <v>543.72740448416403</v>
      </c>
      <c r="I18">
        <v>10.617729288410899</v>
      </c>
      <c r="J18">
        <v>23033252353.529999</v>
      </c>
      <c r="K18">
        <v>142.638168703731</v>
      </c>
      <c r="L18">
        <v>144.92928809299801</v>
      </c>
      <c r="M18">
        <v>31.688303632179299</v>
      </c>
      <c r="N18">
        <v>0.78283907129491304</v>
      </c>
      <c r="O18">
        <v>0</v>
      </c>
      <c r="P18">
        <v>68.285321418555597</v>
      </c>
      <c r="Q18">
        <v>16.182970029321801</v>
      </c>
      <c r="R18">
        <v>20120101</v>
      </c>
      <c r="S18">
        <v>0</v>
      </c>
      <c r="T18">
        <v>10.5238924516211</v>
      </c>
      <c r="U18">
        <v>80.720088548067096</v>
      </c>
      <c r="V18" t="s">
        <v>40</v>
      </c>
      <c r="W18">
        <v>93.108286876909702</v>
      </c>
      <c r="X18">
        <v>63.246916328431197</v>
      </c>
      <c r="Y18">
        <v>88.622420682165497</v>
      </c>
      <c r="Z18" t="s">
        <v>41</v>
      </c>
      <c r="AA18">
        <v>0</v>
      </c>
      <c r="AB18">
        <v>3.0955029474323998</v>
      </c>
      <c r="AC18">
        <v>20.8315296920508</v>
      </c>
      <c r="AD18">
        <v>74.037314024226404</v>
      </c>
      <c r="AE18">
        <v>0</v>
      </c>
      <c r="AF18">
        <v>736.30146991823699</v>
      </c>
      <c r="AG18">
        <v>81.889695466776701</v>
      </c>
      <c r="AH18">
        <v>42.319747184095</v>
      </c>
      <c r="AI18">
        <v>4.4929291881003204</v>
      </c>
      <c r="AJ18">
        <v>12.3848313900794</v>
      </c>
      <c r="AK18">
        <v>341.17591694151702</v>
      </c>
    </row>
    <row r="19" spans="1:37" x14ac:dyDescent="0.25">
      <c r="A19">
        <v>0</v>
      </c>
      <c r="B19" t="s">
        <v>37</v>
      </c>
      <c r="C19" s="1">
        <v>41426</v>
      </c>
      <c r="D19" s="1">
        <v>41426</v>
      </c>
      <c r="E19" t="s">
        <v>38</v>
      </c>
      <c r="F19">
        <v>172632.34816514299</v>
      </c>
      <c r="G19">
        <v>3931.44682273739</v>
      </c>
      <c r="H19">
        <v>596.20057713007702</v>
      </c>
      <c r="I19">
        <v>13.6762090041174</v>
      </c>
      <c r="J19">
        <v>22719625444.970001</v>
      </c>
      <c r="K19">
        <v>135.466440213851</v>
      </c>
      <c r="L19">
        <v>144.832196073837</v>
      </c>
      <c r="M19">
        <v>27.737195296842799</v>
      </c>
      <c r="N19">
        <v>0.70927752389593401</v>
      </c>
      <c r="O19">
        <v>0</v>
      </c>
      <c r="P19">
        <v>68.552031270964505</v>
      </c>
      <c r="Q19">
        <v>16.1763098375427</v>
      </c>
      <c r="R19">
        <v>20120101</v>
      </c>
      <c r="S19">
        <v>0</v>
      </c>
      <c r="T19">
        <v>10.5155121790782</v>
      </c>
      <c r="U19">
        <v>80.722200809280494</v>
      </c>
      <c r="V19" t="s">
        <v>40</v>
      </c>
      <c r="W19">
        <v>94.621002510900894</v>
      </c>
      <c r="X19">
        <v>59.2023278988692</v>
      </c>
      <c r="Y19">
        <v>88.669121900396803</v>
      </c>
      <c r="Z19" t="s">
        <v>41</v>
      </c>
      <c r="AA19">
        <v>0</v>
      </c>
      <c r="AB19">
        <v>3.0997573036773298</v>
      </c>
      <c r="AC19">
        <v>20.645645157793801</v>
      </c>
      <c r="AD19">
        <v>72.843657911459104</v>
      </c>
      <c r="AE19">
        <v>0</v>
      </c>
      <c r="AF19">
        <v>736.14813176333098</v>
      </c>
      <c r="AG19">
        <v>81.943527222962402</v>
      </c>
      <c r="AH19">
        <v>42.479221495558797</v>
      </c>
      <c r="AI19">
        <v>4.4929027894575997</v>
      </c>
      <c r="AJ19">
        <v>13.370409298602301</v>
      </c>
      <c r="AK19">
        <v>340.03602955098802</v>
      </c>
    </row>
    <row r="20" spans="1:37" x14ac:dyDescent="0.25">
      <c r="A20">
        <v>0</v>
      </c>
      <c r="B20" t="s">
        <v>37</v>
      </c>
      <c r="C20" s="1">
        <v>41456</v>
      </c>
      <c r="D20" s="1">
        <v>41456</v>
      </c>
      <c r="E20" t="s">
        <v>38</v>
      </c>
      <c r="F20">
        <v>171951.39835402201</v>
      </c>
      <c r="G20">
        <v>3964.9886135503298</v>
      </c>
      <c r="H20">
        <v>609.35896648964297</v>
      </c>
      <c r="I20">
        <v>12.5569177566052</v>
      </c>
      <c r="J20">
        <v>22440689193.59</v>
      </c>
      <c r="K20">
        <v>132.99478417185301</v>
      </c>
      <c r="L20">
        <v>144.79971212588799</v>
      </c>
      <c r="M20">
        <v>26.087548586641699</v>
      </c>
      <c r="N20">
        <v>0.69701031713177197</v>
      </c>
      <c r="O20">
        <v>0</v>
      </c>
      <c r="P20">
        <v>68.770237896652702</v>
      </c>
      <c r="Q20">
        <v>16.193595664551001</v>
      </c>
      <c r="R20">
        <v>20120101</v>
      </c>
      <c r="S20">
        <v>0</v>
      </c>
      <c r="T20">
        <v>10.503048013113601</v>
      </c>
      <c r="U20">
        <v>80.694628301717401</v>
      </c>
      <c r="V20" t="s">
        <v>40</v>
      </c>
      <c r="W20">
        <v>95.152588103241101</v>
      </c>
      <c r="X20">
        <v>6.6649635001081204</v>
      </c>
      <c r="Y20">
        <v>88.7023397302072</v>
      </c>
      <c r="Z20" t="s">
        <v>41</v>
      </c>
      <c r="AA20">
        <v>0</v>
      </c>
      <c r="AB20">
        <v>3.11004057971937</v>
      </c>
      <c r="AC20">
        <v>20.482287520164402</v>
      </c>
      <c r="AD20">
        <v>72.277789843787005</v>
      </c>
      <c r="AE20">
        <v>0</v>
      </c>
      <c r="AF20">
        <v>736.00577822637604</v>
      </c>
      <c r="AG20">
        <v>81.986693697917005</v>
      </c>
      <c r="AH20">
        <v>42.530214978513797</v>
      </c>
      <c r="AI20">
        <v>4.4930587391783403</v>
      </c>
      <c r="AJ20">
        <v>14.358231153358</v>
      </c>
      <c r="AK20">
        <v>338.87632128569197</v>
      </c>
    </row>
    <row r="21" spans="1:37" x14ac:dyDescent="0.25">
      <c r="A21">
        <v>0</v>
      </c>
      <c r="B21" t="s">
        <v>37</v>
      </c>
      <c r="C21" s="1">
        <v>41487</v>
      </c>
      <c r="D21" s="1">
        <v>41487</v>
      </c>
      <c r="E21" t="s">
        <v>38</v>
      </c>
      <c r="F21">
        <v>171428.69419286199</v>
      </c>
      <c r="G21">
        <v>3996.4031319322498</v>
      </c>
      <c r="H21">
        <v>610.12767141629899</v>
      </c>
      <c r="I21">
        <v>11.5855269585954</v>
      </c>
      <c r="J21">
        <v>22178930168.59</v>
      </c>
      <c r="K21">
        <v>130.70330552564101</v>
      </c>
      <c r="L21">
        <v>144.77313173995199</v>
      </c>
      <c r="M21">
        <v>25.5714512513157</v>
      </c>
      <c r="N21">
        <v>0.99224287889562601</v>
      </c>
      <c r="O21">
        <v>0</v>
      </c>
      <c r="P21">
        <v>68.884157482347902</v>
      </c>
      <c r="Q21">
        <v>16.204208512242101</v>
      </c>
      <c r="R21">
        <v>20120101</v>
      </c>
      <c r="S21">
        <v>0</v>
      </c>
      <c r="T21">
        <v>10.4971031718452</v>
      </c>
      <c r="U21">
        <v>80.6882956865729</v>
      </c>
      <c r="V21" t="s">
        <v>40</v>
      </c>
      <c r="W21">
        <v>95.620379820299306</v>
      </c>
      <c r="X21">
        <v>-21.964893768624599</v>
      </c>
      <c r="Y21">
        <v>88.731922956841302</v>
      </c>
      <c r="Z21" t="s">
        <v>41</v>
      </c>
      <c r="AA21">
        <v>0</v>
      </c>
      <c r="AB21">
        <v>3.1059635241355301</v>
      </c>
      <c r="AC21">
        <v>20.4149230273227</v>
      </c>
      <c r="AD21">
        <v>71.720138650887804</v>
      </c>
      <c r="AE21">
        <v>0</v>
      </c>
      <c r="AF21">
        <v>735.90535430010902</v>
      </c>
      <c r="AG21">
        <v>82.031347361197902</v>
      </c>
      <c r="AH21">
        <v>42.570135205169002</v>
      </c>
      <c r="AI21">
        <v>4.4929042716855196</v>
      </c>
      <c r="AJ21">
        <v>15.351266773225699</v>
      </c>
      <c r="AK21">
        <v>337.77816269141198</v>
      </c>
    </row>
    <row r="22" spans="1:37" x14ac:dyDescent="0.25">
      <c r="A22">
        <v>0</v>
      </c>
      <c r="B22" t="s">
        <v>37</v>
      </c>
      <c r="C22" s="1">
        <v>41518</v>
      </c>
      <c r="D22" s="1">
        <v>41518</v>
      </c>
      <c r="E22" t="s">
        <v>38</v>
      </c>
      <c r="F22">
        <v>170986.41270971199</v>
      </c>
      <c r="G22">
        <v>4028.50516395357</v>
      </c>
      <c r="H22">
        <v>610.15370542173298</v>
      </c>
      <c r="I22">
        <v>10.0400171779111</v>
      </c>
      <c r="J22">
        <v>21952945527.799999</v>
      </c>
      <c r="K22">
        <v>128.10461771702199</v>
      </c>
      <c r="L22">
        <v>144.75303007493699</v>
      </c>
      <c r="M22">
        <v>23.97875081039</v>
      </c>
      <c r="N22">
        <v>0.79951746406074797</v>
      </c>
      <c r="O22">
        <v>0</v>
      </c>
      <c r="P22">
        <v>68.928724366784706</v>
      </c>
      <c r="Q22">
        <v>16.214167172290001</v>
      </c>
      <c r="R22">
        <v>20120101</v>
      </c>
      <c r="S22">
        <v>0</v>
      </c>
      <c r="T22">
        <v>10.4896612026096</v>
      </c>
      <c r="U22">
        <v>80.680685293584105</v>
      </c>
      <c r="V22" t="s">
        <v>40</v>
      </c>
      <c r="W22">
        <v>95.995099855566707</v>
      </c>
      <c r="X22">
        <v>-29.864631270450701</v>
      </c>
      <c r="Y22">
        <v>88.7368912108941</v>
      </c>
      <c r="Z22" t="s">
        <v>41</v>
      </c>
      <c r="AA22">
        <v>0</v>
      </c>
      <c r="AB22">
        <v>3.1032595474162199</v>
      </c>
      <c r="AC22">
        <v>20.395123146674798</v>
      </c>
      <c r="AD22">
        <v>71.149648561843605</v>
      </c>
      <c r="AE22">
        <v>0</v>
      </c>
      <c r="AF22">
        <v>735.83858652604897</v>
      </c>
      <c r="AG22">
        <v>82.048351238641104</v>
      </c>
      <c r="AH22">
        <v>42.627953998849598</v>
      </c>
      <c r="AI22">
        <v>4.4928384571161502</v>
      </c>
      <c r="AJ22">
        <v>16.345445507039798</v>
      </c>
      <c r="AK22">
        <v>336.660493990671</v>
      </c>
    </row>
    <row r="23" spans="1:37" x14ac:dyDescent="0.25">
      <c r="A23">
        <v>0</v>
      </c>
      <c r="B23" t="s">
        <v>37</v>
      </c>
      <c r="C23" s="1">
        <v>41548</v>
      </c>
      <c r="D23" s="1">
        <v>41548</v>
      </c>
      <c r="E23" t="s">
        <v>38</v>
      </c>
      <c r="F23">
        <v>170648.49784738899</v>
      </c>
      <c r="G23">
        <v>4051.2884970718101</v>
      </c>
      <c r="H23">
        <v>609.82109834847699</v>
      </c>
      <c r="I23">
        <v>7.5865577711823402</v>
      </c>
      <c r="J23">
        <v>21795908739.060001</v>
      </c>
      <c r="K23">
        <v>128.499939860175</v>
      </c>
      <c r="L23">
        <v>144.760130015763</v>
      </c>
      <c r="M23">
        <v>24.119606431852301</v>
      </c>
      <c r="N23">
        <v>0.87098599106944197</v>
      </c>
      <c r="O23">
        <v>0</v>
      </c>
      <c r="P23">
        <v>68.959320971941494</v>
      </c>
      <c r="Q23">
        <v>16.212186215577599</v>
      </c>
      <c r="R23">
        <v>20120101</v>
      </c>
      <c r="S23">
        <v>0</v>
      </c>
      <c r="T23">
        <v>10.4956905580382</v>
      </c>
      <c r="U23">
        <v>80.678230641860694</v>
      </c>
      <c r="V23" t="s">
        <v>40</v>
      </c>
      <c r="W23">
        <v>95.927207220209496</v>
      </c>
      <c r="X23">
        <v>-31.697162157127</v>
      </c>
      <c r="Y23">
        <v>88.736746397206005</v>
      </c>
      <c r="Z23" t="s">
        <v>41</v>
      </c>
      <c r="AA23">
        <v>0</v>
      </c>
      <c r="AB23">
        <v>3.1079200253271999</v>
      </c>
      <c r="AC23">
        <v>20.375686118289799</v>
      </c>
      <c r="AD23">
        <v>71.123234104214504</v>
      </c>
      <c r="AE23">
        <v>0</v>
      </c>
      <c r="AF23">
        <v>735.83448558842395</v>
      </c>
      <c r="AG23">
        <v>82.054323738099399</v>
      </c>
      <c r="AH23">
        <v>42.610096372245998</v>
      </c>
      <c r="AI23">
        <v>4.49272030951649</v>
      </c>
      <c r="AJ23">
        <v>17.3335730371228</v>
      </c>
      <c r="AK23">
        <v>335.55938770392902</v>
      </c>
    </row>
    <row r="24" spans="1:37" x14ac:dyDescent="0.25">
      <c r="A24">
        <v>0</v>
      </c>
      <c r="B24" t="s">
        <v>37</v>
      </c>
      <c r="C24" s="1">
        <v>41579</v>
      </c>
      <c r="D24" s="1">
        <v>41579</v>
      </c>
      <c r="E24" t="s">
        <v>38</v>
      </c>
      <c r="F24">
        <v>170340.19509504299</v>
      </c>
      <c r="G24">
        <v>4075.0385451281099</v>
      </c>
      <c r="H24">
        <v>619.25641587066605</v>
      </c>
      <c r="I24">
        <v>6.9943843898818603</v>
      </c>
      <c r="J24">
        <v>21632182735.900002</v>
      </c>
      <c r="K24">
        <v>128.65813279884901</v>
      </c>
      <c r="L24">
        <v>144.76668892963701</v>
      </c>
      <c r="M24">
        <v>24.284548822864501</v>
      </c>
      <c r="N24">
        <v>0.97101425538416297</v>
      </c>
      <c r="O24">
        <v>0</v>
      </c>
      <c r="P24">
        <v>68.955876940347494</v>
      </c>
      <c r="Q24">
        <v>16.217871293020099</v>
      </c>
      <c r="R24">
        <v>20120101</v>
      </c>
      <c r="S24">
        <v>0</v>
      </c>
      <c r="T24">
        <v>10.505116454193599</v>
      </c>
      <c r="U24">
        <v>80.676665789964304</v>
      </c>
      <c r="V24" t="s">
        <v>40</v>
      </c>
      <c r="W24">
        <v>95.862863320823493</v>
      </c>
      <c r="X24">
        <v>-1.8429612660717301</v>
      </c>
      <c r="Y24">
        <v>88.738142468287904</v>
      </c>
      <c r="Z24" t="s">
        <v>41</v>
      </c>
      <c r="AA24">
        <v>0</v>
      </c>
      <c r="AB24">
        <v>3.10365851682575</v>
      </c>
      <c r="AC24">
        <v>20.355813354141802</v>
      </c>
      <c r="AD24">
        <v>71.105829696346007</v>
      </c>
      <c r="AE24">
        <v>0</v>
      </c>
      <c r="AF24">
        <v>735.80683814377699</v>
      </c>
      <c r="AG24">
        <v>82.068313075942001</v>
      </c>
      <c r="AH24">
        <v>42.611457860793799</v>
      </c>
      <c r="AI24">
        <v>4.4926545157355999</v>
      </c>
      <c r="AJ24">
        <v>18.3304218701808</v>
      </c>
      <c r="AK24">
        <v>334.45575485603899</v>
      </c>
    </row>
    <row r="25" spans="1:37" x14ac:dyDescent="0.25">
      <c r="A25">
        <v>0</v>
      </c>
      <c r="B25" t="s">
        <v>37</v>
      </c>
      <c r="C25" s="1">
        <v>41609</v>
      </c>
      <c r="D25" s="1">
        <v>41609</v>
      </c>
      <c r="E25" t="s">
        <v>38</v>
      </c>
      <c r="F25">
        <v>169941.22331434899</v>
      </c>
      <c r="G25">
        <v>4092.8107781020799</v>
      </c>
      <c r="H25">
        <v>623.98711432861398</v>
      </c>
      <c r="I25">
        <v>6.4733916612460298</v>
      </c>
      <c r="J25">
        <v>21484479275.07</v>
      </c>
      <c r="K25">
        <v>147.981862995412</v>
      </c>
      <c r="L25">
        <v>144.773857351771</v>
      </c>
      <c r="M25">
        <v>24.479364782227599</v>
      </c>
      <c r="N25">
        <v>0.96461796744972095</v>
      </c>
      <c r="O25">
        <v>0</v>
      </c>
      <c r="P25">
        <v>68.939788687336602</v>
      </c>
      <c r="Q25">
        <v>16.2350132406198</v>
      </c>
      <c r="R25">
        <v>20120101</v>
      </c>
      <c r="S25">
        <v>0</v>
      </c>
      <c r="T25">
        <v>10.493232007194001</v>
      </c>
      <c r="U25">
        <v>80.662328859717903</v>
      </c>
      <c r="V25" t="s">
        <v>40</v>
      </c>
      <c r="W25">
        <v>95.7573870221823</v>
      </c>
      <c r="X25">
        <v>-12.3621218738768</v>
      </c>
      <c r="Y25">
        <v>88.718779678836796</v>
      </c>
      <c r="Z25" t="s">
        <v>41</v>
      </c>
      <c r="AA25">
        <v>0</v>
      </c>
      <c r="AB25">
        <v>3.1010948314073299</v>
      </c>
      <c r="AC25">
        <v>20.328292995814198</v>
      </c>
      <c r="AD25">
        <v>71.069806754871195</v>
      </c>
      <c r="AE25">
        <v>0</v>
      </c>
      <c r="AF25">
        <v>735.81050093676197</v>
      </c>
      <c r="AG25">
        <v>82.058078635161806</v>
      </c>
      <c r="AH25">
        <v>42.627717157932501</v>
      </c>
      <c r="AI25">
        <v>4.4925981195948301</v>
      </c>
      <c r="AJ25">
        <v>19.331197445403099</v>
      </c>
      <c r="AK25">
        <v>333.35877072020003</v>
      </c>
    </row>
    <row r="26" spans="1:37" x14ac:dyDescent="0.25">
      <c r="A26">
        <v>0</v>
      </c>
      <c r="B26" t="s">
        <v>37</v>
      </c>
      <c r="C26" s="1">
        <v>41640</v>
      </c>
      <c r="D26" s="1">
        <v>41640</v>
      </c>
      <c r="E26" t="s">
        <v>38</v>
      </c>
      <c r="F26">
        <v>169544.73460595999</v>
      </c>
      <c r="G26">
        <v>4116.7958917405203</v>
      </c>
      <c r="H26">
        <v>624.43539781665299</v>
      </c>
      <c r="I26">
        <v>7.6595671394660103</v>
      </c>
      <c r="J26">
        <v>21311434050.5</v>
      </c>
      <c r="K26">
        <v>147.24108852110999</v>
      </c>
      <c r="L26">
        <v>144.77225022560901</v>
      </c>
      <c r="M26">
        <v>24.072410370261998</v>
      </c>
      <c r="N26">
        <v>1.0928579618385801</v>
      </c>
      <c r="O26">
        <v>0</v>
      </c>
      <c r="P26">
        <v>68.975352173044598</v>
      </c>
      <c r="Q26">
        <v>16.235786650238001</v>
      </c>
      <c r="R26">
        <v>20120101</v>
      </c>
      <c r="S26">
        <v>0</v>
      </c>
      <c r="T26">
        <v>10.494328192381801</v>
      </c>
      <c r="U26">
        <v>80.663454519612102</v>
      </c>
      <c r="V26" t="s">
        <v>40</v>
      </c>
      <c r="W26">
        <v>95.802569693033107</v>
      </c>
      <c r="X26">
        <v>-30.254479986333099</v>
      </c>
      <c r="Y26">
        <v>88.719660385033293</v>
      </c>
      <c r="Z26" t="s">
        <v>41</v>
      </c>
      <c r="AA26">
        <v>0</v>
      </c>
      <c r="AB26">
        <v>3.09927193606118</v>
      </c>
      <c r="AC26">
        <v>20.2975908114345</v>
      </c>
      <c r="AD26">
        <v>70.850899389040094</v>
      </c>
      <c r="AE26">
        <v>0</v>
      </c>
      <c r="AF26">
        <v>735.79923298928895</v>
      </c>
      <c r="AG26">
        <v>82.061895901771507</v>
      </c>
      <c r="AH26">
        <v>42.601215254264297</v>
      </c>
      <c r="AI26">
        <v>4.4925252140351404</v>
      </c>
      <c r="AJ26">
        <v>20.3285774837764</v>
      </c>
      <c r="AK26">
        <v>332.25654938481</v>
      </c>
    </row>
    <row r="27" spans="1:37" x14ac:dyDescent="0.25">
      <c r="A27">
        <v>0</v>
      </c>
      <c r="B27" t="s">
        <v>37</v>
      </c>
      <c r="C27" s="1">
        <v>41671</v>
      </c>
      <c r="D27" s="1">
        <v>41671</v>
      </c>
      <c r="E27" t="s">
        <v>38</v>
      </c>
      <c r="F27">
        <v>169193.09354201701</v>
      </c>
      <c r="G27">
        <v>4134.5958737185201</v>
      </c>
      <c r="H27">
        <v>625.39547683416197</v>
      </c>
      <c r="I27">
        <v>5.743711412563</v>
      </c>
      <c r="J27">
        <v>21174346463.689999</v>
      </c>
      <c r="K27">
        <v>146.459536601395</v>
      </c>
      <c r="L27">
        <v>144.772437270187</v>
      </c>
      <c r="M27">
        <v>23.634350235032599</v>
      </c>
      <c r="N27">
        <v>1.07174393998911</v>
      </c>
      <c r="O27">
        <v>0</v>
      </c>
      <c r="P27">
        <v>68.979246991831502</v>
      </c>
      <c r="Q27">
        <v>16.222665668647</v>
      </c>
      <c r="R27">
        <v>20120101</v>
      </c>
      <c r="S27">
        <v>0</v>
      </c>
      <c r="T27">
        <v>10.488414067485699</v>
      </c>
      <c r="U27">
        <v>80.686959985302906</v>
      </c>
      <c r="V27" t="s">
        <v>40</v>
      </c>
      <c r="W27">
        <v>95.8489057958719</v>
      </c>
      <c r="X27">
        <v>-28.940609659329599</v>
      </c>
      <c r="Y27">
        <v>88.727407250700395</v>
      </c>
      <c r="Z27" t="s">
        <v>41</v>
      </c>
      <c r="AA27">
        <v>0</v>
      </c>
      <c r="AB27">
        <v>3.0887523720027401</v>
      </c>
      <c r="AC27">
        <v>20.286119605947601</v>
      </c>
      <c r="AD27">
        <v>70.642906937849503</v>
      </c>
      <c r="AE27">
        <v>0</v>
      </c>
      <c r="AF27">
        <v>735.81082907345899</v>
      </c>
      <c r="AG27">
        <v>82.0694536948033</v>
      </c>
      <c r="AH27">
        <v>42.591308158566797</v>
      </c>
      <c r="AI27">
        <v>4.4924129094667098</v>
      </c>
      <c r="AJ27">
        <v>21.3283000013124</v>
      </c>
      <c r="AK27">
        <v>331.13737531320999</v>
      </c>
    </row>
    <row r="28" spans="1:37" x14ac:dyDescent="0.25">
      <c r="A28">
        <v>0</v>
      </c>
      <c r="B28" t="s">
        <v>37</v>
      </c>
      <c r="C28" s="1">
        <v>41699</v>
      </c>
      <c r="D28" s="1">
        <v>41699</v>
      </c>
      <c r="E28" t="s">
        <v>38</v>
      </c>
      <c r="F28">
        <v>168818.64220878601</v>
      </c>
      <c r="G28">
        <v>4150.7124252758204</v>
      </c>
      <c r="H28">
        <v>629.35643534316796</v>
      </c>
      <c r="I28">
        <v>5.6861818961690798</v>
      </c>
      <c r="J28">
        <v>21039023285.27</v>
      </c>
      <c r="K28">
        <v>145.793834209024</v>
      </c>
      <c r="L28">
        <v>144.773622005096</v>
      </c>
      <c r="M28">
        <v>23.327529178460299</v>
      </c>
      <c r="N28">
        <v>1.01207478731782</v>
      </c>
      <c r="O28">
        <v>0</v>
      </c>
      <c r="P28">
        <v>69.005372612716599</v>
      </c>
      <c r="Q28">
        <v>16.2193893229095</v>
      </c>
      <c r="R28">
        <v>20120101</v>
      </c>
      <c r="S28">
        <v>0</v>
      </c>
      <c r="T28">
        <v>10.4825689887497</v>
      </c>
      <c r="U28">
        <v>80.693341177452496</v>
      </c>
      <c r="V28" t="s">
        <v>40</v>
      </c>
      <c r="W28">
        <v>95.866892173235897</v>
      </c>
      <c r="X28">
        <v>-15.058322050930499</v>
      </c>
      <c r="Y28">
        <v>88.740629467075607</v>
      </c>
      <c r="Z28" t="s">
        <v>41</v>
      </c>
      <c r="AA28">
        <v>0</v>
      </c>
      <c r="AB28">
        <v>3.0858585355025299</v>
      </c>
      <c r="AC28">
        <v>20.2632732974796</v>
      </c>
      <c r="AD28">
        <v>70.418844754637902</v>
      </c>
      <c r="AE28">
        <v>0</v>
      </c>
      <c r="AF28">
        <v>735.81513116878705</v>
      </c>
      <c r="AG28">
        <v>82.066643922308899</v>
      </c>
      <c r="AH28">
        <v>42.590080986124299</v>
      </c>
      <c r="AI28">
        <v>4.4923680558695596</v>
      </c>
      <c r="AJ28">
        <v>22.327976476086199</v>
      </c>
      <c r="AK28">
        <v>329.99680292706</v>
      </c>
    </row>
    <row r="29" spans="1:37" x14ac:dyDescent="0.25">
      <c r="A29">
        <v>0</v>
      </c>
      <c r="B29" t="s">
        <v>37</v>
      </c>
      <c r="C29" s="1">
        <v>41730</v>
      </c>
      <c r="D29" s="1">
        <v>41730</v>
      </c>
      <c r="E29" t="s">
        <v>38</v>
      </c>
      <c r="F29">
        <v>168465.640469709</v>
      </c>
      <c r="G29">
        <v>4175.5744782128104</v>
      </c>
      <c r="H29">
        <v>633.30231713856699</v>
      </c>
      <c r="I29">
        <v>7.1203003626236399</v>
      </c>
      <c r="J29">
        <v>20881147670.580002</v>
      </c>
      <c r="K29">
        <v>141.14598323938699</v>
      </c>
      <c r="L29">
        <v>144.720321114195</v>
      </c>
      <c r="M29">
        <v>20.446062571834499</v>
      </c>
      <c r="N29">
        <v>1.0877995717514</v>
      </c>
      <c r="O29">
        <v>0</v>
      </c>
      <c r="P29">
        <v>69.010275893973201</v>
      </c>
      <c r="Q29">
        <v>16.231564677018099</v>
      </c>
      <c r="R29">
        <v>20120101</v>
      </c>
      <c r="S29">
        <v>0</v>
      </c>
      <c r="T29">
        <v>10.471547116090701</v>
      </c>
      <c r="U29">
        <v>80.691922943133306</v>
      </c>
      <c r="V29" t="s">
        <v>40</v>
      </c>
      <c r="W29">
        <v>96.684741606564899</v>
      </c>
      <c r="X29">
        <v>-14.5913610664169</v>
      </c>
      <c r="Y29">
        <v>88.755202240448597</v>
      </c>
      <c r="Z29" t="s">
        <v>41</v>
      </c>
      <c r="AA29">
        <v>0</v>
      </c>
      <c r="AB29">
        <v>3.0750276811410702</v>
      </c>
      <c r="AC29">
        <v>20.2494211600475</v>
      </c>
      <c r="AD29">
        <v>69.512836705421194</v>
      </c>
      <c r="AE29">
        <v>0</v>
      </c>
      <c r="AF29">
        <v>735.79834060820895</v>
      </c>
      <c r="AG29">
        <v>82.062624270811099</v>
      </c>
      <c r="AH29">
        <v>42.5900621166153</v>
      </c>
      <c r="AI29">
        <v>4.4923200240126899</v>
      </c>
      <c r="AJ29">
        <v>23.326282964528701</v>
      </c>
      <c r="AK29">
        <v>328.87616018200401</v>
      </c>
    </row>
    <row r="30" spans="1:37" x14ac:dyDescent="0.25">
      <c r="A30">
        <v>0</v>
      </c>
      <c r="B30" t="s">
        <v>37</v>
      </c>
      <c r="C30" s="1">
        <v>41760</v>
      </c>
      <c r="D30" s="1">
        <v>41760</v>
      </c>
      <c r="E30" t="s">
        <v>38</v>
      </c>
      <c r="F30">
        <v>168088.383547907</v>
      </c>
      <c r="G30">
        <v>4200.3617872651203</v>
      </c>
      <c r="H30">
        <v>638.15616453845598</v>
      </c>
      <c r="I30">
        <v>7.7375072273100098</v>
      </c>
      <c r="J30">
        <v>20709329295.02</v>
      </c>
      <c r="K30">
        <v>136.213542034531</v>
      </c>
      <c r="L30">
        <v>144.67711865351299</v>
      </c>
      <c r="M30">
        <v>18.008152671671699</v>
      </c>
      <c r="N30">
        <v>0.88792238728275696</v>
      </c>
      <c r="O30">
        <v>0</v>
      </c>
      <c r="P30">
        <v>69.045326875518697</v>
      </c>
      <c r="Q30">
        <v>16.2114005494944</v>
      </c>
      <c r="R30">
        <v>20120101</v>
      </c>
      <c r="S30">
        <v>0</v>
      </c>
      <c r="T30">
        <v>10.4634334976058</v>
      </c>
      <c r="U30">
        <v>80.714903081685506</v>
      </c>
      <c r="V30" t="s">
        <v>40</v>
      </c>
      <c r="W30">
        <v>97.254068911042907</v>
      </c>
      <c r="X30">
        <v>-11.0173390246196</v>
      </c>
      <c r="Y30">
        <v>88.767915734322401</v>
      </c>
      <c r="Z30" t="s">
        <v>41</v>
      </c>
      <c r="AA30">
        <v>0</v>
      </c>
      <c r="AB30">
        <v>3.0720127068546601</v>
      </c>
      <c r="AC30">
        <v>20.224607436825998</v>
      </c>
      <c r="AD30">
        <v>68.645439158484507</v>
      </c>
      <c r="AE30">
        <v>0</v>
      </c>
      <c r="AF30">
        <v>735.77683928075203</v>
      </c>
      <c r="AG30">
        <v>82.077417368808497</v>
      </c>
      <c r="AH30">
        <v>42.614375427268499</v>
      </c>
      <c r="AI30">
        <v>4.4922582029613096</v>
      </c>
      <c r="AJ30">
        <v>24.326045132829201</v>
      </c>
      <c r="AK30">
        <v>327.76979292649298</v>
      </c>
    </row>
    <row r="31" spans="1:37" x14ac:dyDescent="0.25">
      <c r="A31">
        <v>0</v>
      </c>
      <c r="B31" t="s">
        <v>37</v>
      </c>
      <c r="C31" s="1">
        <v>41791</v>
      </c>
      <c r="D31" s="1">
        <v>41791</v>
      </c>
      <c r="E31" t="s">
        <v>38</v>
      </c>
      <c r="F31">
        <v>167691.23469814201</v>
      </c>
      <c r="G31">
        <v>4229.9741931263397</v>
      </c>
      <c r="H31">
        <v>653.35729629700404</v>
      </c>
      <c r="I31">
        <v>9.40920977418088</v>
      </c>
      <c r="J31">
        <v>20507464164.939999</v>
      </c>
      <c r="K31">
        <v>131.58133368192301</v>
      </c>
      <c r="L31">
        <v>144.651239188098</v>
      </c>
      <c r="M31">
        <v>15.759277711654001</v>
      </c>
      <c r="N31">
        <v>0.94954056124081299</v>
      </c>
      <c r="O31">
        <v>0</v>
      </c>
      <c r="P31">
        <v>69.043347508455895</v>
      </c>
      <c r="Q31">
        <v>16.206942265780899</v>
      </c>
      <c r="R31">
        <v>20120101</v>
      </c>
      <c r="S31">
        <v>0</v>
      </c>
      <c r="T31">
        <v>10.4500179362308</v>
      </c>
      <c r="U31">
        <v>80.725193604489704</v>
      </c>
      <c r="V31" t="s">
        <v>40</v>
      </c>
      <c r="W31">
        <v>97.661229421167207</v>
      </c>
      <c r="X31">
        <v>9.5291041743117901</v>
      </c>
      <c r="Y31">
        <v>88.779310971347201</v>
      </c>
      <c r="Z31" t="s">
        <v>41</v>
      </c>
      <c r="AA31">
        <v>0</v>
      </c>
      <c r="AB31">
        <v>3.0659982715460599</v>
      </c>
      <c r="AC31">
        <v>20.206103705768498</v>
      </c>
      <c r="AD31">
        <v>67.796684793485497</v>
      </c>
      <c r="AE31">
        <v>0</v>
      </c>
      <c r="AF31">
        <v>735.72041192967799</v>
      </c>
      <c r="AG31">
        <v>82.081664158381002</v>
      </c>
      <c r="AH31">
        <v>42.614327065049302</v>
      </c>
      <c r="AI31">
        <v>4.4922483322322098</v>
      </c>
      <c r="AJ31">
        <v>25.3242021655123</v>
      </c>
      <c r="AK31">
        <v>326.64818776227901</v>
      </c>
    </row>
    <row r="32" spans="1:37" x14ac:dyDescent="0.25">
      <c r="A32">
        <v>0</v>
      </c>
      <c r="B32" t="s">
        <v>37</v>
      </c>
      <c r="C32" s="1">
        <v>41821</v>
      </c>
      <c r="D32" s="1">
        <v>41821</v>
      </c>
      <c r="E32" t="s">
        <v>38</v>
      </c>
      <c r="F32">
        <v>167290.89919178799</v>
      </c>
      <c r="G32">
        <v>4263.0502464109704</v>
      </c>
      <c r="H32">
        <v>670.27629817494903</v>
      </c>
      <c r="I32">
        <v>9.8347045678306309</v>
      </c>
      <c r="J32">
        <v>20299412289.73</v>
      </c>
      <c r="K32">
        <v>129.928194120146</v>
      </c>
      <c r="L32">
        <v>144.64636476973899</v>
      </c>
      <c r="M32">
        <v>15.099652805334401</v>
      </c>
      <c r="N32">
        <v>0.97932442728358504</v>
      </c>
      <c r="O32">
        <v>0</v>
      </c>
      <c r="P32">
        <v>69.047189457190797</v>
      </c>
      <c r="Q32">
        <v>16.223297950750599</v>
      </c>
      <c r="R32">
        <v>20120101</v>
      </c>
      <c r="S32">
        <v>0</v>
      </c>
      <c r="T32">
        <v>10.444309537799599</v>
      </c>
      <c r="U32">
        <v>80.716674570126003</v>
      </c>
      <c r="V32" t="s">
        <v>40</v>
      </c>
      <c r="W32">
        <v>97.724274561020906</v>
      </c>
      <c r="X32">
        <v>12.1273598096305</v>
      </c>
      <c r="Y32">
        <v>88.779957003535301</v>
      </c>
      <c r="Z32" t="s">
        <v>41</v>
      </c>
      <c r="AA32">
        <v>0</v>
      </c>
      <c r="AB32">
        <v>3.05830125157207</v>
      </c>
      <c r="AC32">
        <v>20.210988948842601</v>
      </c>
      <c r="AD32">
        <v>67.431970578843504</v>
      </c>
      <c r="AE32">
        <v>0</v>
      </c>
      <c r="AF32">
        <v>735.657246173521</v>
      </c>
      <c r="AG32">
        <v>82.071503850352002</v>
      </c>
      <c r="AH32">
        <v>42.602725383191597</v>
      </c>
      <c r="AI32">
        <v>4.4921100318133496</v>
      </c>
      <c r="AJ32">
        <v>26.327313304420699</v>
      </c>
      <c r="AK32">
        <v>325.526473699858</v>
      </c>
    </row>
    <row r="33" spans="1:37" x14ac:dyDescent="0.25">
      <c r="A33">
        <v>0</v>
      </c>
      <c r="B33" t="s">
        <v>37</v>
      </c>
      <c r="C33" s="1">
        <v>41852</v>
      </c>
      <c r="D33" s="1">
        <v>41852</v>
      </c>
      <c r="E33" t="s">
        <v>38</v>
      </c>
      <c r="F33">
        <v>166828.518594842</v>
      </c>
      <c r="G33">
        <v>4299.7454202250101</v>
      </c>
      <c r="H33">
        <v>689.37044922356199</v>
      </c>
      <c r="I33">
        <v>11.489086904851799</v>
      </c>
      <c r="J33">
        <v>20062297160.66</v>
      </c>
      <c r="K33">
        <v>128.289742857513</v>
      </c>
      <c r="L33">
        <v>144.644370972095</v>
      </c>
      <c r="M33">
        <v>14.478809848715001</v>
      </c>
      <c r="N33">
        <v>1.03742529922329</v>
      </c>
      <c r="O33">
        <v>0</v>
      </c>
      <c r="P33">
        <v>69.017672065342595</v>
      </c>
      <c r="Q33">
        <v>16.2033935900964</v>
      </c>
      <c r="R33">
        <v>20120101</v>
      </c>
      <c r="S33">
        <v>0</v>
      </c>
      <c r="T33">
        <v>10.430905536614</v>
      </c>
      <c r="U33">
        <v>80.740640708738098</v>
      </c>
      <c r="V33" t="s">
        <v>40</v>
      </c>
      <c r="W33">
        <v>97.7995819543425</v>
      </c>
      <c r="X33">
        <v>14.927106193721</v>
      </c>
      <c r="Y33">
        <v>88.777741285916704</v>
      </c>
      <c r="Z33" t="s">
        <v>41</v>
      </c>
      <c r="AA33">
        <v>0</v>
      </c>
      <c r="AB33">
        <v>3.0541106601535701</v>
      </c>
      <c r="AC33">
        <v>20.225377837512799</v>
      </c>
      <c r="AD33">
        <v>67.271869501319202</v>
      </c>
      <c r="AE33">
        <v>0</v>
      </c>
      <c r="AF33">
        <v>735.64106143697495</v>
      </c>
      <c r="AG33">
        <v>82.059893240581403</v>
      </c>
      <c r="AH33">
        <v>42.577122004353299</v>
      </c>
      <c r="AI33">
        <v>4.4919316846141601</v>
      </c>
      <c r="AJ33">
        <v>27.324354323091601</v>
      </c>
      <c r="AK33">
        <v>324.426225577889</v>
      </c>
    </row>
    <row r="34" spans="1:37" x14ac:dyDescent="0.25">
      <c r="A34">
        <v>0</v>
      </c>
      <c r="B34" t="s">
        <v>37</v>
      </c>
      <c r="C34" s="1">
        <v>41883</v>
      </c>
      <c r="D34" s="1">
        <v>41883</v>
      </c>
      <c r="E34" t="s">
        <v>38</v>
      </c>
      <c r="F34">
        <v>166458.154305381</v>
      </c>
      <c r="G34">
        <v>4331.5794520089003</v>
      </c>
      <c r="H34">
        <v>708.97445620775795</v>
      </c>
      <c r="I34">
        <v>10.0308051773196</v>
      </c>
      <c r="J34">
        <v>19878099870.84</v>
      </c>
      <c r="K34">
        <v>126.4535473004</v>
      </c>
      <c r="L34">
        <v>144.643467201269</v>
      </c>
      <c r="M34">
        <v>13.8844517365531</v>
      </c>
      <c r="N34">
        <v>1.0158142410615301</v>
      </c>
      <c r="O34">
        <v>0</v>
      </c>
      <c r="P34">
        <v>68.974499628935504</v>
      </c>
      <c r="Q34">
        <v>16.228483367168899</v>
      </c>
      <c r="R34">
        <v>20120101</v>
      </c>
      <c r="S34">
        <v>0</v>
      </c>
      <c r="T34">
        <v>10.4084330055406</v>
      </c>
      <c r="U34">
        <v>80.726134615907199</v>
      </c>
      <c r="V34" t="s">
        <v>40</v>
      </c>
      <c r="W34">
        <v>97.886416998310096</v>
      </c>
      <c r="X34">
        <v>17.878425881141201</v>
      </c>
      <c r="Y34">
        <v>88.785863944489094</v>
      </c>
      <c r="Z34" t="s">
        <v>41</v>
      </c>
      <c r="AA34">
        <v>0</v>
      </c>
      <c r="AB34">
        <v>3.0438343166119202</v>
      </c>
      <c r="AC34">
        <v>20.173395384446199</v>
      </c>
      <c r="AD34">
        <v>66.706016814509297</v>
      </c>
      <c r="AE34">
        <v>0</v>
      </c>
      <c r="AF34">
        <v>735.63630556516398</v>
      </c>
      <c r="AG34">
        <v>82.047823581523701</v>
      </c>
      <c r="AH34">
        <v>42.572787581547502</v>
      </c>
      <c r="AI34">
        <v>4.4918598269769703</v>
      </c>
      <c r="AJ34">
        <v>28.320991013045901</v>
      </c>
      <c r="AK34">
        <v>323.336544744957</v>
      </c>
    </row>
    <row r="35" spans="1:37" x14ac:dyDescent="0.25">
      <c r="A35">
        <v>0</v>
      </c>
      <c r="B35" t="s">
        <v>37</v>
      </c>
      <c r="C35" s="1">
        <v>41913</v>
      </c>
      <c r="D35" s="1">
        <v>41913</v>
      </c>
      <c r="E35" t="s">
        <v>38</v>
      </c>
      <c r="F35">
        <v>166298.43736788299</v>
      </c>
      <c r="G35">
        <v>4332.4113331434901</v>
      </c>
      <c r="H35">
        <v>722.31703334098404</v>
      </c>
      <c r="I35">
        <v>9.6572706919023101</v>
      </c>
      <c r="J35">
        <v>19856366018.599998</v>
      </c>
      <c r="K35">
        <v>125.378583547289</v>
      </c>
      <c r="L35">
        <v>144.644992392918</v>
      </c>
      <c r="M35">
        <v>13.660830404003001</v>
      </c>
      <c r="N35">
        <v>1.2151111748707299</v>
      </c>
      <c r="O35">
        <v>0</v>
      </c>
      <c r="P35">
        <v>68.340782064521903</v>
      </c>
      <c r="Q35">
        <v>16.0945040307017</v>
      </c>
      <c r="R35">
        <v>20120101</v>
      </c>
      <c r="S35">
        <v>0</v>
      </c>
      <c r="T35">
        <v>10.331278969801801</v>
      </c>
      <c r="U35">
        <v>80.838555860237307</v>
      </c>
      <c r="V35" t="s">
        <v>40</v>
      </c>
      <c r="W35">
        <v>97.918960831351399</v>
      </c>
      <c r="X35">
        <v>15.4739942750913</v>
      </c>
      <c r="Y35">
        <v>88.392011110504697</v>
      </c>
      <c r="Z35" t="s">
        <v>41</v>
      </c>
      <c r="AA35">
        <v>0</v>
      </c>
      <c r="AB35">
        <v>3.06512659019134</v>
      </c>
      <c r="AC35">
        <v>20.259580674642802</v>
      </c>
      <c r="AD35">
        <v>66.546246111720194</v>
      </c>
      <c r="AE35">
        <v>0</v>
      </c>
      <c r="AF35">
        <v>735.81801893314901</v>
      </c>
      <c r="AG35">
        <v>81.935302488323003</v>
      </c>
      <c r="AH35">
        <v>42.654301258519197</v>
      </c>
      <c r="AI35">
        <v>4.4934127951979104</v>
      </c>
      <c r="AJ35">
        <v>29.340115240885599</v>
      </c>
      <c r="AK35">
        <v>322.24648460984002</v>
      </c>
    </row>
    <row r="36" spans="1:37" x14ac:dyDescent="0.25">
      <c r="A36">
        <v>0</v>
      </c>
      <c r="B36" t="s">
        <v>37</v>
      </c>
      <c r="C36" s="1">
        <v>41944</v>
      </c>
      <c r="D36" s="1">
        <v>41944</v>
      </c>
      <c r="E36" t="s">
        <v>38</v>
      </c>
      <c r="F36">
        <v>165897.631553124</v>
      </c>
      <c r="G36">
        <v>4367.1788144321099</v>
      </c>
      <c r="H36">
        <v>749.99125135020302</v>
      </c>
      <c r="I36">
        <v>11.663336872218199</v>
      </c>
      <c r="J36">
        <v>19651901638.52</v>
      </c>
      <c r="K36">
        <v>124.926847788575</v>
      </c>
      <c r="L36">
        <v>144.64385314917399</v>
      </c>
      <c r="M36">
        <v>13.575574406262101</v>
      </c>
      <c r="N36">
        <v>1.18705681879409</v>
      </c>
      <c r="O36">
        <v>0</v>
      </c>
      <c r="P36">
        <v>68.255428687525793</v>
      </c>
      <c r="Q36">
        <v>16.149406230191701</v>
      </c>
      <c r="R36">
        <v>20120101</v>
      </c>
      <c r="S36">
        <v>0</v>
      </c>
      <c r="T36">
        <v>10.292970567670199</v>
      </c>
      <c r="U36">
        <v>80.780901797517203</v>
      </c>
      <c r="V36" t="s">
        <v>40</v>
      </c>
      <c r="W36">
        <v>97.919668832403801</v>
      </c>
      <c r="X36">
        <v>28.749730189606101</v>
      </c>
      <c r="Y36">
        <v>88.343355720134397</v>
      </c>
      <c r="Z36" t="s">
        <v>41</v>
      </c>
      <c r="AA36">
        <v>0</v>
      </c>
      <c r="AB36">
        <v>3.0677919004440399</v>
      </c>
      <c r="AC36">
        <v>20.281659864125999</v>
      </c>
      <c r="AD36">
        <v>66.444007231471801</v>
      </c>
      <c r="AE36">
        <v>0</v>
      </c>
      <c r="AF36">
        <v>735.87897097223799</v>
      </c>
      <c r="AG36">
        <v>81.911138758621306</v>
      </c>
      <c r="AH36">
        <v>42.777660385309801</v>
      </c>
      <c r="AI36">
        <v>4.4935973233564903</v>
      </c>
      <c r="AJ36">
        <v>30.3243105577817</v>
      </c>
      <c r="AK36">
        <v>321.16871966128701</v>
      </c>
    </row>
    <row r="37" spans="1:37" x14ac:dyDescent="0.25">
      <c r="A37">
        <v>0</v>
      </c>
      <c r="B37" t="s">
        <v>37</v>
      </c>
      <c r="C37" s="1">
        <v>41974</v>
      </c>
      <c r="D37" s="1">
        <v>41974</v>
      </c>
      <c r="E37" t="s">
        <v>38</v>
      </c>
      <c r="F37">
        <v>165441.19403999401</v>
      </c>
      <c r="G37">
        <v>4395.9563935206397</v>
      </c>
      <c r="H37">
        <v>780.97349196254402</v>
      </c>
      <c r="I37">
        <v>9.2157844196102197</v>
      </c>
      <c r="J37">
        <v>19466803537.91</v>
      </c>
      <c r="K37">
        <v>124.629605987932</v>
      </c>
      <c r="L37">
        <v>144.64227258399899</v>
      </c>
      <c r="M37">
        <v>13.541272843154699</v>
      </c>
      <c r="N37">
        <v>1.1085988451925499</v>
      </c>
      <c r="O37">
        <v>0</v>
      </c>
      <c r="P37">
        <v>68.282184226327004</v>
      </c>
      <c r="Q37">
        <v>16.157496107920501</v>
      </c>
      <c r="R37">
        <v>20120101</v>
      </c>
      <c r="S37">
        <v>0</v>
      </c>
      <c r="T37">
        <v>10.2915482306394</v>
      </c>
      <c r="U37">
        <v>80.770281695662305</v>
      </c>
      <c r="V37" t="s">
        <v>40</v>
      </c>
      <c r="W37">
        <v>97.914327848863906</v>
      </c>
      <c r="X37">
        <v>32.189006473539898</v>
      </c>
      <c r="Y37">
        <v>88.337679388101705</v>
      </c>
      <c r="Z37" t="s">
        <v>41</v>
      </c>
      <c r="AA37">
        <v>0</v>
      </c>
      <c r="AB37">
        <v>3.0707785592470098</v>
      </c>
      <c r="AC37">
        <v>20.246400292978802</v>
      </c>
      <c r="AD37">
        <v>66.337946894114793</v>
      </c>
      <c r="AE37">
        <v>0</v>
      </c>
      <c r="AF37">
        <v>735.87517610270299</v>
      </c>
      <c r="AG37">
        <v>81.906159801965799</v>
      </c>
      <c r="AH37">
        <v>42.769709412848002</v>
      </c>
      <c r="AI37">
        <v>4.4934948870215798</v>
      </c>
      <c r="AJ37">
        <v>31.326827164208002</v>
      </c>
      <c r="AK37">
        <v>320.05355704470901</v>
      </c>
    </row>
    <row r="38" spans="1:37" x14ac:dyDescent="0.25">
      <c r="A38">
        <v>0</v>
      </c>
      <c r="B38" t="s">
        <v>37</v>
      </c>
      <c r="C38" s="1">
        <v>42005</v>
      </c>
      <c r="D38" s="1">
        <v>42005</v>
      </c>
      <c r="E38" t="s">
        <v>38</v>
      </c>
      <c r="F38">
        <v>164930.66214083499</v>
      </c>
      <c r="G38">
        <v>4436.9671802086104</v>
      </c>
      <c r="H38">
        <v>824.572087225367</v>
      </c>
      <c r="I38">
        <v>12.1253450799336</v>
      </c>
      <c r="J38">
        <v>19226956869.73</v>
      </c>
      <c r="K38">
        <v>109.167058650576</v>
      </c>
      <c r="L38">
        <v>144.64302633745601</v>
      </c>
      <c r="M38">
        <v>13.2176988416011</v>
      </c>
      <c r="N38">
        <v>1.3959439330608601</v>
      </c>
      <c r="O38">
        <v>0</v>
      </c>
      <c r="P38">
        <v>68.353090953827405</v>
      </c>
      <c r="Q38">
        <v>16.169557510131401</v>
      </c>
      <c r="R38">
        <v>20120101</v>
      </c>
      <c r="S38">
        <v>0</v>
      </c>
      <c r="T38">
        <v>10.2692973432284</v>
      </c>
      <c r="U38">
        <v>80.763241424555005</v>
      </c>
      <c r="V38" t="s">
        <v>40</v>
      </c>
      <c r="W38">
        <v>97.970246577011295</v>
      </c>
      <c r="X38">
        <v>47.558855443466797</v>
      </c>
      <c r="Y38">
        <v>88.374654154445096</v>
      </c>
      <c r="Z38" t="s">
        <v>41</v>
      </c>
      <c r="AA38">
        <v>0</v>
      </c>
      <c r="AB38">
        <v>3.0653634196204198</v>
      </c>
      <c r="AC38">
        <v>20.189680094208299</v>
      </c>
      <c r="AD38">
        <v>66.079275290465901</v>
      </c>
      <c r="AE38">
        <v>0</v>
      </c>
      <c r="AF38">
        <v>735.84655643170197</v>
      </c>
      <c r="AG38">
        <v>81.905619705493393</v>
      </c>
      <c r="AH38">
        <v>42.753411960106</v>
      </c>
      <c r="AI38">
        <v>4.4931913846550504</v>
      </c>
      <c r="AJ38">
        <v>32.321861367856002</v>
      </c>
      <c r="AK38">
        <v>318.94940178714398</v>
      </c>
    </row>
    <row r="39" spans="1:37" x14ac:dyDescent="0.25">
      <c r="A39">
        <v>0</v>
      </c>
      <c r="B39" t="s">
        <v>37</v>
      </c>
      <c r="C39" s="1">
        <v>42036</v>
      </c>
      <c r="D39" s="1">
        <v>42036</v>
      </c>
      <c r="E39" t="s">
        <v>38</v>
      </c>
      <c r="F39">
        <v>164435.233217881</v>
      </c>
      <c r="G39">
        <v>4466.1580919814096</v>
      </c>
      <c r="H39">
        <v>884.77379044714201</v>
      </c>
      <c r="I39">
        <v>9.2740851826302997</v>
      </c>
      <c r="J39">
        <v>19042586618.029999</v>
      </c>
      <c r="K39">
        <v>108.441761963735</v>
      </c>
      <c r="L39">
        <v>94.643898073167094</v>
      </c>
      <c r="M39">
        <v>12.9385397382379</v>
      </c>
      <c r="N39">
        <v>1.1555229970265199</v>
      </c>
      <c r="O39">
        <v>0</v>
      </c>
      <c r="P39">
        <v>68.396932559500698</v>
      </c>
      <c r="Q39">
        <v>16.159784052056001</v>
      </c>
      <c r="R39">
        <v>20120101</v>
      </c>
      <c r="S39">
        <v>0</v>
      </c>
      <c r="T39">
        <v>10.2569119479408</v>
      </c>
      <c r="U39">
        <v>80.770638542572399</v>
      </c>
      <c r="V39" t="s">
        <v>40</v>
      </c>
      <c r="W39">
        <v>98.017492600541999</v>
      </c>
      <c r="X39">
        <v>69.278886655790103</v>
      </c>
      <c r="Y39">
        <v>88.400718053539194</v>
      </c>
      <c r="Z39" t="s">
        <v>41</v>
      </c>
      <c r="AA39">
        <v>0</v>
      </c>
      <c r="AB39">
        <v>3.0677493423788902</v>
      </c>
      <c r="AC39">
        <v>20.134710215008599</v>
      </c>
      <c r="AD39">
        <v>65.821268906602498</v>
      </c>
      <c r="AE39">
        <v>0</v>
      </c>
      <c r="AF39">
        <v>735.82872405734599</v>
      </c>
      <c r="AG39">
        <v>81.909751406094003</v>
      </c>
      <c r="AH39">
        <v>42.787413165195701</v>
      </c>
      <c r="AI39">
        <v>4.4930453559209198</v>
      </c>
      <c r="AJ39">
        <v>33.313279005461403</v>
      </c>
      <c r="AK39">
        <v>317.83619968880998</v>
      </c>
    </row>
    <row r="40" spans="1:37" x14ac:dyDescent="0.25">
      <c r="A40">
        <v>0</v>
      </c>
      <c r="B40" t="s">
        <v>37</v>
      </c>
      <c r="C40" s="1">
        <v>42064</v>
      </c>
      <c r="D40" s="1">
        <v>42064</v>
      </c>
      <c r="E40" t="s">
        <v>38</v>
      </c>
      <c r="F40">
        <v>163922.18603709899</v>
      </c>
      <c r="G40">
        <v>4477.9075187579001</v>
      </c>
      <c r="H40">
        <v>936.57438141180296</v>
      </c>
      <c r="I40">
        <v>12.377326255320501</v>
      </c>
      <c r="J40">
        <v>18919570868.029999</v>
      </c>
      <c r="K40">
        <v>107.235806744047</v>
      </c>
      <c r="L40">
        <v>94.643620753118896</v>
      </c>
      <c r="M40">
        <v>12.610617326664901</v>
      </c>
      <c r="N40">
        <v>1.2228720574260601</v>
      </c>
      <c r="O40">
        <v>0</v>
      </c>
      <c r="P40">
        <v>68.042709889650197</v>
      </c>
      <c r="Q40">
        <v>16.1422269617095</v>
      </c>
      <c r="R40">
        <v>20120101</v>
      </c>
      <c r="S40">
        <v>0</v>
      </c>
      <c r="T40">
        <v>10.182774212013699</v>
      </c>
      <c r="U40">
        <v>80.764881982633796</v>
      </c>
      <c r="V40" t="s">
        <v>40</v>
      </c>
      <c r="W40">
        <v>98.045258233864502</v>
      </c>
      <c r="X40">
        <v>65.613085915734203</v>
      </c>
      <c r="Y40">
        <v>88.436934080494794</v>
      </c>
      <c r="Z40" t="s">
        <v>41</v>
      </c>
      <c r="AA40">
        <v>0</v>
      </c>
      <c r="AB40">
        <v>3.0914175212295398</v>
      </c>
      <c r="AC40">
        <v>19.943282150769502</v>
      </c>
      <c r="AD40">
        <v>65.464892283641106</v>
      </c>
      <c r="AE40">
        <v>0</v>
      </c>
      <c r="AF40">
        <v>735.92824159194799</v>
      </c>
      <c r="AG40">
        <v>81.806534003764</v>
      </c>
      <c r="AH40">
        <v>42.674995060631602</v>
      </c>
      <c r="AI40">
        <v>4.49272809046699</v>
      </c>
      <c r="AJ40">
        <v>34.329399562205197</v>
      </c>
      <c r="AK40">
        <v>316.72452627904602</v>
      </c>
    </row>
    <row r="41" spans="1:37" x14ac:dyDescent="0.25">
      <c r="A41">
        <v>0</v>
      </c>
      <c r="B41" t="s">
        <v>37</v>
      </c>
      <c r="C41" s="1">
        <v>42095</v>
      </c>
      <c r="D41" s="1">
        <v>42095</v>
      </c>
      <c r="E41" t="s">
        <v>38</v>
      </c>
      <c r="F41">
        <v>163196.100444232</v>
      </c>
      <c r="G41">
        <v>4522.57738773649</v>
      </c>
      <c r="H41">
        <v>989.80927938105594</v>
      </c>
      <c r="I41">
        <v>16.073149527052902</v>
      </c>
      <c r="J41">
        <v>18614473608.869999</v>
      </c>
      <c r="K41">
        <v>104.460078052889</v>
      </c>
      <c r="L41">
        <v>94.632923775993603</v>
      </c>
      <c r="M41">
        <v>10.9038655924493</v>
      </c>
      <c r="N41">
        <v>1.2427768585115699</v>
      </c>
      <c r="O41">
        <v>0</v>
      </c>
      <c r="P41">
        <v>68.172408713228506</v>
      </c>
      <c r="Q41">
        <v>16.179386534056398</v>
      </c>
      <c r="R41">
        <v>20120101</v>
      </c>
      <c r="S41">
        <v>0</v>
      </c>
      <c r="T41">
        <v>10.1626805786548</v>
      </c>
      <c r="U41">
        <v>80.727804245226395</v>
      </c>
      <c r="V41" t="s">
        <v>40</v>
      </c>
      <c r="W41">
        <v>98.299899539563597</v>
      </c>
      <c r="X41">
        <v>61.718812181668604</v>
      </c>
      <c r="Y41">
        <v>88.490302460936306</v>
      </c>
      <c r="Z41" t="s">
        <v>41</v>
      </c>
      <c r="AA41">
        <v>0</v>
      </c>
      <c r="AB41">
        <v>3.0913555128544599</v>
      </c>
      <c r="AC41">
        <v>19.827345789201001</v>
      </c>
      <c r="AD41">
        <v>64.582817328450702</v>
      </c>
      <c r="AE41">
        <v>0</v>
      </c>
      <c r="AF41">
        <v>735.76557303531399</v>
      </c>
      <c r="AG41">
        <v>81.792023727842803</v>
      </c>
      <c r="AH41">
        <v>42.682334304534301</v>
      </c>
      <c r="AI41">
        <v>4.4926692005216102</v>
      </c>
      <c r="AJ41">
        <v>35.334779636323901</v>
      </c>
      <c r="AK41">
        <v>315.640543798539</v>
      </c>
    </row>
    <row r="42" spans="1:37" x14ac:dyDescent="0.25">
      <c r="A42">
        <v>0</v>
      </c>
      <c r="B42" t="s">
        <v>37</v>
      </c>
      <c r="C42" s="1">
        <v>42125</v>
      </c>
      <c r="D42" s="1">
        <v>42125</v>
      </c>
      <c r="E42" t="s">
        <v>38</v>
      </c>
      <c r="F42">
        <v>162528.37744697</v>
      </c>
      <c r="G42">
        <v>4572.5285173126504</v>
      </c>
      <c r="H42">
        <v>1053.0753907789399</v>
      </c>
      <c r="I42">
        <v>15.7905311753641</v>
      </c>
      <c r="J42">
        <v>18320361234.200001</v>
      </c>
      <c r="K42">
        <v>101.789987490811</v>
      </c>
      <c r="L42">
        <v>94.625261314529197</v>
      </c>
      <c r="M42">
        <v>9.4303553045076303</v>
      </c>
      <c r="N42">
        <v>0.94035405458947996</v>
      </c>
      <c r="O42">
        <v>0</v>
      </c>
      <c r="P42">
        <v>68.275078212234007</v>
      </c>
      <c r="Q42">
        <v>16.200420503563201</v>
      </c>
      <c r="R42">
        <v>20120101</v>
      </c>
      <c r="S42">
        <v>0</v>
      </c>
      <c r="T42">
        <v>10.1445953633323</v>
      </c>
      <c r="U42">
        <v>80.705455192852597</v>
      </c>
      <c r="V42" t="s">
        <v>40</v>
      </c>
      <c r="W42">
        <v>98.493556675615096</v>
      </c>
      <c r="X42">
        <v>72.372856280719006</v>
      </c>
      <c r="Y42">
        <v>88.542071775434906</v>
      </c>
      <c r="Z42" t="s">
        <v>41</v>
      </c>
      <c r="AA42">
        <v>0</v>
      </c>
      <c r="AB42">
        <v>3.09254567009366</v>
      </c>
      <c r="AC42">
        <v>19.733815205141301</v>
      </c>
      <c r="AD42">
        <v>63.738809968201799</v>
      </c>
      <c r="AE42">
        <v>0</v>
      </c>
      <c r="AF42">
        <v>735.64193610496602</v>
      </c>
      <c r="AG42">
        <v>81.7997413320671</v>
      </c>
      <c r="AH42">
        <v>42.647548241831203</v>
      </c>
      <c r="AI42">
        <v>4.4925877710385702</v>
      </c>
      <c r="AJ42">
        <v>36.331041253117199</v>
      </c>
      <c r="AK42">
        <v>314.51761912848502</v>
      </c>
    </row>
    <row r="43" spans="1:37" x14ac:dyDescent="0.25">
      <c r="A43">
        <v>0</v>
      </c>
      <c r="B43" t="s">
        <v>37</v>
      </c>
      <c r="C43" s="1">
        <v>42156</v>
      </c>
      <c r="D43" s="1">
        <v>42156</v>
      </c>
      <c r="E43" t="s">
        <v>38</v>
      </c>
      <c r="F43">
        <v>161890.02809534399</v>
      </c>
      <c r="G43">
        <v>4624.0587263388497</v>
      </c>
      <c r="H43">
        <v>1103.2351987633899</v>
      </c>
      <c r="I43">
        <v>15.8408403682757</v>
      </c>
      <c r="J43">
        <v>18028721088.810001</v>
      </c>
      <c r="K43">
        <v>99.044370632694296</v>
      </c>
      <c r="L43">
        <v>94.622635748970296</v>
      </c>
      <c r="M43">
        <v>7.9895689718730303</v>
      </c>
      <c r="N43">
        <v>1.0390223063208901</v>
      </c>
      <c r="O43">
        <v>0</v>
      </c>
      <c r="P43">
        <v>68.366082225268002</v>
      </c>
      <c r="Q43">
        <v>16.2163488673941</v>
      </c>
      <c r="R43">
        <v>20120101</v>
      </c>
      <c r="S43">
        <v>0</v>
      </c>
      <c r="T43">
        <v>10.131124683821501</v>
      </c>
      <c r="U43">
        <v>80.676563136763207</v>
      </c>
      <c r="V43" t="s">
        <v>40</v>
      </c>
      <c r="W43">
        <v>98.691681298803502</v>
      </c>
      <c r="X43">
        <v>56.743223789284997</v>
      </c>
      <c r="Y43">
        <v>88.579998905710596</v>
      </c>
      <c r="Z43" t="s">
        <v>41</v>
      </c>
      <c r="AA43">
        <v>0</v>
      </c>
      <c r="AB43">
        <v>3.1052360810780302</v>
      </c>
      <c r="AC43">
        <v>19.662340119524199</v>
      </c>
      <c r="AD43">
        <v>62.894553995149202</v>
      </c>
      <c r="AE43">
        <v>0</v>
      </c>
      <c r="AF43">
        <v>735.54786113396005</v>
      </c>
      <c r="AG43">
        <v>81.794424414667404</v>
      </c>
      <c r="AH43">
        <v>42.6781659746378</v>
      </c>
      <c r="AI43">
        <v>4.4924961752887604</v>
      </c>
      <c r="AJ43">
        <v>37.323974211088299</v>
      </c>
      <c r="AK43">
        <v>313.40151272980199</v>
      </c>
    </row>
    <row r="44" spans="1:37" x14ac:dyDescent="0.25">
      <c r="A44">
        <v>0</v>
      </c>
      <c r="B44" t="s">
        <v>37</v>
      </c>
      <c r="C44" s="1">
        <v>42186</v>
      </c>
      <c r="D44" s="1">
        <v>42186</v>
      </c>
      <c r="E44" t="s">
        <v>38</v>
      </c>
      <c r="F44">
        <v>161272.62097122899</v>
      </c>
      <c r="G44">
        <v>4684.4448307560597</v>
      </c>
      <c r="H44">
        <v>1139.9453131980999</v>
      </c>
      <c r="I44">
        <v>17.104654572905201</v>
      </c>
      <c r="J44">
        <v>17719184138.73</v>
      </c>
      <c r="K44">
        <v>97.996257419444603</v>
      </c>
      <c r="L44">
        <v>94.6220168319321</v>
      </c>
      <c r="M44">
        <v>7.5301262610143702</v>
      </c>
      <c r="N44">
        <v>1.19327218359444</v>
      </c>
      <c r="O44">
        <v>0</v>
      </c>
      <c r="P44">
        <v>68.427481830064707</v>
      </c>
      <c r="Q44">
        <v>16.249119966067699</v>
      </c>
      <c r="R44">
        <v>20120101</v>
      </c>
      <c r="S44">
        <v>0</v>
      </c>
      <c r="T44">
        <v>10.114151716655099</v>
      </c>
      <c r="U44">
        <v>80.640731640238201</v>
      </c>
      <c r="V44" t="s">
        <v>40</v>
      </c>
      <c r="W44">
        <v>98.747171841964899</v>
      </c>
      <c r="X44">
        <v>42.350814940170899</v>
      </c>
      <c r="Y44">
        <v>88.608397228719198</v>
      </c>
      <c r="Z44" t="s">
        <v>41</v>
      </c>
      <c r="AA44">
        <v>0</v>
      </c>
      <c r="AB44">
        <v>3.1085329790457501</v>
      </c>
      <c r="AC44">
        <v>19.602877244219901</v>
      </c>
      <c r="AD44">
        <v>62.522096806970801</v>
      </c>
      <c r="AE44">
        <v>0</v>
      </c>
      <c r="AF44">
        <v>735.45506467553798</v>
      </c>
      <c r="AG44">
        <v>81.802624893510995</v>
      </c>
      <c r="AH44">
        <v>42.718070509578098</v>
      </c>
      <c r="AI44">
        <v>4.4925558447732001</v>
      </c>
      <c r="AJ44">
        <v>38.317438304792802</v>
      </c>
      <c r="AK44">
        <v>312.318357146138</v>
      </c>
    </row>
    <row r="45" spans="1:37" x14ac:dyDescent="0.25">
      <c r="A45">
        <v>0</v>
      </c>
      <c r="B45" t="s">
        <v>37</v>
      </c>
      <c r="C45" s="1">
        <v>42217</v>
      </c>
      <c r="D45" s="1">
        <v>42217</v>
      </c>
      <c r="E45" t="s">
        <v>38</v>
      </c>
      <c r="F45">
        <v>160917.179368346</v>
      </c>
      <c r="G45">
        <v>4736.7813089443598</v>
      </c>
      <c r="H45">
        <v>1170.4198141248401</v>
      </c>
      <c r="I45">
        <v>15.4817945802564</v>
      </c>
      <c r="J45">
        <v>17488961805.290001</v>
      </c>
      <c r="K45">
        <v>96.843233292475702</v>
      </c>
      <c r="L45">
        <v>94.621680379682601</v>
      </c>
      <c r="M45">
        <v>7.0643714926212802</v>
      </c>
      <c r="N45">
        <v>1.1209913571507499</v>
      </c>
      <c r="O45">
        <v>0</v>
      </c>
      <c r="P45">
        <v>68.253270755996098</v>
      </c>
      <c r="Q45">
        <v>16.254389895853201</v>
      </c>
      <c r="R45">
        <v>20120101</v>
      </c>
      <c r="S45">
        <v>0</v>
      </c>
      <c r="T45">
        <v>10.0753231544006</v>
      </c>
      <c r="U45">
        <v>80.611064247665794</v>
      </c>
      <c r="V45" t="s">
        <v>40</v>
      </c>
      <c r="W45">
        <v>98.817368252611502</v>
      </c>
      <c r="X45">
        <v>37.654241833651902</v>
      </c>
      <c r="Y45">
        <v>88.608412343952295</v>
      </c>
      <c r="Z45" t="s">
        <v>41</v>
      </c>
      <c r="AA45">
        <v>0</v>
      </c>
      <c r="AB45">
        <v>3.13258374276674</v>
      </c>
      <c r="AC45">
        <v>19.557055458435901</v>
      </c>
      <c r="AD45">
        <v>62.080811660600098</v>
      </c>
      <c r="AE45">
        <v>0</v>
      </c>
      <c r="AF45">
        <v>735.49125420814096</v>
      </c>
      <c r="AG45">
        <v>81.722794746134397</v>
      </c>
      <c r="AH45">
        <v>42.620553414743704</v>
      </c>
      <c r="AI45">
        <v>4.4918753886589</v>
      </c>
      <c r="AJ45">
        <v>39.321192856120803</v>
      </c>
      <c r="AK45">
        <v>311.23803874874301</v>
      </c>
    </row>
    <row r="46" spans="1:37" x14ac:dyDescent="0.25">
      <c r="A46">
        <v>0</v>
      </c>
      <c r="B46" t="s">
        <v>37</v>
      </c>
      <c r="C46" s="1">
        <v>42248</v>
      </c>
      <c r="D46" s="1">
        <v>42248</v>
      </c>
      <c r="E46" t="s">
        <v>38</v>
      </c>
      <c r="F46">
        <v>160423.15555198799</v>
      </c>
      <c r="G46">
        <v>4789.0942358687998</v>
      </c>
      <c r="H46">
        <v>1216.9359480278199</v>
      </c>
      <c r="I46">
        <v>13.976843498091</v>
      </c>
      <c r="J46">
        <v>17241478642.950001</v>
      </c>
      <c r="K46">
        <v>94.595362845559706</v>
      </c>
      <c r="L46">
        <v>94.622082222062602</v>
      </c>
      <c r="M46">
        <v>6.6624692511249002</v>
      </c>
      <c r="N46">
        <v>1.0076738881262599</v>
      </c>
      <c r="O46">
        <v>0</v>
      </c>
      <c r="P46">
        <v>68.274574362506797</v>
      </c>
      <c r="Q46">
        <v>16.274675749758298</v>
      </c>
      <c r="R46">
        <v>20120101</v>
      </c>
      <c r="S46">
        <v>0</v>
      </c>
      <c r="T46">
        <v>10.0302977768596</v>
      </c>
      <c r="U46">
        <v>80.582744338081298</v>
      </c>
      <c r="V46" t="s">
        <v>40</v>
      </c>
      <c r="W46">
        <v>98.895069043799793</v>
      </c>
      <c r="X46">
        <v>52.422760764308599</v>
      </c>
      <c r="Y46">
        <v>88.610756970285905</v>
      </c>
      <c r="Z46" t="s">
        <v>41</v>
      </c>
      <c r="AA46">
        <v>0</v>
      </c>
      <c r="AB46">
        <v>3.1410662436036798</v>
      </c>
      <c r="AC46">
        <v>19.5218131229209</v>
      </c>
      <c r="AD46">
        <v>61.696253611202103</v>
      </c>
      <c r="AE46">
        <v>0</v>
      </c>
      <c r="AF46">
        <v>735.43036876227097</v>
      </c>
      <c r="AG46">
        <v>81.713395309202696</v>
      </c>
      <c r="AH46">
        <v>42.614213425807698</v>
      </c>
      <c r="AI46">
        <v>4.4917273682311496</v>
      </c>
      <c r="AJ46">
        <v>40.320588856689497</v>
      </c>
      <c r="AK46">
        <v>310.09337998267699</v>
      </c>
    </row>
    <row r="47" spans="1:37" x14ac:dyDescent="0.25">
      <c r="A47">
        <v>0</v>
      </c>
      <c r="B47" t="s">
        <v>37</v>
      </c>
      <c r="C47" s="1">
        <v>42278</v>
      </c>
      <c r="D47" s="1">
        <v>42278</v>
      </c>
      <c r="E47" t="s">
        <v>38</v>
      </c>
      <c r="F47">
        <v>159911.19790721501</v>
      </c>
      <c r="G47">
        <v>4835.5759602001199</v>
      </c>
      <c r="H47">
        <v>1264.8880571613299</v>
      </c>
      <c r="I47">
        <v>13.5896580907571</v>
      </c>
      <c r="J47">
        <v>17003677495.870001</v>
      </c>
      <c r="K47">
        <v>94.388495801017001</v>
      </c>
      <c r="L47">
        <v>94.622821519529097</v>
      </c>
      <c r="M47">
        <v>6.7475008930763503</v>
      </c>
      <c r="N47">
        <v>1.1284793472769401</v>
      </c>
      <c r="O47">
        <v>0</v>
      </c>
      <c r="P47">
        <v>68.328282639151396</v>
      </c>
      <c r="Q47">
        <v>16.2715889973861</v>
      </c>
      <c r="R47">
        <v>20120101</v>
      </c>
      <c r="S47">
        <v>0</v>
      </c>
      <c r="T47">
        <v>10.0212643264317</v>
      </c>
      <c r="U47">
        <v>80.578459732966394</v>
      </c>
      <c r="V47" t="s">
        <v>40</v>
      </c>
      <c r="W47">
        <v>98.871313963434801</v>
      </c>
      <c r="X47">
        <v>54.225180071535803</v>
      </c>
      <c r="Y47">
        <v>88.634188964802902</v>
      </c>
      <c r="Z47" t="s">
        <v>41</v>
      </c>
      <c r="AA47">
        <v>0</v>
      </c>
      <c r="AB47">
        <v>3.1482802262405398</v>
      </c>
      <c r="AC47">
        <v>19.4642737640017</v>
      </c>
      <c r="AD47">
        <v>61.584010737057802</v>
      </c>
      <c r="AE47">
        <v>0</v>
      </c>
      <c r="AF47">
        <v>735.40583751164195</v>
      </c>
      <c r="AG47">
        <v>81.714917339599097</v>
      </c>
      <c r="AH47">
        <v>42.655222895838399</v>
      </c>
      <c r="AI47">
        <v>4.4916490638107902</v>
      </c>
      <c r="AJ47">
        <v>41.314491684872202</v>
      </c>
      <c r="AK47">
        <v>308.99566656116701</v>
      </c>
    </row>
    <row r="48" spans="1:37" x14ac:dyDescent="0.25">
      <c r="A48">
        <v>0</v>
      </c>
      <c r="B48" t="s">
        <v>37</v>
      </c>
      <c r="C48" s="1">
        <v>42309</v>
      </c>
      <c r="D48" s="1">
        <v>42309</v>
      </c>
      <c r="E48" t="s">
        <v>38</v>
      </c>
      <c r="F48">
        <v>159363.94966459001</v>
      </c>
      <c r="G48">
        <v>4880.0480893413296</v>
      </c>
      <c r="H48">
        <v>1322.1992654532201</v>
      </c>
      <c r="I48">
        <v>13.299667618837599</v>
      </c>
      <c r="J48">
        <v>16781661355.48</v>
      </c>
      <c r="K48">
        <v>94.127038198671499</v>
      </c>
      <c r="L48">
        <v>94.623270406276006</v>
      </c>
      <c r="M48">
        <v>6.8050496448872204</v>
      </c>
      <c r="N48">
        <v>1.1644097110865199</v>
      </c>
      <c r="O48">
        <v>0</v>
      </c>
      <c r="P48">
        <v>68.316424284371607</v>
      </c>
      <c r="Q48">
        <v>16.280889801077802</v>
      </c>
      <c r="R48">
        <v>20120101</v>
      </c>
      <c r="S48">
        <v>0</v>
      </c>
      <c r="T48">
        <v>10.017480275016499</v>
      </c>
      <c r="U48">
        <v>80.574620077259794</v>
      </c>
      <c r="V48" t="s">
        <v>40</v>
      </c>
      <c r="W48">
        <v>98.834958959331104</v>
      </c>
      <c r="X48">
        <v>64.725707126469402</v>
      </c>
      <c r="Y48">
        <v>88.626264430857802</v>
      </c>
      <c r="Z48" t="s">
        <v>41</v>
      </c>
      <c r="AA48">
        <v>0</v>
      </c>
      <c r="AB48">
        <v>3.1427874662088899</v>
      </c>
      <c r="AC48">
        <v>19.432100487783</v>
      </c>
      <c r="AD48">
        <v>61.457173579112002</v>
      </c>
      <c r="AE48">
        <v>0</v>
      </c>
      <c r="AF48">
        <v>735.36303435453601</v>
      </c>
      <c r="AG48">
        <v>81.6957631506219</v>
      </c>
      <c r="AH48">
        <v>42.641115311034902</v>
      </c>
      <c r="AI48">
        <v>4.4916984789736398</v>
      </c>
      <c r="AJ48">
        <v>42.317788431977696</v>
      </c>
      <c r="AK48">
        <v>307.91363358694099</v>
      </c>
    </row>
    <row r="49" spans="1:37" x14ac:dyDescent="0.25">
      <c r="A49">
        <v>0</v>
      </c>
      <c r="B49" t="s">
        <v>37</v>
      </c>
      <c r="C49" s="1">
        <v>42339</v>
      </c>
      <c r="D49" s="1">
        <v>42339</v>
      </c>
      <c r="E49" t="s">
        <v>38</v>
      </c>
      <c r="F49">
        <v>158824.452987483</v>
      </c>
      <c r="G49">
        <v>4918.8447025924397</v>
      </c>
      <c r="H49">
        <v>1365.33747070458</v>
      </c>
      <c r="I49">
        <v>11.4078767943457</v>
      </c>
      <c r="J49">
        <v>16584290556.5</v>
      </c>
      <c r="K49">
        <v>93.798620502398506</v>
      </c>
      <c r="L49">
        <v>94.624032842416696</v>
      </c>
      <c r="M49">
        <v>6.86226124112736</v>
      </c>
      <c r="N49">
        <v>1.10673265374018</v>
      </c>
      <c r="O49">
        <v>0</v>
      </c>
      <c r="P49">
        <v>68.337537470558303</v>
      </c>
      <c r="Q49">
        <v>16.297661407728601</v>
      </c>
      <c r="R49">
        <v>20120101</v>
      </c>
      <c r="S49">
        <v>0</v>
      </c>
      <c r="T49">
        <v>9.9831823005018201</v>
      </c>
      <c r="U49">
        <v>80.554043889411304</v>
      </c>
      <c r="V49" t="s">
        <v>40</v>
      </c>
      <c r="W49">
        <v>98.795822548641297</v>
      </c>
      <c r="X49">
        <v>48.124759922005502</v>
      </c>
      <c r="Y49">
        <v>88.6180217809314</v>
      </c>
      <c r="Z49" t="s">
        <v>41</v>
      </c>
      <c r="AA49">
        <v>0</v>
      </c>
      <c r="AB49">
        <v>3.1466004391315101</v>
      </c>
      <c r="AC49">
        <v>19.388549694893701</v>
      </c>
      <c r="AD49">
        <v>61.342654234077202</v>
      </c>
      <c r="AE49">
        <v>0</v>
      </c>
      <c r="AF49">
        <v>735.36706586174</v>
      </c>
      <c r="AG49">
        <v>81.698309314417997</v>
      </c>
      <c r="AH49">
        <v>42.6100169917828</v>
      </c>
      <c r="AI49">
        <v>4.4916107505121499</v>
      </c>
      <c r="AJ49">
        <v>43.316284950243102</v>
      </c>
      <c r="AK49">
        <v>306.78504197360598</v>
      </c>
    </row>
    <row r="50" spans="1:37" x14ac:dyDescent="0.25">
      <c r="A50">
        <v>0</v>
      </c>
      <c r="B50" t="s">
        <v>37</v>
      </c>
      <c r="C50" s="1">
        <v>42370</v>
      </c>
      <c r="D50" s="1">
        <v>42370</v>
      </c>
      <c r="E50" t="s">
        <v>38</v>
      </c>
      <c r="F50">
        <v>158289.968665828</v>
      </c>
      <c r="G50">
        <v>4965.6667666408603</v>
      </c>
      <c r="H50">
        <v>1406.57914147879</v>
      </c>
      <c r="I50">
        <v>13.335080209847501</v>
      </c>
      <c r="J50">
        <v>16360851161.299999</v>
      </c>
      <c r="K50">
        <v>93.018087678079397</v>
      </c>
      <c r="L50">
        <v>94.623463064037693</v>
      </c>
      <c r="M50">
        <v>6.6326974198890403</v>
      </c>
      <c r="N50">
        <v>1.2028898529063801</v>
      </c>
      <c r="O50">
        <v>0</v>
      </c>
      <c r="P50">
        <v>68.3775623622914</v>
      </c>
      <c r="Q50">
        <v>16.300546539852601</v>
      </c>
      <c r="R50">
        <v>20120101</v>
      </c>
      <c r="S50">
        <v>0</v>
      </c>
      <c r="T50">
        <v>9.9840272787622908</v>
      </c>
      <c r="U50">
        <v>80.545665060561603</v>
      </c>
      <c r="V50" t="s">
        <v>40</v>
      </c>
      <c r="W50">
        <v>98.834226101761004</v>
      </c>
      <c r="X50">
        <v>46.884919756761903</v>
      </c>
      <c r="Y50">
        <v>88.651337557948096</v>
      </c>
      <c r="Z50" t="s">
        <v>41</v>
      </c>
      <c r="AA50">
        <v>0</v>
      </c>
      <c r="AB50">
        <v>3.1520971762483798</v>
      </c>
      <c r="AC50">
        <v>19.3174246013062</v>
      </c>
      <c r="AD50">
        <v>61.0543016873441</v>
      </c>
      <c r="AE50">
        <v>0</v>
      </c>
      <c r="AF50">
        <v>735.32565040854399</v>
      </c>
      <c r="AG50">
        <v>81.694945592238099</v>
      </c>
      <c r="AH50">
        <v>42.658528071093102</v>
      </c>
      <c r="AI50">
        <v>4.4916361121264998</v>
      </c>
      <c r="AJ50">
        <v>44.312525450243299</v>
      </c>
      <c r="AK50">
        <v>305.71054779032698</v>
      </c>
    </row>
    <row r="51" spans="1:37" x14ac:dyDescent="0.25">
      <c r="A51">
        <v>0</v>
      </c>
      <c r="B51" t="s">
        <v>37</v>
      </c>
      <c r="C51" s="1">
        <v>42401</v>
      </c>
      <c r="D51" s="1">
        <v>42401</v>
      </c>
      <c r="E51" t="s">
        <v>38</v>
      </c>
      <c r="F51">
        <v>157833.75151368001</v>
      </c>
      <c r="G51">
        <v>5002.0078759345297</v>
      </c>
      <c r="H51">
        <v>1456.5497452168099</v>
      </c>
      <c r="I51">
        <v>9.8010981706160099</v>
      </c>
      <c r="J51">
        <v>16192322401.540001</v>
      </c>
      <c r="K51">
        <v>92.327044064134597</v>
      </c>
      <c r="L51">
        <v>94.6228613296379</v>
      </c>
      <c r="M51">
        <v>6.4485064019313496</v>
      </c>
      <c r="N51">
        <v>1.1364449251012601</v>
      </c>
      <c r="O51">
        <v>0</v>
      </c>
      <c r="P51">
        <v>68.410503897479401</v>
      </c>
      <c r="Q51">
        <v>16.3256705175415</v>
      </c>
      <c r="R51">
        <v>20120101</v>
      </c>
      <c r="S51">
        <v>0</v>
      </c>
      <c r="T51">
        <v>9.9851423266119195</v>
      </c>
      <c r="U51">
        <v>80.525784788243499</v>
      </c>
      <c r="V51" t="s">
        <v>40</v>
      </c>
      <c r="W51">
        <v>98.871748842925598</v>
      </c>
      <c r="X51">
        <v>56.296186951224399</v>
      </c>
      <c r="Y51">
        <v>88.663385052244806</v>
      </c>
      <c r="Z51" t="s">
        <v>41</v>
      </c>
      <c r="AA51">
        <v>0</v>
      </c>
      <c r="AB51">
        <v>3.1468829853915801</v>
      </c>
      <c r="AC51">
        <v>19.281000525408398</v>
      </c>
      <c r="AD51">
        <v>60.763710644618598</v>
      </c>
      <c r="AE51">
        <v>0</v>
      </c>
      <c r="AF51">
        <v>735.34166742116099</v>
      </c>
      <c r="AG51">
        <v>81.6998880328007</v>
      </c>
      <c r="AH51">
        <v>42.647701431752402</v>
      </c>
      <c r="AI51">
        <v>4.49157003828293</v>
      </c>
      <c r="AJ51">
        <v>45.311028490212102</v>
      </c>
      <c r="AK51">
        <v>304.62294221720202</v>
      </c>
    </row>
    <row r="52" spans="1:37" x14ac:dyDescent="0.25">
      <c r="A52">
        <v>0</v>
      </c>
      <c r="B52" t="s">
        <v>37</v>
      </c>
      <c r="C52" s="1">
        <v>42430</v>
      </c>
      <c r="D52" s="1">
        <v>42430</v>
      </c>
      <c r="E52" t="s">
        <v>38</v>
      </c>
      <c r="F52">
        <v>157428.734518621</v>
      </c>
      <c r="G52">
        <v>5040.4631360638396</v>
      </c>
      <c r="H52">
        <v>1528.11117749409</v>
      </c>
      <c r="I52">
        <v>10.388052556541799</v>
      </c>
      <c r="J52">
        <v>16016642021.190001</v>
      </c>
      <c r="K52">
        <v>91.433164989257193</v>
      </c>
      <c r="L52">
        <v>94.622635036678204</v>
      </c>
      <c r="M52">
        <v>6.2510097862183702</v>
      </c>
      <c r="N52">
        <v>1.39981275915563</v>
      </c>
      <c r="O52">
        <v>0</v>
      </c>
      <c r="P52">
        <v>68.439639458113106</v>
      </c>
      <c r="Q52">
        <v>16.324028357001499</v>
      </c>
      <c r="R52">
        <v>20120101</v>
      </c>
      <c r="S52">
        <v>0</v>
      </c>
      <c r="T52">
        <v>9.9598286191316099</v>
      </c>
      <c r="U52">
        <v>80.531659885411599</v>
      </c>
      <c r="V52" t="s">
        <v>40</v>
      </c>
      <c r="W52">
        <v>98.912879603978595</v>
      </c>
      <c r="X52">
        <v>79.040970621630393</v>
      </c>
      <c r="Y52">
        <v>88.697821525061201</v>
      </c>
      <c r="Z52" t="s">
        <v>41</v>
      </c>
      <c r="AA52">
        <v>0</v>
      </c>
      <c r="AB52">
        <v>3.1422475020498299</v>
      </c>
      <c r="AC52">
        <v>19.266887077780499</v>
      </c>
      <c r="AD52">
        <v>60.457372990087698</v>
      </c>
      <c r="AE52">
        <v>0</v>
      </c>
      <c r="AF52">
        <v>735.33074404286197</v>
      </c>
      <c r="AG52">
        <v>81.670125416254507</v>
      </c>
      <c r="AH52">
        <v>42.626290208461398</v>
      </c>
      <c r="AI52">
        <v>4.49141339397812</v>
      </c>
      <c r="AJ52">
        <v>46.312211256405298</v>
      </c>
      <c r="AK52">
        <v>303.56477508101699</v>
      </c>
    </row>
    <row r="53" spans="1:37" x14ac:dyDescent="0.25">
      <c r="A53">
        <v>0</v>
      </c>
      <c r="B53" t="s">
        <v>37</v>
      </c>
      <c r="C53" s="1">
        <v>42461</v>
      </c>
      <c r="D53" s="1">
        <v>42461</v>
      </c>
      <c r="E53" t="s">
        <v>38</v>
      </c>
      <c r="F53">
        <v>156865.684399964</v>
      </c>
      <c r="G53">
        <v>5095.7322366327098</v>
      </c>
      <c r="H53">
        <v>1600.5399953429601</v>
      </c>
      <c r="I53">
        <v>15.077320243931499</v>
      </c>
      <c r="J53">
        <v>15771903372.309999</v>
      </c>
      <c r="K53">
        <v>89.025006815827197</v>
      </c>
      <c r="L53">
        <v>94.620643665801595</v>
      </c>
      <c r="M53">
        <v>4.4322353596576098</v>
      </c>
      <c r="N53">
        <v>1.17182712762397</v>
      </c>
      <c r="O53">
        <v>0</v>
      </c>
      <c r="P53">
        <v>68.440623483163094</v>
      </c>
      <c r="Q53">
        <v>16.3439959894698</v>
      </c>
      <c r="R53">
        <v>20120101</v>
      </c>
      <c r="S53">
        <v>0</v>
      </c>
      <c r="T53">
        <v>9.9358488903248592</v>
      </c>
      <c r="U53">
        <v>80.506134969373704</v>
      </c>
      <c r="V53" t="s">
        <v>40</v>
      </c>
      <c r="W53">
        <v>99.066002757146705</v>
      </c>
      <c r="X53">
        <v>78.536162071892903</v>
      </c>
      <c r="Y53">
        <v>88.700870814479202</v>
      </c>
      <c r="Z53" t="s">
        <v>41</v>
      </c>
      <c r="AA53">
        <v>0</v>
      </c>
      <c r="AB53">
        <v>3.1482230514026202</v>
      </c>
      <c r="AC53">
        <v>19.227233984870001</v>
      </c>
      <c r="AD53">
        <v>59.643959675806897</v>
      </c>
      <c r="AE53">
        <v>0</v>
      </c>
      <c r="AF53">
        <v>735.28676164375895</v>
      </c>
      <c r="AG53">
        <v>81.657168951692</v>
      </c>
      <c r="AH53">
        <v>42.617511002978603</v>
      </c>
      <c r="AI53">
        <v>4.49141440092908</v>
      </c>
      <c r="AJ53">
        <v>47.313709069436499</v>
      </c>
      <c r="AK53">
        <v>302.44464678214098</v>
      </c>
    </row>
    <row r="54" spans="1:37" x14ac:dyDescent="0.25">
      <c r="A54">
        <v>0</v>
      </c>
      <c r="B54" t="s">
        <v>37</v>
      </c>
      <c r="C54" s="1">
        <v>42491</v>
      </c>
      <c r="D54" s="1">
        <v>42491</v>
      </c>
      <c r="E54" t="s">
        <v>38</v>
      </c>
      <c r="F54">
        <v>156291.99872535301</v>
      </c>
      <c r="G54">
        <v>5155.5159921572504</v>
      </c>
      <c r="H54">
        <v>1678.92111618069</v>
      </c>
      <c r="I54">
        <v>15.1687202330681</v>
      </c>
      <c r="J54">
        <v>15544020733.23</v>
      </c>
      <c r="K54">
        <v>86.899130391215706</v>
      </c>
      <c r="L54">
        <v>94.619863268583103</v>
      </c>
      <c r="M54">
        <v>3.67010453526856</v>
      </c>
      <c r="N54">
        <v>0.93354844973400497</v>
      </c>
      <c r="O54">
        <v>0</v>
      </c>
      <c r="P54">
        <v>68.433035463223305</v>
      </c>
      <c r="Q54">
        <v>16.340747319319298</v>
      </c>
      <c r="R54">
        <v>20120101</v>
      </c>
      <c r="S54">
        <v>0</v>
      </c>
      <c r="T54">
        <v>9.9008951683161399</v>
      </c>
      <c r="U54">
        <v>80.505201932028996</v>
      </c>
      <c r="V54" t="s">
        <v>40</v>
      </c>
      <c r="W54">
        <v>99.192021316235099</v>
      </c>
      <c r="X54">
        <v>86.969422343387393</v>
      </c>
      <c r="Y54">
        <v>88.693327814479005</v>
      </c>
      <c r="Z54" t="s">
        <v>41</v>
      </c>
      <c r="AA54">
        <v>0</v>
      </c>
      <c r="AB54">
        <v>3.1526351639304302</v>
      </c>
      <c r="AC54">
        <v>19.162176647547501</v>
      </c>
      <c r="AD54">
        <v>58.860649530261803</v>
      </c>
      <c r="AE54">
        <v>0</v>
      </c>
      <c r="AF54">
        <v>735.22042024735504</v>
      </c>
      <c r="AG54">
        <v>81.664112756246595</v>
      </c>
      <c r="AH54">
        <v>42.639690327219903</v>
      </c>
      <c r="AI54">
        <v>4.4913417368955599</v>
      </c>
      <c r="AJ54">
        <v>48.306084570021703</v>
      </c>
      <c r="AK54">
        <v>301.35845007150698</v>
      </c>
    </row>
    <row r="55" spans="1:37" x14ac:dyDescent="0.25">
      <c r="A55">
        <v>0</v>
      </c>
      <c r="B55" t="s">
        <v>37</v>
      </c>
      <c r="C55" s="1">
        <v>42522</v>
      </c>
      <c r="D55" s="1">
        <v>42522</v>
      </c>
      <c r="E55" t="s">
        <v>38</v>
      </c>
      <c r="F55">
        <v>155687.06671963399</v>
      </c>
      <c r="G55">
        <v>5217.0449517173902</v>
      </c>
      <c r="H55">
        <v>1761.09680730524</v>
      </c>
      <c r="I55">
        <v>16.534325931894799</v>
      </c>
      <c r="J55">
        <v>15284110714</v>
      </c>
      <c r="K55">
        <v>84.516540576858802</v>
      </c>
      <c r="L55">
        <v>94.6168725214023</v>
      </c>
      <c r="M55">
        <v>2.9500455594030202</v>
      </c>
      <c r="N55">
        <v>1.07587063203005</v>
      </c>
      <c r="O55">
        <v>0</v>
      </c>
      <c r="P55">
        <v>68.474511000450704</v>
      </c>
      <c r="Q55">
        <v>16.350708922280401</v>
      </c>
      <c r="R55">
        <v>20120101</v>
      </c>
      <c r="S55">
        <v>0</v>
      </c>
      <c r="T55">
        <v>9.9019319583138294</v>
      </c>
      <c r="U55">
        <v>80.503073686415703</v>
      </c>
      <c r="V55" t="s">
        <v>40</v>
      </c>
      <c r="W55">
        <v>99.285805923303698</v>
      </c>
      <c r="X55">
        <v>88.308868306370599</v>
      </c>
      <c r="Y55">
        <v>88.720996905164995</v>
      </c>
      <c r="Z55" t="s">
        <v>41</v>
      </c>
      <c r="AA55">
        <v>0</v>
      </c>
      <c r="AB55">
        <v>3.1441837887817199</v>
      </c>
      <c r="AC55">
        <v>19.111776775620701</v>
      </c>
      <c r="AD55">
        <v>58.069125668414799</v>
      </c>
      <c r="AE55">
        <v>0</v>
      </c>
      <c r="AF55">
        <v>735.16986599672805</v>
      </c>
      <c r="AG55">
        <v>81.636244904532902</v>
      </c>
      <c r="AH55">
        <v>42.651410133454497</v>
      </c>
      <c r="AI55">
        <v>4.49132070900363</v>
      </c>
      <c r="AJ55">
        <v>49.308321741037403</v>
      </c>
      <c r="AK55">
        <v>300.26560044193599</v>
      </c>
    </row>
    <row r="56" spans="1:37" x14ac:dyDescent="0.25">
      <c r="A56">
        <v>0</v>
      </c>
      <c r="B56" t="s">
        <v>37</v>
      </c>
      <c r="C56" s="1">
        <v>42552</v>
      </c>
      <c r="D56" s="1">
        <v>42552</v>
      </c>
      <c r="E56" t="s">
        <v>38</v>
      </c>
      <c r="F56">
        <v>155053.65830164499</v>
      </c>
      <c r="G56">
        <v>5288.9857609324599</v>
      </c>
      <c r="H56">
        <v>1847.26667645048</v>
      </c>
      <c r="I56">
        <v>18.048397388120101</v>
      </c>
      <c r="J56">
        <v>15005472835.799999</v>
      </c>
      <c r="K56">
        <v>83.618905489058093</v>
      </c>
      <c r="L56">
        <v>94.615581716582199</v>
      </c>
      <c r="M56">
        <v>2.7630893149636</v>
      </c>
      <c r="N56">
        <v>1.0615975835731399</v>
      </c>
      <c r="O56">
        <v>0</v>
      </c>
      <c r="P56">
        <v>68.5371296814141</v>
      </c>
      <c r="Q56">
        <v>16.348922714415899</v>
      </c>
      <c r="R56">
        <v>20120101</v>
      </c>
      <c r="S56">
        <v>0</v>
      </c>
      <c r="T56">
        <v>9.8661878166246204</v>
      </c>
      <c r="U56">
        <v>80.500236359990097</v>
      </c>
      <c r="V56" t="s">
        <v>40</v>
      </c>
      <c r="W56">
        <v>99.307236288342807</v>
      </c>
      <c r="X56">
        <v>92.525989562006998</v>
      </c>
      <c r="Y56">
        <v>88.746094478501604</v>
      </c>
      <c r="Z56" t="s">
        <v>41</v>
      </c>
      <c r="AA56">
        <v>0</v>
      </c>
      <c r="AB56">
        <v>3.1491946608032699</v>
      </c>
      <c r="AC56">
        <v>19.0462084038016</v>
      </c>
      <c r="AD56">
        <v>57.686058802317199</v>
      </c>
      <c r="AE56">
        <v>0</v>
      </c>
      <c r="AF56">
        <v>735.11690300007797</v>
      </c>
      <c r="AG56">
        <v>81.622394718456206</v>
      </c>
      <c r="AH56">
        <v>42.677378698152197</v>
      </c>
      <c r="AI56">
        <v>4.4913070908021204</v>
      </c>
      <c r="AJ56">
        <v>50.303337206735002</v>
      </c>
      <c r="AK56">
        <v>299.16152845851502</v>
      </c>
    </row>
    <row r="57" spans="1:37" x14ac:dyDescent="0.25">
      <c r="A57">
        <v>0</v>
      </c>
      <c r="B57" t="s">
        <v>37</v>
      </c>
      <c r="C57" s="1">
        <v>42583</v>
      </c>
      <c r="D57" s="1">
        <v>42583</v>
      </c>
      <c r="E57" t="s">
        <v>38</v>
      </c>
      <c r="F57">
        <v>154528.44181674399</v>
      </c>
      <c r="G57">
        <v>5351.5543914003702</v>
      </c>
      <c r="H57">
        <v>1946.46992555514</v>
      </c>
      <c r="I57">
        <v>15.904364782204601</v>
      </c>
      <c r="J57">
        <v>14763492802.73</v>
      </c>
      <c r="K57">
        <v>82.637307996850495</v>
      </c>
      <c r="L57">
        <v>94.614726418266898</v>
      </c>
      <c r="M57">
        <v>2.5737593312430298</v>
      </c>
      <c r="N57">
        <v>1.10487908328239</v>
      </c>
      <c r="O57">
        <v>0</v>
      </c>
      <c r="P57">
        <v>68.577404479742199</v>
      </c>
      <c r="Q57">
        <v>16.383481006774598</v>
      </c>
      <c r="R57">
        <v>20120101</v>
      </c>
      <c r="S57">
        <v>0</v>
      </c>
      <c r="T57">
        <v>9.8508851249194507</v>
      </c>
      <c r="U57">
        <v>80.464988835234294</v>
      </c>
      <c r="V57" t="s">
        <v>40</v>
      </c>
      <c r="W57">
        <v>99.339157207598504</v>
      </c>
      <c r="X57">
        <v>106.12515784655</v>
      </c>
      <c r="Y57">
        <v>88.757706875615796</v>
      </c>
      <c r="Z57" t="s">
        <v>41</v>
      </c>
      <c r="AA57">
        <v>0</v>
      </c>
      <c r="AB57">
        <v>3.1497243286549899</v>
      </c>
      <c r="AC57">
        <v>19.012227619752199</v>
      </c>
      <c r="AD57">
        <v>57.308177045427001</v>
      </c>
      <c r="AE57">
        <v>0</v>
      </c>
      <c r="AF57">
        <v>735.06341217180898</v>
      </c>
      <c r="AG57">
        <v>81.614087771087796</v>
      </c>
      <c r="AH57">
        <v>42.682615005227497</v>
      </c>
      <c r="AI57">
        <v>4.4913447689310297</v>
      </c>
      <c r="AJ57">
        <v>51.302532164361097</v>
      </c>
      <c r="AK57">
        <v>298.06667962322899</v>
      </c>
    </row>
    <row r="58" spans="1:37" x14ac:dyDescent="0.25">
      <c r="A58">
        <v>0</v>
      </c>
      <c r="B58" t="s">
        <v>37</v>
      </c>
      <c r="C58" s="1">
        <v>42614</v>
      </c>
      <c r="D58" s="1">
        <v>42614</v>
      </c>
      <c r="E58" t="s">
        <v>38</v>
      </c>
      <c r="F58">
        <v>153872.08993843899</v>
      </c>
      <c r="G58">
        <v>5424.3045271865003</v>
      </c>
      <c r="H58">
        <v>2046.2381118331</v>
      </c>
      <c r="I58">
        <v>19.511125886144502</v>
      </c>
      <c r="J58">
        <v>14472285547.07</v>
      </c>
      <c r="K58">
        <v>81.777884314943606</v>
      </c>
      <c r="L58">
        <v>94.615211675145204</v>
      </c>
      <c r="M58">
        <v>2.3879982708801299</v>
      </c>
      <c r="N58">
        <v>1.27095447132058</v>
      </c>
      <c r="O58">
        <v>0</v>
      </c>
      <c r="P58">
        <v>68.632736527665301</v>
      </c>
      <c r="Q58">
        <v>16.434594114159999</v>
      </c>
      <c r="R58">
        <v>20120101</v>
      </c>
      <c r="S58">
        <v>0</v>
      </c>
      <c r="T58">
        <v>9.8119222478513901</v>
      </c>
      <c r="U58">
        <v>80.419090199215702</v>
      </c>
      <c r="V58" t="s">
        <v>40</v>
      </c>
      <c r="W58">
        <v>99.349223572955296</v>
      </c>
      <c r="X58">
        <v>105.86591518071501</v>
      </c>
      <c r="Y58">
        <v>88.782220040516194</v>
      </c>
      <c r="Z58" t="s">
        <v>41</v>
      </c>
      <c r="AA58">
        <v>0</v>
      </c>
      <c r="AB58">
        <v>3.1448713669266999</v>
      </c>
      <c r="AC58">
        <v>18.916434762949201</v>
      </c>
      <c r="AD58">
        <v>56.899745602493098</v>
      </c>
      <c r="AE58">
        <v>0</v>
      </c>
      <c r="AF58">
        <v>735.01564686008305</v>
      </c>
      <c r="AG58">
        <v>81.559910113659299</v>
      </c>
      <c r="AH58">
        <v>42.715479195471701</v>
      </c>
      <c r="AI58">
        <v>4.4914001417089002</v>
      </c>
      <c r="AJ58">
        <v>52.301622734181301</v>
      </c>
      <c r="AK58">
        <v>296.97632090390698</v>
      </c>
    </row>
    <row r="59" spans="1:37" x14ac:dyDescent="0.25">
      <c r="A59">
        <v>0</v>
      </c>
      <c r="B59" t="s">
        <v>37</v>
      </c>
      <c r="C59" s="1">
        <v>42644</v>
      </c>
      <c r="D59" s="1">
        <v>42644</v>
      </c>
      <c r="E59" t="s">
        <v>38</v>
      </c>
      <c r="F59">
        <v>153104.219606606</v>
      </c>
      <c r="G59">
        <v>5500.9499622152598</v>
      </c>
      <c r="H59">
        <v>2142.4506756721898</v>
      </c>
      <c r="I59">
        <v>19.825186565522198</v>
      </c>
      <c r="J59">
        <v>14182043862.16</v>
      </c>
      <c r="K59">
        <v>81.725021379629396</v>
      </c>
      <c r="L59">
        <v>94.615863703940903</v>
      </c>
      <c r="M59">
        <v>2.2950385170549001</v>
      </c>
      <c r="N59">
        <v>1.10314451888523</v>
      </c>
      <c r="O59">
        <v>0</v>
      </c>
      <c r="P59">
        <v>68.716142040058998</v>
      </c>
      <c r="Q59">
        <v>16.507925412515501</v>
      </c>
      <c r="R59">
        <v>20120101</v>
      </c>
      <c r="S59">
        <v>0</v>
      </c>
      <c r="T59">
        <v>9.7834703049532106</v>
      </c>
      <c r="U59">
        <v>80.344472646237804</v>
      </c>
      <c r="V59" t="s">
        <v>40</v>
      </c>
      <c r="W59">
        <v>99.351356259855194</v>
      </c>
      <c r="X59">
        <v>103.145971479167</v>
      </c>
      <c r="Y59">
        <v>88.811210115673404</v>
      </c>
      <c r="Z59" t="s">
        <v>41</v>
      </c>
      <c r="AA59">
        <v>0</v>
      </c>
      <c r="AB59">
        <v>3.14593429781578</v>
      </c>
      <c r="AC59">
        <v>18.8305092762618</v>
      </c>
      <c r="AD59">
        <v>56.741064741160002</v>
      </c>
      <c r="AE59">
        <v>0</v>
      </c>
      <c r="AF59">
        <v>734.91426830784201</v>
      </c>
      <c r="AG59">
        <v>81.523083141043799</v>
      </c>
      <c r="AH59">
        <v>42.730119742195903</v>
      </c>
      <c r="AI59">
        <v>4.4915380075091997</v>
      </c>
      <c r="AJ59">
        <v>53.3013393638848</v>
      </c>
      <c r="AK59">
        <v>295.89684945243999</v>
      </c>
    </row>
    <row r="60" spans="1:37" x14ac:dyDescent="0.25">
      <c r="A60">
        <v>0</v>
      </c>
      <c r="B60" t="s">
        <v>37</v>
      </c>
      <c r="C60" s="1">
        <v>42675</v>
      </c>
      <c r="D60" s="1">
        <v>42675</v>
      </c>
      <c r="E60" t="s">
        <v>38</v>
      </c>
      <c r="F60">
        <v>152361.84429949001</v>
      </c>
      <c r="G60">
        <v>5577.2085803517602</v>
      </c>
      <c r="H60">
        <v>2236.6001555930202</v>
      </c>
      <c r="I60">
        <v>19.468137994247499</v>
      </c>
      <c r="J60">
        <v>13903780101.549999</v>
      </c>
      <c r="K60">
        <v>81.637444780089297</v>
      </c>
      <c r="L60">
        <v>94.616535271450402</v>
      </c>
      <c r="M60">
        <v>2.2568661836576598</v>
      </c>
      <c r="N60">
        <v>1.1817485934748899</v>
      </c>
      <c r="O60">
        <v>0</v>
      </c>
      <c r="P60">
        <v>68.821611939729493</v>
      </c>
      <c r="Q60">
        <v>16.580014214650401</v>
      </c>
      <c r="R60">
        <v>20120101</v>
      </c>
      <c r="S60">
        <v>0</v>
      </c>
      <c r="T60">
        <v>9.7534024686139507</v>
      </c>
      <c r="U60">
        <v>80.269081049795801</v>
      </c>
      <c r="V60" t="s">
        <v>40</v>
      </c>
      <c r="W60">
        <v>99.354713407177499</v>
      </c>
      <c r="X60">
        <v>102.17547409778101</v>
      </c>
      <c r="Y60">
        <v>88.832422817696695</v>
      </c>
      <c r="Z60" t="s">
        <v>41</v>
      </c>
      <c r="AA60">
        <v>0</v>
      </c>
      <c r="AB60">
        <v>3.1491073193833299</v>
      </c>
      <c r="AC60">
        <v>18.735157399321299</v>
      </c>
      <c r="AD60">
        <v>56.617277976877197</v>
      </c>
      <c r="AE60">
        <v>0</v>
      </c>
      <c r="AF60">
        <v>734.87935991466497</v>
      </c>
      <c r="AG60">
        <v>81.530808283913103</v>
      </c>
      <c r="AH60">
        <v>42.768076144283199</v>
      </c>
      <c r="AI60">
        <v>4.4917783572284904</v>
      </c>
      <c r="AJ60">
        <v>54.293429878695697</v>
      </c>
      <c r="AK60">
        <v>294.82463814857101</v>
      </c>
    </row>
    <row r="61" spans="1:37" x14ac:dyDescent="0.25">
      <c r="A61">
        <v>0</v>
      </c>
      <c r="B61" t="s">
        <v>37</v>
      </c>
      <c r="C61" s="1">
        <v>42705</v>
      </c>
      <c r="D61" s="1">
        <v>42705</v>
      </c>
      <c r="E61" t="s">
        <v>38</v>
      </c>
      <c r="F61">
        <v>151671.085157753</v>
      </c>
      <c r="G61">
        <v>5653.0809506333399</v>
      </c>
      <c r="H61">
        <v>2298.2843698383599</v>
      </c>
      <c r="I61">
        <v>18.868360811665202</v>
      </c>
      <c r="J61">
        <v>27276224612.599998</v>
      </c>
      <c r="K61">
        <v>81.592560093611993</v>
      </c>
      <c r="L61">
        <v>75.841345817528705</v>
      </c>
      <c r="M61">
        <v>2.1890844881474298</v>
      </c>
      <c r="N61">
        <v>1.21034555732965</v>
      </c>
      <c r="O61">
        <v>0</v>
      </c>
      <c r="P61">
        <v>68.9160172881774</v>
      </c>
      <c r="Q61">
        <v>16.626991962117</v>
      </c>
      <c r="R61">
        <v>20120101</v>
      </c>
      <c r="S61">
        <v>0</v>
      </c>
      <c r="T61">
        <v>9.7548699735294395</v>
      </c>
      <c r="U61">
        <v>80.240261635371894</v>
      </c>
      <c r="V61" t="s">
        <v>40</v>
      </c>
      <c r="W61">
        <v>99.355521161398201</v>
      </c>
      <c r="X61">
        <v>68.008622002633302</v>
      </c>
      <c r="Y61">
        <v>88.845640736900194</v>
      </c>
      <c r="Z61" t="s">
        <v>41</v>
      </c>
      <c r="AA61">
        <v>0</v>
      </c>
      <c r="AB61">
        <v>3.1314192985038001</v>
      </c>
      <c r="AC61">
        <v>18.6369901450235</v>
      </c>
      <c r="AD61">
        <v>56.469501869421897</v>
      </c>
      <c r="AE61">
        <v>0</v>
      </c>
      <c r="AF61">
        <v>734.70946767848295</v>
      </c>
      <c r="AG61">
        <v>81.495765726441903</v>
      </c>
      <c r="AH61">
        <v>42.780141229050102</v>
      </c>
      <c r="AI61">
        <v>4.4917878653017196</v>
      </c>
      <c r="AJ61">
        <v>55.287154595556501</v>
      </c>
      <c r="AK61">
        <v>293.73203182520501</v>
      </c>
    </row>
    <row r="62" spans="1:37" x14ac:dyDescent="0.25">
      <c r="A62">
        <v>0</v>
      </c>
      <c r="B62" t="s">
        <v>37</v>
      </c>
      <c r="C62" s="1">
        <v>42736</v>
      </c>
      <c r="D62" s="1">
        <v>42736</v>
      </c>
      <c r="E62" t="s">
        <v>38</v>
      </c>
      <c r="F62">
        <v>151030.01101845101</v>
      </c>
      <c r="G62">
        <v>5735.4550905641599</v>
      </c>
      <c r="H62">
        <v>2323.4622553879099</v>
      </c>
      <c r="I62">
        <v>19.0685581509271</v>
      </c>
      <c r="J62">
        <v>26749227311.5</v>
      </c>
      <c r="K62">
        <v>81.552328567911701</v>
      </c>
      <c r="L62">
        <v>75.840506581408803</v>
      </c>
      <c r="M62">
        <v>2.127929718161</v>
      </c>
      <c r="N62">
        <v>1.2403406036693201</v>
      </c>
      <c r="O62">
        <v>0</v>
      </c>
      <c r="P62">
        <v>69.025363470967505</v>
      </c>
      <c r="Q62">
        <v>16.628294418064002</v>
      </c>
      <c r="R62">
        <v>20120101</v>
      </c>
      <c r="S62">
        <v>0</v>
      </c>
      <c r="T62">
        <v>9.7548407116046594</v>
      </c>
      <c r="U62">
        <v>80.249057271875898</v>
      </c>
      <c r="V62" t="s">
        <v>40</v>
      </c>
      <c r="W62">
        <v>99.353447167153902</v>
      </c>
      <c r="X62">
        <v>28.498757721402399</v>
      </c>
      <c r="Y62">
        <v>88.908472158421702</v>
      </c>
      <c r="Z62" t="s">
        <v>41</v>
      </c>
      <c r="AA62">
        <v>0</v>
      </c>
      <c r="AB62">
        <v>3.12114231364512</v>
      </c>
      <c r="AC62">
        <v>18.5258475553149</v>
      </c>
      <c r="AD62">
        <v>56.3697697765501</v>
      </c>
      <c r="AE62">
        <v>0</v>
      </c>
      <c r="AF62">
        <v>734.64056500236495</v>
      </c>
      <c r="AG62">
        <v>81.495849428087794</v>
      </c>
      <c r="AH62">
        <v>42.795177674044602</v>
      </c>
      <c r="AI62">
        <v>4.4917562729345102</v>
      </c>
      <c r="AJ62">
        <v>56.2815125341561</v>
      </c>
      <c r="AK62">
        <v>292.67197920845399</v>
      </c>
    </row>
    <row r="63" spans="1:37" x14ac:dyDescent="0.25">
      <c r="A63">
        <v>0</v>
      </c>
      <c r="B63" t="s">
        <v>37</v>
      </c>
      <c r="C63" s="1">
        <v>42767</v>
      </c>
      <c r="D63" s="1">
        <v>42767</v>
      </c>
      <c r="E63" t="s">
        <v>38</v>
      </c>
      <c r="F63">
        <v>150500.90392996499</v>
      </c>
      <c r="G63">
        <v>5796.0777064827698</v>
      </c>
      <c r="H63">
        <v>2356.3127540014498</v>
      </c>
      <c r="I63">
        <v>14.0663736365153</v>
      </c>
      <c r="J63">
        <v>13181772171.610001</v>
      </c>
      <c r="K63">
        <v>81.276879164224496</v>
      </c>
      <c r="L63">
        <v>94.610957232667204</v>
      </c>
      <c r="M63">
        <v>2.0755188645132998</v>
      </c>
      <c r="N63">
        <v>1.2518423959473901</v>
      </c>
      <c r="O63">
        <v>0</v>
      </c>
      <c r="P63">
        <v>69.047609546744397</v>
      </c>
      <c r="Q63">
        <v>16.662434602988601</v>
      </c>
      <c r="R63">
        <v>20120101</v>
      </c>
      <c r="S63">
        <v>0</v>
      </c>
      <c r="T63">
        <v>9.7195039877967897</v>
      </c>
      <c r="U63">
        <v>80.211666980845607</v>
      </c>
      <c r="V63" t="s">
        <v>40</v>
      </c>
      <c r="W63">
        <v>99.357642163275202</v>
      </c>
      <c r="X63">
        <v>36.175637599875699</v>
      </c>
      <c r="Y63">
        <v>88.916524203763103</v>
      </c>
      <c r="Z63" t="s">
        <v>41</v>
      </c>
      <c r="AA63">
        <v>0</v>
      </c>
      <c r="AB63">
        <v>3.1240886872789599</v>
      </c>
      <c r="AC63">
        <v>18.510285403183801</v>
      </c>
      <c r="AD63">
        <v>56.2656658021968</v>
      </c>
      <c r="AE63">
        <v>0</v>
      </c>
      <c r="AF63">
        <v>734.679979034648</v>
      </c>
      <c r="AG63">
        <v>81.493431502548503</v>
      </c>
      <c r="AH63">
        <v>42.795314445661099</v>
      </c>
      <c r="AI63">
        <v>4.4916952012255296</v>
      </c>
      <c r="AJ63">
        <v>57.2794424756515</v>
      </c>
      <c r="AK63">
        <v>291.60742894517603</v>
      </c>
    </row>
    <row r="64" spans="1:37" x14ac:dyDescent="0.25">
      <c r="A64">
        <v>0</v>
      </c>
      <c r="B64" t="s">
        <v>37</v>
      </c>
      <c r="C64" s="1">
        <v>42795</v>
      </c>
      <c r="D64" s="1">
        <v>42795</v>
      </c>
      <c r="E64" t="s">
        <v>38</v>
      </c>
      <c r="F64">
        <v>149839.41525418201</v>
      </c>
      <c r="G64">
        <v>5822.8482689907096</v>
      </c>
      <c r="H64">
        <v>2420.4089939722999</v>
      </c>
      <c r="I64">
        <v>11.230639976312499</v>
      </c>
      <c r="J64">
        <v>13083827900.58</v>
      </c>
      <c r="K64">
        <v>50.994306461845497</v>
      </c>
      <c r="L64">
        <v>94.611371185183799</v>
      </c>
      <c r="M64">
        <v>5.5352676412481497E-2</v>
      </c>
      <c r="N64">
        <v>1.14277347620432</v>
      </c>
      <c r="O64">
        <v>0</v>
      </c>
      <c r="P64">
        <v>68.754280042730898</v>
      </c>
      <c r="Q64">
        <v>16.6070574876988</v>
      </c>
      <c r="R64">
        <v>20120101</v>
      </c>
      <c r="S64">
        <v>0</v>
      </c>
      <c r="T64">
        <v>46.798736084710001</v>
      </c>
      <c r="U64">
        <v>80.290561433752899</v>
      </c>
      <c r="V64" t="s">
        <v>40</v>
      </c>
      <c r="W64">
        <v>99.361547118902905</v>
      </c>
      <c r="X64">
        <v>79.032960734159403</v>
      </c>
      <c r="Y64">
        <v>88.539446339529505</v>
      </c>
      <c r="Z64" t="s">
        <v>41</v>
      </c>
      <c r="AA64">
        <v>0</v>
      </c>
      <c r="AB64">
        <v>3.1009168674107501</v>
      </c>
      <c r="AC64">
        <v>18.417123452634801</v>
      </c>
      <c r="AD64">
        <v>56.201699862507397</v>
      </c>
      <c r="AE64">
        <v>0</v>
      </c>
      <c r="AF64">
        <v>734.71290350833999</v>
      </c>
      <c r="AG64">
        <v>81.554746763746195</v>
      </c>
      <c r="AH64">
        <v>42.740598504569498</v>
      </c>
      <c r="AI64">
        <v>4.4910261040665302</v>
      </c>
      <c r="AJ64">
        <v>58.271297438950697</v>
      </c>
      <c r="AK64">
        <v>290.51816257354602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6"/>
  <sheetViews>
    <sheetView topLeftCell="E1" workbookViewId="0">
      <selection activeCell="I65" sqref="I65"/>
    </sheetView>
  </sheetViews>
  <sheetFormatPr defaultRowHeight="15" x14ac:dyDescent="0.25"/>
  <sheetData>
    <row r="1" spans="1:3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</row>
    <row r="2" spans="1:37" x14ac:dyDescent="0.25">
      <c r="A2">
        <v>0</v>
      </c>
      <c r="B2" t="s">
        <v>37</v>
      </c>
      <c r="C2">
        <v>20170301</v>
      </c>
      <c r="D2">
        <v>20170301</v>
      </c>
      <c r="E2" t="s">
        <v>38</v>
      </c>
      <c r="F2">
        <v>149839.41</v>
      </c>
      <c r="G2">
        <v>167631.23000000001</v>
      </c>
      <c r="H2">
        <v>2420.4</v>
      </c>
      <c r="I2">
        <v>11.23</v>
      </c>
      <c r="J2">
        <v>13083827901</v>
      </c>
      <c r="K2">
        <v>50.99</v>
      </c>
      <c r="L2" t="s">
        <v>39</v>
      </c>
      <c r="M2">
        <v>0.05</v>
      </c>
      <c r="N2">
        <v>1.1399999999999999</v>
      </c>
      <c r="O2" t="s">
        <v>39</v>
      </c>
      <c r="P2">
        <v>68.75</v>
      </c>
      <c r="Q2">
        <v>16.600000000000001</v>
      </c>
      <c r="R2">
        <v>20120101</v>
      </c>
      <c r="S2" t="s">
        <v>39</v>
      </c>
      <c r="T2">
        <v>46.79</v>
      </c>
      <c r="U2">
        <v>80.290000000000006</v>
      </c>
      <c r="V2" t="s">
        <v>40</v>
      </c>
      <c r="W2">
        <v>99.36</v>
      </c>
      <c r="X2">
        <v>79.03</v>
      </c>
      <c r="Y2">
        <v>88.53</v>
      </c>
      <c r="Z2" t="s">
        <v>41</v>
      </c>
      <c r="AA2">
        <v>13214362984</v>
      </c>
      <c r="AB2">
        <v>3.1</v>
      </c>
      <c r="AC2">
        <v>18.41</v>
      </c>
      <c r="AD2">
        <v>56.2</v>
      </c>
      <c r="AE2">
        <v>34.590000000000003</v>
      </c>
      <c r="AF2">
        <v>734.71</v>
      </c>
      <c r="AG2">
        <v>81.55</v>
      </c>
      <c r="AH2">
        <v>42.74</v>
      </c>
      <c r="AI2">
        <v>4.49</v>
      </c>
      <c r="AJ2">
        <v>58.27</v>
      </c>
      <c r="AK2">
        <v>290.51</v>
      </c>
    </row>
    <row r="3" spans="1:37" x14ac:dyDescent="0.25">
      <c r="A3" t="s">
        <v>0</v>
      </c>
      <c r="B3" t="s">
        <v>1</v>
      </c>
      <c r="C3" t="s">
        <v>2</v>
      </c>
      <c r="D3" t="s">
        <v>3</v>
      </c>
      <c r="E3" t="s">
        <v>4</v>
      </c>
      <c r="F3" t="s">
        <v>5</v>
      </c>
      <c r="G3" t="s">
        <v>6</v>
      </c>
      <c r="H3" t="s">
        <v>7</v>
      </c>
      <c r="I3" t="s">
        <v>8</v>
      </c>
      <c r="J3" t="s">
        <v>9</v>
      </c>
      <c r="K3" t="s">
        <v>10</v>
      </c>
      <c r="L3" t="s">
        <v>11</v>
      </c>
      <c r="M3" t="s">
        <v>12</v>
      </c>
      <c r="N3" t="s">
        <v>13</v>
      </c>
      <c r="O3" t="s">
        <v>14</v>
      </c>
      <c r="P3" t="s">
        <v>15</v>
      </c>
      <c r="Q3" t="s">
        <v>16</v>
      </c>
      <c r="R3" t="s">
        <v>17</v>
      </c>
      <c r="S3" t="s">
        <v>18</v>
      </c>
      <c r="T3" t="s">
        <v>19</v>
      </c>
      <c r="U3" t="s">
        <v>20</v>
      </c>
      <c r="V3" t="s">
        <v>42</v>
      </c>
      <c r="W3" t="s">
        <v>22</v>
      </c>
      <c r="X3" t="s">
        <v>23</v>
      </c>
      <c r="Y3" t="s">
        <v>24</v>
      </c>
      <c r="Z3" t="s">
        <v>25</v>
      </c>
      <c r="AA3" t="s">
        <v>26</v>
      </c>
      <c r="AB3" t="s">
        <v>27</v>
      </c>
      <c r="AC3" t="s">
        <v>28</v>
      </c>
      <c r="AD3" t="s">
        <v>29</v>
      </c>
      <c r="AE3" t="s">
        <v>30</v>
      </c>
      <c r="AF3" t="s">
        <v>31</v>
      </c>
      <c r="AG3" t="s">
        <v>32</v>
      </c>
      <c r="AH3" t="s">
        <v>33</v>
      </c>
      <c r="AI3" t="s">
        <v>34</v>
      </c>
      <c r="AJ3" t="s">
        <v>35</v>
      </c>
      <c r="AK3" t="s">
        <v>36</v>
      </c>
    </row>
    <row r="4" spans="1:37" x14ac:dyDescent="0.25">
      <c r="A4" s="2">
        <v>0</v>
      </c>
      <c r="B4" t="s">
        <v>37</v>
      </c>
      <c r="C4" s="1">
        <v>42795</v>
      </c>
      <c r="D4" s="1">
        <v>42795</v>
      </c>
      <c r="E4" t="s">
        <v>38</v>
      </c>
      <c r="F4">
        <v>178860.63592478199</v>
      </c>
      <c r="G4">
        <v>221808.22534508901</v>
      </c>
      <c r="H4">
        <v>2420.4089939722999</v>
      </c>
      <c r="I4">
        <v>0</v>
      </c>
      <c r="J4">
        <v>13214356509.17</v>
      </c>
      <c r="K4">
        <v>50.994306461845497</v>
      </c>
      <c r="L4">
        <v>94.611371185183799</v>
      </c>
      <c r="M4">
        <v>5.5352676412481497E-2</v>
      </c>
      <c r="N4">
        <v>1.14277347620432</v>
      </c>
      <c r="O4">
        <v>0</v>
      </c>
      <c r="P4">
        <v>68.754280042730898</v>
      </c>
      <c r="Q4">
        <v>16.6070574876988</v>
      </c>
      <c r="R4">
        <v>20120101</v>
      </c>
      <c r="S4">
        <v>0</v>
      </c>
      <c r="T4">
        <v>46.798736084710001</v>
      </c>
      <c r="U4">
        <v>80.290561433752899</v>
      </c>
      <c r="V4" t="s">
        <v>40</v>
      </c>
      <c r="W4">
        <v>99.361547118902905</v>
      </c>
      <c r="X4">
        <v>79.032960734159403</v>
      </c>
      <c r="Y4">
        <v>88.539446339529505</v>
      </c>
      <c r="Z4" t="s">
        <v>41</v>
      </c>
      <c r="AA4">
        <v>0</v>
      </c>
      <c r="AB4">
        <v>3.1009168674107501</v>
      </c>
      <c r="AC4">
        <v>18.417123452634801</v>
      </c>
      <c r="AD4">
        <v>56.201699862507397</v>
      </c>
      <c r="AE4">
        <v>0</v>
      </c>
      <c r="AF4">
        <v>734.71290350833999</v>
      </c>
      <c r="AG4">
        <v>81.554746763746195</v>
      </c>
      <c r="AH4">
        <v>42.740598504569498</v>
      </c>
      <c r="AI4">
        <v>4.4910261040665302</v>
      </c>
      <c r="AJ4">
        <v>58.271297438950697</v>
      </c>
      <c r="AK4">
        <v>290.51816257354602</v>
      </c>
    </row>
    <row r="6" spans="1:37" x14ac:dyDescent="0.25">
      <c r="A6" s="2">
        <f>A2-A4</f>
        <v>0</v>
      </c>
      <c r="B6" s="2" t="e">
        <f t="shared" ref="B6:AK6" si="0">B2-B4</f>
        <v>#VALUE!</v>
      </c>
      <c r="C6" s="2">
        <f t="shared" si="0"/>
        <v>20127506</v>
      </c>
      <c r="D6" s="2">
        <f t="shared" si="0"/>
        <v>20127506</v>
      </c>
      <c r="E6" s="2" t="e">
        <f t="shared" si="0"/>
        <v>#VALUE!</v>
      </c>
      <c r="F6" s="2">
        <f t="shared" si="0"/>
        <v>-29021.225924781989</v>
      </c>
      <c r="G6" s="2">
        <f t="shared" si="0"/>
        <v>-54176.995345089003</v>
      </c>
      <c r="H6" s="2">
        <f t="shared" si="0"/>
        <v>-8.9939722997769422E-3</v>
      </c>
      <c r="I6" s="2">
        <f t="shared" si="0"/>
        <v>11.23</v>
      </c>
      <c r="J6" s="2">
        <f t="shared" si="0"/>
        <v>-130528608.17000008</v>
      </c>
      <c r="K6" s="2">
        <f t="shared" si="0"/>
        <v>-4.30646184549488E-3</v>
      </c>
      <c r="L6" s="2" t="e">
        <f t="shared" si="0"/>
        <v>#VALUE!</v>
      </c>
      <c r="M6" s="2">
        <f t="shared" si="0"/>
        <v>-5.3526764124814941E-3</v>
      </c>
      <c r="N6" s="2">
        <f t="shared" si="0"/>
        <v>-2.7734762043201133E-3</v>
      </c>
      <c r="O6" s="2" t="e">
        <f t="shared" si="0"/>
        <v>#VALUE!</v>
      </c>
      <c r="P6" s="2">
        <f t="shared" si="0"/>
        <v>-4.2800427308975486E-3</v>
      </c>
      <c r="Q6" s="2">
        <f t="shared" si="0"/>
        <v>-7.0574876987983259E-3</v>
      </c>
      <c r="R6" s="2">
        <f t="shared" si="0"/>
        <v>0</v>
      </c>
      <c r="S6" s="2" t="e">
        <f t="shared" si="0"/>
        <v>#VALUE!</v>
      </c>
      <c r="T6" s="2">
        <f t="shared" si="0"/>
        <v>-8.7360847100015349E-3</v>
      </c>
      <c r="U6" s="2">
        <f t="shared" si="0"/>
        <v>-5.6143375289252617E-4</v>
      </c>
      <c r="V6" s="2" t="e">
        <f t="shared" si="0"/>
        <v>#VALUE!</v>
      </c>
      <c r="W6" s="2">
        <f t="shared" si="0"/>
        <v>-1.5471189029057086E-3</v>
      </c>
      <c r="X6" s="2">
        <f t="shared" si="0"/>
        <v>-2.9607341594015679E-3</v>
      </c>
      <c r="Y6" s="2">
        <f t="shared" si="0"/>
        <v>-9.4463395295036889E-3</v>
      </c>
      <c r="Z6" s="2" t="e">
        <f t="shared" si="0"/>
        <v>#VALUE!</v>
      </c>
      <c r="AA6" s="2">
        <f t="shared" si="0"/>
        <v>13214362984</v>
      </c>
      <c r="AB6" s="2">
        <f t="shared" si="0"/>
        <v>-9.1686741075003297E-4</v>
      </c>
      <c r="AC6" s="2">
        <f t="shared" si="0"/>
        <v>-7.1234526348007421E-3</v>
      </c>
      <c r="AD6" s="2">
        <f t="shared" si="0"/>
        <v>-1.6998625073938456E-3</v>
      </c>
      <c r="AE6" s="2">
        <f t="shared" si="0"/>
        <v>34.590000000000003</v>
      </c>
      <c r="AF6" s="2">
        <f t="shared" si="0"/>
        <v>-2.9035083399548967E-3</v>
      </c>
      <c r="AG6" s="2">
        <f t="shared" si="0"/>
        <v>-4.7467637461977574E-3</v>
      </c>
      <c r="AH6" s="2">
        <f t="shared" si="0"/>
        <v>-5.9850456949561703E-4</v>
      </c>
      <c r="AI6" s="2">
        <f t="shared" si="0"/>
        <v>-1.0261040665300314E-3</v>
      </c>
      <c r="AJ6" s="2">
        <f t="shared" si="0"/>
        <v>-1.2974389506936745E-3</v>
      </c>
      <c r="AK6" s="2">
        <f t="shared" si="0"/>
        <v>-8.1625735460306714E-3</v>
      </c>
    </row>
  </sheetData>
  <pageMargins left="0.7" right="0.7" top="0.75" bottom="0.75" header="0.3" footer="0.3"/>
  <pageSetup orientation="portrait" horizontalDpi="1200" verticalDpi="12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5"/>
  <sheetViews>
    <sheetView tabSelected="1" workbookViewId="0">
      <selection activeCell="K50" sqref="K50"/>
    </sheetView>
  </sheetViews>
  <sheetFormatPr defaultRowHeight="15" x14ac:dyDescent="0.25"/>
  <sheetData>
    <row r="1" spans="1:5" x14ac:dyDescent="0.25">
      <c r="A1" t="s">
        <v>43</v>
      </c>
      <c r="B1" t="s">
        <v>45</v>
      </c>
      <c r="C1" t="s">
        <v>44</v>
      </c>
    </row>
    <row r="2" spans="1:5" x14ac:dyDescent="0.25">
      <c r="A2" s="1">
        <v>40909</v>
      </c>
      <c r="B2">
        <v>0</v>
      </c>
      <c r="D2">
        <f>B2-C2</f>
        <v>0</v>
      </c>
      <c r="E2">
        <f>D2^2</f>
        <v>0</v>
      </c>
    </row>
    <row r="3" spans="1:5" x14ac:dyDescent="0.25">
      <c r="A3" s="1">
        <v>40940</v>
      </c>
      <c r="B3">
        <v>0.3</v>
      </c>
      <c r="C3">
        <v>1</v>
      </c>
      <c r="D3">
        <f t="shared" ref="D3:D64" si="0">B3-C3</f>
        <v>-0.7</v>
      </c>
      <c r="E3">
        <f t="shared" ref="E3:E64" si="1">D3^2</f>
        <v>0.48999999999999994</v>
      </c>
    </row>
    <row r="4" spans="1:5" x14ac:dyDescent="0.25">
      <c r="A4" s="1">
        <v>40969</v>
      </c>
      <c r="B4">
        <v>1.7</v>
      </c>
      <c r="C4">
        <v>1.5</v>
      </c>
      <c r="D4">
        <f t="shared" si="0"/>
        <v>0.19999999999999996</v>
      </c>
      <c r="E4">
        <f t="shared" si="1"/>
        <v>3.999999999999998E-2</v>
      </c>
    </row>
    <row r="5" spans="1:5" x14ac:dyDescent="0.25">
      <c r="A5" s="1">
        <v>41000</v>
      </c>
      <c r="B5">
        <v>4.3</v>
      </c>
      <c r="C5">
        <v>1.8</v>
      </c>
      <c r="D5">
        <f t="shared" si="0"/>
        <v>2.5</v>
      </c>
      <c r="E5">
        <f t="shared" si="1"/>
        <v>6.25</v>
      </c>
    </row>
    <row r="6" spans="1:5" x14ac:dyDescent="0.25">
      <c r="A6" s="1">
        <v>41030</v>
      </c>
      <c r="B6">
        <v>4.3</v>
      </c>
      <c r="C6">
        <v>2.9</v>
      </c>
      <c r="D6">
        <f t="shared" si="0"/>
        <v>1.4</v>
      </c>
      <c r="E6">
        <f t="shared" si="1"/>
        <v>1.9599999999999997</v>
      </c>
    </row>
    <row r="7" spans="1:5" x14ac:dyDescent="0.25">
      <c r="A7" s="1">
        <v>41061</v>
      </c>
      <c r="B7">
        <v>6.5</v>
      </c>
      <c r="C7">
        <v>4.2</v>
      </c>
      <c r="D7">
        <f t="shared" si="0"/>
        <v>2.2999999999999998</v>
      </c>
      <c r="E7">
        <f t="shared" si="1"/>
        <v>5.2899999999999991</v>
      </c>
    </row>
    <row r="8" spans="1:5" x14ac:dyDescent="0.25">
      <c r="A8" s="1">
        <v>41091</v>
      </c>
      <c r="B8">
        <v>9</v>
      </c>
      <c r="C8">
        <v>5.7</v>
      </c>
      <c r="D8">
        <f t="shared" si="0"/>
        <v>3.3</v>
      </c>
      <c r="E8">
        <f t="shared" si="1"/>
        <v>10.889999999999999</v>
      </c>
    </row>
    <row r="9" spans="1:5" x14ac:dyDescent="0.25">
      <c r="A9" s="1">
        <v>41122</v>
      </c>
      <c r="B9">
        <v>11.7</v>
      </c>
      <c r="C9">
        <v>8.1999999999999993</v>
      </c>
      <c r="D9">
        <f t="shared" si="0"/>
        <v>3.5</v>
      </c>
      <c r="E9">
        <f t="shared" si="1"/>
        <v>12.25</v>
      </c>
    </row>
    <row r="10" spans="1:5" x14ac:dyDescent="0.25">
      <c r="A10" s="1">
        <v>41153</v>
      </c>
      <c r="B10">
        <v>14.6</v>
      </c>
      <c r="C10">
        <v>9.6999999999999993</v>
      </c>
      <c r="D10">
        <f t="shared" si="0"/>
        <v>4.9000000000000004</v>
      </c>
      <c r="E10">
        <f t="shared" si="1"/>
        <v>24.010000000000005</v>
      </c>
    </row>
    <row r="11" spans="1:5" x14ac:dyDescent="0.25">
      <c r="A11" s="1">
        <v>41183</v>
      </c>
      <c r="B11">
        <v>13.8</v>
      </c>
      <c r="C11">
        <v>9</v>
      </c>
      <c r="D11">
        <f t="shared" si="0"/>
        <v>4.8000000000000007</v>
      </c>
      <c r="E11">
        <f t="shared" si="1"/>
        <v>23.040000000000006</v>
      </c>
    </row>
    <row r="12" spans="1:5" x14ac:dyDescent="0.25">
      <c r="A12" s="1">
        <v>41214</v>
      </c>
      <c r="B12">
        <v>16.600000000000001</v>
      </c>
      <c r="C12">
        <v>10.1</v>
      </c>
      <c r="D12">
        <f t="shared" si="0"/>
        <v>6.5000000000000018</v>
      </c>
      <c r="E12">
        <f t="shared" si="1"/>
        <v>42.250000000000021</v>
      </c>
    </row>
    <row r="13" spans="1:5" x14ac:dyDescent="0.25">
      <c r="A13" s="1">
        <v>41244</v>
      </c>
      <c r="B13">
        <v>19</v>
      </c>
      <c r="C13">
        <v>10.199999999999999</v>
      </c>
      <c r="D13">
        <f t="shared" si="0"/>
        <v>8.8000000000000007</v>
      </c>
      <c r="E13">
        <f t="shared" si="1"/>
        <v>77.440000000000012</v>
      </c>
    </row>
    <row r="14" spans="1:5" x14ac:dyDescent="0.25">
      <c r="A14" s="1">
        <v>41275</v>
      </c>
      <c r="B14">
        <v>19.3</v>
      </c>
      <c r="C14">
        <v>11.5</v>
      </c>
      <c r="D14">
        <f t="shared" si="0"/>
        <v>7.8000000000000007</v>
      </c>
      <c r="E14">
        <f t="shared" si="1"/>
        <v>60.840000000000011</v>
      </c>
    </row>
    <row r="15" spans="1:5" x14ac:dyDescent="0.25">
      <c r="A15" s="1">
        <v>41306</v>
      </c>
      <c r="B15">
        <v>17.5</v>
      </c>
      <c r="C15">
        <v>11.1</v>
      </c>
      <c r="D15">
        <f t="shared" si="0"/>
        <v>6.4</v>
      </c>
      <c r="E15">
        <f t="shared" si="1"/>
        <v>40.960000000000008</v>
      </c>
    </row>
    <row r="16" spans="1:5" x14ac:dyDescent="0.25">
      <c r="A16" s="1">
        <v>41334</v>
      </c>
      <c r="B16">
        <v>17.3</v>
      </c>
      <c r="C16">
        <v>9.8000000000000007</v>
      </c>
      <c r="D16">
        <f t="shared" si="0"/>
        <v>7.5</v>
      </c>
      <c r="E16">
        <f t="shared" si="1"/>
        <v>56.25</v>
      </c>
    </row>
    <row r="17" spans="1:5" x14ac:dyDescent="0.25">
      <c r="A17" s="1">
        <v>41365</v>
      </c>
      <c r="B17">
        <v>15.8</v>
      </c>
      <c r="C17">
        <v>9.6999999999999993</v>
      </c>
      <c r="D17">
        <f t="shared" si="0"/>
        <v>6.1000000000000014</v>
      </c>
      <c r="E17">
        <f t="shared" si="1"/>
        <v>37.210000000000015</v>
      </c>
    </row>
    <row r="18" spans="1:5" x14ac:dyDescent="0.25">
      <c r="A18" s="1">
        <v>41395</v>
      </c>
      <c r="B18">
        <v>15.1</v>
      </c>
      <c r="C18">
        <v>10.6</v>
      </c>
      <c r="D18">
        <f t="shared" si="0"/>
        <v>4.5</v>
      </c>
      <c r="E18">
        <f t="shared" si="1"/>
        <v>20.25</v>
      </c>
    </row>
    <row r="19" spans="1:5" x14ac:dyDescent="0.25">
      <c r="A19" s="1">
        <v>41426</v>
      </c>
      <c r="B19">
        <v>18.399999999999999</v>
      </c>
      <c r="C19">
        <v>13.7</v>
      </c>
      <c r="D19">
        <f t="shared" si="0"/>
        <v>4.6999999999999993</v>
      </c>
      <c r="E19">
        <f t="shared" si="1"/>
        <v>22.089999999999993</v>
      </c>
    </row>
    <row r="20" spans="1:5" x14ac:dyDescent="0.25">
      <c r="A20" s="1">
        <v>41456</v>
      </c>
      <c r="B20">
        <v>17.600000000000001</v>
      </c>
      <c r="C20">
        <v>12.6</v>
      </c>
      <c r="D20">
        <f t="shared" si="0"/>
        <v>5.0000000000000018</v>
      </c>
      <c r="E20">
        <f t="shared" si="1"/>
        <v>25.000000000000018</v>
      </c>
    </row>
    <row r="21" spans="1:5" x14ac:dyDescent="0.25">
      <c r="A21" s="1">
        <v>41487</v>
      </c>
      <c r="B21">
        <v>8.9</v>
      </c>
      <c r="C21">
        <v>11.6</v>
      </c>
      <c r="D21">
        <f t="shared" si="0"/>
        <v>-2.6999999999999993</v>
      </c>
      <c r="E21">
        <f t="shared" si="1"/>
        <v>7.2899999999999965</v>
      </c>
    </row>
    <row r="22" spans="1:5" x14ac:dyDescent="0.25">
      <c r="A22" s="1">
        <v>41518</v>
      </c>
      <c r="B22">
        <v>6.9</v>
      </c>
      <c r="C22">
        <v>10</v>
      </c>
      <c r="D22">
        <f t="shared" si="0"/>
        <v>-3.0999999999999996</v>
      </c>
      <c r="E22">
        <f t="shared" si="1"/>
        <v>9.6099999999999977</v>
      </c>
    </row>
    <row r="23" spans="1:5" x14ac:dyDescent="0.25">
      <c r="A23" s="1">
        <v>41548</v>
      </c>
      <c r="B23">
        <v>5.8</v>
      </c>
      <c r="C23">
        <v>7.6</v>
      </c>
      <c r="D23">
        <f t="shared" si="0"/>
        <v>-1.7999999999999998</v>
      </c>
      <c r="E23">
        <f t="shared" si="1"/>
        <v>3.2399999999999993</v>
      </c>
    </row>
    <row r="24" spans="1:5" x14ac:dyDescent="0.25">
      <c r="A24" s="1">
        <v>41579</v>
      </c>
      <c r="B24">
        <v>5.7</v>
      </c>
      <c r="C24">
        <v>7</v>
      </c>
      <c r="D24">
        <f t="shared" si="0"/>
        <v>-1.2999999999999998</v>
      </c>
      <c r="E24">
        <f t="shared" si="1"/>
        <v>1.6899999999999995</v>
      </c>
    </row>
    <row r="25" spans="1:5" x14ac:dyDescent="0.25">
      <c r="A25" s="1">
        <v>41609</v>
      </c>
      <c r="B25">
        <v>7.3</v>
      </c>
      <c r="C25">
        <v>6.5</v>
      </c>
      <c r="D25">
        <f t="shared" si="0"/>
        <v>0.79999999999999982</v>
      </c>
      <c r="E25">
        <f t="shared" si="1"/>
        <v>0.63999999999999968</v>
      </c>
    </row>
    <row r="26" spans="1:5" x14ac:dyDescent="0.25">
      <c r="A26" s="1">
        <v>41640</v>
      </c>
      <c r="B26">
        <v>6.7</v>
      </c>
      <c r="C26">
        <v>7.7</v>
      </c>
      <c r="D26">
        <f t="shared" si="0"/>
        <v>-1</v>
      </c>
      <c r="E26">
        <f t="shared" si="1"/>
        <v>1</v>
      </c>
    </row>
    <row r="27" spans="1:5" x14ac:dyDescent="0.25">
      <c r="A27" s="1">
        <v>41671</v>
      </c>
      <c r="B27">
        <v>4.5</v>
      </c>
      <c r="C27">
        <v>5.7</v>
      </c>
      <c r="D27">
        <f t="shared" si="0"/>
        <v>-1.2000000000000002</v>
      </c>
      <c r="E27">
        <f t="shared" si="1"/>
        <v>1.4400000000000004</v>
      </c>
    </row>
    <row r="28" spans="1:5" x14ac:dyDescent="0.25">
      <c r="A28" s="1">
        <v>41699</v>
      </c>
      <c r="B28">
        <v>4.8</v>
      </c>
      <c r="C28">
        <v>5.7</v>
      </c>
      <c r="D28">
        <f t="shared" si="0"/>
        <v>-0.90000000000000036</v>
      </c>
      <c r="E28">
        <f t="shared" si="1"/>
        <v>0.81000000000000061</v>
      </c>
    </row>
    <row r="29" spans="1:5" x14ac:dyDescent="0.25">
      <c r="A29" s="1">
        <v>41730</v>
      </c>
      <c r="B29">
        <v>6.8</v>
      </c>
      <c r="C29">
        <v>7.1</v>
      </c>
      <c r="D29">
        <f t="shared" si="0"/>
        <v>-0.29999999999999982</v>
      </c>
      <c r="E29">
        <f t="shared" si="1"/>
        <v>8.99999999999999E-2</v>
      </c>
    </row>
    <row r="30" spans="1:5" x14ac:dyDescent="0.25">
      <c r="A30" s="1">
        <v>41760</v>
      </c>
      <c r="B30">
        <v>7.3</v>
      </c>
      <c r="C30">
        <v>7.7</v>
      </c>
      <c r="D30">
        <f t="shared" si="0"/>
        <v>-0.40000000000000036</v>
      </c>
      <c r="E30">
        <f t="shared" si="1"/>
        <v>0.16000000000000028</v>
      </c>
    </row>
    <row r="31" spans="1:5" x14ac:dyDescent="0.25">
      <c r="A31" s="1">
        <v>41791</v>
      </c>
      <c r="B31">
        <v>7.8</v>
      </c>
      <c r="C31">
        <v>9.4</v>
      </c>
      <c r="D31">
        <f t="shared" si="0"/>
        <v>-1.6000000000000005</v>
      </c>
      <c r="E31">
        <f t="shared" si="1"/>
        <v>2.5600000000000018</v>
      </c>
    </row>
    <row r="32" spans="1:5" x14ac:dyDescent="0.25">
      <c r="A32" s="1">
        <v>41821</v>
      </c>
      <c r="B32">
        <v>9.9</v>
      </c>
      <c r="C32">
        <v>9.8000000000000007</v>
      </c>
      <c r="D32">
        <f t="shared" si="0"/>
        <v>9.9999999999999645E-2</v>
      </c>
      <c r="E32">
        <f t="shared" si="1"/>
        <v>9.9999999999999291E-3</v>
      </c>
    </row>
    <row r="33" spans="1:5" x14ac:dyDescent="0.25">
      <c r="A33" s="1">
        <v>41852</v>
      </c>
      <c r="B33">
        <v>9.9</v>
      </c>
      <c r="C33">
        <v>11.5</v>
      </c>
      <c r="D33">
        <f t="shared" si="0"/>
        <v>-1.5999999999999996</v>
      </c>
      <c r="E33">
        <f t="shared" si="1"/>
        <v>2.5599999999999987</v>
      </c>
    </row>
    <row r="34" spans="1:5" x14ac:dyDescent="0.25">
      <c r="A34" s="1">
        <v>41883</v>
      </c>
      <c r="B34">
        <v>10.4</v>
      </c>
      <c r="C34">
        <v>10</v>
      </c>
      <c r="D34">
        <f t="shared" si="0"/>
        <v>0.40000000000000036</v>
      </c>
      <c r="E34">
        <f t="shared" si="1"/>
        <v>0.16000000000000028</v>
      </c>
    </row>
    <row r="35" spans="1:5" x14ac:dyDescent="0.25">
      <c r="A35" s="1">
        <v>41913</v>
      </c>
      <c r="B35">
        <v>9.6999999999999993</v>
      </c>
      <c r="C35">
        <v>9.6999999999999993</v>
      </c>
      <c r="D35">
        <f t="shared" si="0"/>
        <v>0</v>
      </c>
      <c r="E35">
        <f t="shared" si="1"/>
        <v>0</v>
      </c>
    </row>
    <row r="36" spans="1:5" x14ac:dyDescent="0.25">
      <c r="A36" s="1">
        <v>41944</v>
      </c>
      <c r="B36">
        <v>9.4</v>
      </c>
      <c r="C36">
        <v>11.7</v>
      </c>
      <c r="D36">
        <f t="shared" si="0"/>
        <v>-2.2999999999999989</v>
      </c>
      <c r="E36">
        <f t="shared" si="1"/>
        <v>5.2899999999999947</v>
      </c>
    </row>
    <row r="37" spans="1:5" x14ac:dyDescent="0.25">
      <c r="A37" s="1">
        <v>41974</v>
      </c>
      <c r="B37">
        <v>10.6</v>
      </c>
      <c r="C37">
        <v>9.1999999999999993</v>
      </c>
      <c r="D37">
        <f t="shared" si="0"/>
        <v>1.4000000000000004</v>
      </c>
      <c r="E37">
        <f t="shared" si="1"/>
        <v>1.9600000000000011</v>
      </c>
    </row>
    <row r="38" spans="1:5" x14ac:dyDescent="0.25">
      <c r="A38" s="1">
        <v>42005</v>
      </c>
      <c r="B38">
        <v>11.2</v>
      </c>
      <c r="C38">
        <v>12.1</v>
      </c>
      <c r="D38">
        <f t="shared" si="0"/>
        <v>-0.90000000000000036</v>
      </c>
      <c r="E38">
        <f t="shared" si="1"/>
        <v>0.81000000000000061</v>
      </c>
    </row>
    <row r="39" spans="1:5" x14ac:dyDescent="0.25">
      <c r="A39" s="1">
        <v>42036</v>
      </c>
      <c r="B39">
        <v>11.5</v>
      </c>
      <c r="C39">
        <v>9.3000000000000007</v>
      </c>
      <c r="D39">
        <f t="shared" si="0"/>
        <v>2.1999999999999993</v>
      </c>
      <c r="E39">
        <f t="shared" si="1"/>
        <v>4.8399999999999972</v>
      </c>
    </row>
    <row r="40" spans="1:5" x14ac:dyDescent="0.25">
      <c r="A40" s="1">
        <v>42064</v>
      </c>
      <c r="B40">
        <v>15.9</v>
      </c>
      <c r="C40">
        <v>12.4</v>
      </c>
      <c r="D40">
        <f t="shared" si="0"/>
        <v>3.5</v>
      </c>
      <c r="E40">
        <f t="shared" si="1"/>
        <v>12.25</v>
      </c>
    </row>
    <row r="41" spans="1:5" x14ac:dyDescent="0.25">
      <c r="A41" s="1">
        <v>42095</v>
      </c>
      <c r="B41">
        <v>17.5</v>
      </c>
      <c r="C41">
        <v>16.100000000000001</v>
      </c>
      <c r="D41">
        <f t="shared" si="0"/>
        <v>1.3999999999999986</v>
      </c>
      <c r="E41">
        <f t="shared" si="1"/>
        <v>1.959999999999996</v>
      </c>
    </row>
    <row r="42" spans="1:5" x14ac:dyDescent="0.25">
      <c r="A42" s="1">
        <v>42125</v>
      </c>
      <c r="B42">
        <v>16</v>
      </c>
      <c r="C42">
        <v>15.8</v>
      </c>
      <c r="D42">
        <f t="shared" si="0"/>
        <v>0.19999999999999929</v>
      </c>
      <c r="E42">
        <f t="shared" si="1"/>
        <v>3.9999999999999716E-2</v>
      </c>
    </row>
    <row r="43" spans="1:5" x14ac:dyDescent="0.25">
      <c r="A43" s="1">
        <v>42156</v>
      </c>
      <c r="B43">
        <v>18.100000000000001</v>
      </c>
      <c r="C43">
        <v>15.8</v>
      </c>
      <c r="D43">
        <f t="shared" si="0"/>
        <v>2.3000000000000007</v>
      </c>
      <c r="E43">
        <f t="shared" si="1"/>
        <v>5.2900000000000036</v>
      </c>
    </row>
    <row r="44" spans="1:5" x14ac:dyDescent="0.25">
      <c r="A44" s="1">
        <v>42186</v>
      </c>
      <c r="B44">
        <v>15.7</v>
      </c>
      <c r="C44">
        <v>17.100000000000001</v>
      </c>
      <c r="D44">
        <f t="shared" si="0"/>
        <v>-1.4000000000000021</v>
      </c>
      <c r="E44">
        <f t="shared" si="1"/>
        <v>1.960000000000006</v>
      </c>
    </row>
    <row r="45" spans="1:5" x14ac:dyDescent="0.25">
      <c r="A45" s="1">
        <v>42217</v>
      </c>
      <c r="B45">
        <v>13.1</v>
      </c>
      <c r="C45">
        <v>15.5</v>
      </c>
      <c r="D45">
        <f t="shared" si="0"/>
        <v>-2.4000000000000004</v>
      </c>
      <c r="E45">
        <f t="shared" si="1"/>
        <v>5.7600000000000016</v>
      </c>
    </row>
    <row r="46" spans="1:5" x14ac:dyDescent="0.25">
      <c r="A46" s="1">
        <v>42248</v>
      </c>
      <c r="B46">
        <v>12.5</v>
      </c>
      <c r="C46">
        <v>14</v>
      </c>
      <c r="D46">
        <f t="shared" si="0"/>
        <v>-1.5</v>
      </c>
      <c r="E46">
        <f t="shared" si="1"/>
        <v>2.25</v>
      </c>
    </row>
    <row r="47" spans="1:5" x14ac:dyDescent="0.25">
      <c r="A47" s="1">
        <v>42278</v>
      </c>
      <c r="B47">
        <v>13.7</v>
      </c>
      <c r="C47">
        <v>13.6</v>
      </c>
      <c r="D47">
        <f t="shared" si="0"/>
        <v>9.9999999999999645E-2</v>
      </c>
      <c r="E47">
        <f t="shared" si="1"/>
        <v>9.9999999999999291E-3</v>
      </c>
    </row>
    <row r="48" spans="1:5" x14ac:dyDescent="0.25">
      <c r="A48" s="1">
        <v>42309</v>
      </c>
      <c r="B48">
        <v>13.8</v>
      </c>
      <c r="C48">
        <v>13.3</v>
      </c>
      <c r="D48">
        <f t="shared" si="0"/>
        <v>0.5</v>
      </c>
      <c r="E48">
        <f t="shared" si="1"/>
        <v>0.25</v>
      </c>
    </row>
    <row r="49" spans="1:5" x14ac:dyDescent="0.25">
      <c r="A49" s="1">
        <v>42339</v>
      </c>
      <c r="B49">
        <v>14.8</v>
      </c>
      <c r="C49">
        <v>11.4</v>
      </c>
      <c r="D49">
        <f t="shared" si="0"/>
        <v>3.4000000000000004</v>
      </c>
      <c r="E49">
        <f t="shared" si="1"/>
        <v>11.560000000000002</v>
      </c>
    </row>
    <row r="50" spans="1:5" x14ac:dyDescent="0.25">
      <c r="A50" s="1">
        <v>42370</v>
      </c>
      <c r="B50">
        <v>12.4</v>
      </c>
      <c r="C50">
        <v>13.3</v>
      </c>
      <c r="D50">
        <f t="shared" si="0"/>
        <v>-0.90000000000000036</v>
      </c>
      <c r="E50">
        <f t="shared" si="1"/>
        <v>0.81000000000000061</v>
      </c>
    </row>
    <row r="51" spans="1:5" x14ac:dyDescent="0.25">
      <c r="A51" s="1">
        <v>42401</v>
      </c>
      <c r="B51">
        <v>10.3</v>
      </c>
      <c r="C51">
        <v>9.8000000000000007</v>
      </c>
      <c r="D51">
        <f t="shared" si="0"/>
        <v>0.5</v>
      </c>
      <c r="E51">
        <f t="shared" si="1"/>
        <v>0.25</v>
      </c>
    </row>
    <row r="52" spans="1:5" x14ac:dyDescent="0.25">
      <c r="A52" s="1">
        <v>42430</v>
      </c>
      <c r="B52">
        <v>12.4</v>
      </c>
      <c r="C52">
        <v>10.4</v>
      </c>
      <c r="D52">
        <f t="shared" si="0"/>
        <v>2</v>
      </c>
      <c r="E52">
        <f t="shared" si="1"/>
        <v>4</v>
      </c>
    </row>
    <row r="53" spans="1:5" x14ac:dyDescent="0.25">
      <c r="A53" s="1">
        <v>42461</v>
      </c>
      <c r="B53">
        <v>18.2</v>
      </c>
      <c r="C53">
        <v>15.1</v>
      </c>
      <c r="D53">
        <f t="shared" si="0"/>
        <v>3.0999999999999996</v>
      </c>
      <c r="E53">
        <f t="shared" si="1"/>
        <v>9.6099999999999977</v>
      </c>
    </row>
    <row r="54" spans="1:5" x14ac:dyDescent="0.25">
      <c r="A54" s="1">
        <v>42491</v>
      </c>
      <c r="B54">
        <v>17.2</v>
      </c>
      <c r="C54">
        <v>15.2</v>
      </c>
      <c r="D54">
        <f t="shared" si="0"/>
        <v>2</v>
      </c>
      <c r="E54">
        <f t="shared" si="1"/>
        <v>4</v>
      </c>
    </row>
    <row r="55" spans="1:5" x14ac:dyDescent="0.25">
      <c r="A55" s="1">
        <v>42522</v>
      </c>
      <c r="B55">
        <v>19.2</v>
      </c>
      <c r="C55">
        <v>16.5</v>
      </c>
      <c r="D55">
        <f t="shared" si="0"/>
        <v>2.6999999999999993</v>
      </c>
      <c r="E55">
        <f t="shared" si="1"/>
        <v>7.2899999999999965</v>
      </c>
    </row>
    <row r="56" spans="1:5" x14ac:dyDescent="0.25">
      <c r="A56" s="1">
        <v>42552</v>
      </c>
      <c r="B56">
        <v>20.2</v>
      </c>
      <c r="C56">
        <v>18</v>
      </c>
      <c r="D56">
        <f t="shared" si="0"/>
        <v>2.1999999999999993</v>
      </c>
      <c r="E56">
        <f t="shared" si="1"/>
        <v>4.8399999999999972</v>
      </c>
    </row>
    <row r="57" spans="1:5" x14ac:dyDescent="0.25">
      <c r="A57" s="1">
        <v>42583</v>
      </c>
      <c r="B57">
        <v>20.8</v>
      </c>
      <c r="C57">
        <v>15.9</v>
      </c>
      <c r="D57">
        <f t="shared" si="0"/>
        <v>4.9000000000000004</v>
      </c>
      <c r="E57">
        <f t="shared" si="1"/>
        <v>24.010000000000005</v>
      </c>
    </row>
    <row r="58" spans="1:5" x14ac:dyDescent="0.25">
      <c r="A58" s="1">
        <v>42614</v>
      </c>
      <c r="B58">
        <v>24</v>
      </c>
      <c r="C58">
        <v>19.5</v>
      </c>
      <c r="D58">
        <f t="shared" si="0"/>
        <v>4.5</v>
      </c>
      <c r="E58">
        <f t="shared" si="1"/>
        <v>20.25</v>
      </c>
    </row>
    <row r="59" spans="1:5" x14ac:dyDescent="0.25">
      <c r="A59" s="1">
        <v>42644</v>
      </c>
      <c r="B59">
        <v>22.9</v>
      </c>
      <c r="C59">
        <v>19.8</v>
      </c>
      <c r="D59">
        <f t="shared" si="0"/>
        <v>3.0999999999999979</v>
      </c>
      <c r="E59">
        <f t="shared" si="1"/>
        <v>9.609999999999987</v>
      </c>
    </row>
    <row r="60" spans="1:5" x14ac:dyDescent="0.25">
      <c r="A60" s="1">
        <v>42675</v>
      </c>
      <c r="B60">
        <v>22</v>
      </c>
      <c r="C60">
        <v>19.5</v>
      </c>
      <c r="D60">
        <f t="shared" si="0"/>
        <v>2.5</v>
      </c>
      <c r="E60">
        <f t="shared" si="1"/>
        <v>6.25</v>
      </c>
    </row>
    <row r="61" spans="1:5" x14ac:dyDescent="0.25">
      <c r="A61" s="1">
        <v>42705</v>
      </c>
      <c r="B61">
        <v>21</v>
      </c>
      <c r="C61">
        <v>18.899999999999999</v>
      </c>
      <c r="D61">
        <f t="shared" si="0"/>
        <v>2.1000000000000014</v>
      </c>
      <c r="E61">
        <f t="shared" si="1"/>
        <v>4.4100000000000064</v>
      </c>
    </row>
    <row r="62" spans="1:5" x14ac:dyDescent="0.25">
      <c r="A62" s="1">
        <v>42736</v>
      </c>
      <c r="B62">
        <v>13.7</v>
      </c>
      <c r="C62">
        <v>19.100000000000001</v>
      </c>
      <c r="D62">
        <f t="shared" si="0"/>
        <v>-5.4000000000000021</v>
      </c>
      <c r="E62">
        <f t="shared" si="1"/>
        <v>29.160000000000021</v>
      </c>
    </row>
    <row r="63" spans="1:5" x14ac:dyDescent="0.25">
      <c r="A63" s="1">
        <v>42767</v>
      </c>
      <c r="B63">
        <v>6.8</v>
      </c>
      <c r="C63">
        <v>14.1</v>
      </c>
      <c r="D63">
        <f t="shared" si="0"/>
        <v>-7.3</v>
      </c>
      <c r="E63">
        <f t="shared" si="1"/>
        <v>53.29</v>
      </c>
    </row>
    <row r="64" spans="1:5" x14ac:dyDescent="0.25">
      <c r="A64" s="1">
        <v>42795</v>
      </c>
      <c r="B64">
        <v>8.1999999999999993</v>
      </c>
      <c r="C64">
        <v>11.2</v>
      </c>
      <c r="D64">
        <f t="shared" si="0"/>
        <v>-3</v>
      </c>
      <c r="E64">
        <f t="shared" si="1"/>
        <v>9</v>
      </c>
    </row>
    <row r="65" spans="5:6" x14ac:dyDescent="0.25">
      <c r="E65">
        <f>AVERAGE(E2:E64)</f>
        <v>11.726666666666665</v>
      </c>
      <c r="F65">
        <f>E65^0.5</f>
        <v>3.4244220923634203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Diff</vt:lpstr>
      <vt:lpstr>SpecPool</vt:lpstr>
      <vt:lpstr>Symphony</vt:lpstr>
      <vt:lpstr>One Month</vt:lpstr>
      <vt:lpstr>Sheet5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2017-03-14T21:22:19Z</dcterms:created>
  <dcterms:modified xsi:type="dcterms:W3CDTF">2017-03-16T20:19:25Z</dcterms:modified>
</cp:coreProperties>
</file>