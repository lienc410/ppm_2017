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4515" windowHeight="18705"/>
  </bookViews>
  <sheets>
    <sheet name="v3" sheetId="4" r:id="rId1"/>
    <sheet name="v2" sheetId="1" r:id="rId2"/>
    <sheet name="v1" sheetId="2" r:id="rId3"/>
    <sheet name="LoanLevelHist" sheetId="3" r:id="rId4"/>
  </sheets>
  <calcPr calcId="145621"/>
</workbook>
</file>

<file path=xl/calcChain.xml><?xml version="1.0" encoding="utf-8"?>
<calcChain xmlns="http://schemas.openxmlformats.org/spreadsheetml/2006/main">
  <c r="AI4" i="4" l="1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3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02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3" i="4"/>
  <c r="AC3" i="4" l="1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2" i="4"/>
  <c r="AJ263" i="4"/>
  <c r="AJ262" i="4"/>
  <c r="AJ261" i="4"/>
  <c r="AJ260" i="4"/>
  <c r="AJ259" i="4"/>
  <c r="AJ258" i="4"/>
  <c r="AJ257" i="4"/>
  <c r="AJ256" i="4"/>
  <c r="AJ255" i="4"/>
  <c r="AJ254" i="4"/>
  <c r="AJ253" i="4"/>
  <c r="AJ252" i="4"/>
  <c r="AJ251" i="4"/>
  <c r="AJ250" i="4"/>
  <c r="AJ249" i="4"/>
  <c r="AJ248" i="4"/>
  <c r="AJ247" i="4"/>
  <c r="AJ246" i="4"/>
  <c r="AJ245" i="4"/>
  <c r="AJ244" i="4"/>
  <c r="AJ243" i="4"/>
  <c r="AJ242" i="4"/>
  <c r="AJ241" i="4"/>
  <c r="AJ240" i="4"/>
  <c r="AJ239" i="4"/>
  <c r="AJ238" i="4"/>
  <c r="AJ237" i="4"/>
  <c r="AJ236" i="4"/>
  <c r="AJ235" i="4"/>
  <c r="AJ234" i="4"/>
  <c r="AJ233" i="4"/>
  <c r="AJ232" i="4"/>
  <c r="AJ231" i="4"/>
  <c r="AJ230" i="4"/>
  <c r="AJ229" i="4"/>
  <c r="AJ228" i="4"/>
  <c r="AJ227" i="4"/>
  <c r="AJ226" i="4"/>
  <c r="AJ225" i="4"/>
  <c r="AJ224" i="4"/>
  <c r="AJ223" i="4"/>
  <c r="AJ222" i="4"/>
  <c r="AJ221" i="4"/>
  <c r="AJ220" i="4"/>
  <c r="AJ219" i="4"/>
  <c r="AJ218" i="4"/>
  <c r="AJ217" i="4"/>
  <c r="AJ216" i="4"/>
  <c r="AJ215" i="4"/>
  <c r="AJ214" i="4"/>
  <c r="AJ213" i="4"/>
  <c r="AJ212" i="4"/>
  <c r="AJ211" i="4"/>
  <c r="AJ210" i="4"/>
  <c r="AJ209" i="4"/>
  <c r="AJ208" i="4"/>
  <c r="AJ207" i="4"/>
  <c r="AJ206" i="4"/>
  <c r="AJ205" i="4"/>
  <c r="AJ204" i="4"/>
  <c r="AJ203" i="4"/>
  <c r="AJ202" i="4"/>
  <c r="AJ201" i="4"/>
  <c r="AJ200" i="4"/>
  <c r="AJ199" i="4"/>
  <c r="AJ198" i="4"/>
  <c r="AJ197" i="4"/>
  <c r="AJ196" i="4"/>
  <c r="AJ195" i="4"/>
  <c r="AJ194" i="4"/>
  <c r="AJ193" i="4"/>
  <c r="AJ192" i="4"/>
  <c r="AJ191" i="4"/>
  <c r="AJ190" i="4"/>
  <c r="AJ189" i="4"/>
  <c r="AJ188" i="4"/>
  <c r="AJ187" i="4"/>
  <c r="AJ186" i="4"/>
  <c r="AJ185" i="4"/>
  <c r="AJ184" i="4"/>
  <c r="AJ183" i="4"/>
  <c r="AJ182" i="4"/>
  <c r="AJ181" i="4"/>
  <c r="AJ180" i="4"/>
  <c r="AJ179" i="4"/>
  <c r="AJ178" i="4"/>
  <c r="AJ177" i="4"/>
  <c r="AJ176" i="4"/>
  <c r="AJ175" i="4"/>
  <c r="AJ174" i="4"/>
  <c r="AJ173" i="4"/>
  <c r="AJ172" i="4"/>
  <c r="AJ171" i="4"/>
  <c r="AJ170" i="4"/>
  <c r="AJ169" i="4"/>
  <c r="AJ168" i="4"/>
  <c r="AJ167" i="4"/>
  <c r="AJ166" i="4"/>
  <c r="AJ165" i="4"/>
  <c r="AJ164" i="4"/>
  <c r="AJ163" i="4"/>
  <c r="AJ162" i="4"/>
  <c r="AJ161" i="4"/>
  <c r="AJ160" i="4"/>
  <c r="AJ159" i="4"/>
  <c r="AJ158" i="4"/>
  <c r="AJ157" i="4"/>
  <c r="AJ156" i="4"/>
  <c r="AJ155" i="4"/>
  <c r="AJ154" i="4"/>
  <c r="AJ153" i="4"/>
  <c r="AJ152" i="4"/>
  <c r="AJ151" i="4"/>
  <c r="AJ150" i="4"/>
  <c r="AJ149" i="4"/>
  <c r="AJ148" i="4"/>
  <c r="AJ147" i="4"/>
  <c r="AJ146" i="4"/>
  <c r="AJ145" i="4"/>
  <c r="AJ144" i="4"/>
  <c r="AJ143" i="4"/>
  <c r="AJ142" i="4"/>
  <c r="AJ141" i="4"/>
  <c r="AJ140" i="4"/>
  <c r="AJ139" i="4"/>
  <c r="AJ138" i="4"/>
  <c r="AJ137" i="4"/>
  <c r="AJ136" i="4"/>
  <c r="AJ135" i="4"/>
  <c r="AJ134" i="4"/>
  <c r="AJ133" i="4"/>
  <c r="AJ132" i="4"/>
  <c r="AJ131" i="4"/>
  <c r="AJ130" i="4"/>
  <c r="AJ129" i="4"/>
  <c r="AJ128" i="4"/>
  <c r="AJ127" i="4"/>
  <c r="AJ126" i="4"/>
  <c r="AJ125" i="4"/>
  <c r="AJ124" i="4"/>
  <c r="AJ123" i="4"/>
  <c r="AJ122" i="4"/>
  <c r="AJ121" i="4"/>
  <c r="AJ120" i="4"/>
  <c r="AJ119" i="4"/>
  <c r="AJ118" i="4"/>
  <c r="AJ117" i="4"/>
  <c r="AJ116" i="4"/>
  <c r="AJ115" i="4"/>
  <c r="AJ114" i="4"/>
  <c r="AJ113" i="4"/>
  <c r="AJ112" i="4"/>
  <c r="AJ111" i="4"/>
  <c r="AJ110" i="4"/>
  <c r="AJ109" i="4"/>
  <c r="AJ108" i="4"/>
  <c r="AJ107" i="4"/>
  <c r="AJ106" i="4"/>
  <c r="AJ105" i="4"/>
  <c r="AJ104" i="4"/>
  <c r="AJ103" i="4"/>
  <c r="AJ102" i="4"/>
  <c r="AJ101" i="4"/>
  <c r="AJ100" i="4"/>
  <c r="AJ99" i="4"/>
  <c r="AJ98" i="4"/>
  <c r="AJ97" i="4"/>
  <c r="AJ96" i="4"/>
  <c r="AJ95" i="4"/>
  <c r="AJ94" i="4"/>
  <c r="AJ93" i="4"/>
  <c r="AJ92" i="4"/>
  <c r="AJ91" i="4"/>
  <c r="AJ90" i="4"/>
  <c r="AJ89" i="4"/>
  <c r="AJ88" i="4"/>
  <c r="AJ87" i="4"/>
  <c r="AJ86" i="4"/>
  <c r="AJ85" i="4"/>
  <c r="AJ84" i="4"/>
  <c r="AJ83" i="4"/>
  <c r="AJ82" i="4"/>
  <c r="AJ81" i="4"/>
  <c r="AJ80" i="4"/>
  <c r="AJ79" i="4"/>
  <c r="AJ78" i="4"/>
  <c r="AJ77" i="4"/>
  <c r="AJ76" i="4"/>
  <c r="AJ75" i="4"/>
  <c r="AJ74" i="4"/>
  <c r="AJ73" i="4"/>
  <c r="AJ72" i="4"/>
  <c r="AJ71" i="4"/>
  <c r="AJ70" i="4"/>
  <c r="AJ69" i="4"/>
  <c r="AJ68" i="4"/>
  <c r="AJ67" i="4"/>
  <c r="AJ66" i="4"/>
  <c r="AJ65" i="4"/>
  <c r="AJ64" i="4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49" i="4"/>
  <c r="AJ48" i="4"/>
  <c r="AJ47" i="4"/>
  <c r="AJ46" i="4"/>
  <c r="AJ45" i="4"/>
  <c r="AJ44" i="4"/>
  <c r="AJ43" i="4"/>
  <c r="AJ42" i="4"/>
  <c r="AJ41" i="4"/>
  <c r="AJ40" i="4"/>
  <c r="AJ39" i="4"/>
  <c r="AJ38" i="4"/>
  <c r="AJ37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AJ2" i="4"/>
  <c r="AH2" i="4"/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2" i="1"/>
</calcChain>
</file>

<file path=xl/sharedStrings.xml><?xml version="1.0" encoding="utf-8"?>
<sst xmlns="http://schemas.openxmlformats.org/spreadsheetml/2006/main" count="1950" uniqueCount="276">
  <si>
    <t>x_vals</t>
  </si>
  <si>
    <t>y_vals.act</t>
  </si>
  <si>
    <t>y_vals.mdl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</si>
  <si>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</si>
  <si>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</si>
  <si>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</si>
  <si>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</si>
  <si>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</si>
  <si>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</si>
  <si>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</si>
  <si>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</si>
  <si>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</si>
  <si>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</si>
  <si>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</si>
  <si>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</si>
  <si>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</si>
  <si>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</si>
  <si>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</si>
  <si>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</si>
  <si>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</si>
  <si>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</si>
  <si>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</si>
  <si>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</si>
  <si>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</si>
  <si>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</si>
  <si>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</si>
  <si>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</si>
  <si>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</si>
  <si>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</si>
  <si>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</si>
  <si>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</si>
  <si>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</si>
  <si>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</si>
  <si>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</si>
  <si>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</si>
  <si>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</si>
  <si>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</si>
  <si>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</si>
  <si>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</si>
  <si>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</si>
  <si>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</si>
  <si>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</si>
  <si>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</si>
  <si>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</si>
  <si>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</si>
  <si>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</si>
  <si>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</si>
  <si>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</si>
  <si>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</si>
  <si>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</si>
  <si>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</si>
  <si>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</si>
  <si>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</si>
  <si>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</si>
  <si>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</si>
  <si>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</si>
  <si>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</si>
  <si>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</si>
  <si>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</si>
  <si>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</si>
  <si>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</si>
  <si>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</si>
  <si>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</si>
  <si>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[61,]</t>
  </si>
  <si>
    <t>[62,]</t>
  </si>
  <si>
    <t>[63,]</t>
  </si>
  <si>
    <t>Conventional</t>
  </si>
  <si>
    <t>Overall</t>
  </si>
  <si>
    <t>Jumbo</t>
  </si>
  <si>
    <t>CQ</t>
  </si>
  <si>
    <t>CR</t>
  </si>
  <si>
    <t>Conv</t>
  </si>
  <si>
    <t>v2</t>
  </si>
  <si>
    <t>v1</t>
  </si>
  <si>
    <t>[64,]</t>
  </si>
  <si>
    <t>[65,]</t>
  </si>
  <si>
    <t>[66,]</t>
  </si>
  <si>
    <t>[67,]</t>
  </si>
  <si>
    <t>[68,]</t>
  </si>
  <si>
    <t>[69,]</t>
  </si>
  <si>
    <t>[70,]</t>
  </si>
  <si>
    <t>[71,]</t>
  </si>
  <si>
    <t>[72,]</t>
  </si>
  <si>
    <t>[73,]</t>
  </si>
  <si>
    <t>[74,]</t>
  </si>
  <si>
    <t>[75,]</t>
  </si>
  <si>
    <t>[76,]</t>
  </si>
  <si>
    <t>[77,]</t>
  </si>
  <si>
    <t>[78,]</t>
  </si>
  <si>
    <t>[79,]</t>
  </si>
  <si>
    <t>[80,]</t>
  </si>
  <si>
    <t>[81,]</t>
  </si>
  <si>
    <t>[82,]</t>
  </si>
  <si>
    <t>[83,]</t>
  </si>
  <si>
    <t>[84,]</t>
  </si>
  <si>
    <t>[85,]</t>
  </si>
  <si>
    <t>[86,]</t>
  </si>
  <si>
    <t>[87,]</t>
  </si>
  <si>
    <t>[88,]</t>
  </si>
  <si>
    <t>[89,]</t>
  </si>
  <si>
    <t>[90,]</t>
  </si>
  <si>
    <t>[91,]</t>
  </si>
  <si>
    <t>[92,]</t>
  </si>
  <si>
    <t>[93,]</t>
  </si>
  <si>
    <t>[94,]</t>
  </si>
  <si>
    <t>[95,]</t>
  </si>
  <si>
    <t>[96,]</t>
  </si>
  <si>
    <t>[97,]</t>
  </si>
  <si>
    <t>[98,]</t>
  </si>
  <si>
    <t>[99,]</t>
  </si>
  <si>
    <t>[100,]</t>
  </si>
  <si>
    <t>[101,]</t>
  </si>
  <si>
    <t>[102,]</t>
  </si>
  <si>
    <t>[103,]</t>
  </si>
  <si>
    <t>[104,]</t>
  </si>
  <si>
    <t>[105,]</t>
  </si>
  <si>
    <t>[106,]</t>
  </si>
  <si>
    <t>[107,]</t>
  </si>
  <si>
    <t>[108,]</t>
  </si>
  <si>
    <t>[109,]</t>
  </si>
  <si>
    <t>[110,]</t>
  </si>
  <si>
    <t>[111,]</t>
  </si>
  <si>
    <t>[112,]</t>
  </si>
  <si>
    <t>[113,]</t>
  </si>
  <si>
    <t>[114,]</t>
  </si>
  <si>
    <t>[115,]</t>
  </si>
  <si>
    <t>[116,]</t>
  </si>
  <si>
    <t>[117,]</t>
  </si>
  <si>
    <t>[118,]</t>
  </si>
  <si>
    <t>[119,]</t>
  </si>
  <si>
    <t>[120,]</t>
  </si>
  <si>
    <t>[121,]</t>
  </si>
  <si>
    <t>[122,]</t>
  </si>
  <si>
    <t>[123,]</t>
  </si>
  <si>
    <t>[124,]</t>
  </si>
  <si>
    <t>[125,]</t>
  </si>
  <si>
    <t>[126,]</t>
  </si>
  <si>
    <t>[127,]</t>
  </si>
  <si>
    <t>[128,]</t>
  </si>
  <si>
    <t>[129,]</t>
  </si>
  <si>
    <t>[130,]</t>
  </si>
  <si>
    <t>[131,]</t>
  </si>
  <si>
    <t>[132,]</t>
  </si>
  <si>
    <t>[133,]</t>
  </si>
  <si>
    <t>[134,]</t>
  </si>
  <si>
    <t>[135,]</t>
  </si>
  <si>
    <t>[136,]</t>
  </si>
  <si>
    <t>[137,]</t>
  </si>
  <si>
    <t>[138,]</t>
  </si>
  <si>
    <t>[139,]</t>
  </si>
  <si>
    <t>[140,]</t>
  </si>
  <si>
    <t>[141,]</t>
  </si>
  <si>
    <t>[142,]</t>
  </si>
  <si>
    <t>[143,]</t>
  </si>
  <si>
    <t>[144,]</t>
  </si>
  <si>
    <t>[145,]</t>
  </si>
  <si>
    <t>[146,]</t>
  </si>
  <si>
    <t>[147,]</t>
  </si>
  <si>
    <t>[148,]</t>
  </si>
  <si>
    <t>[149,]</t>
  </si>
  <si>
    <t>[150,]</t>
  </si>
  <si>
    <t>[151,]</t>
  </si>
  <si>
    <t>[152,]</t>
  </si>
  <si>
    <t>[153,]</t>
  </si>
  <si>
    <t>[154,]</t>
  </si>
  <si>
    <t>[155,]</t>
  </si>
  <si>
    <t>[156,]</t>
  </si>
  <si>
    <t>[157,]</t>
  </si>
  <si>
    <t>[158,]</t>
  </si>
  <si>
    <t>[159,]</t>
  </si>
  <si>
    <t>[160,]</t>
  </si>
  <si>
    <t>[161,]</t>
  </si>
  <si>
    <t>[162,]</t>
  </si>
  <si>
    <t>[163,]</t>
  </si>
  <si>
    <t>[164,]</t>
  </si>
  <si>
    <t>[165,]</t>
  </si>
  <si>
    <t>[166,]</t>
  </si>
  <si>
    <t>[167,]</t>
  </si>
  <si>
    <t>[168,]</t>
  </si>
  <si>
    <t>[169,]</t>
  </si>
  <si>
    <t>[170,]</t>
  </si>
  <si>
    <t>[171,]</t>
  </si>
  <si>
    <t>[172,]</t>
  </si>
  <si>
    <t>[173,]</t>
  </si>
  <si>
    <t>[174,]</t>
  </si>
  <si>
    <t>[175,]</t>
  </si>
  <si>
    <t>[176,]</t>
  </si>
  <si>
    <t>[177,]</t>
  </si>
  <si>
    <t>[178,]</t>
  </si>
  <si>
    <t>[179,]</t>
  </si>
  <si>
    <t>[180,]</t>
  </si>
  <si>
    <t>[181,]</t>
  </si>
  <si>
    <t>[182,]</t>
  </si>
  <si>
    <t>[183,]</t>
  </si>
  <si>
    <t>[184,]</t>
  </si>
  <si>
    <t>[185,]</t>
  </si>
  <si>
    <t>[186,]</t>
  </si>
  <si>
    <t>[187,]</t>
  </si>
  <si>
    <t>[188,]</t>
  </si>
  <si>
    <t>[189,]</t>
  </si>
  <si>
    <t>[190,]</t>
  </si>
  <si>
    <t>[191,]</t>
  </si>
  <si>
    <t>[192,]</t>
  </si>
  <si>
    <t>[193,]</t>
  </si>
  <si>
    <t>[194,]</t>
  </si>
  <si>
    <t>[195,]</t>
  </si>
  <si>
    <t>[196,]</t>
  </si>
  <si>
    <t>[197,]</t>
  </si>
  <si>
    <t>[198,]</t>
  </si>
  <si>
    <t>[199,]</t>
  </si>
  <si>
    <t>[200,]</t>
  </si>
  <si>
    <t>[201,]</t>
  </si>
  <si>
    <t>[202,]</t>
  </si>
  <si>
    <t>[203,]</t>
  </si>
  <si>
    <t>[204,]</t>
  </si>
  <si>
    <t>[205,]</t>
  </si>
  <si>
    <t>[206,]</t>
  </si>
  <si>
    <t>[207,]</t>
  </si>
  <si>
    <t>[208,]</t>
  </si>
  <si>
    <t>[209,]</t>
  </si>
  <si>
    <t>[210,]</t>
  </si>
  <si>
    <t>[211,]</t>
  </si>
  <si>
    <t>[212,]</t>
  </si>
  <si>
    <t>[213,]</t>
  </si>
  <si>
    <t>[214,]</t>
  </si>
  <si>
    <t>[215,]</t>
  </si>
  <si>
    <t>[216,]</t>
  </si>
  <si>
    <t>[217,]</t>
  </si>
  <si>
    <t>[218,]</t>
  </si>
  <si>
    <t>[219,]</t>
  </si>
  <si>
    <t>[220,]</t>
  </si>
  <si>
    <t>[221,]</t>
  </si>
  <si>
    <t>[222,]</t>
  </si>
  <si>
    <t>[223,]</t>
  </si>
  <si>
    <t>[224,]</t>
  </si>
  <si>
    <t>[225,]</t>
  </si>
  <si>
    <t>[226,]</t>
  </si>
  <si>
    <t>[227,]</t>
  </si>
  <si>
    <t>[228,]</t>
  </si>
  <si>
    <t>[229,]</t>
  </si>
  <si>
    <t>[230,]</t>
  </si>
  <si>
    <t>[231,]</t>
  </si>
  <si>
    <t>[232,]</t>
  </si>
  <si>
    <t>[233,]</t>
  </si>
  <si>
    <t>[234,]</t>
  </si>
  <si>
    <t>[235,]</t>
  </si>
  <si>
    <t>[236,]</t>
  </si>
  <si>
    <t>[237,]</t>
  </si>
  <si>
    <t>[238,]</t>
  </si>
  <si>
    <t>[239,]</t>
  </si>
  <si>
    <t>[240,]</t>
  </si>
  <si>
    <t>[241,]</t>
  </si>
  <si>
    <t>[242,]</t>
  </si>
  <si>
    <t>[243,]</t>
  </si>
  <si>
    <t>[244,]</t>
  </si>
  <si>
    <t>[245,]</t>
  </si>
  <si>
    <t>[246,]</t>
  </si>
  <si>
    <t>[247,]</t>
  </si>
  <si>
    <t>[248,]</t>
  </si>
  <si>
    <t>[249,]</t>
  </si>
  <si>
    <t>[250,]</t>
  </si>
  <si>
    <t>[251,]</t>
  </si>
  <si>
    <t>[252,]</t>
  </si>
  <si>
    <t>[253,]</t>
  </si>
  <si>
    <t>[254,]</t>
  </si>
  <si>
    <t>[255,]</t>
  </si>
  <si>
    <t>[256,]</t>
  </si>
  <si>
    <t>[257,]</t>
  </si>
  <si>
    <t>[258,]</t>
  </si>
  <si>
    <t>[259,]</t>
  </si>
  <si>
    <t>[260,]</t>
  </si>
  <si>
    <t>[261,]</t>
  </si>
  <si>
    <t>[262,]</t>
  </si>
  <si>
    <t>History</t>
  </si>
  <si>
    <t>Actual</t>
  </si>
  <si>
    <t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</si>
</sst>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2" fillId="0" borderId="0" xfId="0" applyFont="1"/>
    <xf numFmtId="11" fontId="0" fillId="0" borderId="0" xfId="0" applyNumberForma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63"/>
  <sheetViews>
    <sheetView tabSelected="1" topLeftCell="E1" workbookViewId="0">
      <selection activeCell="Z245" sqref="Z245"/>
    </sheetView>
  </sheetViews>
  <sheetFormatPr defaultRowHeight="15" x14ac:dyDescent="0.25"/>
  <cols>
    <col min="2" max="2" width="9.7109375" bestFit="1" customWidth="1"/>
    <col min="7" max="7" width="9.140625" style="3"/>
    <col min="8" max="8" width="9.7109375" bestFit="1" customWidth="1"/>
    <col min="13" max="13" width="9.140625" style="3"/>
    <col min="19" max="19" width="9.140625" style="3"/>
    <col min="25" max="25" width="9.140625" style="3"/>
  </cols>
  <sheetData>
    <row r="1" spans="1:36" x14ac:dyDescent="0.25">
      <c r="A1" s="1" t="s">
        <v>67</v>
      </c>
      <c r="C1" t="s">
        <v>1</v>
      </c>
      <c r="D1" t="s">
        <v>275</v>
      </c>
      <c r="E1" t="s">
        <v>73</v>
      </c>
      <c r="G1" s="1" t="s">
        <v>66</v>
      </c>
      <c r="I1" t="s">
        <v>1</v>
      </c>
      <c r="J1" t="s">
        <v>275</v>
      </c>
      <c r="K1" t="s">
        <v>73</v>
      </c>
      <c r="M1" s="1" t="s">
        <v>68</v>
      </c>
      <c r="O1" t="s">
        <v>1</v>
      </c>
      <c r="P1" t="s">
        <v>275</v>
      </c>
      <c r="Q1" t="s">
        <v>73</v>
      </c>
      <c r="S1" s="1" t="s">
        <v>69</v>
      </c>
      <c r="U1" t="s">
        <v>1</v>
      </c>
      <c r="V1" t="s">
        <v>275</v>
      </c>
      <c r="W1" t="s">
        <v>73</v>
      </c>
      <c r="Y1" s="1" t="s">
        <v>69</v>
      </c>
      <c r="AA1" t="s">
        <v>1</v>
      </c>
      <c r="AB1" t="s">
        <v>275</v>
      </c>
      <c r="AC1" t="s">
        <v>73</v>
      </c>
      <c r="AE1" s="1" t="s">
        <v>273</v>
      </c>
      <c r="AF1" t="s">
        <v>0</v>
      </c>
      <c r="AG1" t="s">
        <v>1</v>
      </c>
      <c r="AH1" t="s">
        <v>274</v>
      </c>
      <c r="AI1" t="s">
        <v>275</v>
      </c>
      <c r="AJ1" t="s">
        <v>73</v>
      </c>
    </row>
    <row r="2" spans="1:36" hidden="1" x14ac:dyDescent="0.25">
      <c r="A2" s="2" t="s">
        <v>3</v>
      </c>
      <c r="B2" s="2">
        <v>40513</v>
      </c>
      <c r="C2">
        <v>2.9403270560502999</v>
      </c>
      <c r="D2">
        <v>0</v>
      </c>
      <c r="E2">
        <f>VLOOKUP(B2,'v1'!B:D,3,0)</f>
        <v>2.1523347633032399</v>
      </c>
      <c r="G2" s="5" t="s">
        <v>3</v>
      </c>
      <c r="H2" s="2">
        <v>40513</v>
      </c>
      <c r="I2">
        <v>2.94369415702606</v>
      </c>
      <c r="J2">
        <v>0</v>
      </c>
      <c r="K2">
        <f>VLOOKUP(H2,'v1'!H:J,3,0)</f>
        <v>2.1546881322415299</v>
      </c>
      <c r="M2" s="5" t="s">
        <v>3</v>
      </c>
      <c r="N2" s="2">
        <v>40513</v>
      </c>
      <c r="O2">
        <v>8.74252811807348</v>
      </c>
      <c r="P2">
        <v>0</v>
      </c>
      <c r="Q2">
        <f>VLOOKUP(N2,'v1'!M:O,3,0)</f>
        <v>0.812177646143319</v>
      </c>
      <c r="S2" s="2" t="s">
        <v>3</v>
      </c>
      <c r="T2" s="2">
        <v>40513</v>
      </c>
      <c r="U2">
        <v>1.04631944292003</v>
      </c>
      <c r="V2">
        <v>0</v>
      </c>
      <c r="W2">
        <f>VLOOKUP(T2,'v1'!R:T,3,0)</f>
        <v>1.4039362236464299</v>
      </c>
      <c r="Y2" s="5" t="s">
        <v>3</v>
      </c>
      <c r="Z2" s="2">
        <v>41091</v>
      </c>
      <c r="AA2">
        <v>0</v>
      </c>
      <c r="AB2">
        <v>0</v>
      </c>
      <c r="AC2">
        <f>VLOOKUP(Z2,'v1'!W:Y,3,0)</f>
        <v>0.30028540234311502</v>
      </c>
      <c r="AE2" t="s">
        <v>3</v>
      </c>
      <c r="AF2" s="2">
        <v>34335</v>
      </c>
      <c r="AG2">
        <v>0</v>
      </c>
      <c r="AH2" t="e">
        <f>VLOOKUP(AF2,LoanLevelHist!B:D,2,0)</f>
        <v>#N/A</v>
      </c>
      <c r="AI2">
        <v>6.0496178898583599E-3</v>
      </c>
      <c r="AJ2">
        <f>VLOOKUP(AF2,'v1'!AB:AD,3,0)</f>
        <v>4.8661250181214503E-3</v>
      </c>
    </row>
    <row r="3" spans="1:36" x14ac:dyDescent="0.25">
      <c r="A3" s="2" t="s">
        <v>4</v>
      </c>
      <c r="B3" s="2">
        <v>40544</v>
      </c>
      <c r="C3">
        <v>2.8515887646976901</v>
      </c>
      <c r="D3">
        <v>2.8231700304788601</v>
      </c>
      <c r="E3">
        <f>VLOOKUP(B3,'v1'!B:D,3,0)</f>
        <v>2.1791282800968799</v>
      </c>
      <c r="G3" s="5" t="s">
        <v>4</v>
      </c>
      <c r="H3" s="2">
        <v>40544</v>
      </c>
      <c r="I3">
        <v>2.8544039964127199</v>
      </c>
      <c r="J3">
        <v>2.83195815799747</v>
      </c>
      <c r="K3">
        <f>VLOOKUP(H3,'v1'!H:J,3,0)</f>
        <v>2.1831643663766198</v>
      </c>
      <c r="M3" s="5" t="s">
        <v>4</v>
      </c>
      <c r="N3" s="2">
        <v>40544</v>
      </c>
      <c r="O3">
        <v>2.5327830427341</v>
      </c>
      <c r="P3">
        <v>0.58793914874713005</v>
      </c>
      <c r="Q3">
        <f>VLOOKUP(N3,'v1'!M:O,3,0)</f>
        <v>0.318278899305657</v>
      </c>
      <c r="S3" s="2" t="s">
        <v>4</v>
      </c>
      <c r="T3" s="2">
        <v>40544</v>
      </c>
      <c r="U3">
        <v>2.08468844246653</v>
      </c>
      <c r="V3">
        <v>0.69987090074848901</v>
      </c>
      <c r="W3">
        <f>VLOOKUP(T3,'v1'!R:T,3,0)</f>
        <v>1.40344885759658</v>
      </c>
      <c r="Y3" s="5" t="s">
        <v>4</v>
      </c>
      <c r="Z3" s="2">
        <v>41122</v>
      </c>
      <c r="AA3">
        <v>0</v>
      </c>
      <c r="AB3">
        <v>2.31749696031569E-2</v>
      </c>
      <c r="AC3">
        <f>VLOOKUP(Z3,'v1'!W:Y,3,0)</f>
        <v>0.45887599046399202</v>
      </c>
      <c r="AE3" t="s">
        <v>4</v>
      </c>
      <c r="AF3" s="2">
        <v>34366</v>
      </c>
      <c r="AG3">
        <v>0</v>
      </c>
      <c r="AH3" t="e">
        <f>VLOOKUP(AF3,LoanLevelHist!B:D,2,0)</f>
        <v>#N/A</v>
      </c>
      <c r="AI3" t="e">
        <f>VLOOKUP(AF3,LoanLevelHist!B:D,3,0)</f>
        <v>#N/A</v>
      </c>
      <c r="AJ3">
        <f>VLOOKUP(AF3,'v1'!AB:AD,3,0)</f>
        <v>0.214115224498479</v>
      </c>
    </row>
    <row r="4" spans="1:36" x14ac:dyDescent="0.25">
      <c r="A4" s="2" t="s">
        <v>5</v>
      </c>
      <c r="B4" s="2">
        <v>40575</v>
      </c>
      <c r="C4">
        <v>3.0092574384375799</v>
      </c>
      <c r="D4">
        <v>2.72855692629865</v>
      </c>
      <c r="E4">
        <f>VLOOKUP(B4,'v1'!B:D,3,0)</f>
        <v>2.2621514618217602</v>
      </c>
      <c r="G4" s="5" t="s">
        <v>5</v>
      </c>
      <c r="H4" s="2">
        <v>40575</v>
      </c>
      <c r="I4">
        <v>3.01847609904183</v>
      </c>
      <c r="J4">
        <v>2.7390463363714002</v>
      </c>
      <c r="K4">
        <f>VLOOKUP(H4,'v1'!H:J,3,0)</f>
        <v>2.2672433282444202</v>
      </c>
      <c r="M4" s="5" t="s">
        <v>5</v>
      </c>
      <c r="N4" s="2">
        <v>40575</v>
      </c>
      <c r="O4">
        <v>0</v>
      </c>
      <c r="P4">
        <v>0.34360158428733401</v>
      </c>
      <c r="Q4">
        <f>VLOOKUP(N4,'v1'!M:O,3,0)</f>
        <v>0.23491253553617999</v>
      </c>
      <c r="S4" s="2" t="s">
        <v>5</v>
      </c>
      <c r="T4" s="2">
        <v>40575</v>
      </c>
      <c r="U4">
        <v>1.4608417769295401</v>
      </c>
      <c r="V4">
        <v>0.65048797098934397</v>
      </c>
      <c r="W4">
        <f>VLOOKUP(T4,'v1'!R:T,3,0)</f>
        <v>1.52262944858337</v>
      </c>
      <c r="Y4" s="5" t="s">
        <v>5</v>
      </c>
      <c r="Z4" s="2">
        <v>41153</v>
      </c>
      <c r="AA4">
        <v>0</v>
      </c>
      <c r="AB4">
        <v>3.6082094690637098E-2</v>
      </c>
      <c r="AC4">
        <f>VLOOKUP(Z4,'v1'!W:Y,3,0)</f>
        <v>0.63430867585078099</v>
      </c>
      <c r="AE4" t="s">
        <v>5</v>
      </c>
      <c r="AF4" s="2">
        <v>34394</v>
      </c>
      <c r="AG4">
        <v>0</v>
      </c>
      <c r="AH4" t="e">
        <f>VLOOKUP(AF4,LoanLevelHist!B:D,2,0)</f>
        <v>#N/A</v>
      </c>
      <c r="AI4" t="e">
        <f>VLOOKUP(AF4,LoanLevelHist!B:D,3,0)</f>
        <v>#N/A</v>
      </c>
      <c r="AJ4">
        <f>VLOOKUP(AF4,'v1'!AB:AD,3,0)</f>
        <v>0.217263054076755</v>
      </c>
    </row>
    <row r="5" spans="1:36" x14ac:dyDescent="0.25">
      <c r="A5" s="2" t="s">
        <v>6</v>
      </c>
      <c r="B5" s="2">
        <v>40603</v>
      </c>
      <c r="C5">
        <v>2.58048347031187</v>
      </c>
      <c r="D5">
        <v>2.7581856932990401</v>
      </c>
      <c r="E5">
        <f>VLOOKUP(B5,'v1'!B:D,3,0)</f>
        <v>2.3374511477395798</v>
      </c>
      <c r="G5" s="5" t="s">
        <v>6</v>
      </c>
      <c r="H5" s="2">
        <v>40603</v>
      </c>
      <c r="I5">
        <v>2.5918149559730499</v>
      </c>
      <c r="J5">
        <v>2.7729217158728301</v>
      </c>
      <c r="K5">
        <f>VLOOKUP(H5,'v1'!H:J,3,0)</f>
        <v>2.34596760052426</v>
      </c>
      <c r="M5" s="5" t="s">
        <v>6</v>
      </c>
      <c r="N5" s="2">
        <v>40603</v>
      </c>
      <c r="O5">
        <v>0</v>
      </c>
      <c r="P5">
        <v>0.18431978013959699</v>
      </c>
      <c r="Q5">
        <f>VLOOKUP(N5,'v1'!M:O,3,0)</f>
        <v>0.131241029026785</v>
      </c>
      <c r="S5" s="2" t="s">
        <v>6</v>
      </c>
      <c r="T5" s="2">
        <v>40603</v>
      </c>
      <c r="U5">
        <v>1.3464863334513799</v>
      </c>
      <c r="V5">
        <v>0.75332099014588905</v>
      </c>
      <c r="W5">
        <f>VLOOKUP(T5,'v1'!R:T,3,0)</f>
        <v>1.5476715424390599</v>
      </c>
      <c r="Y5" s="5" t="s">
        <v>6</v>
      </c>
      <c r="Z5" s="2">
        <v>41183</v>
      </c>
      <c r="AA5">
        <v>0.65312715558033496</v>
      </c>
      <c r="AB5">
        <v>8.5295921159356206E-2</v>
      </c>
      <c r="AC5">
        <f>VLOOKUP(Z5,'v1'!W:Y,3,0)</f>
        <v>0.82961525860169005</v>
      </c>
      <c r="AE5" t="s">
        <v>6</v>
      </c>
      <c r="AF5" s="2">
        <v>34486</v>
      </c>
      <c r="AG5">
        <v>0</v>
      </c>
      <c r="AH5" t="e">
        <f>VLOOKUP(AF5,LoanLevelHist!B:D,2,0)</f>
        <v>#N/A</v>
      </c>
      <c r="AI5" t="e">
        <f>VLOOKUP(AF5,LoanLevelHist!B:D,3,0)</f>
        <v>#N/A</v>
      </c>
      <c r="AJ5">
        <f>VLOOKUP(AF5,'v1'!AB:AD,3,0)</f>
        <v>1.41128366167531E-2</v>
      </c>
    </row>
    <row r="6" spans="1:36" x14ac:dyDescent="0.25">
      <c r="A6" s="2" t="s">
        <v>7</v>
      </c>
      <c r="B6" s="2">
        <v>40634</v>
      </c>
      <c r="C6">
        <v>2.2254604071283302</v>
      </c>
      <c r="D6">
        <v>2.7331746123106502</v>
      </c>
      <c r="E6">
        <f>VLOOKUP(B6,'v1'!B:D,3,0)</f>
        <v>2.2796873240873401</v>
      </c>
      <c r="G6" s="5" t="s">
        <v>7</v>
      </c>
      <c r="H6" s="2">
        <v>40634</v>
      </c>
      <c r="I6">
        <v>2.2371485608154602</v>
      </c>
      <c r="J6">
        <v>2.7497234624699098</v>
      </c>
      <c r="K6">
        <f>VLOOKUP(H6,'v1'!H:J,3,0)</f>
        <v>2.28908673839581</v>
      </c>
      <c r="M6" s="5" t="s">
        <v>7</v>
      </c>
      <c r="N6" s="2">
        <v>40634</v>
      </c>
      <c r="O6">
        <v>0.22696273637507999</v>
      </c>
      <c r="P6">
        <v>0.18148117138765399</v>
      </c>
      <c r="Q6">
        <f>VLOOKUP(N6,'v1'!M:O,3,0)</f>
        <v>0.11974372711490699</v>
      </c>
      <c r="S6" s="2" t="s">
        <v>7</v>
      </c>
      <c r="T6" s="2">
        <v>40634</v>
      </c>
      <c r="U6">
        <v>0.98139407993934602</v>
      </c>
      <c r="V6">
        <v>0.82704133309931005</v>
      </c>
      <c r="W6">
        <f>VLOOKUP(T6,'v1'!R:T,3,0)</f>
        <v>1.5496788385432401</v>
      </c>
      <c r="Y6" s="5" t="s">
        <v>7</v>
      </c>
      <c r="Z6" s="2">
        <v>41214</v>
      </c>
      <c r="AA6">
        <v>0.48694950416733301</v>
      </c>
      <c r="AB6">
        <v>0.16871335679333699</v>
      </c>
      <c r="AC6">
        <f>VLOOKUP(Z6,'v1'!W:Y,3,0)</f>
        <v>1.04063654227908</v>
      </c>
      <c r="AE6" t="s">
        <v>7</v>
      </c>
      <c r="AF6" s="2">
        <v>34516</v>
      </c>
      <c r="AG6">
        <v>0</v>
      </c>
      <c r="AH6" t="e">
        <f>VLOOKUP(AF6,LoanLevelHist!B:D,2,0)</f>
        <v>#N/A</v>
      </c>
      <c r="AI6" t="e">
        <f>VLOOKUP(AF6,LoanLevelHist!B:D,3,0)</f>
        <v>#N/A</v>
      </c>
      <c r="AJ6">
        <f>VLOOKUP(AF6,'v1'!AB:AD,3,0)</f>
        <v>0.24276857031987301</v>
      </c>
    </row>
    <row r="7" spans="1:36" x14ac:dyDescent="0.25">
      <c r="A7" s="2" t="s">
        <v>8</v>
      </c>
      <c r="B7" s="2">
        <v>40664</v>
      </c>
      <c r="C7">
        <v>2.1357740489281101</v>
      </c>
      <c r="D7">
        <v>2.2432498319857399</v>
      </c>
      <c r="E7">
        <f>VLOOKUP(B7,'v1'!B:D,3,0)</f>
        <v>2.2326216564850201</v>
      </c>
      <c r="G7" s="5" t="s">
        <v>8</v>
      </c>
      <c r="H7" s="2">
        <v>40664</v>
      </c>
      <c r="I7">
        <v>2.1435583911789799</v>
      </c>
      <c r="J7">
        <v>2.25788045049292</v>
      </c>
      <c r="K7">
        <f>VLOOKUP(H7,'v1'!H:J,3,0)</f>
        <v>2.2427194920072102</v>
      </c>
      <c r="M7" s="5" t="s">
        <v>8</v>
      </c>
      <c r="N7" s="2">
        <v>40664</v>
      </c>
      <c r="O7">
        <v>0.41511955536134298</v>
      </c>
      <c r="P7">
        <v>0.12099500605093901</v>
      </c>
      <c r="Q7">
        <f>VLOOKUP(N7,'v1'!M:O,3,0)</f>
        <v>0.108845324639306</v>
      </c>
      <c r="S7" s="2" t="s">
        <v>8</v>
      </c>
      <c r="T7" s="2">
        <v>40664</v>
      </c>
      <c r="U7">
        <v>1.7104170283264699</v>
      </c>
      <c r="V7">
        <v>0.85858716149077596</v>
      </c>
      <c r="W7">
        <f>VLOOKUP(T7,'v1'!R:T,3,0)</f>
        <v>1.62206798163878</v>
      </c>
      <c r="Y7" s="5" t="s">
        <v>8</v>
      </c>
      <c r="Z7" s="2">
        <v>41244</v>
      </c>
      <c r="AA7">
        <v>0.896753166175424</v>
      </c>
      <c r="AB7">
        <v>0.19412907710357799</v>
      </c>
      <c r="AC7">
        <f>VLOOKUP(Z7,'v1'!W:Y,3,0)</f>
        <v>1.22214430319036</v>
      </c>
      <c r="AE7" t="s">
        <v>8</v>
      </c>
      <c r="AF7" s="2">
        <v>34547</v>
      </c>
      <c r="AG7">
        <v>0</v>
      </c>
      <c r="AH7" t="e">
        <f>VLOOKUP(AF7,LoanLevelHist!B:D,2,0)</f>
        <v>#N/A</v>
      </c>
      <c r="AI7" t="e">
        <f>VLOOKUP(AF7,LoanLevelHist!B:D,3,0)</f>
        <v>#N/A</v>
      </c>
      <c r="AJ7">
        <f>VLOOKUP(AF7,'v1'!AB:AD,3,0)</f>
        <v>0.25454948752312601</v>
      </c>
    </row>
    <row r="8" spans="1:36" x14ac:dyDescent="0.25">
      <c r="A8" s="2" t="s">
        <v>9</v>
      </c>
      <c r="B8" s="2">
        <v>40695</v>
      </c>
      <c r="C8">
        <v>2.11345256186191</v>
      </c>
      <c r="D8">
        <v>2.28678769969456</v>
      </c>
      <c r="E8">
        <f>VLOOKUP(B8,'v1'!B:D,3,0)</f>
        <v>2.2338310275644999</v>
      </c>
      <c r="G8" s="5" t="s">
        <v>9</v>
      </c>
      <c r="H8" s="2">
        <v>40695</v>
      </c>
      <c r="I8">
        <v>2.1173279086885999</v>
      </c>
      <c r="J8">
        <v>2.3033898024909298</v>
      </c>
      <c r="K8">
        <f>VLOOKUP(H8,'v1'!H:J,3,0)</f>
        <v>2.2447436563705101</v>
      </c>
      <c r="M8" s="5" t="s">
        <v>9</v>
      </c>
      <c r="N8" s="2">
        <v>40695</v>
      </c>
      <c r="O8">
        <v>0.14997256081680199</v>
      </c>
      <c r="P8">
        <v>0.104743209752212</v>
      </c>
      <c r="Q8">
        <f>VLOOKUP(N8,'v1'!M:O,3,0)</f>
        <v>9.6631916170997201E-2</v>
      </c>
      <c r="S8" s="2" t="s">
        <v>9</v>
      </c>
      <c r="T8" s="2">
        <v>40695</v>
      </c>
      <c r="U8">
        <v>2.6223027922401498</v>
      </c>
      <c r="V8">
        <v>0.915672932049993</v>
      </c>
      <c r="W8">
        <f>VLOOKUP(T8,'v1'!R:T,3,0)</f>
        <v>1.73721220096742</v>
      </c>
      <c r="Y8" s="5" t="s">
        <v>9</v>
      </c>
      <c r="Z8" s="2">
        <v>41275</v>
      </c>
      <c r="AA8">
        <v>0.88997950079841004</v>
      </c>
      <c r="AB8">
        <v>0.27511906032863198</v>
      </c>
      <c r="AC8">
        <f>VLOOKUP(Z8,'v1'!W:Y,3,0)</f>
        <v>1.4605461559019</v>
      </c>
      <c r="AE8" t="s">
        <v>9</v>
      </c>
      <c r="AF8" s="2">
        <v>34578</v>
      </c>
      <c r="AG8">
        <v>0</v>
      </c>
      <c r="AH8" t="e">
        <f>VLOOKUP(AF8,LoanLevelHist!B:D,2,0)</f>
        <v>#N/A</v>
      </c>
      <c r="AI8" t="e">
        <f>VLOOKUP(AF8,LoanLevelHist!B:D,3,0)</f>
        <v>#N/A</v>
      </c>
      <c r="AJ8">
        <f>VLOOKUP(AF8,'v1'!AB:AD,3,0)</f>
        <v>0.26680184816917402</v>
      </c>
    </row>
    <row r="9" spans="1:36" x14ac:dyDescent="0.25">
      <c r="A9" s="2" t="s">
        <v>10</v>
      </c>
      <c r="B9" s="2">
        <v>40725</v>
      </c>
      <c r="C9">
        <v>2.07675597787004</v>
      </c>
      <c r="D9">
        <v>2.2332379867315999</v>
      </c>
      <c r="E9">
        <f>VLOOKUP(B9,'v1'!B:D,3,0)</f>
        <v>2.1894364394424399</v>
      </c>
      <c r="G9" s="5" t="s">
        <v>10</v>
      </c>
      <c r="H9" s="2">
        <v>40725</v>
      </c>
      <c r="I9">
        <v>2.0846663640417198</v>
      </c>
      <c r="J9">
        <v>2.25160743705396</v>
      </c>
      <c r="K9">
        <f>VLOOKUP(H9,'v1'!H:J,3,0)</f>
        <v>2.2009848931599398</v>
      </c>
      <c r="M9" s="5" t="s">
        <v>10</v>
      </c>
      <c r="N9" s="2">
        <v>40725</v>
      </c>
      <c r="O9">
        <v>0.29877672067334399</v>
      </c>
      <c r="P9">
        <v>0.103952509677296</v>
      </c>
      <c r="Q9">
        <f>VLOOKUP(N9,'v1'!M:O,3,0)</f>
        <v>8.9722980315620801E-2</v>
      </c>
      <c r="S9" s="2" t="s">
        <v>10</v>
      </c>
      <c r="T9" s="2">
        <v>40725</v>
      </c>
      <c r="U9">
        <v>2.0476761053838</v>
      </c>
      <c r="V9">
        <v>0.90520133083227305</v>
      </c>
      <c r="W9">
        <f>VLOOKUP(T9,'v1'!R:T,3,0)</f>
        <v>1.8343490487777701</v>
      </c>
      <c r="Y9" s="5" t="s">
        <v>10</v>
      </c>
      <c r="Z9" s="2">
        <v>41306</v>
      </c>
      <c r="AA9">
        <v>1.1800203781962399</v>
      </c>
      <c r="AB9">
        <v>0.39214764658756002</v>
      </c>
      <c r="AC9">
        <f>VLOOKUP(Z9,'v1'!W:Y,3,0)</f>
        <v>1.6776543096546701</v>
      </c>
      <c r="AE9" t="s">
        <v>10</v>
      </c>
      <c r="AF9" s="2">
        <v>34608</v>
      </c>
      <c r="AG9">
        <v>0</v>
      </c>
      <c r="AH9" t="e">
        <f>VLOOKUP(AF9,LoanLevelHist!B:D,2,0)</f>
        <v>#N/A</v>
      </c>
      <c r="AI9" t="e">
        <f>VLOOKUP(AF9,LoanLevelHist!B:D,3,0)</f>
        <v>#N/A</v>
      </c>
      <c r="AJ9">
        <f>VLOOKUP(AF9,'v1'!AB:AD,3,0)</f>
        <v>0.28058556066478102</v>
      </c>
    </row>
    <row r="10" spans="1:36" x14ac:dyDescent="0.25">
      <c r="A10" s="2" t="s">
        <v>11</v>
      </c>
      <c r="B10" s="2">
        <v>40756</v>
      </c>
      <c r="C10">
        <v>2.0678544608068501</v>
      </c>
      <c r="D10">
        <v>2.2390494016262901</v>
      </c>
      <c r="E10">
        <f>VLOOKUP(B10,'v1'!B:D,3,0)</f>
        <v>2.1524203787361502</v>
      </c>
      <c r="G10" s="5" t="s">
        <v>11</v>
      </c>
      <c r="H10" s="2">
        <v>40756</v>
      </c>
      <c r="I10">
        <v>2.0767136045586798</v>
      </c>
      <c r="J10">
        <v>2.25904085541596</v>
      </c>
      <c r="K10">
        <f>VLOOKUP(H10,'v1'!H:J,3,0)</f>
        <v>2.1637330684896598</v>
      </c>
      <c r="M10" s="5" t="s">
        <v>11</v>
      </c>
      <c r="N10" s="2">
        <v>40756</v>
      </c>
      <c r="O10">
        <v>0.133444045202158</v>
      </c>
      <c r="P10">
        <v>7.91779113231139E-2</v>
      </c>
      <c r="Q10">
        <f>VLOOKUP(N10,'v1'!M:O,3,0)</f>
        <v>8.9738570112940494E-2</v>
      </c>
      <c r="S10" s="2" t="s">
        <v>11</v>
      </c>
      <c r="T10" s="2">
        <v>40756</v>
      </c>
      <c r="U10">
        <v>2.1192492021183602</v>
      </c>
      <c r="V10">
        <v>0.92842975253375504</v>
      </c>
      <c r="W10">
        <f>VLOOKUP(T10,'v1'!R:T,3,0)</f>
        <v>1.9552516853697699</v>
      </c>
      <c r="Y10" s="5" t="s">
        <v>11</v>
      </c>
      <c r="Z10" s="2">
        <v>41334</v>
      </c>
      <c r="AA10">
        <v>1.25250120859004</v>
      </c>
      <c r="AB10">
        <v>0.43687480507996801</v>
      </c>
      <c r="AC10">
        <f>VLOOKUP(Z10,'v1'!W:Y,3,0)</f>
        <v>1.88972884685353</v>
      </c>
      <c r="AE10" t="s">
        <v>11</v>
      </c>
      <c r="AF10" s="2">
        <v>34639</v>
      </c>
      <c r="AG10">
        <v>0</v>
      </c>
      <c r="AH10" t="e">
        <f>VLOOKUP(AF10,LoanLevelHist!B:D,2,0)</f>
        <v>#N/A</v>
      </c>
      <c r="AI10" t="e">
        <f>VLOOKUP(AF10,LoanLevelHist!B:D,3,0)</f>
        <v>#N/A</v>
      </c>
      <c r="AJ10">
        <f>VLOOKUP(AF10,'v1'!AB:AD,3,0)</f>
        <v>0.29522473438354802</v>
      </c>
    </row>
    <row r="11" spans="1:36" x14ac:dyDescent="0.25">
      <c r="A11" s="1" t="s">
        <v>12</v>
      </c>
      <c r="B11" s="2">
        <v>40787</v>
      </c>
      <c r="C11">
        <v>2.1195306707545698</v>
      </c>
      <c r="D11">
        <v>2.3750610982818201</v>
      </c>
      <c r="E11">
        <f>VLOOKUP(B11,'v1'!B:D,3,0)</f>
        <v>2.1118378076024502</v>
      </c>
      <c r="G11" s="1" t="s">
        <v>12</v>
      </c>
      <c r="H11" s="2">
        <v>40787</v>
      </c>
      <c r="I11">
        <v>2.1306943676025099</v>
      </c>
      <c r="J11">
        <v>2.3968835354949598</v>
      </c>
      <c r="K11">
        <f>VLOOKUP(H11,'v1'!H:J,3,0)</f>
        <v>2.1226306861735398</v>
      </c>
      <c r="M11" s="1" t="s">
        <v>12</v>
      </c>
      <c r="N11" s="2">
        <v>40787</v>
      </c>
      <c r="O11">
        <v>0.194100471672876</v>
      </c>
      <c r="P11">
        <v>8.0473675943570896E-2</v>
      </c>
      <c r="Q11">
        <f>VLOOKUP(N11,'v1'!M:O,3,0)</f>
        <v>9.0452568030186004E-2</v>
      </c>
      <c r="S11" s="1" t="s">
        <v>12</v>
      </c>
      <c r="T11" s="2">
        <v>40787</v>
      </c>
      <c r="U11">
        <v>1.96830303110418</v>
      </c>
      <c r="V11">
        <v>1.1143113803643301</v>
      </c>
      <c r="W11">
        <f>VLOOKUP(T11,'v1'!R:T,3,0)</f>
        <v>2.0691216290555001</v>
      </c>
      <c r="Y11" s="1" t="s">
        <v>12</v>
      </c>
      <c r="Z11" s="2">
        <v>41365</v>
      </c>
      <c r="AA11">
        <v>1.14856878077</v>
      </c>
      <c r="AB11">
        <v>0.53783750625565596</v>
      </c>
      <c r="AC11">
        <f>VLOOKUP(Z11,'v1'!W:Y,3,0)</f>
        <v>2.0516141133667198</v>
      </c>
      <c r="AE11" t="s">
        <v>12</v>
      </c>
      <c r="AF11" s="2">
        <v>34669</v>
      </c>
      <c r="AG11">
        <v>0</v>
      </c>
      <c r="AH11" t="e">
        <f>VLOOKUP(AF11,LoanLevelHist!B:D,2,0)</f>
        <v>#N/A</v>
      </c>
      <c r="AI11" t="e">
        <f>VLOOKUP(AF11,LoanLevelHist!B:D,3,0)</f>
        <v>#N/A</v>
      </c>
      <c r="AJ11">
        <f>VLOOKUP(AF11,'v1'!AB:AD,3,0)</f>
        <v>0.31152860300082102</v>
      </c>
    </row>
    <row r="12" spans="1:36" x14ac:dyDescent="0.25">
      <c r="A12" s="1" t="s">
        <v>13</v>
      </c>
      <c r="B12" s="2">
        <v>40817</v>
      </c>
      <c r="C12">
        <v>2.1812705009670701</v>
      </c>
      <c r="D12">
        <v>2.2778317098293099</v>
      </c>
      <c r="E12">
        <f>VLOOKUP(B12,'v1'!B:D,3,0)</f>
        <v>2.1322872406214599</v>
      </c>
      <c r="G12" s="1" t="s">
        <v>13</v>
      </c>
      <c r="H12" s="2">
        <v>40817</v>
      </c>
      <c r="I12">
        <v>2.1940195616872402</v>
      </c>
      <c r="J12">
        <v>2.29923104404733</v>
      </c>
      <c r="K12">
        <f>VLOOKUP(H12,'v1'!H:J,3,0)</f>
        <v>2.1427485808462401</v>
      </c>
      <c r="M12" s="1" t="s">
        <v>13</v>
      </c>
      <c r="N12" s="2">
        <v>40817</v>
      </c>
      <c r="O12">
        <v>8.0194661707522194E-2</v>
      </c>
      <c r="P12">
        <v>6.29556698991562E-2</v>
      </c>
      <c r="Q12">
        <f>VLOOKUP(N12,'v1'!M:O,3,0)</f>
        <v>9.5590106753873402E-2</v>
      </c>
      <c r="S12" s="1" t="s">
        <v>13</v>
      </c>
      <c r="T12" s="2">
        <v>40817</v>
      </c>
      <c r="U12">
        <v>2.03232550983684</v>
      </c>
      <c r="V12">
        <v>1.18198152657447</v>
      </c>
      <c r="W12">
        <f>VLOOKUP(T12,'v1'!R:T,3,0)</f>
        <v>2.2106294780525499</v>
      </c>
      <c r="Y12" s="1" t="s">
        <v>13</v>
      </c>
      <c r="Z12" s="2">
        <v>41395</v>
      </c>
      <c r="AA12">
        <v>1.17273882688486</v>
      </c>
      <c r="AB12">
        <v>0.55973916459728401</v>
      </c>
      <c r="AC12">
        <f>VLOOKUP(Z12,'v1'!W:Y,3,0)</f>
        <v>2.2291296263364502</v>
      </c>
      <c r="AE12" t="s">
        <v>13</v>
      </c>
      <c r="AF12" s="2">
        <v>34700</v>
      </c>
      <c r="AG12">
        <v>0</v>
      </c>
      <c r="AH12" t="e">
        <f>VLOOKUP(AF12,LoanLevelHist!B:D,2,0)</f>
        <v>#N/A</v>
      </c>
      <c r="AI12" t="e">
        <f>VLOOKUP(AF12,LoanLevelHist!B:D,3,0)</f>
        <v>#N/A</v>
      </c>
      <c r="AJ12">
        <f>VLOOKUP(AF12,'v1'!AB:AD,3,0)</f>
        <v>0.32733926626770099</v>
      </c>
    </row>
    <row r="13" spans="1:36" x14ac:dyDescent="0.25">
      <c r="A13" s="1" t="s">
        <v>14</v>
      </c>
      <c r="B13" s="2">
        <v>40848</v>
      </c>
      <c r="C13">
        <v>2.2641556655418702</v>
      </c>
      <c r="D13">
        <v>2.28649404430596</v>
      </c>
      <c r="E13">
        <f>VLOOKUP(B13,'v1'!B:D,3,0)</f>
        <v>2.1564726317672802</v>
      </c>
      <c r="G13" s="1" t="s">
        <v>14</v>
      </c>
      <c r="H13" s="2">
        <v>40848</v>
      </c>
      <c r="I13">
        <v>2.2744067973422899</v>
      </c>
      <c r="J13">
        <v>2.3089494801334198</v>
      </c>
      <c r="K13">
        <f>VLOOKUP(H13,'v1'!H:J,3,0)</f>
        <v>2.1673749612537798</v>
      </c>
      <c r="M13" s="1" t="s">
        <v>14</v>
      </c>
      <c r="N13" s="2">
        <v>40848</v>
      </c>
      <c r="O13">
        <v>0</v>
      </c>
      <c r="P13">
        <v>5.1645097859587298E-2</v>
      </c>
      <c r="Q13">
        <f>VLOOKUP(N13,'v1'!M:O,3,0)</f>
        <v>9.3902771736376095E-2</v>
      </c>
      <c r="S13" s="1" t="s">
        <v>14</v>
      </c>
      <c r="T13" s="2">
        <v>40848</v>
      </c>
      <c r="U13">
        <v>2.7040705424370901</v>
      </c>
      <c r="V13">
        <v>1.3576979025893701</v>
      </c>
      <c r="W13">
        <f>VLOOKUP(T13,'v1'!R:T,3,0)</f>
        <v>2.3867471627207002</v>
      </c>
      <c r="Y13" s="1" t="s">
        <v>14</v>
      </c>
      <c r="Z13" s="2">
        <v>41426</v>
      </c>
      <c r="AA13">
        <v>1.37035279794625</v>
      </c>
      <c r="AB13">
        <v>0.61222247878254299</v>
      </c>
      <c r="AC13">
        <f>VLOOKUP(Z13,'v1'!W:Y,3,0)</f>
        <v>2.4255926601609099</v>
      </c>
      <c r="AE13" t="s">
        <v>14</v>
      </c>
      <c r="AF13" s="2">
        <v>34731</v>
      </c>
      <c r="AG13">
        <v>0</v>
      </c>
      <c r="AH13" t="e">
        <f>VLOOKUP(AF13,LoanLevelHist!B:D,2,0)</f>
        <v>#N/A</v>
      </c>
      <c r="AI13" t="e">
        <f>VLOOKUP(AF13,LoanLevelHist!B:D,3,0)</f>
        <v>#N/A</v>
      </c>
      <c r="AJ13">
        <f>VLOOKUP(AF13,'v1'!AB:AD,3,0)</f>
        <v>0.34256250381756698</v>
      </c>
    </row>
    <row r="14" spans="1:36" x14ac:dyDescent="0.25">
      <c r="A14" s="1" t="s">
        <v>15</v>
      </c>
      <c r="B14" s="2">
        <v>40878</v>
      </c>
      <c r="C14">
        <v>2.3807444954646</v>
      </c>
      <c r="D14">
        <v>2.31377897433183</v>
      </c>
      <c r="E14">
        <f>VLOOKUP(B14,'v1'!B:D,3,0)</f>
        <v>2.1827696252802098</v>
      </c>
      <c r="G14" s="1" t="s">
        <v>15</v>
      </c>
      <c r="H14" s="2">
        <v>40878</v>
      </c>
      <c r="I14">
        <v>2.3940326090877502</v>
      </c>
      <c r="J14">
        <v>2.33806590278685</v>
      </c>
      <c r="K14">
        <f>VLOOKUP(H14,'v1'!H:J,3,0)</f>
        <v>2.1939264221258901</v>
      </c>
      <c r="M14" s="1" t="s">
        <v>15</v>
      </c>
      <c r="N14" s="2">
        <v>40878</v>
      </c>
      <c r="O14">
        <v>0.223132839979645</v>
      </c>
      <c r="P14">
        <v>6.4478630275333099E-2</v>
      </c>
      <c r="Q14">
        <f>VLOOKUP(N14,'v1'!M:O,3,0)</f>
        <v>9.5957643255151201E-2</v>
      </c>
      <c r="S14" s="1" t="s">
        <v>15</v>
      </c>
      <c r="T14" s="2">
        <v>40878</v>
      </c>
      <c r="U14">
        <v>2.5757107416823102</v>
      </c>
      <c r="V14">
        <v>1.43486642624998</v>
      </c>
      <c r="W14">
        <f>VLOOKUP(T14,'v1'!R:T,3,0)</f>
        <v>2.5465637023453498</v>
      </c>
      <c r="Y14" s="1" t="s">
        <v>15</v>
      </c>
      <c r="Z14" s="2">
        <v>41456</v>
      </c>
      <c r="AA14">
        <v>1.385849365856</v>
      </c>
      <c r="AB14">
        <v>0.66433992473098302</v>
      </c>
      <c r="AC14">
        <f>VLOOKUP(Z14,'v1'!W:Y,3,0)</f>
        <v>2.6571551597413201</v>
      </c>
      <c r="AE14" t="s">
        <v>15</v>
      </c>
      <c r="AF14" s="2">
        <v>34759</v>
      </c>
      <c r="AG14">
        <v>0</v>
      </c>
      <c r="AH14" t="e">
        <f>VLOOKUP(AF14,LoanLevelHist!B:D,2,0)</f>
        <v>#N/A</v>
      </c>
      <c r="AI14" t="e">
        <f>VLOOKUP(AF14,LoanLevelHist!B:D,3,0)</f>
        <v>#N/A</v>
      </c>
      <c r="AJ14">
        <f>VLOOKUP(AF14,'v1'!AB:AD,3,0)</f>
        <v>0.35751292473867902</v>
      </c>
    </row>
    <row r="15" spans="1:36" x14ac:dyDescent="0.25">
      <c r="A15" s="1" t="s">
        <v>16</v>
      </c>
      <c r="B15" s="2">
        <v>40909</v>
      </c>
      <c r="C15">
        <v>2.34543412817301</v>
      </c>
      <c r="D15">
        <v>2.4033748884670598</v>
      </c>
      <c r="E15">
        <f>VLOOKUP(B15,'v1'!B:D,3,0)</f>
        <v>2.1837567975769399</v>
      </c>
      <c r="G15" s="1" t="s">
        <v>16</v>
      </c>
      <c r="H15" s="2">
        <v>40909</v>
      </c>
      <c r="I15">
        <v>2.3577087559015699</v>
      </c>
      <c r="J15">
        <v>2.4286566360744999</v>
      </c>
      <c r="K15">
        <f>VLOOKUP(H15,'v1'!H:J,3,0)</f>
        <v>2.1935650400789801</v>
      </c>
      <c r="M15" s="1" t="s">
        <v>16</v>
      </c>
      <c r="N15" s="2">
        <v>40909</v>
      </c>
      <c r="O15">
        <v>0</v>
      </c>
      <c r="P15">
        <v>5.2117259461081901E-2</v>
      </c>
      <c r="Q15">
        <f>VLOOKUP(N15,'v1'!M:O,3,0)</f>
        <v>9.9950684057104097E-2</v>
      </c>
      <c r="S15" s="1" t="s">
        <v>16</v>
      </c>
      <c r="T15" s="2">
        <v>40909</v>
      </c>
      <c r="U15">
        <v>2.8767326354994101</v>
      </c>
      <c r="V15">
        <v>1.63554295998939</v>
      </c>
      <c r="W15">
        <f>VLOOKUP(T15,'v1'!R:T,3,0)</f>
        <v>2.7671094723547598</v>
      </c>
      <c r="Y15" s="1" t="s">
        <v>16</v>
      </c>
      <c r="Z15" s="2">
        <v>41487</v>
      </c>
      <c r="AA15">
        <v>1.5656034625891799</v>
      </c>
      <c r="AB15">
        <v>0.82432043262157295</v>
      </c>
      <c r="AC15">
        <f>VLOOKUP(Z15,'v1'!W:Y,3,0)</f>
        <v>2.9053869653259299</v>
      </c>
      <c r="AE15" t="s">
        <v>16</v>
      </c>
      <c r="AF15" s="2">
        <v>34790</v>
      </c>
      <c r="AG15">
        <v>0</v>
      </c>
      <c r="AH15" t="e">
        <f>VLOOKUP(AF15,LoanLevelHist!B:D,2,0)</f>
        <v>#N/A</v>
      </c>
      <c r="AI15" t="e">
        <f>VLOOKUP(AF15,LoanLevelHist!B:D,3,0)</f>
        <v>#N/A</v>
      </c>
      <c r="AJ15">
        <f>VLOOKUP(AF15,'v1'!AB:AD,3,0)</f>
        <v>0.36987972822457599</v>
      </c>
    </row>
    <row r="16" spans="1:36" x14ac:dyDescent="0.25">
      <c r="A16" s="1" t="s">
        <v>17</v>
      </c>
      <c r="B16" s="2">
        <v>40940</v>
      </c>
      <c r="C16">
        <v>2.29688725514433</v>
      </c>
      <c r="D16">
        <v>2.34374840201547</v>
      </c>
      <c r="E16">
        <f>VLOOKUP(B16,'v1'!B:D,3,0)</f>
        <v>2.16543213256492</v>
      </c>
      <c r="G16" s="1" t="s">
        <v>17</v>
      </c>
      <c r="H16" s="2">
        <v>40940</v>
      </c>
      <c r="I16">
        <v>2.3118167644729302</v>
      </c>
      <c r="J16">
        <v>2.3715400447479</v>
      </c>
      <c r="K16">
        <f>VLOOKUP(H16,'v1'!H:J,3,0)</f>
        <v>2.1758004327617702</v>
      </c>
      <c r="M16" s="1" t="s">
        <v>17</v>
      </c>
      <c r="N16" s="2">
        <v>40940</v>
      </c>
      <c r="O16">
        <v>8.81532759084869E-2</v>
      </c>
      <c r="P16">
        <v>5.0966160306109599E-2</v>
      </c>
      <c r="Q16">
        <f>VLOOKUP(N16,'v1'!M:O,3,0)</f>
        <v>9.90340112922872E-2</v>
      </c>
      <c r="S16" s="1" t="s">
        <v>17</v>
      </c>
      <c r="T16" s="2">
        <v>40940</v>
      </c>
      <c r="U16">
        <v>2.6239781294933899</v>
      </c>
      <c r="V16">
        <v>1.56043367151637</v>
      </c>
      <c r="W16">
        <f>VLOOKUP(T16,'v1'!R:T,3,0)</f>
        <v>2.7988908582282201</v>
      </c>
      <c r="Y16" s="1" t="s">
        <v>17</v>
      </c>
      <c r="Z16" s="2">
        <v>41518</v>
      </c>
      <c r="AA16">
        <v>1.71359280558779</v>
      </c>
      <c r="AB16">
        <v>0.79687116582483097</v>
      </c>
      <c r="AC16">
        <f>VLOOKUP(Z16,'v1'!W:Y,3,0)</f>
        <v>3.1767160413380902</v>
      </c>
      <c r="AE16" t="s">
        <v>17</v>
      </c>
      <c r="AF16" s="2">
        <v>34820</v>
      </c>
      <c r="AG16">
        <v>0</v>
      </c>
      <c r="AH16" t="e">
        <f>VLOOKUP(AF16,LoanLevelHist!B:D,2,0)</f>
        <v>#N/A</v>
      </c>
      <c r="AI16" t="e">
        <f>VLOOKUP(AF16,LoanLevelHist!B:D,3,0)</f>
        <v>#N/A</v>
      </c>
      <c r="AJ16">
        <f>VLOOKUP(AF16,'v1'!AB:AD,3,0)</f>
        <v>0.38112349406211898</v>
      </c>
    </row>
    <row r="17" spans="1:36" x14ac:dyDescent="0.25">
      <c r="A17" s="1" t="s">
        <v>18</v>
      </c>
      <c r="B17" s="2">
        <v>40969</v>
      </c>
      <c r="C17">
        <v>2.1829314480471198</v>
      </c>
      <c r="D17">
        <v>2.20385112055361</v>
      </c>
      <c r="E17">
        <f>VLOOKUP(B17,'v1'!B:D,3,0)</f>
        <v>2.1362323440895099</v>
      </c>
      <c r="G17" s="1" t="s">
        <v>18</v>
      </c>
      <c r="H17" s="2">
        <v>40969</v>
      </c>
      <c r="I17">
        <v>2.1955605382016499</v>
      </c>
      <c r="J17">
        <v>2.2309917866404998</v>
      </c>
      <c r="K17">
        <f>VLOOKUP(H17,'v1'!H:J,3,0)</f>
        <v>2.14567293926611</v>
      </c>
      <c r="M17" s="1" t="s">
        <v>18</v>
      </c>
      <c r="N17" s="2">
        <v>40969</v>
      </c>
      <c r="O17">
        <v>6.7306004729239505E-2</v>
      </c>
      <c r="P17">
        <v>5.7313494650079698E-2</v>
      </c>
      <c r="Q17">
        <f>VLOOKUP(N17,'v1'!M:O,3,0)</f>
        <v>0.101251170493455</v>
      </c>
      <c r="S17" s="1" t="s">
        <v>18</v>
      </c>
      <c r="T17" s="2">
        <v>40969</v>
      </c>
      <c r="U17">
        <v>2.72826900176414</v>
      </c>
      <c r="V17">
        <v>1.5341233351763299</v>
      </c>
      <c r="W17">
        <f>VLOOKUP(T17,'v1'!R:T,3,0)</f>
        <v>2.8909361434240499</v>
      </c>
      <c r="Y17" s="1" t="s">
        <v>18</v>
      </c>
      <c r="Z17" s="2">
        <v>41548</v>
      </c>
      <c r="AA17">
        <v>1.27631420091268</v>
      </c>
      <c r="AB17">
        <v>0.81486378647733804</v>
      </c>
      <c r="AC17">
        <f>VLOOKUP(Z17,'v1'!W:Y,3,0)</f>
        <v>3.4896385002127799</v>
      </c>
      <c r="AE17" t="s">
        <v>18</v>
      </c>
      <c r="AF17" s="2">
        <v>34851</v>
      </c>
      <c r="AG17">
        <v>0</v>
      </c>
      <c r="AH17" t="e">
        <f>VLOOKUP(AF17,LoanLevelHist!B:D,2,0)</f>
        <v>#N/A</v>
      </c>
      <c r="AI17" t="e">
        <f>VLOOKUP(AF17,LoanLevelHist!B:D,3,0)</f>
        <v>#N/A</v>
      </c>
      <c r="AJ17">
        <f>VLOOKUP(AF17,'v1'!AB:AD,3,0)</f>
        <v>0.39217098824189101</v>
      </c>
    </row>
    <row r="18" spans="1:36" x14ac:dyDescent="0.25">
      <c r="A18" s="1" t="s">
        <v>19</v>
      </c>
      <c r="B18" s="2">
        <v>41000</v>
      </c>
      <c r="C18">
        <v>1.94856513902093</v>
      </c>
      <c r="D18">
        <v>2.0357091287487998</v>
      </c>
      <c r="E18">
        <f>VLOOKUP(B18,'v1'!B:D,3,0)</f>
        <v>1.98241370458213</v>
      </c>
      <c r="G18" s="1" t="s">
        <v>19</v>
      </c>
      <c r="H18" s="2">
        <v>41000</v>
      </c>
      <c r="I18">
        <v>1.96565477333005</v>
      </c>
      <c r="J18">
        <v>2.0634418176769498</v>
      </c>
      <c r="K18">
        <f>VLOOKUP(H18,'v1'!H:J,3,0)</f>
        <v>1.9919274073748501</v>
      </c>
      <c r="M18" s="1" t="s">
        <v>19</v>
      </c>
      <c r="N18" s="2">
        <v>41000</v>
      </c>
      <c r="O18">
        <v>0.170830333984473</v>
      </c>
      <c r="P18">
        <v>6.8524144125858805E-2</v>
      </c>
      <c r="Q18">
        <f>VLOOKUP(N18,'v1'!M:O,3,0)</f>
        <v>9.4302390074663095E-2</v>
      </c>
      <c r="S18" s="1" t="s">
        <v>19</v>
      </c>
      <c r="T18" s="2">
        <v>41000</v>
      </c>
      <c r="U18">
        <v>2.0030860941525499</v>
      </c>
      <c r="V18">
        <v>1.43404495514478</v>
      </c>
      <c r="W18">
        <f>VLOOKUP(T18,'v1'!R:T,3,0)</f>
        <v>2.6824536648977402</v>
      </c>
      <c r="Y18" s="1" t="s">
        <v>19</v>
      </c>
      <c r="Z18" s="2">
        <v>41579</v>
      </c>
      <c r="AA18">
        <v>1.4239629615945499</v>
      </c>
      <c r="AB18">
        <v>0.99230048161534901</v>
      </c>
      <c r="AC18">
        <f>VLOOKUP(Z18,'v1'!W:Y,3,0)</f>
        <v>3.83302714288196</v>
      </c>
      <c r="AE18" t="s">
        <v>19</v>
      </c>
      <c r="AF18" s="2">
        <v>34881</v>
      </c>
      <c r="AG18">
        <v>0</v>
      </c>
      <c r="AH18" t="e">
        <f>VLOOKUP(AF18,LoanLevelHist!B:D,2,0)</f>
        <v>#N/A</v>
      </c>
      <c r="AI18" t="e">
        <f>VLOOKUP(AF18,LoanLevelHist!B:D,3,0)</f>
        <v>#N/A</v>
      </c>
      <c r="AJ18">
        <f>VLOOKUP(AF18,'v1'!AB:AD,3,0)</f>
        <v>0.402333776121644</v>
      </c>
    </row>
    <row r="19" spans="1:36" x14ac:dyDescent="0.25">
      <c r="A19" s="1" t="s">
        <v>20</v>
      </c>
      <c r="B19" s="2">
        <v>41030</v>
      </c>
      <c r="C19">
        <v>1.8639765395774599</v>
      </c>
      <c r="D19">
        <v>1.7758250780233999</v>
      </c>
      <c r="E19">
        <f>VLOOKUP(B19,'v1'!B:D,3,0)</f>
        <v>1.83919853469801</v>
      </c>
      <c r="G19" s="1" t="s">
        <v>20</v>
      </c>
      <c r="H19" s="2">
        <v>41030</v>
      </c>
      <c r="I19">
        <v>1.8745477727752</v>
      </c>
      <c r="J19">
        <v>1.79972753736094</v>
      </c>
      <c r="K19">
        <f>VLOOKUP(H19,'v1'!H:J,3,0)</f>
        <v>1.8466463021021</v>
      </c>
      <c r="M19" s="1" t="s">
        <v>20</v>
      </c>
      <c r="N19" s="2">
        <v>41030</v>
      </c>
      <c r="O19">
        <v>4.7257976221814997E-2</v>
      </c>
      <c r="P19">
        <v>5.2503674831616602E-2</v>
      </c>
      <c r="Q19">
        <f>VLOOKUP(N19,'v1'!M:O,3,0)</f>
        <v>9.4347495530078304E-2</v>
      </c>
      <c r="S19" s="1" t="s">
        <v>20</v>
      </c>
      <c r="T19" s="2">
        <v>41030</v>
      </c>
      <c r="U19">
        <v>2.4424986805369602</v>
      </c>
      <c r="V19">
        <v>1.3816440903652301</v>
      </c>
      <c r="W19">
        <f>VLOOKUP(T19,'v1'!R:T,3,0)</f>
        <v>2.5782942771635202</v>
      </c>
      <c r="Y19" s="1" t="s">
        <v>20</v>
      </c>
      <c r="Z19" s="2">
        <v>41609</v>
      </c>
      <c r="AA19">
        <v>1.79282550984931</v>
      </c>
      <c r="AB19">
        <v>1.09109604130326</v>
      </c>
      <c r="AC19">
        <f>VLOOKUP(Z19,'v1'!W:Y,3,0)</f>
        <v>4.1891163687453199</v>
      </c>
      <c r="AE19" t="s">
        <v>20</v>
      </c>
      <c r="AF19" s="2">
        <v>34912</v>
      </c>
      <c r="AG19">
        <v>0</v>
      </c>
      <c r="AH19" t="e">
        <f>VLOOKUP(AF19,LoanLevelHist!B:D,2,0)</f>
        <v>#N/A</v>
      </c>
      <c r="AI19" t="e">
        <f>VLOOKUP(AF19,LoanLevelHist!B:D,3,0)</f>
        <v>#N/A</v>
      </c>
      <c r="AJ19">
        <f>VLOOKUP(AF19,'v1'!AB:AD,3,0)</f>
        <v>0.41326866188370298</v>
      </c>
    </row>
    <row r="20" spans="1:36" x14ac:dyDescent="0.25">
      <c r="A20" s="1" t="s">
        <v>21</v>
      </c>
      <c r="B20" s="2">
        <v>41061</v>
      </c>
      <c r="C20">
        <v>1.8591084721441999</v>
      </c>
      <c r="D20">
        <v>1.7259006706973401</v>
      </c>
      <c r="E20">
        <f>VLOOKUP(B20,'v1'!B:D,3,0)</f>
        <v>1.7138727020357101</v>
      </c>
      <c r="G20" s="1" t="s">
        <v>21</v>
      </c>
      <c r="H20" s="2">
        <v>41061</v>
      </c>
      <c r="I20">
        <v>1.8690522527376101</v>
      </c>
      <c r="J20">
        <v>1.7509903007873</v>
      </c>
      <c r="K20">
        <f>VLOOKUP(H20,'v1'!H:J,3,0)</f>
        <v>1.7194732417196901</v>
      </c>
      <c r="M20" s="1" t="s">
        <v>21</v>
      </c>
      <c r="N20" s="2">
        <v>41061</v>
      </c>
      <c r="O20">
        <v>5.2325381652229601E-2</v>
      </c>
      <c r="P20">
        <v>5.2732932577037601E-2</v>
      </c>
      <c r="Q20">
        <f>VLOOKUP(N20,'v1'!M:O,3,0)</f>
        <v>9.2837492807928995E-2</v>
      </c>
      <c r="S20" s="1" t="s">
        <v>21</v>
      </c>
      <c r="T20" s="2">
        <v>41061</v>
      </c>
      <c r="U20">
        <v>2.4929084668971702</v>
      </c>
      <c r="V20">
        <v>1.32255831632089</v>
      </c>
      <c r="W20">
        <f>VLOOKUP(T20,'v1'!R:T,3,0)</f>
        <v>2.4897810611972799</v>
      </c>
      <c r="Y20" s="1" t="s">
        <v>21</v>
      </c>
      <c r="Z20" s="2">
        <v>41640</v>
      </c>
      <c r="AA20">
        <v>1.7805170645210999</v>
      </c>
      <c r="AB20">
        <v>1.21171549176997</v>
      </c>
      <c r="AC20">
        <f>VLOOKUP(Z20,'v1'!W:Y,3,0)</f>
        <v>4.5482944005324804</v>
      </c>
      <c r="AE20" t="s">
        <v>21</v>
      </c>
      <c r="AF20" s="2">
        <v>34943</v>
      </c>
      <c r="AG20">
        <v>0</v>
      </c>
      <c r="AH20" t="e">
        <f>VLOOKUP(AF20,LoanLevelHist!B:D,2,0)</f>
        <v>#N/A</v>
      </c>
      <c r="AI20" t="e">
        <f>VLOOKUP(AF20,LoanLevelHist!B:D,3,0)</f>
        <v>#N/A</v>
      </c>
      <c r="AJ20">
        <f>VLOOKUP(AF20,'v1'!AB:AD,3,0)</f>
        <v>0.42059816735079403</v>
      </c>
    </row>
    <row r="21" spans="1:36" x14ac:dyDescent="0.25">
      <c r="A21" s="1" t="s">
        <v>22</v>
      </c>
      <c r="B21" s="2">
        <v>41091</v>
      </c>
      <c r="C21">
        <v>1.7550053464528099</v>
      </c>
      <c r="D21">
        <v>1.65995719152966</v>
      </c>
      <c r="E21">
        <f>VLOOKUP(B21,'v1'!B:D,3,0)</f>
        <v>1.6314673322353701</v>
      </c>
      <c r="G21" s="1" t="s">
        <v>22</v>
      </c>
      <c r="H21" s="2">
        <v>41091</v>
      </c>
      <c r="I21">
        <v>1.7835008421335901</v>
      </c>
      <c r="J21">
        <v>1.6978362490357199</v>
      </c>
      <c r="K21">
        <f>VLOOKUP(H21,'v1'!H:J,3,0)</f>
        <v>1.6450476970238199</v>
      </c>
      <c r="M21" s="1" t="s">
        <v>22</v>
      </c>
      <c r="N21" s="2">
        <v>41091</v>
      </c>
      <c r="O21">
        <v>0</v>
      </c>
      <c r="P21">
        <v>4.6198352173865101E-2</v>
      </c>
      <c r="Q21">
        <f>VLOOKUP(N21,'v1'!M:O,3,0)</f>
        <v>9.4580035658675704E-2</v>
      </c>
      <c r="S21" s="1" t="s">
        <v>22</v>
      </c>
      <c r="T21" s="2">
        <v>41091</v>
      </c>
      <c r="U21">
        <v>1.9543691302675601</v>
      </c>
      <c r="V21">
        <v>1.22105247120795</v>
      </c>
      <c r="W21">
        <f>VLOOKUP(T21,'v1'!R:T,3,0)</f>
        <v>2.3546159949986998</v>
      </c>
      <c r="Y21" s="1" t="s">
        <v>22</v>
      </c>
      <c r="Z21" s="2">
        <v>41671</v>
      </c>
      <c r="AA21">
        <v>1.8107922145289399</v>
      </c>
      <c r="AB21">
        <v>1.2277187982088</v>
      </c>
      <c r="AC21">
        <f>VLOOKUP(Z21,'v1'!W:Y,3,0)</f>
        <v>4.9055050125501198</v>
      </c>
      <c r="AE21" t="s">
        <v>22</v>
      </c>
      <c r="AF21" s="2">
        <v>34973</v>
      </c>
      <c r="AG21">
        <v>0</v>
      </c>
      <c r="AH21" t="e">
        <f>VLOOKUP(AF21,LoanLevelHist!B:D,2,0)</f>
        <v>#N/A</v>
      </c>
      <c r="AI21" t="e">
        <f>VLOOKUP(AF21,LoanLevelHist!B:D,3,0)</f>
        <v>#N/A</v>
      </c>
      <c r="AJ21">
        <f>VLOOKUP(AF21,'v1'!AB:AD,3,0)</f>
        <v>0.42405550816460003</v>
      </c>
    </row>
    <row r="22" spans="1:36" x14ac:dyDescent="0.25">
      <c r="A22" s="1" t="s">
        <v>23</v>
      </c>
      <c r="B22" s="2">
        <v>41122</v>
      </c>
      <c r="C22">
        <v>1.7646720437213701</v>
      </c>
      <c r="D22">
        <v>1.74466799758348</v>
      </c>
      <c r="E22">
        <f>VLOOKUP(B22,'v1'!B:D,3,0)</f>
        <v>1.5792915841962401</v>
      </c>
      <c r="G22" s="1" t="s">
        <v>23</v>
      </c>
      <c r="H22" s="2">
        <v>41122</v>
      </c>
      <c r="I22">
        <v>1.7985188793426401</v>
      </c>
      <c r="J22">
        <v>1.78862853963738</v>
      </c>
      <c r="K22">
        <f>VLOOKUP(H22,'v1'!H:J,3,0)</f>
        <v>1.5925515036783999</v>
      </c>
      <c r="M22" s="1" t="s">
        <v>23</v>
      </c>
      <c r="N22" s="2">
        <v>41122</v>
      </c>
      <c r="O22">
        <v>0</v>
      </c>
      <c r="P22">
        <v>6.7982234848107406E-2</v>
      </c>
      <c r="Q22">
        <f>VLOOKUP(N22,'v1'!M:O,3,0)</f>
        <v>9.8377661156301394E-2</v>
      </c>
      <c r="S22" s="1" t="s">
        <v>23</v>
      </c>
      <c r="T22" s="2">
        <v>41122</v>
      </c>
      <c r="U22">
        <v>1.9184626625608301</v>
      </c>
      <c r="V22">
        <v>1.32768485646407</v>
      </c>
      <c r="W22">
        <f>VLOOKUP(T22,'v1'!R:T,3,0)</f>
        <v>2.2990995502616398</v>
      </c>
      <c r="Y22" s="1" t="s">
        <v>23</v>
      </c>
      <c r="Z22" s="2">
        <v>41699</v>
      </c>
      <c r="AA22">
        <v>1.6640735563037501</v>
      </c>
      <c r="AB22">
        <v>1.2513637290449999</v>
      </c>
      <c r="AC22">
        <f>VLOOKUP(Z22,'v1'!W:Y,3,0)</f>
        <v>5.2660435410925404</v>
      </c>
      <c r="AE22" t="s">
        <v>23</v>
      </c>
      <c r="AF22" s="2">
        <v>35004</v>
      </c>
      <c r="AG22">
        <v>0</v>
      </c>
      <c r="AH22" t="e">
        <f>VLOOKUP(AF22,LoanLevelHist!B:D,2,0)</f>
        <v>#N/A</v>
      </c>
      <c r="AI22" t="e">
        <f>VLOOKUP(AF22,LoanLevelHist!B:D,3,0)</f>
        <v>#N/A</v>
      </c>
      <c r="AJ22">
        <f>VLOOKUP(AF22,'v1'!AB:AD,3,0)</f>
        <v>0.42725290479493899</v>
      </c>
    </row>
    <row r="23" spans="1:36" x14ac:dyDescent="0.25">
      <c r="A23" s="1" t="s">
        <v>24</v>
      </c>
      <c r="B23" s="2">
        <v>41153</v>
      </c>
      <c r="C23">
        <v>1.7156623103770099</v>
      </c>
      <c r="D23">
        <v>1.66967335835405</v>
      </c>
      <c r="E23">
        <f>VLOOKUP(B23,'v1'!B:D,3,0)</f>
        <v>1.5261493949456399</v>
      </c>
      <c r="G23" s="1" t="s">
        <v>24</v>
      </c>
      <c r="H23" s="2">
        <v>41153</v>
      </c>
      <c r="I23">
        <v>1.74821136020108</v>
      </c>
      <c r="J23">
        <v>1.7145513210821</v>
      </c>
      <c r="K23">
        <f>VLOOKUP(H23,'v1'!H:J,3,0)</f>
        <v>1.53706669277068</v>
      </c>
      <c r="M23" s="1" t="s">
        <v>24</v>
      </c>
      <c r="N23" s="2">
        <v>41153</v>
      </c>
      <c r="O23">
        <v>0.20550623794862699</v>
      </c>
      <c r="P23">
        <v>6.4590249685470003E-2</v>
      </c>
      <c r="Q23">
        <f>VLOOKUP(N23,'v1'!M:O,3,0)</f>
        <v>0.101647757179213</v>
      </c>
      <c r="S23" s="1" t="s">
        <v>24</v>
      </c>
      <c r="T23" s="2">
        <v>41153</v>
      </c>
      <c r="U23">
        <v>1.9430073958995</v>
      </c>
      <c r="V23">
        <v>1.35006176330649</v>
      </c>
      <c r="W23">
        <f>VLOOKUP(T23,'v1'!R:T,3,0)</f>
        <v>2.2771531138754502</v>
      </c>
      <c r="Y23" s="1" t="s">
        <v>24</v>
      </c>
      <c r="Z23" s="2">
        <v>41730</v>
      </c>
      <c r="AA23">
        <v>1.53863323571349</v>
      </c>
      <c r="AB23">
        <v>1.36689981296569</v>
      </c>
      <c r="AC23">
        <f>VLOOKUP(Z23,'v1'!W:Y,3,0)</f>
        <v>5.5551069313287798</v>
      </c>
      <c r="AE23" t="s">
        <v>24</v>
      </c>
      <c r="AF23" s="2">
        <v>35034</v>
      </c>
      <c r="AG23">
        <v>0</v>
      </c>
      <c r="AH23" t="e">
        <f>VLOOKUP(AF23,LoanLevelHist!B:D,2,0)</f>
        <v>#N/A</v>
      </c>
      <c r="AI23" t="e">
        <f>VLOOKUP(AF23,LoanLevelHist!B:D,3,0)</f>
        <v>#N/A</v>
      </c>
      <c r="AJ23">
        <f>VLOOKUP(AF23,'v1'!AB:AD,3,0)</f>
        <v>0.43471287659871999</v>
      </c>
    </row>
    <row r="24" spans="1:36" x14ac:dyDescent="0.25">
      <c r="A24" s="1" t="s">
        <v>25</v>
      </c>
      <c r="B24" s="2">
        <v>41183</v>
      </c>
      <c r="C24">
        <v>1.75821611978022</v>
      </c>
      <c r="D24">
        <v>1.60066787393999</v>
      </c>
      <c r="E24">
        <f>VLOOKUP(B24,'v1'!B:D,3,0)</f>
        <v>1.4993799989015799</v>
      </c>
      <c r="G24" s="1" t="s">
        <v>25</v>
      </c>
      <c r="H24" s="2">
        <v>41183</v>
      </c>
      <c r="I24">
        <v>1.7948698080729599</v>
      </c>
      <c r="J24">
        <v>1.6481707357001401</v>
      </c>
      <c r="K24">
        <f>VLOOKUP(H24,'v1'!H:J,3,0)</f>
        <v>1.5077676565211</v>
      </c>
      <c r="M24" s="1" t="s">
        <v>25</v>
      </c>
      <c r="N24" s="2">
        <v>41183</v>
      </c>
      <c r="O24">
        <v>4.6313058751501497E-2</v>
      </c>
      <c r="P24">
        <v>4.8182829454812601E-2</v>
      </c>
      <c r="Q24">
        <f>VLOOKUP(N24,'v1'!M:O,3,0)</f>
        <v>0.100211456198052</v>
      </c>
      <c r="S24" s="1" t="s">
        <v>25</v>
      </c>
      <c r="T24" s="2">
        <v>41183</v>
      </c>
      <c r="U24">
        <v>1.7836834859380699</v>
      </c>
      <c r="V24">
        <v>1.3012092824519801</v>
      </c>
      <c r="W24">
        <f>VLOOKUP(T24,'v1'!R:T,3,0)</f>
        <v>2.2980207323257802</v>
      </c>
      <c r="Y24" s="1" t="s">
        <v>25</v>
      </c>
      <c r="Z24" s="2">
        <v>41760</v>
      </c>
      <c r="AA24">
        <v>1.5313773380033</v>
      </c>
      <c r="AB24">
        <v>1.2148080351528101</v>
      </c>
      <c r="AC24">
        <f>VLOOKUP(Z24,'v1'!W:Y,3,0)</f>
        <v>5.8426500580849599</v>
      </c>
      <c r="AE24" t="s">
        <v>25</v>
      </c>
      <c r="AF24" s="2">
        <v>35065</v>
      </c>
      <c r="AG24">
        <v>0</v>
      </c>
      <c r="AH24" t="e">
        <f>VLOOKUP(AF24,LoanLevelHist!B:D,2,0)</f>
        <v>#N/A</v>
      </c>
      <c r="AI24" t="e">
        <f>VLOOKUP(AF24,LoanLevelHist!B:D,3,0)</f>
        <v>#N/A</v>
      </c>
      <c r="AJ24">
        <f>VLOOKUP(AF24,'v1'!AB:AD,3,0)</f>
        <v>0.44151095679639801</v>
      </c>
    </row>
    <row r="25" spans="1:36" x14ac:dyDescent="0.25">
      <c r="A25" s="1" t="s">
        <v>26</v>
      </c>
      <c r="B25" s="2">
        <v>41214</v>
      </c>
      <c r="C25">
        <v>1.7325123286972399</v>
      </c>
      <c r="D25">
        <v>1.84158218276737</v>
      </c>
      <c r="E25">
        <f>VLOOKUP(B25,'v1'!B:D,3,0)</f>
        <v>1.46359278122423</v>
      </c>
      <c r="G25" s="1" t="s">
        <v>26</v>
      </c>
      <c r="H25" s="2">
        <v>41214</v>
      </c>
      <c r="I25">
        <v>1.7644306973522501</v>
      </c>
      <c r="J25">
        <v>1.90152442193948</v>
      </c>
      <c r="K25">
        <f>VLOOKUP(H25,'v1'!H:J,3,0)</f>
        <v>1.4673599932153201</v>
      </c>
      <c r="M25" s="1" t="s">
        <v>26</v>
      </c>
      <c r="N25" s="2">
        <v>41214</v>
      </c>
      <c r="O25">
        <v>0</v>
      </c>
      <c r="P25">
        <v>7.8673602770407094E-2</v>
      </c>
      <c r="Q25">
        <f>VLOOKUP(N25,'v1'!M:O,3,0)</f>
        <v>9.6293726489626905E-2</v>
      </c>
      <c r="S25" s="1" t="s">
        <v>26</v>
      </c>
      <c r="T25" s="2">
        <v>41214</v>
      </c>
      <c r="U25">
        <v>2.1881943203382899</v>
      </c>
      <c r="V25">
        <v>1.4526744126756901</v>
      </c>
      <c r="W25">
        <f>VLOOKUP(T25,'v1'!R:T,3,0)</f>
        <v>2.3463629170783298</v>
      </c>
      <c r="Y25" s="1" t="s">
        <v>26</v>
      </c>
      <c r="Z25" s="2">
        <v>41791</v>
      </c>
      <c r="AA25">
        <v>1.4016124675158299</v>
      </c>
      <c r="AB25">
        <v>1.3015196481951901</v>
      </c>
      <c r="AC25">
        <f>VLOOKUP(Z25,'v1'!W:Y,3,0)</f>
        <v>6.1222442679248203</v>
      </c>
      <c r="AE25" t="s">
        <v>26</v>
      </c>
      <c r="AF25" s="2">
        <v>35096</v>
      </c>
      <c r="AG25">
        <v>0</v>
      </c>
      <c r="AH25" t="e">
        <f>VLOOKUP(AF25,LoanLevelHist!B:D,2,0)</f>
        <v>#N/A</v>
      </c>
      <c r="AI25" t="e">
        <f>VLOOKUP(AF25,LoanLevelHist!B:D,3,0)</f>
        <v>#N/A</v>
      </c>
      <c r="AJ25">
        <f>VLOOKUP(AF25,'v1'!AB:AD,3,0)</f>
        <v>0.44573220915934397</v>
      </c>
    </row>
    <row r="26" spans="1:36" x14ac:dyDescent="0.25">
      <c r="A26" s="1" t="s">
        <v>27</v>
      </c>
      <c r="B26" s="2">
        <v>41244</v>
      </c>
      <c r="C26">
        <v>1.65662440228792</v>
      </c>
      <c r="D26">
        <v>1.6070886910743201</v>
      </c>
      <c r="E26">
        <f>VLOOKUP(B26,'v1'!B:D,3,0)</f>
        <v>1.42016831361644</v>
      </c>
      <c r="G26" s="1" t="s">
        <v>27</v>
      </c>
      <c r="H26" s="2">
        <v>41244</v>
      </c>
      <c r="I26">
        <v>1.6842785823566599</v>
      </c>
      <c r="J26">
        <v>1.6654380876347299</v>
      </c>
      <c r="K26">
        <f>VLOOKUP(H26,'v1'!H:J,3,0)</f>
        <v>1.4192180654403199</v>
      </c>
      <c r="M26" s="1" t="s">
        <v>27</v>
      </c>
      <c r="N26" s="2">
        <v>41244</v>
      </c>
      <c r="O26">
        <v>9.7128660250378501E-2</v>
      </c>
      <c r="P26">
        <v>5.9697798480695702E-2</v>
      </c>
      <c r="Q26">
        <f>VLOOKUP(N26,'v1'!M:O,3,0)</f>
        <v>9.27447251305447E-2</v>
      </c>
      <c r="S26" s="1" t="s">
        <v>27</v>
      </c>
      <c r="T26" s="2">
        <v>41244</v>
      </c>
      <c r="U26">
        <v>2.0141278748770901</v>
      </c>
      <c r="V26">
        <v>1.2162017184457199</v>
      </c>
      <c r="W26">
        <f>VLOOKUP(T26,'v1'!R:T,3,0)</f>
        <v>2.3548780530012601</v>
      </c>
      <c r="Y26" s="1" t="s">
        <v>27</v>
      </c>
      <c r="Z26" s="2">
        <v>41821</v>
      </c>
      <c r="AA26">
        <v>1.5270716306070899</v>
      </c>
      <c r="AB26">
        <v>1.3994294939171701</v>
      </c>
      <c r="AC26">
        <f>VLOOKUP(Z26,'v1'!W:Y,3,0)</f>
        <v>6.4540473177121704</v>
      </c>
      <c r="AE26" t="s">
        <v>27</v>
      </c>
      <c r="AF26" s="2">
        <v>35125</v>
      </c>
      <c r="AG26">
        <v>0</v>
      </c>
      <c r="AH26" t="e">
        <f>VLOOKUP(AF26,LoanLevelHist!B:D,2,0)</f>
        <v>#N/A</v>
      </c>
      <c r="AI26" t="e">
        <f>VLOOKUP(AF26,LoanLevelHist!B:D,3,0)</f>
        <v>#N/A</v>
      </c>
      <c r="AJ26">
        <f>VLOOKUP(AF26,'v1'!AB:AD,3,0)</f>
        <v>0.44906283210164299</v>
      </c>
    </row>
    <row r="27" spans="1:36" x14ac:dyDescent="0.25">
      <c r="A27" s="1" t="s">
        <v>28</v>
      </c>
      <c r="B27" s="2">
        <v>41275</v>
      </c>
      <c r="C27">
        <v>1.6861336087958001</v>
      </c>
      <c r="D27">
        <v>1.59416294237685</v>
      </c>
      <c r="E27">
        <f>VLOOKUP(B27,'v1'!B:D,3,0)</f>
        <v>1.3890694378024799</v>
      </c>
      <c r="G27" s="1" t="s">
        <v>28</v>
      </c>
      <c r="H27" s="2">
        <v>41275</v>
      </c>
      <c r="I27">
        <v>1.7239156172621499</v>
      </c>
      <c r="J27">
        <v>1.6495968520436799</v>
      </c>
      <c r="K27">
        <f>VLOOKUP(H27,'v1'!H:J,3,0)</f>
        <v>1.3796229913386</v>
      </c>
      <c r="M27" s="1" t="s">
        <v>28</v>
      </c>
      <c r="N27" s="2">
        <v>41275</v>
      </c>
      <c r="O27">
        <v>0.119835171820071</v>
      </c>
      <c r="P27">
        <v>9.7741676949758494E-2</v>
      </c>
      <c r="Q27">
        <f>VLOOKUP(N27,'v1'!M:O,3,0)</f>
        <v>9.7193058550570893E-2</v>
      </c>
      <c r="S27" s="1" t="s">
        <v>28</v>
      </c>
      <c r="T27" s="2">
        <v>41275</v>
      </c>
      <c r="U27">
        <v>1.73888594093961</v>
      </c>
      <c r="V27">
        <v>1.30933082613812</v>
      </c>
      <c r="W27">
        <f>VLOOKUP(T27,'v1'!R:T,3,0)</f>
        <v>2.4044365446367202</v>
      </c>
      <c r="Y27" s="1" t="s">
        <v>28</v>
      </c>
      <c r="Z27" s="2">
        <v>41852</v>
      </c>
      <c r="AA27">
        <v>1.6665491841257301</v>
      </c>
      <c r="AB27">
        <v>1.51127808172784</v>
      </c>
      <c r="AC27">
        <f>VLOOKUP(Z27,'v1'!W:Y,3,0)</f>
        <v>6.7897757855188301</v>
      </c>
      <c r="AE27" t="s">
        <v>28</v>
      </c>
      <c r="AF27" s="2">
        <v>35156</v>
      </c>
      <c r="AG27">
        <v>0</v>
      </c>
      <c r="AH27" t="e">
        <f>VLOOKUP(AF27,LoanLevelHist!B:D,2,0)</f>
        <v>#N/A</v>
      </c>
      <c r="AI27" t="e">
        <f>VLOOKUP(AF27,LoanLevelHist!B:D,3,0)</f>
        <v>#N/A</v>
      </c>
      <c r="AJ27">
        <f>VLOOKUP(AF27,'v1'!AB:AD,3,0)</f>
        <v>0.45237449301905902</v>
      </c>
    </row>
    <row r="28" spans="1:36" x14ac:dyDescent="0.25">
      <c r="A28" s="1" t="s">
        <v>29</v>
      </c>
      <c r="B28" s="2">
        <v>41306</v>
      </c>
      <c r="C28">
        <v>1.5949000012047401</v>
      </c>
      <c r="D28">
        <v>1.5946682907391501</v>
      </c>
      <c r="E28">
        <f>VLOOKUP(B28,'v1'!B:D,3,0)</f>
        <v>1.3454655801912401</v>
      </c>
      <c r="G28" s="1" t="s">
        <v>29</v>
      </c>
      <c r="H28" s="2">
        <v>41306</v>
      </c>
      <c r="I28">
        <v>1.63407369714366</v>
      </c>
      <c r="J28">
        <v>1.65101910277929</v>
      </c>
      <c r="K28">
        <f>VLOOKUP(H28,'v1'!H:J,3,0)</f>
        <v>1.3279261538056599</v>
      </c>
      <c r="M28" s="1" t="s">
        <v>29</v>
      </c>
      <c r="N28" s="2">
        <v>41306</v>
      </c>
      <c r="O28">
        <v>3.6941649739852297E-2</v>
      </c>
      <c r="P28">
        <v>8.9971798187948898E-2</v>
      </c>
      <c r="Q28">
        <f>VLOOKUP(N28,'v1'!M:O,3,0)</f>
        <v>9.6958957179060806E-2</v>
      </c>
      <c r="S28" s="1" t="s">
        <v>29</v>
      </c>
      <c r="T28" s="2">
        <v>41306</v>
      </c>
      <c r="U28">
        <v>1.4287742206391101</v>
      </c>
      <c r="V28">
        <v>1.3245246804341799</v>
      </c>
      <c r="W28">
        <f>VLOOKUP(T28,'v1'!R:T,3,0)</f>
        <v>2.4191716157296201</v>
      </c>
      <c r="Y28" s="1" t="s">
        <v>29</v>
      </c>
      <c r="Z28" s="2">
        <v>41883</v>
      </c>
      <c r="AA28">
        <v>1.6274068532113199</v>
      </c>
      <c r="AB28">
        <v>1.5363677597601699</v>
      </c>
      <c r="AC28">
        <f>VLOOKUP(Z28,'v1'!W:Y,3,0)</f>
        <v>7.1072170077025998</v>
      </c>
      <c r="AE28" t="s">
        <v>29</v>
      </c>
      <c r="AF28" s="2">
        <v>35186</v>
      </c>
      <c r="AG28">
        <v>0</v>
      </c>
      <c r="AH28" t="e">
        <f>VLOOKUP(AF28,LoanLevelHist!B:D,2,0)</f>
        <v>#N/A</v>
      </c>
      <c r="AI28" t="e">
        <f>VLOOKUP(AF28,LoanLevelHist!B:D,3,0)</f>
        <v>#N/A</v>
      </c>
      <c r="AJ28">
        <f>VLOOKUP(AF28,'v1'!AB:AD,3,0)</f>
        <v>0.45622478739618699</v>
      </c>
    </row>
    <row r="29" spans="1:36" x14ac:dyDescent="0.25">
      <c r="A29" s="1" t="s">
        <v>30</v>
      </c>
      <c r="B29" s="2">
        <v>41334</v>
      </c>
      <c r="C29">
        <v>1.58455075996331</v>
      </c>
      <c r="D29">
        <v>1.4733177399090001</v>
      </c>
      <c r="E29">
        <f>VLOOKUP(B29,'v1'!B:D,3,0)</f>
        <v>1.3016225757178099</v>
      </c>
      <c r="G29" s="1" t="s">
        <v>30</v>
      </c>
      <c r="H29" s="2">
        <v>41334</v>
      </c>
      <c r="I29">
        <v>1.60644195897374</v>
      </c>
      <c r="J29">
        <v>1.5252021983511499</v>
      </c>
      <c r="K29">
        <f>VLOOKUP(H29,'v1'!H:J,3,0)</f>
        <v>1.2749515962276501</v>
      </c>
      <c r="M29" s="1" t="s">
        <v>30</v>
      </c>
      <c r="N29" s="2">
        <v>41334</v>
      </c>
      <c r="O29">
        <v>8.4311175306639494E-2</v>
      </c>
      <c r="P29">
        <v>6.6434844615193001E-2</v>
      </c>
      <c r="Q29">
        <f>VLOOKUP(N29,'v1'!M:O,3,0)</f>
        <v>9.7752497153902301E-2</v>
      </c>
      <c r="S29" s="1" t="s">
        <v>30</v>
      </c>
      <c r="T29" s="2">
        <v>41334</v>
      </c>
      <c r="U29">
        <v>1.9456171696117399</v>
      </c>
      <c r="V29">
        <v>1.2840447611849399</v>
      </c>
      <c r="W29">
        <f>VLOOKUP(T29,'v1'!R:T,3,0)</f>
        <v>2.4376804492814701</v>
      </c>
      <c r="Y29" s="1" t="s">
        <v>30</v>
      </c>
      <c r="Z29" s="2">
        <v>41913</v>
      </c>
      <c r="AA29">
        <v>1.88570155247337</v>
      </c>
      <c r="AB29">
        <v>1.82578301985479</v>
      </c>
      <c r="AC29">
        <f>VLOOKUP(Z29,'v1'!W:Y,3,0)</f>
        <v>7.4820461205890796</v>
      </c>
      <c r="AE29" t="s">
        <v>30</v>
      </c>
      <c r="AF29" s="2">
        <v>35217</v>
      </c>
      <c r="AG29">
        <v>0</v>
      </c>
      <c r="AH29" t="e">
        <f>VLOOKUP(AF29,LoanLevelHist!B:D,2,0)</f>
        <v>#N/A</v>
      </c>
      <c r="AI29" t="e">
        <f>VLOOKUP(AF29,LoanLevelHist!B:D,3,0)</f>
        <v>#N/A</v>
      </c>
      <c r="AJ29">
        <f>VLOOKUP(AF29,'v1'!AB:AD,3,0)</f>
        <v>0.46421099307054597</v>
      </c>
    </row>
    <row r="30" spans="1:36" x14ac:dyDescent="0.25">
      <c r="A30" s="1" t="s">
        <v>31</v>
      </c>
      <c r="B30" s="2">
        <v>41365</v>
      </c>
      <c r="C30">
        <v>1.32406070515968</v>
      </c>
      <c r="D30">
        <v>1.42492469814207</v>
      </c>
      <c r="E30">
        <f>VLOOKUP(B30,'v1'!B:D,3,0)</f>
        <v>1.2135916878727799</v>
      </c>
      <c r="G30" s="1" t="s">
        <v>31</v>
      </c>
      <c r="H30" s="2">
        <v>41365</v>
      </c>
      <c r="I30">
        <v>1.3451281632401499</v>
      </c>
      <c r="J30">
        <v>1.47454217369464</v>
      </c>
      <c r="K30">
        <f>VLOOKUP(H30,'v1'!H:J,3,0)</f>
        <v>1.1796466013015401</v>
      </c>
      <c r="M30" s="1" t="s">
        <v>31</v>
      </c>
      <c r="N30" s="2">
        <v>41365</v>
      </c>
      <c r="O30">
        <v>0.10311992184876</v>
      </c>
      <c r="P30">
        <v>7.9076860776905497E-2</v>
      </c>
      <c r="Q30">
        <f>VLOOKUP(N30,'v1'!M:O,3,0)</f>
        <v>9.4017453729422495E-2</v>
      </c>
      <c r="S30" s="1" t="s">
        <v>31</v>
      </c>
      <c r="T30" s="2">
        <v>41365</v>
      </c>
      <c r="U30">
        <v>1.48986728501623</v>
      </c>
      <c r="V30">
        <v>1.2670251038640701</v>
      </c>
      <c r="W30">
        <f>VLOOKUP(T30,'v1'!R:T,3,0)</f>
        <v>2.3084003585764599</v>
      </c>
      <c r="Y30" s="1" t="s">
        <v>31</v>
      </c>
      <c r="Z30" s="2">
        <v>41944</v>
      </c>
      <c r="AA30">
        <v>1.6119063154261</v>
      </c>
      <c r="AB30">
        <v>1.7562261127001799</v>
      </c>
      <c r="AC30">
        <f>VLOOKUP(Z30,'v1'!W:Y,3,0)</f>
        <v>7.8588253742287799</v>
      </c>
      <c r="AE30" t="s">
        <v>31</v>
      </c>
      <c r="AF30" s="2">
        <v>35247</v>
      </c>
      <c r="AG30">
        <v>0</v>
      </c>
      <c r="AH30" t="e">
        <f>VLOOKUP(AF30,LoanLevelHist!B:D,2,0)</f>
        <v>#N/A</v>
      </c>
      <c r="AI30" t="e">
        <f>VLOOKUP(AF30,LoanLevelHist!B:D,3,0)</f>
        <v>#N/A</v>
      </c>
      <c r="AJ30">
        <f>VLOOKUP(AF30,'v1'!AB:AD,3,0)</f>
        <v>0.47178586023117802</v>
      </c>
    </row>
    <row r="31" spans="1:36" x14ac:dyDescent="0.25">
      <c r="A31" s="1" t="s">
        <v>32</v>
      </c>
      <c r="B31" s="2">
        <v>41395</v>
      </c>
      <c r="C31">
        <v>1.1865278613903401</v>
      </c>
      <c r="D31">
        <v>1.2835145202151099</v>
      </c>
      <c r="E31">
        <f>VLOOKUP(B31,'v1'!B:D,3,0)</f>
        <v>1.1381994956305399</v>
      </c>
      <c r="G31" s="1" t="s">
        <v>32</v>
      </c>
      <c r="H31" s="2">
        <v>41395</v>
      </c>
      <c r="I31">
        <v>1.1994987791385301</v>
      </c>
      <c r="J31">
        <v>1.32839134133984</v>
      </c>
      <c r="K31">
        <f>VLOOKUP(H31,'v1'!H:J,3,0)</f>
        <v>1.09685474894174</v>
      </c>
      <c r="M31" s="1" t="s">
        <v>32</v>
      </c>
      <c r="N31" s="2">
        <v>41395</v>
      </c>
      <c r="O31">
        <v>4.8589053564296297E-2</v>
      </c>
      <c r="P31">
        <v>6.4934567918473199E-2</v>
      </c>
      <c r="Q31">
        <f>VLOOKUP(N31,'v1'!M:O,3,0)</f>
        <v>9.4647837789962899E-2</v>
      </c>
      <c r="S31" s="1" t="s">
        <v>32</v>
      </c>
      <c r="T31" s="2">
        <v>41395</v>
      </c>
      <c r="U31">
        <v>1.4405699074860201</v>
      </c>
      <c r="V31">
        <v>1.1322272769400199</v>
      </c>
      <c r="W31">
        <f>VLOOKUP(T31,'v1'!R:T,3,0)</f>
        <v>2.1648697575747602</v>
      </c>
      <c r="Y31" s="1" t="s">
        <v>32</v>
      </c>
      <c r="Z31" s="2">
        <v>41974</v>
      </c>
      <c r="AA31">
        <v>1.79346147600534</v>
      </c>
      <c r="AB31">
        <v>1.7269938752570999</v>
      </c>
      <c r="AC31">
        <f>VLOOKUP(Z31,'v1'!W:Y,3,0)</f>
        <v>8.2337591532615004</v>
      </c>
      <c r="AE31" t="s">
        <v>32</v>
      </c>
      <c r="AF31" s="2">
        <v>35278</v>
      </c>
      <c r="AG31">
        <v>0</v>
      </c>
      <c r="AH31" t="e">
        <f>VLOOKUP(AF31,LoanLevelHist!B:D,2,0)</f>
        <v>#N/A</v>
      </c>
      <c r="AI31" t="e">
        <f>VLOOKUP(AF31,LoanLevelHist!B:D,3,0)</f>
        <v>#N/A</v>
      </c>
      <c r="AJ31">
        <f>VLOOKUP(AF31,'v1'!AB:AD,3,0)</f>
        <v>0.47690114158913699</v>
      </c>
    </row>
    <row r="32" spans="1:36" x14ac:dyDescent="0.25">
      <c r="A32" s="1" t="s">
        <v>33</v>
      </c>
      <c r="B32" s="2">
        <v>41426</v>
      </c>
      <c r="C32">
        <v>1.1666136700208201</v>
      </c>
      <c r="D32">
        <v>1.11417175847214</v>
      </c>
      <c r="E32">
        <f>VLOOKUP(B32,'v1'!B:D,3,0)</f>
        <v>1.0784884559688199</v>
      </c>
      <c r="G32" s="1" t="s">
        <v>33</v>
      </c>
      <c r="H32" s="2">
        <v>41426</v>
      </c>
      <c r="I32">
        <v>1.17734546359693</v>
      </c>
      <c r="J32">
        <v>1.1488206073051701</v>
      </c>
      <c r="K32">
        <f>VLOOKUP(H32,'v1'!H:J,3,0)</f>
        <v>1.03012762274033</v>
      </c>
      <c r="M32" s="1" t="s">
        <v>33</v>
      </c>
      <c r="N32" s="2">
        <v>41426</v>
      </c>
      <c r="O32">
        <v>2.8236448330332099E-2</v>
      </c>
      <c r="P32">
        <v>6.9344101343482595E-2</v>
      </c>
      <c r="Q32">
        <f>VLOOKUP(N32,'v1'!M:O,3,0)</f>
        <v>9.5062644147525494E-2</v>
      </c>
      <c r="S32" s="1" t="s">
        <v>33</v>
      </c>
      <c r="T32" s="2">
        <v>41426</v>
      </c>
      <c r="U32">
        <v>1.3337613025020501</v>
      </c>
      <c r="V32">
        <v>1.0458095544897299</v>
      </c>
      <c r="W32">
        <f>VLOOKUP(T32,'v1'!R:T,3,0)</f>
        <v>2.0227213043424901</v>
      </c>
      <c r="Y32" s="1" t="s">
        <v>33</v>
      </c>
      <c r="Z32" s="2">
        <v>42005</v>
      </c>
      <c r="AA32">
        <v>1.79483091128119</v>
      </c>
      <c r="AB32">
        <v>2.1813862120286198</v>
      </c>
      <c r="AC32">
        <f>VLOOKUP(Z32,'v1'!W:Y,3,0)</f>
        <v>8.5690300953671006</v>
      </c>
      <c r="AE32" t="s">
        <v>33</v>
      </c>
      <c r="AF32" s="2">
        <v>35309</v>
      </c>
      <c r="AG32">
        <v>0</v>
      </c>
      <c r="AH32" t="e">
        <f>VLOOKUP(AF32,LoanLevelHist!B:D,2,0)</f>
        <v>#N/A</v>
      </c>
      <c r="AI32" t="e">
        <f>VLOOKUP(AF32,LoanLevelHist!B:D,3,0)</f>
        <v>#N/A</v>
      </c>
      <c r="AJ32">
        <f>VLOOKUP(AF32,'v1'!AB:AD,3,0)</f>
        <v>0.48402326431773401</v>
      </c>
    </row>
    <row r="33" spans="1:36" x14ac:dyDescent="0.25">
      <c r="A33" s="1" t="s">
        <v>34</v>
      </c>
      <c r="B33" s="2">
        <v>41456</v>
      </c>
      <c r="C33">
        <v>1.1377007160388899</v>
      </c>
      <c r="D33">
        <v>1.04858361030069</v>
      </c>
      <c r="E33">
        <f>VLOOKUP(B33,'v1'!B:D,3,0)</f>
        <v>1.04058249537833</v>
      </c>
      <c r="G33" s="1" t="s">
        <v>34</v>
      </c>
      <c r="H33" s="2">
        <v>41456</v>
      </c>
      <c r="I33">
        <v>1.1428769843004101</v>
      </c>
      <c r="J33">
        <v>1.0779999733725201</v>
      </c>
      <c r="K33">
        <f>VLOOKUP(H33,'v1'!H:J,3,0)</f>
        <v>0.98252492426313998</v>
      </c>
      <c r="M33" s="1" t="s">
        <v>34</v>
      </c>
      <c r="N33" s="2">
        <v>41456</v>
      </c>
      <c r="O33">
        <v>5.9085622279897401E-2</v>
      </c>
      <c r="P33">
        <v>5.1584928960668498E-2</v>
      </c>
      <c r="Q33">
        <f>VLOOKUP(N33,'v1'!M:O,3,0)</f>
        <v>9.6873908305017395E-2</v>
      </c>
      <c r="S33" s="1" t="s">
        <v>34</v>
      </c>
      <c r="T33" s="2">
        <v>41456</v>
      </c>
      <c r="U33">
        <v>1.3941480211156301</v>
      </c>
      <c r="V33">
        <v>1.03788644862072</v>
      </c>
      <c r="W33">
        <f>VLOOKUP(T33,'v1'!R:T,3,0)</f>
        <v>1.99252138029987</v>
      </c>
      <c r="Y33" s="1" t="s">
        <v>34</v>
      </c>
      <c r="Z33" s="2">
        <v>42036</v>
      </c>
      <c r="AA33">
        <v>1.99176243301153</v>
      </c>
      <c r="AB33">
        <v>1.8986626236764399</v>
      </c>
      <c r="AC33">
        <f>VLOOKUP(Z33,'v1'!W:Y,3,0)</f>
        <v>8.9011365272726</v>
      </c>
      <c r="AE33" t="s">
        <v>34</v>
      </c>
      <c r="AF33" s="2">
        <v>35339</v>
      </c>
      <c r="AG33">
        <v>0</v>
      </c>
      <c r="AH33" t="e">
        <f>VLOOKUP(AF33,LoanLevelHist!B:D,2,0)</f>
        <v>#N/A</v>
      </c>
      <c r="AI33" t="e">
        <f>VLOOKUP(AF33,LoanLevelHist!B:D,3,0)</f>
        <v>#N/A</v>
      </c>
      <c r="AJ33">
        <f>VLOOKUP(AF33,'v1'!AB:AD,3,0)</f>
        <v>0.49143130896021098</v>
      </c>
    </row>
    <row r="34" spans="1:36" x14ac:dyDescent="0.25">
      <c r="A34" s="1" t="s">
        <v>35</v>
      </c>
      <c r="B34" s="2">
        <v>41487</v>
      </c>
      <c r="C34">
        <v>1.07920216987707</v>
      </c>
      <c r="D34">
        <v>1.2038023598088099</v>
      </c>
      <c r="E34">
        <f>VLOOKUP(B34,'v1'!B:D,3,0)</f>
        <v>1.0077341425072399</v>
      </c>
      <c r="G34" s="1" t="s">
        <v>35</v>
      </c>
      <c r="H34" s="2">
        <v>41487</v>
      </c>
      <c r="I34">
        <v>1.0772854823956299</v>
      </c>
      <c r="J34">
        <v>1.2338044376722499</v>
      </c>
      <c r="K34">
        <f>VLOOKUP(H34,'v1'!H:J,3,0)</f>
        <v>0.93949352998626801</v>
      </c>
      <c r="M34" s="1" t="s">
        <v>35</v>
      </c>
      <c r="N34" s="2">
        <v>41487</v>
      </c>
      <c r="O34">
        <v>4.45157870088475E-2</v>
      </c>
      <c r="P34">
        <v>7.4373051526777104E-2</v>
      </c>
      <c r="Q34">
        <f>VLOOKUP(N34,'v1'!M:O,3,0)</f>
        <v>9.8632979405444104E-2</v>
      </c>
      <c r="S34" s="1" t="s">
        <v>35</v>
      </c>
      <c r="T34" s="2">
        <v>41487</v>
      </c>
      <c r="U34">
        <v>1.3402132094458601</v>
      </c>
      <c r="V34">
        <v>1.2638087495039001</v>
      </c>
      <c r="W34">
        <f>VLOOKUP(T34,'v1'!R:T,3,0)</f>
        <v>1.97902606412438</v>
      </c>
      <c r="Y34" s="1" t="s">
        <v>35</v>
      </c>
      <c r="Z34" s="2">
        <v>42064</v>
      </c>
      <c r="AA34">
        <v>1.7729347115143299</v>
      </c>
      <c r="AB34">
        <v>2.4459354836557998</v>
      </c>
      <c r="AC34">
        <f>VLOOKUP(Z34,'v1'!W:Y,3,0)</f>
        <v>9.2357241493006796</v>
      </c>
      <c r="AE34" t="s">
        <v>35</v>
      </c>
      <c r="AF34" s="2">
        <v>35370</v>
      </c>
      <c r="AG34">
        <v>0</v>
      </c>
      <c r="AH34" t="e">
        <f>VLOOKUP(AF34,LoanLevelHist!B:D,2,0)</f>
        <v>#N/A</v>
      </c>
      <c r="AI34" t="e">
        <f>VLOOKUP(AF34,LoanLevelHist!B:D,3,0)</f>
        <v>#N/A</v>
      </c>
      <c r="AJ34">
        <f>VLOOKUP(AF34,'v1'!AB:AD,3,0)</f>
        <v>0.49787177370351798</v>
      </c>
    </row>
    <row r="35" spans="1:36" x14ac:dyDescent="0.25">
      <c r="A35" s="1" t="s">
        <v>36</v>
      </c>
      <c r="B35" s="2">
        <v>41518</v>
      </c>
      <c r="C35">
        <v>1.08382055352346</v>
      </c>
      <c r="D35">
        <v>1.04389942835373</v>
      </c>
      <c r="E35">
        <f>VLOOKUP(B35,'v1'!B:D,3,0)</f>
        <v>0.97661977827581103</v>
      </c>
      <c r="G35" s="1" t="s">
        <v>36</v>
      </c>
      <c r="H35" s="2">
        <v>41518</v>
      </c>
      <c r="I35">
        <v>1.0788250312813501</v>
      </c>
      <c r="J35">
        <v>1.06788337947671</v>
      </c>
      <c r="K35">
        <f>VLOOKUP(H35,'v1'!H:J,3,0)</f>
        <v>0.89816915024493205</v>
      </c>
      <c r="M35" s="1" t="s">
        <v>36</v>
      </c>
      <c r="N35" s="2">
        <v>41518</v>
      </c>
      <c r="O35">
        <v>5.5638049005013498E-2</v>
      </c>
      <c r="P35">
        <v>6.0094246928221698E-2</v>
      </c>
      <c r="Q35">
        <f>VLOOKUP(N35,'v1'!M:O,3,0)</f>
        <v>0.101404652657622</v>
      </c>
      <c r="S35" s="1" t="s">
        <v>36</v>
      </c>
      <c r="T35" s="2">
        <v>41518</v>
      </c>
      <c r="U35">
        <v>1.3269382097018401</v>
      </c>
      <c r="V35">
        <v>1.10760945848416</v>
      </c>
      <c r="W35">
        <f>VLOOKUP(T35,'v1'!R:T,3,0)</f>
        <v>1.97069862373689</v>
      </c>
      <c r="Y35" s="1" t="s">
        <v>36</v>
      </c>
      <c r="Z35" s="2">
        <v>42095</v>
      </c>
      <c r="AA35">
        <v>1.27725129331081</v>
      </c>
      <c r="AB35">
        <v>2.0731259522044199</v>
      </c>
      <c r="AC35">
        <f>VLOOKUP(Z35,'v1'!W:Y,3,0)</f>
        <v>9.3649012789064603</v>
      </c>
      <c r="AE35" t="s">
        <v>36</v>
      </c>
      <c r="AF35" s="2">
        <v>35462</v>
      </c>
      <c r="AG35">
        <v>0</v>
      </c>
      <c r="AH35" t="e">
        <f>VLOOKUP(AF35,LoanLevelHist!B:D,2,0)</f>
        <v>#N/A</v>
      </c>
      <c r="AI35" t="e">
        <f>VLOOKUP(AF35,LoanLevelHist!B:D,3,0)</f>
        <v>#N/A</v>
      </c>
      <c r="AJ35">
        <f>VLOOKUP(AF35,'v1'!AB:AD,3,0)</f>
        <v>2.5655740806440602E-2</v>
      </c>
    </row>
    <row r="36" spans="1:36" x14ac:dyDescent="0.25">
      <c r="A36" s="1" t="s">
        <v>37</v>
      </c>
      <c r="B36" s="2">
        <v>41548</v>
      </c>
      <c r="C36">
        <v>1.0348796584787801</v>
      </c>
      <c r="D36">
        <v>1.0489400843686401</v>
      </c>
      <c r="E36">
        <f>VLOOKUP(B36,'v1'!B:D,3,0)</f>
        <v>0.97561214670822705</v>
      </c>
      <c r="G36" s="1" t="s">
        <v>37</v>
      </c>
      <c r="H36" s="2">
        <v>41548</v>
      </c>
      <c r="I36">
        <v>1.0364740331311999</v>
      </c>
      <c r="J36">
        <v>1.07061671909524</v>
      </c>
      <c r="K36">
        <f>VLOOKUP(H36,'v1'!H:J,3,0)</f>
        <v>0.88331105553032296</v>
      </c>
      <c r="M36" s="1" t="s">
        <v>37</v>
      </c>
      <c r="N36" s="2">
        <v>41548</v>
      </c>
      <c r="O36">
        <v>4.3621665805360102E-2</v>
      </c>
      <c r="P36">
        <v>5.6002324857973303E-2</v>
      </c>
      <c r="Q36">
        <f>VLOOKUP(N36,'v1'!M:O,3,0)</f>
        <v>0.107698567300007</v>
      </c>
      <c r="S36" s="1" t="s">
        <v>37</v>
      </c>
      <c r="T36" s="2">
        <v>41548</v>
      </c>
      <c r="U36">
        <v>1.3562880465537099</v>
      </c>
      <c r="V36">
        <v>1.1775279163457699</v>
      </c>
      <c r="W36">
        <f>VLOOKUP(T36,'v1'!R:T,3,0)</f>
        <v>2.0771865093275701</v>
      </c>
      <c r="Y36" s="1" t="s">
        <v>37</v>
      </c>
      <c r="Z36" s="2">
        <v>42125</v>
      </c>
      <c r="AA36">
        <v>1.4809219735186101</v>
      </c>
      <c r="AB36">
        <v>1.6405263963480099</v>
      </c>
      <c r="AC36">
        <f>VLOOKUP(Z36,'v1'!W:Y,3,0)</f>
        <v>9.4801468308637507</v>
      </c>
      <c r="AE36" t="s">
        <v>37</v>
      </c>
      <c r="AF36" s="2">
        <v>35490</v>
      </c>
      <c r="AG36">
        <v>0</v>
      </c>
      <c r="AH36" t="e">
        <f>VLOOKUP(AF36,LoanLevelHist!B:D,2,0)</f>
        <v>#N/A</v>
      </c>
      <c r="AI36" t="e">
        <f>VLOOKUP(AF36,LoanLevelHist!B:D,3,0)</f>
        <v>#N/A</v>
      </c>
      <c r="AJ36">
        <f>VLOOKUP(AF36,'v1'!AB:AD,3,0)</f>
        <v>0.51841828458322203</v>
      </c>
    </row>
    <row r="37" spans="1:36" x14ac:dyDescent="0.25">
      <c r="A37" s="1" t="s">
        <v>38</v>
      </c>
      <c r="B37" s="2">
        <v>41579</v>
      </c>
      <c r="C37">
        <v>1.00225552915824</v>
      </c>
      <c r="D37">
        <v>1.05069999744777</v>
      </c>
      <c r="E37">
        <f>VLOOKUP(B37,'v1'!B:D,3,0)</f>
        <v>0.98041182317504205</v>
      </c>
      <c r="G37" s="1" t="s">
        <v>38</v>
      </c>
      <c r="H37" s="2">
        <v>41579</v>
      </c>
      <c r="I37">
        <v>0.99584955516093299</v>
      </c>
      <c r="J37">
        <v>1.0651427319608</v>
      </c>
      <c r="K37">
        <f>VLOOKUP(H37,'v1'!H:J,3,0)</f>
        <v>0.87343605915515299</v>
      </c>
      <c r="M37" s="1" t="s">
        <v>38</v>
      </c>
      <c r="N37" s="2">
        <v>41579</v>
      </c>
      <c r="O37">
        <v>7.8611385224580693E-2</v>
      </c>
      <c r="P37">
        <v>6.4581341010794296E-2</v>
      </c>
      <c r="Q37">
        <f>VLOOKUP(N37,'v1'!M:O,3,0)</f>
        <v>0.114438334493994</v>
      </c>
      <c r="S37" s="1" t="s">
        <v>38</v>
      </c>
      <c r="T37" s="2">
        <v>41579</v>
      </c>
      <c r="U37">
        <v>1.3714922307227699</v>
      </c>
      <c r="V37">
        <v>1.24881248584341</v>
      </c>
      <c r="W37">
        <f>VLOOKUP(T37,'v1'!R:T,3,0)</f>
        <v>2.1966581191441001</v>
      </c>
      <c r="Y37" s="1" t="s">
        <v>38</v>
      </c>
      <c r="Z37" s="2">
        <v>42156</v>
      </c>
      <c r="AA37">
        <v>1.25351834824838</v>
      </c>
      <c r="AB37">
        <v>1.6864632489156699</v>
      </c>
      <c r="AC37">
        <f>VLOOKUP(Z37,'v1'!W:Y,3,0)</f>
        <v>9.5712745028386497</v>
      </c>
      <c r="AE37" t="s">
        <v>38</v>
      </c>
      <c r="AF37" s="2">
        <v>35521</v>
      </c>
      <c r="AG37">
        <v>0</v>
      </c>
      <c r="AH37" t="e">
        <f>VLOOKUP(AF37,LoanLevelHist!B:D,2,0)</f>
        <v>#N/A</v>
      </c>
      <c r="AI37" t="e">
        <f>VLOOKUP(AF37,LoanLevelHist!B:D,3,0)</f>
        <v>#N/A</v>
      </c>
      <c r="AJ37">
        <f>VLOOKUP(AF37,'v1'!AB:AD,3,0)</f>
        <v>0.52700368165203804</v>
      </c>
    </row>
    <row r="38" spans="1:36" x14ac:dyDescent="0.25">
      <c r="A38" s="1" t="s">
        <v>39</v>
      </c>
      <c r="B38" s="2">
        <v>41609</v>
      </c>
      <c r="C38">
        <v>1.0269407791318701</v>
      </c>
      <c r="D38">
        <v>1.0073826282576399</v>
      </c>
      <c r="E38">
        <f>VLOOKUP(B38,'v1'!B:D,3,0)</f>
        <v>0.98723992336939803</v>
      </c>
      <c r="G38" s="1" t="s">
        <v>39</v>
      </c>
      <c r="H38" s="2">
        <v>41609</v>
      </c>
      <c r="I38">
        <v>1.0089726872343601</v>
      </c>
      <c r="J38">
        <v>1.0152734491365301</v>
      </c>
      <c r="K38">
        <f>VLOOKUP(H38,'v1'!H:J,3,0)</f>
        <v>0.86544363410243597</v>
      </c>
      <c r="M38" s="1" t="s">
        <v>39</v>
      </c>
      <c r="N38" s="2">
        <v>41609</v>
      </c>
      <c r="O38">
        <v>6.4174020570873E-2</v>
      </c>
      <c r="P38">
        <v>6.7333642626898907E-2</v>
      </c>
      <c r="Q38">
        <f>VLOOKUP(N38,'v1'!M:O,3,0)</f>
        <v>0.121292914760029</v>
      </c>
      <c r="S38" s="1" t="s">
        <v>39</v>
      </c>
      <c r="T38" s="2">
        <v>41609</v>
      </c>
      <c r="U38">
        <v>1.47682691699984</v>
      </c>
      <c r="V38">
        <v>1.2549743861142699</v>
      </c>
      <c r="W38">
        <f>VLOOKUP(T38,'v1'!R:T,3,0)</f>
        <v>2.3286553773395799</v>
      </c>
      <c r="Y38" s="1" t="s">
        <v>39</v>
      </c>
      <c r="Z38" s="2">
        <v>42186</v>
      </c>
      <c r="AA38">
        <v>1.39034821854783</v>
      </c>
      <c r="AB38">
        <v>1.8894161381802801</v>
      </c>
      <c r="AC38">
        <f>VLOOKUP(Z38,'v1'!W:Y,3,0)</f>
        <v>9.8100181152813501</v>
      </c>
      <c r="AE38" t="s">
        <v>39</v>
      </c>
      <c r="AF38" s="2">
        <v>35551</v>
      </c>
      <c r="AG38">
        <v>0</v>
      </c>
      <c r="AH38" t="e">
        <f>VLOOKUP(AF38,LoanLevelHist!B:D,2,0)</f>
        <v>#N/A</v>
      </c>
      <c r="AI38" t="e">
        <f>VLOOKUP(AF38,LoanLevelHist!B:D,3,0)</f>
        <v>#N/A</v>
      </c>
      <c r="AJ38">
        <f>VLOOKUP(AF38,'v1'!AB:AD,3,0)</f>
        <v>0.53544373249983002</v>
      </c>
    </row>
    <row r="39" spans="1:36" x14ac:dyDescent="0.25">
      <c r="A39" s="1" t="s">
        <v>40</v>
      </c>
      <c r="B39" s="2">
        <v>41640</v>
      </c>
      <c r="C39">
        <v>0.99370403874938795</v>
      </c>
      <c r="D39">
        <v>1.07268613005128</v>
      </c>
      <c r="E39">
        <f>VLOOKUP(B39,'v1'!B:D,3,0)</f>
        <v>0.98801394369167905</v>
      </c>
      <c r="G39" s="1" t="s">
        <v>40</v>
      </c>
      <c r="H39" s="2">
        <v>41640</v>
      </c>
      <c r="I39">
        <v>0.97823824772996804</v>
      </c>
      <c r="J39">
        <v>1.0786745264900399</v>
      </c>
      <c r="K39">
        <f>VLOOKUP(H39,'v1'!H:J,3,0)</f>
        <v>0.85247022486094604</v>
      </c>
      <c r="M39" s="1" t="s">
        <v>40</v>
      </c>
      <c r="N39" s="2">
        <v>41640</v>
      </c>
      <c r="O39">
        <v>2.41930337492091E-2</v>
      </c>
      <c r="P39">
        <v>6.6475179050007299E-2</v>
      </c>
      <c r="Q39">
        <f>VLOOKUP(N39,'v1'!M:O,3,0)</f>
        <v>0.12668205442321101</v>
      </c>
      <c r="S39" s="1" t="s">
        <v>40</v>
      </c>
      <c r="T39" s="2">
        <v>41640</v>
      </c>
      <c r="U39">
        <v>1.37684730894081</v>
      </c>
      <c r="V39">
        <v>1.37563081915306</v>
      </c>
      <c r="W39">
        <f>VLOOKUP(T39,'v1'!R:T,3,0)</f>
        <v>2.4318970986228798</v>
      </c>
      <c r="Y39" s="1" t="s">
        <v>40</v>
      </c>
      <c r="Z39" s="2">
        <v>42217</v>
      </c>
      <c r="AA39">
        <v>1.4367808750206901</v>
      </c>
      <c r="AB39">
        <v>1.9217170303957301</v>
      </c>
      <c r="AC39">
        <f>VLOOKUP(Z39,'v1'!W:Y,3,0)</f>
        <v>10.0232635254337</v>
      </c>
      <c r="AE39" t="s">
        <v>40</v>
      </c>
      <c r="AF39" s="2">
        <v>35582</v>
      </c>
      <c r="AG39">
        <v>0</v>
      </c>
      <c r="AH39" t="e">
        <f>VLOOKUP(AF39,LoanLevelHist!B:D,2,0)</f>
        <v>#N/A</v>
      </c>
      <c r="AI39" t="e">
        <f>VLOOKUP(AF39,LoanLevelHist!B:D,3,0)</f>
        <v>#N/A</v>
      </c>
      <c r="AJ39">
        <f>VLOOKUP(AF39,'v1'!AB:AD,3,0)</f>
        <v>0.54380540001716104</v>
      </c>
    </row>
    <row r="40" spans="1:36" x14ac:dyDescent="0.25">
      <c r="A40" s="1" t="s">
        <v>41</v>
      </c>
      <c r="B40" s="2">
        <v>41671</v>
      </c>
      <c r="C40">
        <v>0.97093538221213505</v>
      </c>
      <c r="D40">
        <v>1.0304220325831699</v>
      </c>
      <c r="E40">
        <f>VLOOKUP(B40,'v1'!B:D,3,0)</f>
        <v>0.99160781319813696</v>
      </c>
      <c r="G40" s="1" t="s">
        <v>41</v>
      </c>
      <c r="H40" s="2">
        <v>41671</v>
      </c>
      <c r="I40">
        <v>0.94596064443802597</v>
      </c>
      <c r="J40">
        <v>1.03308633020109</v>
      </c>
      <c r="K40">
        <f>VLOOKUP(H40,'v1'!H:J,3,0)</f>
        <v>0.84259107010773404</v>
      </c>
      <c r="M40" s="1" t="s">
        <v>41</v>
      </c>
      <c r="N40" s="2">
        <v>41671</v>
      </c>
      <c r="O40">
        <v>3.3883757249852903E-2</v>
      </c>
      <c r="P40">
        <v>5.8003178280297003E-2</v>
      </c>
      <c r="Q40">
        <f>VLOOKUP(N40,'v1'!M:O,3,0)</f>
        <v>0.13351806348334</v>
      </c>
      <c r="S40" s="1" t="s">
        <v>41</v>
      </c>
      <c r="T40" s="2">
        <v>41671</v>
      </c>
      <c r="U40">
        <v>1.54768515471095</v>
      </c>
      <c r="V40">
        <v>1.36344650394934</v>
      </c>
      <c r="W40">
        <f>VLOOKUP(T40,'v1'!R:T,3,0)</f>
        <v>2.5270099948525999</v>
      </c>
      <c r="Y40" s="1" t="s">
        <v>41</v>
      </c>
      <c r="Z40" s="2">
        <v>42248</v>
      </c>
      <c r="AA40">
        <v>1.5428042456961799</v>
      </c>
      <c r="AB40">
        <v>1.9152670955587101</v>
      </c>
      <c r="AC40">
        <f>VLOOKUP(Z40,'v1'!W:Y,3,0)</f>
        <v>10.2091791425736</v>
      </c>
      <c r="AE40" t="s">
        <v>41</v>
      </c>
      <c r="AF40" s="2">
        <v>35612</v>
      </c>
      <c r="AG40">
        <v>0</v>
      </c>
      <c r="AH40" t="e">
        <f>VLOOKUP(AF40,LoanLevelHist!B:D,2,0)</f>
        <v>#N/A</v>
      </c>
      <c r="AI40" t="e">
        <f>VLOOKUP(AF40,LoanLevelHist!B:D,3,0)</f>
        <v>#N/A</v>
      </c>
      <c r="AJ40">
        <f>VLOOKUP(AF40,'v1'!AB:AD,3,0)</f>
        <v>0.54792927462508101</v>
      </c>
    </row>
    <row r="41" spans="1:36" x14ac:dyDescent="0.25">
      <c r="A41" s="1" t="s">
        <v>42</v>
      </c>
      <c r="B41" s="2">
        <v>41699</v>
      </c>
      <c r="C41">
        <v>0.90443603866915401</v>
      </c>
      <c r="D41">
        <v>0.94895062445340395</v>
      </c>
      <c r="E41">
        <f>VLOOKUP(B41,'v1'!B:D,3,0)</f>
        <v>0.99754230363845497</v>
      </c>
      <c r="G41" s="1" t="s">
        <v>42</v>
      </c>
      <c r="H41" s="2">
        <v>41699</v>
      </c>
      <c r="I41">
        <v>0.88176069656054101</v>
      </c>
      <c r="J41">
        <v>0.94751517559156195</v>
      </c>
      <c r="K41">
        <f>VLOOKUP(H41,'v1'!H:J,3,0)</f>
        <v>0.83506097343710695</v>
      </c>
      <c r="M41" s="1" t="s">
        <v>42</v>
      </c>
      <c r="N41" s="2">
        <v>41699</v>
      </c>
      <c r="O41">
        <v>7.0191862561275201E-2</v>
      </c>
      <c r="P41">
        <v>6.5211259926922796E-2</v>
      </c>
      <c r="Q41">
        <f>VLOOKUP(N41,'v1'!M:O,3,0)</f>
        <v>0.141068950468271</v>
      </c>
      <c r="S41" s="1" t="s">
        <v>42</v>
      </c>
      <c r="T41" s="2">
        <v>41699</v>
      </c>
      <c r="U41">
        <v>1.4226274987912999</v>
      </c>
      <c r="V41">
        <v>1.26631149442534</v>
      </c>
      <c r="W41">
        <f>VLOOKUP(T41,'v1'!R:T,3,0)</f>
        <v>2.6239723565178998</v>
      </c>
      <c r="Y41" s="1" t="s">
        <v>42</v>
      </c>
      <c r="Z41" s="2">
        <v>42278</v>
      </c>
      <c r="AA41">
        <v>1.43328095771069</v>
      </c>
      <c r="AB41">
        <v>1.92991265835208</v>
      </c>
      <c r="AC41">
        <f>VLOOKUP(Z41,'v1'!W:Y,3,0)</f>
        <v>10.483552405938299</v>
      </c>
      <c r="AE41" t="s">
        <v>42</v>
      </c>
      <c r="AF41" s="2">
        <v>35643</v>
      </c>
      <c r="AG41">
        <v>0</v>
      </c>
      <c r="AH41" t="e">
        <f>VLOOKUP(AF41,LoanLevelHist!B:D,2,0)</f>
        <v>#N/A</v>
      </c>
      <c r="AI41" t="e">
        <f>VLOOKUP(AF41,LoanLevelHist!B:D,3,0)</f>
        <v>#N/A</v>
      </c>
      <c r="AJ41">
        <f>VLOOKUP(AF41,'v1'!AB:AD,3,0)</f>
        <v>0.55076200514656604</v>
      </c>
    </row>
    <row r="42" spans="1:36" x14ac:dyDescent="0.25">
      <c r="A42" s="1" t="s">
        <v>43</v>
      </c>
      <c r="B42" s="2">
        <v>41730</v>
      </c>
      <c r="C42">
        <v>0.78469756732072504</v>
      </c>
      <c r="D42">
        <v>0.93110307260556602</v>
      </c>
      <c r="E42">
        <f>VLOOKUP(B42,'v1'!B:D,3,0)</f>
        <v>0.97799043255789597</v>
      </c>
      <c r="G42" s="1" t="s">
        <v>43</v>
      </c>
      <c r="H42" s="2">
        <v>41730</v>
      </c>
      <c r="I42">
        <v>0.77089322969239304</v>
      </c>
      <c r="J42">
        <v>0.92209150860043099</v>
      </c>
      <c r="K42">
        <f>VLOOKUP(H42,'v1'!H:J,3,0)</f>
        <v>0.80859214605442098</v>
      </c>
      <c r="M42" s="1" t="s">
        <v>43</v>
      </c>
      <c r="N42" s="2">
        <v>41730</v>
      </c>
      <c r="O42">
        <v>0</v>
      </c>
      <c r="P42">
        <v>8.4319615371231102E-2</v>
      </c>
      <c r="Q42">
        <f>VLOOKUP(N42,'v1'!M:O,3,0)</f>
        <v>0.14578974038458301</v>
      </c>
      <c r="S42" s="1" t="s">
        <v>43</v>
      </c>
      <c r="T42" s="2">
        <v>41730</v>
      </c>
      <c r="U42">
        <v>1.0529067150036699</v>
      </c>
      <c r="V42">
        <v>1.3337627849835101</v>
      </c>
      <c r="W42">
        <f>VLOOKUP(T42,'v1'!R:T,3,0)</f>
        <v>2.5418992603293602</v>
      </c>
      <c r="Y42" s="1" t="s">
        <v>43</v>
      </c>
      <c r="Z42" s="2">
        <v>42309</v>
      </c>
      <c r="AA42">
        <v>1.7660994374754999</v>
      </c>
      <c r="AB42">
        <v>2.0852463976740001</v>
      </c>
      <c r="AC42">
        <f>VLOOKUP(Z42,'v1'!W:Y,3,0)</f>
        <v>10.734889266466899</v>
      </c>
      <c r="AE42" t="s">
        <v>43</v>
      </c>
      <c r="AF42" s="2">
        <v>35674</v>
      </c>
      <c r="AG42">
        <v>0</v>
      </c>
      <c r="AH42" t="e">
        <f>VLOOKUP(AF42,LoanLevelHist!B:D,2,0)</f>
        <v>#N/A</v>
      </c>
      <c r="AI42" t="e">
        <f>VLOOKUP(AF42,LoanLevelHist!B:D,3,0)</f>
        <v>#N/A</v>
      </c>
      <c r="AJ42">
        <f>VLOOKUP(AF42,'v1'!AB:AD,3,0)</f>
        <v>0.55300993539515497</v>
      </c>
    </row>
    <row r="43" spans="1:36" x14ac:dyDescent="0.25">
      <c r="A43" s="1" t="s">
        <v>44</v>
      </c>
      <c r="B43" s="2">
        <v>41760</v>
      </c>
      <c r="C43">
        <v>0.73121295093910899</v>
      </c>
      <c r="D43">
        <v>0.79079279466739405</v>
      </c>
      <c r="E43">
        <f>VLOOKUP(B43,'v1'!B:D,3,0)</f>
        <v>0.95790016629261299</v>
      </c>
      <c r="G43" s="1" t="s">
        <v>44</v>
      </c>
      <c r="H43" s="2">
        <v>41760</v>
      </c>
      <c r="I43">
        <v>0.70730827752463199</v>
      </c>
      <c r="J43">
        <v>0.782053677834182</v>
      </c>
      <c r="K43">
        <f>VLOOKUP(H43,'v1'!H:J,3,0)</f>
        <v>0.78210903517684804</v>
      </c>
      <c r="M43" s="1" t="s">
        <v>44</v>
      </c>
      <c r="N43" s="2">
        <v>41760</v>
      </c>
      <c r="O43">
        <v>0</v>
      </c>
      <c r="P43">
        <v>6.0003403447417301E-2</v>
      </c>
      <c r="Q43">
        <f>VLOOKUP(N43,'v1'!M:O,3,0)</f>
        <v>0.149788387370653</v>
      </c>
      <c r="S43" s="1" t="s">
        <v>44</v>
      </c>
      <c r="T43" s="2">
        <v>41760</v>
      </c>
      <c r="U43">
        <v>1.20405306635862</v>
      </c>
      <c r="V43">
        <v>1.13521659507934</v>
      </c>
      <c r="W43">
        <f>VLOOKUP(T43,'v1'!R:T,3,0)</f>
        <v>2.4647388056630701</v>
      </c>
      <c r="Y43" s="1" t="s">
        <v>44</v>
      </c>
      <c r="Z43" s="2">
        <v>42339</v>
      </c>
      <c r="AA43">
        <v>1.50750669991996</v>
      </c>
      <c r="AB43">
        <v>2.0053639781313901</v>
      </c>
      <c r="AC43">
        <f>VLOOKUP(Z43,'v1'!W:Y,3,0)</f>
        <v>10.941200470106301</v>
      </c>
      <c r="AE43" t="s">
        <v>44</v>
      </c>
      <c r="AF43" s="2">
        <v>35704</v>
      </c>
      <c r="AG43">
        <v>0</v>
      </c>
      <c r="AH43" t="e">
        <f>VLOOKUP(AF43,LoanLevelHist!B:D,2,0)</f>
        <v>#N/A</v>
      </c>
      <c r="AI43" t="e">
        <f>VLOOKUP(AF43,LoanLevelHist!B:D,3,0)</f>
        <v>#N/A</v>
      </c>
      <c r="AJ43">
        <f>VLOOKUP(AF43,'v1'!AB:AD,3,0)</f>
        <v>0.55576919435114103</v>
      </c>
    </row>
    <row r="44" spans="1:36" x14ac:dyDescent="0.25">
      <c r="A44" s="1" t="s">
        <v>45</v>
      </c>
      <c r="B44" s="2">
        <v>41791</v>
      </c>
      <c r="C44">
        <v>0.75234810880885306</v>
      </c>
      <c r="D44">
        <v>0.78499593314744798</v>
      </c>
      <c r="E44">
        <f>VLOOKUP(B44,'v1'!B:D,3,0)</f>
        <v>0.93895330721399695</v>
      </c>
      <c r="G44" s="1" t="s">
        <v>45</v>
      </c>
      <c r="H44" s="2">
        <v>41791</v>
      </c>
      <c r="I44">
        <v>0.73020794921990795</v>
      </c>
      <c r="J44">
        <v>0.77224884189752696</v>
      </c>
      <c r="K44">
        <f>VLOOKUP(H44,'v1'!H:J,3,0)</f>
        <v>0.75725363012071301</v>
      </c>
      <c r="M44" s="1" t="s">
        <v>45</v>
      </c>
      <c r="N44" s="2">
        <v>41791</v>
      </c>
      <c r="O44">
        <v>3.03463692512662E-2</v>
      </c>
      <c r="P44">
        <v>6.1862346018870501E-2</v>
      </c>
      <c r="Q44">
        <f>VLOOKUP(N44,'v1'!M:O,3,0)</f>
        <v>0.153467852235911</v>
      </c>
      <c r="S44" s="1" t="s">
        <v>45</v>
      </c>
      <c r="T44" s="2">
        <v>41791</v>
      </c>
      <c r="U44">
        <v>1.28709369852047</v>
      </c>
      <c r="V44">
        <v>1.16973958700142</v>
      </c>
      <c r="W44">
        <f>VLOOKUP(T44,'v1'!R:T,3,0)</f>
        <v>2.3862735867786502</v>
      </c>
      <c r="Y44" s="1" t="s">
        <v>45</v>
      </c>
      <c r="Z44" s="2">
        <v>42370</v>
      </c>
      <c r="AA44">
        <v>1.64978599436628</v>
      </c>
      <c r="AB44">
        <v>2.1111662189355598</v>
      </c>
      <c r="AC44">
        <f>VLOOKUP(Z44,'v1'!W:Y,3,0)</f>
        <v>11.173444435704299</v>
      </c>
      <c r="AE44" t="s">
        <v>45</v>
      </c>
      <c r="AF44" s="2">
        <v>35735</v>
      </c>
      <c r="AG44">
        <v>0</v>
      </c>
      <c r="AH44" t="e">
        <f>VLOOKUP(AF44,LoanLevelHist!B:D,2,0)</f>
        <v>#N/A</v>
      </c>
      <c r="AI44" t="e">
        <f>VLOOKUP(AF44,LoanLevelHist!B:D,3,0)</f>
        <v>#N/A</v>
      </c>
      <c r="AJ44">
        <f>VLOOKUP(AF44,'v1'!AB:AD,3,0)</f>
        <v>0.572526611240876</v>
      </c>
    </row>
    <row r="45" spans="1:36" x14ac:dyDescent="0.25">
      <c r="A45" s="1" t="s">
        <v>46</v>
      </c>
      <c r="B45" s="2">
        <v>41821</v>
      </c>
      <c r="C45">
        <v>0.71890986529851197</v>
      </c>
      <c r="D45">
        <v>0.78938625105429105</v>
      </c>
      <c r="E45">
        <f>VLOOKUP(B45,'v1'!B:D,3,0)</f>
        <v>0.93889907067923295</v>
      </c>
      <c r="G45" s="1" t="s">
        <v>46</v>
      </c>
      <c r="H45" s="2">
        <v>41821</v>
      </c>
      <c r="I45">
        <v>0.69287565148261598</v>
      </c>
      <c r="J45">
        <v>0.77274669516558303</v>
      </c>
      <c r="K45">
        <f>VLOOKUP(H45,'v1'!H:J,3,0)</f>
        <v>0.74684526804180695</v>
      </c>
      <c r="M45" s="1" t="s">
        <v>46</v>
      </c>
      <c r="N45" s="2">
        <v>41821</v>
      </c>
      <c r="O45">
        <v>8.9049625222636902E-2</v>
      </c>
      <c r="P45">
        <v>7.2447388462892906E-2</v>
      </c>
      <c r="Q45">
        <f>VLOOKUP(N45,'v1'!M:O,3,0)</f>
        <v>0.159650767780595</v>
      </c>
      <c r="S45" s="1" t="s">
        <v>46</v>
      </c>
      <c r="T45" s="2">
        <v>41821</v>
      </c>
      <c r="U45">
        <v>1.1971972018130199</v>
      </c>
      <c r="V45">
        <v>1.2121509932716199</v>
      </c>
      <c r="W45">
        <f>VLOOKUP(T45,'v1'!R:T,3,0)</f>
        <v>2.4360086670104102</v>
      </c>
      <c r="Y45" s="1" t="s">
        <v>46</v>
      </c>
      <c r="Z45" s="2">
        <v>42401</v>
      </c>
      <c r="AA45">
        <v>1.4464891240081801</v>
      </c>
      <c r="AB45">
        <v>1.9589249055150799</v>
      </c>
      <c r="AC45">
        <f>VLOOKUP(Z45,'v1'!W:Y,3,0)</f>
        <v>11.364858408640499</v>
      </c>
      <c r="AE45" t="s">
        <v>46</v>
      </c>
      <c r="AF45" s="2">
        <v>35765</v>
      </c>
      <c r="AG45">
        <v>0</v>
      </c>
      <c r="AH45" t="e">
        <f>VLOOKUP(AF45,LoanLevelHist!B:D,2,0)</f>
        <v>#N/A</v>
      </c>
      <c r="AI45" t="e">
        <f>VLOOKUP(AF45,LoanLevelHist!B:D,3,0)</f>
        <v>#N/A</v>
      </c>
      <c r="AJ45">
        <f>VLOOKUP(AF45,'v1'!AB:AD,3,0)</f>
        <v>0.55451884690665998</v>
      </c>
    </row>
    <row r="46" spans="1:36" x14ac:dyDescent="0.25">
      <c r="A46" s="1" t="s">
        <v>47</v>
      </c>
      <c r="B46" s="2">
        <v>41852</v>
      </c>
      <c r="C46">
        <v>0.74288918882122701</v>
      </c>
      <c r="D46">
        <v>0.79519370658590605</v>
      </c>
      <c r="E46">
        <f>VLOOKUP(B46,'v1'!B:D,3,0)</f>
        <v>0.94145507005831697</v>
      </c>
      <c r="G46" s="1" t="s">
        <v>47</v>
      </c>
      <c r="H46" s="2">
        <v>41852</v>
      </c>
      <c r="I46">
        <v>0.71117159013176501</v>
      </c>
      <c r="J46">
        <v>0.77133380240960203</v>
      </c>
      <c r="K46">
        <f>VLOOKUP(H46,'v1'!H:J,3,0)</f>
        <v>0.73820703984452996</v>
      </c>
      <c r="M46" s="1" t="s">
        <v>47</v>
      </c>
      <c r="N46" s="2">
        <v>41852</v>
      </c>
      <c r="O46">
        <v>0.119118864486467</v>
      </c>
      <c r="P46">
        <v>7.4359051019234901E-2</v>
      </c>
      <c r="Q46">
        <f>VLOOKUP(N46,'v1'!M:O,3,0)</f>
        <v>0.165919876994369</v>
      </c>
      <c r="S46" s="1" t="s">
        <v>47</v>
      </c>
      <c r="T46" s="2">
        <v>41852</v>
      </c>
      <c r="U46">
        <v>1.29600732275778</v>
      </c>
      <c r="V46">
        <v>1.34528221311075</v>
      </c>
      <c r="W46">
        <f>VLOOKUP(T46,'v1'!R:T,3,0)</f>
        <v>2.5214115903367298</v>
      </c>
      <c r="AE46" t="s">
        <v>47</v>
      </c>
      <c r="AF46" s="2">
        <v>35796</v>
      </c>
      <c r="AG46">
        <v>0</v>
      </c>
      <c r="AH46" t="e">
        <f>VLOOKUP(AF46,LoanLevelHist!B:D,2,0)</f>
        <v>#N/A</v>
      </c>
      <c r="AI46" t="e">
        <f>VLOOKUP(AF46,LoanLevelHist!B:D,3,0)</f>
        <v>#N/A</v>
      </c>
      <c r="AJ46">
        <f>VLOOKUP(AF46,'v1'!AB:AD,3,0)</f>
        <v>0.55100098475564496</v>
      </c>
    </row>
    <row r="47" spans="1:36" x14ac:dyDescent="0.25">
      <c r="A47" s="1" t="s">
        <v>48</v>
      </c>
      <c r="B47" s="2">
        <v>41883</v>
      </c>
      <c r="C47">
        <v>0.72468512177834599</v>
      </c>
      <c r="D47">
        <v>0.76693717432183595</v>
      </c>
      <c r="E47">
        <f>VLOOKUP(B47,'v1'!B:D,3,0)</f>
        <v>0.93352289596000404</v>
      </c>
      <c r="G47" s="1" t="s">
        <v>48</v>
      </c>
      <c r="H47" s="2">
        <v>41883</v>
      </c>
      <c r="I47">
        <v>0.69269283228867695</v>
      </c>
      <c r="J47">
        <v>0.74063961085655305</v>
      </c>
      <c r="K47">
        <f>VLOOKUP(H47,'v1'!H:J,3,0)</f>
        <v>0.72280786517570095</v>
      </c>
      <c r="M47" s="1" t="s">
        <v>48</v>
      </c>
      <c r="N47" s="2">
        <v>41883</v>
      </c>
      <c r="O47">
        <v>8.2103125050214706E-2</v>
      </c>
      <c r="P47">
        <v>7.1561254868379706E-2</v>
      </c>
      <c r="Q47">
        <f>VLOOKUP(N47,'v1'!M:O,3,0)</f>
        <v>0.16965117641409799</v>
      </c>
      <c r="S47" s="1" t="s">
        <v>48</v>
      </c>
      <c r="T47" s="2">
        <v>41883</v>
      </c>
      <c r="U47">
        <v>1.32829716626701</v>
      </c>
      <c r="V47">
        <v>1.34459691815632</v>
      </c>
      <c r="W47">
        <f>VLOOKUP(T47,'v1'!R:T,3,0)</f>
        <v>2.5373180305041299</v>
      </c>
      <c r="AE47" t="s">
        <v>48</v>
      </c>
      <c r="AF47" s="2">
        <v>35827</v>
      </c>
      <c r="AG47">
        <v>0</v>
      </c>
      <c r="AH47" t="e">
        <f>VLOOKUP(AF47,LoanLevelHist!B:D,2,0)</f>
        <v>#N/A</v>
      </c>
      <c r="AI47" t="e">
        <f>VLOOKUP(AF47,LoanLevelHist!B:D,3,0)</f>
        <v>#N/A</v>
      </c>
      <c r="AJ47">
        <f>VLOOKUP(AF47,'v1'!AB:AD,3,0)</f>
        <v>0.55453178482989296</v>
      </c>
    </row>
    <row r="48" spans="1:36" x14ac:dyDescent="0.25">
      <c r="A48" s="1" t="s">
        <v>49</v>
      </c>
      <c r="B48" s="2">
        <v>41913</v>
      </c>
      <c r="C48">
        <v>0.72620129135423395</v>
      </c>
      <c r="D48">
        <v>0.84637328847563298</v>
      </c>
      <c r="E48">
        <f>VLOOKUP(B48,'v1'!B:D,3,0)</f>
        <v>0.939065274851414</v>
      </c>
      <c r="G48" s="1" t="s">
        <v>49</v>
      </c>
      <c r="H48" s="2">
        <v>41913</v>
      </c>
      <c r="I48">
        <v>0.689705290668985</v>
      </c>
      <c r="J48">
        <v>0.81327714305388099</v>
      </c>
      <c r="K48">
        <f>VLOOKUP(H48,'v1'!H:J,3,0)</f>
        <v>0.716774939922316</v>
      </c>
      <c r="M48" s="1" t="s">
        <v>49</v>
      </c>
      <c r="N48" s="2">
        <v>41913</v>
      </c>
      <c r="O48">
        <v>4.8598743451810901E-2</v>
      </c>
      <c r="P48">
        <v>8.9238146685688399E-2</v>
      </c>
      <c r="Q48">
        <f>VLOOKUP(N48,'v1'!M:O,3,0)</f>
        <v>0.17523445155331899</v>
      </c>
      <c r="S48" s="1" t="s">
        <v>49</v>
      </c>
      <c r="T48" s="2">
        <v>41913</v>
      </c>
      <c r="U48">
        <v>1.3058516077720801</v>
      </c>
      <c r="V48">
        <v>1.51078095925209</v>
      </c>
      <c r="W48">
        <f>VLOOKUP(T48,'v1'!R:T,3,0)</f>
        <v>2.6423743647857298</v>
      </c>
      <c r="AE48" t="s">
        <v>49</v>
      </c>
      <c r="AF48" s="2">
        <v>35855</v>
      </c>
      <c r="AG48">
        <v>0</v>
      </c>
      <c r="AH48" t="e">
        <f>VLOOKUP(AF48,LoanLevelHist!B:D,2,0)</f>
        <v>#N/A</v>
      </c>
      <c r="AI48" t="e">
        <f>VLOOKUP(AF48,LoanLevelHist!B:D,3,0)</f>
        <v>#N/A</v>
      </c>
      <c r="AJ48">
        <f>VLOOKUP(AF48,'v1'!AB:AD,3,0)</f>
        <v>0.55230636153675805</v>
      </c>
    </row>
    <row r="49" spans="1:36" x14ac:dyDescent="0.25">
      <c r="A49" s="1" t="s">
        <v>50</v>
      </c>
      <c r="B49" s="2">
        <v>41944</v>
      </c>
      <c r="C49">
        <v>0.68886206547695805</v>
      </c>
      <c r="D49">
        <v>0.78431743220730399</v>
      </c>
      <c r="E49">
        <f>VLOOKUP(B49,'v1'!B:D,3,0)</f>
        <v>0.94433405833209705</v>
      </c>
      <c r="G49" s="1" t="s">
        <v>50</v>
      </c>
      <c r="H49" s="2">
        <v>41944</v>
      </c>
      <c r="I49">
        <v>0.65397913694174004</v>
      </c>
      <c r="J49">
        <v>0.74967403033608904</v>
      </c>
      <c r="K49">
        <f>VLOOKUP(H49,'v1'!H:J,3,0)</f>
        <v>0.71081910130338399</v>
      </c>
      <c r="M49" s="1" t="s">
        <v>50</v>
      </c>
      <c r="N49" s="2">
        <v>41944</v>
      </c>
      <c r="O49">
        <v>0.117854442895149</v>
      </c>
      <c r="P49">
        <v>7.7850527258505095E-2</v>
      </c>
      <c r="Q49">
        <f>VLOOKUP(N49,'v1'!M:O,3,0)</f>
        <v>0.18075821368093201</v>
      </c>
      <c r="S49" s="1" t="s">
        <v>50</v>
      </c>
      <c r="T49" s="2">
        <v>41944</v>
      </c>
      <c r="U49">
        <v>1.34509184270761</v>
      </c>
      <c r="V49">
        <v>1.4833033092568799</v>
      </c>
      <c r="W49">
        <f>VLOOKUP(T49,'v1'!R:T,3,0)</f>
        <v>2.7450737741209799</v>
      </c>
      <c r="AE49" t="s">
        <v>50</v>
      </c>
      <c r="AF49" s="2">
        <v>35886</v>
      </c>
      <c r="AG49">
        <v>0</v>
      </c>
      <c r="AH49" t="e">
        <f>VLOOKUP(AF49,LoanLevelHist!B:D,2,0)</f>
        <v>#N/A</v>
      </c>
      <c r="AI49" t="e">
        <f>VLOOKUP(AF49,LoanLevelHist!B:D,3,0)</f>
        <v>#N/A</v>
      </c>
      <c r="AJ49">
        <f>VLOOKUP(AF49,'v1'!AB:AD,3,0)</f>
        <v>0.539579849278637</v>
      </c>
    </row>
    <row r="50" spans="1:36" x14ac:dyDescent="0.25">
      <c r="A50" s="1" t="s">
        <v>51</v>
      </c>
      <c r="B50" s="2">
        <v>41974</v>
      </c>
      <c r="C50">
        <v>0.73175020799269896</v>
      </c>
      <c r="D50">
        <v>0.72213247232254496</v>
      </c>
      <c r="E50">
        <f>VLOOKUP(B50,'v1'!B:D,3,0)</f>
        <v>0.95249544748146098</v>
      </c>
      <c r="G50" s="1" t="s">
        <v>51</v>
      </c>
      <c r="H50" s="2">
        <v>41974</v>
      </c>
      <c r="I50">
        <v>0.69831895263763299</v>
      </c>
      <c r="J50">
        <v>0.68597468575508602</v>
      </c>
      <c r="K50">
        <f>VLOOKUP(H50,'v1'!H:J,3,0)</f>
        <v>0.70744130743589695</v>
      </c>
      <c r="M50" s="1" t="s">
        <v>51</v>
      </c>
      <c r="N50" s="2">
        <v>41974</v>
      </c>
      <c r="O50">
        <v>2.6388848964265001E-2</v>
      </c>
      <c r="P50">
        <v>6.8866010439439004E-2</v>
      </c>
      <c r="Q50">
        <f>VLOOKUP(N50,'v1'!M:O,3,0)</f>
        <v>0.186472795618808</v>
      </c>
      <c r="S50" s="1" t="s">
        <v>51</v>
      </c>
      <c r="T50" s="2">
        <v>41974</v>
      </c>
      <c r="U50">
        <v>1.3463269879751301</v>
      </c>
      <c r="V50">
        <v>1.4196071556394501</v>
      </c>
      <c r="W50">
        <f>VLOOKUP(T50,'v1'!R:T,3,0)</f>
        <v>2.8510892052435599</v>
      </c>
      <c r="AE50" t="s">
        <v>51</v>
      </c>
      <c r="AF50" s="2">
        <v>35916</v>
      </c>
      <c r="AG50">
        <v>0</v>
      </c>
      <c r="AH50" t="e">
        <f>VLOOKUP(AF50,LoanLevelHist!B:D,2,0)</f>
        <v>#N/A</v>
      </c>
      <c r="AI50" t="e">
        <f>VLOOKUP(AF50,LoanLevelHist!B:D,3,0)</f>
        <v>#N/A</v>
      </c>
      <c r="AJ50">
        <f>VLOOKUP(AF50,'v1'!AB:AD,3,0)</f>
        <v>0.52563410461827798</v>
      </c>
    </row>
    <row r="51" spans="1:36" x14ac:dyDescent="0.25">
      <c r="A51" s="1" t="s">
        <v>52</v>
      </c>
      <c r="B51" s="2">
        <v>42005</v>
      </c>
      <c r="C51">
        <v>0.68760699562067096</v>
      </c>
      <c r="D51">
        <v>0.87545112370576195</v>
      </c>
      <c r="E51">
        <f>VLOOKUP(B51,'v1'!B:D,3,0)</f>
        <v>0.95646478566832105</v>
      </c>
      <c r="G51" s="1" t="s">
        <v>52</v>
      </c>
      <c r="H51" s="2">
        <v>42005</v>
      </c>
      <c r="I51">
        <v>0.64969267875842895</v>
      </c>
      <c r="J51">
        <v>0.82765619687508196</v>
      </c>
      <c r="K51">
        <f>VLOOKUP(H51,'v1'!H:J,3,0)</f>
        <v>0.70160083031551901</v>
      </c>
      <c r="M51" s="1" t="s">
        <v>52</v>
      </c>
      <c r="N51" s="2">
        <v>42005</v>
      </c>
      <c r="O51">
        <v>8.5151275160444406E-2</v>
      </c>
      <c r="P51">
        <v>0.108426190246369</v>
      </c>
      <c r="Q51">
        <f>VLOOKUP(N51,'v1'!M:O,3,0)</f>
        <v>0.19050565252510801</v>
      </c>
      <c r="S51" s="1" t="s">
        <v>52</v>
      </c>
      <c r="T51" s="2">
        <v>42005</v>
      </c>
      <c r="U51">
        <v>1.3409663272022101</v>
      </c>
      <c r="V51">
        <v>1.76580031618783</v>
      </c>
      <c r="W51">
        <f>VLOOKUP(T51,'v1'!R:T,3,0)</f>
        <v>2.92053753286226</v>
      </c>
      <c r="AE51" t="s">
        <v>52</v>
      </c>
      <c r="AF51" s="2">
        <v>35947</v>
      </c>
      <c r="AG51">
        <v>0</v>
      </c>
      <c r="AH51" t="e">
        <f>VLOOKUP(AF51,LoanLevelHist!B:D,2,0)</f>
        <v>#N/A</v>
      </c>
      <c r="AI51" t="e">
        <f>VLOOKUP(AF51,LoanLevelHist!B:D,3,0)</f>
        <v>#N/A</v>
      </c>
      <c r="AJ51">
        <f>VLOOKUP(AF51,'v1'!AB:AD,3,0)</f>
        <v>0.51556978079452298</v>
      </c>
    </row>
    <row r="52" spans="1:36" x14ac:dyDescent="0.25">
      <c r="A52" s="1" t="s">
        <v>53</v>
      </c>
      <c r="B52" s="2">
        <v>42036</v>
      </c>
      <c r="C52">
        <v>0.69063000413512898</v>
      </c>
      <c r="D52">
        <v>0.74022149442872798</v>
      </c>
      <c r="E52">
        <f>VLOOKUP(B52,'v1'!B:D,3,0)</f>
        <v>0.96136132335995494</v>
      </c>
      <c r="G52" s="1" t="s">
        <v>53</v>
      </c>
      <c r="H52" s="2">
        <v>42036</v>
      </c>
      <c r="I52">
        <v>0.64380936081920304</v>
      </c>
      <c r="J52">
        <v>0.697935414078799</v>
      </c>
      <c r="K52">
        <f>VLOOKUP(H52,'v1'!H:J,3,0)</f>
        <v>0.69745945500254702</v>
      </c>
      <c r="M52" s="1" t="s">
        <v>53</v>
      </c>
      <c r="N52" s="2">
        <v>42036</v>
      </c>
      <c r="O52">
        <v>0.13158484295564499</v>
      </c>
      <c r="P52">
        <v>8.5880329416188103E-2</v>
      </c>
      <c r="Q52">
        <f>VLOOKUP(N52,'v1'!M:O,3,0)</f>
        <v>0.195112520231633</v>
      </c>
      <c r="S52" s="1" t="s">
        <v>53</v>
      </c>
      <c r="T52" s="2">
        <v>42036</v>
      </c>
      <c r="U52">
        <v>1.4401412931507001</v>
      </c>
      <c r="V52">
        <v>1.52719172268643</v>
      </c>
      <c r="W52">
        <f>VLOOKUP(T52,'v1'!R:T,3,0)</f>
        <v>2.9859047938038099</v>
      </c>
      <c r="AE52" t="s">
        <v>53</v>
      </c>
      <c r="AF52" s="2">
        <v>35977</v>
      </c>
      <c r="AG52">
        <v>0</v>
      </c>
      <c r="AH52" t="e">
        <f>VLOOKUP(AF52,LoanLevelHist!B:D,2,0)</f>
        <v>#N/A</v>
      </c>
      <c r="AI52" t="e">
        <f>VLOOKUP(AF52,LoanLevelHist!B:D,3,0)</f>
        <v>#N/A</v>
      </c>
      <c r="AJ52">
        <f>VLOOKUP(AF52,'v1'!AB:AD,3,0)</f>
        <v>0.50544417971829503</v>
      </c>
    </row>
    <row r="53" spans="1:36" x14ac:dyDescent="0.25">
      <c r="A53" s="1" t="s">
        <v>54</v>
      </c>
      <c r="B53" s="2">
        <v>42064</v>
      </c>
      <c r="C53">
        <v>0.62462777776288703</v>
      </c>
      <c r="D53">
        <v>0.76113451083606998</v>
      </c>
      <c r="E53">
        <f>VLOOKUP(B53,'v1'!B:D,3,0)</f>
        <v>0.96425929169279301</v>
      </c>
      <c r="G53" s="1" t="s">
        <v>54</v>
      </c>
      <c r="H53" s="2">
        <v>42064</v>
      </c>
      <c r="I53">
        <v>0.58813600864986404</v>
      </c>
      <c r="J53">
        <v>0.69828724890370597</v>
      </c>
      <c r="K53">
        <f>VLOOKUP(H53,'v1'!H:J,3,0)</f>
        <v>0.69201004346237704</v>
      </c>
      <c r="M53" s="1" t="s">
        <v>54</v>
      </c>
      <c r="N53" s="2">
        <v>42064</v>
      </c>
      <c r="O53">
        <v>9.3392530557345796E-2</v>
      </c>
      <c r="P53">
        <v>7.1997185779049094E-2</v>
      </c>
      <c r="Q53">
        <f>VLOOKUP(N53,'v1'!M:O,3,0)</f>
        <v>0.20065167530443101</v>
      </c>
      <c r="S53" s="1" t="s">
        <v>54</v>
      </c>
      <c r="T53" s="2">
        <v>42064</v>
      </c>
      <c r="U53">
        <v>1.19490477209233</v>
      </c>
      <c r="V53">
        <v>1.79587602764267</v>
      </c>
      <c r="W53">
        <f>VLOOKUP(T53,'v1'!R:T,3,0)</f>
        <v>3.0526450104871001</v>
      </c>
      <c r="AE53" t="s">
        <v>54</v>
      </c>
      <c r="AF53" s="2">
        <v>36008</v>
      </c>
      <c r="AG53">
        <v>0</v>
      </c>
      <c r="AH53" t="e">
        <f>VLOOKUP(AF53,LoanLevelHist!B:D,2,0)</f>
        <v>#N/A</v>
      </c>
      <c r="AI53" t="e">
        <f>VLOOKUP(AF53,LoanLevelHist!B:D,3,0)</f>
        <v>#N/A</v>
      </c>
      <c r="AJ53">
        <f>VLOOKUP(AF53,'v1'!AB:AD,3,0)</f>
        <v>0.49552463404705099</v>
      </c>
    </row>
    <row r="54" spans="1:36" x14ac:dyDescent="0.25">
      <c r="A54" s="1" t="s">
        <v>55</v>
      </c>
      <c r="B54" s="2">
        <v>42095</v>
      </c>
      <c r="C54">
        <v>0.53754334578658403</v>
      </c>
      <c r="D54">
        <v>0.75223209558569204</v>
      </c>
      <c r="E54">
        <f>VLOOKUP(B54,'v1'!B:D,3,0)</f>
        <v>0.94547493487658896</v>
      </c>
      <c r="G54" s="1" t="s">
        <v>55</v>
      </c>
      <c r="H54" s="2">
        <v>42095</v>
      </c>
      <c r="I54">
        <v>0.50731464004529803</v>
      </c>
      <c r="J54">
        <v>0.70445331364201702</v>
      </c>
      <c r="K54">
        <f>VLOOKUP(H54,'v1'!H:J,3,0)</f>
        <v>0.67395590375157699</v>
      </c>
      <c r="M54" s="1" t="s">
        <v>55</v>
      </c>
      <c r="N54" s="2">
        <v>42095</v>
      </c>
      <c r="O54">
        <v>6.7893245204087002E-2</v>
      </c>
      <c r="P54">
        <v>9.0200273665175204E-2</v>
      </c>
      <c r="Q54">
        <f>VLOOKUP(N54,'v1'!M:O,3,0)</f>
        <v>0.198869108160205</v>
      </c>
      <c r="S54" s="1" t="s">
        <v>55</v>
      </c>
      <c r="T54" s="2">
        <v>42095</v>
      </c>
      <c r="U54">
        <v>1.1920219339351099</v>
      </c>
      <c r="V54">
        <v>1.61876137733979</v>
      </c>
      <c r="W54">
        <f>VLOOKUP(T54,'v1'!R:T,3,0)</f>
        <v>2.9182593900643501</v>
      </c>
      <c r="AE54" t="s">
        <v>55</v>
      </c>
      <c r="AF54" s="2">
        <v>36039</v>
      </c>
      <c r="AG54">
        <v>0</v>
      </c>
      <c r="AH54" t="e">
        <f>VLOOKUP(AF54,LoanLevelHist!B:D,2,0)</f>
        <v>#N/A</v>
      </c>
      <c r="AI54" t="e">
        <f>VLOOKUP(AF54,LoanLevelHist!B:D,3,0)</f>
        <v>#N/A</v>
      </c>
      <c r="AJ54">
        <f>VLOOKUP(AF54,'v1'!AB:AD,3,0)</f>
        <v>0.48977749146753602</v>
      </c>
    </row>
    <row r="55" spans="1:36" x14ac:dyDescent="0.25">
      <c r="A55" s="1" t="s">
        <v>56</v>
      </c>
      <c r="B55" s="2">
        <v>42125</v>
      </c>
      <c r="C55">
        <v>0.51417879238037101</v>
      </c>
      <c r="D55">
        <v>0.59652914032641802</v>
      </c>
      <c r="E55">
        <f>VLOOKUP(B55,'v1'!B:D,3,0)</f>
        <v>0.92029304078529195</v>
      </c>
      <c r="G55" s="1" t="s">
        <v>56</v>
      </c>
      <c r="H55" s="2">
        <v>42125</v>
      </c>
      <c r="I55">
        <v>0.48334304569323</v>
      </c>
      <c r="J55">
        <v>0.55924288096580499</v>
      </c>
      <c r="K55">
        <f>VLOOKUP(H55,'v1'!H:J,3,0)</f>
        <v>0.65134723090760605</v>
      </c>
      <c r="M55" s="1" t="s">
        <v>56</v>
      </c>
      <c r="N55" s="2">
        <v>42125</v>
      </c>
      <c r="O55">
        <v>7.6871349007945303E-2</v>
      </c>
      <c r="P55">
        <v>7.9032991982108697E-2</v>
      </c>
      <c r="Q55">
        <f>VLOOKUP(N55,'v1'!M:O,3,0)</f>
        <v>0.198623471515424</v>
      </c>
      <c r="S55" s="1" t="s">
        <v>56</v>
      </c>
      <c r="T55" s="2">
        <v>42125</v>
      </c>
      <c r="U55">
        <v>1.01760291330334</v>
      </c>
      <c r="V55">
        <v>1.28645587818306</v>
      </c>
      <c r="W55">
        <f>VLOOKUP(T55,'v1'!R:T,3,0)</f>
        <v>2.7968009878532198</v>
      </c>
      <c r="AE55" t="s">
        <v>56</v>
      </c>
      <c r="AF55" s="2">
        <v>36069</v>
      </c>
      <c r="AG55">
        <v>0</v>
      </c>
      <c r="AH55" t="e">
        <f>VLOOKUP(AF55,LoanLevelHist!B:D,2,0)</f>
        <v>#N/A</v>
      </c>
      <c r="AI55" t="e">
        <f>VLOOKUP(AF55,LoanLevelHist!B:D,3,0)</f>
        <v>#N/A</v>
      </c>
      <c r="AJ55">
        <f>VLOOKUP(AF55,'v1'!AB:AD,3,0)</f>
        <v>0.48582652012249</v>
      </c>
    </row>
    <row r="56" spans="1:36" x14ac:dyDescent="0.25">
      <c r="A56" s="1" t="s">
        <v>57</v>
      </c>
      <c r="B56" s="2">
        <v>42156</v>
      </c>
      <c r="C56">
        <v>0.47831995339336902</v>
      </c>
      <c r="D56">
        <v>0.58402859460980905</v>
      </c>
      <c r="E56">
        <f>VLOOKUP(B56,'v1'!B:D,3,0)</f>
        <v>0.89587108424849005</v>
      </c>
      <c r="G56" s="1" t="s">
        <v>57</v>
      </c>
      <c r="H56" s="2">
        <v>42156</v>
      </c>
      <c r="I56">
        <v>0.44822073042972699</v>
      </c>
      <c r="J56">
        <v>0.54618332829758898</v>
      </c>
      <c r="K56">
        <f>VLOOKUP(H56,'v1'!H:J,3,0)</f>
        <v>0.63025235567846205</v>
      </c>
      <c r="M56" s="1" t="s">
        <v>57</v>
      </c>
      <c r="N56" s="2">
        <v>42156</v>
      </c>
      <c r="O56">
        <v>2.0595158197211898E-2</v>
      </c>
      <c r="P56">
        <v>8.0589603464587004E-2</v>
      </c>
      <c r="Q56">
        <f>VLOOKUP(N56,'v1'!M:O,3,0)</f>
        <v>0.195805115391601</v>
      </c>
      <c r="S56" s="1" t="s">
        <v>57</v>
      </c>
      <c r="T56" s="2">
        <v>42156</v>
      </c>
      <c r="U56">
        <v>1.1365317123412799</v>
      </c>
      <c r="V56">
        <v>1.2654744774290001</v>
      </c>
      <c r="W56">
        <f>VLOOKUP(T56,'v1'!R:T,3,0)</f>
        <v>2.6866428802586202</v>
      </c>
      <c r="AE56" t="s">
        <v>57</v>
      </c>
      <c r="AF56" s="2">
        <v>36100</v>
      </c>
      <c r="AG56">
        <v>0</v>
      </c>
      <c r="AH56" t="e">
        <f>VLOOKUP(AF56,LoanLevelHist!B:D,2,0)</f>
        <v>#N/A</v>
      </c>
      <c r="AI56" t="e">
        <f>VLOOKUP(AF56,LoanLevelHist!B:D,3,0)</f>
        <v>#N/A</v>
      </c>
      <c r="AJ56">
        <f>VLOOKUP(AF56,'v1'!AB:AD,3,0)</f>
        <v>0.47617635440328998</v>
      </c>
    </row>
    <row r="57" spans="1:36" x14ac:dyDescent="0.25">
      <c r="A57" s="1" t="s">
        <v>58</v>
      </c>
      <c r="B57" s="2">
        <v>42186</v>
      </c>
      <c r="C57">
        <v>0.46056294540182102</v>
      </c>
      <c r="D57">
        <v>0.63896663304009405</v>
      </c>
      <c r="E57">
        <f>VLOOKUP(B57,'v1'!B:D,3,0)</f>
        <v>0.88740404340729195</v>
      </c>
      <c r="G57" s="1" t="s">
        <v>58</v>
      </c>
      <c r="H57" s="2">
        <v>42186</v>
      </c>
      <c r="I57">
        <v>0.42191429944450398</v>
      </c>
      <c r="J57">
        <v>0.59574600022033197</v>
      </c>
      <c r="K57">
        <f>VLOOKUP(H57,'v1'!H:J,3,0)</f>
        <v>0.618837310681153</v>
      </c>
      <c r="M57" s="1" t="s">
        <v>58</v>
      </c>
      <c r="N57" s="2">
        <v>42186</v>
      </c>
      <c r="O57">
        <v>8.1415182531341404E-2</v>
      </c>
      <c r="P57">
        <v>0.10400207830520999</v>
      </c>
      <c r="Q57">
        <f>VLOOKUP(N57,'v1'!M:O,3,0)</f>
        <v>0.19643845434200699</v>
      </c>
      <c r="S57" s="1" t="s">
        <v>58</v>
      </c>
      <c r="T57" s="2">
        <v>42186</v>
      </c>
      <c r="U57">
        <v>1.2301638236166299</v>
      </c>
      <c r="V57">
        <v>1.4288774064129099</v>
      </c>
      <c r="W57">
        <f>VLOOKUP(T57,'v1'!R:T,3,0)</f>
        <v>2.7054653492143999</v>
      </c>
      <c r="AE57" t="s">
        <v>58</v>
      </c>
      <c r="AF57" s="2">
        <v>36130</v>
      </c>
      <c r="AG57">
        <v>0</v>
      </c>
      <c r="AH57" t="e">
        <f>VLOOKUP(AF57,LoanLevelHist!B:D,2,0)</f>
        <v>#N/A</v>
      </c>
      <c r="AI57" t="e">
        <f>VLOOKUP(AF57,LoanLevelHist!B:D,3,0)</f>
        <v>#N/A</v>
      </c>
      <c r="AJ57">
        <f>VLOOKUP(AF57,'v1'!AB:AD,3,0)</f>
        <v>0.463078044090248</v>
      </c>
    </row>
    <row r="58" spans="1:36" x14ac:dyDescent="0.25">
      <c r="A58" s="1" t="s">
        <v>59</v>
      </c>
      <c r="B58" s="2">
        <v>42217</v>
      </c>
      <c r="C58">
        <v>0.47109754077180299</v>
      </c>
      <c r="D58">
        <v>0.59857037972521598</v>
      </c>
      <c r="E58">
        <f>VLOOKUP(B58,'v1'!B:D,3,0)</f>
        <v>0.87840121887595701</v>
      </c>
      <c r="G58" s="1" t="s">
        <v>59</v>
      </c>
      <c r="H58" s="2">
        <v>42217</v>
      </c>
      <c r="I58">
        <v>0.43800255169093</v>
      </c>
      <c r="J58">
        <v>0.55291086621471797</v>
      </c>
      <c r="K58">
        <f>VLOOKUP(H58,'v1'!H:J,3,0)</f>
        <v>0.60805318515320095</v>
      </c>
      <c r="M58" s="1" t="s">
        <v>59</v>
      </c>
      <c r="N58" s="2">
        <v>42217</v>
      </c>
      <c r="O58">
        <v>2.69113445388269E-2</v>
      </c>
      <c r="P58">
        <v>9.4083021640378697E-2</v>
      </c>
      <c r="Q58">
        <f>VLOOKUP(N58,'v1'!M:O,3,0)</f>
        <v>0.19808291158289701</v>
      </c>
      <c r="S58" s="1" t="s">
        <v>59</v>
      </c>
      <c r="T58" s="2">
        <v>42217</v>
      </c>
      <c r="U58">
        <v>1.12937159314377</v>
      </c>
      <c r="V58">
        <v>1.42520818278252</v>
      </c>
      <c r="W58">
        <f>VLOOKUP(T58,'v1'!R:T,3,0)</f>
        <v>2.7174988379767102</v>
      </c>
      <c r="AE58" t="s">
        <v>59</v>
      </c>
      <c r="AF58" s="2">
        <v>36161</v>
      </c>
      <c r="AG58">
        <v>0</v>
      </c>
      <c r="AH58" t="e">
        <f>VLOOKUP(AF58,LoanLevelHist!B:D,2,0)</f>
        <v>#N/A</v>
      </c>
      <c r="AI58" t="e">
        <f>VLOOKUP(AF58,LoanLevelHist!B:D,3,0)</f>
        <v>#N/A</v>
      </c>
      <c r="AJ58">
        <f>VLOOKUP(AF58,'v1'!AB:AD,3,0)</f>
        <v>0.44997071095372898</v>
      </c>
    </row>
    <row r="59" spans="1:36" x14ac:dyDescent="0.25">
      <c r="A59" s="1" t="s">
        <v>60</v>
      </c>
      <c r="B59" s="2">
        <v>42248</v>
      </c>
      <c r="C59">
        <v>0.47010513249710101</v>
      </c>
      <c r="D59">
        <v>0.55549222750260796</v>
      </c>
      <c r="E59">
        <f>VLOOKUP(B59,'v1'!B:D,3,0)</f>
        <v>0.87176744884277502</v>
      </c>
      <c r="G59" s="1" t="s">
        <v>60</v>
      </c>
      <c r="H59" s="2">
        <v>42248</v>
      </c>
      <c r="I59">
        <v>0.43729943870187699</v>
      </c>
      <c r="J59">
        <v>0.50996311715465503</v>
      </c>
      <c r="K59">
        <f>VLOOKUP(H59,'v1'!H:J,3,0)</f>
        <v>0.59970445226709101</v>
      </c>
      <c r="M59" s="1" t="s">
        <v>60</v>
      </c>
      <c r="N59" s="2">
        <v>42248</v>
      </c>
      <c r="O59">
        <v>6.7578953037727998E-2</v>
      </c>
      <c r="P59">
        <v>8.0501218319206605E-2</v>
      </c>
      <c r="Q59">
        <f>VLOOKUP(N59,'v1'!M:O,3,0)</f>
        <v>0.19956547490747001</v>
      </c>
      <c r="S59" s="1" t="s">
        <v>60</v>
      </c>
      <c r="T59" s="2">
        <v>42248</v>
      </c>
      <c r="U59">
        <v>1.0327831652954</v>
      </c>
      <c r="V59">
        <v>1.3597979912637701</v>
      </c>
      <c r="W59">
        <f>VLOOKUP(T59,'v1'!R:T,3,0)</f>
        <v>2.7299318958567702</v>
      </c>
      <c r="AE59" t="s">
        <v>60</v>
      </c>
      <c r="AF59" s="2">
        <v>36192</v>
      </c>
      <c r="AG59">
        <v>0</v>
      </c>
      <c r="AH59" t="e">
        <f>VLOOKUP(AF59,LoanLevelHist!B:D,2,0)</f>
        <v>#N/A</v>
      </c>
      <c r="AI59" t="e">
        <f>VLOOKUP(AF59,LoanLevelHist!B:D,3,0)</f>
        <v>#N/A</v>
      </c>
      <c r="AJ59">
        <f>VLOOKUP(AF59,'v1'!AB:AD,3,0)</f>
        <v>0.44033953776770901</v>
      </c>
    </row>
    <row r="60" spans="1:36" x14ac:dyDescent="0.25">
      <c r="A60" s="1" t="s">
        <v>61</v>
      </c>
      <c r="B60" s="2">
        <v>42278</v>
      </c>
      <c r="C60">
        <v>0.48421266281546399</v>
      </c>
      <c r="D60">
        <v>0.57893912304795003</v>
      </c>
      <c r="E60">
        <f>VLOOKUP(B60,'v1'!B:D,3,0)</f>
        <v>0.87521990475064604</v>
      </c>
      <c r="G60" s="1" t="s">
        <v>61</v>
      </c>
      <c r="H60" s="2">
        <v>42278</v>
      </c>
      <c r="I60">
        <v>0.44998184278133302</v>
      </c>
      <c r="J60">
        <v>0.53224673439653503</v>
      </c>
      <c r="K60">
        <f>VLOOKUP(H60,'v1'!H:J,3,0)</f>
        <v>0.59778388090646595</v>
      </c>
      <c r="M60" s="1" t="s">
        <v>61</v>
      </c>
      <c r="N60" s="2">
        <v>42278</v>
      </c>
      <c r="O60">
        <v>2.3064118586812999E-2</v>
      </c>
      <c r="P60">
        <v>8.6517646902628503E-2</v>
      </c>
      <c r="Q60">
        <f>VLOOKUP(N60,'v1'!M:O,3,0)</f>
        <v>0.20599085619643601</v>
      </c>
      <c r="S60" s="1" t="s">
        <v>61</v>
      </c>
      <c r="T60" s="2">
        <v>42278</v>
      </c>
      <c r="U60">
        <v>1.25225147109823</v>
      </c>
      <c r="V60">
        <v>1.4689513220249</v>
      </c>
      <c r="W60">
        <f>VLOOKUP(T60,'v1'!R:T,3,0)</f>
        <v>2.8171638171939102</v>
      </c>
      <c r="AE60" t="s">
        <v>61</v>
      </c>
      <c r="AF60" s="2">
        <v>36220</v>
      </c>
      <c r="AG60">
        <v>0</v>
      </c>
      <c r="AH60">
        <f>VLOOKUP(AF60,LoanLevelHist!B:D,2,0)</f>
        <v>0</v>
      </c>
      <c r="AI60">
        <f>VLOOKUP(AF60,LoanLevelHist!B:D,3,0)</f>
        <v>5.3010549314613797E-4</v>
      </c>
      <c r="AJ60">
        <f>VLOOKUP(AF60,'v1'!AB:AD,3,0)</f>
        <v>0.43240462175884198</v>
      </c>
    </row>
    <row r="61" spans="1:36" x14ac:dyDescent="0.25">
      <c r="A61" s="1" t="s">
        <v>62</v>
      </c>
      <c r="B61" s="2">
        <v>42309</v>
      </c>
      <c r="C61">
        <v>0.51077296294593799</v>
      </c>
      <c r="D61">
        <v>0.59840938722750503</v>
      </c>
      <c r="E61">
        <f>VLOOKUP(B61,'v1'!B:D,3,0)</f>
        <v>0.87939747671824697</v>
      </c>
      <c r="G61" s="1" t="s">
        <v>62</v>
      </c>
      <c r="H61" s="2">
        <v>42309</v>
      </c>
      <c r="I61">
        <v>0.468423935065643</v>
      </c>
      <c r="J61">
        <v>0.54767332880875097</v>
      </c>
      <c r="K61">
        <f>VLOOKUP(H61,'v1'!H:J,3,0)</f>
        <v>0.597121980835713</v>
      </c>
      <c r="M61" s="1" t="s">
        <v>62</v>
      </c>
      <c r="N61" s="2">
        <v>42309</v>
      </c>
      <c r="O61">
        <v>7.0677389451234696E-2</v>
      </c>
      <c r="P61">
        <v>0.102291054027093</v>
      </c>
      <c r="Q61">
        <f>VLOOKUP(N61,'v1'!M:O,3,0)</f>
        <v>0.21294204367597899</v>
      </c>
      <c r="S61" s="1" t="s">
        <v>62</v>
      </c>
      <c r="T61" s="2">
        <v>42309</v>
      </c>
      <c r="U61">
        <v>1.31575253897638</v>
      </c>
      <c r="V61">
        <v>1.5470793181749201</v>
      </c>
      <c r="W61">
        <f>VLOOKUP(T61,'v1'!R:T,3,0)</f>
        <v>2.9022416600313301</v>
      </c>
      <c r="AE61" t="s">
        <v>62</v>
      </c>
      <c r="AF61" s="2">
        <v>36251</v>
      </c>
      <c r="AG61">
        <v>0</v>
      </c>
      <c r="AH61">
        <f>VLOOKUP(AF61,LoanLevelHist!B:D,2,0)</f>
        <v>1.4883822426503501E-2</v>
      </c>
      <c r="AI61">
        <f>VLOOKUP(AF61,LoanLevelHist!B:D,3,0)</f>
        <v>2.9025082466827001E-3</v>
      </c>
      <c r="AJ61">
        <f>VLOOKUP(AF61,'v1'!AB:AD,3,0)</f>
        <v>0.42603226595586702</v>
      </c>
    </row>
    <row r="62" spans="1:36" x14ac:dyDescent="0.25">
      <c r="A62" s="1" t="s">
        <v>63</v>
      </c>
      <c r="B62" s="2">
        <v>42339</v>
      </c>
      <c r="C62">
        <v>0.51036826719876904</v>
      </c>
      <c r="D62">
        <v>0.57680724378991199</v>
      </c>
      <c r="E62">
        <f>VLOOKUP(B62,'v1'!B:D,3,0)</f>
        <v>0.88541387738282396</v>
      </c>
      <c r="G62" s="1" t="s">
        <v>63</v>
      </c>
      <c r="H62" s="2">
        <v>42339</v>
      </c>
      <c r="I62">
        <v>0.47337548501534799</v>
      </c>
      <c r="J62">
        <v>0.52823112855711096</v>
      </c>
      <c r="K62">
        <f>VLOOKUP(H62,'v1'!H:J,3,0)</f>
        <v>0.59904043385167205</v>
      </c>
      <c r="M62" s="1" t="s">
        <v>63</v>
      </c>
      <c r="N62" s="2">
        <v>42339</v>
      </c>
      <c r="O62">
        <v>1.9871955952954799E-2</v>
      </c>
      <c r="P62">
        <v>9.4277195235426006E-2</v>
      </c>
      <c r="Q62">
        <f>VLOOKUP(N62,'v1'!M:O,3,0)</f>
        <v>0.221736454073407</v>
      </c>
      <c r="S62" s="1" t="s">
        <v>63</v>
      </c>
      <c r="T62" s="2">
        <v>42339</v>
      </c>
      <c r="U62">
        <v>1.39335263816878</v>
      </c>
      <c r="V62">
        <v>1.50881531584353</v>
      </c>
      <c r="W62">
        <f>VLOOKUP(T62,'v1'!R:T,3,0)</f>
        <v>2.9818197765464598</v>
      </c>
      <c r="AE62" t="s">
        <v>63</v>
      </c>
      <c r="AF62" s="2">
        <v>36281</v>
      </c>
      <c r="AG62">
        <v>0</v>
      </c>
      <c r="AH62">
        <f>VLOOKUP(AF62,LoanLevelHist!B:D,2,0)</f>
        <v>1.6324421766111801E-2</v>
      </c>
      <c r="AI62">
        <f>VLOOKUP(AF62,LoanLevelHist!B:D,3,0)</f>
        <v>3.8963063528352198E-3</v>
      </c>
      <c r="AJ62">
        <f>VLOOKUP(AF62,'v1'!AB:AD,3,0)</f>
        <v>0.418462729882141</v>
      </c>
    </row>
    <row r="63" spans="1:36" x14ac:dyDescent="0.25">
      <c r="A63" s="1" t="s">
        <v>64</v>
      </c>
      <c r="B63" s="2">
        <v>42370</v>
      </c>
      <c r="C63">
        <v>0.484258752547928</v>
      </c>
      <c r="D63">
        <v>0.60197772004412198</v>
      </c>
      <c r="E63">
        <f>VLOOKUP(B63,'v1'!B:D,3,0)</f>
        <v>0.89114245926922298</v>
      </c>
      <c r="G63" s="1" t="s">
        <v>64</v>
      </c>
      <c r="H63" s="2">
        <v>42370</v>
      </c>
      <c r="I63">
        <v>0.44586697615924797</v>
      </c>
      <c r="J63">
        <v>0.55052672667019698</v>
      </c>
      <c r="K63">
        <f>VLOOKUP(H63,'v1'!H:J,3,0)</f>
        <v>0.60016022759161702</v>
      </c>
      <c r="M63" s="1" t="s">
        <v>64</v>
      </c>
      <c r="N63" s="2">
        <v>42370</v>
      </c>
      <c r="O63">
        <v>4.3471699436070703E-2</v>
      </c>
      <c r="P63">
        <v>0.11411867179478299</v>
      </c>
      <c r="Q63">
        <f>VLOOKUP(N63,'v1'!M:O,3,0)</f>
        <v>0.22998010775068201</v>
      </c>
      <c r="S63" s="1" t="s">
        <v>64</v>
      </c>
      <c r="T63" s="2">
        <v>42370</v>
      </c>
      <c r="U63">
        <v>1.2641865579126701</v>
      </c>
      <c r="V63">
        <v>1.59494404484346</v>
      </c>
      <c r="W63">
        <f>VLOOKUP(T63,'v1'!R:T,3,0)</f>
        <v>3.0606308451050901</v>
      </c>
      <c r="AE63" t="s">
        <v>64</v>
      </c>
      <c r="AF63" s="2">
        <v>36312</v>
      </c>
      <c r="AG63">
        <v>0</v>
      </c>
      <c r="AH63">
        <f>VLOOKUP(AF63,LoanLevelHist!B:D,2,0)</f>
        <v>2.52768241822077E-2</v>
      </c>
      <c r="AI63">
        <f>VLOOKUP(AF63,LoanLevelHist!B:D,3,0)</f>
        <v>5.0999990943934002E-3</v>
      </c>
      <c r="AJ63">
        <f>VLOOKUP(AF63,'v1'!AB:AD,3,0)</f>
        <v>0.41395946886693102</v>
      </c>
    </row>
    <row r="64" spans="1:36" x14ac:dyDescent="0.25">
      <c r="A64" s="1" t="s">
        <v>65</v>
      </c>
      <c r="B64" s="2">
        <v>42401</v>
      </c>
      <c r="C64">
        <v>0.48709674261546698</v>
      </c>
      <c r="D64">
        <v>0.56516064395625298</v>
      </c>
      <c r="E64">
        <f>VLOOKUP(B64,'v1'!B:D,3,0)</f>
        <v>0.89593135037958604</v>
      </c>
      <c r="G64" s="1" t="s">
        <v>65</v>
      </c>
      <c r="H64" s="2">
        <v>42401</v>
      </c>
      <c r="I64">
        <v>0.45481421246306197</v>
      </c>
      <c r="J64">
        <v>0.51757121100167702</v>
      </c>
      <c r="K64">
        <f>VLOOKUP(H64,'v1'!H:J,3,0)</f>
        <v>0.60158012704293296</v>
      </c>
      <c r="M64" s="1" t="s">
        <v>65</v>
      </c>
      <c r="N64" s="2">
        <v>42401</v>
      </c>
      <c r="O64">
        <v>0.115304968227825</v>
      </c>
      <c r="P64">
        <v>0.101811884647907</v>
      </c>
      <c r="Q64">
        <f>VLOOKUP(N64,'v1'!M:O,3,0)</f>
        <v>0.237935813759305</v>
      </c>
      <c r="S64" s="1" t="s">
        <v>65</v>
      </c>
      <c r="T64" s="2">
        <v>42401</v>
      </c>
      <c r="U64">
        <v>1.1764374042884</v>
      </c>
      <c r="V64">
        <v>1.51938665181593</v>
      </c>
      <c r="W64">
        <f>VLOOKUP(T64,'v1'!R:T,3,0)</f>
        <v>3.1382257296649798</v>
      </c>
      <c r="AE64" t="s">
        <v>65</v>
      </c>
      <c r="AF64" s="2">
        <v>36342</v>
      </c>
      <c r="AG64">
        <v>0</v>
      </c>
      <c r="AH64">
        <f>VLOOKUP(AF64,LoanLevelHist!B:D,2,0)</f>
        <v>2.9062141687030699E-2</v>
      </c>
      <c r="AI64">
        <f>VLOOKUP(AF64,LoanLevelHist!B:D,3,0)</f>
        <v>5.91497755253467E-3</v>
      </c>
      <c r="AJ64">
        <f>VLOOKUP(AF64,'v1'!AB:AD,3,0)</f>
        <v>0.41225807936689002</v>
      </c>
    </row>
    <row r="65" spans="31:36" x14ac:dyDescent="0.25">
      <c r="AE65" t="s">
        <v>74</v>
      </c>
      <c r="AF65" s="2">
        <v>36373</v>
      </c>
      <c r="AG65">
        <v>0</v>
      </c>
      <c r="AH65">
        <f>VLOOKUP(AF65,LoanLevelHist!B:D,2,0)</f>
        <v>6.0712974114207598E-2</v>
      </c>
      <c r="AI65">
        <f>VLOOKUP(AF65,LoanLevelHist!B:D,3,0)</f>
        <v>1.1474891501550601E-2</v>
      </c>
      <c r="AJ65">
        <f>VLOOKUP(AF65,'v1'!AB:AD,3,0)</f>
        <v>0.41238628038540198</v>
      </c>
    </row>
    <row r="66" spans="31:36" x14ac:dyDescent="0.25">
      <c r="AE66" t="s">
        <v>75</v>
      </c>
      <c r="AF66" s="2">
        <v>36404</v>
      </c>
      <c r="AG66">
        <v>0</v>
      </c>
      <c r="AH66">
        <f>VLOOKUP(AF66,LoanLevelHist!B:D,2,0)</f>
        <v>6.5832420370437503E-2</v>
      </c>
      <c r="AI66">
        <f>VLOOKUP(AF66,LoanLevelHist!B:D,3,0)</f>
        <v>1.9012124085571201E-2</v>
      </c>
      <c r="AJ66">
        <f>VLOOKUP(AF66,'v1'!AB:AD,3,0)</f>
        <v>0.41493056779798898</v>
      </c>
    </row>
    <row r="67" spans="31:36" x14ac:dyDescent="0.25">
      <c r="AE67" t="s">
        <v>76</v>
      </c>
      <c r="AF67" s="2">
        <v>36434</v>
      </c>
      <c r="AG67">
        <v>0</v>
      </c>
      <c r="AH67">
        <f>VLOOKUP(AF67,LoanLevelHist!B:D,2,0)</f>
        <v>8.2015384939559996E-2</v>
      </c>
      <c r="AI67">
        <f>VLOOKUP(AF67,LoanLevelHist!B:D,3,0)</f>
        <v>3.79690879571681E-2</v>
      </c>
      <c r="AJ67">
        <f>VLOOKUP(AF67,'v1'!AB:AD,3,0)</f>
        <v>0.419386240255881</v>
      </c>
    </row>
    <row r="68" spans="31:36" x14ac:dyDescent="0.25">
      <c r="AE68" t="s">
        <v>77</v>
      </c>
      <c r="AF68" s="2">
        <v>36465</v>
      </c>
      <c r="AG68">
        <v>0</v>
      </c>
      <c r="AH68">
        <f>VLOOKUP(AF68,LoanLevelHist!B:D,2,0)</f>
        <v>8.2767818432838397E-2</v>
      </c>
      <c r="AI68">
        <f>VLOOKUP(AF68,LoanLevelHist!B:D,3,0)</f>
        <v>6.6280295237453005E-2</v>
      </c>
      <c r="AJ68">
        <f>VLOOKUP(AF68,'v1'!AB:AD,3,0)</f>
        <v>0.42626880324512201</v>
      </c>
    </row>
    <row r="69" spans="31:36" x14ac:dyDescent="0.25">
      <c r="AE69" t="s">
        <v>78</v>
      </c>
      <c r="AF69" s="2">
        <v>36495</v>
      </c>
      <c r="AG69">
        <v>0</v>
      </c>
      <c r="AH69">
        <f>VLOOKUP(AF69,LoanLevelHist!B:D,2,0)</f>
        <v>0.131703751046641</v>
      </c>
      <c r="AI69">
        <f>VLOOKUP(AF69,LoanLevelHist!B:D,3,0)</f>
        <v>0.107425689960994</v>
      </c>
      <c r="AJ69">
        <f>VLOOKUP(AF69,'v1'!AB:AD,3,0)</f>
        <v>0.43411579846484</v>
      </c>
    </row>
    <row r="70" spans="31:36" x14ac:dyDescent="0.25">
      <c r="AE70" t="s">
        <v>79</v>
      </c>
      <c r="AF70" s="2">
        <v>36526</v>
      </c>
      <c r="AG70">
        <v>0</v>
      </c>
      <c r="AH70">
        <f>VLOOKUP(AF70,LoanLevelHist!B:D,2,0)</f>
        <v>0.14161340833904701</v>
      </c>
      <c r="AI70">
        <f>VLOOKUP(AF70,LoanLevelHist!B:D,3,0)</f>
        <v>0.137438690088032</v>
      </c>
      <c r="AJ70">
        <f>VLOOKUP(AF70,'v1'!AB:AD,3,0)</f>
        <v>0.44070556916655501</v>
      </c>
    </row>
    <row r="71" spans="31:36" x14ac:dyDescent="0.25">
      <c r="AE71" t="s">
        <v>80</v>
      </c>
      <c r="AF71" s="2">
        <v>36557</v>
      </c>
      <c r="AG71">
        <v>0</v>
      </c>
      <c r="AH71">
        <f>VLOOKUP(AF71,LoanLevelHist!B:D,2,0)</f>
        <v>0.21005512712825</v>
      </c>
      <c r="AI71">
        <f>VLOOKUP(AF71,LoanLevelHist!B:D,3,0)</f>
        <v>0.17423998174115299</v>
      </c>
      <c r="AJ71">
        <f>VLOOKUP(AF71,'v1'!AB:AD,3,0)</f>
        <v>0.44388874242526899</v>
      </c>
    </row>
    <row r="72" spans="31:36" x14ac:dyDescent="0.25">
      <c r="AE72" t="s">
        <v>81</v>
      </c>
      <c r="AF72" s="2">
        <v>36586</v>
      </c>
      <c r="AG72">
        <v>0</v>
      </c>
      <c r="AH72">
        <f>VLOOKUP(AF72,LoanLevelHist!B:D,2,0)</f>
        <v>0.22085049875316701</v>
      </c>
      <c r="AI72">
        <f>VLOOKUP(AF72,LoanLevelHist!B:D,3,0)</f>
        <v>0.23288934345391299</v>
      </c>
      <c r="AJ72">
        <f>VLOOKUP(AF72,'v1'!AB:AD,3,0)</f>
        <v>0.45139982062809603</v>
      </c>
    </row>
    <row r="73" spans="31:36" x14ac:dyDescent="0.25">
      <c r="AE73" t="s">
        <v>82</v>
      </c>
      <c r="AF73" s="2">
        <v>36617</v>
      </c>
      <c r="AG73">
        <v>0</v>
      </c>
      <c r="AH73">
        <f>VLOOKUP(AF73,LoanLevelHist!B:D,2,0)</f>
        <v>0.21403560823517501</v>
      </c>
      <c r="AI73">
        <f>VLOOKUP(AF73,LoanLevelHist!B:D,3,0)</f>
        <v>0.217277306047647</v>
      </c>
      <c r="AJ73">
        <f>VLOOKUP(AF73,'v1'!AB:AD,3,0)</f>
        <v>0.45914740057653203</v>
      </c>
    </row>
    <row r="74" spans="31:36" x14ac:dyDescent="0.25">
      <c r="AE74" t="s">
        <v>83</v>
      </c>
      <c r="AF74" s="2">
        <v>36647</v>
      </c>
      <c r="AG74">
        <v>0</v>
      </c>
      <c r="AH74">
        <f>VLOOKUP(AF74,LoanLevelHist!B:D,2,0)</f>
        <v>0.196257044539316</v>
      </c>
      <c r="AI74">
        <f>VLOOKUP(AF74,LoanLevelHist!B:D,3,0)</f>
        <v>0.29800503805326201</v>
      </c>
      <c r="AJ74">
        <f>VLOOKUP(AF74,'v1'!AB:AD,3,0)</f>
        <v>0.46609716609875601</v>
      </c>
    </row>
    <row r="75" spans="31:36" x14ac:dyDescent="0.25">
      <c r="AE75" t="s">
        <v>84</v>
      </c>
      <c r="AF75" s="2">
        <v>36678</v>
      </c>
      <c r="AG75">
        <v>0</v>
      </c>
      <c r="AH75">
        <f>VLOOKUP(AF75,LoanLevelHist!B:D,2,0)</f>
        <v>0.19105318887421299</v>
      </c>
      <c r="AI75">
        <f>VLOOKUP(AF75,LoanLevelHist!B:D,3,0)</f>
        <v>0.29621498964655901</v>
      </c>
      <c r="AJ75">
        <f>VLOOKUP(AF75,'v1'!AB:AD,3,0)</f>
        <v>0.47089257982433402</v>
      </c>
    </row>
    <row r="76" spans="31:36" x14ac:dyDescent="0.25">
      <c r="AE76" t="s">
        <v>85</v>
      </c>
      <c r="AF76" s="2">
        <v>36708</v>
      </c>
      <c r="AG76">
        <v>0</v>
      </c>
      <c r="AH76">
        <f>VLOOKUP(AF76,LoanLevelHist!B:D,2,0)</f>
        <v>0.223554357063527</v>
      </c>
      <c r="AI76">
        <f>VLOOKUP(AF76,LoanLevelHist!B:D,3,0)</f>
        <v>0.34150888433109899</v>
      </c>
      <c r="AJ76">
        <f>VLOOKUP(AF76,'v1'!AB:AD,3,0)</f>
        <v>0.47510527494556398</v>
      </c>
    </row>
    <row r="77" spans="31:36" x14ac:dyDescent="0.25">
      <c r="AE77" t="s">
        <v>86</v>
      </c>
      <c r="AF77" s="2">
        <v>36739</v>
      </c>
      <c r="AG77">
        <v>0</v>
      </c>
      <c r="AH77">
        <f>VLOOKUP(AF77,LoanLevelHist!B:D,2,0)</f>
        <v>0.240473212617831</v>
      </c>
      <c r="AI77">
        <f>VLOOKUP(AF77,LoanLevelHist!B:D,3,0)</f>
        <v>0.39486454321316899</v>
      </c>
      <c r="AJ77">
        <f>VLOOKUP(AF77,'v1'!AB:AD,3,0)</f>
        <v>0.47990128768490298</v>
      </c>
    </row>
    <row r="78" spans="31:36" x14ac:dyDescent="0.25">
      <c r="AE78" t="s">
        <v>87</v>
      </c>
      <c r="AF78" s="2">
        <v>36770</v>
      </c>
      <c r="AG78">
        <v>0</v>
      </c>
      <c r="AH78">
        <f>VLOOKUP(AF78,LoanLevelHist!B:D,2,0)</f>
        <v>0.25638413509546698</v>
      </c>
      <c r="AI78">
        <f>VLOOKUP(AF78,LoanLevelHist!B:D,3,0)</f>
        <v>0.39758079531478902</v>
      </c>
      <c r="AJ78">
        <f>VLOOKUP(AF78,'v1'!AB:AD,3,0)</f>
        <v>0.481298529789842</v>
      </c>
    </row>
    <row r="79" spans="31:36" x14ac:dyDescent="0.25">
      <c r="AE79" t="s">
        <v>88</v>
      </c>
      <c r="AF79" s="2">
        <v>36800</v>
      </c>
      <c r="AG79">
        <v>0</v>
      </c>
      <c r="AH79">
        <f>VLOOKUP(AF79,LoanLevelHist!B:D,2,0)</f>
        <v>0.33558846805797898</v>
      </c>
      <c r="AI79">
        <f>VLOOKUP(AF79,LoanLevelHist!B:D,3,0)</f>
        <v>0.48964754248479497</v>
      </c>
      <c r="AJ79">
        <f>VLOOKUP(AF79,'v1'!AB:AD,3,0)</f>
        <v>0.485088807049738</v>
      </c>
    </row>
    <row r="80" spans="31:36" x14ac:dyDescent="0.25">
      <c r="AE80" t="s">
        <v>89</v>
      </c>
      <c r="AF80" s="2">
        <v>36831</v>
      </c>
      <c r="AG80">
        <v>0</v>
      </c>
      <c r="AH80">
        <f>VLOOKUP(AF80,LoanLevelHist!B:D,2,0)</f>
        <v>0.33165779649085803</v>
      </c>
      <c r="AI80">
        <f>VLOOKUP(AF80,LoanLevelHist!B:D,3,0)</f>
        <v>0.48381814887763502</v>
      </c>
      <c r="AJ80">
        <f>VLOOKUP(AF80,'v1'!AB:AD,3,0)</f>
        <v>0.48777058279457802</v>
      </c>
    </row>
    <row r="81" spans="31:36" x14ac:dyDescent="0.25">
      <c r="AE81" t="s">
        <v>90</v>
      </c>
      <c r="AF81" s="2">
        <v>36861</v>
      </c>
      <c r="AG81">
        <v>0</v>
      </c>
      <c r="AH81">
        <f>VLOOKUP(AF81,LoanLevelHist!B:D,2,0)</f>
        <v>0.35637697282649999</v>
      </c>
      <c r="AI81">
        <f>VLOOKUP(AF81,LoanLevelHist!B:D,3,0)</f>
        <v>0.55483289825136695</v>
      </c>
      <c r="AJ81">
        <f>VLOOKUP(AF81,'v1'!AB:AD,3,0)</f>
        <v>0.49326461412503297</v>
      </c>
    </row>
    <row r="82" spans="31:36" x14ac:dyDescent="0.25">
      <c r="AE82" t="s">
        <v>91</v>
      </c>
      <c r="AF82" s="2">
        <v>36892</v>
      </c>
      <c r="AG82">
        <v>0</v>
      </c>
      <c r="AH82">
        <f>VLOOKUP(AF82,LoanLevelHist!B:D,2,0)</f>
        <v>0.41243916371161998</v>
      </c>
      <c r="AI82">
        <f>VLOOKUP(AF82,LoanLevelHist!B:D,3,0)</f>
        <v>0.69500688674191102</v>
      </c>
      <c r="AJ82">
        <f>VLOOKUP(AF82,'v1'!AB:AD,3,0)</f>
        <v>0.49324813674193102</v>
      </c>
    </row>
    <row r="83" spans="31:36" x14ac:dyDescent="0.25">
      <c r="AE83" t="s">
        <v>92</v>
      </c>
      <c r="AF83" s="2">
        <v>36923</v>
      </c>
      <c r="AG83">
        <v>0</v>
      </c>
      <c r="AH83">
        <f>VLOOKUP(AF83,LoanLevelHist!B:D,2,0)</f>
        <v>0.44703116335084198</v>
      </c>
      <c r="AI83">
        <f>VLOOKUP(AF83,LoanLevelHist!B:D,3,0)</f>
        <v>0.610069715333594</v>
      </c>
      <c r="AJ83">
        <f>VLOOKUP(AF83,'v1'!AB:AD,3,0)</f>
        <v>0.49330963242067999</v>
      </c>
    </row>
    <row r="84" spans="31:36" x14ac:dyDescent="0.25">
      <c r="AE84" t="s">
        <v>93</v>
      </c>
      <c r="AF84" s="2">
        <v>36951</v>
      </c>
      <c r="AG84">
        <v>0</v>
      </c>
      <c r="AH84">
        <f>VLOOKUP(AF84,LoanLevelHist!B:D,2,0)</f>
        <v>0.46140013989154299</v>
      </c>
      <c r="AI84">
        <f>VLOOKUP(AF84,LoanLevelHist!B:D,3,0)</f>
        <v>0.670184073193969</v>
      </c>
      <c r="AJ84">
        <f>VLOOKUP(AF84,'v1'!AB:AD,3,0)</f>
        <v>0.49520102698203899</v>
      </c>
    </row>
    <row r="85" spans="31:36" x14ac:dyDescent="0.25">
      <c r="AE85" t="s">
        <v>94</v>
      </c>
      <c r="AF85" s="2">
        <v>36982</v>
      </c>
      <c r="AG85">
        <v>0</v>
      </c>
      <c r="AH85">
        <f>VLOOKUP(AF85,LoanLevelHist!B:D,2,0)</f>
        <v>0.45482191373494901</v>
      </c>
      <c r="AI85">
        <f>VLOOKUP(AF85,LoanLevelHist!B:D,3,0)</f>
        <v>0.56320889325799395</v>
      </c>
      <c r="AJ85">
        <f>VLOOKUP(AF85,'v1'!AB:AD,3,0)</f>
        <v>0.496139717723865</v>
      </c>
    </row>
    <row r="86" spans="31:36" x14ac:dyDescent="0.25">
      <c r="AE86" t="s">
        <v>95</v>
      </c>
      <c r="AF86" s="2">
        <v>37012</v>
      </c>
      <c r="AG86">
        <v>0</v>
      </c>
      <c r="AH86">
        <f>VLOOKUP(AF86,LoanLevelHist!B:D,2,0)</f>
        <v>0.39467841715098401</v>
      </c>
      <c r="AI86">
        <f>VLOOKUP(AF86,LoanLevelHist!B:D,3,0)</f>
        <v>0.56456272594312995</v>
      </c>
      <c r="AJ86">
        <f>VLOOKUP(AF86,'v1'!AB:AD,3,0)</f>
        <v>0.491373349798507</v>
      </c>
    </row>
    <row r="87" spans="31:36" x14ac:dyDescent="0.25">
      <c r="AE87" t="s">
        <v>96</v>
      </c>
      <c r="AF87" s="2">
        <v>37043</v>
      </c>
      <c r="AG87">
        <v>0</v>
      </c>
      <c r="AH87">
        <f>VLOOKUP(AF87,LoanLevelHist!B:D,2,0)</f>
        <v>0.38277448589761898</v>
      </c>
      <c r="AI87">
        <f>VLOOKUP(AF87,LoanLevelHist!B:D,3,0)</f>
        <v>0.56071365484116098</v>
      </c>
      <c r="AJ87">
        <f>VLOOKUP(AF87,'v1'!AB:AD,3,0)</f>
        <v>0.48456989797855998</v>
      </c>
    </row>
    <row r="88" spans="31:36" x14ac:dyDescent="0.25">
      <c r="AE88" t="s">
        <v>97</v>
      </c>
      <c r="AF88" s="2">
        <v>37073</v>
      </c>
      <c r="AG88">
        <v>0</v>
      </c>
      <c r="AH88">
        <f>VLOOKUP(AF88,LoanLevelHist!B:D,2,0)</f>
        <v>0.40140835327503499</v>
      </c>
      <c r="AI88">
        <f>VLOOKUP(AF88,LoanLevelHist!B:D,3,0)</f>
        <v>0.62453797312733705</v>
      </c>
      <c r="AJ88">
        <f>VLOOKUP(AF88,'v1'!AB:AD,3,0)</f>
        <v>0.47411636819959502</v>
      </c>
    </row>
    <row r="89" spans="31:36" x14ac:dyDescent="0.25">
      <c r="AE89" t="s">
        <v>98</v>
      </c>
      <c r="AF89" s="2">
        <v>37104</v>
      </c>
      <c r="AG89">
        <v>0</v>
      </c>
      <c r="AH89">
        <f>VLOOKUP(AF89,LoanLevelHist!B:D,2,0)</f>
        <v>0.41609590375928401</v>
      </c>
      <c r="AI89">
        <f>VLOOKUP(AF89,LoanLevelHist!B:D,3,0)</f>
        <v>0.58630948561991802</v>
      </c>
      <c r="AJ89">
        <f>VLOOKUP(AF89,'v1'!AB:AD,3,0)</f>
        <v>0.46498996587237601</v>
      </c>
    </row>
    <row r="90" spans="31:36" x14ac:dyDescent="0.25">
      <c r="AE90" t="s">
        <v>99</v>
      </c>
      <c r="AF90" s="2">
        <v>37135</v>
      </c>
      <c r="AG90">
        <v>0</v>
      </c>
      <c r="AH90">
        <f>VLOOKUP(AF90,LoanLevelHist!B:D,2,0)</f>
        <v>0.423983491062907</v>
      </c>
      <c r="AI90">
        <f>VLOOKUP(AF90,LoanLevelHist!B:D,3,0)</f>
        <v>0.57513814576550804</v>
      </c>
      <c r="AJ90">
        <f>VLOOKUP(AF90,'v1'!AB:AD,3,0)</f>
        <v>0.45896231240152302</v>
      </c>
    </row>
    <row r="91" spans="31:36" x14ac:dyDescent="0.25">
      <c r="AE91" t="s">
        <v>100</v>
      </c>
      <c r="AF91" s="2">
        <v>37165</v>
      </c>
      <c r="AG91">
        <v>0</v>
      </c>
      <c r="AH91">
        <f>VLOOKUP(AF91,LoanLevelHist!B:D,2,0)</f>
        <v>0.46452020827249002</v>
      </c>
      <c r="AI91">
        <f>VLOOKUP(AF91,LoanLevelHist!B:D,3,0)</f>
        <v>0.70482107848424103</v>
      </c>
      <c r="AJ91">
        <f>VLOOKUP(AF91,'v1'!AB:AD,3,0)</f>
        <v>0.45365219868301898</v>
      </c>
    </row>
    <row r="92" spans="31:36" x14ac:dyDescent="0.25">
      <c r="AE92" t="s">
        <v>101</v>
      </c>
      <c r="AF92" s="2">
        <v>37196</v>
      </c>
      <c r="AG92">
        <v>0</v>
      </c>
      <c r="AH92">
        <f>VLOOKUP(AF92,LoanLevelHist!B:D,2,0)</f>
        <v>0.502319892103953</v>
      </c>
      <c r="AI92">
        <f>VLOOKUP(AF92,LoanLevelHist!B:D,3,0)</f>
        <v>0.64281947235275105</v>
      </c>
      <c r="AJ92">
        <f>VLOOKUP(AF92,'v1'!AB:AD,3,0)</f>
        <v>0.45095206065305399</v>
      </c>
    </row>
    <row r="93" spans="31:36" x14ac:dyDescent="0.25">
      <c r="AE93" t="s">
        <v>102</v>
      </c>
      <c r="AF93" s="2">
        <v>37226</v>
      </c>
      <c r="AG93">
        <v>0</v>
      </c>
      <c r="AH93">
        <f>VLOOKUP(AF93,LoanLevelHist!B:D,2,0)</f>
        <v>0.55101987537786701</v>
      </c>
      <c r="AI93">
        <f>VLOOKUP(AF93,LoanLevelHist!B:D,3,0)</f>
        <v>0.67506606665506097</v>
      </c>
      <c r="AJ93">
        <f>VLOOKUP(AF93,'v1'!AB:AD,3,0)</f>
        <v>0.44482842824722402</v>
      </c>
    </row>
    <row r="94" spans="31:36" x14ac:dyDescent="0.25">
      <c r="AE94" t="s">
        <v>103</v>
      </c>
      <c r="AF94" s="2">
        <v>37257</v>
      </c>
      <c r="AG94">
        <v>0</v>
      </c>
      <c r="AH94">
        <f>VLOOKUP(AF94,LoanLevelHist!B:D,2,0)</f>
        <v>0.58337615833662404</v>
      </c>
      <c r="AI94">
        <f>VLOOKUP(AF94,LoanLevelHist!B:D,3,0)</f>
        <v>0.72877616202190498</v>
      </c>
      <c r="AJ94">
        <f>VLOOKUP(AF94,'v1'!AB:AD,3,0)</f>
        <v>0.43431382178955602</v>
      </c>
    </row>
    <row r="95" spans="31:36" x14ac:dyDescent="0.25">
      <c r="AE95" t="s">
        <v>104</v>
      </c>
      <c r="AF95" s="2">
        <v>37288</v>
      </c>
      <c r="AG95">
        <v>0</v>
      </c>
      <c r="AH95">
        <f>VLOOKUP(AF95,LoanLevelHist!B:D,2,0)</f>
        <v>0.67352034791856596</v>
      </c>
      <c r="AI95">
        <f>VLOOKUP(AF95,LoanLevelHist!B:D,3,0)</f>
        <v>0.64656449061224497</v>
      </c>
      <c r="AJ95">
        <f>VLOOKUP(AF95,'v1'!AB:AD,3,0)</f>
        <v>0.42369177777244998</v>
      </c>
    </row>
    <row r="96" spans="31:36" x14ac:dyDescent="0.25">
      <c r="AE96" t="s">
        <v>105</v>
      </c>
      <c r="AF96" s="2">
        <v>37316</v>
      </c>
      <c r="AG96">
        <v>0</v>
      </c>
      <c r="AH96">
        <f>VLOOKUP(AF96,LoanLevelHist!B:D,2,0)</f>
        <v>0.62915694669181099</v>
      </c>
      <c r="AI96">
        <f>VLOOKUP(AF96,LoanLevelHist!B:D,3,0)</f>
        <v>0.68620774518239902</v>
      </c>
      <c r="AJ96">
        <f>VLOOKUP(AF96,'v1'!AB:AD,3,0)</f>
        <v>0.41518708483631001</v>
      </c>
    </row>
    <row r="97" spans="31:36" x14ac:dyDescent="0.25">
      <c r="AE97" t="s">
        <v>106</v>
      </c>
      <c r="AF97" s="2">
        <v>37347</v>
      </c>
      <c r="AG97">
        <v>0</v>
      </c>
      <c r="AH97">
        <f>VLOOKUP(AF97,LoanLevelHist!B:D,2,0)</f>
        <v>0.52061885361077698</v>
      </c>
      <c r="AI97">
        <f>VLOOKUP(AF97,LoanLevelHist!B:D,3,0)</f>
        <v>0.63011685438832998</v>
      </c>
      <c r="AJ97">
        <f>VLOOKUP(AF97,'v1'!AB:AD,3,0)</f>
        <v>0.41021520032666903</v>
      </c>
    </row>
    <row r="98" spans="31:36" x14ac:dyDescent="0.25">
      <c r="AE98" t="s">
        <v>107</v>
      </c>
      <c r="AF98" s="2">
        <v>37377</v>
      </c>
      <c r="AG98">
        <v>0</v>
      </c>
      <c r="AH98">
        <f>VLOOKUP(AF98,LoanLevelHist!B:D,2,0)</f>
        <v>0.47807590542092698</v>
      </c>
      <c r="AI98">
        <f>VLOOKUP(AF98,LoanLevelHist!B:D,3,0)</f>
        <v>0.59618165395807199</v>
      </c>
      <c r="AJ98">
        <f>VLOOKUP(AF98,'v1'!AB:AD,3,0)</f>
        <v>0.40323347340377502</v>
      </c>
    </row>
    <row r="99" spans="31:36" x14ac:dyDescent="0.25">
      <c r="AE99" t="s">
        <v>108</v>
      </c>
      <c r="AF99" s="2">
        <v>37408</v>
      </c>
      <c r="AG99">
        <v>0</v>
      </c>
      <c r="AH99">
        <f>VLOOKUP(AF99,LoanLevelHist!B:D,2,0)</f>
        <v>0.46006889856737798</v>
      </c>
      <c r="AI99">
        <f>VLOOKUP(AF99,LoanLevelHist!B:D,3,0)</f>
        <v>0.59830436890957495</v>
      </c>
      <c r="AJ99">
        <f>VLOOKUP(AF99,'v1'!AB:AD,3,0)</f>
        <v>0.40134575892255597</v>
      </c>
    </row>
    <row r="100" spans="31:36" x14ac:dyDescent="0.25">
      <c r="AE100" t="s">
        <v>109</v>
      </c>
      <c r="AF100" s="2">
        <v>37438</v>
      </c>
      <c r="AG100">
        <v>0</v>
      </c>
      <c r="AH100">
        <f>VLOOKUP(AF100,LoanLevelHist!B:D,2,0)</f>
        <v>0.46236499517159402</v>
      </c>
      <c r="AI100">
        <f>VLOOKUP(AF100,LoanLevelHist!B:D,3,0)</f>
        <v>0.70848114916866001</v>
      </c>
      <c r="AJ100">
        <f>VLOOKUP(AF100,'v1'!AB:AD,3,0)</f>
        <v>0.39851708261614499</v>
      </c>
    </row>
    <row r="101" spans="31:36" x14ac:dyDescent="0.25">
      <c r="AE101" s="1" t="s">
        <v>110</v>
      </c>
      <c r="AF101" s="2">
        <v>37469</v>
      </c>
      <c r="AG101">
        <v>0</v>
      </c>
      <c r="AH101">
        <f>VLOOKUP(AF101,LoanLevelHist!B:D,2,0)</f>
        <v>0.49755405549173298</v>
      </c>
      <c r="AI101">
        <f>VLOOKUP(AF101,LoanLevelHist!B:D,3,0)</f>
        <v>0.67874389182244199</v>
      </c>
      <c r="AJ101">
        <f>VLOOKUP(AF101,'v1'!AB:AD,3,0)</f>
        <v>0.395547124797901</v>
      </c>
    </row>
    <row r="102" spans="31:36" x14ac:dyDescent="0.25">
      <c r="AE102" s="1" t="s">
        <v>111</v>
      </c>
      <c r="AF102" s="2">
        <v>37500</v>
      </c>
      <c r="AG102">
        <v>0</v>
      </c>
      <c r="AH102">
        <f>VLOOKUP(AF102,LoanLevelHist!B:D,2,0)</f>
        <v>0.51927117631298503</v>
      </c>
      <c r="AI102">
        <f>VLOOKUP(AF102,LoanLevelHist!B:D,3,0)</f>
        <v>0.71230596114032496</v>
      </c>
      <c r="AJ102">
        <f>VLOOKUP(AF102,'v1'!AB:AD,3,0)</f>
        <v>0.39067847445651799</v>
      </c>
    </row>
    <row r="103" spans="31:36" x14ac:dyDescent="0.25">
      <c r="AE103" s="1" t="s">
        <v>112</v>
      </c>
      <c r="AF103" s="2">
        <v>37530</v>
      </c>
      <c r="AG103">
        <v>0</v>
      </c>
      <c r="AH103">
        <f>VLOOKUP(AF103,LoanLevelHist!B:D,2,0)</f>
        <v>0.59695954125765804</v>
      </c>
      <c r="AI103">
        <f>VLOOKUP(AF103,LoanLevelHist!B:D,3,0)</f>
        <v>0.77673645111281397</v>
      </c>
      <c r="AJ103">
        <f>VLOOKUP(AF103,'v1'!AB:AD,3,0)</f>
        <v>0.38441214505756699</v>
      </c>
    </row>
    <row r="104" spans="31:36" x14ac:dyDescent="0.25">
      <c r="AE104" s="1" t="s">
        <v>113</v>
      </c>
      <c r="AF104" s="2">
        <v>37561</v>
      </c>
      <c r="AG104">
        <v>0</v>
      </c>
      <c r="AH104">
        <f>VLOOKUP(AF104,LoanLevelHist!B:D,2,0)</f>
        <v>0.61466957631460795</v>
      </c>
      <c r="AI104">
        <f>VLOOKUP(AF104,LoanLevelHist!B:D,3,0)</f>
        <v>0.77641345543593099</v>
      </c>
      <c r="AJ104">
        <f>VLOOKUP(AF104,'v1'!AB:AD,3,0)</f>
        <v>0.37410499890808702</v>
      </c>
    </row>
    <row r="105" spans="31:36" x14ac:dyDescent="0.25">
      <c r="AE105" s="1" t="s">
        <v>114</v>
      </c>
      <c r="AF105" s="2">
        <v>37591</v>
      </c>
      <c r="AG105">
        <v>0</v>
      </c>
      <c r="AH105">
        <f>VLOOKUP(AF105,LoanLevelHist!B:D,2,0)</f>
        <v>0.68312660268507996</v>
      </c>
      <c r="AI105">
        <f>VLOOKUP(AF105,LoanLevelHist!B:D,3,0)</f>
        <v>0.85303793929919502</v>
      </c>
      <c r="AJ105">
        <f>VLOOKUP(AF105,'v1'!AB:AD,3,0)</f>
        <v>0.36317833714326597</v>
      </c>
    </row>
    <row r="106" spans="31:36" x14ac:dyDescent="0.25">
      <c r="AE106" s="1" t="s">
        <v>115</v>
      </c>
      <c r="AF106" s="2">
        <v>37622</v>
      </c>
      <c r="AG106">
        <v>0</v>
      </c>
      <c r="AH106">
        <f>VLOOKUP(AF106,LoanLevelHist!B:D,2,0)</f>
        <v>0.69368965878284805</v>
      </c>
      <c r="AI106">
        <f>VLOOKUP(AF106,LoanLevelHist!B:D,3,0)</f>
        <v>0.85806285371544699</v>
      </c>
      <c r="AJ106">
        <f>VLOOKUP(AF106,'v1'!AB:AD,3,0)</f>
        <v>0.35041999236165</v>
      </c>
    </row>
    <row r="107" spans="31:36" x14ac:dyDescent="0.25">
      <c r="AE107" s="1" t="s">
        <v>116</v>
      </c>
      <c r="AF107" s="2">
        <v>37653</v>
      </c>
      <c r="AG107">
        <v>0</v>
      </c>
      <c r="AH107">
        <f>VLOOKUP(AF107,LoanLevelHist!B:D,2,0)</f>
        <v>0.78118513569595005</v>
      </c>
      <c r="AI107">
        <f>VLOOKUP(AF107,LoanLevelHist!B:D,3,0)</f>
        <v>0.84688483814440196</v>
      </c>
      <c r="AJ107">
        <f>VLOOKUP(AF107,'v1'!AB:AD,3,0)</f>
        <v>0.34528520515035899</v>
      </c>
    </row>
    <row r="108" spans="31:36" x14ac:dyDescent="0.25">
      <c r="AE108" s="1" t="s">
        <v>117</v>
      </c>
      <c r="AF108" s="2">
        <v>37681</v>
      </c>
      <c r="AG108">
        <v>0</v>
      </c>
      <c r="AH108">
        <f>VLOOKUP(AF108,LoanLevelHist!B:D,2,0)</f>
        <v>0.77232684445793798</v>
      </c>
      <c r="AI108">
        <f>VLOOKUP(AF108,LoanLevelHist!B:D,3,0)</f>
        <v>0.90258405373975203</v>
      </c>
      <c r="AJ108">
        <f>VLOOKUP(AF108,'v1'!AB:AD,3,0)</f>
        <v>0.341598112127806</v>
      </c>
    </row>
    <row r="109" spans="31:36" x14ac:dyDescent="0.25">
      <c r="AE109" s="1" t="s">
        <v>118</v>
      </c>
      <c r="AF109" s="2">
        <v>37712</v>
      </c>
      <c r="AG109">
        <v>0</v>
      </c>
      <c r="AH109">
        <f>VLOOKUP(AF109,LoanLevelHist!B:D,2,0)</f>
        <v>0.68512157040298005</v>
      </c>
      <c r="AI109">
        <f>VLOOKUP(AF109,LoanLevelHist!B:D,3,0)</f>
        <v>0.78701586223411901</v>
      </c>
      <c r="AJ109">
        <f>VLOOKUP(AF109,'v1'!AB:AD,3,0)</f>
        <v>0.33163996441161198</v>
      </c>
    </row>
    <row r="110" spans="31:36" x14ac:dyDescent="0.25">
      <c r="AE110" s="1" t="s">
        <v>119</v>
      </c>
      <c r="AF110" s="2">
        <v>37742</v>
      </c>
      <c r="AG110">
        <v>0</v>
      </c>
      <c r="AH110">
        <f>VLOOKUP(AF110,LoanLevelHist!B:D,2,0)</f>
        <v>0.63832935605313601</v>
      </c>
      <c r="AI110">
        <f>VLOOKUP(AF110,LoanLevelHist!B:D,3,0)</f>
        <v>0.84425257032977297</v>
      </c>
      <c r="AJ110">
        <f>VLOOKUP(AF110,'v1'!AB:AD,3,0)</f>
        <v>0.32503108923280799</v>
      </c>
    </row>
    <row r="111" spans="31:36" x14ac:dyDescent="0.25">
      <c r="AE111" s="1" t="s">
        <v>120</v>
      </c>
      <c r="AF111" s="2">
        <v>37773</v>
      </c>
      <c r="AG111">
        <v>0</v>
      </c>
      <c r="AH111">
        <f>VLOOKUP(AF111,LoanLevelHist!B:D,2,0)</f>
        <v>0.64004318692116902</v>
      </c>
      <c r="AI111">
        <f>VLOOKUP(AF111,LoanLevelHist!B:D,3,0)</f>
        <v>0.88614442851246999</v>
      </c>
      <c r="AJ111">
        <f>VLOOKUP(AF111,'v1'!AB:AD,3,0)</f>
        <v>0.55720763945157303</v>
      </c>
    </row>
    <row r="112" spans="31:36" x14ac:dyDescent="0.25">
      <c r="AE112" s="1" t="s">
        <v>121</v>
      </c>
      <c r="AF112" s="2">
        <v>37803</v>
      </c>
      <c r="AG112">
        <v>0</v>
      </c>
      <c r="AH112">
        <f>VLOOKUP(AF112,LoanLevelHist!B:D,2,0)</f>
        <v>0.66739240303607095</v>
      </c>
      <c r="AI112">
        <f>VLOOKUP(AF112,LoanLevelHist!B:D,3,0)</f>
        <v>0.91165464548562702</v>
      </c>
      <c r="AJ112">
        <f>VLOOKUP(AF112,'v1'!AB:AD,3,0)</f>
        <v>0.55064123331190995</v>
      </c>
    </row>
    <row r="113" spans="31:36" x14ac:dyDescent="0.25">
      <c r="AE113" s="1" t="s">
        <v>122</v>
      </c>
      <c r="AF113" s="2">
        <v>37834</v>
      </c>
      <c r="AG113">
        <v>0</v>
      </c>
      <c r="AH113">
        <f>VLOOKUP(AF113,LoanLevelHist!B:D,2,0)</f>
        <v>0.69499933024194105</v>
      </c>
      <c r="AI113">
        <f>VLOOKUP(AF113,LoanLevelHist!B:D,3,0)</f>
        <v>0.89711805228059904</v>
      </c>
      <c r="AJ113">
        <f>VLOOKUP(AF113,'v1'!AB:AD,3,0)</f>
        <v>0.54261127317735103</v>
      </c>
    </row>
    <row r="114" spans="31:36" x14ac:dyDescent="0.25">
      <c r="AE114" s="1" t="s">
        <v>123</v>
      </c>
      <c r="AF114" s="2">
        <v>37865</v>
      </c>
      <c r="AG114">
        <v>0</v>
      </c>
      <c r="AH114">
        <f>VLOOKUP(AF114,LoanLevelHist!B:D,2,0)</f>
        <v>0.63704613289337098</v>
      </c>
      <c r="AI114">
        <f>VLOOKUP(AF114,LoanLevelHist!B:D,3,0)</f>
        <v>0.92214003810796596</v>
      </c>
      <c r="AJ114">
        <f>VLOOKUP(AF114,'v1'!AB:AD,3,0)</f>
        <v>0.51279443707376005</v>
      </c>
    </row>
    <row r="115" spans="31:36" x14ac:dyDescent="0.25">
      <c r="AE115" s="1" t="s">
        <v>124</v>
      </c>
      <c r="AF115" s="2">
        <v>37895</v>
      </c>
      <c r="AG115">
        <v>0</v>
      </c>
      <c r="AH115">
        <f>VLOOKUP(AF115,LoanLevelHist!B:D,2,0)</f>
        <v>0.68935173166751995</v>
      </c>
      <c r="AI115">
        <f>VLOOKUP(AF115,LoanLevelHist!B:D,3,0)</f>
        <v>0.87980533004323702</v>
      </c>
      <c r="AJ115">
        <f>VLOOKUP(AF115,'v1'!AB:AD,3,0)</f>
        <v>0.491203346806934</v>
      </c>
    </row>
    <row r="116" spans="31:36" x14ac:dyDescent="0.25">
      <c r="AE116" s="1" t="s">
        <v>125</v>
      </c>
      <c r="AF116" s="2">
        <v>37926</v>
      </c>
      <c r="AG116">
        <v>0</v>
      </c>
      <c r="AH116">
        <f>VLOOKUP(AF116,LoanLevelHist!B:D,2,0)</f>
        <v>0.61998577400995702</v>
      </c>
      <c r="AI116">
        <f>VLOOKUP(AF116,LoanLevelHist!B:D,3,0)</f>
        <v>0.80940453657334399</v>
      </c>
      <c r="AJ116">
        <f>VLOOKUP(AF116,'v1'!AB:AD,3,0)</f>
        <v>0.47359520842603597</v>
      </c>
    </row>
    <row r="117" spans="31:36" x14ac:dyDescent="0.25">
      <c r="AE117" s="1" t="s">
        <v>126</v>
      </c>
      <c r="AF117" s="2">
        <v>37956</v>
      </c>
      <c r="AG117">
        <v>0</v>
      </c>
      <c r="AH117">
        <f>VLOOKUP(AF117,LoanLevelHist!B:D,2,0)</f>
        <v>0.63108913661869004</v>
      </c>
      <c r="AI117">
        <f>VLOOKUP(AF117,LoanLevelHist!B:D,3,0)</f>
        <v>0.96110596044290997</v>
      </c>
      <c r="AJ117">
        <f>VLOOKUP(AF117,'v1'!AB:AD,3,0)</f>
        <v>0.47206642708869101</v>
      </c>
    </row>
    <row r="118" spans="31:36" x14ac:dyDescent="0.25">
      <c r="AE118" s="1" t="s">
        <v>127</v>
      </c>
      <c r="AF118" s="2">
        <v>37987</v>
      </c>
      <c r="AG118">
        <v>0</v>
      </c>
      <c r="AH118">
        <f>VLOOKUP(AF118,LoanLevelHist!B:D,2,0)</f>
        <v>0.667210224272619</v>
      </c>
      <c r="AI118">
        <f>VLOOKUP(AF118,LoanLevelHist!B:D,3,0)</f>
        <v>0.87199047880532898</v>
      </c>
      <c r="AJ118">
        <f>VLOOKUP(AF118,'v1'!AB:AD,3,0)</f>
        <v>0.46779923122261002</v>
      </c>
    </row>
    <row r="119" spans="31:36" x14ac:dyDescent="0.25">
      <c r="AE119" s="1" t="s">
        <v>128</v>
      </c>
      <c r="AF119" s="2">
        <v>38018</v>
      </c>
      <c r="AG119">
        <v>0</v>
      </c>
      <c r="AH119">
        <f>VLOOKUP(AF119,LoanLevelHist!B:D,2,0)</f>
        <v>0.63771046400236098</v>
      </c>
      <c r="AI119">
        <f>VLOOKUP(AF119,LoanLevelHist!B:D,3,0)</f>
        <v>0.87124059513077301</v>
      </c>
      <c r="AJ119">
        <f>VLOOKUP(AF119,'v1'!AB:AD,3,0)</f>
        <v>0.46851703493352398</v>
      </c>
    </row>
    <row r="120" spans="31:36" x14ac:dyDescent="0.25">
      <c r="AE120" s="1" t="s">
        <v>129</v>
      </c>
      <c r="AF120" s="2">
        <v>38047</v>
      </c>
      <c r="AG120">
        <v>0</v>
      </c>
      <c r="AH120">
        <f>VLOOKUP(AF120,LoanLevelHist!B:D,2,0)</f>
        <v>0.65955979351871596</v>
      </c>
      <c r="AI120">
        <f>VLOOKUP(AF120,LoanLevelHist!B:D,3,0)</f>
        <v>0.91168153516324502</v>
      </c>
      <c r="AJ120">
        <f>VLOOKUP(AF120,'v1'!AB:AD,3,0)</f>
        <v>0.47158180890218798</v>
      </c>
    </row>
    <row r="121" spans="31:36" x14ac:dyDescent="0.25">
      <c r="AE121" s="1" t="s">
        <v>130</v>
      </c>
      <c r="AF121" s="2">
        <v>38078</v>
      </c>
      <c r="AG121">
        <v>0</v>
      </c>
      <c r="AH121">
        <f>VLOOKUP(AF121,LoanLevelHist!B:D,2,0)</f>
        <v>0.530538660971136</v>
      </c>
      <c r="AI121">
        <f>VLOOKUP(AF121,LoanLevelHist!B:D,3,0)</f>
        <v>0.70478383303771397</v>
      </c>
      <c r="AJ121">
        <f>VLOOKUP(AF121,'v1'!AB:AD,3,0)</f>
        <v>0.46640030261322402</v>
      </c>
    </row>
    <row r="122" spans="31:36" x14ac:dyDescent="0.25">
      <c r="AE122" s="1" t="s">
        <v>131</v>
      </c>
      <c r="AF122" s="2">
        <v>38108</v>
      </c>
      <c r="AG122">
        <v>0</v>
      </c>
      <c r="AH122">
        <f>VLOOKUP(AF122,LoanLevelHist!B:D,2,0)</f>
        <v>0.46066034342494599</v>
      </c>
      <c r="AI122">
        <f>VLOOKUP(AF122,LoanLevelHist!B:D,3,0)</f>
        <v>0.722934794499974</v>
      </c>
      <c r="AJ122">
        <f>VLOOKUP(AF122,'v1'!AB:AD,3,0)</f>
        <v>0.45964356297009101</v>
      </c>
    </row>
    <row r="123" spans="31:36" x14ac:dyDescent="0.25">
      <c r="AE123" s="1" t="s">
        <v>132</v>
      </c>
      <c r="AF123" s="2">
        <v>38139</v>
      </c>
      <c r="AG123">
        <v>0</v>
      </c>
      <c r="AH123">
        <f>VLOOKUP(AF123,LoanLevelHist!B:D,2,0)</f>
        <v>0.446540078978097</v>
      </c>
      <c r="AI123">
        <f>VLOOKUP(AF123,LoanLevelHist!B:D,3,0)</f>
        <v>0.85310115193230096</v>
      </c>
      <c r="AJ123">
        <f>VLOOKUP(AF123,'v1'!AB:AD,3,0)</f>
        <v>0.449884648515819</v>
      </c>
    </row>
    <row r="124" spans="31:36" x14ac:dyDescent="0.25">
      <c r="AE124" s="1" t="s">
        <v>133</v>
      </c>
      <c r="AF124" s="2">
        <v>38169</v>
      </c>
      <c r="AG124">
        <v>0</v>
      </c>
      <c r="AH124">
        <f>VLOOKUP(AF124,LoanLevelHist!B:D,2,0)</f>
        <v>0.47015695992189699</v>
      </c>
      <c r="AI124">
        <f>VLOOKUP(AF124,LoanLevelHist!B:D,3,0)</f>
        <v>0.79859273522685503</v>
      </c>
      <c r="AJ124">
        <f>VLOOKUP(AF124,'v1'!AB:AD,3,0)</f>
        <v>0.44502884501580497</v>
      </c>
    </row>
    <row r="125" spans="31:36" x14ac:dyDescent="0.25">
      <c r="AE125" s="1" t="s">
        <v>134</v>
      </c>
      <c r="AF125" s="2">
        <v>38200</v>
      </c>
      <c r="AG125">
        <v>0</v>
      </c>
      <c r="AH125">
        <f>VLOOKUP(AF125,LoanLevelHist!B:D,2,0)</f>
        <v>0.48376428282514999</v>
      </c>
      <c r="AI125">
        <f>VLOOKUP(AF125,LoanLevelHist!B:D,3,0)</f>
        <v>0.79388744320669802</v>
      </c>
      <c r="AJ125">
        <f>VLOOKUP(AF125,'v1'!AB:AD,3,0)</f>
        <v>0.44307266466259199</v>
      </c>
    </row>
    <row r="126" spans="31:36" x14ac:dyDescent="0.25">
      <c r="AE126" s="1" t="s">
        <v>135</v>
      </c>
      <c r="AF126" s="2">
        <v>38231</v>
      </c>
      <c r="AG126">
        <v>0</v>
      </c>
      <c r="AH126">
        <f>VLOOKUP(AF126,LoanLevelHist!B:D,2,0)</f>
        <v>0.49651218613475701</v>
      </c>
      <c r="AI126">
        <f>VLOOKUP(AF126,LoanLevelHist!B:D,3,0)</f>
        <v>0.79115370419804398</v>
      </c>
      <c r="AJ126">
        <f>VLOOKUP(AF126,'v1'!AB:AD,3,0)</f>
        <v>0.44390639841306301</v>
      </c>
    </row>
    <row r="127" spans="31:36" x14ac:dyDescent="0.25">
      <c r="AE127" s="1" t="s">
        <v>136</v>
      </c>
      <c r="AF127" s="2">
        <v>38261</v>
      </c>
      <c r="AG127">
        <v>0</v>
      </c>
      <c r="AH127">
        <f>VLOOKUP(AF127,LoanLevelHist!B:D,2,0)</f>
        <v>0.48998998907140401</v>
      </c>
      <c r="AI127">
        <f>VLOOKUP(AF127,LoanLevelHist!B:D,3,0)</f>
        <v>0.861466030982871</v>
      </c>
      <c r="AJ127">
        <f>VLOOKUP(AF127,'v1'!AB:AD,3,0)</f>
        <v>0.44982584305970402</v>
      </c>
    </row>
    <row r="128" spans="31:36" x14ac:dyDescent="0.25">
      <c r="AE128" s="1" t="s">
        <v>137</v>
      </c>
      <c r="AF128" s="2">
        <v>38292</v>
      </c>
      <c r="AG128">
        <v>0</v>
      </c>
      <c r="AH128">
        <f>VLOOKUP(AF128,LoanLevelHist!B:D,2,0)</f>
        <v>0.54084924519743904</v>
      </c>
      <c r="AI128">
        <f>VLOOKUP(AF128,LoanLevelHist!B:D,3,0)</f>
        <v>0.90224081598641004</v>
      </c>
      <c r="AJ128">
        <f>VLOOKUP(AF128,'v1'!AB:AD,3,0)</f>
        <v>0.45507217824477503</v>
      </c>
    </row>
    <row r="129" spans="31:36" x14ac:dyDescent="0.25">
      <c r="AE129" s="1" t="s">
        <v>138</v>
      </c>
      <c r="AF129" s="2">
        <v>38322</v>
      </c>
      <c r="AG129">
        <v>0</v>
      </c>
      <c r="AH129">
        <f>VLOOKUP(AF129,LoanLevelHist!B:D,2,0)</f>
        <v>0.54508985320044201</v>
      </c>
      <c r="AI129">
        <f>VLOOKUP(AF129,LoanLevelHist!B:D,3,0)</f>
        <v>0.85901087312455504</v>
      </c>
      <c r="AJ129">
        <f>VLOOKUP(AF129,'v1'!AB:AD,3,0)</f>
        <v>0.46055679464493998</v>
      </c>
    </row>
    <row r="130" spans="31:36" x14ac:dyDescent="0.25">
      <c r="AE130" s="1" t="s">
        <v>139</v>
      </c>
      <c r="AF130" s="2">
        <v>38353</v>
      </c>
      <c r="AG130">
        <v>0</v>
      </c>
      <c r="AH130">
        <f>VLOOKUP(AF130,LoanLevelHist!B:D,2,0)</f>
        <v>0.513840227843543</v>
      </c>
      <c r="AI130">
        <f>VLOOKUP(AF130,LoanLevelHist!B:D,3,0)</f>
        <v>0.84820860971354095</v>
      </c>
      <c r="AJ130">
        <f>VLOOKUP(AF130,'v1'!AB:AD,3,0)</f>
        <v>0.46047213066275899</v>
      </c>
    </row>
    <row r="131" spans="31:36" x14ac:dyDescent="0.25">
      <c r="AE131" s="1" t="s">
        <v>140</v>
      </c>
      <c r="AF131" s="2">
        <v>38384</v>
      </c>
      <c r="AG131">
        <v>0</v>
      </c>
      <c r="AH131">
        <f>VLOOKUP(AF131,LoanLevelHist!B:D,2,0)</f>
        <v>0.515903232390447</v>
      </c>
      <c r="AI131">
        <f>VLOOKUP(AF131,LoanLevelHist!B:D,3,0)</f>
        <v>0.78252342886130399</v>
      </c>
      <c r="AJ131">
        <f>VLOOKUP(AF131,'v1'!AB:AD,3,0)</f>
        <v>0.46276190299117098</v>
      </c>
    </row>
    <row r="132" spans="31:36" x14ac:dyDescent="0.25">
      <c r="AE132" s="1" t="s">
        <v>141</v>
      </c>
      <c r="AF132" s="2">
        <v>38412</v>
      </c>
      <c r="AG132">
        <v>0</v>
      </c>
      <c r="AH132">
        <f>VLOOKUP(AF132,LoanLevelHist!B:D,2,0)</f>
        <v>0.50932447562097605</v>
      </c>
      <c r="AI132">
        <f>VLOOKUP(AF132,LoanLevelHist!B:D,3,0)</f>
        <v>0.86724549107113402</v>
      </c>
      <c r="AJ132">
        <f>VLOOKUP(AF132,'v1'!AB:AD,3,0)</f>
        <v>0.46921510444041198</v>
      </c>
    </row>
    <row r="133" spans="31:36" x14ac:dyDescent="0.25">
      <c r="AE133" s="1" t="s">
        <v>142</v>
      </c>
      <c r="AF133" s="2">
        <v>38443</v>
      </c>
      <c r="AG133">
        <v>0</v>
      </c>
      <c r="AH133">
        <f>VLOOKUP(AF133,LoanLevelHist!B:D,2,0)</f>
        <v>0.41077033491745402</v>
      </c>
      <c r="AI133">
        <f>VLOOKUP(AF133,LoanLevelHist!B:D,3,0)</f>
        <v>0.66717921828682902</v>
      </c>
      <c r="AJ133">
        <f>VLOOKUP(AF133,'v1'!AB:AD,3,0)</f>
        <v>0.466934296648014</v>
      </c>
    </row>
    <row r="134" spans="31:36" x14ac:dyDescent="0.25">
      <c r="AE134" s="1" t="s">
        <v>143</v>
      </c>
      <c r="AF134" s="2">
        <v>38473</v>
      </c>
      <c r="AG134">
        <v>0</v>
      </c>
      <c r="AH134">
        <f>VLOOKUP(AF134,LoanLevelHist!B:D,2,0)</f>
        <v>0.36662923479314802</v>
      </c>
      <c r="AI134">
        <f>VLOOKUP(AF134,LoanLevelHist!B:D,3,0)</f>
        <v>0.68682772636234901</v>
      </c>
      <c r="AJ134">
        <f>VLOOKUP(AF134,'v1'!AB:AD,3,0)</f>
        <v>0.460858387475582</v>
      </c>
    </row>
    <row r="135" spans="31:36" x14ac:dyDescent="0.25">
      <c r="AE135" s="1" t="s">
        <v>144</v>
      </c>
      <c r="AF135" s="2">
        <v>38504</v>
      </c>
      <c r="AG135">
        <v>0</v>
      </c>
      <c r="AH135">
        <f>VLOOKUP(AF135,LoanLevelHist!B:D,2,0)</f>
        <v>0.378939694281821</v>
      </c>
      <c r="AI135">
        <f>VLOOKUP(AF135,LoanLevelHist!B:D,3,0)</f>
        <v>0.67298501119056298</v>
      </c>
      <c r="AJ135">
        <f>VLOOKUP(AF135,'v1'!AB:AD,3,0)</f>
        <v>0.45692614884180699</v>
      </c>
    </row>
    <row r="136" spans="31:36" x14ac:dyDescent="0.25">
      <c r="AE136" s="1" t="s">
        <v>145</v>
      </c>
      <c r="AF136" s="2">
        <v>38534</v>
      </c>
      <c r="AG136">
        <v>0</v>
      </c>
      <c r="AH136">
        <f>VLOOKUP(AF136,LoanLevelHist!B:D,2,0)</f>
        <v>0.34598044638463099</v>
      </c>
      <c r="AI136">
        <f>VLOOKUP(AF136,LoanLevelHist!B:D,3,0)</f>
        <v>0.70075113443343096</v>
      </c>
      <c r="AJ136">
        <f>VLOOKUP(AF136,'v1'!AB:AD,3,0)</f>
        <v>0.45502500982356198</v>
      </c>
    </row>
    <row r="137" spans="31:36" x14ac:dyDescent="0.25">
      <c r="AE137" s="1" t="s">
        <v>146</v>
      </c>
      <c r="AF137" s="2">
        <v>38565</v>
      </c>
      <c r="AG137">
        <v>0</v>
      </c>
      <c r="AH137">
        <f>VLOOKUP(AF137,LoanLevelHist!B:D,2,0)</f>
        <v>0.38060646973148099</v>
      </c>
      <c r="AI137">
        <f>VLOOKUP(AF137,LoanLevelHist!B:D,3,0)</f>
        <v>0.74841469696446095</v>
      </c>
      <c r="AJ137">
        <f>VLOOKUP(AF137,'v1'!AB:AD,3,0)</f>
        <v>0.45452847236594501</v>
      </c>
    </row>
    <row r="138" spans="31:36" x14ac:dyDescent="0.25">
      <c r="AE138" s="1" t="s">
        <v>147</v>
      </c>
      <c r="AF138" s="2">
        <v>38596</v>
      </c>
      <c r="AG138">
        <v>0</v>
      </c>
      <c r="AH138">
        <f>VLOOKUP(AF138,LoanLevelHist!B:D,2,0)</f>
        <v>0.38388299285170302</v>
      </c>
      <c r="AI138">
        <f>VLOOKUP(AF138,LoanLevelHist!B:D,3,0)</f>
        <v>0.66817778233760905</v>
      </c>
      <c r="AJ138">
        <f>VLOOKUP(AF138,'v1'!AB:AD,3,0)</f>
        <v>0.44899387538902502</v>
      </c>
    </row>
    <row r="139" spans="31:36" x14ac:dyDescent="0.25">
      <c r="AE139" s="1" t="s">
        <v>148</v>
      </c>
      <c r="AF139" s="2">
        <v>38626</v>
      </c>
      <c r="AG139">
        <v>0</v>
      </c>
      <c r="AH139">
        <f>VLOOKUP(AF139,LoanLevelHist!B:D,2,0)</f>
        <v>0.39292331328130098</v>
      </c>
      <c r="AI139">
        <f>VLOOKUP(AF139,LoanLevelHist!B:D,3,0)</f>
        <v>0.72775565279800103</v>
      </c>
      <c r="AJ139">
        <f>VLOOKUP(AF139,'v1'!AB:AD,3,0)</f>
        <v>0.445285932813277</v>
      </c>
    </row>
    <row r="140" spans="31:36" x14ac:dyDescent="0.25">
      <c r="AE140" s="1" t="s">
        <v>149</v>
      </c>
      <c r="AF140" s="2">
        <v>38657</v>
      </c>
      <c r="AG140">
        <v>0</v>
      </c>
      <c r="AH140">
        <f>VLOOKUP(AF140,LoanLevelHist!B:D,2,0)</f>
        <v>0.39896797668025302</v>
      </c>
      <c r="AI140">
        <f>VLOOKUP(AF140,LoanLevelHist!B:D,3,0)</f>
        <v>0.74595092626852399</v>
      </c>
      <c r="AJ140">
        <f>VLOOKUP(AF140,'v1'!AB:AD,3,0)</f>
        <v>0.44437779422505902</v>
      </c>
    </row>
    <row r="141" spans="31:36" x14ac:dyDescent="0.25">
      <c r="AE141" s="1" t="s">
        <v>150</v>
      </c>
      <c r="AF141" s="2">
        <v>38687</v>
      </c>
      <c r="AG141">
        <v>0</v>
      </c>
      <c r="AH141">
        <f>VLOOKUP(AF141,LoanLevelHist!B:D,2,0)</f>
        <v>0.44344397332379798</v>
      </c>
      <c r="AI141">
        <f>VLOOKUP(AF141,LoanLevelHist!B:D,3,0)</f>
        <v>0.77091804367285199</v>
      </c>
      <c r="AJ141">
        <f>VLOOKUP(AF141,'v1'!AB:AD,3,0)</f>
        <v>0.44612361101715697</v>
      </c>
    </row>
    <row r="142" spans="31:36" x14ac:dyDescent="0.25">
      <c r="AE142" s="1" t="s">
        <v>151</v>
      </c>
      <c r="AF142" s="2">
        <v>38718</v>
      </c>
      <c r="AG142">
        <v>0</v>
      </c>
      <c r="AH142">
        <f>VLOOKUP(AF142,LoanLevelHist!B:D,2,0)</f>
        <v>0.81671657692509203</v>
      </c>
      <c r="AI142">
        <f>VLOOKUP(AF142,LoanLevelHist!B:D,3,0)</f>
        <v>0.75737136626887702</v>
      </c>
      <c r="AJ142">
        <f>VLOOKUP(AF142,'v1'!AB:AD,3,0)</f>
        <v>0.451791115326383</v>
      </c>
    </row>
    <row r="143" spans="31:36" x14ac:dyDescent="0.25">
      <c r="AE143" s="1" t="s">
        <v>152</v>
      </c>
      <c r="AF143" s="2">
        <v>38749</v>
      </c>
      <c r="AG143">
        <v>0</v>
      </c>
      <c r="AH143">
        <f>VLOOKUP(AF143,LoanLevelHist!B:D,2,0)</f>
        <v>0.61520331767598302</v>
      </c>
      <c r="AI143">
        <f>VLOOKUP(AF143,LoanLevelHist!B:D,3,0)</f>
        <v>0.68578385651393303</v>
      </c>
      <c r="AJ143">
        <f>VLOOKUP(AF143,'v1'!AB:AD,3,0)</f>
        <v>0.45598033753652101</v>
      </c>
    </row>
    <row r="144" spans="31:36" x14ac:dyDescent="0.25">
      <c r="AE144" s="1" t="s">
        <v>153</v>
      </c>
      <c r="AF144" s="2">
        <v>38777</v>
      </c>
      <c r="AG144">
        <v>0</v>
      </c>
      <c r="AH144">
        <f>VLOOKUP(AF144,LoanLevelHist!B:D,2,0)</f>
        <v>0.47488139808290503</v>
      </c>
      <c r="AI144">
        <f>VLOOKUP(AF144,LoanLevelHist!B:D,3,0)</f>
        <v>0.69774912275026901</v>
      </c>
      <c r="AJ144">
        <f>VLOOKUP(AF144,'v1'!AB:AD,3,0)</f>
        <v>0.46253869711631002</v>
      </c>
    </row>
    <row r="145" spans="31:36" x14ac:dyDescent="0.25">
      <c r="AE145" s="1" t="s">
        <v>154</v>
      </c>
      <c r="AF145" s="2">
        <v>38808</v>
      </c>
      <c r="AG145">
        <v>0</v>
      </c>
      <c r="AH145">
        <f>VLOOKUP(AF145,LoanLevelHist!B:D,2,0)</f>
        <v>0.33964192613772398</v>
      </c>
      <c r="AI145">
        <f>VLOOKUP(AF145,LoanLevelHist!B:D,3,0)</f>
        <v>0.53607888385397395</v>
      </c>
      <c r="AJ145">
        <f>VLOOKUP(AF145,'v1'!AB:AD,3,0)</f>
        <v>0.46713763659226298</v>
      </c>
    </row>
    <row r="146" spans="31:36" x14ac:dyDescent="0.25">
      <c r="AE146" s="1" t="s">
        <v>155</v>
      </c>
      <c r="AF146" s="2">
        <v>38838</v>
      </c>
      <c r="AG146">
        <v>0</v>
      </c>
      <c r="AH146">
        <f>VLOOKUP(AF146,LoanLevelHist!B:D,2,0)</f>
        <v>0.31615136021718698</v>
      </c>
      <c r="AI146">
        <f>VLOOKUP(AF146,LoanLevelHist!B:D,3,0)</f>
        <v>0.67044699222937898</v>
      </c>
      <c r="AJ146">
        <f>VLOOKUP(AF146,'v1'!AB:AD,3,0)</f>
        <v>0.47055649233236402</v>
      </c>
    </row>
    <row r="147" spans="31:36" x14ac:dyDescent="0.25">
      <c r="AE147" s="1" t="s">
        <v>156</v>
      </c>
      <c r="AF147" s="2">
        <v>38869</v>
      </c>
      <c r="AG147">
        <v>0</v>
      </c>
      <c r="AH147">
        <f>VLOOKUP(AF147,LoanLevelHist!B:D,2,0)</f>
        <v>0.30099273683741301</v>
      </c>
      <c r="AI147">
        <f>VLOOKUP(AF147,LoanLevelHist!B:D,3,0)</f>
        <v>0.614223290885063</v>
      </c>
      <c r="AJ147">
        <f>VLOOKUP(AF147,'v1'!AB:AD,3,0)</f>
        <v>0.47526683269363301</v>
      </c>
    </row>
    <row r="148" spans="31:36" x14ac:dyDescent="0.25">
      <c r="AE148" s="1" t="s">
        <v>157</v>
      </c>
      <c r="AF148" s="2">
        <v>38899</v>
      </c>
      <c r="AG148">
        <v>0</v>
      </c>
      <c r="AH148">
        <f>VLOOKUP(AF148,LoanLevelHist!B:D,2,0)</f>
        <v>0.305863381771809</v>
      </c>
      <c r="AI148">
        <f>VLOOKUP(AF148,LoanLevelHist!B:D,3,0)</f>
        <v>0.62428606591012903</v>
      </c>
      <c r="AJ148">
        <f>VLOOKUP(AF148,'v1'!AB:AD,3,0)</f>
        <v>0.48357389625943697</v>
      </c>
    </row>
    <row r="149" spans="31:36" x14ac:dyDescent="0.25">
      <c r="AE149" s="1" t="s">
        <v>158</v>
      </c>
      <c r="AF149" s="2">
        <v>38930</v>
      </c>
      <c r="AG149">
        <v>0</v>
      </c>
      <c r="AH149">
        <f>VLOOKUP(AF149,LoanLevelHist!B:D,2,0)</f>
        <v>0.53217958721749603</v>
      </c>
      <c r="AI149">
        <f>VLOOKUP(AF149,LoanLevelHist!B:D,3,0)</f>
        <v>0.65729683148026996</v>
      </c>
      <c r="AJ149">
        <f>VLOOKUP(AF149,'v1'!AB:AD,3,0)</f>
        <v>0.49125869075293799</v>
      </c>
    </row>
    <row r="150" spans="31:36" x14ac:dyDescent="0.25">
      <c r="AE150" s="1" t="s">
        <v>159</v>
      </c>
      <c r="AF150" s="2">
        <v>38961</v>
      </c>
      <c r="AG150">
        <v>0</v>
      </c>
      <c r="AH150">
        <f>VLOOKUP(AF150,LoanLevelHist!B:D,2,0)</f>
        <v>0.33553031473254602</v>
      </c>
      <c r="AI150">
        <f>VLOOKUP(AF150,LoanLevelHist!B:D,3,0)</f>
        <v>0.66187738972944798</v>
      </c>
      <c r="AJ150">
        <f>VLOOKUP(AF150,'v1'!AB:AD,3,0)</f>
        <v>0.498842995495064</v>
      </c>
    </row>
    <row r="151" spans="31:36" x14ac:dyDescent="0.25">
      <c r="AE151" s="1" t="s">
        <v>160</v>
      </c>
      <c r="AF151" s="2">
        <v>38991</v>
      </c>
      <c r="AG151">
        <v>0</v>
      </c>
      <c r="AH151">
        <f>VLOOKUP(AF151,LoanLevelHist!B:D,2,0)</f>
        <v>0.37035387260566699</v>
      </c>
      <c r="AI151">
        <f>VLOOKUP(AF151,LoanLevelHist!B:D,3,0)</f>
        <v>0.73119860515877799</v>
      </c>
      <c r="AJ151">
        <f>VLOOKUP(AF151,'v1'!AB:AD,3,0)</f>
        <v>0.51048362324596097</v>
      </c>
    </row>
    <row r="152" spans="31:36" x14ac:dyDescent="0.25">
      <c r="AE152" s="1" t="s">
        <v>161</v>
      </c>
      <c r="AF152" s="2">
        <v>39022</v>
      </c>
      <c r="AG152">
        <v>0</v>
      </c>
      <c r="AH152">
        <f>VLOOKUP(AF152,LoanLevelHist!B:D,2,0)</f>
        <v>0.40392519520222597</v>
      </c>
      <c r="AI152">
        <f>VLOOKUP(AF152,LoanLevelHist!B:D,3,0)</f>
        <v>0.69635793302676996</v>
      </c>
      <c r="AJ152">
        <f>VLOOKUP(AF152,'v1'!AB:AD,3,0)</f>
        <v>0.52264218672887197</v>
      </c>
    </row>
    <row r="153" spans="31:36" x14ac:dyDescent="0.25">
      <c r="AE153" s="1" t="s">
        <v>162</v>
      </c>
      <c r="AF153" s="2">
        <v>39052</v>
      </c>
      <c r="AG153">
        <v>0</v>
      </c>
      <c r="AH153">
        <f>VLOOKUP(AF153,LoanLevelHist!B:D,2,0)</f>
        <v>0.42968388841614402</v>
      </c>
      <c r="AI153">
        <f>VLOOKUP(AF153,LoanLevelHist!B:D,3,0)</f>
        <v>0.74223821322809702</v>
      </c>
      <c r="AJ153">
        <f>VLOOKUP(AF153,'v1'!AB:AD,3,0)</f>
        <v>0.53594813635716698</v>
      </c>
    </row>
    <row r="154" spans="31:36" x14ac:dyDescent="0.25">
      <c r="AE154" s="1" t="s">
        <v>163</v>
      </c>
      <c r="AF154" s="2">
        <v>39083</v>
      </c>
      <c r="AG154">
        <v>0</v>
      </c>
      <c r="AH154">
        <f>VLOOKUP(AF154,LoanLevelHist!B:D,2,0)</f>
        <v>0.470935490451663</v>
      </c>
      <c r="AI154">
        <f>VLOOKUP(AF154,LoanLevelHist!B:D,3,0)</f>
        <v>0.84539154948086703</v>
      </c>
      <c r="AJ154">
        <f>VLOOKUP(AF154,'v1'!AB:AD,3,0)</f>
        <v>0.54405720288179804</v>
      </c>
    </row>
    <row r="155" spans="31:36" x14ac:dyDescent="0.25">
      <c r="AE155" s="1" t="s">
        <v>164</v>
      </c>
      <c r="AF155" s="2">
        <v>39114</v>
      </c>
      <c r="AG155">
        <v>0</v>
      </c>
      <c r="AH155">
        <f>VLOOKUP(AF155,LoanLevelHist!B:D,2,0)</f>
        <v>0.48788618576141002</v>
      </c>
      <c r="AI155">
        <f>VLOOKUP(AF155,LoanLevelHist!B:D,3,0)</f>
        <v>0.73205111113050503</v>
      </c>
      <c r="AJ155">
        <f>VLOOKUP(AF155,'v1'!AB:AD,3,0)</f>
        <v>0.55355757527518801</v>
      </c>
    </row>
    <row r="156" spans="31:36" x14ac:dyDescent="0.25">
      <c r="AE156" s="1" t="s">
        <v>165</v>
      </c>
      <c r="AF156" s="2">
        <v>39142</v>
      </c>
      <c r="AG156">
        <v>0</v>
      </c>
      <c r="AH156">
        <f>VLOOKUP(AF156,LoanLevelHist!B:D,2,0)</f>
        <v>0.476497276174426</v>
      </c>
      <c r="AI156">
        <f>VLOOKUP(AF156,LoanLevelHist!B:D,3,0)</f>
        <v>0.78466546549706995</v>
      </c>
      <c r="AJ156">
        <f>VLOOKUP(AF156,'v1'!AB:AD,3,0)</f>
        <v>0.56002751920716198</v>
      </c>
    </row>
    <row r="157" spans="31:36" x14ac:dyDescent="0.25">
      <c r="AE157" s="1" t="s">
        <v>166</v>
      </c>
      <c r="AF157" s="2">
        <v>39173</v>
      </c>
      <c r="AG157">
        <v>0</v>
      </c>
      <c r="AH157">
        <f>VLOOKUP(AF157,LoanLevelHist!B:D,2,0)</f>
        <v>0.41117771638148298</v>
      </c>
      <c r="AI157">
        <f>VLOOKUP(AF157,LoanLevelHist!B:D,3,0)</f>
        <v>0.65467928153430899</v>
      </c>
      <c r="AJ157">
        <f>VLOOKUP(AF157,'v1'!AB:AD,3,0)</f>
        <v>0.56467403625232204</v>
      </c>
    </row>
    <row r="158" spans="31:36" x14ac:dyDescent="0.25">
      <c r="AE158" s="1" t="s">
        <v>167</v>
      </c>
      <c r="AF158" s="2">
        <v>39203</v>
      </c>
      <c r="AG158">
        <v>0</v>
      </c>
      <c r="AH158">
        <f>VLOOKUP(AF158,LoanLevelHist!B:D,2,0)</f>
        <v>0.37468703781634599</v>
      </c>
      <c r="AI158">
        <f>VLOOKUP(AF158,LoanLevelHist!B:D,3,0)</f>
        <v>0.69287908935335996</v>
      </c>
      <c r="AJ158">
        <f>VLOOKUP(AF158,'v1'!AB:AD,3,0)</f>
        <v>0.56955958741167201</v>
      </c>
    </row>
    <row r="159" spans="31:36" x14ac:dyDescent="0.25">
      <c r="AE159" s="1" t="s">
        <v>168</v>
      </c>
      <c r="AF159" s="2">
        <v>39234</v>
      </c>
      <c r="AG159">
        <v>0</v>
      </c>
      <c r="AH159">
        <f>VLOOKUP(AF159,LoanLevelHist!B:D,2,0)</f>
        <v>0.40101347627320399</v>
      </c>
      <c r="AI159">
        <f>VLOOKUP(AF159,LoanLevelHist!B:D,3,0)</f>
        <v>0.72252367704106502</v>
      </c>
      <c r="AJ159">
        <f>VLOOKUP(AF159,'v1'!AB:AD,3,0)</f>
        <v>0.57232849124047003</v>
      </c>
    </row>
    <row r="160" spans="31:36" x14ac:dyDescent="0.25">
      <c r="AE160" s="1" t="s">
        <v>169</v>
      </c>
      <c r="AF160" s="2">
        <v>39264</v>
      </c>
      <c r="AG160">
        <v>0</v>
      </c>
      <c r="AH160">
        <f>VLOOKUP(AF160,LoanLevelHist!B:D,2,0)</f>
        <v>0.42843390279647697</v>
      </c>
      <c r="AI160">
        <f>VLOOKUP(AF160,LoanLevelHist!B:D,3,0)</f>
        <v>0.80504646622959797</v>
      </c>
      <c r="AJ160">
        <f>VLOOKUP(AF160,'v1'!AB:AD,3,0)</f>
        <v>0.58584364426492697</v>
      </c>
    </row>
    <row r="161" spans="31:36" x14ac:dyDescent="0.25">
      <c r="AE161" s="1" t="s">
        <v>170</v>
      </c>
      <c r="AF161" s="2">
        <v>39295</v>
      </c>
      <c r="AG161">
        <v>0</v>
      </c>
      <c r="AH161">
        <f>VLOOKUP(AF161,LoanLevelHist!B:D,2,0)</f>
        <v>0.48428831981772702</v>
      </c>
      <c r="AI161">
        <f>VLOOKUP(AF161,LoanLevelHist!B:D,3,0)</f>
        <v>0.80995047446035295</v>
      </c>
      <c r="AJ161">
        <f>VLOOKUP(AF161,'v1'!AB:AD,3,0)</f>
        <v>0.60232429446374103</v>
      </c>
    </row>
    <row r="162" spans="31:36" x14ac:dyDescent="0.25">
      <c r="AE162" s="1" t="s">
        <v>171</v>
      </c>
      <c r="AF162" s="2">
        <v>39326</v>
      </c>
      <c r="AG162">
        <v>0</v>
      </c>
      <c r="AH162">
        <f>VLOOKUP(AF162,LoanLevelHist!B:D,2,0)</f>
        <v>0.53165405635983198</v>
      </c>
      <c r="AI162">
        <f>VLOOKUP(AF162,LoanLevelHist!B:D,3,0)</f>
        <v>0.80201569570794695</v>
      </c>
      <c r="AJ162">
        <f>VLOOKUP(AF162,'v1'!AB:AD,3,0)</f>
        <v>0.61744441471967004</v>
      </c>
    </row>
    <row r="163" spans="31:36" x14ac:dyDescent="0.25">
      <c r="AE163" s="1" t="s">
        <v>172</v>
      </c>
      <c r="AF163" s="2">
        <v>39356</v>
      </c>
      <c r="AG163">
        <v>0</v>
      </c>
      <c r="AH163">
        <f>VLOOKUP(AF163,LoanLevelHist!B:D,2,0)</f>
        <v>0.63381115674722199</v>
      </c>
      <c r="AI163">
        <f>VLOOKUP(AF163,LoanLevelHist!B:D,3,0)</f>
        <v>1.06921564419165</v>
      </c>
      <c r="AJ163">
        <f>VLOOKUP(AF163,'v1'!AB:AD,3,0)</f>
        <v>0.64034373038421899</v>
      </c>
    </row>
    <row r="164" spans="31:36" x14ac:dyDescent="0.25">
      <c r="AE164" s="1" t="s">
        <v>173</v>
      </c>
      <c r="AF164" s="2">
        <v>39387</v>
      </c>
      <c r="AG164">
        <v>0</v>
      </c>
      <c r="AH164">
        <f>VLOOKUP(AF164,LoanLevelHist!B:D,2,0)</f>
        <v>0.67013422339865503</v>
      </c>
      <c r="AI164">
        <f>VLOOKUP(AF164,LoanLevelHist!B:D,3,0)</f>
        <v>0.99739280689069598</v>
      </c>
      <c r="AJ164">
        <f>VLOOKUP(AF164,'v1'!AB:AD,3,0)</f>
        <v>0.66944440155977103</v>
      </c>
    </row>
    <row r="165" spans="31:36" x14ac:dyDescent="0.25">
      <c r="AE165" s="1" t="s">
        <v>174</v>
      </c>
      <c r="AF165" s="2">
        <v>39417</v>
      </c>
      <c r="AG165">
        <v>0</v>
      </c>
      <c r="AH165">
        <f>VLOOKUP(AF165,LoanLevelHist!B:D,2,0)</f>
        <v>0.74550640106490995</v>
      </c>
      <c r="AI165">
        <f>VLOOKUP(AF165,LoanLevelHist!B:D,3,0)</f>
        <v>1.0035875118347899</v>
      </c>
      <c r="AJ165">
        <f>VLOOKUP(AF165,'v1'!AB:AD,3,0)</f>
        <v>0.69632905932865996</v>
      </c>
    </row>
    <row r="166" spans="31:36" x14ac:dyDescent="0.25">
      <c r="AE166" s="1" t="s">
        <v>175</v>
      </c>
      <c r="AF166" s="2">
        <v>39448</v>
      </c>
      <c r="AG166">
        <v>0</v>
      </c>
      <c r="AH166">
        <f>VLOOKUP(AF166,LoanLevelHist!B:D,2,0)</f>
        <v>0.88116394125605801</v>
      </c>
      <c r="AI166">
        <f>VLOOKUP(AF166,LoanLevelHist!B:D,3,0)</f>
        <v>1.1106430760002299</v>
      </c>
      <c r="AJ166">
        <f>VLOOKUP(AF166,'v1'!AB:AD,3,0)</f>
        <v>0.73069978774079603</v>
      </c>
    </row>
    <row r="167" spans="31:36" x14ac:dyDescent="0.25">
      <c r="AE167" s="1" t="s">
        <v>176</v>
      </c>
      <c r="AF167" s="2">
        <v>39479</v>
      </c>
      <c r="AG167">
        <v>0</v>
      </c>
      <c r="AH167">
        <f>VLOOKUP(AF167,LoanLevelHist!B:D,2,0)</f>
        <v>0.925923955101837</v>
      </c>
      <c r="AI167">
        <f>VLOOKUP(AF167,LoanLevelHist!B:D,3,0)</f>
        <v>1.0790103152189301</v>
      </c>
      <c r="AJ167">
        <f>VLOOKUP(AF167,'v1'!AB:AD,3,0)</f>
        <v>0.76662782010864505</v>
      </c>
    </row>
    <row r="168" spans="31:36" x14ac:dyDescent="0.25">
      <c r="AE168" s="1" t="s">
        <v>177</v>
      </c>
      <c r="AF168" s="2">
        <v>39508</v>
      </c>
      <c r="AG168">
        <v>0</v>
      </c>
      <c r="AH168">
        <f>VLOOKUP(AF168,LoanLevelHist!B:D,2,0)</f>
        <v>0.97514341090044798</v>
      </c>
      <c r="AI168">
        <f>VLOOKUP(AF168,LoanLevelHist!B:D,3,0)</f>
        <v>1.02666625701361</v>
      </c>
      <c r="AJ168">
        <f>VLOOKUP(AF168,'v1'!AB:AD,3,0)</f>
        <v>0.80382661379310205</v>
      </c>
    </row>
    <row r="169" spans="31:36" x14ac:dyDescent="0.25">
      <c r="AE169" s="1" t="s">
        <v>178</v>
      </c>
      <c r="AF169" s="2">
        <v>39539</v>
      </c>
      <c r="AG169">
        <v>0</v>
      </c>
      <c r="AH169">
        <f>VLOOKUP(AF169,LoanLevelHist!B:D,2,0)</f>
        <v>0.91840788032556697</v>
      </c>
      <c r="AI169">
        <f>VLOOKUP(AF169,LoanLevelHist!B:D,3,0)</f>
        <v>0.99441821901980998</v>
      </c>
      <c r="AJ169">
        <f>VLOOKUP(AF169,'v1'!AB:AD,3,0)</f>
        <v>0.83176656482094602</v>
      </c>
    </row>
    <row r="170" spans="31:36" x14ac:dyDescent="0.25">
      <c r="AE170" s="1" t="s">
        <v>179</v>
      </c>
      <c r="AF170" s="2">
        <v>39569</v>
      </c>
      <c r="AG170">
        <v>0</v>
      </c>
      <c r="AH170">
        <f>VLOOKUP(AF170,LoanLevelHist!B:D,2,0)</f>
        <v>0.88793699598153097</v>
      </c>
      <c r="AI170">
        <f>VLOOKUP(AF170,LoanLevelHist!B:D,3,0)</f>
        <v>1.0854165128480999</v>
      </c>
      <c r="AJ170">
        <f>VLOOKUP(AF170,'v1'!AB:AD,3,0)</f>
        <v>0.86067194405679004</v>
      </c>
    </row>
    <row r="171" spans="31:36" x14ac:dyDescent="0.25">
      <c r="AE171" s="1" t="s">
        <v>180</v>
      </c>
      <c r="AF171" s="2">
        <v>39600</v>
      </c>
      <c r="AG171">
        <v>0</v>
      </c>
      <c r="AH171">
        <f>VLOOKUP(AF171,LoanLevelHist!B:D,2,0)</f>
        <v>1.0162584378038699</v>
      </c>
      <c r="AI171">
        <f>VLOOKUP(AF171,LoanLevelHist!B:D,3,0)</f>
        <v>1.09622947485239</v>
      </c>
      <c r="AJ171">
        <f>VLOOKUP(AF171,'v1'!AB:AD,3,0)</f>
        <v>0.88977869341234594</v>
      </c>
    </row>
    <row r="172" spans="31:36" x14ac:dyDescent="0.25">
      <c r="AE172" s="1" t="s">
        <v>181</v>
      </c>
      <c r="AF172" s="2">
        <v>39630</v>
      </c>
      <c r="AG172">
        <v>0</v>
      </c>
      <c r="AH172">
        <f>VLOOKUP(AF172,LoanLevelHist!B:D,2,0)</f>
        <v>1.0555879871573199</v>
      </c>
      <c r="AI172">
        <f>VLOOKUP(AF172,LoanLevelHist!B:D,3,0)</f>
        <v>1.2367819839687999</v>
      </c>
      <c r="AJ172">
        <f>VLOOKUP(AF172,'v1'!AB:AD,3,0)</f>
        <v>0.93770158254125002</v>
      </c>
    </row>
    <row r="173" spans="31:36" x14ac:dyDescent="0.25">
      <c r="AE173" s="1" t="s">
        <v>182</v>
      </c>
      <c r="AF173" s="2">
        <v>39661</v>
      </c>
      <c r="AG173">
        <v>0</v>
      </c>
      <c r="AH173">
        <f>VLOOKUP(AF173,LoanLevelHist!B:D,2,0)</f>
        <v>1.19210343223439</v>
      </c>
      <c r="AI173">
        <f>VLOOKUP(AF173,LoanLevelHist!B:D,3,0)</f>
        <v>1.3129065773988999</v>
      </c>
      <c r="AJ173">
        <f>VLOOKUP(AF173,'v1'!AB:AD,3,0)</f>
        <v>0.99368662053303003</v>
      </c>
    </row>
    <row r="174" spans="31:36" x14ac:dyDescent="0.25">
      <c r="AE174" s="1" t="s">
        <v>183</v>
      </c>
      <c r="AF174" s="2">
        <v>39692</v>
      </c>
      <c r="AG174">
        <v>0</v>
      </c>
      <c r="AH174">
        <f>VLOOKUP(AF174,LoanLevelHist!B:D,2,0)</f>
        <v>1.2987063440570801</v>
      </c>
      <c r="AI174">
        <f>VLOOKUP(AF174,LoanLevelHist!B:D,3,0)</f>
        <v>1.5729962788429599</v>
      </c>
      <c r="AJ174">
        <f>VLOOKUP(AF174,'v1'!AB:AD,3,0)</f>
        <v>1.0571235298211099</v>
      </c>
    </row>
    <row r="175" spans="31:36" x14ac:dyDescent="0.25">
      <c r="AE175" s="1" t="s">
        <v>184</v>
      </c>
      <c r="AF175" s="2">
        <v>39722</v>
      </c>
      <c r="AG175">
        <v>0</v>
      </c>
      <c r="AH175">
        <f>VLOOKUP(AF175,LoanLevelHist!B:D,2,0)</f>
        <v>1.45991096311866</v>
      </c>
      <c r="AI175">
        <f>VLOOKUP(AF175,LoanLevelHist!B:D,3,0)</f>
        <v>1.66833356691374</v>
      </c>
      <c r="AJ175">
        <f>VLOOKUP(AF175,'v1'!AB:AD,3,0)</f>
        <v>1.14583967703601</v>
      </c>
    </row>
    <row r="176" spans="31:36" x14ac:dyDescent="0.25">
      <c r="AE176" s="1" t="s">
        <v>185</v>
      </c>
      <c r="AF176" s="2">
        <v>39753</v>
      </c>
      <c r="AG176">
        <v>0</v>
      </c>
      <c r="AH176">
        <f>VLOOKUP(AF176,LoanLevelHist!B:D,2,0)</f>
        <v>1.71961889531949</v>
      </c>
      <c r="AI176">
        <f>VLOOKUP(AF176,LoanLevelHist!B:D,3,0)</f>
        <v>1.73271300776602</v>
      </c>
      <c r="AJ176">
        <f>VLOOKUP(AF176,'v1'!AB:AD,3,0)</f>
        <v>1.2546151550301301</v>
      </c>
    </row>
    <row r="177" spans="31:36" x14ac:dyDescent="0.25">
      <c r="AE177" s="1" t="s">
        <v>186</v>
      </c>
      <c r="AF177" s="2">
        <v>39783</v>
      </c>
      <c r="AG177">
        <v>0</v>
      </c>
      <c r="AH177">
        <f>VLOOKUP(AF177,LoanLevelHist!B:D,2,0)</f>
        <v>1.9214541780975301</v>
      </c>
      <c r="AI177">
        <f>VLOOKUP(AF177,LoanLevelHist!B:D,3,0)</f>
        <v>2.18661297522124</v>
      </c>
      <c r="AJ177">
        <f>VLOOKUP(AF177,'v1'!AB:AD,3,0)</f>
        <v>1.3719148686600999</v>
      </c>
    </row>
    <row r="178" spans="31:36" x14ac:dyDescent="0.25">
      <c r="AE178" s="1" t="s">
        <v>187</v>
      </c>
      <c r="AF178" s="2">
        <v>39814</v>
      </c>
      <c r="AG178">
        <v>0</v>
      </c>
      <c r="AH178">
        <f>VLOOKUP(AF178,LoanLevelHist!B:D,2,0)</f>
        <v>2.25389090042033</v>
      </c>
      <c r="AI178">
        <f>VLOOKUP(AF178,LoanLevelHist!B:D,3,0)</f>
        <v>2.1873525426880902</v>
      </c>
      <c r="AJ178">
        <f>VLOOKUP(AF178,'v1'!AB:AD,3,0)</f>
        <v>1.44153027302354</v>
      </c>
    </row>
    <row r="179" spans="31:36" x14ac:dyDescent="0.25">
      <c r="AE179" s="1" t="s">
        <v>188</v>
      </c>
      <c r="AF179" s="2">
        <v>39845</v>
      </c>
      <c r="AG179">
        <v>0</v>
      </c>
      <c r="AH179">
        <f>VLOOKUP(AF179,LoanLevelHist!B:D,2,0)</f>
        <v>2.7080037868882201</v>
      </c>
      <c r="AI179">
        <f>VLOOKUP(AF179,LoanLevelHist!B:D,3,0)</f>
        <v>2.2552702511403702</v>
      </c>
      <c r="AJ179">
        <f>VLOOKUP(AF179,'v1'!AB:AD,3,0)</f>
        <v>1.52443595263947</v>
      </c>
    </row>
    <row r="180" spans="31:36" x14ac:dyDescent="0.25">
      <c r="AE180" s="1" t="s">
        <v>189</v>
      </c>
      <c r="AF180" s="2">
        <v>39873</v>
      </c>
      <c r="AG180">
        <v>0</v>
      </c>
      <c r="AH180">
        <f>VLOOKUP(AF180,LoanLevelHist!B:D,2,0)</f>
        <v>3.04805748311923</v>
      </c>
      <c r="AI180">
        <f>VLOOKUP(AF180,LoanLevelHist!B:D,3,0)</f>
        <v>2.2796986207054899</v>
      </c>
      <c r="AJ180">
        <f>VLOOKUP(AF180,'v1'!AB:AD,3,0)</f>
        <v>1.5994819961795399</v>
      </c>
    </row>
    <row r="181" spans="31:36" x14ac:dyDescent="0.25">
      <c r="AE181" s="1" t="s">
        <v>190</v>
      </c>
      <c r="AF181" s="2">
        <v>39904</v>
      </c>
      <c r="AG181">
        <v>0</v>
      </c>
      <c r="AH181">
        <f>VLOOKUP(AF181,LoanLevelHist!B:D,2,0)</f>
        <v>2.9852986648602902</v>
      </c>
      <c r="AI181">
        <f>VLOOKUP(AF181,LoanLevelHist!B:D,3,0)</f>
        <v>2.0854206459242901</v>
      </c>
      <c r="AJ181">
        <f>VLOOKUP(AF181,'v1'!AB:AD,3,0)</f>
        <v>1.61613429101289</v>
      </c>
    </row>
    <row r="182" spans="31:36" x14ac:dyDescent="0.25">
      <c r="AE182" s="1" t="s">
        <v>191</v>
      </c>
      <c r="AF182" s="2">
        <v>39934</v>
      </c>
      <c r="AG182">
        <v>0</v>
      </c>
      <c r="AH182">
        <f>VLOOKUP(AF182,LoanLevelHist!B:D,2,0)</f>
        <v>2.8440022012460799</v>
      </c>
      <c r="AI182">
        <f>VLOOKUP(AF182,LoanLevelHist!B:D,3,0)</f>
        <v>2.2069965276654502</v>
      </c>
      <c r="AJ182">
        <f>VLOOKUP(AF182,'v1'!AB:AD,3,0)</f>
        <v>1.64172728587429</v>
      </c>
    </row>
    <row r="183" spans="31:36" x14ac:dyDescent="0.25">
      <c r="AE183" s="1" t="s">
        <v>192</v>
      </c>
      <c r="AF183" s="2">
        <v>39965</v>
      </c>
      <c r="AG183">
        <v>0</v>
      </c>
      <c r="AH183">
        <f>VLOOKUP(AF183,LoanLevelHist!B:D,2,0)</f>
        <v>2.9627014279613899</v>
      </c>
      <c r="AI183">
        <f>VLOOKUP(AF183,LoanLevelHist!B:D,3,0)</f>
        <v>2.4104788949138101</v>
      </c>
      <c r="AJ183">
        <f>VLOOKUP(AF183,'v1'!AB:AD,3,0)</f>
        <v>1.67949398597579</v>
      </c>
    </row>
    <row r="184" spans="31:36" x14ac:dyDescent="0.25">
      <c r="AE184" s="1" t="s">
        <v>193</v>
      </c>
      <c r="AF184" s="2">
        <v>39995</v>
      </c>
      <c r="AG184">
        <v>0</v>
      </c>
      <c r="AH184">
        <f>VLOOKUP(AF184,LoanLevelHist!B:D,2,0)</f>
        <v>2.94772192506049</v>
      </c>
      <c r="AI184">
        <f>VLOOKUP(AF184,LoanLevelHist!B:D,3,0)</f>
        <v>2.4497830689233102</v>
      </c>
      <c r="AJ184">
        <f>VLOOKUP(AF184,'v1'!AB:AD,3,0)</f>
        <v>1.6957334735393801</v>
      </c>
    </row>
    <row r="185" spans="31:36" x14ac:dyDescent="0.25">
      <c r="AE185" s="1" t="s">
        <v>194</v>
      </c>
      <c r="AF185" s="2">
        <v>40026</v>
      </c>
      <c r="AG185">
        <v>0</v>
      </c>
      <c r="AH185">
        <f>VLOOKUP(AF185,LoanLevelHist!B:D,2,0)</f>
        <v>2.9564448739643998</v>
      </c>
      <c r="AI185">
        <f>VLOOKUP(AF185,LoanLevelHist!B:D,3,0)</f>
        <v>2.4873047138626601</v>
      </c>
      <c r="AJ185">
        <f>VLOOKUP(AF185,'v1'!AB:AD,3,0)</f>
        <v>1.7190956264956601</v>
      </c>
    </row>
    <row r="186" spans="31:36" x14ac:dyDescent="0.25">
      <c r="AE186" s="1" t="s">
        <v>195</v>
      </c>
      <c r="AF186" s="2">
        <v>40057</v>
      </c>
      <c r="AG186">
        <v>0</v>
      </c>
      <c r="AH186">
        <f>VLOOKUP(AF186,LoanLevelHist!B:D,2,0)</f>
        <v>2.9643326185774801</v>
      </c>
      <c r="AI186">
        <f>VLOOKUP(AF186,LoanLevelHist!B:D,3,0)</f>
        <v>3.0565477118839599</v>
      </c>
      <c r="AJ186">
        <f>VLOOKUP(AF186,'v1'!AB:AD,3,0)</f>
        <v>1.73190354625099</v>
      </c>
    </row>
    <row r="187" spans="31:36" x14ac:dyDescent="0.25">
      <c r="AE187" s="1" t="s">
        <v>196</v>
      </c>
      <c r="AF187" s="2">
        <v>40087</v>
      </c>
      <c r="AG187">
        <v>0</v>
      </c>
      <c r="AH187">
        <f>VLOOKUP(AF187,LoanLevelHist!B:D,2,0)</f>
        <v>3.1621062711956101</v>
      </c>
      <c r="AI187">
        <f>VLOOKUP(AF187,LoanLevelHist!B:D,3,0)</f>
        <v>3.0432303854083398</v>
      </c>
      <c r="AJ187">
        <f>VLOOKUP(AF187,'v1'!AB:AD,3,0)</f>
        <v>1.77838112316224</v>
      </c>
    </row>
    <row r="188" spans="31:36" x14ac:dyDescent="0.25">
      <c r="AE188" s="1" t="s">
        <v>197</v>
      </c>
      <c r="AF188" s="2">
        <v>40118</v>
      </c>
      <c r="AG188">
        <v>0</v>
      </c>
      <c r="AH188">
        <f>VLOOKUP(AF188,LoanLevelHist!B:D,2,0)</f>
        <v>3.28985697699262</v>
      </c>
      <c r="AI188">
        <f>VLOOKUP(AF188,LoanLevelHist!B:D,3,0)</f>
        <v>3.0127318928058902</v>
      </c>
      <c r="AJ188">
        <f>VLOOKUP(AF188,'v1'!AB:AD,3,0)</f>
        <v>1.8344794338128201</v>
      </c>
    </row>
    <row r="189" spans="31:36" x14ac:dyDescent="0.25">
      <c r="AE189" s="1" t="s">
        <v>198</v>
      </c>
      <c r="AF189" s="2">
        <v>40148</v>
      </c>
      <c r="AG189">
        <v>0</v>
      </c>
      <c r="AH189">
        <f>VLOOKUP(AF189,LoanLevelHist!B:D,2,0)</f>
        <v>3.7075005189332702</v>
      </c>
      <c r="AI189">
        <f>VLOOKUP(AF189,LoanLevelHist!B:D,3,0)</f>
        <v>3.1355445964857598</v>
      </c>
      <c r="AJ189">
        <f>VLOOKUP(AF189,'v1'!AB:AD,3,0)</f>
        <v>1.89066402792417</v>
      </c>
    </row>
    <row r="190" spans="31:36" x14ac:dyDescent="0.25">
      <c r="AE190" s="1" t="s">
        <v>199</v>
      </c>
      <c r="AF190" s="2">
        <v>40179</v>
      </c>
      <c r="AG190">
        <v>0</v>
      </c>
      <c r="AH190">
        <f>VLOOKUP(AF190,LoanLevelHist!B:D,2,0)</f>
        <v>3.5355514708824098</v>
      </c>
      <c r="AI190">
        <f>VLOOKUP(AF190,LoanLevelHist!B:D,3,0)</f>
        <v>3.0812428356889199</v>
      </c>
      <c r="AJ190">
        <f>VLOOKUP(AF190,'v1'!AB:AD,3,0)</f>
        <v>1.9556891035936299</v>
      </c>
    </row>
    <row r="191" spans="31:36" x14ac:dyDescent="0.25">
      <c r="AE191" s="1" t="s">
        <v>200</v>
      </c>
      <c r="AF191" s="2">
        <v>40210</v>
      </c>
      <c r="AG191">
        <v>0</v>
      </c>
      <c r="AH191">
        <f>VLOOKUP(AF191,LoanLevelHist!B:D,2,0)</f>
        <v>3.4270111055520598</v>
      </c>
      <c r="AI191">
        <f>VLOOKUP(AF191,LoanLevelHist!B:D,3,0)</f>
        <v>3.1931850770936099</v>
      </c>
      <c r="AJ191">
        <f>VLOOKUP(AF191,'v1'!AB:AD,3,0)</f>
        <v>2.0227142698909999</v>
      </c>
    </row>
    <row r="192" spans="31:36" x14ac:dyDescent="0.25">
      <c r="AE192" s="1" t="s">
        <v>201</v>
      </c>
      <c r="AF192" s="2">
        <v>40238</v>
      </c>
      <c r="AG192">
        <v>0</v>
      </c>
      <c r="AH192">
        <f>VLOOKUP(AF192,LoanLevelHist!B:D,2,0)</f>
        <v>3.5037176376604902</v>
      </c>
      <c r="AI192">
        <f>VLOOKUP(AF192,LoanLevelHist!B:D,3,0)</f>
        <v>3.1257922413596</v>
      </c>
      <c r="AJ192">
        <f>VLOOKUP(AF192,'v1'!AB:AD,3,0)</f>
        <v>1.78984479090274</v>
      </c>
    </row>
    <row r="193" spans="31:36" x14ac:dyDescent="0.25">
      <c r="AE193" s="1" t="s">
        <v>202</v>
      </c>
      <c r="AF193" s="2">
        <v>40269</v>
      </c>
      <c r="AG193">
        <v>0</v>
      </c>
      <c r="AH193">
        <f>VLOOKUP(AF193,LoanLevelHist!B:D,2,0)</f>
        <v>2.9012737379232201</v>
      </c>
      <c r="AI193">
        <f>VLOOKUP(AF193,LoanLevelHist!B:D,3,0)</f>
        <v>2.6393205006067899</v>
      </c>
      <c r="AJ193">
        <f>VLOOKUP(AF193,'v1'!AB:AD,3,0)</f>
        <v>1.7373978002160699</v>
      </c>
    </row>
    <row r="194" spans="31:36" x14ac:dyDescent="0.25">
      <c r="AE194" s="1" t="s">
        <v>203</v>
      </c>
      <c r="AF194" s="2">
        <v>40299</v>
      </c>
      <c r="AG194">
        <v>0</v>
      </c>
      <c r="AH194">
        <f>VLOOKUP(AF194,LoanLevelHist!B:D,2,0)</f>
        <v>2.5998715960288199</v>
      </c>
      <c r="AI194">
        <f>VLOOKUP(AF194,LoanLevelHist!B:D,3,0)</f>
        <v>2.5753576589376501</v>
      </c>
      <c r="AJ194">
        <f>VLOOKUP(AF194,'v1'!AB:AD,3,0)</f>
        <v>1.7014181154380199</v>
      </c>
    </row>
    <row r="195" spans="31:36" x14ac:dyDescent="0.25">
      <c r="AE195" s="1" t="s">
        <v>204</v>
      </c>
      <c r="AF195" s="2">
        <v>40330</v>
      </c>
      <c r="AG195">
        <v>0</v>
      </c>
      <c r="AH195">
        <f>VLOOKUP(AF195,LoanLevelHist!B:D,2,0)</f>
        <v>2.5867273100285502</v>
      </c>
      <c r="AI195">
        <f>VLOOKUP(AF195,LoanLevelHist!B:D,3,0)</f>
        <v>2.72217997088257</v>
      </c>
      <c r="AJ195">
        <f>VLOOKUP(AF195,'v1'!AB:AD,3,0)</f>
        <v>1.6653029099526</v>
      </c>
    </row>
    <row r="196" spans="31:36" x14ac:dyDescent="0.25">
      <c r="AE196" s="1" t="s">
        <v>205</v>
      </c>
      <c r="AF196" s="2">
        <v>40360</v>
      </c>
      <c r="AG196">
        <v>0</v>
      </c>
      <c r="AH196">
        <f>VLOOKUP(AF196,LoanLevelHist!B:D,2,0)</f>
        <v>2.3438828544702699</v>
      </c>
      <c r="AI196">
        <f>VLOOKUP(AF196,LoanLevelHist!B:D,3,0)</f>
        <v>2.6797152852339901</v>
      </c>
      <c r="AJ196">
        <f>VLOOKUP(AF196,'v1'!AB:AD,3,0)</f>
        <v>1.7071129537693499</v>
      </c>
    </row>
    <row r="197" spans="31:36" x14ac:dyDescent="0.25">
      <c r="AE197" s="1" t="s">
        <v>206</v>
      </c>
      <c r="AF197" s="2">
        <v>40391</v>
      </c>
      <c r="AG197">
        <v>0</v>
      </c>
      <c r="AH197">
        <f>VLOOKUP(AF197,LoanLevelHist!B:D,2,0)</f>
        <v>2.2651285913272701</v>
      </c>
      <c r="AI197">
        <f>VLOOKUP(AF197,LoanLevelHist!B:D,3,0)</f>
        <v>2.6526294309728899</v>
      </c>
      <c r="AJ197">
        <f>VLOOKUP(AF197,'v1'!AB:AD,3,0)</f>
        <v>1.7519393671491801</v>
      </c>
    </row>
    <row r="198" spans="31:36" x14ac:dyDescent="0.25">
      <c r="AE198" s="1" t="s">
        <v>207</v>
      </c>
      <c r="AF198" s="2">
        <v>40422</v>
      </c>
      <c r="AG198">
        <v>0</v>
      </c>
      <c r="AH198">
        <f>VLOOKUP(AF198,LoanLevelHist!B:D,2,0)</f>
        <v>2.3531104526959901</v>
      </c>
      <c r="AI198">
        <f>VLOOKUP(AF198,LoanLevelHist!B:D,3,0)</f>
        <v>2.6823041842219801</v>
      </c>
      <c r="AJ198">
        <f>VLOOKUP(AF198,'v1'!AB:AD,3,0)</f>
        <v>1.8078802372862499</v>
      </c>
    </row>
    <row r="199" spans="31:36" x14ac:dyDescent="0.25">
      <c r="AE199" s="1" t="s">
        <v>208</v>
      </c>
      <c r="AF199" s="2">
        <v>40452</v>
      </c>
      <c r="AG199">
        <v>0</v>
      </c>
      <c r="AH199">
        <f>VLOOKUP(AF199,LoanLevelHist!B:D,2,0)</f>
        <v>2.37002607196766</v>
      </c>
      <c r="AI199">
        <f>VLOOKUP(AF199,LoanLevelHist!B:D,3,0)</f>
        <v>2.7588731982076702</v>
      </c>
      <c r="AJ199">
        <f>VLOOKUP(AF199,'v1'!AB:AD,3,0)</f>
        <v>1.8748568750150201</v>
      </c>
    </row>
    <row r="200" spans="31:36" x14ac:dyDescent="0.25">
      <c r="AE200" s="1" t="s">
        <v>209</v>
      </c>
      <c r="AF200" s="2">
        <v>40483</v>
      </c>
      <c r="AG200">
        <v>0</v>
      </c>
      <c r="AH200">
        <f>VLOOKUP(AF200,LoanLevelHist!B:D,2,0)</f>
        <v>2.4093945316916101</v>
      </c>
      <c r="AI200">
        <f>VLOOKUP(AF200,LoanLevelHist!B:D,3,0)</f>
        <v>2.8747165911738901</v>
      </c>
      <c r="AJ200">
        <f>VLOOKUP(AF200,'v1'!AB:AD,3,0)</f>
        <v>1.94634934518282</v>
      </c>
    </row>
    <row r="201" spans="31:36" x14ac:dyDescent="0.25">
      <c r="AE201" s="1" t="s">
        <v>210</v>
      </c>
      <c r="AF201" s="2">
        <v>40513</v>
      </c>
      <c r="AG201">
        <v>2.94369415702606</v>
      </c>
      <c r="AH201">
        <f>VLOOKUP(AF201,LoanLevelHist!B:D,2,0)</f>
        <v>2.3242181641309401</v>
      </c>
      <c r="AI201">
        <f>VLOOKUP(AF201,LoanLevelHist!B:D,3,0)</f>
        <v>2.7906340152796001</v>
      </c>
      <c r="AJ201">
        <f>VLOOKUP(AF201,'v1'!AB:AD,3,0)</f>
        <v>2.0214944863669602</v>
      </c>
    </row>
    <row r="202" spans="31:36" x14ac:dyDescent="0.25">
      <c r="AE202" s="1" t="s">
        <v>211</v>
      </c>
      <c r="AF202" s="2">
        <v>40544</v>
      </c>
      <c r="AG202">
        <v>2.8544039964127199</v>
      </c>
      <c r="AH202">
        <f>VLOOKUP(AF202,B:D,2,0)</f>
        <v>2.8515887646976901</v>
      </c>
      <c r="AI202">
        <f>VLOOKUP(AF202,B:D,3,0)</f>
        <v>2.8231700304788601</v>
      </c>
      <c r="AJ202">
        <f>VLOOKUP(AF202,'v1'!AB:AD,3,0)</f>
        <v>2.0580624549622302</v>
      </c>
    </row>
    <row r="203" spans="31:36" x14ac:dyDescent="0.25">
      <c r="AE203" s="1" t="s">
        <v>212</v>
      </c>
      <c r="AF203" s="2">
        <v>40575</v>
      </c>
      <c r="AG203">
        <v>3.01847609904183</v>
      </c>
      <c r="AH203">
        <f t="shared" ref="AH203:AH263" si="0">VLOOKUP(AF203,B:D,2,0)</f>
        <v>3.0092574384375799</v>
      </c>
      <c r="AI203">
        <f t="shared" ref="AI203:AI263" si="1">VLOOKUP(AF203,B:D,3,0)</f>
        <v>2.72855692629865</v>
      </c>
      <c r="AJ203">
        <f>VLOOKUP(AF203,'v1'!AB:AD,3,0)</f>
        <v>2.1364089760918699</v>
      </c>
    </row>
    <row r="204" spans="31:36" x14ac:dyDescent="0.25">
      <c r="AE204" s="1" t="s">
        <v>213</v>
      </c>
      <c r="AF204" s="2">
        <v>40603</v>
      </c>
      <c r="AG204">
        <v>2.5918149559730499</v>
      </c>
      <c r="AH204">
        <f t="shared" si="0"/>
        <v>2.58048347031187</v>
      </c>
      <c r="AI204">
        <f t="shared" si="1"/>
        <v>2.7581856932990401</v>
      </c>
      <c r="AJ204">
        <f>VLOOKUP(AF204,'v1'!AB:AD,3,0)</f>
        <v>2.2132431343747898</v>
      </c>
    </row>
    <row r="205" spans="31:36" x14ac:dyDescent="0.25">
      <c r="AE205" s="1" t="s">
        <v>214</v>
      </c>
      <c r="AF205" s="2">
        <v>40634</v>
      </c>
      <c r="AG205">
        <v>2.2371485608154602</v>
      </c>
      <c r="AH205">
        <f t="shared" si="0"/>
        <v>2.2254604071283302</v>
      </c>
      <c r="AI205">
        <f t="shared" si="1"/>
        <v>2.7331746123106502</v>
      </c>
      <c r="AJ205">
        <f>VLOOKUP(AF205,'v1'!AB:AD,3,0)</f>
        <v>2.15931454852588</v>
      </c>
    </row>
    <row r="206" spans="31:36" x14ac:dyDescent="0.25">
      <c r="AE206" s="1" t="s">
        <v>215</v>
      </c>
      <c r="AF206" s="2">
        <v>40664</v>
      </c>
      <c r="AG206">
        <v>2.1435583911789799</v>
      </c>
      <c r="AH206">
        <f t="shared" si="0"/>
        <v>2.1357740489281101</v>
      </c>
      <c r="AI206">
        <f t="shared" si="1"/>
        <v>2.2432498319857399</v>
      </c>
      <c r="AJ206">
        <f>VLOOKUP(AF206,'v1'!AB:AD,3,0)</f>
        <v>2.11247056526862</v>
      </c>
    </row>
    <row r="207" spans="31:36" x14ac:dyDescent="0.25">
      <c r="AE207" s="1" t="s">
        <v>216</v>
      </c>
      <c r="AF207" s="2">
        <v>40695</v>
      </c>
      <c r="AG207">
        <v>2.1173279086885999</v>
      </c>
      <c r="AH207">
        <f t="shared" si="0"/>
        <v>2.11345256186191</v>
      </c>
      <c r="AI207">
        <f t="shared" si="1"/>
        <v>2.28678769969456</v>
      </c>
      <c r="AJ207">
        <f>VLOOKUP(AF207,'v1'!AB:AD,3,0)</f>
        <v>2.1066670659945799</v>
      </c>
    </row>
    <row r="208" spans="31:36" x14ac:dyDescent="0.25">
      <c r="AE208" s="1" t="s">
        <v>217</v>
      </c>
      <c r="AF208" s="2">
        <v>40725</v>
      </c>
      <c r="AG208">
        <v>2.0846663640417198</v>
      </c>
      <c r="AH208">
        <f t="shared" si="0"/>
        <v>2.07675597787004</v>
      </c>
      <c r="AI208">
        <f t="shared" si="1"/>
        <v>2.2332379867315999</v>
      </c>
      <c r="AJ208">
        <f>VLOOKUP(AF208,'v1'!AB:AD,3,0)</f>
        <v>2.06535011892404</v>
      </c>
    </row>
    <row r="209" spans="31:36" x14ac:dyDescent="0.25">
      <c r="AE209" s="1" t="s">
        <v>218</v>
      </c>
      <c r="AF209" s="2">
        <v>40756</v>
      </c>
      <c r="AG209">
        <v>2.0767136045586798</v>
      </c>
      <c r="AH209">
        <f t="shared" si="0"/>
        <v>2.0678544608068501</v>
      </c>
      <c r="AI209">
        <f t="shared" si="1"/>
        <v>2.2390494016262901</v>
      </c>
      <c r="AJ209">
        <f>VLOOKUP(AF209,'v1'!AB:AD,3,0)</f>
        <v>2.0290025539915502</v>
      </c>
    </row>
    <row r="210" spans="31:36" x14ac:dyDescent="0.25">
      <c r="AE210" s="1" t="s">
        <v>219</v>
      </c>
      <c r="AF210" s="2">
        <v>40787</v>
      </c>
      <c r="AG210">
        <v>2.1306943676025099</v>
      </c>
      <c r="AH210">
        <f t="shared" si="0"/>
        <v>2.1195306707545698</v>
      </c>
      <c r="AI210">
        <f t="shared" si="1"/>
        <v>2.3750610982818201</v>
      </c>
      <c r="AJ210">
        <f>VLOOKUP(AF210,'v1'!AB:AD,3,0)</f>
        <v>1.9905624232852399</v>
      </c>
    </row>
    <row r="211" spans="31:36" x14ac:dyDescent="0.25">
      <c r="AE211" s="1" t="s">
        <v>220</v>
      </c>
      <c r="AF211" s="2">
        <v>40817</v>
      </c>
      <c r="AG211">
        <v>2.1940195616872402</v>
      </c>
      <c r="AH211">
        <f t="shared" si="0"/>
        <v>2.1812705009670701</v>
      </c>
      <c r="AI211">
        <f t="shared" si="1"/>
        <v>2.2778317098293099</v>
      </c>
      <c r="AJ211">
        <f>VLOOKUP(AF211,'v1'!AB:AD,3,0)</f>
        <v>2.0088731975124801</v>
      </c>
    </row>
    <row r="212" spans="31:36" x14ac:dyDescent="0.25">
      <c r="AE212" s="1" t="s">
        <v>221</v>
      </c>
      <c r="AF212" s="2">
        <v>40848</v>
      </c>
      <c r="AG212">
        <v>2.2744067973422899</v>
      </c>
      <c r="AH212">
        <f t="shared" si="0"/>
        <v>2.2641556655418702</v>
      </c>
      <c r="AI212">
        <f t="shared" si="1"/>
        <v>2.28649404430596</v>
      </c>
      <c r="AJ212">
        <f>VLOOKUP(AF212,'v1'!AB:AD,3,0)</f>
        <v>2.0315901934890901</v>
      </c>
    </row>
    <row r="213" spans="31:36" x14ac:dyDescent="0.25">
      <c r="AE213" s="1" t="s">
        <v>222</v>
      </c>
      <c r="AF213" s="2">
        <v>40878</v>
      </c>
      <c r="AG213">
        <v>2.3940326090877502</v>
      </c>
      <c r="AH213">
        <f t="shared" si="0"/>
        <v>2.3807444954646</v>
      </c>
      <c r="AI213">
        <f t="shared" si="1"/>
        <v>2.31377897433183</v>
      </c>
      <c r="AJ213">
        <f>VLOOKUP(AF213,'v1'!AB:AD,3,0)</f>
        <v>2.0561791648638401</v>
      </c>
    </row>
    <row r="214" spans="31:36" x14ac:dyDescent="0.25">
      <c r="AE214" s="1" t="s">
        <v>223</v>
      </c>
      <c r="AF214" s="2">
        <v>40909</v>
      </c>
      <c r="AG214">
        <v>2.3577087559015699</v>
      </c>
      <c r="AH214">
        <f t="shared" si="0"/>
        <v>2.34543412817301</v>
      </c>
      <c r="AI214">
        <f t="shared" si="1"/>
        <v>2.4033748884670598</v>
      </c>
      <c r="AJ214">
        <f>VLOOKUP(AF214,'v1'!AB:AD,3,0)</f>
        <v>2.0566094202990799</v>
      </c>
    </row>
    <row r="215" spans="31:36" x14ac:dyDescent="0.25">
      <c r="AE215" s="1" t="s">
        <v>224</v>
      </c>
      <c r="AF215" s="2">
        <v>40940</v>
      </c>
      <c r="AG215">
        <v>2.3118167644729302</v>
      </c>
      <c r="AH215">
        <f t="shared" si="0"/>
        <v>2.29688725514433</v>
      </c>
      <c r="AI215">
        <f t="shared" si="1"/>
        <v>2.34374840201547</v>
      </c>
      <c r="AJ215">
        <f>VLOOKUP(AF215,'v1'!AB:AD,3,0)</f>
        <v>2.0403041251401701</v>
      </c>
    </row>
    <row r="216" spans="31:36" x14ac:dyDescent="0.25">
      <c r="AE216" s="1" t="s">
        <v>225</v>
      </c>
      <c r="AF216" s="2">
        <v>40969</v>
      </c>
      <c r="AG216">
        <v>2.1955605382016499</v>
      </c>
      <c r="AH216">
        <f t="shared" si="0"/>
        <v>2.1829314480471198</v>
      </c>
      <c r="AI216">
        <f t="shared" si="1"/>
        <v>2.20385112055361</v>
      </c>
      <c r="AJ216">
        <f>VLOOKUP(AF216,'v1'!AB:AD,3,0)</f>
        <v>2.0148548780368598</v>
      </c>
    </row>
    <row r="217" spans="31:36" x14ac:dyDescent="0.25">
      <c r="AE217" s="1" t="s">
        <v>226</v>
      </c>
      <c r="AF217" s="2">
        <v>41000</v>
      </c>
      <c r="AG217">
        <v>1.96565477333005</v>
      </c>
      <c r="AH217">
        <f t="shared" si="0"/>
        <v>1.94856513902093</v>
      </c>
      <c r="AI217">
        <f t="shared" si="1"/>
        <v>2.0357091287487998</v>
      </c>
      <c r="AJ217">
        <f>VLOOKUP(AF217,'v1'!AB:AD,3,0)</f>
        <v>1.8715781790389401</v>
      </c>
    </row>
    <row r="218" spans="31:36" x14ac:dyDescent="0.25">
      <c r="AE218" s="1" t="s">
        <v>227</v>
      </c>
      <c r="AF218" s="2">
        <v>41030</v>
      </c>
      <c r="AG218">
        <v>1.8745477727752</v>
      </c>
      <c r="AH218">
        <f t="shared" si="0"/>
        <v>1.8639765395774599</v>
      </c>
      <c r="AI218">
        <f t="shared" si="1"/>
        <v>1.7758250780233999</v>
      </c>
      <c r="AJ218">
        <f>VLOOKUP(AF218,'v1'!AB:AD,3,0)</f>
        <v>1.7357332676352899</v>
      </c>
    </row>
    <row r="219" spans="31:36" x14ac:dyDescent="0.25">
      <c r="AE219" s="1" t="s">
        <v>228</v>
      </c>
      <c r="AF219" s="2">
        <v>41061</v>
      </c>
      <c r="AG219">
        <v>1.8690522527376101</v>
      </c>
      <c r="AH219">
        <f t="shared" si="0"/>
        <v>1.8591084721441999</v>
      </c>
      <c r="AI219">
        <f t="shared" si="1"/>
        <v>1.7259006706973401</v>
      </c>
      <c r="AJ219">
        <f>VLOOKUP(AF219,'v1'!AB:AD,3,0)</f>
        <v>1.6153086687049301</v>
      </c>
    </row>
    <row r="220" spans="31:36" x14ac:dyDescent="0.25">
      <c r="AE220" s="1" t="s">
        <v>229</v>
      </c>
      <c r="AF220" s="2">
        <v>41091</v>
      </c>
      <c r="AG220">
        <v>1.7835008421335901</v>
      </c>
      <c r="AH220">
        <f t="shared" si="0"/>
        <v>1.7550053464528099</v>
      </c>
      <c r="AI220">
        <f t="shared" si="1"/>
        <v>1.65995719152966</v>
      </c>
      <c r="AJ220">
        <f>VLOOKUP(AF220,'v1'!AB:AD,3,0)</f>
        <v>1.54596310799648</v>
      </c>
    </row>
    <row r="221" spans="31:36" x14ac:dyDescent="0.25">
      <c r="AE221" s="1" t="s">
        <v>230</v>
      </c>
      <c r="AF221" s="2">
        <v>41122</v>
      </c>
      <c r="AG221">
        <v>1.7985188793426401</v>
      </c>
      <c r="AH221">
        <f t="shared" si="0"/>
        <v>1.7646720437213701</v>
      </c>
      <c r="AI221">
        <f t="shared" si="1"/>
        <v>1.74466799758348</v>
      </c>
      <c r="AJ221">
        <f>VLOOKUP(AF221,'v1'!AB:AD,3,0)</f>
        <v>1.49678689502984</v>
      </c>
    </row>
    <row r="222" spans="31:36" x14ac:dyDescent="0.25">
      <c r="AE222" s="1" t="s">
        <v>231</v>
      </c>
      <c r="AF222" s="2">
        <v>41153</v>
      </c>
      <c r="AG222">
        <v>1.74821136020108</v>
      </c>
      <c r="AH222">
        <f t="shared" si="0"/>
        <v>1.7156623103770099</v>
      </c>
      <c r="AI222">
        <f t="shared" si="1"/>
        <v>1.66967335835405</v>
      </c>
      <c r="AJ222">
        <f>VLOOKUP(AF222,'v1'!AB:AD,3,0)</f>
        <v>1.4442810953027001</v>
      </c>
    </row>
    <row r="223" spans="31:36" x14ac:dyDescent="0.25">
      <c r="AE223" s="1" t="s">
        <v>232</v>
      </c>
      <c r="AF223" s="2">
        <v>41183</v>
      </c>
      <c r="AG223">
        <v>1.7948698080729599</v>
      </c>
      <c r="AH223">
        <f t="shared" si="0"/>
        <v>1.75821611978022</v>
      </c>
      <c r="AI223">
        <f t="shared" si="1"/>
        <v>1.60066787393999</v>
      </c>
      <c r="AJ223">
        <f>VLOOKUP(AF223,'v1'!AB:AD,3,0)</f>
        <v>1.41613955326235</v>
      </c>
    </row>
    <row r="224" spans="31:36" x14ac:dyDescent="0.25">
      <c r="AE224" s="1" t="s">
        <v>233</v>
      </c>
      <c r="AF224" s="2">
        <v>41214</v>
      </c>
      <c r="AG224">
        <v>1.7644306973522501</v>
      </c>
      <c r="AH224">
        <f t="shared" si="0"/>
        <v>1.7325123286972399</v>
      </c>
      <c r="AI224">
        <f t="shared" si="1"/>
        <v>1.84158218276737</v>
      </c>
      <c r="AJ224">
        <f>VLOOKUP(AF224,'v1'!AB:AD,3,0)</f>
        <v>1.37712982673004</v>
      </c>
    </row>
    <row r="225" spans="31:36" x14ac:dyDescent="0.25">
      <c r="AE225" s="1" t="s">
        <v>234</v>
      </c>
      <c r="AF225" s="2">
        <v>41244</v>
      </c>
      <c r="AG225">
        <v>1.6842785823566599</v>
      </c>
      <c r="AH225">
        <f t="shared" si="0"/>
        <v>1.65662440228792</v>
      </c>
      <c r="AI225">
        <f t="shared" si="1"/>
        <v>1.6070886910743201</v>
      </c>
      <c r="AJ225">
        <f>VLOOKUP(AF225,'v1'!AB:AD,3,0)</f>
        <v>1.3306328543985499</v>
      </c>
    </row>
    <row r="226" spans="31:36" x14ac:dyDescent="0.25">
      <c r="AE226" s="1" t="s">
        <v>235</v>
      </c>
      <c r="AF226" s="2">
        <v>41275</v>
      </c>
      <c r="AG226">
        <v>1.7239156172621499</v>
      </c>
      <c r="AH226">
        <f t="shared" si="0"/>
        <v>1.6861336087958001</v>
      </c>
      <c r="AI226">
        <f t="shared" si="1"/>
        <v>1.59416294237685</v>
      </c>
      <c r="AJ226">
        <f>VLOOKUP(AF226,'v1'!AB:AD,3,0)</f>
        <v>1.2926883342623601</v>
      </c>
    </row>
    <row r="227" spans="31:36" x14ac:dyDescent="0.25">
      <c r="AE227" s="1" t="s">
        <v>236</v>
      </c>
      <c r="AF227" s="2">
        <v>41306</v>
      </c>
      <c r="AG227">
        <v>1.63407369714366</v>
      </c>
      <c r="AH227">
        <f t="shared" si="0"/>
        <v>1.5949000012047401</v>
      </c>
      <c r="AI227">
        <f t="shared" si="1"/>
        <v>1.5946682907391501</v>
      </c>
      <c r="AJ227">
        <f>VLOOKUP(AF227,'v1'!AB:AD,3,0)</f>
        <v>1.2438721796835399</v>
      </c>
    </row>
    <row r="228" spans="31:36" x14ac:dyDescent="0.25">
      <c r="AE228" s="1" t="s">
        <v>237</v>
      </c>
      <c r="AF228" s="2">
        <v>41334</v>
      </c>
      <c r="AG228">
        <v>1.60644195897374</v>
      </c>
      <c r="AH228">
        <f t="shared" si="0"/>
        <v>1.58455075996331</v>
      </c>
      <c r="AI228">
        <f t="shared" si="1"/>
        <v>1.4733177399090001</v>
      </c>
      <c r="AJ228">
        <f>VLOOKUP(AF228,'v1'!AB:AD,3,0)</f>
        <v>1.1925854341394599</v>
      </c>
    </row>
    <row r="229" spans="31:36" x14ac:dyDescent="0.25">
      <c r="AE229" s="1" t="s">
        <v>238</v>
      </c>
      <c r="AF229" s="2">
        <v>41365</v>
      </c>
      <c r="AG229">
        <v>1.3451281632401499</v>
      </c>
      <c r="AH229">
        <f t="shared" si="0"/>
        <v>1.32406070515968</v>
      </c>
      <c r="AI229">
        <f t="shared" si="1"/>
        <v>1.42492469814207</v>
      </c>
      <c r="AJ229">
        <f>VLOOKUP(AF229,'v1'!AB:AD,3,0)</f>
        <v>1.1014406414011599</v>
      </c>
    </row>
    <row r="230" spans="31:36" x14ac:dyDescent="0.25">
      <c r="AE230" s="1" t="s">
        <v>239</v>
      </c>
      <c r="AF230" s="2">
        <v>41395</v>
      </c>
      <c r="AG230">
        <v>1.1994987791385301</v>
      </c>
      <c r="AH230">
        <f t="shared" si="0"/>
        <v>1.1865278613903401</v>
      </c>
      <c r="AI230">
        <f t="shared" si="1"/>
        <v>1.2835145202151099</v>
      </c>
      <c r="AJ230">
        <f>VLOOKUP(AF230,'v1'!AB:AD,3,0)</f>
        <v>1.0227533674374301</v>
      </c>
    </row>
    <row r="231" spans="31:36" x14ac:dyDescent="0.25">
      <c r="AE231" s="1" t="s">
        <v>240</v>
      </c>
      <c r="AF231" s="2">
        <v>41426</v>
      </c>
      <c r="AG231">
        <v>1.17734546359693</v>
      </c>
      <c r="AH231">
        <f t="shared" si="0"/>
        <v>1.1666136700208201</v>
      </c>
      <c r="AI231">
        <f t="shared" si="1"/>
        <v>1.11417175847214</v>
      </c>
      <c r="AJ231">
        <f>VLOOKUP(AF231,'v1'!AB:AD,3,0)</f>
        <v>0.96054066080023504</v>
      </c>
    </row>
    <row r="232" spans="31:36" x14ac:dyDescent="0.25">
      <c r="AE232" s="1" t="s">
        <v>241</v>
      </c>
      <c r="AF232" s="2">
        <v>41456</v>
      </c>
      <c r="AG232">
        <v>1.1428769843004101</v>
      </c>
      <c r="AH232">
        <f t="shared" si="0"/>
        <v>1.1377007160388899</v>
      </c>
      <c r="AI232">
        <f t="shared" si="1"/>
        <v>1.04858361030069</v>
      </c>
      <c r="AJ232">
        <f>VLOOKUP(AF232,'v1'!AB:AD,3,0)</f>
        <v>0.91624505120213595</v>
      </c>
    </row>
    <row r="233" spans="31:36" x14ac:dyDescent="0.25">
      <c r="AE233" s="1" t="s">
        <v>242</v>
      </c>
      <c r="AF233" s="2">
        <v>41487</v>
      </c>
      <c r="AG233">
        <v>1.0772854823956299</v>
      </c>
      <c r="AH233">
        <f t="shared" si="0"/>
        <v>1.07920216987707</v>
      </c>
      <c r="AI233">
        <f t="shared" si="1"/>
        <v>1.2038023598088099</v>
      </c>
      <c r="AJ233">
        <f>VLOOKUP(AF233,'v1'!AB:AD,3,0)</f>
        <v>0.87670415808602797</v>
      </c>
    </row>
    <row r="234" spans="31:36" x14ac:dyDescent="0.25">
      <c r="AE234" s="1" t="s">
        <v>243</v>
      </c>
      <c r="AF234" s="2">
        <v>41518</v>
      </c>
      <c r="AG234">
        <v>1.0788250312813501</v>
      </c>
      <c r="AH234">
        <f t="shared" si="0"/>
        <v>1.08382055352346</v>
      </c>
      <c r="AI234">
        <f t="shared" si="1"/>
        <v>1.04389942835373</v>
      </c>
      <c r="AJ234">
        <f>VLOOKUP(AF234,'v1'!AB:AD,3,0)</f>
        <v>0.83894353410357603</v>
      </c>
    </row>
    <row r="235" spans="31:36" x14ac:dyDescent="0.25">
      <c r="AE235" s="1" t="s">
        <v>244</v>
      </c>
      <c r="AF235" s="2">
        <v>41548</v>
      </c>
      <c r="AG235">
        <v>1.0364740331311999</v>
      </c>
      <c r="AH235">
        <f t="shared" si="0"/>
        <v>1.0348796584787801</v>
      </c>
      <c r="AI235">
        <f t="shared" si="1"/>
        <v>1.0489400843686401</v>
      </c>
      <c r="AJ235">
        <f>VLOOKUP(AF235,'v1'!AB:AD,3,0)</f>
        <v>0.82521044623954398</v>
      </c>
    </row>
    <row r="236" spans="31:36" x14ac:dyDescent="0.25">
      <c r="AE236" s="1" t="s">
        <v>245</v>
      </c>
      <c r="AF236" s="2">
        <v>41579</v>
      </c>
      <c r="AG236">
        <v>0.99584955516093299</v>
      </c>
      <c r="AH236">
        <f t="shared" si="0"/>
        <v>1.00225552915824</v>
      </c>
      <c r="AI236">
        <f t="shared" si="1"/>
        <v>1.05069999744777</v>
      </c>
      <c r="AJ236">
        <f>VLOOKUP(AF236,'v1'!AB:AD,3,0)</f>
        <v>0.81689177503437804</v>
      </c>
    </row>
    <row r="237" spans="31:36" x14ac:dyDescent="0.25">
      <c r="AE237" s="1" t="s">
        <v>246</v>
      </c>
      <c r="AF237" s="2">
        <v>41609</v>
      </c>
      <c r="AG237">
        <v>1.0089726872343601</v>
      </c>
      <c r="AH237">
        <f t="shared" si="0"/>
        <v>1.0269407791318701</v>
      </c>
      <c r="AI237">
        <f t="shared" si="1"/>
        <v>1.0073826282576399</v>
      </c>
      <c r="AJ237">
        <f>VLOOKUP(AF237,'v1'!AB:AD,3,0)</f>
        <v>0.80939029838958998</v>
      </c>
    </row>
    <row r="238" spans="31:36" x14ac:dyDescent="0.25">
      <c r="AE238" s="1" t="s">
        <v>247</v>
      </c>
      <c r="AF238" s="2">
        <v>41640</v>
      </c>
      <c r="AG238">
        <v>0.97823824772996804</v>
      </c>
      <c r="AH238">
        <f t="shared" si="0"/>
        <v>0.99370403874938795</v>
      </c>
      <c r="AI238">
        <f t="shared" si="1"/>
        <v>1.07268613005128</v>
      </c>
      <c r="AJ238">
        <f>VLOOKUP(AF238,'v1'!AB:AD,3,0)</f>
        <v>0.79808000167362902</v>
      </c>
    </row>
    <row r="239" spans="31:36" x14ac:dyDescent="0.25">
      <c r="AE239" s="1" t="s">
        <v>248</v>
      </c>
      <c r="AF239" s="2">
        <v>41671</v>
      </c>
      <c r="AG239">
        <v>0.94596064443802597</v>
      </c>
      <c r="AH239">
        <f t="shared" si="0"/>
        <v>0.97093538221213505</v>
      </c>
      <c r="AI239">
        <f t="shared" si="1"/>
        <v>1.0304220325831699</v>
      </c>
      <c r="AJ239">
        <f>VLOOKUP(AF239,'v1'!AB:AD,3,0)</f>
        <v>0.78918258497143701</v>
      </c>
    </row>
    <row r="240" spans="31:36" x14ac:dyDescent="0.25">
      <c r="AE240" s="1" t="s">
        <v>249</v>
      </c>
      <c r="AF240" s="2">
        <v>41699</v>
      </c>
      <c r="AG240">
        <v>0.88176069656054101</v>
      </c>
      <c r="AH240">
        <f t="shared" si="0"/>
        <v>0.90443603866915401</v>
      </c>
      <c r="AI240">
        <f t="shared" si="1"/>
        <v>0.94895062445340395</v>
      </c>
      <c r="AJ240">
        <f>VLOOKUP(AF240,'v1'!AB:AD,3,0)</f>
        <v>0.78247961404456201</v>
      </c>
    </row>
    <row r="241" spans="31:36" x14ac:dyDescent="0.25">
      <c r="AE241" s="1" t="s">
        <v>250</v>
      </c>
      <c r="AF241" s="2">
        <v>41730</v>
      </c>
      <c r="AG241">
        <v>0.77089322969239304</v>
      </c>
      <c r="AH241">
        <f t="shared" si="0"/>
        <v>0.78469756732072504</v>
      </c>
      <c r="AI241">
        <f t="shared" si="1"/>
        <v>0.93110307260556602</v>
      </c>
      <c r="AJ241">
        <f>VLOOKUP(AF241,'v1'!AB:AD,3,0)</f>
        <v>0.75880602368504402</v>
      </c>
    </row>
    <row r="242" spans="31:36" x14ac:dyDescent="0.25">
      <c r="AE242" s="1" t="s">
        <v>251</v>
      </c>
      <c r="AF242" s="2">
        <v>41760</v>
      </c>
      <c r="AG242">
        <v>0.70730827752463199</v>
      </c>
      <c r="AH242">
        <f t="shared" si="0"/>
        <v>0.73121295093910899</v>
      </c>
      <c r="AI242">
        <f t="shared" si="1"/>
        <v>0.79079279466739405</v>
      </c>
      <c r="AJ242">
        <f>VLOOKUP(AF242,'v1'!AB:AD,3,0)</f>
        <v>0.73486946711488499</v>
      </c>
    </row>
    <row r="243" spans="31:36" x14ac:dyDescent="0.25">
      <c r="AE243" s="1" t="s">
        <v>252</v>
      </c>
      <c r="AF243" s="2">
        <v>41791</v>
      </c>
      <c r="AG243">
        <v>0.73020794921990795</v>
      </c>
      <c r="AH243">
        <f t="shared" si="0"/>
        <v>0.75234810880885306</v>
      </c>
      <c r="AI243">
        <f t="shared" si="1"/>
        <v>0.78499593314744798</v>
      </c>
      <c r="AJ243">
        <f>VLOOKUP(AF243,'v1'!AB:AD,3,0)</f>
        <v>0.71205441493439303</v>
      </c>
    </row>
    <row r="244" spans="31:36" x14ac:dyDescent="0.25">
      <c r="AE244" s="1" t="s">
        <v>253</v>
      </c>
      <c r="AF244" s="2">
        <v>41821</v>
      </c>
      <c r="AG244">
        <v>0.69287565148261598</v>
      </c>
      <c r="AH244">
        <f t="shared" si="0"/>
        <v>0.71890986529851197</v>
      </c>
      <c r="AI244">
        <f t="shared" si="1"/>
        <v>0.78938625105429105</v>
      </c>
      <c r="AJ244">
        <f>VLOOKUP(AF244,'v1'!AB:AD,3,0)</f>
        <v>0.702716749023791</v>
      </c>
    </row>
    <row r="245" spans="31:36" x14ac:dyDescent="0.25">
      <c r="AE245" s="1" t="s">
        <v>254</v>
      </c>
      <c r="AF245" s="2">
        <v>41852</v>
      </c>
      <c r="AG245">
        <v>0.71117159013176501</v>
      </c>
      <c r="AH245">
        <f t="shared" si="0"/>
        <v>0.74288918882122701</v>
      </c>
      <c r="AI245">
        <f t="shared" si="1"/>
        <v>0.79519370658590605</v>
      </c>
      <c r="AJ245">
        <f>VLOOKUP(AF245,'v1'!AB:AD,3,0)</f>
        <v>0.69538935457670303</v>
      </c>
    </row>
    <row r="246" spans="31:36" x14ac:dyDescent="0.25">
      <c r="AE246" s="1" t="s">
        <v>255</v>
      </c>
      <c r="AF246" s="2">
        <v>41883</v>
      </c>
      <c r="AG246">
        <v>0.69269283228867695</v>
      </c>
      <c r="AH246">
        <f t="shared" si="0"/>
        <v>0.72468512177834599</v>
      </c>
      <c r="AI246">
        <f t="shared" si="1"/>
        <v>0.76693717432183595</v>
      </c>
      <c r="AJ246">
        <f>VLOOKUP(AF246,'v1'!AB:AD,3,0)</f>
        <v>0.68046536933302804</v>
      </c>
    </row>
    <row r="247" spans="31:36" x14ac:dyDescent="0.25">
      <c r="AE247" s="1" t="s">
        <v>256</v>
      </c>
      <c r="AF247" s="2">
        <v>41913</v>
      </c>
      <c r="AG247">
        <v>0.689705290668985</v>
      </c>
      <c r="AH247">
        <f t="shared" si="0"/>
        <v>0.72620129135423395</v>
      </c>
      <c r="AI247">
        <f t="shared" si="1"/>
        <v>0.84637328847563298</v>
      </c>
      <c r="AJ247">
        <f>VLOOKUP(AF247,'v1'!AB:AD,3,0)</f>
        <v>0.67451217366938399</v>
      </c>
    </row>
    <row r="248" spans="31:36" x14ac:dyDescent="0.25">
      <c r="AE248" s="1" t="s">
        <v>257</v>
      </c>
      <c r="AF248" s="2">
        <v>41944</v>
      </c>
      <c r="AG248">
        <v>0.65397913694174004</v>
      </c>
      <c r="AH248">
        <f t="shared" si="0"/>
        <v>0.68886206547695805</v>
      </c>
      <c r="AI248">
        <f t="shared" si="1"/>
        <v>0.78431743220730399</v>
      </c>
      <c r="AJ248">
        <f>VLOOKUP(AF248,'v1'!AB:AD,3,0)</f>
        <v>0.66860767704117796</v>
      </c>
    </row>
    <row r="249" spans="31:36" x14ac:dyDescent="0.25">
      <c r="AE249" s="1" t="s">
        <v>258</v>
      </c>
      <c r="AF249" s="2">
        <v>41974</v>
      </c>
      <c r="AG249">
        <v>0.69831895263763299</v>
      </c>
      <c r="AH249">
        <f t="shared" si="0"/>
        <v>0.73175020799269896</v>
      </c>
      <c r="AI249">
        <f t="shared" si="1"/>
        <v>0.72213247232254496</v>
      </c>
      <c r="AJ249">
        <f>VLOOKUP(AF249,'v1'!AB:AD,3,0)</f>
        <v>0.66512661081309399</v>
      </c>
    </row>
    <row r="250" spans="31:36" x14ac:dyDescent="0.25">
      <c r="AE250" s="1" t="s">
        <v>259</v>
      </c>
      <c r="AF250" s="2">
        <v>42005</v>
      </c>
      <c r="AG250">
        <v>0.64969267875842895</v>
      </c>
      <c r="AH250">
        <f t="shared" si="0"/>
        <v>0.68760699562067096</v>
      </c>
      <c r="AI250">
        <f t="shared" si="1"/>
        <v>0.87545112370576195</v>
      </c>
      <c r="AJ250">
        <f>VLOOKUP(AF250,'v1'!AB:AD,3,0)</f>
        <v>0.65957899363705597</v>
      </c>
    </row>
    <row r="251" spans="31:36" x14ac:dyDescent="0.25">
      <c r="AE251" s="1" t="s">
        <v>260</v>
      </c>
      <c r="AF251" s="2">
        <v>42036</v>
      </c>
      <c r="AG251">
        <v>0.64380936081920304</v>
      </c>
      <c r="AH251">
        <f t="shared" si="0"/>
        <v>0.69063000413512898</v>
      </c>
      <c r="AI251">
        <f t="shared" si="1"/>
        <v>0.74022149442872798</v>
      </c>
      <c r="AJ251">
        <f>VLOOKUP(AF251,'v1'!AB:AD,3,0)</f>
        <v>0.65541165695933701</v>
      </c>
    </row>
    <row r="252" spans="31:36" x14ac:dyDescent="0.25">
      <c r="AE252" s="1" t="s">
        <v>261</v>
      </c>
      <c r="AF252" s="2">
        <v>42064</v>
      </c>
      <c r="AG252">
        <v>0.58813600864986404</v>
      </c>
      <c r="AH252">
        <f t="shared" si="0"/>
        <v>0.62462777776288703</v>
      </c>
      <c r="AI252">
        <f t="shared" si="1"/>
        <v>0.76113451083606998</v>
      </c>
      <c r="AJ252">
        <f>VLOOKUP(AF252,'v1'!AB:AD,3,0)</f>
        <v>0.65030663897289698</v>
      </c>
    </row>
    <row r="253" spans="31:36" x14ac:dyDescent="0.25">
      <c r="AE253" s="1" t="s">
        <v>262</v>
      </c>
      <c r="AF253" s="2">
        <v>42095</v>
      </c>
      <c r="AG253">
        <v>0.50731464004529803</v>
      </c>
      <c r="AH253">
        <f t="shared" si="0"/>
        <v>0.53754334578658403</v>
      </c>
      <c r="AI253">
        <f t="shared" si="1"/>
        <v>0.75223209558569204</v>
      </c>
      <c r="AJ253">
        <f>VLOOKUP(AF253,'v1'!AB:AD,3,0)</f>
        <v>0.63454004949169396</v>
      </c>
    </row>
    <row r="254" spans="31:36" x14ac:dyDescent="0.25">
      <c r="AE254" s="1" t="s">
        <v>263</v>
      </c>
      <c r="AF254" s="2">
        <v>42125</v>
      </c>
      <c r="AG254">
        <v>0.48334304569323</v>
      </c>
      <c r="AH254">
        <f t="shared" si="0"/>
        <v>0.51417879238037101</v>
      </c>
      <c r="AI254">
        <f t="shared" si="1"/>
        <v>0.59652914032641802</v>
      </c>
      <c r="AJ254">
        <f>VLOOKUP(AF254,'v1'!AB:AD,3,0)</f>
        <v>0.61354776258044597</v>
      </c>
    </row>
    <row r="255" spans="31:36" x14ac:dyDescent="0.25">
      <c r="AE255" s="1" t="s">
        <v>264</v>
      </c>
      <c r="AF255" s="2">
        <v>42156</v>
      </c>
      <c r="AG255">
        <v>0.44822073042972699</v>
      </c>
      <c r="AH255">
        <f t="shared" si="0"/>
        <v>0.47831995339336902</v>
      </c>
      <c r="AI255">
        <f t="shared" si="1"/>
        <v>0.58402859460980905</v>
      </c>
      <c r="AJ255">
        <f>VLOOKUP(AF255,'v1'!AB:AD,3,0)</f>
        <v>0.594200581602089</v>
      </c>
    </row>
    <row r="256" spans="31:36" x14ac:dyDescent="0.25">
      <c r="AE256" s="1" t="s">
        <v>265</v>
      </c>
      <c r="AF256" s="2">
        <v>42186</v>
      </c>
      <c r="AG256">
        <v>0.42191429944450398</v>
      </c>
      <c r="AH256">
        <f t="shared" si="0"/>
        <v>0.46056294540182102</v>
      </c>
      <c r="AI256">
        <f t="shared" si="1"/>
        <v>0.63896663304009405</v>
      </c>
      <c r="AJ256">
        <f>VLOOKUP(AF256,'v1'!AB:AD,3,0)</f>
        <v>0.58337284480440799</v>
      </c>
    </row>
    <row r="257" spans="31:36" x14ac:dyDescent="0.25">
      <c r="AE257" s="1" t="s">
        <v>266</v>
      </c>
      <c r="AF257" s="2">
        <v>42217</v>
      </c>
      <c r="AG257">
        <v>0.43800255169093</v>
      </c>
      <c r="AH257">
        <f t="shared" si="0"/>
        <v>0.47109754077180299</v>
      </c>
      <c r="AI257">
        <f t="shared" si="1"/>
        <v>0.59857037972521598</v>
      </c>
      <c r="AJ257">
        <f>VLOOKUP(AF257,'v1'!AB:AD,3,0)</f>
        <v>0.57307307997633805</v>
      </c>
    </row>
    <row r="258" spans="31:36" x14ac:dyDescent="0.25">
      <c r="AE258" s="1" t="s">
        <v>267</v>
      </c>
      <c r="AF258" s="2">
        <v>42248</v>
      </c>
      <c r="AG258">
        <v>0.43729943870187699</v>
      </c>
      <c r="AH258">
        <f t="shared" si="0"/>
        <v>0.47010513249710101</v>
      </c>
      <c r="AI258">
        <f t="shared" si="1"/>
        <v>0.55549222750260796</v>
      </c>
      <c r="AJ258">
        <f>VLOOKUP(AF258,'v1'!AB:AD,3,0)</f>
        <v>0.56541900993673</v>
      </c>
    </row>
    <row r="259" spans="31:36" x14ac:dyDescent="0.25">
      <c r="AE259" s="1" t="s">
        <v>268</v>
      </c>
      <c r="AF259" s="2">
        <v>42278</v>
      </c>
      <c r="AG259">
        <v>0.44998184278133302</v>
      </c>
      <c r="AH259">
        <f t="shared" si="0"/>
        <v>0.48421266281546399</v>
      </c>
      <c r="AI259">
        <f t="shared" si="1"/>
        <v>0.57893912304795003</v>
      </c>
      <c r="AJ259">
        <f>VLOOKUP(AF259,'v1'!AB:AD,3,0)</f>
        <v>0.56384894237739802</v>
      </c>
    </row>
    <row r="260" spans="31:36" x14ac:dyDescent="0.25">
      <c r="AE260" s="1" t="s">
        <v>269</v>
      </c>
      <c r="AF260" s="2">
        <v>42309</v>
      </c>
      <c r="AG260">
        <v>0.468423935065643</v>
      </c>
      <c r="AH260">
        <f t="shared" si="0"/>
        <v>0.51077296294593799</v>
      </c>
      <c r="AI260">
        <f t="shared" si="1"/>
        <v>0.59840938722750503</v>
      </c>
      <c r="AJ260">
        <f>VLOOKUP(AF260,'v1'!AB:AD,3,0)</f>
        <v>0.56287913696765302</v>
      </c>
    </row>
    <row r="261" spans="31:36" x14ac:dyDescent="0.25">
      <c r="AE261" s="1" t="s">
        <v>270</v>
      </c>
      <c r="AF261" s="2">
        <v>42339</v>
      </c>
      <c r="AG261">
        <v>0.47337548501534799</v>
      </c>
      <c r="AH261">
        <f t="shared" si="0"/>
        <v>0.51036826719876904</v>
      </c>
      <c r="AI261">
        <f t="shared" si="1"/>
        <v>0.57680724378991199</v>
      </c>
      <c r="AJ261">
        <f>VLOOKUP(AF261,'v1'!AB:AD,3,0)</f>
        <v>0.56480533777908404</v>
      </c>
    </row>
    <row r="262" spans="31:36" x14ac:dyDescent="0.25">
      <c r="AE262" s="1" t="s">
        <v>271</v>
      </c>
      <c r="AF262" s="2">
        <v>42370</v>
      </c>
      <c r="AG262">
        <v>0.44586697615924797</v>
      </c>
      <c r="AH262">
        <f t="shared" si="0"/>
        <v>0.484258752547928</v>
      </c>
      <c r="AI262">
        <f t="shared" si="1"/>
        <v>0.60197772004412198</v>
      </c>
      <c r="AJ262">
        <f>VLOOKUP(AF262,'v1'!AB:AD,3,0)</f>
        <v>0.56580869358824304</v>
      </c>
    </row>
    <row r="263" spans="31:36" x14ac:dyDescent="0.25">
      <c r="AE263" s="1" t="s">
        <v>272</v>
      </c>
      <c r="AF263" s="2">
        <v>42401</v>
      </c>
      <c r="AG263">
        <v>0.45481421246306197</v>
      </c>
      <c r="AH263">
        <f t="shared" si="0"/>
        <v>0.48709674261546698</v>
      </c>
      <c r="AI263">
        <f t="shared" si="1"/>
        <v>0.56516064395625298</v>
      </c>
      <c r="AJ263">
        <f>VLOOKUP(AF263,'v1'!AB:AD,3,0)</f>
        <v>0.56720945028213599</v>
      </c>
    </row>
  </sheetData>
  <pageMargins left="0.7" right="0.7" top="0.75" bottom="0.75" header="0.3" footer="0.3"/>
  <pageSetup scale="1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63"/>
  <sheetViews>
    <sheetView topLeftCell="B1" workbookViewId="0">
      <selection activeCell="AC2" sqref="AC2"/>
    </sheetView>
  </sheetViews>
  <sheetFormatPr defaultRowHeight="15" x14ac:dyDescent="0.25"/>
  <cols>
    <col min="2" max="2" width="9.7109375" bestFit="1" customWidth="1"/>
    <col min="8" max="8" width="9.7109375" bestFit="1" customWidth="1"/>
    <col min="19" max="19" width="9.140625" style="3"/>
  </cols>
  <sheetData>
    <row r="1" spans="1:36" x14ac:dyDescent="0.25">
      <c r="A1" s="1" t="s">
        <v>67</v>
      </c>
      <c r="B1" t="s">
        <v>0</v>
      </c>
      <c r="C1" t="s">
        <v>1</v>
      </c>
      <c r="D1" t="s">
        <v>72</v>
      </c>
      <c r="E1" t="s">
        <v>73</v>
      </c>
      <c r="G1" s="1" t="s">
        <v>66</v>
      </c>
      <c r="H1" t="s">
        <v>0</v>
      </c>
      <c r="I1" t="s">
        <v>1</v>
      </c>
      <c r="J1" t="s">
        <v>72</v>
      </c>
      <c r="K1" t="s">
        <v>73</v>
      </c>
      <c r="M1" s="1" t="s">
        <v>68</v>
      </c>
      <c r="N1" t="s">
        <v>0</v>
      </c>
      <c r="O1" t="s">
        <v>1</v>
      </c>
      <c r="P1" t="s">
        <v>72</v>
      </c>
      <c r="Q1" t="s">
        <v>73</v>
      </c>
      <c r="S1" s="1" t="s">
        <v>69</v>
      </c>
      <c r="T1" t="s">
        <v>0</v>
      </c>
      <c r="U1" t="s">
        <v>1</v>
      </c>
      <c r="V1" t="s">
        <v>72</v>
      </c>
      <c r="W1" t="s">
        <v>73</v>
      </c>
      <c r="Y1" s="1" t="s">
        <v>70</v>
      </c>
      <c r="Z1" t="s">
        <v>0</v>
      </c>
      <c r="AA1" t="s">
        <v>1</v>
      </c>
      <c r="AB1" t="s">
        <v>72</v>
      </c>
      <c r="AC1" t="s">
        <v>73</v>
      </c>
      <c r="AE1" s="1" t="s">
        <v>273</v>
      </c>
      <c r="AF1" t="s">
        <v>0</v>
      </c>
      <c r="AG1" t="s">
        <v>1</v>
      </c>
      <c r="AH1" t="s">
        <v>274</v>
      </c>
      <c r="AI1" t="s">
        <v>72</v>
      </c>
      <c r="AJ1" t="s">
        <v>73</v>
      </c>
    </row>
    <row r="2" spans="1:36" x14ac:dyDescent="0.25">
      <c r="A2" t="s">
        <v>3</v>
      </c>
      <c r="B2" s="2">
        <v>40513</v>
      </c>
      <c r="C2">
        <v>2.9403270560502999</v>
      </c>
      <c r="D2">
        <v>2.1789336883058001</v>
      </c>
      <c r="E2">
        <f>VLOOKUP(B2,'v1'!B:D,3,0)</f>
        <v>2.1523347633032399</v>
      </c>
      <c r="G2" t="s">
        <v>3</v>
      </c>
      <c r="H2" s="2">
        <v>40513</v>
      </c>
      <c r="I2">
        <v>2.94369415702606</v>
      </c>
      <c r="J2">
        <v>2.1837726979922798</v>
      </c>
      <c r="K2">
        <f>VLOOKUP(H2,'v1'!H:J,3,0)</f>
        <v>2.1546881322415299</v>
      </c>
      <c r="M2" t="s">
        <v>3</v>
      </c>
      <c r="N2" s="2">
        <v>40513</v>
      </c>
      <c r="O2">
        <v>8.74252811807348</v>
      </c>
      <c r="P2">
        <v>0.95424238145241902</v>
      </c>
      <c r="Q2">
        <f>VLOOKUP(N2,'v1'!M:O,3,0)</f>
        <v>0.812177646143319</v>
      </c>
      <c r="S2" s="3" t="s">
        <v>3</v>
      </c>
      <c r="T2" s="2">
        <v>40513</v>
      </c>
      <c r="U2">
        <v>1.04631944292003</v>
      </c>
      <c r="V2">
        <v>0.47546789262165001</v>
      </c>
      <c r="W2">
        <f>VLOOKUP(T2,'v1'!R:T,3,0)</f>
        <v>1.4039362236464299</v>
      </c>
      <c r="Y2" t="s">
        <v>3</v>
      </c>
      <c r="Z2" s="2">
        <v>41091</v>
      </c>
      <c r="AA2">
        <v>0</v>
      </c>
      <c r="AB2">
        <v>1.94075325430032E-2</v>
      </c>
      <c r="AC2">
        <f>VLOOKUP(Z2,'v1'!W:Y,3,0)</f>
        <v>0.30028540234311502</v>
      </c>
      <c r="AE2" t="s">
        <v>3</v>
      </c>
      <c r="AF2" s="2">
        <v>34335</v>
      </c>
      <c r="AG2">
        <v>0</v>
      </c>
      <c r="AH2" t="e">
        <f>VLOOKUP(AF2,LoanLevelHist!B:D,2,0)</f>
        <v>#N/A</v>
      </c>
      <c r="AI2">
        <v>6.0496178898583599E-3</v>
      </c>
      <c r="AJ2">
        <f>VLOOKUP(AF2,'v1'!AB:AD,3,0)</f>
        <v>4.8661250181214503E-3</v>
      </c>
    </row>
    <row r="3" spans="1:36" x14ac:dyDescent="0.25">
      <c r="A3" t="s">
        <v>4</v>
      </c>
      <c r="B3" s="2">
        <v>40544</v>
      </c>
      <c r="C3">
        <v>2.8515887646976901</v>
      </c>
      <c r="D3">
        <v>3.0633433786496198</v>
      </c>
      <c r="E3">
        <f>VLOOKUP(B3,'v1'!B:D,3,0)</f>
        <v>2.1791282800968799</v>
      </c>
      <c r="G3" t="s">
        <v>4</v>
      </c>
      <c r="H3" s="2">
        <v>40544</v>
      </c>
      <c r="I3">
        <v>2.8544039964127199</v>
      </c>
      <c r="J3">
        <v>3.0736354297858801</v>
      </c>
      <c r="K3">
        <f>VLOOKUP(H3,'v1'!H:J,3,0)</f>
        <v>2.1831643663766198</v>
      </c>
      <c r="M3" t="s">
        <v>4</v>
      </c>
      <c r="N3" s="2">
        <v>40544</v>
      </c>
      <c r="O3">
        <v>2.5327830427341</v>
      </c>
      <c r="P3">
        <v>0.39519663811630201</v>
      </c>
      <c r="Q3">
        <f>VLOOKUP(N3,'v1'!M:O,3,0)</f>
        <v>0.318278899305657</v>
      </c>
      <c r="S3" s="3" t="s">
        <v>4</v>
      </c>
      <c r="T3" s="2">
        <v>40544</v>
      </c>
      <c r="U3">
        <v>2.08468844246653</v>
      </c>
      <c r="V3">
        <v>0.58294190948151603</v>
      </c>
      <c r="W3">
        <f>VLOOKUP(T3,'v1'!R:T,3,0)</f>
        <v>1.40344885759658</v>
      </c>
      <c r="Y3" t="s">
        <v>4</v>
      </c>
      <c r="Z3" s="2">
        <v>41122</v>
      </c>
      <c r="AA3">
        <v>0</v>
      </c>
      <c r="AB3">
        <v>4.8163320063321399E-2</v>
      </c>
      <c r="AC3">
        <f>VLOOKUP(Z3,'v1'!W:Y,3,0)</f>
        <v>0.45887599046399202</v>
      </c>
      <c r="AE3" t="s">
        <v>4</v>
      </c>
      <c r="AF3" s="2">
        <v>34366</v>
      </c>
      <c r="AG3">
        <v>0</v>
      </c>
      <c r="AH3" t="e">
        <f>VLOOKUP(AF3,LoanLevelHist!B:D,2,0)</f>
        <v>#N/A</v>
      </c>
      <c r="AI3">
        <v>0.48688726279475503</v>
      </c>
      <c r="AJ3">
        <f>VLOOKUP(AF3,'v1'!AB:AD,3,0)</f>
        <v>0.214115224498479</v>
      </c>
    </row>
    <row r="4" spans="1:36" x14ac:dyDescent="0.25">
      <c r="A4" t="s">
        <v>5</v>
      </c>
      <c r="B4" s="2">
        <v>40575</v>
      </c>
      <c r="C4">
        <v>3.0092574384375799</v>
      </c>
      <c r="D4">
        <v>3.0763807364670801</v>
      </c>
      <c r="E4">
        <f>VLOOKUP(B4,'v1'!B:D,3,0)</f>
        <v>2.2621514618217602</v>
      </c>
      <c r="G4" t="s">
        <v>5</v>
      </c>
      <c r="H4" s="2">
        <v>40575</v>
      </c>
      <c r="I4">
        <v>3.01847609904183</v>
      </c>
      <c r="J4">
        <v>3.0887582695690101</v>
      </c>
      <c r="K4">
        <f>VLOOKUP(H4,'v1'!H:J,3,0)</f>
        <v>2.2672433282444202</v>
      </c>
      <c r="M4" t="s">
        <v>5</v>
      </c>
      <c r="N4" s="2">
        <v>40575</v>
      </c>
      <c r="O4">
        <v>0</v>
      </c>
      <c r="P4">
        <v>0.254893948113388</v>
      </c>
      <c r="Q4">
        <f>VLOOKUP(N4,'v1'!M:O,3,0)</f>
        <v>0.23491253553617999</v>
      </c>
      <c r="S4" s="3" t="s">
        <v>5</v>
      </c>
      <c r="T4" s="2">
        <v>40575</v>
      </c>
      <c r="U4">
        <v>1.4608417769295401</v>
      </c>
      <c r="V4">
        <v>0.62026705197405496</v>
      </c>
      <c r="W4">
        <f>VLOOKUP(T4,'v1'!R:T,3,0)</f>
        <v>1.52262944858337</v>
      </c>
      <c r="Y4" t="s">
        <v>5</v>
      </c>
      <c r="Z4" s="2">
        <v>41153</v>
      </c>
      <c r="AA4">
        <v>0</v>
      </c>
      <c r="AB4">
        <v>8.6499619156166205E-2</v>
      </c>
      <c r="AC4">
        <f>VLOOKUP(Z4,'v1'!W:Y,3,0)</f>
        <v>0.63430867585078099</v>
      </c>
      <c r="AE4" t="s">
        <v>5</v>
      </c>
      <c r="AF4" s="2">
        <v>34394</v>
      </c>
      <c r="AG4">
        <v>0</v>
      </c>
      <c r="AH4" t="e">
        <f>VLOOKUP(AF4,LoanLevelHist!B:D,2,0)</f>
        <v>#N/A</v>
      </c>
      <c r="AI4">
        <v>0.49171395279686803</v>
      </c>
      <c r="AJ4">
        <f>VLOOKUP(AF4,'v1'!AB:AD,3,0)</f>
        <v>0.217263054076755</v>
      </c>
    </row>
    <row r="5" spans="1:36" x14ac:dyDescent="0.25">
      <c r="A5" t="s">
        <v>6</v>
      </c>
      <c r="B5" s="2">
        <v>40603</v>
      </c>
      <c r="C5">
        <v>2.58048347031187</v>
      </c>
      <c r="D5">
        <v>3.0909954448893902</v>
      </c>
      <c r="E5">
        <f>VLOOKUP(B5,'v1'!B:D,3,0)</f>
        <v>2.3374511477395798</v>
      </c>
      <c r="G5" t="s">
        <v>6</v>
      </c>
      <c r="H5" s="2">
        <v>40603</v>
      </c>
      <c r="I5">
        <v>2.5918149559730499</v>
      </c>
      <c r="J5">
        <v>3.1085471658088699</v>
      </c>
      <c r="K5">
        <f>VLOOKUP(H5,'v1'!H:J,3,0)</f>
        <v>2.34596760052426</v>
      </c>
      <c r="M5" t="s">
        <v>6</v>
      </c>
      <c r="N5" s="2">
        <v>40603</v>
      </c>
      <c r="O5">
        <v>0</v>
      </c>
      <c r="P5">
        <v>0.138917627414548</v>
      </c>
      <c r="Q5">
        <f>VLOOKUP(N5,'v1'!M:O,3,0)</f>
        <v>0.131241029026785</v>
      </c>
      <c r="S5" s="3" t="s">
        <v>6</v>
      </c>
      <c r="T5" s="2">
        <v>40603</v>
      </c>
      <c r="U5">
        <v>1.3464863334513799</v>
      </c>
      <c r="V5">
        <v>0.63787787371429905</v>
      </c>
      <c r="W5">
        <f>VLOOKUP(T5,'v1'!R:T,3,0)</f>
        <v>1.5476715424390599</v>
      </c>
      <c r="Y5" t="s">
        <v>6</v>
      </c>
      <c r="Z5" s="2">
        <v>41183</v>
      </c>
      <c r="AA5">
        <v>0.65312715558033496</v>
      </c>
      <c r="AB5">
        <v>0.13095137997567499</v>
      </c>
      <c r="AC5">
        <f>VLOOKUP(Z5,'v1'!W:Y,3,0)</f>
        <v>0.82961525860169005</v>
      </c>
      <c r="AE5" t="s">
        <v>6</v>
      </c>
      <c r="AF5" s="2">
        <v>34486</v>
      </c>
      <c r="AG5">
        <v>0</v>
      </c>
      <c r="AH5" t="e">
        <f>VLOOKUP(AF5,LoanLevelHist!B:D,2,0)</f>
        <v>#N/A</v>
      </c>
      <c r="AI5">
        <v>1.43523691256586E-2</v>
      </c>
      <c r="AJ5">
        <f>VLOOKUP(AF5,'v1'!AB:AD,3,0)</f>
        <v>1.41128366167531E-2</v>
      </c>
    </row>
    <row r="6" spans="1:36" x14ac:dyDescent="0.25">
      <c r="A6" t="s">
        <v>7</v>
      </c>
      <c r="B6" s="2">
        <v>40634</v>
      </c>
      <c r="C6">
        <v>2.2254604071283302</v>
      </c>
      <c r="D6">
        <v>3.0644641645064201</v>
      </c>
      <c r="E6">
        <f>VLOOKUP(B6,'v1'!B:D,3,0)</f>
        <v>2.2796873240873401</v>
      </c>
      <c r="G6" t="s">
        <v>7</v>
      </c>
      <c r="H6" s="2">
        <v>40634</v>
      </c>
      <c r="I6">
        <v>2.2371485608154602</v>
      </c>
      <c r="J6">
        <v>3.0846357568034302</v>
      </c>
      <c r="K6">
        <f>VLOOKUP(H6,'v1'!H:J,3,0)</f>
        <v>2.28908673839581</v>
      </c>
      <c r="M6" t="s">
        <v>7</v>
      </c>
      <c r="N6" s="2">
        <v>40634</v>
      </c>
      <c r="O6">
        <v>0.22696273637507999</v>
      </c>
      <c r="P6">
        <v>0.12508188908627599</v>
      </c>
      <c r="Q6">
        <f>VLOOKUP(N6,'v1'!M:O,3,0)</f>
        <v>0.11974372711490699</v>
      </c>
      <c r="S6" s="3" t="s">
        <v>7</v>
      </c>
      <c r="T6" s="2">
        <v>40634</v>
      </c>
      <c r="U6">
        <v>0.98139407993934602</v>
      </c>
      <c r="V6">
        <v>0.64923301774482101</v>
      </c>
      <c r="W6">
        <f>VLOOKUP(T6,'v1'!R:T,3,0)</f>
        <v>1.5496788385432401</v>
      </c>
      <c r="Y6" t="s">
        <v>7</v>
      </c>
      <c r="Z6" s="2">
        <v>41214</v>
      </c>
      <c r="AA6">
        <v>0.48694950416733301</v>
      </c>
      <c r="AB6">
        <v>0.18100080345091499</v>
      </c>
      <c r="AC6">
        <f>VLOOKUP(Z6,'v1'!W:Y,3,0)</f>
        <v>1.04063654227908</v>
      </c>
      <c r="AE6" t="s">
        <v>7</v>
      </c>
      <c r="AF6" s="2">
        <v>34516</v>
      </c>
      <c r="AG6">
        <v>0</v>
      </c>
      <c r="AH6" t="e">
        <f>VLOOKUP(AF6,LoanLevelHist!B:D,2,0)</f>
        <v>#N/A</v>
      </c>
      <c r="AI6">
        <v>0.54702956143119996</v>
      </c>
      <c r="AJ6">
        <f>VLOOKUP(AF6,'v1'!AB:AD,3,0)</f>
        <v>0.24276857031987301</v>
      </c>
    </row>
    <row r="7" spans="1:36" x14ac:dyDescent="0.25">
      <c r="A7" t="s">
        <v>8</v>
      </c>
      <c r="B7" s="2">
        <v>40664</v>
      </c>
      <c r="C7">
        <v>2.1357740489281101</v>
      </c>
      <c r="D7">
        <v>2.9898835984193699</v>
      </c>
      <c r="E7">
        <f>VLOOKUP(B7,'v1'!B:D,3,0)</f>
        <v>2.2326216564850201</v>
      </c>
      <c r="G7" t="s">
        <v>8</v>
      </c>
      <c r="H7" s="2">
        <v>40664</v>
      </c>
      <c r="I7">
        <v>2.1435583911789799</v>
      </c>
      <c r="J7">
        <v>3.0121119127517901</v>
      </c>
      <c r="K7">
        <f>VLOOKUP(H7,'v1'!H:J,3,0)</f>
        <v>2.2427194920072102</v>
      </c>
      <c r="M7" t="s">
        <v>8</v>
      </c>
      <c r="N7" s="2">
        <v>40664</v>
      </c>
      <c r="O7">
        <v>0.41511955536134298</v>
      </c>
      <c r="P7">
        <v>0.11193748816023</v>
      </c>
      <c r="Q7">
        <f>VLOOKUP(N7,'v1'!M:O,3,0)</f>
        <v>0.108845324639306</v>
      </c>
      <c r="S7" s="3" t="s">
        <v>8</v>
      </c>
      <c r="T7" s="2">
        <v>40664</v>
      </c>
      <c r="U7">
        <v>1.7104170283264699</v>
      </c>
      <c r="V7">
        <v>0.69058235831870296</v>
      </c>
      <c r="W7">
        <f>VLOOKUP(T7,'v1'!R:T,3,0)</f>
        <v>1.62206798163878</v>
      </c>
      <c r="Y7" t="s">
        <v>8</v>
      </c>
      <c r="Z7" s="2">
        <v>41244</v>
      </c>
      <c r="AA7">
        <v>0.896753166175424</v>
      </c>
      <c r="AB7">
        <v>0.227969694048136</v>
      </c>
      <c r="AC7">
        <f>VLOOKUP(Z7,'v1'!W:Y,3,0)</f>
        <v>1.22214430319036</v>
      </c>
      <c r="AE7" t="s">
        <v>8</v>
      </c>
      <c r="AF7" s="2">
        <v>34547</v>
      </c>
      <c r="AG7">
        <v>0</v>
      </c>
      <c r="AH7" t="e">
        <f>VLOOKUP(AF7,LoanLevelHist!B:D,2,0)</f>
        <v>#N/A</v>
      </c>
      <c r="AI7">
        <v>0.57232388152554903</v>
      </c>
      <c r="AJ7">
        <f>VLOOKUP(AF7,'v1'!AB:AD,3,0)</f>
        <v>0.25454948752312601</v>
      </c>
    </row>
    <row r="8" spans="1:36" x14ac:dyDescent="0.25">
      <c r="A8" t="s">
        <v>9</v>
      </c>
      <c r="B8" s="2">
        <v>40695</v>
      </c>
      <c r="C8">
        <v>2.11345256186191</v>
      </c>
      <c r="D8">
        <v>2.1803057195506299</v>
      </c>
      <c r="E8">
        <f>VLOOKUP(B8,'v1'!B:D,3,0)</f>
        <v>2.2338310275644999</v>
      </c>
      <c r="G8" t="s">
        <v>9</v>
      </c>
      <c r="H8" s="2">
        <v>40695</v>
      </c>
      <c r="I8">
        <v>2.1173279086885999</v>
      </c>
      <c r="J8">
        <v>2.19802804185941</v>
      </c>
      <c r="K8">
        <f>VLOOKUP(H8,'v1'!H:J,3,0)</f>
        <v>2.2447436563705101</v>
      </c>
      <c r="M8" t="s">
        <v>9</v>
      </c>
      <c r="N8" s="2">
        <v>40695</v>
      </c>
      <c r="O8">
        <v>0.14997256081680199</v>
      </c>
      <c r="P8">
        <v>8.9934583843931395E-2</v>
      </c>
      <c r="Q8">
        <f>VLOOKUP(N8,'v1'!M:O,3,0)</f>
        <v>9.6631916170997201E-2</v>
      </c>
      <c r="S8" s="3" t="s">
        <v>9</v>
      </c>
      <c r="T8" s="2">
        <v>40695</v>
      </c>
      <c r="U8">
        <v>2.6223027922401498</v>
      </c>
      <c r="V8">
        <v>0.57875713612879398</v>
      </c>
      <c r="W8">
        <f>VLOOKUP(T8,'v1'!R:T,3,0)</f>
        <v>1.73721220096742</v>
      </c>
      <c r="Y8" t="s">
        <v>9</v>
      </c>
      <c r="Z8" s="2">
        <v>41275</v>
      </c>
      <c r="AA8">
        <v>0.88997950079841004</v>
      </c>
      <c r="AB8">
        <v>0.28634911393023998</v>
      </c>
      <c r="AC8">
        <f>VLOOKUP(Z8,'v1'!W:Y,3,0)</f>
        <v>1.4605461559019</v>
      </c>
      <c r="AE8" t="s">
        <v>9</v>
      </c>
      <c r="AF8" s="2">
        <v>34578</v>
      </c>
      <c r="AG8">
        <v>0</v>
      </c>
      <c r="AH8" t="e">
        <f>VLOOKUP(AF8,LoanLevelHist!B:D,2,0)</f>
        <v>#N/A</v>
      </c>
      <c r="AI8">
        <v>0.59877439910939201</v>
      </c>
      <c r="AJ8">
        <f>VLOOKUP(AF8,'v1'!AB:AD,3,0)</f>
        <v>0.26680184816917402</v>
      </c>
    </row>
    <row r="9" spans="1:36" x14ac:dyDescent="0.25">
      <c r="A9" t="s">
        <v>10</v>
      </c>
      <c r="B9" s="2">
        <v>40725</v>
      </c>
      <c r="C9">
        <v>2.07675597787004</v>
      </c>
      <c r="D9">
        <v>2.1683789167427099</v>
      </c>
      <c r="E9">
        <f>VLOOKUP(B9,'v1'!B:D,3,0)</f>
        <v>2.1894364394424399</v>
      </c>
      <c r="G9" t="s">
        <v>10</v>
      </c>
      <c r="H9" s="2">
        <v>40725</v>
      </c>
      <c r="I9">
        <v>2.0846663640417198</v>
      </c>
      <c r="J9">
        <v>2.1880815490063399</v>
      </c>
      <c r="K9">
        <f>VLOOKUP(H9,'v1'!H:J,3,0)</f>
        <v>2.2009848931599398</v>
      </c>
      <c r="M9" t="s">
        <v>10</v>
      </c>
      <c r="N9" s="2">
        <v>40725</v>
      </c>
      <c r="O9">
        <v>0.29877672067334399</v>
      </c>
      <c r="P9">
        <v>8.2590456575359905E-2</v>
      </c>
      <c r="Q9">
        <f>VLOOKUP(N9,'v1'!M:O,3,0)</f>
        <v>8.9722980315620801E-2</v>
      </c>
      <c r="S9" s="3" t="s">
        <v>10</v>
      </c>
      <c r="T9" s="2">
        <v>40725</v>
      </c>
      <c r="U9">
        <v>2.0476761053838</v>
      </c>
      <c r="V9">
        <v>0.61825871119801601</v>
      </c>
      <c r="W9">
        <f>VLOOKUP(T9,'v1'!R:T,3,0)</f>
        <v>1.8343490487777701</v>
      </c>
      <c r="Y9" t="s">
        <v>10</v>
      </c>
      <c r="Z9" s="2">
        <v>41306</v>
      </c>
      <c r="AA9">
        <v>1.1800203781962399</v>
      </c>
      <c r="AB9">
        <v>0.33876504007622799</v>
      </c>
      <c r="AC9">
        <f>VLOOKUP(Z9,'v1'!W:Y,3,0)</f>
        <v>1.6776543096546701</v>
      </c>
      <c r="AE9" t="s">
        <v>10</v>
      </c>
      <c r="AF9" s="2">
        <v>34608</v>
      </c>
      <c r="AG9">
        <v>0</v>
      </c>
      <c r="AH9" t="e">
        <f>VLOOKUP(AF9,LoanLevelHist!B:D,2,0)</f>
        <v>#N/A</v>
      </c>
      <c r="AI9">
        <v>0.62563427013473405</v>
      </c>
      <c r="AJ9">
        <f>VLOOKUP(AF9,'v1'!AB:AD,3,0)</f>
        <v>0.28058556066478102</v>
      </c>
    </row>
    <row r="10" spans="1:36" x14ac:dyDescent="0.25">
      <c r="A10" t="s">
        <v>11</v>
      </c>
      <c r="B10" s="2">
        <v>40756</v>
      </c>
      <c r="C10">
        <v>2.0678544608068501</v>
      </c>
      <c r="D10">
        <v>2.16161061991528</v>
      </c>
      <c r="E10">
        <f>VLOOKUP(B10,'v1'!B:D,3,0)</f>
        <v>2.1524203787361502</v>
      </c>
      <c r="G10" t="s">
        <v>11</v>
      </c>
      <c r="H10" s="2">
        <v>40756</v>
      </c>
      <c r="I10">
        <v>2.0767136045586798</v>
      </c>
      <c r="J10">
        <v>2.18255582247318</v>
      </c>
      <c r="K10">
        <f>VLOOKUP(H10,'v1'!H:J,3,0)</f>
        <v>2.1637330684896598</v>
      </c>
      <c r="M10" t="s">
        <v>11</v>
      </c>
      <c r="N10" s="2">
        <v>40756</v>
      </c>
      <c r="O10">
        <v>0.133444045202158</v>
      </c>
      <c r="P10">
        <v>8.3640789553940401E-2</v>
      </c>
      <c r="Q10">
        <f>VLOOKUP(N10,'v1'!M:O,3,0)</f>
        <v>8.9738570112940494E-2</v>
      </c>
      <c r="S10" s="3" t="s">
        <v>11</v>
      </c>
      <c r="T10" s="2">
        <v>40756</v>
      </c>
      <c r="U10">
        <v>2.1192492021183602</v>
      </c>
      <c r="V10">
        <v>0.66827240703405399</v>
      </c>
      <c r="W10">
        <f>VLOOKUP(T10,'v1'!R:T,3,0)</f>
        <v>1.9552516853697699</v>
      </c>
      <c r="Y10" t="s">
        <v>11</v>
      </c>
      <c r="Z10" s="2">
        <v>41334</v>
      </c>
      <c r="AA10">
        <v>1.25250120859004</v>
      </c>
      <c r="AB10">
        <v>0.38776362437481499</v>
      </c>
      <c r="AC10">
        <f>VLOOKUP(Z10,'v1'!W:Y,3,0)</f>
        <v>1.88972884685353</v>
      </c>
      <c r="AE10" t="s">
        <v>11</v>
      </c>
      <c r="AF10" s="2">
        <v>34639</v>
      </c>
      <c r="AG10">
        <v>0</v>
      </c>
      <c r="AH10" t="e">
        <f>VLOOKUP(AF10,LoanLevelHist!B:D,2,0)</f>
        <v>#N/A</v>
      </c>
      <c r="AI10">
        <v>0.65458456585090197</v>
      </c>
      <c r="AJ10">
        <f>VLOOKUP(AF10,'v1'!AB:AD,3,0)</f>
        <v>0.29522473438354802</v>
      </c>
    </row>
    <row r="11" spans="1:36" x14ac:dyDescent="0.25">
      <c r="A11" s="1" t="s">
        <v>12</v>
      </c>
      <c r="B11" s="2">
        <v>40787</v>
      </c>
      <c r="C11">
        <v>2.1195306707545698</v>
      </c>
      <c r="D11">
        <v>2.1477006385334199</v>
      </c>
      <c r="E11">
        <f>VLOOKUP(B11,'v1'!B:D,3,0)</f>
        <v>2.1118378076024502</v>
      </c>
      <c r="G11" s="1" t="s">
        <v>12</v>
      </c>
      <c r="H11" s="2">
        <v>40787</v>
      </c>
      <c r="I11">
        <v>2.1306943676025099</v>
      </c>
      <c r="J11">
        <v>2.1696778241548702</v>
      </c>
      <c r="K11">
        <f>VLOOKUP(H11,'v1'!H:J,3,0)</f>
        <v>2.1226306861735398</v>
      </c>
      <c r="M11" s="1" t="s">
        <v>12</v>
      </c>
      <c r="N11" s="2">
        <v>40787</v>
      </c>
      <c r="O11">
        <v>0.194100471672876</v>
      </c>
      <c r="P11">
        <v>8.3819893234038406E-2</v>
      </c>
      <c r="Q11">
        <f>VLOOKUP(N11,'v1'!M:O,3,0)</f>
        <v>9.0452568030186004E-2</v>
      </c>
      <c r="S11" s="1" t="s">
        <v>12</v>
      </c>
      <c r="T11" s="2">
        <v>40787</v>
      </c>
      <c r="U11">
        <v>1.96830303110418</v>
      </c>
      <c r="V11">
        <v>0.71711799241327401</v>
      </c>
      <c r="W11">
        <f>VLOOKUP(T11,'v1'!R:T,3,0)</f>
        <v>2.0691216290555001</v>
      </c>
      <c r="Y11" s="1" t="s">
        <v>12</v>
      </c>
      <c r="Z11" s="2">
        <v>41365</v>
      </c>
      <c r="AA11">
        <v>1.14856878077</v>
      </c>
      <c r="AB11">
        <v>0.424982118116846</v>
      </c>
      <c r="AC11">
        <f>VLOOKUP(Z11,'v1'!W:Y,3,0)</f>
        <v>2.0516141133667198</v>
      </c>
      <c r="AE11" t="s">
        <v>12</v>
      </c>
      <c r="AF11" s="2">
        <v>34669</v>
      </c>
      <c r="AG11">
        <v>0</v>
      </c>
      <c r="AH11" t="e">
        <f>VLOOKUP(AF11,LoanLevelHist!B:D,2,0)</f>
        <v>#N/A</v>
      </c>
      <c r="AI11">
        <v>0.68551392744291595</v>
      </c>
      <c r="AJ11">
        <f>VLOOKUP(AF11,'v1'!AB:AD,3,0)</f>
        <v>0.31152860300082102</v>
      </c>
    </row>
    <row r="12" spans="1:36" x14ac:dyDescent="0.25">
      <c r="A12" s="1" t="s">
        <v>13</v>
      </c>
      <c r="B12" s="2">
        <v>40817</v>
      </c>
      <c r="C12">
        <v>2.1812705009670701</v>
      </c>
      <c r="D12">
        <v>2.1646575165853701</v>
      </c>
      <c r="E12">
        <f>VLOOKUP(B12,'v1'!B:D,3,0)</f>
        <v>2.1322872406214599</v>
      </c>
      <c r="G12" s="1" t="s">
        <v>13</v>
      </c>
      <c r="H12" s="2">
        <v>40817</v>
      </c>
      <c r="I12">
        <v>2.1940195616872402</v>
      </c>
      <c r="J12">
        <v>2.1878637354274399</v>
      </c>
      <c r="K12">
        <f>VLOOKUP(H12,'v1'!H:J,3,0)</f>
        <v>2.1427485808462401</v>
      </c>
      <c r="M12" s="1" t="s">
        <v>13</v>
      </c>
      <c r="N12" s="2">
        <v>40817</v>
      </c>
      <c r="O12">
        <v>8.0194661707522194E-2</v>
      </c>
      <c r="P12">
        <v>8.9888964057083201E-2</v>
      </c>
      <c r="Q12">
        <f>VLOOKUP(N12,'v1'!M:O,3,0)</f>
        <v>9.5590106753873402E-2</v>
      </c>
      <c r="S12" s="1" t="s">
        <v>13</v>
      </c>
      <c r="T12" s="2">
        <v>40817</v>
      </c>
      <c r="U12">
        <v>2.03232550983684</v>
      </c>
      <c r="V12">
        <v>0.76484040376508799</v>
      </c>
      <c r="W12">
        <f>VLOOKUP(T12,'v1'!R:T,3,0)</f>
        <v>2.2106294780525499</v>
      </c>
      <c r="Y12" s="1" t="s">
        <v>13</v>
      </c>
      <c r="Z12" s="2">
        <v>41395</v>
      </c>
      <c r="AA12">
        <v>1.17273882688486</v>
      </c>
      <c r="AB12">
        <v>0.45798079421799398</v>
      </c>
      <c r="AC12">
        <f>VLOOKUP(Z12,'v1'!W:Y,3,0)</f>
        <v>2.2291296263364502</v>
      </c>
      <c r="AE12" t="s">
        <v>13</v>
      </c>
      <c r="AF12" s="2">
        <v>34700</v>
      </c>
      <c r="AG12">
        <v>0</v>
      </c>
      <c r="AH12" t="e">
        <f>VLOOKUP(AF12,LoanLevelHist!B:D,2,0)</f>
        <v>#N/A</v>
      </c>
      <c r="AI12">
        <v>0.71773738486183802</v>
      </c>
      <c r="AJ12">
        <f>VLOOKUP(AF12,'v1'!AB:AD,3,0)</f>
        <v>0.32733926626770099</v>
      </c>
    </row>
    <row r="13" spans="1:36" x14ac:dyDescent="0.25">
      <c r="A13" s="1" t="s">
        <v>14</v>
      </c>
      <c r="B13" s="2">
        <v>40848</v>
      </c>
      <c r="C13">
        <v>2.2641556655418702</v>
      </c>
      <c r="D13">
        <v>2.1836050219682801</v>
      </c>
      <c r="E13">
        <f>VLOOKUP(B13,'v1'!B:D,3,0)</f>
        <v>2.1564726317672802</v>
      </c>
      <c r="G13" s="1" t="s">
        <v>14</v>
      </c>
      <c r="H13" s="2">
        <v>40848</v>
      </c>
      <c r="I13">
        <v>2.2744067973422899</v>
      </c>
      <c r="J13">
        <v>2.2090625165183901</v>
      </c>
      <c r="K13">
        <f>VLOOKUP(H13,'v1'!H:J,3,0)</f>
        <v>2.1673749612537798</v>
      </c>
      <c r="M13" s="1" t="s">
        <v>14</v>
      </c>
      <c r="N13" s="2">
        <v>40848</v>
      </c>
      <c r="O13">
        <v>0</v>
      </c>
      <c r="P13">
        <v>8.9796614295212199E-2</v>
      </c>
      <c r="Q13">
        <f>VLOOKUP(N13,'v1'!M:O,3,0)</f>
        <v>9.3902771736376095E-2</v>
      </c>
      <c r="S13" s="1" t="s">
        <v>14</v>
      </c>
      <c r="T13" s="2">
        <v>40848</v>
      </c>
      <c r="U13">
        <v>2.7040705424370901</v>
      </c>
      <c r="V13">
        <v>0.82233074703628195</v>
      </c>
      <c r="W13">
        <f>VLOOKUP(T13,'v1'!R:T,3,0)</f>
        <v>2.3867471627207002</v>
      </c>
      <c r="Y13" s="1" t="s">
        <v>14</v>
      </c>
      <c r="Z13" s="2">
        <v>41426</v>
      </c>
      <c r="AA13">
        <v>1.37035279794625</v>
      </c>
      <c r="AB13">
        <v>0.49313106094671699</v>
      </c>
      <c r="AC13">
        <f>VLOOKUP(Z13,'v1'!W:Y,3,0)</f>
        <v>2.4255926601609099</v>
      </c>
      <c r="AE13" t="s">
        <v>14</v>
      </c>
      <c r="AF13" s="2">
        <v>34731</v>
      </c>
      <c r="AG13">
        <v>0</v>
      </c>
      <c r="AH13" t="e">
        <f>VLOOKUP(AF13,LoanLevelHist!B:D,2,0)</f>
        <v>#N/A</v>
      </c>
      <c r="AI13">
        <v>0.748166483423096</v>
      </c>
      <c r="AJ13">
        <f>VLOOKUP(AF13,'v1'!AB:AD,3,0)</f>
        <v>0.34256250381756698</v>
      </c>
    </row>
    <row r="14" spans="1:36" x14ac:dyDescent="0.25">
      <c r="A14" s="1" t="s">
        <v>15</v>
      </c>
      <c r="B14" s="2">
        <v>40878</v>
      </c>
      <c r="C14">
        <v>2.3807444954646</v>
      </c>
      <c r="D14">
        <v>2.2036165158068699</v>
      </c>
      <c r="E14">
        <f>VLOOKUP(B14,'v1'!B:D,3,0)</f>
        <v>2.1827696252802098</v>
      </c>
      <c r="G14" s="1" t="s">
        <v>15</v>
      </c>
      <c r="H14" s="2">
        <v>40878</v>
      </c>
      <c r="I14">
        <v>2.3940326090877502</v>
      </c>
      <c r="J14">
        <v>2.2312495575365201</v>
      </c>
      <c r="K14">
        <f>VLOOKUP(H14,'v1'!H:J,3,0)</f>
        <v>2.1939264221258901</v>
      </c>
      <c r="M14" s="1" t="s">
        <v>15</v>
      </c>
      <c r="N14" s="2">
        <v>40878</v>
      </c>
      <c r="O14">
        <v>0.223132839979645</v>
      </c>
      <c r="P14">
        <v>9.2941622631281806E-2</v>
      </c>
      <c r="Q14">
        <f>VLOOKUP(N14,'v1'!M:O,3,0)</f>
        <v>9.5957643255151201E-2</v>
      </c>
      <c r="S14" s="1" t="s">
        <v>15</v>
      </c>
      <c r="T14" s="2">
        <v>40878</v>
      </c>
      <c r="U14">
        <v>2.5757107416823102</v>
      </c>
      <c r="V14">
        <v>0.87465626618302705</v>
      </c>
      <c r="W14">
        <f>VLOOKUP(T14,'v1'!R:T,3,0)</f>
        <v>2.5465637023453498</v>
      </c>
      <c r="Y14" s="1" t="s">
        <v>15</v>
      </c>
      <c r="Z14" s="2">
        <v>41456</v>
      </c>
      <c r="AA14">
        <v>1.385849365856</v>
      </c>
      <c r="AB14">
        <v>0.54770687849473598</v>
      </c>
      <c r="AC14">
        <f>VLOOKUP(Z14,'v1'!W:Y,3,0)</f>
        <v>2.6571551597413201</v>
      </c>
      <c r="AE14" t="s">
        <v>15</v>
      </c>
      <c r="AF14" s="2">
        <v>34759</v>
      </c>
      <c r="AG14">
        <v>0</v>
      </c>
      <c r="AH14" t="e">
        <f>VLOOKUP(AF14,LoanLevelHist!B:D,2,0)</f>
        <v>#N/A</v>
      </c>
      <c r="AI14">
        <v>0.77841964392616503</v>
      </c>
      <c r="AJ14">
        <f>VLOOKUP(AF14,'v1'!AB:AD,3,0)</f>
        <v>0.35751292473867902</v>
      </c>
    </row>
    <row r="15" spans="1:36" x14ac:dyDescent="0.25">
      <c r="A15" s="1" t="s">
        <v>16</v>
      </c>
      <c r="B15" s="2">
        <v>40909</v>
      </c>
      <c r="C15">
        <v>2.34543412817301</v>
      </c>
      <c r="D15">
        <v>2.2173831635889401</v>
      </c>
      <c r="E15">
        <f>VLOOKUP(B15,'v1'!B:D,3,0)</f>
        <v>2.1837567975769399</v>
      </c>
      <c r="G15" s="1" t="s">
        <v>16</v>
      </c>
      <c r="H15" s="2">
        <v>40909</v>
      </c>
      <c r="I15">
        <v>2.3577087559015699</v>
      </c>
      <c r="J15">
        <v>2.2458286346404801</v>
      </c>
      <c r="K15">
        <f>VLOOKUP(H15,'v1'!H:J,3,0)</f>
        <v>2.1935650400789801</v>
      </c>
      <c r="M15" s="1" t="s">
        <v>16</v>
      </c>
      <c r="N15" s="2">
        <v>40909</v>
      </c>
      <c r="O15">
        <v>0</v>
      </c>
      <c r="P15">
        <v>9.7950478356434403E-2</v>
      </c>
      <c r="Q15">
        <f>VLOOKUP(N15,'v1'!M:O,3,0)</f>
        <v>9.9950684057104097E-2</v>
      </c>
      <c r="S15" s="1" t="s">
        <v>16</v>
      </c>
      <c r="T15" s="2">
        <v>40909</v>
      </c>
      <c r="U15">
        <v>2.8767326354994101</v>
      </c>
      <c r="V15">
        <v>0.95585432027783801</v>
      </c>
      <c r="W15">
        <f>VLOOKUP(T15,'v1'!R:T,3,0)</f>
        <v>2.7671094723547598</v>
      </c>
      <c r="Y15" s="1" t="s">
        <v>16</v>
      </c>
      <c r="Z15" s="2">
        <v>41487</v>
      </c>
      <c r="AA15">
        <v>1.5656034625891799</v>
      </c>
      <c r="AB15">
        <v>0.60564939005270901</v>
      </c>
      <c r="AC15">
        <f>VLOOKUP(Z15,'v1'!W:Y,3,0)</f>
        <v>2.9053869653259299</v>
      </c>
      <c r="AE15" t="s">
        <v>16</v>
      </c>
      <c r="AF15" s="2">
        <v>34790</v>
      </c>
      <c r="AG15">
        <v>0</v>
      </c>
      <c r="AH15" t="e">
        <f>VLOOKUP(AF15,LoanLevelHist!B:D,2,0)</f>
        <v>#N/A</v>
      </c>
      <c r="AI15">
        <v>0.80717484669818895</v>
      </c>
      <c r="AJ15">
        <f>VLOOKUP(AF15,'v1'!AB:AD,3,0)</f>
        <v>0.36987972822457599</v>
      </c>
    </row>
    <row r="16" spans="1:36" x14ac:dyDescent="0.25">
      <c r="A16" s="1" t="s">
        <v>17</v>
      </c>
      <c r="B16" s="2">
        <v>40940</v>
      </c>
      <c r="C16">
        <v>2.29688725514433</v>
      </c>
      <c r="D16">
        <v>2.2121401343952498</v>
      </c>
      <c r="E16">
        <f>VLOOKUP(B16,'v1'!B:D,3,0)</f>
        <v>2.16543213256492</v>
      </c>
      <c r="G16" s="1" t="s">
        <v>17</v>
      </c>
      <c r="H16" s="2">
        <v>40940</v>
      </c>
      <c r="I16">
        <v>2.3118167644729302</v>
      </c>
      <c r="J16">
        <v>2.2434528213724798</v>
      </c>
      <c r="K16">
        <f>VLOOKUP(H16,'v1'!H:J,3,0)</f>
        <v>2.1758004327617702</v>
      </c>
      <c r="M16" s="1" t="s">
        <v>17</v>
      </c>
      <c r="N16" s="2">
        <v>40940</v>
      </c>
      <c r="O16">
        <v>8.81532759084869E-2</v>
      </c>
      <c r="P16">
        <v>9.8501955374807895E-2</v>
      </c>
      <c r="Q16">
        <f>VLOOKUP(N16,'v1'!M:O,3,0)</f>
        <v>9.90340112922872E-2</v>
      </c>
      <c r="S16" s="1" t="s">
        <v>17</v>
      </c>
      <c r="T16" s="2">
        <v>40940</v>
      </c>
      <c r="U16">
        <v>2.6239781294933899</v>
      </c>
      <c r="V16">
        <v>0.96831160575668895</v>
      </c>
      <c r="W16">
        <f>VLOOKUP(T16,'v1'!R:T,3,0)</f>
        <v>2.7988908582282201</v>
      </c>
      <c r="Y16" s="1" t="s">
        <v>17</v>
      </c>
      <c r="Z16" s="2">
        <v>41518</v>
      </c>
      <c r="AA16">
        <v>1.71359280558779</v>
      </c>
      <c r="AB16">
        <v>0.66934575812053199</v>
      </c>
      <c r="AC16">
        <f>VLOOKUP(Z16,'v1'!W:Y,3,0)</f>
        <v>3.1767160413380902</v>
      </c>
      <c r="AE16" t="s">
        <v>17</v>
      </c>
      <c r="AF16" s="2">
        <v>34820</v>
      </c>
      <c r="AG16">
        <v>0</v>
      </c>
      <c r="AH16" t="e">
        <f>VLOOKUP(AF16,LoanLevelHist!B:D,2,0)</f>
        <v>#N/A</v>
      </c>
      <c r="AI16">
        <v>0.83325900923896201</v>
      </c>
      <c r="AJ16">
        <f>VLOOKUP(AF16,'v1'!AB:AD,3,0)</f>
        <v>0.38112349406211898</v>
      </c>
    </row>
    <row r="17" spans="1:36" x14ac:dyDescent="0.25">
      <c r="A17" s="1" t="s">
        <v>18</v>
      </c>
      <c r="B17" s="2">
        <v>40969</v>
      </c>
      <c r="C17">
        <v>2.1829314480471198</v>
      </c>
      <c r="D17">
        <v>2.1945904902526099</v>
      </c>
      <c r="E17">
        <f>VLOOKUP(B17,'v1'!B:D,3,0)</f>
        <v>2.1362323440895099</v>
      </c>
      <c r="G17" s="1" t="s">
        <v>18</v>
      </c>
      <c r="H17" s="2">
        <v>40969</v>
      </c>
      <c r="I17">
        <v>2.1955605382016499</v>
      </c>
      <c r="J17">
        <v>2.2273329895451699</v>
      </c>
      <c r="K17">
        <f>VLOOKUP(H17,'v1'!H:J,3,0)</f>
        <v>2.14567293926611</v>
      </c>
      <c r="M17" s="1" t="s">
        <v>18</v>
      </c>
      <c r="N17" s="2">
        <v>40969</v>
      </c>
      <c r="O17">
        <v>6.7306004729239505E-2</v>
      </c>
      <c r="P17">
        <v>0.101589344331798</v>
      </c>
      <c r="Q17">
        <f>VLOOKUP(N17,'v1'!M:O,3,0)</f>
        <v>0.101251170493455</v>
      </c>
      <c r="S17" s="1" t="s">
        <v>18</v>
      </c>
      <c r="T17" s="2">
        <v>40969</v>
      </c>
      <c r="U17">
        <v>2.72826900176414</v>
      </c>
      <c r="V17">
        <v>1.00176008880308</v>
      </c>
      <c r="W17">
        <f>VLOOKUP(T17,'v1'!R:T,3,0)</f>
        <v>2.8909361434240499</v>
      </c>
      <c r="Y17" s="1" t="s">
        <v>18</v>
      </c>
      <c r="Z17" s="2">
        <v>41548</v>
      </c>
      <c r="AA17">
        <v>1.27631420091268</v>
      </c>
      <c r="AB17">
        <v>0.73592079714845904</v>
      </c>
      <c r="AC17">
        <f>VLOOKUP(Z17,'v1'!W:Y,3,0)</f>
        <v>3.4896385002127799</v>
      </c>
      <c r="AE17" t="s">
        <v>18</v>
      </c>
      <c r="AF17" s="2">
        <v>34851</v>
      </c>
      <c r="AG17">
        <v>0</v>
      </c>
      <c r="AH17" t="e">
        <f>VLOOKUP(AF17,LoanLevelHist!B:D,2,0)</f>
        <v>#N/A</v>
      </c>
      <c r="AI17">
        <v>0.858435377208144</v>
      </c>
      <c r="AJ17">
        <f>VLOOKUP(AF17,'v1'!AB:AD,3,0)</f>
        <v>0.39217098824189101</v>
      </c>
    </row>
    <row r="18" spans="1:36" x14ac:dyDescent="0.25">
      <c r="A18" s="1" t="s">
        <v>19</v>
      </c>
      <c r="B18" s="2">
        <v>41000</v>
      </c>
      <c r="C18">
        <v>1.94856513902093</v>
      </c>
      <c r="D18">
        <v>2.1234527362697602</v>
      </c>
      <c r="E18">
        <f>VLOOKUP(B18,'v1'!B:D,3,0)</f>
        <v>1.98241370458213</v>
      </c>
      <c r="G18" s="1" t="s">
        <v>19</v>
      </c>
      <c r="H18" s="2">
        <v>41000</v>
      </c>
      <c r="I18">
        <v>1.96565477333005</v>
      </c>
      <c r="J18">
        <v>2.1591735239472301</v>
      </c>
      <c r="K18">
        <f>VLOOKUP(H18,'v1'!H:J,3,0)</f>
        <v>1.9919274073748501</v>
      </c>
      <c r="M18" s="1" t="s">
        <v>19</v>
      </c>
      <c r="N18" s="2">
        <v>41000</v>
      </c>
      <c r="O18">
        <v>0.170830333984473</v>
      </c>
      <c r="P18">
        <v>9.3278983892697301E-2</v>
      </c>
      <c r="Q18">
        <f>VLOOKUP(N18,'v1'!M:O,3,0)</f>
        <v>9.4302390074663095E-2</v>
      </c>
      <c r="S18" s="1" t="s">
        <v>19</v>
      </c>
      <c r="T18" s="2">
        <v>41000</v>
      </c>
      <c r="U18">
        <v>2.0030860941525499</v>
      </c>
      <c r="V18">
        <v>0.96714664279710105</v>
      </c>
      <c r="W18">
        <f>VLOOKUP(T18,'v1'!R:T,3,0)</f>
        <v>2.6824536648977402</v>
      </c>
      <c r="Y18" s="1" t="s">
        <v>19</v>
      </c>
      <c r="Z18" s="2">
        <v>41579</v>
      </c>
      <c r="AA18">
        <v>1.4239629615945499</v>
      </c>
      <c r="AB18">
        <v>0.80785455194478695</v>
      </c>
      <c r="AC18">
        <f>VLOOKUP(Z18,'v1'!W:Y,3,0)</f>
        <v>3.83302714288196</v>
      </c>
      <c r="AE18" t="s">
        <v>19</v>
      </c>
      <c r="AF18" s="2">
        <v>34881</v>
      </c>
      <c r="AG18">
        <v>0</v>
      </c>
      <c r="AH18" t="e">
        <f>VLOOKUP(AF18,LoanLevelHist!B:D,2,0)</f>
        <v>#N/A</v>
      </c>
      <c r="AI18">
        <v>0.88109266381208895</v>
      </c>
      <c r="AJ18">
        <f>VLOOKUP(AF18,'v1'!AB:AD,3,0)</f>
        <v>0.402333776121644</v>
      </c>
    </row>
    <row r="19" spans="1:36" x14ac:dyDescent="0.25">
      <c r="A19" s="1" t="s">
        <v>20</v>
      </c>
      <c r="B19" s="2">
        <v>41030</v>
      </c>
      <c r="C19">
        <v>1.8639765395774599</v>
      </c>
      <c r="D19">
        <v>2.04567552310434</v>
      </c>
      <c r="E19">
        <f>VLOOKUP(B19,'v1'!B:D,3,0)</f>
        <v>1.83919853469801</v>
      </c>
      <c r="G19" s="1" t="s">
        <v>20</v>
      </c>
      <c r="H19" s="2">
        <v>41030</v>
      </c>
      <c r="I19">
        <v>1.8745477727752</v>
      </c>
      <c r="J19">
        <v>2.0819611047409601</v>
      </c>
      <c r="K19">
        <f>VLOOKUP(H19,'v1'!H:J,3,0)</f>
        <v>1.8466463021021</v>
      </c>
      <c r="M19" s="1" t="s">
        <v>20</v>
      </c>
      <c r="N19" s="2">
        <v>41030</v>
      </c>
      <c r="O19">
        <v>4.7257976221814997E-2</v>
      </c>
      <c r="P19">
        <v>9.2849624242030707E-2</v>
      </c>
      <c r="Q19">
        <f>VLOOKUP(N19,'v1'!M:O,3,0)</f>
        <v>9.4347495530078304E-2</v>
      </c>
      <c r="S19" s="1" t="s">
        <v>20</v>
      </c>
      <c r="T19" s="2">
        <v>41030</v>
      </c>
      <c r="U19">
        <v>2.4424986805369602</v>
      </c>
      <c r="V19">
        <v>0.96667140247158601</v>
      </c>
      <c r="W19">
        <f>VLOOKUP(T19,'v1'!R:T,3,0)</f>
        <v>2.5782942771635202</v>
      </c>
      <c r="Y19" s="1" t="s">
        <v>20</v>
      </c>
      <c r="Z19" s="2">
        <v>41609</v>
      </c>
      <c r="AA19">
        <v>1.79282550984931</v>
      </c>
      <c r="AB19">
        <v>0.88283388863734702</v>
      </c>
      <c r="AC19">
        <f>VLOOKUP(Z19,'v1'!W:Y,3,0)</f>
        <v>4.1891163687453199</v>
      </c>
      <c r="AE19" t="s">
        <v>20</v>
      </c>
      <c r="AF19" s="2">
        <v>34912</v>
      </c>
      <c r="AG19">
        <v>0</v>
      </c>
      <c r="AH19" t="e">
        <f>VLOOKUP(AF19,LoanLevelHist!B:D,2,0)</f>
        <v>#N/A</v>
      </c>
      <c r="AI19">
        <v>0.90536883553146197</v>
      </c>
      <c r="AJ19">
        <f>VLOOKUP(AF19,'v1'!AB:AD,3,0)</f>
        <v>0.41326866188370298</v>
      </c>
    </row>
    <row r="20" spans="1:36" x14ac:dyDescent="0.25">
      <c r="A20" s="1" t="s">
        <v>21</v>
      </c>
      <c r="B20" s="2">
        <v>41061</v>
      </c>
      <c r="C20">
        <v>1.8591084721441999</v>
      </c>
      <c r="D20">
        <v>1.9680498395871799</v>
      </c>
      <c r="E20">
        <f>VLOOKUP(B20,'v1'!B:D,3,0)</f>
        <v>1.7138727020357101</v>
      </c>
      <c r="G20" s="1" t="s">
        <v>21</v>
      </c>
      <c r="H20" s="2">
        <v>41061</v>
      </c>
      <c r="I20">
        <v>1.8690522527376101</v>
      </c>
      <c r="J20">
        <v>2.00481238151847</v>
      </c>
      <c r="K20">
        <f>VLOOKUP(H20,'v1'!H:J,3,0)</f>
        <v>1.7194732417196901</v>
      </c>
      <c r="M20" s="1" t="s">
        <v>21</v>
      </c>
      <c r="N20" s="2">
        <v>41061</v>
      </c>
      <c r="O20">
        <v>5.2325381652229601E-2</v>
      </c>
      <c r="P20">
        <v>8.9662764357478802E-2</v>
      </c>
      <c r="Q20">
        <f>VLOOKUP(N20,'v1'!M:O,3,0)</f>
        <v>9.2837492807928995E-2</v>
      </c>
      <c r="S20" s="1" t="s">
        <v>21</v>
      </c>
      <c r="T20" s="2">
        <v>41061</v>
      </c>
      <c r="U20">
        <v>2.4929084668971702</v>
      </c>
      <c r="V20">
        <v>0.97321824965767001</v>
      </c>
      <c r="W20">
        <f>VLOOKUP(T20,'v1'!R:T,3,0)</f>
        <v>2.4897810611972799</v>
      </c>
      <c r="Y20" s="1" t="s">
        <v>21</v>
      </c>
      <c r="Z20" s="2">
        <v>41640</v>
      </c>
      <c r="AA20">
        <v>1.7805170645210999</v>
      </c>
      <c r="AB20">
        <v>0.94642443825655498</v>
      </c>
      <c r="AC20">
        <f>VLOOKUP(Z20,'v1'!W:Y,3,0)</f>
        <v>4.5482944005324804</v>
      </c>
      <c r="AE20" t="s">
        <v>21</v>
      </c>
      <c r="AF20" s="2">
        <v>34943</v>
      </c>
      <c r="AG20">
        <v>0</v>
      </c>
      <c r="AH20" t="e">
        <f>VLOOKUP(AF20,LoanLevelHist!B:D,2,0)</f>
        <v>#N/A</v>
      </c>
      <c r="AI20">
        <v>0.922571080338908</v>
      </c>
      <c r="AJ20">
        <f>VLOOKUP(AF20,'v1'!AB:AD,3,0)</f>
        <v>0.42059816735079403</v>
      </c>
    </row>
    <row r="21" spans="1:36" x14ac:dyDescent="0.25">
      <c r="A21" s="1" t="s">
        <v>22</v>
      </c>
      <c r="B21" s="2">
        <v>41091</v>
      </c>
      <c r="C21">
        <v>1.7550053464528099</v>
      </c>
      <c r="D21">
        <v>1.89503331145862</v>
      </c>
      <c r="E21">
        <f>VLOOKUP(B21,'v1'!B:D,3,0)</f>
        <v>1.6314673322353701</v>
      </c>
      <c r="G21" s="1" t="s">
        <v>22</v>
      </c>
      <c r="H21" s="2">
        <v>41091</v>
      </c>
      <c r="I21">
        <v>1.7835008421335901</v>
      </c>
      <c r="J21">
        <v>1.9459750817466199</v>
      </c>
      <c r="K21">
        <f>VLOOKUP(H21,'v1'!H:J,3,0)</f>
        <v>1.6450476970238199</v>
      </c>
      <c r="M21" s="1" t="s">
        <v>22</v>
      </c>
      <c r="N21" s="2">
        <v>41091</v>
      </c>
      <c r="O21">
        <v>0</v>
      </c>
      <c r="P21">
        <v>9.0814168804820294E-2</v>
      </c>
      <c r="Q21">
        <f>VLOOKUP(N21,'v1'!M:O,3,0)</f>
        <v>9.4580035658675704E-2</v>
      </c>
      <c r="S21" s="1" t="s">
        <v>22</v>
      </c>
      <c r="T21" s="2">
        <v>41091</v>
      </c>
      <c r="U21">
        <v>1.9543691302675601</v>
      </c>
      <c r="V21">
        <v>0.93613120273973205</v>
      </c>
      <c r="W21">
        <f>VLOOKUP(T21,'v1'!R:T,3,0)</f>
        <v>2.3546159949986998</v>
      </c>
      <c r="Y21" s="1" t="s">
        <v>22</v>
      </c>
      <c r="Z21" s="2">
        <v>41671</v>
      </c>
      <c r="AA21">
        <v>1.8107922145289399</v>
      </c>
      <c r="AB21">
        <v>1.0223830375937999</v>
      </c>
      <c r="AC21">
        <f>VLOOKUP(Z21,'v1'!W:Y,3,0)</f>
        <v>4.9055050125501198</v>
      </c>
      <c r="AE21" t="s">
        <v>22</v>
      </c>
      <c r="AF21" s="2">
        <v>34973</v>
      </c>
      <c r="AG21">
        <v>0</v>
      </c>
      <c r="AH21" t="e">
        <f>VLOOKUP(AF21,LoanLevelHist!B:D,2,0)</f>
        <v>#N/A</v>
      </c>
      <c r="AI21">
        <v>0.92546782930678095</v>
      </c>
      <c r="AJ21">
        <f>VLOOKUP(AF21,'v1'!AB:AD,3,0)</f>
        <v>0.42405550816460003</v>
      </c>
    </row>
    <row r="22" spans="1:36" x14ac:dyDescent="0.25">
      <c r="A22" s="1" t="s">
        <v>23</v>
      </c>
      <c r="B22" s="2">
        <v>41122</v>
      </c>
      <c r="C22">
        <v>1.7646720437213701</v>
      </c>
      <c r="D22">
        <v>1.85011557125022</v>
      </c>
      <c r="E22">
        <f>VLOOKUP(B22,'v1'!B:D,3,0)</f>
        <v>1.5792915841962401</v>
      </c>
      <c r="G22" s="1" t="s">
        <v>23</v>
      </c>
      <c r="H22" s="2">
        <v>41122</v>
      </c>
      <c r="I22">
        <v>1.7985188793426401</v>
      </c>
      <c r="J22">
        <v>1.90584412645624</v>
      </c>
      <c r="K22">
        <f>VLOOKUP(H22,'v1'!H:J,3,0)</f>
        <v>1.5925515036783999</v>
      </c>
      <c r="M22" s="1" t="s">
        <v>23</v>
      </c>
      <c r="N22" s="2">
        <v>41122</v>
      </c>
      <c r="O22">
        <v>0</v>
      </c>
      <c r="P22">
        <v>9.4477114569180301E-2</v>
      </c>
      <c r="Q22">
        <f>VLOOKUP(N22,'v1'!M:O,3,0)</f>
        <v>9.8377661156301394E-2</v>
      </c>
      <c r="S22" s="1" t="s">
        <v>23</v>
      </c>
      <c r="T22" s="2">
        <v>41122</v>
      </c>
      <c r="U22">
        <v>1.9184626625608301</v>
      </c>
      <c r="V22">
        <v>0.93072506362531504</v>
      </c>
      <c r="W22">
        <f>VLOOKUP(T22,'v1'!R:T,3,0)</f>
        <v>2.2990995502616398</v>
      </c>
      <c r="Y22" s="1" t="s">
        <v>23</v>
      </c>
      <c r="Z22" s="2">
        <v>41699</v>
      </c>
      <c r="AA22">
        <v>1.6640735563037501</v>
      </c>
      <c r="AB22">
        <v>1.1019387240101699</v>
      </c>
      <c r="AC22">
        <f>VLOOKUP(Z22,'v1'!W:Y,3,0)</f>
        <v>5.2660435410925404</v>
      </c>
      <c r="AE22" t="s">
        <v>23</v>
      </c>
      <c r="AF22" s="2">
        <v>35004</v>
      </c>
      <c r="AG22">
        <v>0</v>
      </c>
      <c r="AH22" t="e">
        <f>VLOOKUP(AF22,LoanLevelHist!B:D,2,0)</f>
        <v>#N/A</v>
      </c>
      <c r="AI22">
        <v>0.92852275613395396</v>
      </c>
      <c r="AJ22">
        <f>VLOOKUP(AF22,'v1'!AB:AD,3,0)</f>
        <v>0.42725290479493899</v>
      </c>
    </row>
    <row r="23" spans="1:36" x14ac:dyDescent="0.25">
      <c r="A23" s="1" t="s">
        <v>24</v>
      </c>
      <c r="B23" s="2">
        <v>41153</v>
      </c>
      <c r="C23">
        <v>1.7156623103770099</v>
      </c>
      <c r="D23">
        <v>1.79805558820196</v>
      </c>
      <c r="E23">
        <f>VLOOKUP(B23,'v1'!B:D,3,0)</f>
        <v>1.5261493949456399</v>
      </c>
      <c r="G23" s="1" t="s">
        <v>24</v>
      </c>
      <c r="H23" s="2">
        <v>41153</v>
      </c>
      <c r="I23">
        <v>1.74821136020108</v>
      </c>
      <c r="J23">
        <v>1.8567591425996499</v>
      </c>
      <c r="K23">
        <f>VLOOKUP(H23,'v1'!H:J,3,0)</f>
        <v>1.53706669277068</v>
      </c>
      <c r="M23" s="1" t="s">
        <v>24</v>
      </c>
      <c r="N23" s="2">
        <v>41153</v>
      </c>
      <c r="O23">
        <v>0.20550623794862699</v>
      </c>
      <c r="P23">
        <v>9.8523476076450803E-2</v>
      </c>
      <c r="Q23">
        <f>VLOOKUP(N23,'v1'!M:O,3,0)</f>
        <v>0.101647757179213</v>
      </c>
      <c r="S23" s="1" t="s">
        <v>24</v>
      </c>
      <c r="T23" s="2">
        <v>41153</v>
      </c>
      <c r="U23">
        <v>1.9430073958995</v>
      </c>
      <c r="V23">
        <v>0.93931194714643695</v>
      </c>
      <c r="W23">
        <f>VLOOKUP(T23,'v1'!R:T,3,0)</f>
        <v>2.2771531138754502</v>
      </c>
      <c r="Y23" s="1" t="s">
        <v>24</v>
      </c>
      <c r="Z23" s="2">
        <v>41730</v>
      </c>
      <c r="AA23">
        <v>1.53863323571349</v>
      </c>
      <c r="AB23">
        <v>1.1806755782973399</v>
      </c>
      <c r="AC23">
        <f>VLOOKUP(Z23,'v1'!W:Y,3,0)</f>
        <v>5.5551069313287798</v>
      </c>
      <c r="AE23" t="s">
        <v>24</v>
      </c>
      <c r="AF23" s="2">
        <v>35034</v>
      </c>
      <c r="AG23">
        <v>0</v>
      </c>
      <c r="AH23" t="e">
        <f>VLOOKUP(AF23,LoanLevelHist!B:D,2,0)</f>
        <v>#N/A</v>
      </c>
      <c r="AI23">
        <v>0.94018248729270704</v>
      </c>
      <c r="AJ23">
        <f>VLOOKUP(AF23,'v1'!AB:AD,3,0)</f>
        <v>0.43471287659871999</v>
      </c>
    </row>
    <row r="24" spans="1:36" x14ac:dyDescent="0.25">
      <c r="A24" s="1" t="s">
        <v>25</v>
      </c>
      <c r="B24" s="2">
        <v>41183</v>
      </c>
      <c r="C24">
        <v>1.75821611978022</v>
      </c>
      <c r="D24">
        <v>1.7633939949035899</v>
      </c>
      <c r="E24">
        <f>VLOOKUP(B24,'v1'!B:D,3,0)</f>
        <v>1.4993799989015799</v>
      </c>
      <c r="G24" s="1" t="s">
        <v>25</v>
      </c>
      <c r="H24" s="2">
        <v>41183</v>
      </c>
      <c r="I24">
        <v>1.7948698080729599</v>
      </c>
      <c r="J24">
        <v>1.8260085103074799</v>
      </c>
      <c r="K24">
        <f>VLOOKUP(H24,'v1'!H:J,3,0)</f>
        <v>1.5077676565211</v>
      </c>
      <c r="M24" s="1" t="s">
        <v>25</v>
      </c>
      <c r="N24" s="2">
        <v>41183</v>
      </c>
      <c r="O24">
        <v>4.6313058751501497E-2</v>
      </c>
      <c r="P24">
        <v>9.6521155044659898E-2</v>
      </c>
      <c r="Q24">
        <f>VLOOKUP(N24,'v1'!M:O,3,0)</f>
        <v>0.100211456198052</v>
      </c>
      <c r="S24" s="1" t="s">
        <v>25</v>
      </c>
      <c r="T24" s="2">
        <v>41183</v>
      </c>
      <c r="U24">
        <v>1.7836834859380699</v>
      </c>
      <c r="V24">
        <v>0.95382146414312297</v>
      </c>
      <c r="W24">
        <f>VLOOKUP(T24,'v1'!R:T,3,0)</f>
        <v>2.2980207323257802</v>
      </c>
      <c r="Y24" s="1" t="s">
        <v>25</v>
      </c>
      <c r="Z24" s="2">
        <v>41760</v>
      </c>
      <c r="AA24">
        <v>1.5313773380033</v>
      </c>
      <c r="AB24">
        <v>1.2622568402230701</v>
      </c>
      <c r="AC24">
        <f>VLOOKUP(Z24,'v1'!W:Y,3,0)</f>
        <v>5.8426500580849599</v>
      </c>
      <c r="AE24" t="s">
        <v>25</v>
      </c>
      <c r="AF24" s="2">
        <v>35065</v>
      </c>
      <c r="AG24">
        <v>0</v>
      </c>
      <c r="AH24" t="e">
        <f>VLOOKUP(AF24,LoanLevelHist!B:D,2,0)</f>
        <v>#N/A</v>
      </c>
      <c r="AI24">
        <v>0.95457467486556002</v>
      </c>
      <c r="AJ24">
        <f>VLOOKUP(AF24,'v1'!AB:AD,3,0)</f>
        <v>0.44151095679639801</v>
      </c>
    </row>
    <row r="25" spans="1:36" x14ac:dyDescent="0.25">
      <c r="A25" s="1" t="s">
        <v>26</v>
      </c>
      <c r="B25" s="2">
        <v>41214</v>
      </c>
      <c r="C25">
        <v>1.7325123286972399</v>
      </c>
      <c r="D25">
        <v>1.71369265257565</v>
      </c>
      <c r="E25">
        <f>VLOOKUP(B25,'v1'!B:D,3,0)</f>
        <v>1.46359278122423</v>
      </c>
      <c r="G25" s="1" t="s">
        <v>26</v>
      </c>
      <c r="H25" s="2">
        <v>41214</v>
      </c>
      <c r="I25">
        <v>1.7644306973522501</v>
      </c>
      <c r="J25">
        <v>1.7782762112519599</v>
      </c>
      <c r="K25">
        <f>VLOOKUP(H25,'v1'!H:J,3,0)</f>
        <v>1.4673599932153201</v>
      </c>
      <c r="M25" s="1" t="s">
        <v>26</v>
      </c>
      <c r="N25" s="2">
        <v>41214</v>
      </c>
      <c r="O25">
        <v>0</v>
      </c>
      <c r="P25">
        <v>9.2102156507223296E-2</v>
      </c>
      <c r="Q25">
        <f>VLOOKUP(N25,'v1'!M:O,3,0)</f>
        <v>9.6293726489626905E-2</v>
      </c>
      <c r="S25" s="1" t="s">
        <v>26</v>
      </c>
      <c r="T25" s="2">
        <v>41214</v>
      </c>
      <c r="U25">
        <v>2.1881943203382899</v>
      </c>
      <c r="V25">
        <v>0.97926347725985097</v>
      </c>
      <c r="W25">
        <f>VLOOKUP(T25,'v1'!R:T,3,0)</f>
        <v>2.3463629170783298</v>
      </c>
      <c r="Y25" s="1" t="s">
        <v>26</v>
      </c>
      <c r="Z25" s="2">
        <v>41791</v>
      </c>
      <c r="AA25">
        <v>1.4016124675158299</v>
      </c>
      <c r="AB25">
        <v>1.3439969618391401</v>
      </c>
      <c r="AC25">
        <f>VLOOKUP(Z25,'v1'!W:Y,3,0)</f>
        <v>6.1222442679248203</v>
      </c>
      <c r="AE25" t="s">
        <v>26</v>
      </c>
      <c r="AF25" s="2">
        <v>35096</v>
      </c>
      <c r="AG25">
        <v>0</v>
      </c>
      <c r="AH25" t="e">
        <f>VLOOKUP(AF25,LoanLevelHist!B:D,2,0)</f>
        <v>#N/A</v>
      </c>
      <c r="AI25">
        <v>0.96313519606617803</v>
      </c>
      <c r="AJ25">
        <f>VLOOKUP(AF25,'v1'!AB:AD,3,0)</f>
        <v>0.44573220915934397</v>
      </c>
    </row>
    <row r="26" spans="1:36" x14ac:dyDescent="0.25">
      <c r="A26" s="1" t="s">
        <v>27</v>
      </c>
      <c r="B26" s="2">
        <v>41244</v>
      </c>
      <c r="C26">
        <v>1.65662440228792</v>
      </c>
      <c r="D26">
        <v>1.6524869392698101</v>
      </c>
      <c r="E26">
        <f>VLOOKUP(B26,'v1'!B:D,3,0)</f>
        <v>1.42016831361644</v>
      </c>
      <c r="G26" s="1" t="s">
        <v>27</v>
      </c>
      <c r="H26" s="2">
        <v>41244</v>
      </c>
      <c r="I26">
        <v>1.6842785823566599</v>
      </c>
      <c r="J26">
        <v>1.7186400983625001</v>
      </c>
      <c r="K26">
        <f>VLOOKUP(H26,'v1'!H:J,3,0)</f>
        <v>1.4192180654403199</v>
      </c>
      <c r="M26" s="1" t="s">
        <v>27</v>
      </c>
      <c r="N26" s="2">
        <v>41244</v>
      </c>
      <c r="O26">
        <v>9.7128660250378501E-2</v>
      </c>
      <c r="P26">
        <v>8.8540817109206096E-2</v>
      </c>
      <c r="Q26">
        <f>VLOOKUP(N26,'v1'!M:O,3,0)</f>
        <v>9.27447251305447E-2</v>
      </c>
      <c r="S26" s="1" t="s">
        <v>27</v>
      </c>
      <c r="T26" s="2">
        <v>41244</v>
      </c>
      <c r="U26">
        <v>2.0141278748770901</v>
      </c>
      <c r="V26">
        <v>0.98844834748773602</v>
      </c>
      <c r="W26">
        <f>VLOOKUP(T26,'v1'!R:T,3,0)</f>
        <v>2.3548780530012601</v>
      </c>
      <c r="Y26" s="1" t="s">
        <v>27</v>
      </c>
      <c r="Z26" s="2">
        <v>41821</v>
      </c>
      <c r="AA26">
        <v>1.5270716306070899</v>
      </c>
      <c r="AB26">
        <v>1.4269515520304299</v>
      </c>
      <c r="AC26">
        <f>VLOOKUP(Z26,'v1'!W:Y,3,0)</f>
        <v>6.4540473177121704</v>
      </c>
      <c r="AE26" t="s">
        <v>27</v>
      </c>
      <c r="AF26" s="2">
        <v>35125</v>
      </c>
      <c r="AG26">
        <v>0</v>
      </c>
      <c r="AH26" t="e">
        <f>VLOOKUP(AF26,LoanLevelHist!B:D,2,0)</f>
        <v>#N/A</v>
      </c>
      <c r="AI26">
        <v>0.97080678756602501</v>
      </c>
      <c r="AJ26">
        <f>VLOOKUP(AF26,'v1'!AB:AD,3,0)</f>
        <v>0.44906283210164299</v>
      </c>
    </row>
    <row r="27" spans="1:36" x14ac:dyDescent="0.25">
      <c r="A27" s="1" t="s">
        <v>28</v>
      </c>
      <c r="B27" s="2">
        <v>41275</v>
      </c>
      <c r="C27">
        <v>1.6861336087958001</v>
      </c>
      <c r="D27">
        <v>1.5992620910189399</v>
      </c>
      <c r="E27">
        <f>VLOOKUP(B27,'v1'!B:D,3,0)</f>
        <v>1.3890694378024799</v>
      </c>
      <c r="G27" s="1" t="s">
        <v>28</v>
      </c>
      <c r="H27" s="2">
        <v>41275</v>
      </c>
      <c r="I27">
        <v>1.7239156172621499</v>
      </c>
      <c r="J27">
        <v>1.6629627046214599</v>
      </c>
      <c r="K27">
        <f>VLOOKUP(H27,'v1'!H:J,3,0)</f>
        <v>1.3796229913386</v>
      </c>
      <c r="M27" s="1" t="s">
        <v>28</v>
      </c>
      <c r="N27" s="2">
        <v>41275</v>
      </c>
      <c r="O27">
        <v>0.119835171820071</v>
      </c>
      <c r="P27">
        <v>9.1902498872409297E-2</v>
      </c>
      <c r="Q27">
        <f>VLOOKUP(N27,'v1'!M:O,3,0)</f>
        <v>9.7193058550570893E-2</v>
      </c>
      <c r="S27" s="1" t="s">
        <v>28</v>
      </c>
      <c r="T27" s="2">
        <v>41275</v>
      </c>
      <c r="U27">
        <v>1.73888594093961</v>
      </c>
      <c r="V27">
        <v>1.0245987580676299</v>
      </c>
      <c r="W27">
        <f>VLOOKUP(T27,'v1'!R:T,3,0)</f>
        <v>2.4044365446367202</v>
      </c>
      <c r="Y27" s="1" t="s">
        <v>28</v>
      </c>
      <c r="Z27" s="2">
        <v>41852</v>
      </c>
      <c r="AA27">
        <v>1.6665491841257301</v>
      </c>
      <c r="AB27">
        <v>1.5084096962498801</v>
      </c>
      <c r="AC27">
        <f>VLOOKUP(Z27,'v1'!W:Y,3,0)</f>
        <v>6.7897757855188301</v>
      </c>
      <c r="AE27" t="s">
        <v>28</v>
      </c>
      <c r="AF27" s="2">
        <v>35156</v>
      </c>
      <c r="AG27">
        <v>0</v>
      </c>
      <c r="AH27" t="e">
        <f>VLOOKUP(AF27,LoanLevelHist!B:D,2,0)</f>
        <v>#N/A</v>
      </c>
      <c r="AI27">
        <v>0.97134973862943497</v>
      </c>
      <c r="AJ27">
        <f>VLOOKUP(AF27,'v1'!AB:AD,3,0)</f>
        <v>0.45237449301905902</v>
      </c>
    </row>
    <row r="28" spans="1:36" x14ac:dyDescent="0.25">
      <c r="A28" s="1" t="s">
        <v>29</v>
      </c>
      <c r="B28" s="2">
        <v>41306</v>
      </c>
      <c r="C28">
        <v>1.5949000012047401</v>
      </c>
      <c r="D28">
        <v>1.5151193307955</v>
      </c>
      <c r="E28">
        <f>VLOOKUP(B28,'v1'!B:D,3,0)</f>
        <v>1.3454655801912401</v>
      </c>
      <c r="G28" s="1" t="s">
        <v>29</v>
      </c>
      <c r="H28" s="2">
        <v>41306</v>
      </c>
      <c r="I28">
        <v>1.63407369714366</v>
      </c>
      <c r="J28">
        <v>1.57581280529392</v>
      </c>
      <c r="K28">
        <f>VLOOKUP(H28,'v1'!H:J,3,0)</f>
        <v>1.3279261538056599</v>
      </c>
      <c r="M28" s="1" t="s">
        <v>29</v>
      </c>
      <c r="N28" s="2">
        <v>41306</v>
      </c>
      <c r="O28">
        <v>3.6941649739852297E-2</v>
      </c>
      <c r="P28">
        <v>9.0162172167107493E-2</v>
      </c>
      <c r="Q28">
        <f>VLOOKUP(N28,'v1'!M:O,3,0)</f>
        <v>9.6958957179060806E-2</v>
      </c>
      <c r="S28" s="1" t="s">
        <v>29</v>
      </c>
      <c r="T28" s="2">
        <v>41306</v>
      </c>
      <c r="U28">
        <v>1.4287742206391101</v>
      </c>
      <c r="V28">
        <v>1.03763113512726</v>
      </c>
      <c r="W28">
        <f>VLOOKUP(T28,'v1'!R:T,3,0)</f>
        <v>2.4191716157296201</v>
      </c>
      <c r="Y28" s="1" t="s">
        <v>29</v>
      </c>
      <c r="Z28" s="2">
        <v>41883</v>
      </c>
      <c r="AA28">
        <v>1.6274068532113199</v>
      </c>
      <c r="AB28">
        <v>1.5884641580574199</v>
      </c>
      <c r="AC28">
        <f>VLOOKUP(Z28,'v1'!W:Y,3,0)</f>
        <v>7.1072170077025998</v>
      </c>
      <c r="AE28" t="s">
        <v>29</v>
      </c>
      <c r="AF28" s="2">
        <v>35186</v>
      </c>
      <c r="AG28">
        <v>0</v>
      </c>
      <c r="AH28" t="e">
        <f>VLOOKUP(AF28,LoanLevelHist!B:D,2,0)</f>
        <v>#N/A</v>
      </c>
      <c r="AI28">
        <v>0.97302193175322604</v>
      </c>
      <c r="AJ28">
        <f>VLOOKUP(AF28,'v1'!AB:AD,3,0)</f>
        <v>0.45622478739618699</v>
      </c>
    </row>
    <row r="29" spans="1:36" x14ac:dyDescent="0.25">
      <c r="A29" s="1" t="s">
        <v>30</v>
      </c>
      <c r="B29" s="2">
        <v>41334</v>
      </c>
      <c r="C29">
        <v>1.58455075996331</v>
      </c>
      <c r="D29">
        <v>1.4180863739255301</v>
      </c>
      <c r="E29">
        <f>VLOOKUP(B29,'v1'!B:D,3,0)</f>
        <v>1.3016225757178099</v>
      </c>
      <c r="G29" s="1" t="s">
        <v>30</v>
      </c>
      <c r="H29" s="2">
        <v>41334</v>
      </c>
      <c r="I29">
        <v>1.60644195897374</v>
      </c>
      <c r="J29">
        <v>1.4742819140416299</v>
      </c>
      <c r="K29">
        <f>VLOOKUP(H29,'v1'!H:J,3,0)</f>
        <v>1.2749515962276501</v>
      </c>
      <c r="M29" s="1" t="s">
        <v>30</v>
      </c>
      <c r="N29" s="2">
        <v>41334</v>
      </c>
      <c r="O29">
        <v>8.4311175306639494E-2</v>
      </c>
      <c r="P29">
        <v>8.8694207917006093E-2</v>
      </c>
      <c r="Q29">
        <f>VLOOKUP(N29,'v1'!M:O,3,0)</f>
        <v>9.7752497153902301E-2</v>
      </c>
      <c r="S29" s="1" t="s">
        <v>30</v>
      </c>
      <c r="T29" s="2">
        <v>41334</v>
      </c>
      <c r="U29">
        <v>1.9456171696117399</v>
      </c>
      <c r="V29">
        <v>1.04326571748908</v>
      </c>
      <c r="W29">
        <f>VLOOKUP(T29,'v1'!R:T,3,0)</f>
        <v>2.4376804492814701</v>
      </c>
      <c r="Y29" s="1" t="s">
        <v>30</v>
      </c>
      <c r="Z29" s="2">
        <v>41913</v>
      </c>
      <c r="AA29">
        <v>1.88570155247337</v>
      </c>
      <c r="AB29">
        <v>1.6687903425734101</v>
      </c>
      <c r="AC29">
        <f>VLOOKUP(Z29,'v1'!W:Y,3,0)</f>
        <v>7.4820461205890796</v>
      </c>
      <c r="AE29" t="s">
        <v>30</v>
      </c>
      <c r="AF29" s="2">
        <v>35217</v>
      </c>
      <c r="AG29">
        <v>0</v>
      </c>
      <c r="AH29" t="e">
        <f>VLOOKUP(AF29,LoanLevelHist!B:D,2,0)</f>
        <v>#N/A</v>
      </c>
      <c r="AI29">
        <v>0.983422372495524</v>
      </c>
      <c r="AJ29">
        <f>VLOOKUP(AF29,'v1'!AB:AD,3,0)</f>
        <v>0.46421099307054597</v>
      </c>
    </row>
    <row r="30" spans="1:36" x14ac:dyDescent="0.25">
      <c r="A30" s="1" t="s">
        <v>31</v>
      </c>
      <c r="B30" s="2">
        <v>41365</v>
      </c>
      <c r="C30">
        <v>1.32406070515968</v>
      </c>
      <c r="D30">
        <v>1.26759185646267</v>
      </c>
      <c r="E30">
        <f>VLOOKUP(B30,'v1'!B:D,3,0)</f>
        <v>1.2135916878727799</v>
      </c>
      <c r="G30" s="1" t="s">
        <v>31</v>
      </c>
      <c r="H30" s="2">
        <v>41365</v>
      </c>
      <c r="I30">
        <v>1.3451281632401499</v>
      </c>
      <c r="J30">
        <v>1.3157593524319999</v>
      </c>
      <c r="K30">
        <f>VLOOKUP(H30,'v1'!H:J,3,0)</f>
        <v>1.1796466013015401</v>
      </c>
      <c r="M30" s="1" t="s">
        <v>31</v>
      </c>
      <c r="N30" s="2">
        <v>41365</v>
      </c>
      <c r="O30">
        <v>0.10311992184876</v>
      </c>
      <c r="P30">
        <v>8.3327775305297405E-2</v>
      </c>
      <c r="Q30">
        <f>VLOOKUP(N30,'v1'!M:O,3,0)</f>
        <v>9.4017453729422495E-2</v>
      </c>
      <c r="S30" s="1" t="s">
        <v>31</v>
      </c>
      <c r="T30" s="2">
        <v>41365</v>
      </c>
      <c r="U30">
        <v>1.48986728501623</v>
      </c>
      <c r="V30">
        <v>1.0334308928831899</v>
      </c>
      <c r="W30">
        <f>VLOOKUP(T30,'v1'!R:T,3,0)</f>
        <v>2.3084003585764599</v>
      </c>
      <c r="Y30" s="1" t="s">
        <v>31</v>
      </c>
      <c r="Z30" s="2">
        <v>41944</v>
      </c>
      <c r="AA30">
        <v>1.6119063154261</v>
      </c>
      <c r="AB30">
        <v>1.7488056273222901</v>
      </c>
      <c r="AC30">
        <f>VLOOKUP(Z30,'v1'!W:Y,3,0)</f>
        <v>7.8588253742287799</v>
      </c>
      <c r="AE30" t="s">
        <v>31</v>
      </c>
      <c r="AF30" s="2">
        <v>35247</v>
      </c>
      <c r="AG30">
        <v>0</v>
      </c>
      <c r="AH30" t="e">
        <f>VLOOKUP(AF30,LoanLevelHist!B:D,2,0)</f>
        <v>#N/A</v>
      </c>
      <c r="AI30">
        <v>0.99434134613977099</v>
      </c>
      <c r="AJ30">
        <f>VLOOKUP(AF30,'v1'!AB:AD,3,0)</f>
        <v>0.47178586023117802</v>
      </c>
    </row>
    <row r="31" spans="1:36" x14ac:dyDescent="0.25">
      <c r="A31" s="1" t="s">
        <v>32</v>
      </c>
      <c r="B31" s="2">
        <v>41395</v>
      </c>
      <c r="C31">
        <v>1.1865278613903401</v>
      </c>
      <c r="D31">
        <v>1.12088997429368</v>
      </c>
      <c r="E31">
        <f>VLOOKUP(B31,'v1'!B:D,3,0)</f>
        <v>1.1381994956305399</v>
      </c>
      <c r="G31" s="1" t="s">
        <v>32</v>
      </c>
      <c r="H31" s="2">
        <v>41395</v>
      </c>
      <c r="I31">
        <v>1.1994987791385301</v>
      </c>
      <c r="J31">
        <v>1.15965742040034</v>
      </c>
      <c r="K31">
        <f>VLOOKUP(H31,'v1'!H:J,3,0)</f>
        <v>1.09685474894174</v>
      </c>
      <c r="M31" s="1" t="s">
        <v>32</v>
      </c>
      <c r="N31" s="2">
        <v>41395</v>
      </c>
      <c r="O31">
        <v>4.8589053564296297E-2</v>
      </c>
      <c r="P31">
        <v>8.1571671499214293E-2</v>
      </c>
      <c r="Q31">
        <f>VLOOKUP(N31,'v1'!M:O,3,0)</f>
        <v>9.4647837789962899E-2</v>
      </c>
      <c r="S31" s="1" t="s">
        <v>32</v>
      </c>
      <c r="T31" s="2">
        <v>41395</v>
      </c>
      <c r="U31">
        <v>1.4405699074860201</v>
      </c>
      <c r="V31">
        <v>1.0091148161250001</v>
      </c>
      <c r="W31">
        <f>VLOOKUP(T31,'v1'!R:T,3,0)</f>
        <v>2.1648697575747602</v>
      </c>
      <c r="Y31" s="1" t="s">
        <v>32</v>
      </c>
      <c r="Z31" s="2">
        <v>41974</v>
      </c>
      <c r="AA31">
        <v>1.79346147600534</v>
      </c>
      <c r="AB31">
        <v>1.8270387428313399</v>
      </c>
      <c r="AC31">
        <f>VLOOKUP(Z31,'v1'!W:Y,3,0)</f>
        <v>8.2337591532615004</v>
      </c>
      <c r="AE31" t="s">
        <v>32</v>
      </c>
      <c r="AF31" s="2">
        <v>35278</v>
      </c>
      <c r="AG31">
        <v>0</v>
      </c>
      <c r="AH31" t="e">
        <f>VLOOKUP(AF31,LoanLevelHist!B:D,2,0)</f>
        <v>#N/A</v>
      </c>
      <c r="AI31">
        <v>1.0001030671084701</v>
      </c>
      <c r="AJ31">
        <f>VLOOKUP(AF31,'v1'!AB:AD,3,0)</f>
        <v>0.47690114158913699</v>
      </c>
    </row>
    <row r="32" spans="1:36" x14ac:dyDescent="0.25">
      <c r="A32" s="1" t="s">
        <v>33</v>
      </c>
      <c r="B32" s="2">
        <v>41426</v>
      </c>
      <c r="C32">
        <v>1.1666136700208201</v>
      </c>
      <c r="D32">
        <v>0.99837747594723203</v>
      </c>
      <c r="E32">
        <f>VLOOKUP(B32,'v1'!B:D,3,0)</f>
        <v>1.0784884559688199</v>
      </c>
      <c r="G32" s="1" t="s">
        <v>33</v>
      </c>
      <c r="H32" s="2">
        <v>41426</v>
      </c>
      <c r="I32">
        <v>1.17734546359693</v>
      </c>
      <c r="J32">
        <v>1.0286133551457199</v>
      </c>
      <c r="K32">
        <f>VLOOKUP(H32,'v1'!H:J,3,0)</f>
        <v>1.03012762274033</v>
      </c>
      <c r="M32" s="1" t="s">
        <v>33</v>
      </c>
      <c r="N32" s="2">
        <v>41426</v>
      </c>
      <c r="O32">
        <v>2.8236448330332099E-2</v>
      </c>
      <c r="P32">
        <v>8.0307825473580105E-2</v>
      </c>
      <c r="Q32">
        <f>VLOOKUP(N32,'v1'!M:O,3,0)</f>
        <v>9.5062644147525494E-2</v>
      </c>
      <c r="S32" s="1" t="s">
        <v>33</v>
      </c>
      <c r="T32" s="2">
        <v>41426</v>
      </c>
      <c r="U32">
        <v>1.3337613025020501</v>
      </c>
      <c r="V32">
        <v>0.988465331340449</v>
      </c>
      <c r="W32">
        <f>VLOOKUP(T32,'v1'!R:T,3,0)</f>
        <v>2.0227213043424901</v>
      </c>
      <c r="Y32" s="1" t="s">
        <v>33</v>
      </c>
      <c r="Z32" s="2">
        <v>42005</v>
      </c>
      <c r="AA32">
        <v>1.79483091128119</v>
      </c>
      <c r="AB32">
        <v>1.9050559970930301</v>
      </c>
      <c r="AC32">
        <f>VLOOKUP(Z32,'v1'!W:Y,3,0)</f>
        <v>8.5690300953671006</v>
      </c>
      <c r="AE32" t="s">
        <v>33</v>
      </c>
      <c r="AF32" s="2">
        <v>35309</v>
      </c>
      <c r="AG32">
        <v>0</v>
      </c>
      <c r="AH32" t="e">
        <f>VLOOKUP(AF32,LoanLevelHist!B:D,2,0)</f>
        <v>#N/A</v>
      </c>
      <c r="AI32">
        <v>1.01206090341592</v>
      </c>
      <c r="AJ32">
        <f>VLOOKUP(AF32,'v1'!AB:AD,3,0)</f>
        <v>0.48402326431773401</v>
      </c>
    </row>
    <row r="33" spans="1:36" x14ac:dyDescent="0.25">
      <c r="A33" s="1" t="s">
        <v>34</v>
      </c>
      <c r="B33" s="2">
        <v>41456</v>
      </c>
      <c r="C33">
        <v>1.1377007160388899</v>
      </c>
      <c r="D33">
        <v>0.93755294958033397</v>
      </c>
      <c r="E33">
        <f>VLOOKUP(B33,'v1'!B:D,3,0)</f>
        <v>1.04058249537833</v>
      </c>
      <c r="G33" s="1" t="s">
        <v>34</v>
      </c>
      <c r="H33" s="2">
        <v>41456</v>
      </c>
      <c r="I33">
        <v>1.1428769843004101</v>
      </c>
      <c r="J33">
        <v>0.96127837046868803</v>
      </c>
      <c r="K33">
        <f>VLOOKUP(H33,'v1'!H:J,3,0)</f>
        <v>0.98252492426313998</v>
      </c>
      <c r="M33" s="1" t="s">
        <v>34</v>
      </c>
      <c r="N33" s="2">
        <v>41456</v>
      </c>
      <c r="O33">
        <v>5.9085622279897401E-2</v>
      </c>
      <c r="P33">
        <v>8.1778708343194201E-2</v>
      </c>
      <c r="Q33">
        <f>VLOOKUP(N33,'v1'!M:O,3,0)</f>
        <v>9.6873908305017395E-2</v>
      </c>
      <c r="S33" s="1" t="s">
        <v>34</v>
      </c>
      <c r="T33" s="2">
        <v>41456</v>
      </c>
      <c r="U33">
        <v>1.3941480211156301</v>
      </c>
      <c r="V33">
        <v>1.0115612047803999</v>
      </c>
      <c r="W33">
        <f>VLOOKUP(T33,'v1'!R:T,3,0)</f>
        <v>1.99252138029987</v>
      </c>
      <c r="Y33" s="1" t="s">
        <v>34</v>
      </c>
      <c r="Z33" s="2">
        <v>42036</v>
      </c>
      <c r="AA33">
        <v>1.99176243301153</v>
      </c>
      <c r="AB33">
        <v>1.98017003655855</v>
      </c>
      <c r="AC33">
        <f>VLOOKUP(Z33,'v1'!W:Y,3,0)</f>
        <v>8.9011365272726</v>
      </c>
      <c r="AE33" t="s">
        <v>34</v>
      </c>
      <c r="AF33" s="2">
        <v>35339</v>
      </c>
      <c r="AG33">
        <v>0</v>
      </c>
      <c r="AH33" t="e">
        <f>VLOOKUP(AF33,LoanLevelHist!B:D,2,0)</f>
        <v>#N/A</v>
      </c>
      <c r="AI33">
        <v>1.0254044999968599</v>
      </c>
      <c r="AJ33">
        <f>VLOOKUP(AF33,'v1'!AB:AD,3,0)</f>
        <v>0.49143130896021098</v>
      </c>
    </row>
    <row r="34" spans="1:36" x14ac:dyDescent="0.25">
      <c r="A34" s="1" t="s">
        <v>35</v>
      </c>
      <c r="B34" s="2">
        <v>41487</v>
      </c>
      <c r="C34">
        <v>1.07920216987707</v>
      </c>
      <c r="D34">
        <v>0.88163736532970205</v>
      </c>
      <c r="E34">
        <f>VLOOKUP(B34,'v1'!B:D,3,0)</f>
        <v>1.0077341425072399</v>
      </c>
      <c r="G34" s="1" t="s">
        <v>35</v>
      </c>
      <c r="H34" s="2">
        <v>41487</v>
      </c>
      <c r="I34">
        <v>1.0772854823956299</v>
      </c>
      <c r="J34">
        <v>0.898634906644868</v>
      </c>
      <c r="K34">
        <f>VLOOKUP(H34,'v1'!H:J,3,0)</f>
        <v>0.93949352998626801</v>
      </c>
      <c r="M34" s="1" t="s">
        <v>35</v>
      </c>
      <c r="N34" s="2">
        <v>41487</v>
      </c>
      <c r="O34">
        <v>4.45157870088475E-2</v>
      </c>
      <c r="P34">
        <v>8.3267095517780595E-2</v>
      </c>
      <c r="Q34">
        <f>VLOOKUP(N34,'v1'!M:O,3,0)</f>
        <v>9.8632979405444104E-2</v>
      </c>
      <c r="S34" s="1" t="s">
        <v>35</v>
      </c>
      <c r="T34" s="2">
        <v>41487</v>
      </c>
      <c r="U34">
        <v>1.3402132094458601</v>
      </c>
      <c r="V34">
        <v>1.04266851975319</v>
      </c>
      <c r="W34">
        <f>VLOOKUP(T34,'v1'!R:T,3,0)</f>
        <v>1.97902606412438</v>
      </c>
      <c r="Y34" s="1" t="s">
        <v>35</v>
      </c>
      <c r="Z34" s="2">
        <v>42064</v>
      </c>
      <c r="AA34">
        <v>1.7729347115143299</v>
      </c>
      <c r="AB34">
        <v>2.0562479891554899</v>
      </c>
      <c r="AC34">
        <f>VLOOKUP(Z34,'v1'!W:Y,3,0)</f>
        <v>9.2357241493006796</v>
      </c>
      <c r="AE34" t="s">
        <v>35</v>
      </c>
      <c r="AF34" s="2">
        <v>35370</v>
      </c>
      <c r="AG34">
        <v>0</v>
      </c>
      <c r="AH34" t="e">
        <f>VLOOKUP(AF34,LoanLevelHist!B:D,2,0)</f>
        <v>#N/A</v>
      </c>
      <c r="AI34">
        <v>1.03671118142235</v>
      </c>
      <c r="AJ34">
        <f>VLOOKUP(AF34,'v1'!AB:AD,3,0)</f>
        <v>0.49787177370351798</v>
      </c>
    </row>
    <row r="35" spans="1:36" x14ac:dyDescent="0.25">
      <c r="A35" s="1" t="s">
        <v>36</v>
      </c>
      <c r="B35" s="2">
        <v>41518</v>
      </c>
      <c r="C35">
        <v>1.08382055352346</v>
      </c>
      <c r="D35">
        <v>0.82969532041938798</v>
      </c>
      <c r="E35">
        <f>VLOOKUP(B35,'v1'!B:D,3,0)</f>
        <v>0.97661977827581103</v>
      </c>
      <c r="G35" s="1" t="s">
        <v>36</v>
      </c>
      <c r="H35" s="2">
        <v>41518</v>
      </c>
      <c r="I35">
        <v>1.0788250312813501</v>
      </c>
      <c r="J35">
        <v>0.83957987206858498</v>
      </c>
      <c r="K35">
        <f>VLOOKUP(H35,'v1'!H:J,3,0)</f>
        <v>0.89816915024493205</v>
      </c>
      <c r="M35" s="1" t="s">
        <v>36</v>
      </c>
      <c r="N35" s="2">
        <v>41518</v>
      </c>
      <c r="O35">
        <v>5.5638049005013498E-2</v>
      </c>
      <c r="P35">
        <v>8.5384599857218899E-2</v>
      </c>
      <c r="Q35">
        <f>VLOOKUP(N35,'v1'!M:O,3,0)</f>
        <v>0.101404652657622</v>
      </c>
      <c r="S35" s="1" t="s">
        <v>36</v>
      </c>
      <c r="T35" s="2">
        <v>41518</v>
      </c>
      <c r="U35">
        <v>1.3269382097018401</v>
      </c>
      <c r="V35">
        <v>1.07854164964112</v>
      </c>
      <c r="W35">
        <f>VLOOKUP(T35,'v1'!R:T,3,0)</f>
        <v>1.97069862373689</v>
      </c>
      <c r="Y35" s="1" t="s">
        <v>36</v>
      </c>
      <c r="Z35" s="2">
        <v>42095</v>
      </c>
      <c r="AA35">
        <v>1.27725129331081</v>
      </c>
      <c r="AB35">
        <v>2.1259266094078599</v>
      </c>
      <c r="AC35">
        <f>VLOOKUP(Z35,'v1'!W:Y,3,0)</f>
        <v>9.3649012789064603</v>
      </c>
      <c r="AE35" t="s">
        <v>36</v>
      </c>
      <c r="AF35" s="2">
        <v>35462</v>
      </c>
      <c r="AG35">
        <v>0</v>
      </c>
      <c r="AH35" t="e">
        <f>VLOOKUP(AF35,LoanLevelHist!B:D,2,0)</f>
        <v>#N/A</v>
      </c>
      <c r="AI35">
        <v>2.2251476831847101E-2</v>
      </c>
      <c r="AJ35">
        <f>VLOOKUP(AF35,'v1'!AB:AD,3,0)</f>
        <v>2.5655740806440602E-2</v>
      </c>
    </row>
    <row r="36" spans="1:36" x14ac:dyDescent="0.25">
      <c r="A36" s="1" t="s">
        <v>37</v>
      </c>
      <c r="B36" s="2">
        <v>41548</v>
      </c>
      <c r="C36">
        <v>1.0348796584787801</v>
      </c>
      <c r="D36">
        <v>0.80857769061117901</v>
      </c>
      <c r="E36">
        <f>VLOOKUP(B36,'v1'!B:D,3,0)</f>
        <v>0.97561214670822705</v>
      </c>
      <c r="G36" s="1" t="s">
        <v>37</v>
      </c>
      <c r="H36" s="2">
        <v>41548</v>
      </c>
      <c r="I36">
        <v>1.0364740331311999</v>
      </c>
      <c r="J36">
        <v>0.81321177002324796</v>
      </c>
      <c r="K36">
        <f>VLOOKUP(H36,'v1'!H:J,3,0)</f>
        <v>0.88331105553032296</v>
      </c>
      <c r="M36" s="1" t="s">
        <v>37</v>
      </c>
      <c r="N36" s="2">
        <v>41548</v>
      </c>
      <c r="O36">
        <v>4.3621665805360102E-2</v>
      </c>
      <c r="P36">
        <v>8.9709050014263894E-2</v>
      </c>
      <c r="Q36">
        <f>VLOOKUP(N36,'v1'!M:O,3,0)</f>
        <v>0.107698567300007</v>
      </c>
      <c r="S36" s="1" t="s">
        <v>37</v>
      </c>
      <c r="T36" s="2">
        <v>41548</v>
      </c>
      <c r="U36">
        <v>1.3562880465537099</v>
      </c>
      <c r="V36">
        <v>1.1240921491156</v>
      </c>
      <c r="W36">
        <f>VLOOKUP(T36,'v1'!R:T,3,0)</f>
        <v>2.0771865093275701</v>
      </c>
      <c r="Y36" s="1" t="s">
        <v>37</v>
      </c>
      <c r="Z36" s="2">
        <v>42125</v>
      </c>
      <c r="AA36">
        <v>1.4809219735186101</v>
      </c>
      <c r="AB36">
        <v>2.19598415275318</v>
      </c>
      <c r="AC36">
        <f>VLOOKUP(Z36,'v1'!W:Y,3,0)</f>
        <v>9.4801468308637507</v>
      </c>
      <c r="AE36" t="s">
        <v>37</v>
      </c>
      <c r="AF36" s="2">
        <v>35490</v>
      </c>
      <c r="AG36">
        <v>0</v>
      </c>
      <c r="AH36" t="e">
        <f>VLOOKUP(AF36,LoanLevelHist!B:D,2,0)</f>
        <v>#N/A</v>
      </c>
      <c r="AI36">
        <v>1.0796320602532501</v>
      </c>
      <c r="AJ36">
        <f>VLOOKUP(AF36,'v1'!AB:AD,3,0)</f>
        <v>0.51841828458322203</v>
      </c>
    </row>
    <row r="37" spans="1:36" x14ac:dyDescent="0.25">
      <c r="A37" s="1" t="s">
        <v>38</v>
      </c>
      <c r="B37" s="2">
        <v>41579</v>
      </c>
      <c r="C37">
        <v>1.00225552915824</v>
      </c>
      <c r="D37">
        <v>0.79300532544866997</v>
      </c>
      <c r="E37">
        <f>VLOOKUP(B37,'v1'!B:D,3,0)</f>
        <v>0.98041182317504205</v>
      </c>
      <c r="G37" s="1" t="s">
        <v>38</v>
      </c>
      <c r="H37" s="2">
        <v>41579</v>
      </c>
      <c r="I37">
        <v>0.99584955516093299</v>
      </c>
      <c r="J37">
        <v>0.79239608631741498</v>
      </c>
      <c r="K37">
        <f>VLOOKUP(H37,'v1'!H:J,3,0)</f>
        <v>0.87343605915515299</v>
      </c>
      <c r="M37" s="1" t="s">
        <v>38</v>
      </c>
      <c r="N37" s="2">
        <v>41579</v>
      </c>
      <c r="O37">
        <v>7.8611385224580693E-2</v>
      </c>
      <c r="P37">
        <v>9.4652969217190505E-2</v>
      </c>
      <c r="Q37">
        <f>VLOOKUP(N37,'v1'!M:O,3,0)</f>
        <v>0.114438334493994</v>
      </c>
      <c r="S37" s="1" t="s">
        <v>38</v>
      </c>
      <c r="T37" s="2">
        <v>41579</v>
      </c>
      <c r="U37">
        <v>1.3714922307227699</v>
      </c>
      <c r="V37">
        <v>1.1754386529982099</v>
      </c>
      <c r="W37">
        <f>VLOOKUP(T37,'v1'!R:T,3,0)</f>
        <v>2.1966581191441001</v>
      </c>
      <c r="Y37" s="1" t="s">
        <v>38</v>
      </c>
      <c r="Z37" s="2">
        <v>42156</v>
      </c>
      <c r="AA37">
        <v>1.25351834824838</v>
      </c>
      <c r="AB37">
        <v>2.26462437180597</v>
      </c>
      <c r="AC37">
        <f>VLOOKUP(Z37,'v1'!W:Y,3,0)</f>
        <v>9.5712745028386497</v>
      </c>
      <c r="AE37" t="s">
        <v>38</v>
      </c>
      <c r="AF37" s="2">
        <v>35521</v>
      </c>
      <c r="AG37">
        <v>0</v>
      </c>
      <c r="AH37" t="e">
        <f>VLOOKUP(AF37,LoanLevelHist!B:D,2,0)</f>
        <v>#N/A</v>
      </c>
      <c r="AI37">
        <v>1.0965430343773499</v>
      </c>
      <c r="AJ37">
        <f>VLOOKUP(AF37,'v1'!AB:AD,3,0)</f>
        <v>0.52700368165203804</v>
      </c>
    </row>
    <row r="38" spans="1:36" x14ac:dyDescent="0.25">
      <c r="A38" s="1" t="s">
        <v>39</v>
      </c>
      <c r="B38" s="2">
        <v>41609</v>
      </c>
      <c r="C38">
        <v>1.0269407791318701</v>
      </c>
      <c r="D38">
        <v>0.78093946820035898</v>
      </c>
      <c r="E38">
        <f>VLOOKUP(B38,'v1'!B:D,3,0)</f>
        <v>0.98723992336939803</v>
      </c>
      <c r="G38" s="1" t="s">
        <v>39</v>
      </c>
      <c r="H38" s="2">
        <v>41609</v>
      </c>
      <c r="I38">
        <v>1.0089726872343601</v>
      </c>
      <c r="J38">
        <v>0.77502145563351799</v>
      </c>
      <c r="K38">
        <f>VLOOKUP(H38,'v1'!H:J,3,0)</f>
        <v>0.86544363410243597</v>
      </c>
      <c r="M38" s="1" t="s">
        <v>39</v>
      </c>
      <c r="N38" s="2">
        <v>41609</v>
      </c>
      <c r="O38">
        <v>6.4174020570873E-2</v>
      </c>
      <c r="P38">
        <v>9.9537641414915196E-2</v>
      </c>
      <c r="Q38">
        <f>VLOOKUP(N38,'v1'!M:O,3,0)</f>
        <v>0.121292914760029</v>
      </c>
      <c r="S38" s="1" t="s">
        <v>39</v>
      </c>
      <c r="T38" s="2">
        <v>41609</v>
      </c>
      <c r="U38">
        <v>1.47682691699984</v>
      </c>
      <c r="V38">
        <v>1.2325614702861201</v>
      </c>
      <c r="W38">
        <f>VLOOKUP(T38,'v1'!R:T,3,0)</f>
        <v>2.3286553773395799</v>
      </c>
      <c r="Y38" s="1" t="s">
        <v>39</v>
      </c>
      <c r="Z38" s="2">
        <v>42186</v>
      </c>
      <c r="AA38">
        <v>1.39034821854783</v>
      </c>
      <c r="AB38">
        <v>2.33828809174019</v>
      </c>
      <c r="AC38">
        <f>VLOOKUP(Z38,'v1'!W:Y,3,0)</f>
        <v>9.8100181152813501</v>
      </c>
      <c r="AE38" t="s">
        <v>39</v>
      </c>
      <c r="AF38" s="2">
        <v>35551</v>
      </c>
      <c r="AG38">
        <v>0</v>
      </c>
      <c r="AH38" t="e">
        <f>VLOOKUP(AF38,LoanLevelHist!B:D,2,0)</f>
        <v>#N/A</v>
      </c>
      <c r="AI38">
        <v>1.1140599371854101</v>
      </c>
      <c r="AJ38">
        <f>VLOOKUP(AF38,'v1'!AB:AD,3,0)</f>
        <v>0.53544373249983002</v>
      </c>
    </row>
    <row r="39" spans="1:36" x14ac:dyDescent="0.25">
      <c r="A39" s="1" t="s">
        <v>40</v>
      </c>
      <c r="B39" s="2">
        <v>41640</v>
      </c>
      <c r="C39">
        <v>0.99370403874938795</v>
      </c>
      <c r="D39">
        <v>0.75396016481176198</v>
      </c>
      <c r="E39">
        <f>VLOOKUP(B39,'v1'!B:D,3,0)</f>
        <v>0.98801394369167905</v>
      </c>
      <c r="G39" s="1" t="s">
        <v>40</v>
      </c>
      <c r="H39" s="2">
        <v>41640</v>
      </c>
      <c r="I39">
        <v>0.97823824772996804</v>
      </c>
      <c r="J39">
        <v>0.742582807280323</v>
      </c>
      <c r="K39">
        <f>VLOOKUP(H39,'v1'!H:J,3,0)</f>
        <v>0.85247022486094604</v>
      </c>
      <c r="M39" s="1" t="s">
        <v>40</v>
      </c>
      <c r="N39" s="2">
        <v>41640</v>
      </c>
      <c r="O39">
        <v>2.41930337492091E-2</v>
      </c>
      <c r="P39">
        <v>0.10202555258728201</v>
      </c>
      <c r="Q39">
        <f>VLOOKUP(N39,'v1'!M:O,3,0)</f>
        <v>0.12668205442321101</v>
      </c>
      <c r="S39" s="1" t="s">
        <v>40</v>
      </c>
      <c r="T39" s="2">
        <v>41640</v>
      </c>
      <c r="U39">
        <v>1.37684730894081</v>
      </c>
      <c r="V39">
        <v>1.2738526684331</v>
      </c>
      <c r="W39">
        <f>VLOOKUP(T39,'v1'!R:T,3,0)</f>
        <v>2.4318970986228798</v>
      </c>
      <c r="Y39" s="1" t="s">
        <v>40</v>
      </c>
      <c r="Z39" s="2">
        <v>42217</v>
      </c>
      <c r="AA39">
        <v>1.4367808750206901</v>
      </c>
      <c r="AB39">
        <v>2.4092730353860898</v>
      </c>
      <c r="AC39">
        <f>VLOOKUP(Z39,'v1'!W:Y,3,0)</f>
        <v>10.0232635254337</v>
      </c>
      <c r="AE39" t="s">
        <v>40</v>
      </c>
      <c r="AF39" s="2">
        <v>35582</v>
      </c>
      <c r="AG39">
        <v>0</v>
      </c>
      <c r="AH39" t="e">
        <f>VLOOKUP(AF39,LoanLevelHist!B:D,2,0)</f>
        <v>#N/A</v>
      </c>
      <c r="AI39">
        <v>1.1313686602741799</v>
      </c>
      <c r="AJ39">
        <f>VLOOKUP(AF39,'v1'!AB:AD,3,0)</f>
        <v>0.54380540001716104</v>
      </c>
    </row>
    <row r="40" spans="1:36" x14ac:dyDescent="0.25">
      <c r="A40" s="1" t="s">
        <v>41</v>
      </c>
      <c r="B40" s="2">
        <v>41671</v>
      </c>
      <c r="C40">
        <v>0.97093538221213505</v>
      </c>
      <c r="D40">
        <v>0.74242369597273805</v>
      </c>
      <c r="E40">
        <f>VLOOKUP(B40,'v1'!B:D,3,0)</f>
        <v>0.99160781319813696</v>
      </c>
      <c r="G40" s="1" t="s">
        <v>41</v>
      </c>
      <c r="H40" s="2">
        <v>41671</v>
      </c>
      <c r="I40">
        <v>0.94596064443802597</v>
      </c>
      <c r="J40">
        <v>0.72579087292714595</v>
      </c>
      <c r="K40">
        <f>VLOOKUP(H40,'v1'!H:J,3,0)</f>
        <v>0.84259107010773404</v>
      </c>
      <c r="M40" s="1" t="s">
        <v>41</v>
      </c>
      <c r="N40" s="2">
        <v>41671</v>
      </c>
      <c r="O40">
        <v>3.3883757249852903E-2</v>
      </c>
      <c r="P40">
        <v>0.107026393157095</v>
      </c>
      <c r="Q40">
        <f>VLOOKUP(N40,'v1'!M:O,3,0)</f>
        <v>0.13351806348334</v>
      </c>
      <c r="S40" s="1" t="s">
        <v>41</v>
      </c>
      <c r="T40" s="2">
        <v>41671</v>
      </c>
      <c r="U40">
        <v>1.54768515471095</v>
      </c>
      <c r="V40">
        <v>1.3297662809149799</v>
      </c>
      <c r="W40">
        <f>VLOOKUP(T40,'v1'!R:T,3,0)</f>
        <v>2.5270099948525999</v>
      </c>
      <c r="Y40" s="1" t="s">
        <v>41</v>
      </c>
      <c r="Z40" s="2">
        <v>42248</v>
      </c>
      <c r="AA40">
        <v>1.5428042456961799</v>
      </c>
      <c r="AB40">
        <v>2.4799262553640302</v>
      </c>
      <c r="AC40">
        <f>VLOOKUP(Z40,'v1'!W:Y,3,0)</f>
        <v>10.2091791425736</v>
      </c>
      <c r="AE40" t="s">
        <v>41</v>
      </c>
      <c r="AF40" s="2">
        <v>35612</v>
      </c>
      <c r="AG40">
        <v>0</v>
      </c>
      <c r="AH40" t="e">
        <f>VLOOKUP(AF40,LoanLevelHist!B:D,2,0)</f>
        <v>#N/A</v>
      </c>
      <c r="AI40">
        <v>1.14416863986877</v>
      </c>
      <c r="AJ40">
        <f>VLOOKUP(AF40,'v1'!AB:AD,3,0)</f>
        <v>0.54792927462508101</v>
      </c>
    </row>
    <row r="41" spans="1:36" x14ac:dyDescent="0.25">
      <c r="A41" s="1" t="s">
        <v>42</v>
      </c>
      <c r="B41" s="2">
        <v>41699</v>
      </c>
      <c r="C41">
        <v>0.90443603866915401</v>
      </c>
      <c r="D41">
        <v>0.73634358268571698</v>
      </c>
      <c r="E41">
        <f>VLOOKUP(B41,'v1'!B:D,3,0)</f>
        <v>0.99754230363845497</v>
      </c>
      <c r="G41" s="1" t="s">
        <v>42</v>
      </c>
      <c r="H41" s="2">
        <v>41699</v>
      </c>
      <c r="I41">
        <v>0.88176069656054101</v>
      </c>
      <c r="J41">
        <v>0.71445401113231499</v>
      </c>
      <c r="K41">
        <f>VLOOKUP(H41,'v1'!H:J,3,0)</f>
        <v>0.83506097343710695</v>
      </c>
      <c r="M41" s="1" t="s">
        <v>42</v>
      </c>
      <c r="N41" s="2">
        <v>41699</v>
      </c>
      <c r="O41">
        <v>7.0191862561275201E-2</v>
      </c>
      <c r="P41">
        <v>0.113106216937198</v>
      </c>
      <c r="Q41">
        <f>VLOOKUP(N41,'v1'!M:O,3,0)</f>
        <v>0.141068950468271</v>
      </c>
      <c r="S41" s="1" t="s">
        <v>42</v>
      </c>
      <c r="T41" s="2">
        <v>41699</v>
      </c>
      <c r="U41">
        <v>1.4226274987912999</v>
      </c>
      <c r="V41">
        <v>1.39354840491555</v>
      </c>
      <c r="W41">
        <f>VLOOKUP(T41,'v1'!R:T,3,0)</f>
        <v>2.6239723565178998</v>
      </c>
      <c r="Y41" s="1" t="s">
        <v>42</v>
      </c>
      <c r="Z41" s="2">
        <v>42278</v>
      </c>
      <c r="AA41">
        <v>1.43328095771069</v>
      </c>
      <c r="AB41">
        <v>2.55067912786564</v>
      </c>
      <c r="AC41">
        <f>VLOOKUP(Z41,'v1'!W:Y,3,0)</f>
        <v>10.483552405938299</v>
      </c>
      <c r="AE41" t="s">
        <v>42</v>
      </c>
      <c r="AF41" s="2">
        <v>35643</v>
      </c>
      <c r="AG41">
        <v>0</v>
      </c>
      <c r="AH41" t="e">
        <f>VLOOKUP(AF41,LoanLevelHist!B:D,2,0)</f>
        <v>#N/A</v>
      </c>
      <c r="AI41">
        <v>1.1537609703959799</v>
      </c>
      <c r="AJ41">
        <f>VLOOKUP(AF41,'v1'!AB:AD,3,0)</f>
        <v>0.55076200514656604</v>
      </c>
    </row>
    <row r="42" spans="1:36" x14ac:dyDescent="0.25">
      <c r="A42" s="1" t="s">
        <v>43</v>
      </c>
      <c r="B42" s="2">
        <v>41730</v>
      </c>
      <c r="C42">
        <v>0.78469756732072504</v>
      </c>
      <c r="D42">
        <v>0.71365705866585105</v>
      </c>
      <c r="E42">
        <f>VLOOKUP(B42,'v1'!B:D,3,0)</f>
        <v>0.97799043255789597</v>
      </c>
      <c r="G42" s="1" t="s">
        <v>43</v>
      </c>
      <c r="H42" s="2">
        <v>41730</v>
      </c>
      <c r="I42">
        <v>0.77089322969239304</v>
      </c>
      <c r="J42">
        <v>0.68527058465204205</v>
      </c>
      <c r="K42">
        <f>VLOOKUP(H42,'v1'!H:J,3,0)</f>
        <v>0.80859214605442098</v>
      </c>
      <c r="M42" s="1" t="s">
        <v>43</v>
      </c>
      <c r="N42" s="2">
        <v>41730</v>
      </c>
      <c r="O42">
        <v>0</v>
      </c>
      <c r="P42">
        <v>0.117884530795176</v>
      </c>
      <c r="Q42">
        <f>VLOOKUP(N42,'v1'!M:O,3,0)</f>
        <v>0.14578974038458301</v>
      </c>
      <c r="S42" s="1" t="s">
        <v>43</v>
      </c>
      <c r="T42" s="2">
        <v>41730</v>
      </c>
      <c r="U42">
        <v>1.0529067150036699</v>
      </c>
      <c r="V42">
        <v>1.45385903737032</v>
      </c>
      <c r="W42">
        <f>VLOOKUP(T42,'v1'!R:T,3,0)</f>
        <v>2.5418992603293602</v>
      </c>
      <c r="Y42" s="1" t="s">
        <v>43</v>
      </c>
      <c r="Z42" s="2">
        <v>42309</v>
      </c>
      <c r="AA42">
        <v>1.7660994374754999</v>
      </c>
      <c r="AB42">
        <v>2.6226368560094002</v>
      </c>
      <c r="AC42">
        <f>VLOOKUP(Z42,'v1'!W:Y,3,0)</f>
        <v>10.734889266466899</v>
      </c>
      <c r="AE42" t="s">
        <v>43</v>
      </c>
      <c r="AF42" s="2">
        <v>35674</v>
      </c>
      <c r="AG42">
        <v>0</v>
      </c>
      <c r="AH42" t="e">
        <f>VLOOKUP(AF42,LoanLevelHist!B:D,2,0)</f>
        <v>#N/A</v>
      </c>
      <c r="AI42">
        <v>1.1620767110786101</v>
      </c>
      <c r="AJ42">
        <f>VLOOKUP(AF42,'v1'!AB:AD,3,0)</f>
        <v>0.55300993539515497</v>
      </c>
    </row>
    <row r="43" spans="1:36" x14ac:dyDescent="0.25">
      <c r="A43" s="1" t="s">
        <v>44</v>
      </c>
      <c r="B43" s="2">
        <v>41760</v>
      </c>
      <c r="C43">
        <v>0.73121295093910899</v>
      </c>
      <c r="D43">
        <v>0.69195442483260805</v>
      </c>
      <c r="E43">
        <f>VLOOKUP(B43,'v1'!B:D,3,0)</f>
        <v>0.95790016629261299</v>
      </c>
      <c r="G43" s="1" t="s">
        <v>44</v>
      </c>
      <c r="H43" s="2">
        <v>41760</v>
      </c>
      <c r="I43">
        <v>0.70730827752463199</v>
      </c>
      <c r="J43">
        <v>0.65713235169603301</v>
      </c>
      <c r="K43">
        <f>VLOOKUP(H43,'v1'!H:J,3,0)</f>
        <v>0.78210903517684804</v>
      </c>
      <c r="M43" s="1" t="s">
        <v>44</v>
      </c>
      <c r="N43" s="2">
        <v>41760</v>
      </c>
      <c r="O43">
        <v>0</v>
      </c>
      <c r="P43">
        <v>0.122213372861735</v>
      </c>
      <c r="Q43">
        <f>VLOOKUP(N43,'v1'!M:O,3,0)</f>
        <v>0.149788387370653</v>
      </c>
      <c r="S43" s="1" t="s">
        <v>44</v>
      </c>
      <c r="T43" s="2">
        <v>41760</v>
      </c>
      <c r="U43">
        <v>1.20405306635862</v>
      </c>
      <c r="V43">
        <v>1.51695110671819</v>
      </c>
      <c r="W43">
        <f>VLOOKUP(T43,'v1'!R:T,3,0)</f>
        <v>2.4647388056630701</v>
      </c>
      <c r="Y43" s="1" t="s">
        <v>44</v>
      </c>
      <c r="Z43" s="2">
        <v>42339</v>
      </c>
      <c r="AA43">
        <v>1.50750669991996</v>
      </c>
      <c r="AB43">
        <v>2.69095906129041</v>
      </c>
      <c r="AC43">
        <f>VLOOKUP(Z43,'v1'!W:Y,3,0)</f>
        <v>10.941200470106301</v>
      </c>
      <c r="AE43" t="s">
        <v>44</v>
      </c>
      <c r="AF43" s="2">
        <v>35704</v>
      </c>
      <c r="AG43">
        <v>0</v>
      </c>
      <c r="AH43" t="e">
        <f>VLOOKUP(AF43,LoanLevelHist!B:D,2,0)</f>
        <v>#N/A</v>
      </c>
      <c r="AI43">
        <v>1.17106798966226</v>
      </c>
      <c r="AJ43">
        <f>VLOOKUP(AF43,'v1'!AB:AD,3,0)</f>
        <v>0.55576919435114103</v>
      </c>
    </row>
    <row r="44" spans="1:36" x14ac:dyDescent="0.25">
      <c r="A44" s="1" t="s">
        <v>45</v>
      </c>
      <c r="B44" s="2">
        <v>41791</v>
      </c>
      <c r="C44">
        <v>0.75234810880885306</v>
      </c>
      <c r="D44">
        <v>0.67207909408447697</v>
      </c>
      <c r="E44">
        <f>VLOOKUP(B44,'v1'!B:D,3,0)</f>
        <v>0.93895330721399695</v>
      </c>
      <c r="G44" s="1" t="s">
        <v>45</v>
      </c>
      <c r="H44" s="2">
        <v>41791</v>
      </c>
      <c r="I44">
        <v>0.73020794921990795</v>
      </c>
      <c r="J44">
        <v>0.63119239859630305</v>
      </c>
      <c r="K44">
        <f>VLOOKUP(H44,'v1'!H:J,3,0)</f>
        <v>0.75725363012071301</v>
      </c>
      <c r="M44" s="1" t="s">
        <v>45</v>
      </c>
      <c r="N44" s="2">
        <v>41791</v>
      </c>
      <c r="O44">
        <v>3.03463692512662E-2</v>
      </c>
      <c r="P44">
        <v>0.12613168757902299</v>
      </c>
      <c r="Q44">
        <f>VLOOKUP(N44,'v1'!M:O,3,0)</f>
        <v>0.153467852235911</v>
      </c>
      <c r="S44" s="1" t="s">
        <v>45</v>
      </c>
      <c r="T44" s="2">
        <v>41791</v>
      </c>
      <c r="U44">
        <v>1.28709369852047</v>
      </c>
      <c r="V44">
        <v>1.5762157883104999</v>
      </c>
      <c r="W44">
        <f>VLOOKUP(T44,'v1'!R:T,3,0)</f>
        <v>2.3862735867786502</v>
      </c>
      <c r="Y44" s="1" t="s">
        <v>45</v>
      </c>
      <c r="Z44" s="2">
        <v>42370</v>
      </c>
      <c r="AA44">
        <v>1.64978599436628</v>
      </c>
      <c r="AB44">
        <v>2.7617878027139802</v>
      </c>
      <c r="AC44">
        <f>VLOOKUP(Z44,'v1'!W:Y,3,0)</f>
        <v>11.173444435704299</v>
      </c>
      <c r="AE44" t="s">
        <v>45</v>
      </c>
      <c r="AF44" s="2">
        <v>35735</v>
      </c>
      <c r="AG44">
        <v>0</v>
      </c>
      <c r="AH44" t="e">
        <f>VLOOKUP(AF44,LoanLevelHist!B:D,2,0)</f>
        <v>#N/A</v>
      </c>
      <c r="AI44">
        <v>1.2033748005402001</v>
      </c>
      <c r="AJ44">
        <f>VLOOKUP(AF44,'v1'!AB:AD,3,0)</f>
        <v>0.572526611240876</v>
      </c>
    </row>
    <row r="45" spans="1:36" x14ac:dyDescent="0.25">
      <c r="A45" s="1" t="s">
        <v>46</v>
      </c>
      <c r="B45" s="2">
        <v>41821</v>
      </c>
      <c r="C45">
        <v>0.71890986529851197</v>
      </c>
      <c r="D45">
        <v>0.66526277835167202</v>
      </c>
      <c r="E45">
        <f>VLOOKUP(B45,'v1'!B:D,3,0)</f>
        <v>0.93889907067923295</v>
      </c>
      <c r="G45" s="1" t="s">
        <v>46</v>
      </c>
      <c r="H45" s="2">
        <v>41821</v>
      </c>
      <c r="I45">
        <v>0.69287565148261598</v>
      </c>
      <c r="J45">
        <v>0.61922572181930502</v>
      </c>
      <c r="K45">
        <f>VLOOKUP(H45,'v1'!H:J,3,0)</f>
        <v>0.74684526804180695</v>
      </c>
      <c r="M45" s="1" t="s">
        <v>46</v>
      </c>
      <c r="N45" s="2">
        <v>41821</v>
      </c>
      <c r="O45">
        <v>8.9049625222636902E-2</v>
      </c>
      <c r="P45">
        <v>0.131215109176785</v>
      </c>
      <c r="Q45">
        <f>VLOOKUP(N45,'v1'!M:O,3,0)</f>
        <v>0.159650767780595</v>
      </c>
      <c r="S45" s="1" t="s">
        <v>46</v>
      </c>
      <c r="T45" s="2">
        <v>41821</v>
      </c>
      <c r="U45">
        <v>1.1971972018130199</v>
      </c>
      <c r="V45">
        <v>1.6425984955170601</v>
      </c>
      <c r="W45">
        <f>VLOOKUP(T45,'v1'!R:T,3,0)</f>
        <v>2.4360086670104102</v>
      </c>
      <c r="Y45" s="1" t="s">
        <v>46</v>
      </c>
      <c r="Z45" s="2">
        <v>42401</v>
      </c>
      <c r="AA45">
        <v>1.4464891240081801</v>
      </c>
      <c r="AB45">
        <v>2.82968748567259</v>
      </c>
      <c r="AC45">
        <f>VLOOKUP(Z45,'v1'!W:Y,3,0)</f>
        <v>11.364858408640499</v>
      </c>
      <c r="AE45" t="s">
        <v>46</v>
      </c>
      <c r="AF45" s="2">
        <v>35765</v>
      </c>
      <c r="AG45">
        <v>0</v>
      </c>
      <c r="AH45" t="e">
        <f>VLOOKUP(AF45,LoanLevelHist!B:D,2,0)</f>
        <v>#N/A</v>
      </c>
      <c r="AI45">
        <v>1.1746274002756001</v>
      </c>
      <c r="AJ45">
        <f>VLOOKUP(AF45,'v1'!AB:AD,3,0)</f>
        <v>0.55451884690665998</v>
      </c>
    </row>
    <row r="46" spans="1:36" x14ac:dyDescent="0.25">
      <c r="A46" s="1" t="s">
        <v>47</v>
      </c>
      <c r="B46" s="2">
        <v>41852</v>
      </c>
      <c r="C46">
        <v>0.74288918882122701</v>
      </c>
      <c r="D46">
        <v>0.65182190655441696</v>
      </c>
      <c r="E46">
        <f>VLOOKUP(B46,'v1'!B:D,3,0)</f>
        <v>0.94145507005831697</v>
      </c>
      <c r="G46" s="1" t="s">
        <v>47</v>
      </c>
      <c r="H46" s="2">
        <v>41852</v>
      </c>
      <c r="I46">
        <v>0.71117159013176501</v>
      </c>
      <c r="J46">
        <v>0.60012656334778003</v>
      </c>
      <c r="K46">
        <f>VLOOKUP(H46,'v1'!H:J,3,0)</f>
        <v>0.73820703984452996</v>
      </c>
      <c r="M46" s="1" t="s">
        <v>47</v>
      </c>
      <c r="N46" s="2">
        <v>41852</v>
      </c>
      <c r="O46">
        <v>0.119118864486467</v>
      </c>
      <c r="P46">
        <v>0.13523767896012101</v>
      </c>
      <c r="Q46">
        <f>VLOOKUP(N46,'v1'!M:O,3,0)</f>
        <v>0.165919876994369</v>
      </c>
      <c r="S46" s="1" t="s">
        <v>47</v>
      </c>
      <c r="T46" s="2">
        <v>41852</v>
      </c>
      <c r="U46">
        <v>1.29600732275778</v>
      </c>
      <c r="V46">
        <v>1.71420149803606</v>
      </c>
      <c r="W46">
        <f>VLOOKUP(T46,'v1'!R:T,3,0)</f>
        <v>2.5214115903367298</v>
      </c>
      <c r="AE46" t="s">
        <v>47</v>
      </c>
      <c r="AF46" s="2">
        <v>35796</v>
      </c>
      <c r="AG46">
        <v>0</v>
      </c>
      <c r="AH46" t="e">
        <f>VLOOKUP(AF46,LoanLevelHist!B:D,2,0)</f>
        <v>#N/A</v>
      </c>
      <c r="AI46">
        <v>1.1728049694261</v>
      </c>
      <c r="AJ46">
        <f>VLOOKUP(AF46,'v1'!AB:AD,3,0)</f>
        <v>0.55100098475564496</v>
      </c>
    </row>
    <row r="47" spans="1:36" x14ac:dyDescent="0.25">
      <c r="A47" s="1" t="s">
        <v>48</v>
      </c>
      <c r="B47" s="2">
        <v>41883</v>
      </c>
      <c r="C47">
        <v>0.72468512177834599</v>
      </c>
      <c r="D47">
        <v>0.64925034791391001</v>
      </c>
      <c r="E47">
        <f>VLOOKUP(B47,'v1'!B:D,3,0)</f>
        <v>0.93352289596000404</v>
      </c>
      <c r="G47" s="1" t="s">
        <v>48</v>
      </c>
      <c r="H47" s="2">
        <v>41883</v>
      </c>
      <c r="I47">
        <v>0.69269283228867695</v>
      </c>
      <c r="J47">
        <v>0.59365642927552398</v>
      </c>
      <c r="K47">
        <f>VLOOKUP(H47,'v1'!H:J,3,0)</f>
        <v>0.72280786517570095</v>
      </c>
      <c r="M47" s="1" t="s">
        <v>48</v>
      </c>
      <c r="N47" s="2">
        <v>41883</v>
      </c>
      <c r="O47">
        <v>8.2103125050214706E-2</v>
      </c>
      <c r="P47">
        <v>0.13874190642995099</v>
      </c>
      <c r="Q47">
        <f>VLOOKUP(N47,'v1'!M:O,3,0)</f>
        <v>0.16965117641409799</v>
      </c>
      <c r="S47" s="1" t="s">
        <v>48</v>
      </c>
      <c r="T47" s="2">
        <v>41883</v>
      </c>
      <c r="U47">
        <v>1.32829716626701</v>
      </c>
      <c r="V47">
        <v>1.77651628368599</v>
      </c>
      <c r="W47">
        <f>VLOOKUP(T47,'v1'!R:T,3,0)</f>
        <v>2.5373180305041299</v>
      </c>
      <c r="AE47" t="s">
        <v>48</v>
      </c>
      <c r="AF47" s="2">
        <v>35827</v>
      </c>
      <c r="AG47">
        <v>0</v>
      </c>
      <c r="AH47" t="e">
        <f>VLOOKUP(AF47,LoanLevelHist!B:D,2,0)</f>
        <v>#N/A</v>
      </c>
      <c r="AI47">
        <v>1.1836824129374499</v>
      </c>
      <c r="AJ47">
        <f>VLOOKUP(AF47,'v1'!AB:AD,3,0)</f>
        <v>0.55453178482989296</v>
      </c>
    </row>
    <row r="48" spans="1:36" x14ac:dyDescent="0.25">
      <c r="A48" s="1" t="s">
        <v>49</v>
      </c>
      <c r="B48" s="2">
        <v>41913</v>
      </c>
      <c r="C48">
        <v>0.72620129135423395</v>
      </c>
      <c r="D48">
        <v>0.64615707302095904</v>
      </c>
      <c r="E48">
        <f>VLOOKUP(B48,'v1'!B:D,3,0)</f>
        <v>0.939065274851414</v>
      </c>
      <c r="G48" s="1" t="s">
        <v>49</v>
      </c>
      <c r="H48" s="2">
        <v>41913</v>
      </c>
      <c r="I48">
        <v>0.689705290668985</v>
      </c>
      <c r="J48">
        <v>0.58630493428973895</v>
      </c>
      <c r="K48">
        <f>VLOOKUP(H48,'v1'!H:J,3,0)</f>
        <v>0.716774939922316</v>
      </c>
      <c r="M48" s="1" t="s">
        <v>49</v>
      </c>
      <c r="N48" s="2">
        <v>41913</v>
      </c>
      <c r="O48">
        <v>4.8598743451810901E-2</v>
      </c>
      <c r="P48">
        <v>0.14256653498201399</v>
      </c>
      <c r="Q48">
        <f>VLOOKUP(N48,'v1'!M:O,3,0)</f>
        <v>0.17523445155331899</v>
      </c>
      <c r="S48" s="1" t="s">
        <v>49</v>
      </c>
      <c r="T48" s="2">
        <v>41913</v>
      </c>
      <c r="U48">
        <v>1.3058516077720801</v>
      </c>
      <c r="V48">
        <v>1.8458767107570599</v>
      </c>
      <c r="W48">
        <f>VLOOKUP(T48,'v1'!R:T,3,0)</f>
        <v>2.6423743647857298</v>
      </c>
      <c r="AE48" t="s">
        <v>49</v>
      </c>
      <c r="AF48" s="2">
        <v>35855</v>
      </c>
      <c r="AG48">
        <v>0</v>
      </c>
      <c r="AH48" t="e">
        <f>VLOOKUP(AF48,LoanLevelHist!B:D,2,0)</f>
        <v>#N/A</v>
      </c>
      <c r="AI48">
        <v>1.18404815341481</v>
      </c>
      <c r="AJ48">
        <f>VLOOKUP(AF48,'v1'!AB:AD,3,0)</f>
        <v>0.55230636153675805</v>
      </c>
    </row>
    <row r="49" spans="1:36" x14ac:dyDescent="0.25">
      <c r="A49" s="1" t="s">
        <v>50</v>
      </c>
      <c r="B49" s="2">
        <v>41944</v>
      </c>
      <c r="C49">
        <v>0.68886206547695805</v>
      </c>
      <c r="D49">
        <v>0.64316335901675203</v>
      </c>
      <c r="E49">
        <f>VLOOKUP(B49,'v1'!B:D,3,0)</f>
        <v>0.94433405833209705</v>
      </c>
      <c r="G49" s="1" t="s">
        <v>50</v>
      </c>
      <c r="H49" s="2">
        <v>41944</v>
      </c>
      <c r="I49">
        <v>0.65397913694174004</v>
      </c>
      <c r="J49">
        <v>0.57929486066343705</v>
      </c>
      <c r="K49">
        <f>VLOOKUP(H49,'v1'!H:J,3,0)</f>
        <v>0.71081910130338399</v>
      </c>
      <c r="M49" s="1" t="s">
        <v>50</v>
      </c>
      <c r="N49" s="2">
        <v>41944</v>
      </c>
      <c r="O49">
        <v>0.117854442895149</v>
      </c>
      <c r="P49">
        <v>0.14657742020532899</v>
      </c>
      <c r="Q49">
        <f>VLOOKUP(N49,'v1'!M:O,3,0)</f>
        <v>0.18075821368093201</v>
      </c>
      <c r="S49" s="1" t="s">
        <v>50</v>
      </c>
      <c r="T49" s="2">
        <v>41944</v>
      </c>
      <c r="U49">
        <v>1.34509184270761</v>
      </c>
      <c r="V49">
        <v>1.9126629148202301</v>
      </c>
      <c r="W49">
        <f>VLOOKUP(T49,'v1'!R:T,3,0)</f>
        <v>2.7450737741209799</v>
      </c>
      <c r="AE49" t="s">
        <v>50</v>
      </c>
      <c r="AF49" s="2">
        <v>35886</v>
      </c>
      <c r="AG49">
        <v>0</v>
      </c>
      <c r="AH49" t="e">
        <f>VLOOKUP(AF49,LoanLevelHist!B:D,2,0)</f>
        <v>#N/A</v>
      </c>
      <c r="AI49">
        <v>1.1574029261251</v>
      </c>
      <c r="AJ49">
        <f>VLOOKUP(AF49,'v1'!AB:AD,3,0)</f>
        <v>0.539579849278637</v>
      </c>
    </row>
    <row r="50" spans="1:36" x14ac:dyDescent="0.25">
      <c r="A50" s="1" t="s">
        <v>51</v>
      </c>
      <c r="B50" s="2">
        <v>41974</v>
      </c>
      <c r="C50">
        <v>0.73175020799269896</v>
      </c>
      <c r="D50">
        <v>0.64276365017818005</v>
      </c>
      <c r="E50">
        <f>VLOOKUP(B50,'v1'!B:D,3,0)</f>
        <v>0.95249544748146098</v>
      </c>
      <c r="G50" s="1" t="s">
        <v>51</v>
      </c>
      <c r="H50" s="2">
        <v>41974</v>
      </c>
      <c r="I50">
        <v>0.69831895263763299</v>
      </c>
      <c r="J50">
        <v>0.574937229593664</v>
      </c>
      <c r="K50">
        <f>VLOOKUP(H50,'v1'!H:J,3,0)</f>
        <v>0.70744130743589695</v>
      </c>
      <c r="M50" s="1" t="s">
        <v>51</v>
      </c>
      <c r="N50" s="2">
        <v>41974</v>
      </c>
      <c r="O50">
        <v>2.6388848964265001E-2</v>
      </c>
      <c r="P50">
        <v>0.15065891295998901</v>
      </c>
      <c r="Q50">
        <f>VLOOKUP(N50,'v1'!M:O,3,0)</f>
        <v>0.186472795618808</v>
      </c>
      <c r="S50" s="1" t="s">
        <v>51</v>
      </c>
      <c r="T50" s="2">
        <v>41974</v>
      </c>
      <c r="U50">
        <v>1.3463269879751301</v>
      </c>
      <c r="V50">
        <v>1.9809639983543601</v>
      </c>
      <c r="W50">
        <f>VLOOKUP(T50,'v1'!R:T,3,0)</f>
        <v>2.8510892052435599</v>
      </c>
      <c r="AE50" t="s">
        <v>51</v>
      </c>
      <c r="AF50" s="2">
        <v>35916</v>
      </c>
      <c r="AG50">
        <v>0</v>
      </c>
      <c r="AH50" t="e">
        <f>VLOOKUP(AF50,LoanLevelHist!B:D,2,0)</f>
        <v>#N/A</v>
      </c>
      <c r="AI50">
        <v>1.12773191172023</v>
      </c>
      <c r="AJ50">
        <f>VLOOKUP(AF50,'v1'!AB:AD,3,0)</f>
        <v>0.52563410461827798</v>
      </c>
    </row>
    <row r="51" spans="1:36" x14ac:dyDescent="0.25">
      <c r="A51" s="1" t="s">
        <v>52</v>
      </c>
      <c r="B51" s="2">
        <v>42005</v>
      </c>
      <c r="C51">
        <v>0.68760699562067096</v>
      </c>
      <c r="D51">
        <v>0.64107251020342204</v>
      </c>
      <c r="E51">
        <f>VLOOKUP(B51,'v1'!B:D,3,0)</f>
        <v>0.95646478566832105</v>
      </c>
      <c r="G51" s="1" t="s">
        <v>52</v>
      </c>
      <c r="H51" s="2">
        <v>42005</v>
      </c>
      <c r="I51">
        <v>0.64969267875842895</v>
      </c>
      <c r="J51">
        <v>0.56925989513713104</v>
      </c>
      <c r="K51">
        <f>VLOOKUP(H51,'v1'!H:J,3,0)</f>
        <v>0.70160083031551901</v>
      </c>
      <c r="M51" s="1" t="s">
        <v>52</v>
      </c>
      <c r="N51" s="2">
        <v>42005</v>
      </c>
      <c r="O51">
        <v>8.5151275160444406E-2</v>
      </c>
      <c r="P51">
        <v>0.15386724420922701</v>
      </c>
      <c r="Q51">
        <f>VLOOKUP(N51,'v1'!M:O,3,0)</f>
        <v>0.19050565252510801</v>
      </c>
      <c r="S51" s="1" t="s">
        <v>52</v>
      </c>
      <c r="T51" s="2">
        <v>42005</v>
      </c>
      <c r="U51">
        <v>1.3409663272022101</v>
      </c>
      <c r="V51">
        <v>2.0467567371279598</v>
      </c>
      <c r="W51">
        <f>VLOOKUP(T51,'v1'!R:T,3,0)</f>
        <v>2.92053753286226</v>
      </c>
      <c r="AE51" t="s">
        <v>52</v>
      </c>
      <c r="AF51" s="2">
        <v>35947</v>
      </c>
      <c r="AG51">
        <v>0</v>
      </c>
      <c r="AH51" t="e">
        <f>VLOOKUP(AF51,LoanLevelHist!B:D,2,0)</f>
        <v>#N/A</v>
      </c>
      <c r="AI51">
        <v>1.1044519781804401</v>
      </c>
      <c r="AJ51">
        <f>VLOOKUP(AF51,'v1'!AB:AD,3,0)</f>
        <v>0.51556978079452298</v>
      </c>
    </row>
    <row r="52" spans="1:36" x14ac:dyDescent="0.25">
      <c r="A52" s="1" t="s">
        <v>53</v>
      </c>
      <c r="B52" s="2">
        <v>42036</v>
      </c>
      <c r="C52">
        <v>0.69063000413512898</v>
      </c>
      <c r="D52">
        <v>0.63960814557593204</v>
      </c>
      <c r="E52">
        <f>VLOOKUP(B52,'v1'!B:D,3,0)</f>
        <v>0.96136132335995494</v>
      </c>
      <c r="G52" s="1" t="s">
        <v>53</v>
      </c>
      <c r="H52" s="2">
        <v>42036</v>
      </c>
      <c r="I52">
        <v>0.64380936081920304</v>
      </c>
      <c r="J52">
        <v>0.56405824226322099</v>
      </c>
      <c r="K52">
        <f>VLOOKUP(H52,'v1'!H:J,3,0)</f>
        <v>0.69745945500254702</v>
      </c>
      <c r="M52" s="1" t="s">
        <v>53</v>
      </c>
      <c r="N52" s="2">
        <v>42036</v>
      </c>
      <c r="O52">
        <v>0.13158484295564499</v>
      </c>
      <c r="P52">
        <v>0.15802961582722699</v>
      </c>
      <c r="Q52">
        <f>VLOOKUP(N52,'v1'!M:O,3,0)</f>
        <v>0.195112520231633</v>
      </c>
      <c r="S52" s="1" t="s">
        <v>53</v>
      </c>
      <c r="T52" s="2">
        <v>42036</v>
      </c>
      <c r="U52">
        <v>1.4401412931507001</v>
      </c>
      <c r="V52">
        <v>2.1113435949477899</v>
      </c>
      <c r="W52">
        <f>VLOOKUP(T52,'v1'!R:T,3,0)</f>
        <v>2.9859047938038099</v>
      </c>
      <c r="AE52" t="s">
        <v>53</v>
      </c>
      <c r="AF52" s="2">
        <v>35977</v>
      </c>
      <c r="AG52">
        <v>0</v>
      </c>
      <c r="AH52" t="e">
        <f>VLOOKUP(AF52,LoanLevelHist!B:D,2,0)</f>
        <v>#N/A</v>
      </c>
      <c r="AI52">
        <v>1.0844987053439199</v>
      </c>
      <c r="AJ52">
        <f>VLOOKUP(AF52,'v1'!AB:AD,3,0)</f>
        <v>0.50544417971829503</v>
      </c>
    </row>
    <row r="53" spans="1:36" x14ac:dyDescent="0.25">
      <c r="A53" s="1" t="s">
        <v>54</v>
      </c>
      <c r="B53" s="2">
        <v>42064</v>
      </c>
      <c r="C53">
        <v>0.62462777776288703</v>
      </c>
      <c r="D53">
        <v>0.63780695494949402</v>
      </c>
      <c r="E53">
        <f>VLOOKUP(B53,'v1'!B:D,3,0)</f>
        <v>0.96425929169279301</v>
      </c>
      <c r="G53" s="1" t="s">
        <v>54</v>
      </c>
      <c r="H53" s="2">
        <v>42064</v>
      </c>
      <c r="I53">
        <v>0.58813600864986404</v>
      </c>
      <c r="J53">
        <v>0.55886162562782704</v>
      </c>
      <c r="K53">
        <f>VLOOKUP(H53,'v1'!H:J,3,0)</f>
        <v>0.69201004346237704</v>
      </c>
      <c r="M53" s="1" t="s">
        <v>54</v>
      </c>
      <c r="N53" s="2">
        <v>42064</v>
      </c>
      <c r="O53">
        <v>9.3392530557345796E-2</v>
      </c>
      <c r="P53">
        <v>0.161935359852206</v>
      </c>
      <c r="Q53">
        <f>VLOOKUP(N53,'v1'!M:O,3,0)</f>
        <v>0.20065167530443101</v>
      </c>
      <c r="S53" s="1" t="s">
        <v>54</v>
      </c>
      <c r="T53" s="2">
        <v>42064</v>
      </c>
      <c r="U53">
        <v>1.19490477209233</v>
      </c>
      <c r="V53">
        <v>2.1750905641565201</v>
      </c>
      <c r="W53">
        <f>VLOOKUP(T53,'v1'!R:T,3,0)</f>
        <v>3.0526450104871001</v>
      </c>
      <c r="AE53" t="s">
        <v>54</v>
      </c>
      <c r="AF53" s="2">
        <v>36008</v>
      </c>
      <c r="AG53">
        <v>0</v>
      </c>
      <c r="AH53" t="e">
        <f>VLOOKUP(AF53,LoanLevelHist!B:D,2,0)</f>
        <v>#N/A</v>
      </c>
      <c r="AI53">
        <v>1.0647429223385401</v>
      </c>
      <c r="AJ53">
        <f>VLOOKUP(AF53,'v1'!AB:AD,3,0)</f>
        <v>0.49552463404705099</v>
      </c>
    </row>
    <row r="54" spans="1:36" x14ac:dyDescent="0.25">
      <c r="A54" s="1" t="s">
        <v>55</v>
      </c>
      <c r="B54" s="2">
        <v>42095</v>
      </c>
      <c r="C54">
        <v>0.53754334578658403</v>
      </c>
      <c r="D54">
        <v>0.62708853840746104</v>
      </c>
      <c r="E54">
        <f>VLOOKUP(B54,'v1'!B:D,3,0)</f>
        <v>0.94547493487658896</v>
      </c>
      <c r="G54" s="1" t="s">
        <v>55</v>
      </c>
      <c r="H54" s="2">
        <v>42095</v>
      </c>
      <c r="I54">
        <v>0.50731464004529803</v>
      </c>
      <c r="J54">
        <v>0.54410039420119705</v>
      </c>
      <c r="K54">
        <f>VLOOKUP(H54,'v1'!H:J,3,0)</f>
        <v>0.67395590375157699</v>
      </c>
      <c r="M54" s="1" t="s">
        <v>55</v>
      </c>
      <c r="N54" s="2">
        <v>42095</v>
      </c>
      <c r="O54">
        <v>6.7893245204087002E-2</v>
      </c>
      <c r="P54">
        <v>0.16225907717802901</v>
      </c>
      <c r="Q54">
        <f>VLOOKUP(N54,'v1'!M:O,3,0)</f>
        <v>0.198869108160205</v>
      </c>
      <c r="S54" s="1" t="s">
        <v>55</v>
      </c>
      <c r="T54" s="2">
        <v>42095</v>
      </c>
      <c r="U54">
        <v>1.1920219339351099</v>
      </c>
      <c r="V54">
        <v>2.2280993333655501</v>
      </c>
      <c r="W54">
        <f>VLOOKUP(T54,'v1'!R:T,3,0)</f>
        <v>2.9182593900643501</v>
      </c>
      <c r="AE54" t="s">
        <v>55</v>
      </c>
      <c r="AF54" s="2">
        <v>36039</v>
      </c>
      <c r="AG54">
        <v>0</v>
      </c>
      <c r="AH54" t="e">
        <f>VLOOKUP(AF54,LoanLevelHist!B:D,2,0)</f>
        <v>#N/A</v>
      </c>
      <c r="AI54">
        <v>1.05539382514994</v>
      </c>
      <c r="AJ54">
        <f>VLOOKUP(AF54,'v1'!AB:AD,3,0)</f>
        <v>0.48977749146753602</v>
      </c>
    </row>
    <row r="55" spans="1:36" x14ac:dyDescent="0.25">
      <c r="A55" s="1" t="s">
        <v>56</v>
      </c>
      <c r="B55" s="2">
        <v>42125</v>
      </c>
      <c r="C55">
        <v>0.51417879238037101</v>
      </c>
      <c r="D55">
        <v>0.61186329741952405</v>
      </c>
      <c r="E55">
        <f>VLOOKUP(B55,'v1'!B:D,3,0)</f>
        <v>0.92029304078529195</v>
      </c>
      <c r="G55" s="1" t="s">
        <v>56</v>
      </c>
      <c r="H55" s="2">
        <v>42125</v>
      </c>
      <c r="I55">
        <v>0.48334304569323</v>
      </c>
      <c r="J55">
        <v>0.525555810829614</v>
      </c>
      <c r="K55">
        <f>VLOOKUP(H55,'v1'!H:J,3,0)</f>
        <v>0.65134723090760605</v>
      </c>
      <c r="M55" s="1" t="s">
        <v>56</v>
      </c>
      <c r="N55" s="2">
        <v>42125</v>
      </c>
      <c r="O55">
        <v>7.6871349007945303E-2</v>
      </c>
      <c r="P55">
        <v>0.16319540794832399</v>
      </c>
      <c r="Q55">
        <f>VLOOKUP(N55,'v1'!M:O,3,0)</f>
        <v>0.198623471515424</v>
      </c>
      <c r="S55" s="1" t="s">
        <v>56</v>
      </c>
      <c r="T55" s="2">
        <v>42125</v>
      </c>
      <c r="U55">
        <v>1.01760291330334</v>
      </c>
      <c r="V55">
        <v>2.2730081403698801</v>
      </c>
      <c r="W55">
        <f>VLOOKUP(T55,'v1'!R:T,3,0)</f>
        <v>2.7968009878532198</v>
      </c>
      <c r="AE55" t="s">
        <v>56</v>
      </c>
      <c r="AF55" s="2">
        <v>36069</v>
      </c>
      <c r="AG55">
        <v>0</v>
      </c>
      <c r="AH55" t="e">
        <f>VLOOKUP(AF55,LoanLevelHist!B:D,2,0)</f>
        <v>#N/A</v>
      </c>
      <c r="AI55">
        <v>1.0469577422751599</v>
      </c>
      <c r="AJ55">
        <f>VLOOKUP(AF55,'v1'!AB:AD,3,0)</f>
        <v>0.48582652012249</v>
      </c>
    </row>
    <row r="56" spans="1:36" x14ac:dyDescent="0.25">
      <c r="A56" s="1" t="s">
        <v>57</v>
      </c>
      <c r="B56" s="2">
        <v>42156</v>
      </c>
      <c r="C56">
        <v>0.47831995339336902</v>
      </c>
      <c r="D56">
        <v>0.59734139079103998</v>
      </c>
      <c r="E56">
        <f>VLOOKUP(B56,'v1'!B:D,3,0)</f>
        <v>0.89587108424849005</v>
      </c>
      <c r="G56" s="1" t="s">
        <v>57</v>
      </c>
      <c r="H56" s="2">
        <v>42156</v>
      </c>
      <c r="I56">
        <v>0.44822073042972699</v>
      </c>
      <c r="J56">
        <v>0.50835013898206105</v>
      </c>
      <c r="K56">
        <f>VLOOKUP(H56,'v1'!H:J,3,0)</f>
        <v>0.63025235567846205</v>
      </c>
      <c r="M56" s="1" t="s">
        <v>57</v>
      </c>
      <c r="N56" s="2">
        <v>42156</v>
      </c>
      <c r="O56">
        <v>2.0595158197211898E-2</v>
      </c>
      <c r="P56">
        <v>0.16186590538757001</v>
      </c>
      <c r="Q56">
        <f>VLOOKUP(N56,'v1'!M:O,3,0)</f>
        <v>0.195805115391601</v>
      </c>
      <c r="S56" s="1" t="s">
        <v>57</v>
      </c>
      <c r="T56" s="2">
        <v>42156</v>
      </c>
      <c r="U56">
        <v>1.1365317123412799</v>
      </c>
      <c r="V56">
        <v>2.3123044778783099</v>
      </c>
      <c r="W56">
        <f>VLOOKUP(T56,'v1'!R:T,3,0)</f>
        <v>2.6866428802586202</v>
      </c>
      <c r="AE56" t="s">
        <v>57</v>
      </c>
      <c r="AF56" s="2">
        <v>36100</v>
      </c>
      <c r="AG56">
        <v>0</v>
      </c>
      <c r="AH56" t="e">
        <f>VLOOKUP(AF56,LoanLevelHist!B:D,2,0)</f>
        <v>#N/A</v>
      </c>
      <c r="AI56">
        <v>1.0266387696820001</v>
      </c>
      <c r="AJ56">
        <f>VLOOKUP(AF56,'v1'!AB:AD,3,0)</f>
        <v>0.47617635440328998</v>
      </c>
    </row>
    <row r="57" spans="1:36" x14ac:dyDescent="0.25">
      <c r="A57" s="1" t="s">
        <v>58</v>
      </c>
      <c r="B57" s="2">
        <v>42186</v>
      </c>
      <c r="C57">
        <v>0.46056294540182102</v>
      </c>
      <c r="D57">
        <v>0.59017045748255303</v>
      </c>
      <c r="E57">
        <f>VLOOKUP(B57,'v1'!B:D,3,0)</f>
        <v>0.88740404340729195</v>
      </c>
      <c r="G57" s="1" t="s">
        <v>58</v>
      </c>
      <c r="H57" s="2">
        <v>42186</v>
      </c>
      <c r="I57">
        <v>0.42191429944450398</v>
      </c>
      <c r="J57">
        <v>0.49883024905245099</v>
      </c>
      <c r="K57">
        <f>VLOOKUP(H57,'v1'!H:J,3,0)</f>
        <v>0.618837310681153</v>
      </c>
      <c r="M57" s="1" t="s">
        <v>58</v>
      </c>
      <c r="N57" s="2">
        <v>42186</v>
      </c>
      <c r="O57">
        <v>8.1415182531341404E-2</v>
      </c>
      <c r="P57">
        <v>0.162020445793054</v>
      </c>
      <c r="Q57">
        <f>VLOOKUP(N57,'v1'!M:O,3,0)</f>
        <v>0.19643845434200699</v>
      </c>
      <c r="S57" s="1" t="s">
        <v>58</v>
      </c>
      <c r="T57" s="2">
        <v>42186</v>
      </c>
      <c r="U57">
        <v>1.2301638236166299</v>
      </c>
      <c r="V57">
        <v>2.3671945287838199</v>
      </c>
      <c r="W57">
        <f>VLOOKUP(T57,'v1'!R:T,3,0)</f>
        <v>2.7054653492143999</v>
      </c>
      <c r="AE57" t="s">
        <v>58</v>
      </c>
      <c r="AF57" s="2">
        <v>36130</v>
      </c>
      <c r="AG57">
        <v>0</v>
      </c>
      <c r="AH57" t="e">
        <f>VLOOKUP(AF57,LoanLevelHist!B:D,2,0)</f>
        <v>#N/A</v>
      </c>
      <c r="AI57">
        <v>0.99900361643142599</v>
      </c>
      <c r="AJ57">
        <f>VLOOKUP(AF57,'v1'!AB:AD,3,0)</f>
        <v>0.463078044090248</v>
      </c>
    </row>
    <row r="58" spans="1:36" x14ac:dyDescent="0.25">
      <c r="A58" s="1" t="s">
        <v>59</v>
      </c>
      <c r="B58" s="2">
        <v>42217</v>
      </c>
      <c r="C58">
        <v>0.47109754077180299</v>
      </c>
      <c r="D58">
        <v>0.58290083593001096</v>
      </c>
      <c r="E58">
        <f>VLOOKUP(B58,'v1'!B:D,3,0)</f>
        <v>0.87840121887595701</v>
      </c>
      <c r="G58" s="1" t="s">
        <v>59</v>
      </c>
      <c r="H58" s="2">
        <v>42217</v>
      </c>
      <c r="I58">
        <v>0.43800255169093</v>
      </c>
      <c r="J58">
        <v>0.48956770046560999</v>
      </c>
      <c r="K58">
        <f>VLOOKUP(H58,'v1'!H:J,3,0)</f>
        <v>0.60805318515320095</v>
      </c>
      <c r="M58" s="1" t="s">
        <v>59</v>
      </c>
      <c r="N58" s="2">
        <v>42217</v>
      </c>
      <c r="O58">
        <v>2.69113445388269E-2</v>
      </c>
      <c r="P58">
        <v>0.16324298328718201</v>
      </c>
      <c r="Q58">
        <f>VLOOKUP(N58,'v1'!M:O,3,0)</f>
        <v>0.19808291158289701</v>
      </c>
      <c r="S58" s="1" t="s">
        <v>59</v>
      </c>
      <c r="T58" s="2">
        <v>42217</v>
      </c>
      <c r="U58">
        <v>1.12937159314377</v>
      </c>
      <c r="V58">
        <v>2.4173577588976101</v>
      </c>
      <c r="W58">
        <f>VLOOKUP(T58,'v1'!R:T,3,0)</f>
        <v>2.7174988379767102</v>
      </c>
      <c r="AE58" t="s">
        <v>59</v>
      </c>
      <c r="AF58" s="2">
        <v>36161</v>
      </c>
      <c r="AG58">
        <v>0</v>
      </c>
      <c r="AH58" t="e">
        <f>VLOOKUP(AF58,LoanLevelHist!B:D,2,0)</f>
        <v>#N/A</v>
      </c>
      <c r="AI58">
        <v>0.97072931951170904</v>
      </c>
      <c r="AJ58">
        <f>VLOOKUP(AF58,'v1'!AB:AD,3,0)</f>
        <v>0.44997071095372898</v>
      </c>
    </row>
    <row r="59" spans="1:36" x14ac:dyDescent="0.25">
      <c r="A59" s="1" t="s">
        <v>60</v>
      </c>
      <c r="B59" s="2">
        <v>42248</v>
      </c>
      <c r="C59">
        <v>0.47010513249710101</v>
      </c>
      <c r="D59">
        <v>0.57761822328333801</v>
      </c>
      <c r="E59">
        <f>VLOOKUP(B59,'v1'!B:D,3,0)</f>
        <v>0.87176744884277502</v>
      </c>
      <c r="G59" s="1" t="s">
        <v>60</v>
      </c>
      <c r="H59" s="2">
        <v>42248</v>
      </c>
      <c r="I59">
        <v>0.43729943870187699</v>
      </c>
      <c r="J59">
        <v>0.48220698121806999</v>
      </c>
      <c r="K59">
        <f>VLOOKUP(H59,'v1'!H:J,3,0)</f>
        <v>0.59970445226709101</v>
      </c>
      <c r="M59" s="1" t="s">
        <v>60</v>
      </c>
      <c r="N59" s="2">
        <v>42248</v>
      </c>
      <c r="O59">
        <v>6.7578953037727998E-2</v>
      </c>
      <c r="P59">
        <v>0.164214696822018</v>
      </c>
      <c r="Q59">
        <f>VLOOKUP(N59,'v1'!M:O,3,0)</f>
        <v>0.19956547490747001</v>
      </c>
      <c r="S59" s="1" t="s">
        <v>60</v>
      </c>
      <c r="T59" s="2">
        <v>42248</v>
      </c>
      <c r="U59">
        <v>1.0327831652954</v>
      </c>
      <c r="V59">
        <v>2.4667354249690501</v>
      </c>
      <c r="W59">
        <f>VLOOKUP(T59,'v1'!R:T,3,0)</f>
        <v>2.7299318958567702</v>
      </c>
      <c r="AE59" t="s">
        <v>60</v>
      </c>
      <c r="AF59" s="2">
        <v>36192</v>
      </c>
      <c r="AG59">
        <v>0</v>
      </c>
      <c r="AH59" t="e">
        <f>VLOOKUP(AF59,LoanLevelHist!B:D,2,0)</f>
        <v>#N/A</v>
      </c>
      <c r="AI59">
        <v>0.94899992545857104</v>
      </c>
      <c r="AJ59">
        <f>VLOOKUP(AF59,'v1'!AB:AD,3,0)</f>
        <v>0.44033953776770901</v>
      </c>
    </row>
    <row r="60" spans="1:36" x14ac:dyDescent="0.25">
      <c r="A60" s="1" t="s">
        <v>61</v>
      </c>
      <c r="B60" s="2">
        <v>42278</v>
      </c>
      <c r="C60">
        <v>0.48421266281546399</v>
      </c>
      <c r="D60">
        <v>0.57728536083742099</v>
      </c>
      <c r="E60">
        <f>VLOOKUP(B60,'v1'!B:D,3,0)</f>
        <v>0.87521990475064604</v>
      </c>
      <c r="G60" s="1" t="s">
        <v>61</v>
      </c>
      <c r="H60" s="2">
        <v>42278</v>
      </c>
      <c r="I60">
        <v>0.44998184278133302</v>
      </c>
      <c r="J60">
        <v>0.479767248479124</v>
      </c>
      <c r="K60">
        <f>VLOOKUP(H60,'v1'!H:J,3,0)</f>
        <v>0.59778388090646595</v>
      </c>
      <c r="M60" s="1" t="s">
        <v>61</v>
      </c>
      <c r="N60" s="2">
        <v>42278</v>
      </c>
      <c r="O60">
        <v>2.3064118586812999E-2</v>
      </c>
      <c r="P60">
        <v>0.168833440895966</v>
      </c>
      <c r="Q60">
        <f>VLOOKUP(N60,'v1'!M:O,3,0)</f>
        <v>0.20599085619643601</v>
      </c>
      <c r="S60" s="1" t="s">
        <v>61</v>
      </c>
      <c r="T60" s="2">
        <v>42278</v>
      </c>
      <c r="U60">
        <v>1.25225147109823</v>
      </c>
      <c r="V60">
        <v>2.5283590544609802</v>
      </c>
      <c r="W60">
        <f>VLOOKUP(T60,'v1'!R:T,3,0)</f>
        <v>2.8171638171939102</v>
      </c>
      <c r="AE60" t="s">
        <v>61</v>
      </c>
      <c r="AF60" s="2">
        <v>36220</v>
      </c>
      <c r="AG60">
        <v>0</v>
      </c>
      <c r="AH60">
        <f>VLOOKUP(AF60,LoanLevelHist!B:D,2,0)</f>
        <v>0</v>
      </c>
      <c r="AI60">
        <v>0.932673461488842</v>
      </c>
      <c r="AJ60">
        <f>VLOOKUP(AF60,'v1'!AB:AD,3,0)</f>
        <v>0.43240462175884198</v>
      </c>
    </row>
    <row r="61" spans="1:36" x14ac:dyDescent="0.25">
      <c r="A61" s="1" t="s">
        <v>62</v>
      </c>
      <c r="B61" s="2">
        <v>42309</v>
      </c>
      <c r="C61">
        <v>0.51077296294593799</v>
      </c>
      <c r="D61">
        <v>0.57794471904982803</v>
      </c>
      <c r="E61">
        <f>VLOOKUP(B61,'v1'!B:D,3,0)</f>
        <v>0.87939747671824697</v>
      </c>
      <c r="G61" s="1" t="s">
        <v>62</v>
      </c>
      <c r="H61" s="2">
        <v>42309</v>
      </c>
      <c r="I61">
        <v>0.468423935065643</v>
      </c>
      <c r="J61">
        <v>0.47842443283664399</v>
      </c>
      <c r="K61">
        <f>VLOOKUP(H61,'v1'!H:J,3,0)</f>
        <v>0.597121980835713</v>
      </c>
      <c r="M61" s="1" t="s">
        <v>62</v>
      </c>
      <c r="N61" s="2">
        <v>42309</v>
      </c>
      <c r="O61">
        <v>7.0677389451234696E-2</v>
      </c>
      <c r="P61">
        <v>0.173710398986682</v>
      </c>
      <c r="Q61">
        <f>VLOOKUP(N61,'v1'!M:O,3,0)</f>
        <v>0.21294204367597899</v>
      </c>
      <c r="S61" s="1" t="s">
        <v>62</v>
      </c>
      <c r="T61" s="2">
        <v>42309</v>
      </c>
      <c r="U61">
        <v>1.31575253897638</v>
      </c>
      <c r="V61">
        <v>2.5856426529041299</v>
      </c>
      <c r="W61">
        <f>VLOOKUP(T61,'v1'!R:T,3,0)</f>
        <v>2.9022416600313301</v>
      </c>
      <c r="AE61" t="s">
        <v>62</v>
      </c>
      <c r="AF61" s="2">
        <v>36251</v>
      </c>
      <c r="AG61">
        <v>0</v>
      </c>
      <c r="AH61">
        <f>VLOOKUP(AF61,LoanLevelHist!B:D,2,0)</f>
        <v>1.4883822426503501E-2</v>
      </c>
      <c r="AI61">
        <v>0.92096553042654306</v>
      </c>
      <c r="AJ61">
        <f>VLOOKUP(AF61,'v1'!AB:AD,3,0)</f>
        <v>0.42603226595586702</v>
      </c>
    </row>
    <row r="62" spans="1:36" x14ac:dyDescent="0.25">
      <c r="A62" s="1" t="s">
        <v>63</v>
      </c>
      <c r="B62" s="2">
        <v>42339</v>
      </c>
      <c r="C62">
        <v>0.51036826719876904</v>
      </c>
      <c r="D62">
        <v>0.58072092064777003</v>
      </c>
      <c r="E62">
        <f>VLOOKUP(B62,'v1'!B:D,3,0)</f>
        <v>0.88541387738282396</v>
      </c>
      <c r="G62" s="1" t="s">
        <v>63</v>
      </c>
      <c r="H62" s="2">
        <v>42339</v>
      </c>
      <c r="I62">
        <v>0.47337548501534799</v>
      </c>
      <c r="J62">
        <v>0.47922180762259797</v>
      </c>
      <c r="K62">
        <f>VLOOKUP(H62,'v1'!H:J,3,0)</f>
        <v>0.59904043385167205</v>
      </c>
      <c r="M62" s="1" t="s">
        <v>63</v>
      </c>
      <c r="N62" s="2">
        <v>42339</v>
      </c>
      <c r="O62">
        <v>1.9871955952954799E-2</v>
      </c>
      <c r="P62">
        <v>0.180356743334709</v>
      </c>
      <c r="Q62">
        <f>VLOOKUP(N62,'v1'!M:O,3,0)</f>
        <v>0.221736454073407</v>
      </c>
      <c r="S62" s="1" t="s">
        <v>63</v>
      </c>
      <c r="T62" s="2">
        <v>42339</v>
      </c>
      <c r="U62">
        <v>1.39335263816878</v>
      </c>
      <c r="V62">
        <v>2.6399758614981299</v>
      </c>
      <c r="W62">
        <f>VLOOKUP(T62,'v1'!R:T,3,0)</f>
        <v>2.9818197765464598</v>
      </c>
      <c r="AE62" t="s">
        <v>63</v>
      </c>
      <c r="AF62" s="2">
        <v>36281</v>
      </c>
      <c r="AG62">
        <v>0</v>
      </c>
      <c r="AH62">
        <f>VLOOKUP(AF62,LoanLevelHist!B:D,2,0)</f>
        <v>1.6324421766111801E-2</v>
      </c>
      <c r="AI62">
        <v>0.90704237814700495</v>
      </c>
      <c r="AJ62">
        <f>VLOOKUP(AF62,'v1'!AB:AD,3,0)</f>
        <v>0.418462729882141</v>
      </c>
    </row>
    <row r="63" spans="1:36" x14ac:dyDescent="0.25">
      <c r="A63" s="1" t="s">
        <v>64</v>
      </c>
      <c r="B63" s="2">
        <v>42370</v>
      </c>
      <c r="C63">
        <v>0.484258752547928</v>
      </c>
      <c r="D63">
        <v>0.58308342755650799</v>
      </c>
      <c r="E63">
        <f>VLOOKUP(B63,'v1'!B:D,3,0)</f>
        <v>0.89114245926922298</v>
      </c>
      <c r="G63" s="1" t="s">
        <v>64</v>
      </c>
      <c r="H63" s="2">
        <v>42370</v>
      </c>
      <c r="I63">
        <v>0.44586697615924797</v>
      </c>
      <c r="J63">
        <v>0.47963626316734898</v>
      </c>
      <c r="K63">
        <f>VLOOKUP(H63,'v1'!H:J,3,0)</f>
        <v>0.60016022759161702</v>
      </c>
      <c r="M63" s="1" t="s">
        <v>64</v>
      </c>
      <c r="N63" s="2">
        <v>42370</v>
      </c>
      <c r="O63">
        <v>4.3471699436070703E-2</v>
      </c>
      <c r="P63">
        <v>0.186928535129738</v>
      </c>
      <c r="Q63">
        <f>VLOOKUP(N63,'v1'!M:O,3,0)</f>
        <v>0.22998010775068201</v>
      </c>
      <c r="S63" s="1" t="s">
        <v>64</v>
      </c>
      <c r="T63" s="2">
        <v>42370</v>
      </c>
      <c r="U63">
        <v>1.2641865579126701</v>
      </c>
      <c r="V63">
        <v>2.69429269231436</v>
      </c>
      <c r="W63">
        <f>VLOOKUP(T63,'v1'!R:T,3,0)</f>
        <v>3.0606308451050901</v>
      </c>
      <c r="AE63" t="s">
        <v>64</v>
      </c>
      <c r="AF63" s="2">
        <v>36312</v>
      </c>
      <c r="AG63">
        <v>0</v>
      </c>
      <c r="AH63">
        <f>VLOOKUP(AF63,LoanLevelHist!B:D,2,0)</f>
        <v>2.52768241822077E-2</v>
      </c>
      <c r="AI63">
        <v>0.89905737246945805</v>
      </c>
      <c r="AJ63">
        <f>VLOOKUP(AF63,'v1'!AB:AD,3,0)</f>
        <v>0.41395946886693102</v>
      </c>
    </row>
    <row r="64" spans="1:36" x14ac:dyDescent="0.25">
      <c r="A64" s="1" t="s">
        <v>65</v>
      </c>
      <c r="B64" s="2">
        <v>42401</v>
      </c>
      <c r="C64">
        <v>0.48709674261546698</v>
      </c>
      <c r="D64">
        <v>0.58557453951472205</v>
      </c>
      <c r="E64">
        <f>VLOOKUP(B64,'v1'!B:D,3,0)</f>
        <v>0.89593135037958604</v>
      </c>
      <c r="G64" s="1" t="s">
        <v>65</v>
      </c>
      <c r="H64" s="2">
        <v>42401</v>
      </c>
      <c r="I64">
        <v>0.45481421246306197</v>
      </c>
      <c r="J64">
        <v>0.48028969715745401</v>
      </c>
      <c r="K64">
        <f>VLOOKUP(H64,'v1'!H:J,3,0)</f>
        <v>0.60158012704293296</v>
      </c>
      <c r="M64" s="1" t="s">
        <v>65</v>
      </c>
      <c r="N64" s="2">
        <v>42401</v>
      </c>
      <c r="O64">
        <v>0.115304968227825</v>
      </c>
      <c r="P64">
        <v>0.193095557119805</v>
      </c>
      <c r="Q64">
        <f>VLOOKUP(N64,'v1'!M:O,3,0)</f>
        <v>0.237935813759305</v>
      </c>
      <c r="S64" s="1" t="s">
        <v>65</v>
      </c>
      <c r="T64" s="2">
        <v>42401</v>
      </c>
      <c r="U64">
        <v>1.1764374042884</v>
      </c>
      <c r="V64">
        <v>2.7500129089449699</v>
      </c>
      <c r="W64">
        <f>VLOOKUP(T64,'v1'!R:T,3,0)</f>
        <v>3.1382257296649798</v>
      </c>
      <c r="AE64" t="s">
        <v>65</v>
      </c>
      <c r="AF64" s="2">
        <v>36342</v>
      </c>
      <c r="AG64">
        <v>0</v>
      </c>
      <c r="AH64">
        <f>VLOOKUP(AF64,LoanLevelHist!B:D,2,0)</f>
        <v>2.9062141687030699E-2</v>
      </c>
      <c r="AI64">
        <v>0.89813849110741395</v>
      </c>
      <c r="AJ64">
        <f>VLOOKUP(AF64,'v1'!AB:AD,3,0)</f>
        <v>0.41225807936689002</v>
      </c>
    </row>
    <row r="65" spans="31:36" customFormat="1" x14ac:dyDescent="0.25">
      <c r="AE65" t="s">
        <v>74</v>
      </c>
      <c r="AF65" s="2">
        <v>36373</v>
      </c>
      <c r="AG65">
        <v>0</v>
      </c>
      <c r="AH65">
        <f>VLOOKUP(AF65,LoanLevelHist!B:D,2,0)</f>
        <v>6.0712974114207598E-2</v>
      </c>
      <c r="AI65">
        <v>0.90132690014910199</v>
      </c>
      <c r="AJ65">
        <f>VLOOKUP(AF65,'v1'!AB:AD,3,0)</f>
        <v>0.41238628038540198</v>
      </c>
    </row>
    <row r="66" spans="31:36" customFormat="1" x14ac:dyDescent="0.25">
      <c r="AE66" t="s">
        <v>75</v>
      </c>
      <c r="AF66" s="2">
        <v>36404</v>
      </c>
      <c r="AG66">
        <v>0</v>
      </c>
      <c r="AH66">
        <f>VLOOKUP(AF66,LoanLevelHist!B:D,2,0)</f>
        <v>6.5832420370437503E-2</v>
      </c>
      <c r="AI66">
        <v>0.90956134858238802</v>
      </c>
      <c r="AJ66">
        <f>VLOOKUP(AF66,'v1'!AB:AD,3,0)</f>
        <v>0.41493056779798898</v>
      </c>
    </row>
    <row r="67" spans="31:36" customFormat="1" x14ac:dyDescent="0.25">
      <c r="AE67" t="s">
        <v>76</v>
      </c>
      <c r="AF67" s="2">
        <v>36434</v>
      </c>
      <c r="AG67">
        <v>0</v>
      </c>
      <c r="AH67">
        <f>VLOOKUP(AF67,LoanLevelHist!B:D,2,0)</f>
        <v>8.2015384939559996E-2</v>
      </c>
      <c r="AI67">
        <v>0.92006624978347995</v>
      </c>
      <c r="AJ67">
        <f>VLOOKUP(AF67,'v1'!AB:AD,3,0)</f>
        <v>0.419386240255881</v>
      </c>
    </row>
    <row r="68" spans="31:36" customFormat="1" x14ac:dyDescent="0.25">
      <c r="AE68" t="s">
        <v>77</v>
      </c>
      <c r="AF68" s="2">
        <v>36465</v>
      </c>
      <c r="AG68">
        <v>0</v>
      </c>
      <c r="AH68">
        <f>VLOOKUP(AF68,LoanLevelHist!B:D,2,0)</f>
        <v>8.2767818432838397E-2</v>
      </c>
      <c r="AI68">
        <v>0.93696602128694495</v>
      </c>
      <c r="AJ68">
        <f>VLOOKUP(AF68,'v1'!AB:AD,3,0)</f>
        <v>0.42626880324512201</v>
      </c>
    </row>
    <row r="69" spans="31:36" customFormat="1" x14ac:dyDescent="0.25">
      <c r="AE69" t="s">
        <v>78</v>
      </c>
      <c r="AF69" s="2">
        <v>36495</v>
      </c>
      <c r="AG69">
        <v>0</v>
      </c>
      <c r="AH69">
        <f>VLOOKUP(AF69,LoanLevelHist!B:D,2,0)</f>
        <v>0.131703751046641</v>
      </c>
      <c r="AI69">
        <v>0.95482609195835</v>
      </c>
      <c r="AJ69">
        <f>VLOOKUP(AF69,'v1'!AB:AD,3,0)</f>
        <v>0.43411579846484</v>
      </c>
    </row>
    <row r="70" spans="31:36" customFormat="1" x14ac:dyDescent="0.25">
      <c r="AE70" t="s">
        <v>79</v>
      </c>
      <c r="AF70" s="2">
        <v>36526</v>
      </c>
      <c r="AG70">
        <v>0</v>
      </c>
      <c r="AH70">
        <f>VLOOKUP(AF70,LoanLevelHist!B:D,2,0)</f>
        <v>0.14161340833904701</v>
      </c>
      <c r="AI70">
        <v>0.97539712482009899</v>
      </c>
      <c r="AJ70">
        <f>VLOOKUP(AF70,'v1'!AB:AD,3,0)</f>
        <v>0.44070556916655501</v>
      </c>
    </row>
    <row r="71" spans="31:36" customFormat="1" x14ac:dyDescent="0.25">
      <c r="AE71" t="s">
        <v>80</v>
      </c>
      <c r="AF71" s="2">
        <v>36557</v>
      </c>
      <c r="AG71">
        <v>0</v>
      </c>
      <c r="AH71">
        <f>VLOOKUP(AF71,LoanLevelHist!B:D,2,0)</f>
        <v>0.21005512712825</v>
      </c>
      <c r="AI71">
        <v>0.98827893414611401</v>
      </c>
      <c r="AJ71">
        <f>VLOOKUP(AF71,'v1'!AB:AD,3,0)</f>
        <v>0.44388874242526899</v>
      </c>
    </row>
    <row r="72" spans="31:36" customFormat="1" x14ac:dyDescent="0.25">
      <c r="AE72" t="s">
        <v>81</v>
      </c>
      <c r="AF72" s="2">
        <v>36586</v>
      </c>
      <c r="AG72">
        <v>0</v>
      </c>
      <c r="AH72">
        <f>VLOOKUP(AF72,LoanLevelHist!B:D,2,0)</f>
        <v>0.22085049875316701</v>
      </c>
      <c r="AI72">
        <v>1.01106153284564</v>
      </c>
      <c r="AJ72">
        <f>VLOOKUP(AF72,'v1'!AB:AD,3,0)</f>
        <v>0.45139982062809603</v>
      </c>
    </row>
    <row r="73" spans="31:36" customFormat="1" x14ac:dyDescent="0.25">
      <c r="AE73" t="s">
        <v>82</v>
      </c>
      <c r="AF73" s="2">
        <v>36617</v>
      </c>
      <c r="AG73">
        <v>0</v>
      </c>
      <c r="AH73">
        <f>VLOOKUP(AF73,LoanLevelHist!B:D,2,0)</f>
        <v>0.21403560823517501</v>
      </c>
      <c r="AI73">
        <v>1.03199122464757</v>
      </c>
      <c r="AJ73">
        <f>VLOOKUP(AF73,'v1'!AB:AD,3,0)</f>
        <v>0.45914740057653203</v>
      </c>
    </row>
    <row r="74" spans="31:36" customFormat="1" x14ac:dyDescent="0.25">
      <c r="AE74" t="s">
        <v>83</v>
      </c>
      <c r="AF74" s="2">
        <v>36647</v>
      </c>
      <c r="AG74">
        <v>0</v>
      </c>
      <c r="AH74">
        <f>VLOOKUP(AF74,LoanLevelHist!B:D,2,0)</f>
        <v>0.196257044539316</v>
      </c>
      <c r="AI74">
        <v>1.0517648849260799</v>
      </c>
      <c r="AJ74">
        <f>VLOOKUP(AF74,'v1'!AB:AD,3,0)</f>
        <v>0.46609716609875601</v>
      </c>
    </row>
    <row r="75" spans="31:36" customFormat="1" x14ac:dyDescent="0.25">
      <c r="AE75" t="s">
        <v>84</v>
      </c>
      <c r="AF75" s="2">
        <v>36678</v>
      </c>
      <c r="AG75">
        <v>0</v>
      </c>
      <c r="AH75">
        <f>VLOOKUP(AF75,LoanLevelHist!B:D,2,0)</f>
        <v>0.19105318887421299</v>
      </c>
      <c r="AI75">
        <v>1.06514934979888</v>
      </c>
      <c r="AJ75">
        <f>VLOOKUP(AF75,'v1'!AB:AD,3,0)</f>
        <v>0.47089257982433402</v>
      </c>
    </row>
    <row r="76" spans="31:36" customFormat="1" x14ac:dyDescent="0.25">
      <c r="AE76" t="s">
        <v>85</v>
      </c>
      <c r="AF76" s="2">
        <v>36708</v>
      </c>
      <c r="AG76">
        <v>0</v>
      </c>
      <c r="AH76">
        <f>VLOOKUP(AF76,LoanLevelHist!B:D,2,0)</f>
        <v>0.223554357063527</v>
      </c>
      <c r="AI76">
        <v>1.0782839970282601</v>
      </c>
      <c r="AJ76">
        <f>VLOOKUP(AF76,'v1'!AB:AD,3,0)</f>
        <v>0.47510527494556398</v>
      </c>
    </row>
    <row r="77" spans="31:36" customFormat="1" x14ac:dyDescent="0.25">
      <c r="AE77" t="s">
        <v>86</v>
      </c>
      <c r="AF77" s="2">
        <v>36739</v>
      </c>
      <c r="AG77">
        <v>0</v>
      </c>
      <c r="AH77">
        <f>VLOOKUP(AF77,LoanLevelHist!B:D,2,0)</f>
        <v>0.240473212617831</v>
      </c>
      <c r="AI77">
        <v>1.09203281876906</v>
      </c>
      <c r="AJ77">
        <f>VLOOKUP(AF77,'v1'!AB:AD,3,0)</f>
        <v>0.47990128768490298</v>
      </c>
    </row>
    <row r="78" spans="31:36" customFormat="1" x14ac:dyDescent="0.25">
      <c r="AE78" t="s">
        <v>87</v>
      </c>
      <c r="AF78" s="2">
        <v>36770</v>
      </c>
      <c r="AG78">
        <v>0</v>
      </c>
      <c r="AH78">
        <f>VLOOKUP(AF78,LoanLevelHist!B:D,2,0)</f>
        <v>0.25638413509546698</v>
      </c>
      <c r="AI78">
        <v>1.09732274113298</v>
      </c>
      <c r="AJ78">
        <f>VLOOKUP(AF78,'v1'!AB:AD,3,0)</f>
        <v>0.481298529789842</v>
      </c>
    </row>
    <row r="79" spans="31:36" customFormat="1" x14ac:dyDescent="0.25">
      <c r="AE79" t="s">
        <v>88</v>
      </c>
      <c r="AF79" s="2">
        <v>36800</v>
      </c>
      <c r="AG79">
        <v>0</v>
      </c>
      <c r="AH79">
        <f>VLOOKUP(AF79,LoanLevelHist!B:D,2,0)</f>
        <v>0.33558846805797898</v>
      </c>
      <c r="AI79">
        <v>1.10673449832058</v>
      </c>
      <c r="AJ79">
        <f>VLOOKUP(AF79,'v1'!AB:AD,3,0)</f>
        <v>0.485088807049738</v>
      </c>
    </row>
    <row r="80" spans="31:36" customFormat="1" x14ac:dyDescent="0.25">
      <c r="AE80" t="s">
        <v>89</v>
      </c>
      <c r="AF80" s="2">
        <v>36831</v>
      </c>
      <c r="AG80">
        <v>0</v>
      </c>
      <c r="AH80">
        <f>VLOOKUP(AF80,LoanLevelHist!B:D,2,0)</f>
        <v>0.33165779649085803</v>
      </c>
      <c r="AI80">
        <v>1.1140277245752299</v>
      </c>
      <c r="AJ80">
        <f>VLOOKUP(AF80,'v1'!AB:AD,3,0)</f>
        <v>0.48777058279457802</v>
      </c>
    </row>
    <row r="81" spans="31:36" customFormat="1" x14ac:dyDescent="0.25">
      <c r="AE81" t="s">
        <v>90</v>
      </c>
      <c r="AF81" s="2">
        <v>36861</v>
      </c>
      <c r="AG81">
        <v>0</v>
      </c>
      <c r="AH81">
        <f>VLOOKUP(AF81,LoanLevelHist!B:D,2,0)</f>
        <v>0.35637697282649999</v>
      </c>
      <c r="AI81">
        <v>1.1261758422630299</v>
      </c>
      <c r="AJ81">
        <f>VLOOKUP(AF81,'v1'!AB:AD,3,0)</f>
        <v>0.49326461412503297</v>
      </c>
    </row>
    <row r="82" spans="31:36" customFormat="1" x14ac:dyDescent="0.25">
      <c r="AE82" t="s">
        <v>91</v>
      </c>
      <c r="AF82" s="2">
        <v>36892</v>
      </c>
      <c r="AG82">
        <v>0</v>
      </c>
      <c r="AH82">
        <f>VLOOKUP(AF82,LoanLevelHist!B:D,2,0)</f>
        <v>0.41243916371161998</v>
      </c>
      <c r="AI82">
        <v>1.1324422547510999</v>
      </c>
      <c r="AJ82">
        <f>VLOOKUP(AF82,'v1'!AB:AD,3,0)</f>
        <v>0.49324813674193102</v>
      </c>
    </row>
    <row r="83" spans="31:36" customFormat="1" x14ac:dyDescent="0.25">
      <c r="AE83" t="s">
        <v>92</v>
      </c>
      <c r="AF83" s="2">
        <v>36923</v>
      </c>
      <c r="AG83">
        <v>0</v>
      </c>
      <c r="AH83">
        <f>VLOOKUP(AF83,LoanLevelHist!B:D,2,0)</f>
        <v>0.44703116335084198</v>
      </c>
      <c r="AI83">
        <v>1.1397444375949</v>
      </c>
      <c r="AJ83">
        <f>VLOOKUP(AF83,'v1'!AB:AD,3,0)</f>
        <v>0.49330963242067999</v>
      </c>
    </row>
    <row r="84" spans="31:36" customFormat="1" x14ac:dyDescent="0.25">
      <c r="AE84" t="s">
        <v>93</v>
      </c>
      <c r="AF84" s="2">
        <v>36951</v>
      </c>
      <c r="AG84">
        <v>0</v>
      </c>
      <c r="AH84">
        <f>VLOOKUP(AF84,LoanLevelHist!B:D,2,0)</f>
        <v>0.46140013989154299</v>
      </c>
      <c r="AI84">
        <v>1.15255633019378</v>
      </c>
      <c r="AJ84">
        <f>VLOOKUP(AF84,'v1'!AB:AD,3,0)</f>
        <v>0.49520102698203899</v>
      </c>
    </row>
    <row r="85" spans="31:36" customFormat="1" x14ac:dyDescent="0.25">
      <c r="AE85" t="s">
        <v>94</v>
      </c>
      <c r="AF85" s="2">
        <v>36982</v>
      </c>
      <c r="AG85">
        <v>0</v>
      </c>
      <c r="AH85">
        <f>VLOOKUP(AF85,LoanLevelHist!B:D,2,0)</f>
        <v>0.45482191373494901</v>
      </c>
      <c r="AI85">
        <v>1.1586691373159499</v>
      </c>
      <c r="AJ85">
        <f>VLOOKUP(AF85,'v1'!AB:AD,3,0)</f>
        <v>0.496139717723865</v>
      </c>
    </row>
    <row r="86" spans="31:36" customFormat="1" x14ac:dyDescent="0.25">
      <c r="AE86" t="s">
        <v>95</v>
      </c>
      <c r="AF86" s="2">
        <v>37012</v>
      </c>
      <c r="AG86">
        <v>0</v>
      </c>
      <c r="AH86">
        <f>VLOOKUP(AF86,LoanLevelHist!B:D,2,0)</f>
        <v>0.39467841715098401</v>
      </c>
      <c r="AI86">
        <v>1.1515253711005899</v>
      </c>
      <c r="AJ86">
        <f>VLOOKUP(AF86,'v1'!AB:AD,3,0)</f>
        <v>0.491373349798507</v>
      </c>
    </row>
    <row r="87" spans="31:36" customFormat="1" x14ac:dyDescent="0.25">
      <c r="AE87" t="s">
        <v>96</v>
      </c>
      <c r="AF87" s="2">
        <v>37043</v>
      </c>
      <c r="AG87">
        <v>0</v>
      </c>
      <c r="AH87">
        <f>VLOOKUP(AF87,LoanLevelHist!B:D,2,0)</f>
        <v>0.38277448589761898</v>
      </c>
      <c r="AI87">
        <v>1.1379162392214599</v>
      </c>
      <c r="AJ87">
        <f>VLOOKUP(AF87,'v1'!AB:AD,3,0)</f>
        <v>0.48456989797855998</v>
      </c>
    </row>
    <row r="88" spans="31:36" customFormat="1" x14ac:dyDescent="0.25">
      <c r="AE88" t="s">
        <v>97</v>
      </c>
      <c r="AF88" s="2">
        <v>37073</v>
      </c>
      <c r="AG88">
        <v>0</v>
      </c>
      <c r="AH88">
        <f>VLOOKUP(AF88,LoanLevelHist!B:D,2,0)</f>
        <v>0.40140835327503499</v>
      </c>
      <c r="AI88">
        <v>1.11560960928592</v>
      </c>
      <c r="AJ88">
        <f>VLOOKUP(AF88,'v1'!AB:AD,3,0)</f>
        <v>0.47411636819959502</v>
      </c>
    </row>
    <row r="89" spans="31:36" customFormat="1" x14ac:dyDescent="0.25">
      <c r="AE89" t="s">
        <v>98</v>
      </c>
      <c r="AF89" s="2">
        <v>37104</v>
      </c>
      <c r="AG89">
        <v>0</v>
      </c>
      <c r="AH89">
        <f>VLOOKUP(AF89,LoanLevelHist!B:D,2,0)</f>
        <v>0.41609590375928401</v>
      </c>
      <c r="AI89">
        <v>1.0947972430566799</v>
      </c>
      <c r="AJ89">
        <f>VLOOKUP(AF89,'v1'!AB:AD,3,0)</f>
        <v>0.46498996587237601</v>
      </c>
    </row>
    <row r="90" spans="31:36" customFormat="1" x14ac:dyDescent="0.25">
      <c r="AE90" t="s">
        <v>99</v>
      </c>
      <c r="AF90" s="2">
        <v>37135</v>
      </c>
      <c r="AG90">
        <v>0</v>
      </c>
      <c r="AH90">
        <f>VLOOKUP(AF90,LoanLevelHist!B:D,2,0)</f>
        <v>0.423983491062907</v>
      </c>
      <c r="AI90">
        <v>1.08425969116865</v>
      </c>
      <c r="AJ90">
        <f>VLOOKUP(AF90,'v1'!AB:AD,3,0)</f>
        <v>0.45896231240152302</v>
      </c>
    </row>
    <row r="91" spans="31:36" customFormat="1" x14ac:dyDescent="0.25">
      <c r="AE91" t="s">
        <v>100</v>
      </c>
      <c r="AF91" s="2">
        <v>37165</v>
      </c>
      <c r="AG91">
        <v>0</v>
      </c>
      <c r="AH91">
        <f>VLOOKUP(AF91,LoanLevelHist!B:D,2,0)</f>
        <v>0.46452020827249002</v>
      </c>
      <c r="AI91">
        <v>1.0726672515861</v>
      </c>
      <c r="AJ91">
        <f>VLOOKUP(AF91,'v1'!AB:AD,3,0)</f>
        <v>0.45365219868301898</v>
      </c>
    </row>
    <row r="92" spans="31:36" customFormat="1" x14ac:dyDescent="0.25">
      <c r="AE92" t="s">
        <v>101</v>
      </c>
      <c r="AF92" s="2">
        <v>37196</v>
      </c>
      <c r="AG92">
        <v>0</v>
      </c>
      <c r="AH92">
        <f>VLOOKUP(AF92,LoanLevelHist!B:D,2,0)</f>
        <v>0.502319892103953</v>
      </c>
      <c r="AI92">
        <v>1.06892034387287</v>
      </c>
      <c r="AJ92">
        <f>VLOOKUP(AF92,'v1'!AB:AD,3,0)</f>
        <v>0.45095206065305399</v>
      </c>
    </row>
    <row r="93" spans="31:36" customFormat="1" x14ac:dyDescent="0.25">
      <c r="AE93" t="s">
        <v>102</v>
      </c>
      <c r="AF93" s="2">
        <v>37226</v>
      </c>
      <c r="AG93">
        <v>0</v>
      </c>
      <c r="AH93">
        <f>VLOOKUP(AF93,LoanLevelHist!B:D,2,0)</f>
        <v>0.55101987537786701</v>
      </c>
      <c r="AI93">
        <v>1.05662882196444</v>
      </c>
      <c r="AJ93">
        <f>VLOOKUP(AF93,'v1'!AB:AD,3,0)</f>
        <v>0.44482842824722402</v>
      </c>
    </row>
    <row r="94" spans="31:36" customFormat="1" x14ac:dyDescent="0.25">
      <c r="AE94" t="s">
        <v>103</v>
      </c>
      <c r="AF94" s="2">
        <v>37257</v>
      </c>
      <c r="AG94">
        <v>0</v>
      </c>
      <c r="AH94">
        <f>VLOOKUP(AF94,LoanLevelHist!B:D,2,0)</f>
        <v>0.58337615833662404</v>
      </c>
      <c r="AI94">
        <v>1.0357193298132401</v>
      </c>
      <c r="AJ94">
        <f>VLOOKUP(AF94,'v1'!AB:AD,3,0)</f>
        <v>0.43431382178955602</v>
      </c>
    </row>
    <row r="95" spans="31:36" customFormat="1" x14ac:dyDescent="0.25">
      <c r="AE95" t="s">
        <v>104</v>
      </c>
      <c r="AF95" s="2">
        <v>37288</v>
      </c>
      <c r="AG95">
        <v>0</v>
      </c>
      <c r="AH95">
        <f>VLOOKUP(AF95,LoanLevelHist!B:D,2,0)</f>
        <v>0.67352034791856596</v>
      </c>
      <c r="AI95">
        <v>1.0140534314230001</v>
      </c>
      <c r="AJ95">
        <f>VLOOKUP(AF95,'v1'!AB:AD,3,0)</f>
        <v>0.42369177777244998</v>
      </c>
    </row>
    <row r="96" spans="31:36" customFormat="1" x14ac:dyDescent="0.25">
      <c r="AE96" t="s">
        <v>105</v>
      </c>
      <c r="AF96" s="2">
        <v>37316</v>
      </c>
      <c r="AG96">
        <v>0</v>
      </c>
      <c r="AH96">
        <f>VLOOKUP(AF96,LoanLevelHist!B:D,2,0)</f>
        <v>0.62915694669181099</v>
      </c>
      <c r="AI96">
        <v>0.99791226530840904</v>
      </c>
      <c r="AJ96">
        <f>VLOOKUP(AF96,'v1'!AB:AD,3,0)</f>
        <v>0.41518708483631001</v>
      </c>
    </row>
    <row r="97" spans="31:36" customFormat="1" x14ac:dyDescent="0.25">
      <c r="AE97" t="s">
        <v>106</v>
      </c>
      <c r="AF97" s="2">
        <v>37347</v>
      </c>
      <c r="AG97">
        <v>0</v>
      </c>
      <c r="AH97">
        <f>VLOOKUP(AF97,LoanLevelHist!B:D,2,0)</f>
        <v>0.52061885361077698</v>
      </c>
      <c r="AI97">
        <v>0.99131432483245996</v>
      </c>
      <c r="AJ97">
        <f>VLOOKUP(AF97,'v1'!AB:AD,3,0)</f>
        <v>0.41021520032666903</v>
      </c>
    </row>
    <row r="98" spans="31:36" customFormat="1" x14ac:dyDescent="0.25">
      <c r="AE98" t="s">
        <v>107</v>
      </c>
      <c r="AF98" s="2">
        <v>37377</v>
      </c>
      <c r="AG98">
        <v>0</v>
      </c>
      <c r="AH98">
        <f>VLOOKUP(AF98,LoanLevelHist!B:D,2,0)</f>
        <v>0.47807590542092698</v>
      </c>
      <c r="AI98">
        <v>0.98098579314847001</v>
      </c>
      <c r="AJ98">
        <f>VLOOKUP(AF98,'v1'!AB:AD,3,0)</f>
        <v>0.40323347340377502</v>
      </c>
    </row>
    <row r="99" spans="31:36" customFormat="1" x14ac:dyDescent="0.25">
      <c r="AE99" t="s">
        <v>108</v>
      </c>
      <c r="AF99" s="2">
        <v>37408</v>
      </c>
      <c r="AG99">
        <v>0</v>
      </c>
      <c r="AH99">
        <f>VLOOKUP(AF99,LoanLevelHist!B:D,2,0)</f>
        <v>0.46006889856737798</v>
      </c>
      <c r="AI99">
        <v>0.98242132366073198</v>
      </c>
      <c r="AJ99">
        <f>VLOOKUP(AF99,'v1'!AB:AD,3,0)</f>
        <v>0.40134575892255597</v>
      </c>
    </row>
    <row r="100" spans="31:36" customFormat="1" x14ac:dyDescent="0.25">
      <c r="AE100" t="s">
        <v>109</v>
      </c>
      <c r="AF100" s="2">
        <v>37438</v>
      </c>
      <c r="AG100">
        <v>0</v>
      </c>
      <c r="AH100">
        <f>VLOOKUP(AF100,LoanLevelHist!B:D,2,0)</f>
        <v>0.46236499517159402</v>
      </c>
      <c r="AI100">
        <v>0.98263709129391397</v>
      </c>
      <c r="AJ100">
        <f>VLOOKUP(AF100,'v1'!AB:AD,3,0)</f>
        <v>0.39851708261614499</v>
      </c>
    </row>
    <row r="101" spans="31:36" customFormat="1" x14ac:dyDescent="0.25">
      <c r="AE101" s="1" t="s">
        <v>110</v>
      </c>
      <c r="AF101" s="2">
        <v>37469</v>
      </c>
      <c r="AG101">
        <v>0</v>
      </c>
      <c r="AH101">
        <f>VLOOKUP(AF101,LoanLevelHist!B:D,2,0)</f>
        <v>0.49755405549173298</v>
      </c>
      <c r="AI101">
        <v>0.98316005297435205</v>
      </c>
      <c r="AJ101">
        <f>VLOOKUP(AF101,'v1'!AB:AD,3,0)</f>
        <v>0.395547124797901</v>
      </c>
    </row>
    <row r="102" spans="31:36" customFormat="1" x14ac:dyDescent="0.25">
      <c r="AE102" s="1" t="s">
        <v>111</v>
      </c>
      <c r="AF102" s="2">
        <v>37500</v>
      </c>
      <c r="AG102">
        <v>0</v>
      </c>
      <c r="AH102">
        <f>VLOOKUP(AF102,LoanLevelHist!B:D,2,0)</f>
        <v>0.51927117631298503</v>
      </c>
      <c r="AI102">
        <v>0.97968723036941896</v>
      </c>
      <c r="AJ102">
        <f>VLOOKUP(AF102,'v1'!AB:AD,3,0)</f>
        <v>0.39067847445651799</v>
      </c>
    </row>
    <row r="103" spans="31:36" customFormat="1" x14ac:dyDescent="0.25">
      <c r="AE103" s="1" t="s">
        <v>112</v>
      </c>
      <c r="AF103" s="2">
        <v>37530</v>
      </c>
      <c r="AG103">
        <v>0</v>
      </c>
      <c r="AH103">
        <f>VLOOKUP(AF103,LoanLevelHist!B:D,2,0)</f>
        <v>0.59695954125765804</v>
      </c>
      <c r="AI103">
        <v>0.96879853123218496</v>
      </c>
      <c r="AJ103">
        <f>VLOOKUP(AF103,'v1'!AB:AD,3,0)</f>
        <v>0.38441214505756699</v>
      </c>
    </row>
    <row r="104" spans="31:36" customFormat="1" x14ac:dyDescent="0.25">
      <c r="AE104" s="1" t="s">
        <v>113</v>
      </c>
      <c r="AF104" s="2">
        <v>37561</v>
      </c>
      <c r="AG104">
        <v>0</v>
      </c>
      <c r="AH104">
        <f>VLOOKUP(AF104,LoanLevelHist!B:D,2,0)</f>
        <v>0.61466957631460795</v>
      </c>
      <c r="AI104">
        <v>0.94812684208503994</v>
      </c>
      <c r="AJ104">
        <f>VLOOKUP(AF104,'v1'!AB:AD,3,0)</f>
        <v>0.37410499890808702</v>
      </c>
    </row>
    <row r="105" spans="31:36" customFormat="1" x14ac:dyDescent="0.25">
      <c r="AE105" s="1" t="s">
        <v>114</v>
      </c>
      <c r="AF105" s="2">
        <v>37591</v>
      </c>
      <c r="AG105">
        <v>0</v>
      </c>
      <c r="AH105">
        <f>VLOOKUP(AF105,LoanLevelHist!B:D,2,0)</f>
        <v>0.68312660268507996</v>
      </c>
      <c r="AI105">
        <v>0.92401780708317705</v>
      </c>
      <c r="AJ105">
        <f>VLOOKUP(AF105,'v1'!AB:AD,3,0)</f>
        <v>0.36317833714326597</v>
      </c>
    </row>
    <row r="106" spans="31:36" customFormat="1" x14ac:dyDescent="0.25">
      <c r="AE106" s="1" t="s">
        <v>115</v>
      </c>
      <c r="AF106" s="2">
        <v>37622</v>
      </c>
      <c r="AG106">
        <v>0</v>
      </c>
      <c r="AH106">
        <f>VLOOKUP(AF106,LoanLevelHist!B:D,2,0)</f>
        <v>0.69368965878284805</v>
      </c>
      <c r="AI106">
        <v>0.89441569652778397</v>
      </c>
      <c r="AJ106">
        <f>VLOOKUP(AF106,'v1'!AB:AD,3,0)</f>
        <v>0.35041999236165</v>
      </c>
    </row>
    <row r="107" spans="31:36" customFormat="1" x14ac:dyDescent="0.25">
      <c r="AE107" s="1" t="s">
        <v>116</v>
      </c>
      <c r="AF107" s="2">
        <v>37653</v>
      </c>
      <c r="AG107">
        <v>0</v>
      </c>
      <c r="AH107">
        <f>VLOOKUP(AF107,LoanLevelHist!B:D,2,0)</f>
        <v>0.78118513569595005</v>
      </c>
      <c r="AI107">
        <v>0.88330408515251402</v>
      </c>
      <c r="AJ107">
        <f>VLOOKUP(AF107,'v1'!AB:AD,3,0)</f>
        <v>0.34528520515035899</v>
      </c>
    </row>
    <row r="108" spans="31:36" customFormat="1" x14ac:dyDescent="0.25">
      <c r="AE108" s="1" t="s">
        <v>117</v>
      </c>
      <c r="AF108" s="2">
        <v>37681</v>
      </c>
      <c r="AG108">
        <v>0</v>
      </c>
      <c r="AH108">
        <f>VLOOKUP(AF108,LoanLevelHist!B:D,2,0)</f>
        <v>0.77232684445793798</v>
      </c>
      <c r="AI108">
        <v>0.87610085645606395</v>
      </c>
      <c r="AJ108">
        <f>VLOOKUP(AF108,'v1'!AB:AD,3,0)</f>
        <v>0.341598112127806</v>
      </c>
    </row>
    <row r="109" spans="31:36" customFormat="1" x14ac:dyDescent="0.25">
      <c r="AE109" s="1" t="s">
        <v>118</v>
      </c>
      <c r="AF109" s="2">
        <v>37712</v>
      </c>
      <c r="AG109">
        <v>0</v>
      </c>
      <c r="AH109">
        <f>VLOOKUP(AF109,LoanLevelHist!B:D,2,0)</f>
        <v>0.68512157040298005</v>
      </c>
      <c r="AI109">
        <v>0.85230880619851002</v>
      </c>
      <c r="AJ109">
        <f>VLOOKUP(AF109,'v1'!AB:AD,3,0)</f>
        <v>0.33163996441161198</v>
      </c>
    </row>
    <row r="110" spans="31:36" customFormat="1" x14ac:dyDescent="0.25">
      <c r="AE110" s="1" t="s">
        <v>119</v>
      </c>
      <c r="AF110" s="2">
        <v>37742</v>
      </c>
      <c r="AG110">
        <v>0</v>
      </c>
      <c r="AH110">
        <f>VLOOKUP(AF110,LoanLevelHist!B:D,2,0)</f>
        <v>0.63832935605313601</v>
      </c>
      <c r="AI110">
        <v>0.83660143679155097</v>
      </c>
      <c r="AJ110">
        <f>VLOOKUP(AF110,'v1'!AB:AD,3,0)</f>
        <v>0.32503108923280799</v>
      </c>
    </row>
    <row r="111" spans="31:36" customFormat="1" x14ac:dyDescent="0.25">
      <c r="AE111" s="1" t="s">
        <v>120</v>
      </c>
      <c r="AF111" s="2">
        <v>37773</v>
      </c>
      <c r="AG111">
        <v>0</v>
      </c>
      <c r="AH111">
        <f>VLOOKUP(AF111,LoanLevelHist!B:D,2,0)</f>
        <v>0.64004318692116902</v>
      </c>
      <c r="AI111">
        <v>0.90475365208069203</v>
      </c>
      <c r="AJ111">
        <f>VLOOKUP(AF111,'v1'!AB:AD,3,0)</f>
        <v>0.55720763945157303</v>
      </c>
    </row>
    <row r="112" spans="31:36" customFormat="1" x14ac:dyDescent="0.25">
      <c r="AE112" s="1" t="s">
        <v>121</v>
      </c>
      <c r="AF112" s="2">
        <v>37803</v>
      </c>
      <c r="AG112">
        <v>0</v>
      </c>
      <c r="AH112">
        <f>VLOOKUP(AF112,LoanLevelHist!B:D,2,0)</f>
        <v>0.66739240303607095</v>
      </c>
      <c r="AI112">
        <v>0.88873015687629398</v>
      </c>
      <c r="AJ112">
        <f>VLOOKUP(AF112,'v1'!AB:AD,3,0)</f>
        <v>0.55064123331190995</v>
      </c>
    </row>
    <row r="113" spans="31:36" customFormat="1" x14ac:dyDescent="0.25">
      <c r="AE113" s="1" t="s">
        <v>122</v>
      </c>
      <c r="AF113" s="2">
        <v>37834</v>
      </c>
      <c r="AG113">
        <v>0</v>
      </c>
      <c r="AH113">
        <f>VLOOKUP(AF113,LoanLevelHist!B:D,2,0)</f>
        <v>0.69499933024194105</v>
      </c>
      <c r="AI113">
        <v>0.86738295385129205</v>
      </c>
      <c r="AJ113">
        <f>VLOOKUP(AF113,'v1'!AB:AD,3,0)</f>
        <v>0.54261127317735103</v>
      </c>
    </row>
    <row r="114" spans="31:36" customFormat="1" x14ac:dyDescent="0.25">
      <c r="AE114" s="1" t="s">
        <v>123</v>
      </c>
      <c r="AF114" s="2">
        <v>37865</v>
      </c>
      <c r="AG114">
        <v>0</v>
      </c>
      <c r="AH114">
        <f>VLOOKUP(AF114,LoanLevelHist!B:D,2,0)</f>
        <v>0.63704613289337098</v>
      </c>
      <c r="AI114">
        <v>0.81153565221070401</v>
      </c>
      <c r="AJ114">
        <f>VLOOKUP(AF114,'v1'!AB:AD,3,0)</f>
        <v>0.51279443707376005</v>
      </c>
    </row>
    <row r="115" spans="31:36" customFormat="1" x14ac:dyDescent="0.25">
      <c r="AE115" s="1" t="s">
        <v>124</v>
      </c>
      <c r="AF115" s="2">
        <v>37895</v>
      </c>
      <c r="AG115">
        <v>0</v>
      </c>
      <c r="AH115">
        <f>VLOOKUP(AF115,LoanLevelHist!B:D,2,0)</f>
        <v>0.68935173166751995</v>
      </c>
      <c r="AI115">
        <v>0.76927535879819398</v>
      </c>
      <c r="AJ115">
        <f>VLOOKUP(AF115,'v1'!AB:AD,3,0)</f>
        <v>0.491203346806934</v>
      </c>
    </row>
    <row r="116" spans="31:36" customFormat="1" x14ac:dyDescent="0.25">
      <c r="AE116" s="1" t="s">
        <v>125</v>
      </c>
      <c r="AF116" s="2">
        <v>37926</v>
      </c>
      <c r="AG116">
        <v>0</v>
      </c>
      <c r="AH116">
        <f>VLOOKUP(AF116,LoanLevelHist!B:D,2,0)</f>
        <v>0.61998577400995702</v>
      </c>
      <c r="AI116">
        <v>0.73672007339830003</v>
      </c>
      <c r="AJ116">
        <f>VLOOKUP(AF116,'v1'!AB:AD,3,0)</f>
        <v>0.47359520842603597</v>
      </c>
    </row>
    <row r="117" spans="31:36" customFormat="1" x14ac:dyDescent="0.25">
      <c r="AE117" s="1" t="s">
        <v>126</v>
      </c>
      <c r="AF117" s="2">
        <v>37956</v>
      </c>
      <c r="AG117">
        <v>0</v>
      </c>
      <c r="AH117">
        <f>VLOOKUP(AF117,LoanLevelHist!B:D,2,0)</f>
        <v>0.63108913661869004</v>
      </c>
      <c r="AI117">
        <v>0.73237952214469904</v>
      </c>
      <c r="AJ117">
        <f>VLOOKUP(AF117,'v1'!AB:AD,3,0)</f>
        <v>0.47206642708869101</v>
      </c>
    </row>
    <row r="118" spans="31:36" customFormat="1" x14ac:dyDescent="0.25">
      <c r="AE118" s="1" t="s">
        <v>127</v>
      </c>
      <c r="AF118" s="2">
        <v>37987</v>
      </c>
      <c r="AG118">
        <v>0</v>
      </c>
      <c r="AH118">
        <f>VLOOKUP(AF118,LoanLevelHist!B:D,2,0)</f>
        <v>0.667210224272619</v>
      </c>
      <c r="AI118">
        <v>0.72524145902016501</v>
      </c>
      <c r="AJ118">
        <f>VLOOKUP(AF118,'v1'!AB:AD,3,0)</f>
        <v>0.46779923122261002</v>
      </c>
    </row>
    <row r="119" spans="31:36" customFormat="1" x14ac:dyDescent="0.25">
      <c r="AE119" s="1" t="s">
        <v>128</v>
      </c>
      <c r="AF119" s="2">
        <v>38018</v>
      </c>
      <c r="AG119">
        <v>0</v>
      </c>
      <c r="AH119">
        <f>VLOOKUP(AF119,LoanLevelHist!B:D,2,0)</f>
        <v>0.63771046400236098</v>
      </c>
      <c r="AI119">
        <v>0.72759506953868902</v>
      </c>
      <c r="AJ119">
        <f>VLOOKUP(AF119,'v1'!AB:AD,3,0)</f>
        <v>0.46851703493352398</v>
      </c>
    </row>
    <row r="120" spans="31:36" customFormat="1" x14ac:dyDescent="0.25">
      <c r="AE120" s="1" t="s">
        <v>129</v>
      </c>
      <c r="AF120" s="2">
        <v>38047</v>
      </c>
      <c r="AG120">
        <v>0</v>
      </c>
      <c r="AH120">
        <f>VLOOKUP(AF120,LoanLevelHist!B:D,2,0)</f>
        <v>0.65955979351871596</v>
      </c>
      <c r="AI120">
        <v>0.733338777110493</v>
      </c>
      <c r="AJ120">
        <f>VLOOKUP(AF120,'v1'!AB:AD,3,0)</f>
        <v>0.47158180890218798</v>
      </c>
    </row>
    <row r="121" spans="31:36" customFormat="1" x14ac:dyDescent="0.25">
      <c r="AE121" s="1" t="s">
        <v>130</v>
      </c>
      <c r="AF121" s="2">
        <v>38078</v>
      </c>
      <c r="AG121">
        <v>0</v>
      </c>
      <c r="AH121">
        <f>VLOOKUP(AF121,LoanLevelHist!B:D,2,0)</f>
        <v>0.530538660971136</v>
      </c>
      <c r="AI121">
        <v>0.73031295883576597</v>
      </c>
      <c r="AJ121">
        <f>VLOOKUP(AF121,'v1'!AB:AD,3,0)</f>
        <v>0.46640030261322402</v>
      </c>
    </row>
    <row r="122" spans="31:36" customFormat="1" x14ac:dyDescent="0.25">
      <c r="AE122" s="1" t="s">
        <v>131</v>
      </c>
      <c r="AF122" s="2">
        <v>38108</v>
      </c>
      <c r="AG122">
        <v>0</v>
      </c>
      <c r="AH122">
        <f>VLOOKUP(AF122,LoanLevelHist!B:D,2,0)</f>
        <v>0.46066034342494599</v>
      </c>
      <c r="AI122">
        <v>0.72368671248843597</v>
      </c>
      <c r="AJ122">
        <f>VLOOKUP(AF122,'v1'!AB:AD,3,0)</f>
        <v>0.45964356297009101</v>
      </c>
    </row>
    <row r="123" spans="31:36" customFormat="1" x14ac:dyDescent="0.25">
      <c r="AE123" s="1" t="s">
        <v>132</v>
      </c>
      <c r="AF123" s="2">
        <v>38139</v>
      </c>
      <c r="AG123">
        <v>0</v>
      </c>
      <c r="AH123">
        <f>VLOOKUP(AF123,LoanLevelHist!B:D,2,0)</f>
        <v>0.446540078978097</v>
      </c>
      <c r="AI123">
        <v>0.71272684302822198</v>
      </c>
      <c r="AJ123">
        <f>VLOOKUP(AF123,'v1'!AB:AD,3,0)</f>
        <v>0.449884648515819</v>
      </c>
    </row>
    <row r="124" spans="31:36" customFormat="1" x14ac:dyDescent="0.25">
      <c r="AE124" s="1" t="s">
        <v>133</v>
      </c>
      <c r="AF124" s="2">
        <v>38169</v>
      </c>
      <c r="AG124">
        <v>0</v>
      </c>
      <c r="AH124">
        <f>VLOOKUP(AF124,LoanLevelHist!B:D,2,0)</f>
        <v>0.47015695992189699</v>
      </c>
      <c r="AI124">
        <v>0.70904560011321205</v>
      </c>
      <c r="AJ124">
        <f>VLOOKUP(AF124,'v1'!AB:AD,3,0)</f>
        <v>0.44502884501580497</v>
      </c>
    </row>
    <row r="125" spans="31:36" customFormat="1" x14ac:dyDescent="0.25">
      <c r="AE125" s="1" t="s">
        <v>134</v>
      </c>
      <c r="AF125" s="2">
        <v>38200</v>
      </c>
      <c r="AG125">
        <v>0</v>
      </c>
      <c r="AH125">
        <f>VLOOKUP(AF125,LoanLevelHist!B:D,2,0)</f>
        <v>0.48376428282514999</v>
      </c>
      <c r="AI125">
        <v>0.710986667454372</v>
      </c>
      <c r="AJ125">
        <f>VLOOKUP(AF125,'v1'!AB:AD,3,0)</f>
        <v>0.44307266466259199</v>
      </c>
    </row>
    <row r="126" spans="31:36" customFormat="1" x14ac:dyDescent="0.25">
      <c r="AE126" s="1" t="s">
        <v>135</v>
      </c>
      <c r="AF126" s="2">
        <v>38231</v>
      </c>
      <c r="AG126">
        <v>0</v>
      </c>
      <c r="AH126">
        <f>VLOOKUP(AF126,LoanLevelHist!B:D,2,0)</f>
        <v>0.49651218613475701</v>
      </c>
      <c r="AI126">
        <v>0.71834798338912298</v>
      </c>
      <c r="AJ126">
        <f>VLOOKUP(AF126,'v1'!AB:AD,3,0)</f>
        <v>0.44390639841306301</v>
      </c>
    </row>
    <row r="127" spans="31:36" customFormat="1" x14ac:dyDescent="0.25">
      <c r="AE127" s="1" t="s">
        <v>136</v>
      </c>
      <c r="AF127" s="2">
        <v>38261</v>
      </c>
      <c r="AG127">
        <v>0</v>
      </c>
      <c r="AH127">
        <f>VLOOKUP(AF127,LoanLevelHist!B:D,2,0)</f>
        <v>0.48998998907140401</v>
      </c>
      <c r="AI127">
        <v>0.73053852323199397</v>
      </c>
      <c r="AJ127">
        <f>VLOOKUP(AF127,'v1'!AB:AD,3,0)</f>
        <v>0.44982584305970402</v>
      </c>
    </row>
    <row r="128" spans="31:36" customFormat="1" x14ac:dyDescent="0.25">
      <c r="AE128" s="1" t="s">
        <v>137</v>
      </c>
      <c r="AF128" s="2">
        <v>38292</v>
      </c>
      <c r="AG128">
        <v>0</v>
      </c>
      <c r="AH128">
        <f>VLOOKUP(AF128,LoanLevelHist!B:D,2,0)</f>
        <v>0.54084924519743904</v>
      </c>
      <c r="AI128">
        <v>0.740544357316408</v>
      </c>
      <c r="AJ128">
        <f>VLOOKUP(AF128,'v1'!AB:AD,3,0)</f>
        <v>0.45507217824477503</v>
      </c>
    </row>
    <row r="129" spans="31:36" customFormat="1" x14ac:dyDescent="0.25">
      <c r="AE129" s="1" t="s">
        <v>138</v>
      </c>
      <c r="AF129" s="2">
        <v>38322</v>
      </c>
      <c r="AG129">
        <v>0</v>
      </c>
      <c r="AH129">
        <f>VLOOKUP(AF129,LoanLevelHist!B:D,2,0)</f>
        <v>0.54508985320044201</v>
      </c>
      <c r="AI129">
        <v>0.751126591533124</v>
      </c>
      <c r="AJ129">
        <f>VLOOKUP(AF129,'v1'!AB:AD,3,0)</f>
        <v>0.46055679464493998</v>
      </c>
    </row>
    <row r="130" spans="31:36" customFormat="1" x14ac:dyDescent="0.25">
      <c r="AE130" s="1" t="s">
        <v>139</v>
      </c>
      <c r="AF130" s="2">
        <v>38353</v>
      </c>
      <c r="AG130">
        <v>0</v>
      </c>
      <c r="AH130">
        <f>VLOOKUP(AF130,LoanLevelHist!B:D,2,0)</f>
        <v>0.513840227843543</v>
      </c>
      <c r="AI130">
        <v>0.754587025869213</v>
      </c>
      <c r="AJ130">
        <f>VLOOKUP(AF130,'v1'!AB:AD,3,0)</f>
        <v>0.46047213066275899</v>
      </c>
    </row>
    <row r="131" spans="31:36" customFormat="1" x14ac:dyDescent="0.25">
      <c r="AE131" s="1" t="s">
        <v>140</v>
      </c>
      <c r="AF131" s="2">
        <v>38384</v>
      </c>
      <c r="AG131">
        <v>0</v>
      </c>
      <c r="AH131">
        <f>VLOOKUP(AF131,LoanLevelHist!B:D,2,0)</f>
        <v>0.515903232390447</v>
      </c>
      <c r="AI131">
        <v>0.76234078247450199</v>
      </c>
      <c r="AJ131">
        <f>VLOOKUP(AF131,'v1'!AB:AD,3,0)</f>
        <v>0.46276190299117098</v>
      </c>
    </row>
    <row r="132" spans="31:36" customFormat="1" x14ac:dyDescent="0.25">
      <c r="AE132" s="1" t="s">
        <v>141</v>
      </c>
      <c r="AF132" s="2">
        <v>38412</v>
      </c>
      <c r="AG132">
        <v>0</v>
      </c>
      <c r="AH132">
        <f>VLOOKUP(AF132,LoanLevelHist!B:D,2,0)</f>
        <v>0.50932447562097605</v>
      </c>
      <c r="AI132">
        <v>0.77704477152710205</v>
      </c>
      <c r="AJ132">
        <f>VLOOKUP(AF132,'v1'!AB:AD,3,0)</f>
        <v>0.46921510444041198</v>
      </c>
    </row>
    <row r="133" spans="31:36" customFormat="1" x14ac:dyDescent="0.25">
      <c r="AE133" s="1" t="s">
        <v>142</v>
      </c>
      <c r="AF133" s="2">
        <v>38443</v>
      </c>
      <c r="AG133">
        <v>0</v>
      </c>
      <c r="AH133">
        <f>VLOOKUP(AF133,LoanLevelHist!B:D,2,0)</f>
        <v>0.41077033491745402</v>
      </c>
      <c r="AI133">
        <v>0.78287521449159603</v>
      </c>
      <c r="AJ133">
        <f>VLOOKUP(AF133,'v1'!AB:AD,3,0)</f>
        <v>0.466934296648014</v>
      </c>
    </row>
    <row r="134" spans="31:36" customFormat="1" x14ac:dyDescent="0.25">
      <c r="AE134" s="1" t="s">
        <v>143</v>
      </c>
      <c r="AF134" s="2">
        <v>38473</v>
      </c>
      <c r="AG134">
        <v>0</v>
      </c>
      <c r="AH134">
        <f>VLOOKUP(AF134,LoanLevelHist!B:D,2,0)</f>
        <v>0.36662923479314802</v>
      </c>
      <c r="AI134">
        <v>0.781559383313157</v>
      </c>
      <c r="AJ134">
        <f>VLOOKUP(AF134,'v1'!AB:AD,3,0)</f>
        <v>0.460858387475582</v>
      </c>
    </row>
    <row r="135" spans="31:36" customFormat="1" x14ac:dyDescent="0.25">
      <c r="AE135" s="1" t="s">
        <v>144</v>
      </c>
      <c r="AF135" s="2">
        <v>38504</v>
      </c>
      <c r="AG135">
        <v>0</v>
      </c>
      <c r="AH135">
        <f>VLOOKUP(AF135,LoanLevelHist!B:D,2,0)</f>
        <v>0.378939694281821</v>
      </c>
      <c r="AI135">
        <v>0.78159213205237799</v>
      </c>
      <c r="AJ135">
        <f>VLOOKUP(AF135,'v1'!AB:AD,3,0)</f>
        <v>0.45692614884180699</v>
      </c>
    </row>
    <row r="136" spans="31:36" customFormat="1" x14ac:dyDescent="0.25">
      <c r="AE136" s="1" t="s">
        <v>145</v>
      </c>
      <c r="AF136" s="2">
        <v>38534</v>
      </c>
      <c r="AG136">
        <v>0</v>
      </c>
      <c r="AH136">
        <f>VLOOKUP(AF136,LoanLevelHist!B:D,2,0)</f>
        <v>0.34598044638463099</v>
      </c>
      <c r="AI136">
        <v>0.78141566577478705</v>
      </c>
      <c r="AJ136">
        <f>VLOOKUP(AF136,'v1'!AB:AD,3,0)</f>
        <v>0.45502500982356198</v>
      </c>
    </row>
    <row r="137" spans="31:36" customFormat="1" x14ac:dyDescent="0.25">
      <c r="AE137" s="1" t="s">
        <v>146</v>
      </c>
      <c r="AF137" s="2">
        <v>38565</v>
      </c>
      <c r="AG137">
        <v>0</v>
      </c>
      <c r="AH137">
        <f>VLOOKUP(AF137,LoanLevelHist!B:D,2,0)</f>
        <v>0.38060646973148099</v>
      </c>
      <c r="AI137">
        <v>0.78242523117065799</v>
      </c>
      <c r="AJ137">
        <f>VLOOKUP(AF137,'v1'!AB:AD,3,0)</f>
        <v>0.45452847236594501</v>
      </c>
    </row>
    <row r="138" spans="31:36" customFormat="1" x14ac:dyDescent="0.25">
      <c r="AE138" s="1" t="s">
        <v>147</v>
      </c>
      <c r="AF138" s="2">
        <v>38596</v>
      </c>
      <c r="AG138">
        <v>0</v>
      </c>
      <c r="AH138">
        <f>VLOOKUP(AF138,LoanLevelHist!B:D,2,0)</f>
        <v>0.38388299285170302</v>
      </c>
      <c r="AI138">
        <v>0.77558005484768</v>
      </c>
      <c r="AJ138">
        <f>VLOOKUP(AF138,'v1'!AB:AD,3,0)</f>
        <v>0.44899387538902502</v>
      </c>
    </row>
    <row r="139" spans="31:36" customFormat="1" x14ac:dyDescent="0.25">
      <c r="AE139" s="1" t="s">
        <v>148</v>
      </c>
      <c r="AF139" s="2">
        <v>38626</v>
      </c>
      <c r="AG139">
        <v>0</v>
      </c>
      <c r="AH139">
        <f>VLOOKUP(AF139,LoanLevelHist!B:D,2,0)</f>
        <v>0.39292331328130098</v>
      </c>
      <c r="AI139">
        <v>0.76716999518651197</v>
      </c>
      <c r="AJ139">
        <f>VLOOKUP(AF139,'v1'!AB:AD,3,0)</f>
        <v>0.445285932813277</v>
      </c>
    </row>
    <row r="140" spans="31:36" customFormat="1" x14ac:dyDescent="0.25">
      <c r="AE140" s="1" t="s">
        <v>149</v>
      </c>
      <c r="AF140" s="2">
        <v>38657</v>
      </c>
      <c r="AG140">
        <v>0</v>
      </c>
      <c r="AH140">
        <f>VLOOKUP(AF140,LoanLevelHist!B:D,2,0)</f>
        <v>0.39896797668025302</v>
      </c>
      <c r="AI140">
        <v>0.76362462954427901</v>
      </c>
      <c r="AJ140">
        <f>VLOOKUP(AF140,'v1'!AB:AD,3,0)</f>
        <v>0.44437779422505902</v>
      </c>
    </row>
    <row r="141" spans="31:36" customFormat="1" x14ac:dyDescent="0.25">
      <c r="AE141" s="1" t="s">
        <v>150</v>
      </c>
      <c r="AF141" s="2">
        <v>38687</v>
      </c>
      <c r="AG141">
        <v>0</v>
      </c>
      <c r="AH141">
        <f>VLOOKUP(AF141,LoanLevelHist!B:D,2,0)</f>
        <v>0.44344397332379798</v>
      </c>
      <c r="AI141">
        <v>0.76425971419628003</v>
      </c>
      <c r="AJ141">
        <f>VLOOKUP(AF141,'v1'!AB:AD,3,0)</f>
        <v>0.44612361101715697</v>
      </c>
    </row>
    <row r="142" spans="31:36" customFormat="1" x14ac:dyDescent="0.25">
      <c r="AE142" s="1" t="s">
        <v>151</v>
      </c>
      <c r="AF142" s="2">
        <v>38718</v>
      </c>
      <c r="AG142">
        <v>0</v>
      </c>
      <c r="AH142">
        <f>VLOOKUP(AF142,LoanLevelHist!B:D,2,0)</f>
        <v>0.81671657692509203</v>
      </c>
      <c r="AI142">
        <v>0.77225658156201404</v>
      </c>
      <c r="AJ142">
        <f>VLOOKUP(AF142,'v1'!AB:AD,3,0)</f>
        <v>0.451791115326383</v>
      </c>
    </row>
    <row r="143" spans="31:36" customFormat="1" x14ac:dyDescent="0.25">
      <c r="AE143" s="1" t="s">
        <v>152</v>
      </c>
      <c r="AF143" s="2">
        <v>38749</v>
      </c>
      <c r="AG143">
        <v>0</v>
      </c>
      <c r="AH143">
        <f>VLOOKUP(AF143,LoanLevelHist!B:D,2,0)</f>
        <v>0.61520331767598302</v>
      </c>
      <c r="AI143">
        <v>0.777549626210017</v>
      </c>
      <c r="AJ143">
        <f>VLOOKUP(AF143,'v1'!AB:AD,3,0)</f>
        <v>0.45598033753652101</v>
      </c>
    </row>
    <row r="144" spans="31:36" customFormat="1" x14ac:dyDescent="0.25">
      <c r="AE144" s="1" t="s">
        <v>153</v>
      </c>
      <c r="AF144" s="2">
        <v>38777</v>
      </c>
      <c r="AG144">
        <v>0</v>
      </c>
      <c r="AH144">
        <f>VLOOKUP(AF144,LoanLevelHist!B:D,2,0)</f>
        <v>0.47488139808290503</v>
      </c>
      <c r="AI144">
        <v>0.78703108786698495</v>
      </c>
      <c r="AJ144">
        <f>VLOOKUP(AF144,'v1'!AB:AD,3,0)</f>
        <v>0.46253869711631002</v>
      </c>
    </row>
    <row r="145" spans="31:36" customFormat="1" x14ac:dyDescent="0.25">
      <c r="AE145" s="1" t="s">
        <v>154</v>
      </c>
      <c r="AF145" s="2">
        <v>38808</v>
      </c>
      <c r="AG145">
        <v>0</v>
      </c>
      <c r="AH145">
        <f>VLOOKUP(AF145,LoanLevelHist!B:D,2,0)</f>
        <v>0.33964192613772398</v>
      </c>
      <c r="AI145">
        <v>0.79550196779056803</v>
      </c>
      <c r="AJ145">
        <f>VLOOKUP(AF145,'v1'!AB:AD,3,0)</f>
        <v>0.46713763659226298</v>
      </c>
    </row>
    <row r="146" spans="31:36" customFormat="1" x14ac:dyDescent="0.25">
      <c r="AE146" s="1" t="s">
        <v>155</v>
      </c>
      <c r="AF146" s="2">
        <v>38838</v>
      </c>
      <c r="AG146">
        <v>0</v>
      </c>
      <c r="AH146">
        <f>VLOOKUP(AF146,LoanLevelHist!B:D,2,0)</f>
        <v>0.31615136021718698</v>
      </c>
      <c r="AI146">
        <v>0.80216568834053903</v>
      </c>
      <c r="AJ146">
        <f>VLOOKUP(AF146,'v1'!AB:AD,3,0)</f>
        <v>0.47055649233236402</v>
      </c>
    </row>
    <row r="147" spans="31:36" customFormat="1" x14ac:dyDescent="0.25">
      <c r="AE147" s="1" t="s">
        <v>156</v>
      </c>
      <c r="AF147" s="2">
        <v>38869</v>
      </c>
      <c r="AG147">
        <v>0</v>
      </c>
      <c r="AH147">
        <f>VLOOKUP(AF147,LoanLevelHist!B:D,2,0)</f>
        <v>0.30099273683741301</v>
      </c>
      <c r="AI147">
        <v>0.81001365635080502</v>
      </c>
      <c r="AJ147">
        <f>VLOOKUP(AF147,'v1'!AB:AD,3,0)</f>
        <v>0.47526683269363301</v>
      </c>
    </row>
    <row r="148" spans="31:36" customFormat="1" x14ac:dyDescent="0.25">
      <c r="AE148" s="1" t="s">
        <v>157</v>
      </c>
      <c r="AF148" s="2">
        <v>38899</v>
      </c>
      <c r="AG148">
        <v>0</v>
      </c>
      <c r="AH148">
        <f>VLOOKUP(AF148,LoanLevelHist!B:D,2,0)</f>
        <v>0.305863381771809</v>
      </c>
      <c r="AI148">
        <v>0.81885515989268398</v>
      </c>
      <c r="AJ148">
        <f>VLOOKUP(AF148,'v1'!AB:AD,3,0)</f>
        <v>0.48357389625943697</v>
      </c>
    </row>
    <row r="149" spans="31:36" customFormat="1" x14ac:dyDescent="0.25">
      <c r="AE149" s="1" t="s">
        <v>158</v>
      </c>
      <c r="AF149" s="2">
        <v>38930</v>
      </c>
      <c r="AG149">
        <v>0</v>
      </c>
      <c r="AH149">
        <f>VLOOKUP(AF149,LoanLevelHist!B:D,2,0)</f>
        <v>0.53217958721749603</v>
      </c>
      <c r="AI149">
        <v>0.82657743358093305</v>
      </c>
      <c r="AJ149">
        <f>VLOOKUP(AF149,'v1'!AB:AD,3,0)</f>
        <v>0.49125869075293799</v>
      </c>
    </row>
    <row r="150" spans="31:36" customFormat="1" x14ac:dyDescent="0.25">
      <c r="AE150" s="1" t="s">
        <v>159</v>
      </c>
      <c r="AF150" s="2">
        <v>38961</v>
      </c>
      <c r="AG150">
        <v>0</v>
      </c>
      <c r="AH150">
        <f>VLOOKUP(AF150,LoanLevelHist!B:D,2,0)</f>
        <v>0.33553031473254602</v>
      </c>
      <c r="AI150">
        <v>0.83429376814255796</v>
      </c>
      <c r="AJ150">
        <f>VLOOKUP(AF150,'v1'!AB:AD,3,0)</f>
        <v>0.498842995495064</v>
      </c>
    </row>
    <row r="151" spans="31:36" customFormat="1" x14ac:dyDescent="0.25">
      <c r="AE151" s="1" t="s">
        <v>160</v>
      </c>
      <c r="AF151" s="2">
        <v>38991</v>
      </c>
      <c r="AG151">
        <v>0</v>
      </c>
      <c r="AH151">
        <f>VLOOKUP(AF151,LoanLevelHist!B:D,2,0)</f>
        <v>0.37035387260566699</v>
      </c>
      <c r="AI151">
        <v>0.84673370409474902</v>
      </c>
      <c r="AJ151">
        <f>VLOOKUP(AF151,'v1'!AB:AD,3,0)</f>
        <v>0.51048362324596097</v>
      </c>
    </row>
    <row r="152" spans="31:36" customFormat="1" x14ac:dyDescent="0.25">
      <c r="AE152" s="1" t="s">
        <v>161</v>
      </c>
      <c r="AF152" s="2">
        <v>39022</v>
      </c>
      <c r="AG152">
        <v>0</v>
      </c>
      <c r="AH152">
        <f>VLOOKUP(AF152,LoanLevelHist!B:D,2,0)</f>
        <v>0.40392519520222597</v>
      </c>
      <c r="AI152">
        <v>0.86248576198868498</v>
      </c>
      <c r="AJ152">
        <f>VLOOKUP(AF152,'v1'!AB:AD,3,0)</f>
        <v>0.52264218672887197</v>
      </c>
    </row>
    <row r="153" spans="31:36" customFormat="1" x14ac:dyDescent="0.25">
      <c r="AE153" s="1" t="s">
        <v>162</v>
      </c>
      <c r="AF153" s="2">
        <v>39052</v>
      </c>
      <c r="AG153">
        <v>0</v>
      </c>
      <c r="AH153">
        <f>VLOOKUP(AF153,LoanLevelHist!B:D,2,0)</f>
        <v>0.42968388841614402</v>
      </c>
      <c r="AI153">
        <v>0.880377317535042</v>
      </c>
      <c r="AJ153">
        <f>VLOOKUP(AF153,'v1'!AB:AD,3,0)</f>
        <v>0.53594813635716698</v>
      </c>
    </row>
    <row r="154" spans="31:36" customFormat="1" x14ac:dyDescent="0.25">
      <c r="AE154" s="1" t="s">
        <v>163</v>
      </c>
      <c r="AF154" s="2">
        <v>39083</v>
      </c>
      <c r="AG154">
        <v>0</v>
      </c>
      <c r="AH154">
        <f>VLOOKUP(AF154,LoanLevelHist!B:D,2,0)</f>
        <v>0.470935490451663</v>
      </c>
      <c r="AI154">
        <v>0.89140269960777996</v>
      </c>
      <c r="AJ154">
        <f>VLOOKUP(AF154,'v1'!AB:AD,3,0)</f>
        <v>0.54405720288179804</v>
      </c>
    </row>
    <row r="155" spans="31:36" customFormat="1" x14ac:dyDescent="0.25">
      <c r="AE155" s="1" t="s">
        <v>164</v>
      </c>
      <c r="AF155" s="2">
        <v>39114</v>
      </c>
      <c r="AG155">
        <v>0</v>
      </c>
      <c r="AH155">
        <f>VLOOKUP(AF155,LoanLevelHist!B:D,2,0)</f>
        <v>0.48788618576141002</v>
      </c>
      <c r="AI155">
        <v>0.904869141064502</v>
      </c>
      <c r="AJ155">
        <f>VLOOKUP(AF155,'v1'!AB:AD,3,0)</f>
        <v>0.55355757527518801</v>
      </c>
    </row>
    <row r="156" spans="31:36" customFormat="1" x14ac:dyDescent="0.25">
      <c r="AE156" s="1" t="s">
        <v>165</v>
      </c>
      <c r="AF156" s="2">
        <v>39142</v>
      </c>
      <c r="AG156">
        <v>0</v>
      </c>
      <c r="AH156">
        <f>VLOOKUP(AF156,LoanLevelHist!B:D,2,0)</f>
        <v>0.476497276174426</v>
      </c>
      <c r="AI156">
        <v>0.91312305634984003</v>
      </c>
      <c r="AJ156">
        <f>VLOOKUP(AF156,'v1'!AB:AD,3,0)</f>
        <v>0.56002751920716198</v>
      </c>
    </row>
    <row r="157" spans="31:36" customFormat="1" x14ac:dyDescent="0.25">
      <c r="AE157" s="1" t="s">
        <v>166</v>
      </c>
      <c r="AF157" s="2">
        <v>39173</v>
      </c>
      <c r="AG157">
        <v>0</v>
      </c>
      <c r="AH157">
        <f>VLOOKUP(AF157,LoanLevelHist!B:D,2,0)</f>
        <v>0.41117771638148298</v>
      </c>
      <c r="AI157">
        <v>0.91946692611747405</v>
      </c>
      <c r="AJ157">
        <f>VLOOKUP(AF157,'v1'!AB:AD,3,0)</f>
        <v>0.56467403625232204</v>
      </c>
    </row>
    <row r="158" spans="31:36" customFormat="1" x14ac:dyDescent="0.25">
      <c r="AE158" s="1" t="s">
        <v>167</v>
      </c>
      <c r="AF158" s="2">
        <v>39203</v>
      </c>
      <c r="AG158">
        <v>0</v>
      </c>
      <c r="AH158">
        <f>VLOOKUP(AF158,LoanLevelHist!B:D,2,0)</f>
        <v>0.37468703781634599</v>
      </c>
      <c r="AI158">
        <v>0.926705061590827</v>
      </c>
      <c r="AJ158">
        <f>VLOOKUP(AF158,'v1'!AB:AD,3,0)</f>
        <v>0.56955958741167201</v>
      </c>
    </row>
    <row r="159" spans="31:36" customFormat="1" x14ac:dyDescent="0.25">
      <c r="AE159" s="1" t="s">
        <v>168</v>
      </c>
      <c r="AF159" s="2">
        <v>39234</v>
      </c>
      <c r="AG159">
        <v>0</v>
      </c>
      <c r="AH159">
        <f>VLOOKUP(AF159,LoanLevelHist!B:D,2,0)</f>
        <v>0.40101347627320399</v>
      </c>
      <c r="AI159">
        <v>0.930715205334398</v>
      </c>
      <c r="AJ159">
        <f>VLOOKUP(AF159,'v1'!AB:AD,3,0)</f>
        <v>0.57232849124047003</v>
      </c>
    </row>
    <row r="160" spans="31:36" customFormat="1" x14ac:dyDescent="0.25">
      <c r="AE160" s="1" t="s">
        <v>169</v>
      </c>
      <c r="AF160" s="2">
        <v>39264</v>
      </c>
      <c r="AG160">
        <v>0</v>
      </c>
      <c r="AH160">
        <f>VLOOKUP(AF160,LoanLevelHist!B:D,2,0)</f>
        <v>0.42843390279647697</v>
      </c>
      <c r="AI160">
        <v>0.95007072856151398</v>
      </c>
      <c r="AJ160">
        <f>VLOOKUP(AF160,'v1'!AB:AD,3,0)</f>
        <v>0.58584364426492697</v>
      </c>
    </row>
    <row r="161" spans="31:36" customFormat="1" x14ac:dyDescent="0.25">
      <c r="AE161" s="1" t="s">
        <v>170</v>
      </c>
      <c r="AF161" s="2">
        <v>39295</v>
      </c>
      <c r="AG161">
        <v>0</v>
      </c>
      <c r="AH161">
        <f>VLOOKUP(AF161,LoanLevelHist!B:D,2,0)</f>
        <v>0.48428831981772702</v>
      </c>
      <c r="AI161">
        <v>0.97481976155778804</v>
      </c>
      <c r="AJ161">
        <f>VLOOKUP(AF161,'v1'!AB:AD,3,0)</f>
        <v>0.60232429446374103</v>
      </c>
    </row>
    <row r="162" spans="31:36" customFormat="1" x14ac:dyDescent="0.25">
      <c r="AE162" s="1" t="s">
        <v>171</v>
      </c>
      <c r="AF162" s="2">
        <v>39326</v>
      </c>
      <c r="AG162">
        <v>0</v>
      </c>
      <c r="AH162">
        <f>VLOOKUP(AF162,LoanLevelHist!B:D,2,0)</f>
        <v>0.53165405635983198</v>
      </c>
      <c r="AI162">
        <v>0.99799471252488603</v>
      </c>
      <c r="AJ162">
        <f>VLOOKUP(AF162,'v1'!AB:AD,3,0)</f>
        <v>0.61744441471967004</v>
      </c>
    </row>
    <row r="163" spans="31:36" customFormat="1" x14ac:dyDescent="0.25">
      <c r="AE163" s="1" t="s">
        <v>172</v>
      </c>
      <c r="AF163" s="2">
        <v>39356</v>
      </c>
      <c r="AG163">
        <v>0</v>
      </c>
      <c r="AH163">
        <f>VLOOKUP(AF163,LoanLevelHist!B:D,2,0)</f>
        <v>0.63381115674722199</v>
      </c>
      <c r="AI163">
        <v>1.0359290498796401</v>
      </c>
      <c r="AJ163">
        <f>VLOOKUP(AF163,'v1'!AB:AD,3,0)</f>
        <v>0.64034373038421899</v>
      </c>
    </row>
    <row r="164" spans="31:36" customFormat="1" x14ac:dyDescent="0.25">
      <c r="AE164" s="1" t="s">
        <v>173</v>
      </c>
      <c r="AF164" s="2">
        <v>39387</v>
      </c>
      <c r="AG164">
        <v>0</v>
      </c>
      <c r="AH164">
        <f>VLOOKUP(AF164,LoanLevelHist!B:D,2,0)</f>
        <v>0.67013422339865503</v>
      </c>
      <c r="AI164">
        <v>1.08615832206406</v>
      </c>
      <c r="AJ164">
        <f>VLOOKUP(AF164,'v1'!AB:AD,3,0)</f>
        <v>0.66944440155977103</v>
      </c>
    </row>
    <row r="165" spans="31:36" customFormat="1" x14ac:dyDescent="0.25">
      <c r="AE165" s="1" t="s">
        <v>174</v>
      </c>
      <c r="AF165" s="2">
        <v>39417</v>
      </c>
      <c r="AG165">
        <v>0</v>
      </c>
      <c r="AH165">
        <f>VLOOKUP(AF165,LoanLevelHist!B:D,2,0)</f>
        <v>0.74550640106490995</v>
      </c>
      <c r="AI165">
        <v>1.13328428839318</v>
      </c>
      <c r="AJ165">
        <f>VLOOKUP(AF165,'v1'!AB:AD,3,0)</f>
        <v>0.69632905932865996</v>
      </c>
    </row>
    <row r="166" spans="31:36" customFormat="1" x14ac:dyDescent="0.25">
      <c r="AE166" s="1" t="s">
        <v>175</v>
      </c>
      <c r="AF166" s="2">
        <v>39448</v>
      </c>
      <c r="AG166">
        <v>0</v>
      </c>
      <c r="AH166">
        <f>VLOOKUP(AF166,LoanLevelHist!B:D,2,0)</f>
        <v>0.88116394125605801</v>
      </c>
      <c r="AI166">
        <v>1.1921647855947699</v>
      </c>
      <c r="AJ166">
        <f>VLOOKUP(AF166,'v1'!AB:AD,3,0)</f>
        <v>0.73069978774079603</v>
      </c>
    </row>
    <row r="167" spans="31:36" customFormat="1" x14ac:dyDescent="0.25">
      <c r="AE167" s="1" t="s">
        <v>176</v>
      </c>
      <c r="AF167" s="2">
        <v>39479</v>
      </c>
      <c r="AG167">
        <v>0</v>
      </c>
      <c r="AH167">
        <f>VLOOKUP(AF167,LoanLevelHist!B:D,2,0)</f>
        <v>0.925923955101837</v>
      </c>
      <c r="AI167">
        <v>1.2532471629778701</v>
      </c>
      <c r="AJ167">
        <f>VLOOKUP(AF167,'v1'!AB:AD,3,0)</f>
        <v>0.76662782010864505</v>
      </c>
    </row>
    <row r="168" spans="31:36" customFormat="1" x14ac:dyDescent="0.25">
      <c r="AE168" s="1" t="s">
        <v>177</v>
      </c>
      <c r="AF168" s="2">
        <v>39508</v>
      </c>
      <c r="AG168">
        <v>0</v>
      </c>
      <c r="AH168">
        <f>VLOOKUP(AF168,LoanLevelHist!B:D,2,0)</f>
        <v>0.97514341090044798</v>
      </c>
      <c r="AI168">
        <v>1.3126003730101301</v>
      </c>
      <c r="AJ168">
        <f>VLOOKUP(AF168,'v1'!AB:AD,3,0)</f>
        <v>0.80382661379310205</v>
      </c>
    </row>
    <row r="169" spans="31:36" customFormat="1" x14ac:dyDescent="0.25">
      <c r="AE169" s="1" t="s">
        <v>178</v>
      </c>
      <c r="AF169" s="2">
        <v>39539</v>
      </c>
      <c r="AG169">
        <v>0</v>
      </c>
      <c r="AH169">
        <f>VLOOKUP(AF169,LoanLevelHist!B:D,2,0)</f>
        <v>0.91840788032556697</v>
      </c>
      <c r="AI169">
        <v>1.35775197463832</v>
      </c>
      <c r="AJ169">
        <f>VLOOKUP(AF169,'v1'!AB:AD,3,0)</f>
        <v>0.83176656482094602</v>
      </c>
    </row>
    <row r="170" spans="31:36" customFormat="1" x14ac:dyDescent="0.25">
      <c r="AE170" s="1" t="s">
        <v>179</v>
      </c>
      <c r="AF170" s="2">
        <v>39569</v>
      </c>
      <c r="AG170">
        <v>0</v>
      </c>
      <c r="AH170">
        <f>VLOOKUP(AF170,LoanLevelHist!B:D,2,0)</f>
        <v>0.88793699598153097</v>
      </c>
      <c r="AI170">
        <v>1.4026586861609101</v>
      </c>
      <c r="AJ170">
        <f>VLOOKUP(AF170,'v1'!AB:AD,3,0)</f>
        <v>0.86067194405679004</v>
      </c>
    </row>
    <row r="171" spans="31:36" customFormat="1" x14ac:dyDescent="0.25">
      <c r="AE171" s="1" t="s">
        <v>180</v>
      </c>
      <c r="AF171" s="2">
        <v>39600</v>
      </c>
      <c r="AG171">
        <v>0</v>
      </c>
      <c r="AH171">
        <f>VLOOKUP(AF171,LoanLevelHist!B:D,2,0)</f>
        <v>1.0162584378038699</v>
      </c>
      <c r="AI171">
        <v>1.4442232857036199</v>
      </c>
      <c r="AJ171">
        <f>VLOOKUP(AF171,'v1'!AB:AD,3,0)</f>
        <v>0.88977869341234594</v>
      </c>
    </row>
    <row r="172" spans="31:36" customFormat="1" x14ac:dyDescent="0.25">
      <c r="AE172" s="1" t="s">
        <v>181</v>
      </c>
      <c r="AF172" s="2">
        <v>39630</v>
      </c>
      <c r="AG172">
        <v>0</v>
      </c>
      <c r="AH172">
        <f>VLOOKUP(AF172,LoanLevelHist!B:D,2,0)</f>
        <v>1.0555879871573199</v>
      </c>
      <c r="AI172">
        <v>1.5044291259145399</v>
      </c>
      <c r="AJ172">
        <f>VLOOKUP(AF172,'v1'!AB:AD,3,0)</f>
        <v>0.93770158254125002</v>
      </c>
    </row>
    <row r="173" spans="31:36" customFormat="1" x14ac:dyDescent="0.25">
      <c r="AE173" s="1" t="s">
        <v>182</v>
      </c>
      <c r="AF173" s="2">
        <v>39661</v>
      </c>
      <c r="AG173">
        <v>0</v>
      </c>
      <c r="AH173">
        <f>VLOOKUP(AF173,LoanLevelHist!B:D,2,0)</f>
        <v>1.19210343223439</v>
      </c>
      <c r="AI173">
        <v>1.5691128526161899</v>
      </c>
      <c r="AJ173">
        <f>VLOOKUP(AF173,'v1'!AB:AD,3,0)</f>
        <v>0.99368662053303003</v>
      </c>
    </row>
    <row r="174" spans="31:36" customFormat="1" x14ac:dyDescent="0.25">
      <c r="AE174" s="1" t="s">
        <v>183</v>
      </c>
      <c r="AF174" s="2">
        <v>39692</v>
      </c>
      <c r="AG174">
        <v>0</v>
      </c>
      <c r="AH174">
        <f>VLOOKUP(AF174,LoanLevelHist!B:D,2,0)</f>
        <v>1.2987063440570801</v>
      </c>
      <c r="AI174">
        <v>1.6337691768973801</v>
      </c>
      <c r="AJ174">
        <f>VLOOKUP(AF174,'v1'!AB:AD,3,0)</f>
        <v>1.0571235298211099</v>
      </c>
    </row>
    <row r="175" spans="31:36" customFormat="1" x14ac:dyDescent="0.25">
      <c r="AE175" s="1" t="s">
        <v>184</v>
      </c>
      <c r="AF175" s="2">
        <v>39722</v>
      </c>
      <c r="AG175">
        <v>0</v>
      </c>
      <c r="AH175">
        <f>VLOOKUP(AF175,LoanLevelHist!B:D,2,0)</f>
        <v>1.45991096311866</v>
      </c>
      <c r="AI175">
        <v>1.7174580371972901</v>
      </c>
      <c r="AJ175">
        <f>VLOOKUP(AF175,'v1'!AB:AD,3,0)</f>
        <v>1.14583967703601</v>
      </c>
    </row>
    <row r="176" spans="31:36" customFormat="1" x14ac:dyDescent="0.25">
      <c r="AE176" s="1" t="s">
        <v>185</v>
      </c>
      <c r="AF176" s="2">
        <v>39753</v>
      </c>
      <c r="AG176">
        <v>0</v>
      </c>
      <c r="AH176">
        <f>VLOOKUP(AF176,LoanLevelHist!B:D,2,0)</f>
        <v>1.71961889531949</v>
      </c>
      <c r="AI176">
        <v>1.81253789042942</v>
      </c>
      <c r="AJ176">
        <f>VLOOKUP(AF176,'v1'!AB:AD,3,0)</f>
        <v>1.2546151550301301</v>
      </c>
    </row>
    <row r="177" spans="31:36" customFormat="1" x14ac:dyDescent="0.25">
      <c r="AE177" s="1" t="s">
        <v>186</v>
      </c>
      <c r="AF177" s="2">
        <v>39783</v>
      </c>
      <c r="AG177">
        <v>0</v>
      </c>
      <c r="AH177">
        <f>VLOOKUP(AF177,LoanLevelHist!B:D,2,0)</f>
        <v>1.9214541780975301</v>
      </c>
      <c r="AI177">
        <v>1.90023241070076</v>
      </c>
      <c r="AJ177">
        <f>VLOOKUP(AF177,'v1'!AB:AD,3,0)</f>
        <v>1.3719148686600999</v>
      </c>
    </row>
    <row r="178" spans="31:36" customFormat="1" x14ac:dyDescent="0.25">
      <c r="AE178" s="1" t="s">
        <v>187</v>
      </c>
      <c r="AF178" s="2">
        <v>39814</v>
      </c>
      <c r="AG178">
        <v>0</v>
      </c>
      <c r="AH178">
        <f>VLOOKUP(AF178,LoanLevelHist!B:D,2,0)</f>
        <v>2.25389090042033</v>
      </c>
      <c r="AI178">
        <v>1.95529610925619</v>
      </c>
      <c r="AJ178">
        <f>VLOOKUP(AF178,'v1'!AB:AD,3,0)</f>
        <v>1.44153027302354</v>
      </c>
    </row>
    <row r="179" spans="31:36" customFormat="1" x14ac:dyDescent="0.25">
      <c r="AE179" s="1" t="s">
        <v>188</v>
      </c>
      <c r="AF179" s="2">
        <v>39845</v>
      </c>
      <c r="AG179">
        <v>0</v>
      </c>
      <c r="AH179">
        <f>VLOOKUP(AF179,LoanLevelHist!B:D,2,0)</f>
        <v>2.7080037868882201</v>
      </c>
      <c r="AI179">
        <v>2.0236598756483999</v>
      </c>
      <c r="AJ179">
        <f>VLOOKUP(AF179,'v1'!AB:AD,3,0)</f>
        <v>1.52443595263947</v>
      </c>
    </row>
    <row r="180" spans="31:36" customFormat="1" x14ac:dyDescent="0.25">
      <c r="AE180" s="1" t="s">
        <v>189</v>
      </c>
      <c r="AF180" s="2">
        <v>39873</v>
      </c>
      <c r="AG180">
        <v>0</v>
      </c>
      <c r="AH180">
        <f>VLOOKUP(AF180,LoanLevelHist!B:D,2,0)</f>
        <v>3.04805748311923</v>
      </c>
      <c r="AI180">
        <v>2.0763857005210302</v>
      </c>
      <c r="AJ180">
        <f>VLOOKUP(AF180,'v1'!AB:AD,3,0)</f>
        <v>1.5994819961795399</v>
      </c>
    </row>
    <row r="181" spans="31:36" customFormat="1" x14ac:dyDescent="0.25">
      <c r="AE181" s="1" t="s">
        <v>190</v>
      </c>
      <c r="AF181" s="2">
        <v>39904</v>
      </c>
      <c r="AG181">
        <v>0</v>
      </c>
      <c r="AH181">
        <f>VLOOKUP(AF181,LoanLevelHist!B:D,2,0)</f>
        <v>2.9852986648602902</v>
      </c>
      <c r="AI181">
        <v>2.0731251154780801</v>
      </c>
      <c r="AJ181">
        <f>VLOOKUP(AF181,'v1'!AB:AD,3,0)</f>
        <v>1.61613429101289</v>
      </c>
    </row>
    <row r="182" spans="31:36" customFormat="1" x14ac:dyDescent="0.25">
      <c r="AE182" s="1" t="s">
        <v>191</v>
      </c>
      <c r="AF182" s="2">
        <v>39934</v>
      </c>
      <c r="AG182">
        <v>0</v>
      </c>
      <c r="AH182">
        <f>VLOOKUP(AF182,LoanLevelHist!B:D,2,0)</f>
        <v>2.8440022012460799</v>
      </c>
      <c r="AI182">
        <v>2.0803869584272401</v>
      </c>
      <c r="AJ182">
        <f>VLOOKUP(AF182,'v1'!AB:AD,3,0)</f>
        <v>1.64172728587429</v>
      </c>
    </row>
    <row r="183" spans="31:36" customFormat="1" x14ac:dyDescent="0.25">
      <c r="AE183" s="1" t="s">
        <v>192</v>
      </c>
      <c r="AF183" s="2">
        <v>39965</v>
      </c>
      <c r="AG183">
        <v>0</v>
      </c>
      <c r="AH183">
        <f>VLOOKUP(AF183,LoanLevelHist!B:D,2,0)</f>
        <v>2.9627014279613899</v>
      </c>
      <c r="AI183">
        <v>2.0964143312004402</v>
      </c>
      <c r="AJ183">
        <f>VLOOKUP(AF183,'v1'!AB:AD,3,0)</f>
        <v>1.67949398597579</v>
      </c>
    </row>
    <row r="184" spans="31:36" customFormat="1" x14ac:dyDescent="0.25">
      <c r="AE184" s="1" t="s">
        <v>193</v>
      </c>
      <c r="AF184" s="2">
        <v>39995</v>
      </c>
      <c r="AG184">
        <v>0</v>
      </c>
      <c r="AH184">
        <f>VLOOKUP(AF184,LoanLevelHist!B:D,2,0)</f>
        <v>2.94772192506049</v>
      </c>
      <c r="AI184">
        <v>2.0865965617148401</v>
      </c>
      <c r="AJ184">
        <f>VLOOKUP(AF184,'v1'!AB:AD,3,0)</f>
        <v>1.6957334735393801</v>
      </c>
    </row>
    <row r="185" spans="31:36" customFormat="1" x14ac:dyDescent="0.25">
      <c r="AE185" s="1" t="s">
        <v>194</v>
      </c>
      <c r="AF185" s="2">
        <v>40026</v>
      </c>
      <c r="AG185">
        <v>0</v>
      </c>
      <c r="AH185">
        <f>VLOOKUP(AF185,LoanLevelHist!B:D,2,0)</f>
        <v>2.9564448739643998</v>
      </c>
      <c r="AI185">
        <v>2.0887583499865001</v>
      </c>
      <c r="AJ185">
        <f>VLOOKUP(AF185,'v1'!AB:AD,3,0)</f>
        <v>1.7190956264956601</v>
      </c>
    </row>
    <row r="186" spans="31:36" customFormat="1" x14ac:dyDescent="0.25">
      <c r="AE186" s="1" t="s">
        <v>195</v>
      </c>
      <c r="AF186" s="2">
        <v>40057</v>
      </c>
      <c r="AG186">
        <v>0</v>
      </c>
      <c r="AH186">
        <f>VLOOKUP(AF186,LoanLevelHist!B:D,2,0)</f>
        <v>2.9643326185774801</v>
      </c>
      <c r="AI186">
        <v>2.0829603353842501</v>
      </c>
      <c r="AJ186">
        <f>VLOOKUP(AF186,'v1'!AB:AD,3,0)</f>
        <v>1.73190354625099</v>
      </c>
    </row>
    <row r="187" spans="31:36" customFormat="1" x14ac:dyDescent="0.25">
      <c r="AE187" s="1" t="s">
        <v>196</v>
      </c>
      <c r="AF187" s="2">
        <v>40087</v>
      </c>
      <c r="AG187">
        <v>0</v>
      </c>
      <c r="AH187">
        <f>VLOOKUP(AF187,LoanLevelHist!B:D,2,0)</f>
        <v>3.1621062711956101</v>
      </c>
      <c r="AI187">
        <v>2.1013243943075799</v>
      </c>
      <c r="AJ187">
        <f>VLOOKUP(AF187,'v1'!AB:AD,3,0)</f>
        <v>1.77838112316224</v>
      </c>
    </row>
    <row r="188" spans="31:36" customFormat="1" x14ac:dyDescent="0.25">
      <c r="AE188" s="1" t="s">
        <v>197</v>
      </c>
      <c r="AF188" s="2">
        <v>40118</v>
      </c>
      <c r="AG188">
        <v>0</v>
      </c>
      <c r="AH188">
        <f>VLOOKUP(AF188,LoanLevelHist!B:D,2,0)</f>
        <v>3.28985697699262</v>
      </c>
      <c r="AI188">
        <v>2.1285248627337201</v>
      </c>
      <c r="AJ188">
        <f>VLOOKUP(AF188,'v1'!AB:AD,3,0)</f>
        <v>1.8344794338128201</v>
      </c>
    </row>
    <row r="189" spans="31:36" customFormat="1" x14ac:dyDescent="0.25">
      <c r="AE189" s="1" t="s">
        <v>198</v>
      </c>
      <c r="AF189" s="2">
        <v>40148</v>
      </c>
      <c r="AG189">
        <v>0</v>
      </c>
      <c r="AH189">
        <f>VLOOKUP(AF189,LoanLevelHist!B:D,2,0)</f>
        <v>3.7075005189332702</v>
      </c>
      <c r="AI189">
        <v>2.15533419944992</v>
      </c>
      <c r="AJ189">
        <f>VLOOKUP(AF189,'v1'!AB:AD,3,0)</f>
        <v>1.89066402792417</v>
      </c>
    </row>
    <row r="190" spans="31:36" customFormat="1" x14ac:dyDescent="0.25">
      <c r="AE190" s="1" t="s">
        <v>199</v>
      </c>
      <c r="AF190" s="2">
        <v>40179</v>
      </c>
      <c r="AG190">
        <v>0</v>
      </c>
      <c r="AH190">
        <f>VLOOKUP(AF190,LoanLevelHist!B:D,2,0)</f>
        <v>3.5355514708824098</v>
      </c>
      <c r="AI190">
        <v>2.1750317439312199</v>
      </c>
      <c r="AJ190">
        <f>VLOOKUP(AF190,'v1'!AB:AD,3,0)</f>
        <v>1.9556891035936299</v>
      </c>
    </row>
    <row r="191" spans="31:36" customFormat="1" x14ac:dyDescent="0.25">
      <c r="AE191" s="1" t="s">
        <v>200</v>
      </c>
      <c r="AF191" s="2">
        <v>40210</v>
      </c>
      <c r="AG191">
        <v>0</v>
      </c>
      <c r="AH191">
        <f>VLOOKUP(AF191,LoanLevelHist!B:D,2,0)</f>
        <v>3.4270111055520598</v>
      </c>
      <c r="AI191">
        <v>2.1991493441112202</v>
      </c>
      <c r="AJ191">
        <f>VLOOKUP(AF191,'v1'!AB:AD,3,0)</f>
        <v>2.0227142698909999</v>
      </c>
    </row>
    <row r="192" spans="31:36" customFormat="1" x14ac:dyDescent="0.25">
      <c r="AE192" s="1" t="s">
        <v>201</v>
      </c>
      <c r="AF192" s="2">
        <v>40238</v>
      </c>
      <c r="AG192">
        <v>0</v>
      </c>
      <c r="AH192">
        <f>VLOOKUP(AF192,LoanLevelHist!B:D,2,0)</f>
        <v>3.5037176376604902</v>
      </c>
      <c r="AI192">
        <v>2.0717282234789001</v>
      </c>
      <c r="AJ192">
        <f>VLOOKUP(AF192,'v1'!AB:AD,3,0)</f>
        <v>1.78984479090274</v>
      </c>
    </row>
    <row r="193" spans="31:36" customFormat="1" x14ac:dyDescent="0.25">
      <c r="AE193" s="1" t="s">
        <v>202</v>
      </c>
      <c r="AF193" s="2">
        <v>40269</v>
      </c>
      <c r="AG193">
        <v>0</v>
      </c>
      <c r="AH193">
        <f>VLOOKUP(AF193,LoanLevelHist!B:D,2,0)</f>
        <v>2.9012737379232201</v>
      </c>
      <c r="AI193">
        <v>2.04212606419433</v>
      </c>
      <c r="AJ193">
        <f>VLOOKUP(AF193,'v1'!AB:AD,3,0)</f>
        <v>1.7373978002160699</v>
      </c>
    </row>
    <row r="194" spans="31:36" customFormat="1" x14ac:dyDescent="0.25">
      <c r="AE194" s="1" t="s">
        <v>203</v>
      </c>
      <c r="AF194" s="2">
        <v>40299</v>
      </c>
      <c r="AG194">
        <v>0</v>
      </c>
      <c r="AH194">
        <f>VLOOKUP(AF194,LoanLevelHist!B:D,2,0)</f>
        <v>2.5998715960288199</v>
      </c>
      <c r="AI194">
        <v>2.0212931756613202</v>
      </c>
      <c r="AJ194">
        <f>VLOOKUP(AF194,'v1'!AB:AD,3,0)</f>
        <v>1.7014181154380199</v>
      </c>
    </row>
    <row r="195" spans="31:36" customFormat="1" x14ac:dyDescent="0.25">
      <c r="AE195" s="1" t="s">
        <v>204</v>
      </c>
      <c r="AF195" s="2">
        <v>40330</v>
      </c>
      <c r="AG195">
        <v>0</v>
      </c>
      <c r="AH195">
        <f>VLOOKUP(AF195,LoanLevelHist!B:D,2,0)</f>
        <v>2.5867273100285502</v>
      </c>
      <c r="AI195">
        <v>1.9985854904818099</v>
      </c>
      <c r="AJ195">
        <f>VLOOKUP(AF195,'v1'!AB:AD,3,0)</f>
        <v>1.6653029099526</v>
      </c>
    </row>
    <row r="196" spans="31:36" customFormat="1" x14ac:dyDescent="0.25">
      <c r="AE196" s="1" t="s">
        <v>205</v>
      </c>
      <c r="AF196" s="2">
        <v>40360</v>
      </c>
      <c r="AG196">
        <v>0</v>
      </c>
      <c r="AH196">
        <f>VLOOKUP(AF196,LoanLevelHist!B:D,2,0)</f>
        <v>2.3438828544702699</v>
      </c>
      <c r="AI196">
        <v>2.0101403198958598</v>
      </c>
      <c r="AJ196">
        <f>VLOOKUP(AF196,'v1'!AB:AD,3,0)</f>
        <v>1.7071129537693499</v>
      </c>
    </row>
    <row r="197" spans="31:36" customFormat="1" x14ac:dyDescent="0.25">
      <c r="AE197" s="1" t="s">
        <v>206</v>
      </c>
      <c r="AF197" s="2">
        <v>40391</v>
      </c>
      <c r="AG197">
        <v>0</v>
      </c>
      <c r="AH197">
        <f>VLOOKUP(AF197,LoanLevelHist!B:D,2,0)</f>
        <v>2.2651285913272701</v>
      </c>
      <c r="AI197">
        <v>2.0272892333971999</v>
      </c>
      <c r="AJ197">
        <f>VLOOKUP(AF197,'v1'!AB:AD,3,0)</f>
        <v>1.7519393671491801</v>
      </c>
    </row>
    <row r="198" spans="31:36" customFormat="1" x14ac:dyDescent="0.25">
      <c r="AE198" s="1" t="s">
        <v>207</v>
      </c>
      <c r="AF198" s="2">
        <v>40422</v>
      </c>
      <c r="AG198">
        <v>0</v>
      </c>
      <c r="AH198">
        <f>VLOOKUP(AF198,LoanLevelHist!B:D,2,0)</f>
        <v>2.3531104526959901</v>
      </c>
      <c r="AI198">
        <v>2.0535553820977901</v>
      </c>
      <c r="AJ198">
        <f>VLOOKUP(AF198,'v1'!AB:AD,3,0)</f>
        <v>1.8078802372862499</v>
      </c>
    </row>
    <row r="199" spans="31:36" customFormat="1" x14ac:dyDescent="0.25">
      <c r="AE199" s="1" t="s">
        <v>208</v>
      </c>
      <c r="AF199" s="2">
        <v>40452</v>
      </c>
      <c r="AG199">
        <v>0</v>
      </c>
      <c r="AH199">
        <f>VLOOKUP(AF199,LoanLevelHist!B:D,2,0)</f>
        <v>2.37002607196766</v>
      </c>
      <c r="AI199">
        <v>2.0799043681804599</v>
      </c>
      <c r="AJ199">
        <f>VLOOKUP(AF199,'v1'!AB:AD,3,0)</f>
        <v>1.8748568750150201</v>
      </c>
    </row>
    <row r="200" spans="31:36" customFormat="1" x14ac:dyDescent="0.25">
      <c r="AE200" s="1" t="s">
        <v>209</v>
      </c>
      <c r="AF200" s="2">
        <v>40483</v>
      </c>
      <c r="AG200">
        <v>0</v>
      </c>
      <c r="AH200">
        <f>VLOOKUP(AF200,LoanLevelHist!B:D,2,0)</f>
        <v>2.4093945316916101</v>
      </c>
      <c r="AI200">
        <v>2.1065131902028198</v>
      </c>
      <c r="AJ200">
        <f>VLOOKUP(AF200,'v1'!AB:AD,3,0)</f>
        <v>1.94634934518282</v>
      </c>
    </row>
    <row r="201" spans="31:36" customFormat="1" x14ac:dyDescent="0.25">
      <c r="AE201" s="1" t="s">
        <v>210</v>
      </c>
      <c r="AF201" s="2">
        <v>40513</v>
      </c>
      <c r="AG201">
        <v>2.94369415702606</v>
      </c>
      <c r="AH201">
        <f>VLOOKUP(AF201,LoanLevelHist!B:D,2,0)</f>
        <v>2.3242181641309401</v>
      </c>
      <c r="AI201">
        <v>2.1342593766832301</v>
      </c>
      <c r="AJ201">
        <f>VLOOKUP(AF201,'v1'!AB:AD,3,0)</f>
        <v>2.0214944863669602</v>
      </c>
    </row>
    <row r="202" spans="31:36" customFormat="1" x14ac:dyDescent="0.25">
      <c r="AE202" s="1" t="s">
        <v>211</v>
      </c>
      <c r="AF202" s="2">
        <v>40544</v>
      </c>
      <c r="AG202">
        <v>2.8544039964127199</v>
      </c>
      <c r="AH202">
        <f>VLOOKUP(AF202,LoanLevelHist!B:D,2,0)</f>
        <v>2.2074844746692399</v>
      </c>
      <c r="AI202">
        <v>3.0752527461675401</v>
      </c>
      <c r="AJ202">
        <f>VLOOKUP(AF202,'v1'!AB:AD,3,0)</f>
        <v>2.0580624549622302</v>
      </c>
    </row>
    <row r="203" spans="31:36" customFormat="1" x14ac:dyDescent="0.25">
      <c r="AE203" s="1" t="s">
        <v>212</v>
      </c>
      <c r="AF203" s="2">
        <v>40575</v>
      </c>
      <c r="AG203">
        <v>3.01847609904183</v>
      </c>
      <c r="AH203">
        <f>VLOOKUP(AF203,LoanLevelHist!B:D,2,0)</f>
        <v>2.1431750258135001</v>
      </c>
      <c r="AI203">
        <v>3.09339220891846</v>
      </c>
      <c r="AJ203">
        <f>VLOOKUP(AF203,'v1'!AB:AD,3,0)</f>
        <v>2.1364089760918699</v>
      </c>
    </row>
    <row r="204" spans="31:36" customFormat="1" x14ac:dyDescent="0.25">
      <c r="AE204" s="1" t="s">
        <v>213</v>
      </c>
      <c r="AF204" s="2">
        <v>40603</v>
      </c>
      <c r="AG204">
        <v>2.5918149559730499</v>
      </c>
      <c r="AH204">
        <f>VLOOKUP(AF204,LoanLevelHist!B:D,2,0)</f>
        <v>1.9992577373095199</v>
      </c>
      <c r="AI204">
        <v>3.1172350902467501</v>
      </c>
      <c r="AJ204">
        <f>VLOOKUP(AF204,'v1'!AB:AD,3,0)</f>
        <v>2.2132431343747898</v>
      </c>
    </row>
    <row r="205" spans="31:36" customFormat="1" x14ac:dyDescent="0.25">
      <c r="AE205" s="1" t="s">
        <v>214</v>
      </c>
      <c r="AF205" s="2">
        <v>40634</v>
      </c>
      <c r="AG205">
        <v>2.2371485608154602</v>
      </c>
      <c r="AH205">
        <f>VLOOKUP(AF205,LoanLevelHist!B:D,2,0)</f>
        <v>1.7807401180548801</v>
      </c>
      <c r="AI205">
        <v>3.0949099494008001</v>
      </c>
      <c r="AJ205">
        <f>VLOOKUP(AF205,'v1'!AB:AD,3,0)</f>
        <v>2.15931454852588</v>
      </c>
    </row>
    <row r="206" spans="31:36" customFormat="1" x14ac:dyDescent="0.25">
      <c r="AE206" s="1" t="s">
        <v>215</v>
      </c>
      <c r="AF206" s="2">
        <v>40664</v>
      </c>
      <c r="AG206">
        <v>2.1435583911789799</v>
      </c>
      <c r="AH206">
        <f>VLOOKUP(AF206,LoanLevelHist!B:D,2,0)</f>
        <v>1.67568562146669</v>
      </c>
      <c r="AI206">
        <v>3.0505225751868101</v>
      </c>
      <c r="AJ206">
        <f>VLOOKUP(AF206,'v1'!AB:AD,3,0)</f>
        <v>2.11247056526862</v>
      </c>
    </row>
    <row r="207" spans="31:36" customFormat="1" x14ac:dyDescent="0.25">
      <c r="AE207" s="1" t="s">
        <v>216</v>
      </c>
      <c r="AF207" s="2">
        <v>40695</v>
      </c>
      <c r="AG207">
        <v>2.1173279086885999</v>
      </c>
      <c r="AH207">
        <f>VLOOKUP(AF207,LoanLevelHist!B:D,2,0)</f>
        <v>1.81514905704161</v>
      </c>
      <c r="AI207">
        <v>2.15806558305629</v>
      </c>
      <c r="AJ207">
        <f>VLOOKUP(AF207,'v1'!AB:AD,3,0)</f>
        <v>2.1066670659945799</v>
      </c>
    </row>
    <row r="208" spans="31:36" customFormat="1" x14ac:dyDescent="0.25">
      <c r="AE208" s="1" t="s">
        <v>217</v>
      </c>
      <c r="AF208" s="2">
        <v>40725</v>
      </c>
      <c r="AG208">
        <v>2.0846663640417198</v>
      </c>
      <c r="AH208">
        <f>VLOOKUP(AF208,LoanLevelHist!B:D,2,0)</f>
        <v>1.62633141700533</v>
      </c>
      <c r="AI208">
        <v>2.1509977365031601</v>
      </c>
      <c r="AJ208">
        <f>VLOOKUP(AF208,'v1'!AB:AD,3,0)</f>
        <v>2.06535011892404</v>
      </c>
    </row>
    <row r="209" spans="31:36" customFormat="1" x14ac:dyDescent="0.25">
      <c r="AE209" s="1" t="s">
        <v>218</v>
      </c>
      <c r="AF209" s="2">
        <v>40756</v>
      </c>
      <c r="AG209">
        <v>2.0767136045586798</v>
      </c>
      <c r="AH209">
        <f>VLOOKUP(AF209,LoanLevelHist!B:D,2,0)</f>
        <v>1.6272926414172599</v>
      </c>
      <c r="AI209">
        <v>2.1453188857947301</v>
      </c>
      <c r="AJ209">
        <f>VLOOKUP(AF209,'v1'!AB:AD,3,0)</f>
        <v>2.0290025539915502</v>
      </c>
    </row>
    <row r="210" spans="31:36" customFormat="1" x14ac:dyDescent="0.25">
      <c r="AE210" s="1" t="s">
        <v>219</v>
      </c>
      <c r="AF210" s="2">
        <v>40787</v>
      </c>
      <c r="AG210">
        <v>2.1306943676025099</v>
      </c>
      <c r="AH210">
        <f>VLOOKUP(AF210,LoanLevelHist!B:D,2,0)</f>
        <v>1.65589367778965</v>
      </c>
      <c r="AI210">
        <v>2.1321079394541398</v>
      </c>
      <c r="AJ210">
        <f>VLOOKUP(AF210,'v1'!AB:AD,3,0)</f>
        <v>1.9905624232852399</v>
      </c>
    </row>
    <row r="211" spans="31:36" customFormat="1" x14ac:dyDescent="0.25">
      <c r="AE211" s="1" t="s">
        <v>220</v>
      </c>
      <c r="AF211" s="2">
        <v>40817</v>
      </c>
      <c r="AG211">
        <v>2.1940195616872402</v>
      </c>
      <c r="AH211">
        <f>VLOOKUP(AF211,LoanLevelHist!B:D,2,0)</f>
        <v>1.7099436535938499</v>
      </c>
      <c r="AI211">
        <v>2.1512160183146598</v>
      </c>
      <c r="AJ211">
        <f>VLOOKUP(AF211,'v1'!AB:AD,3,0)</f>
        <v>2.0088731975124801</v>
      </c>
    </row>
    <row r="212" spans="31:36" customFormat="1" x14ac:dyDescent="0.25">
      <c r="AE212" s="1" t="s">
        <v>221</v>
      </c>
      <c r="AF212" s="2">
        <v>40848</v>
      </c>
      <c r="AG212">
        <v>2.2744067973422899</v>
      </c>
      <c r="AH212">
        <f>VLOOKUP(AF212,LoanLevelHist!B:D,2,0)</f>
        <v>1.73891577277248</v>
      </c>
      <c r="AI212">
        <v>2.1745383606331798</v>
      </c>
      <c r="AJ212">
        <f>VLOOKUP(AF212,'v1'!AB:AD,3,0)</f>
        <v>2.0315901934890901</v>
      </c>
    </row>
    <row r="213" spans="31:36" customFormat="1" x14ac:dyDescent="0.25">
      <c r="AE213" s="1" t="s">
        <v>222</v>
      </c>
      <c r="AF213" s="2">
        <v>40878</v>
      </c>
      <c r="AG213">
        <v>2.3940326090877502</v>
      </c>
      <c r="AH213">
        <f>VLOOKUP(AF213,LoanLevelHist!B:D,2,0)</f>
        <v>1.8291200565411401</v>
      </c>
      <c r="AI213">
        <v>2.1947440903277302</v>
      </c>
      <c r="AJ213">
        <f>VLOOKUP(AF213,'v1'!AB:AD,3,0)</f>
        <v>2.0561791648638401</v>
      </c>
    </row>
    <row r="214" spans="31:36" customFormat="1" x14ac:dyDescent="0.25">
      <c r="AE214" s="1" t="s">
        <v>223</v>
      </c>
      <c r="AF214" s="2">
        <v>40909</v>
      </c>
      <c r="AG214">
        <v>2.3577087559015699</v>
      </c>
      <c r="AH214">
        <f>VLOOKUP(AF214,LoanLevelHist!B:D,2,0)</f>
        <v>1.80556836132467</v>
      </c>
      <c r="AI214">
        <v>2.2100223829546</v>
      </c>
      <c r="AJ214">
        <f>VLOOKUP(AF214,'v1'!AB:AD,3,0)</f>
        <v>2.0566094202990799</v>
      </c>
    </row>
    <row r="215" spans="31:36" customFormat="1" x14ac:dyDescent="0.25">
      <c r="AE215" s="1" t="s">
        <v>224</v>
      </c>
      <c r="AF215" s="2">
        <v>40940</v>
      </c>
      <c r="AG215">
        <v>2.3118167644729302</v>
      </c>
      <c r="AH215">
        <f>VLOOKUP(AF215,LoanLevelHist!B:D,2,0)</f>
        <v>1.7688155898111999</v>
      </c>
      <c r="AI215">
        <v>2.2086654733768998</v>
      </c>
      <c r="AJ215">
        <f>VLOOKUP(AF215,'v1'!AB:AD,3,0)</f>
        <v>2.0403041251401701</v>
      </c>
    </row>
    <row r="216" spans="31:36" customFormat="1" x14ac:dyDescent="0.25">
      <c r="AE216" s="1" t="s">
        <v>225</v>
      </c>
      <c r="AF216" s="2">
        <v>40969</v>
      </c>
      <c r="AG216">
        <v>2.1955605382016499</v>
      </c>
      <c r="AH216">
        <f>VLOOKUP(AF216,LoanLevelHist!B:D,2,0)</f>
        <v>1.64516876678602</v>
      </c>
      <c r="AI216">
        <v>2.1931453512177499</v>
      </c>
      <c r="AJ216">
        <f>VLOOKUP(AF216,'v1'!AB:AD,3,0)</f>
        <v>2.0148548780368598</v>
      </c>
    </row>
    <row r="217" spans="31:36" customFormat="1" x14ac:dyDescent="0.25">
      <c r="AE217" s="1" t="s">
        <v>226</v>
      </c>
      <c r="AF217" s="2">
        <v>41000</v>
      </c>
      <c r="AG217">
        <v>1.96565477333005</v>
      </c>
      <c r="AH217">
        <f>VLOOKUP(AF217,LoanLevelHist!B:D,2,0)</f>
        <v>1.5006403798937</v>
      </c>
      <c r="AI217">
        <v>2.12925337080876</v>
      </c>
      <c r="AJ217">
        <f>VLOOKUP(AF217,'v1'!AB:AD,3,0)</f>
        <v>1.8715781790389401</v>
      </c>
    </row>
    <row r="218" spans="31:36" customFormat="1" x14ac:dyDescent="0.25">
      <c r="AE218" s="1" t="s">
        <v>227</v>
      </c>
      <c r="AF218" s="2">
        <v>41030</v>
      </c>
      <c r="AG218">
        <v>1.8745477727752</v>
      </c>
      <c r="AH218">
        <f>VLOOKUP(AF218,LoanLevelHist!B:D,2,0)</f>
        <v>1.5205155596752</v>
      </c>
      <c r="AI218">
        <v>2.0589997587534499</v>
      </c>
      <c r="AJ218">
        <f>VLOOKUP(AF218,'v1'!AB:AD,3,0)</f>
        <v>1.7357332676352899</v>
      </c>
    </row>
    <row r="219" spans="31:36" customFormat="1" x14ac:dyDescent="0.25">
      <c r="AE219" s="1" t="s">
        <v>228</v>
      </c>
      <c r="AF219" s="2">
        <v>41061</v>
      </c>
      <c r="AG219">
        <v>1.8690522527376101</v>
      </c>
      <c r="AH219">
        <f>VLOOKUP(AF219,LoanLevelHist!B:D,2,0)</f>
        <v>1.44627007991767</v>
      </c>
      <c r="AI219">
        <v>1.9898846166271</v>
      </c>
      <c r="AJ219">
        <f>VLOOKUP(AF219,'v1'!AB:AD,3,0)</f>
        <v>1.6153086687049301</v>
      </c>
    </row>
    <row r="220" spans="31:36" customFormat="1" x14ac:dyDescent="0.25">
      <c r="AE220" s="1" t="s">
        <v>229</v>
      </c>
      <c r="AF220" s="2">
        <v>41091</v>
      </c>
      <c r="AG220">
        <v>1.7835008421335901</v>
      </c>
      <c r="AH220">
        <f>VLOOKUP(AF220,LoanLevelHist!B:D,2,0)</f>
        <v>1.3786600207576201</v>
      </c>
      <c r="AI220">
        <v>1.9308062093179601</v>
      </c>
      <c r="AJ220">
        <f>VLOOKUP(AF220,'v1'!AB:AD,3,0)</f>
        <v>1.54596310799648</v>
      </c>
    </row>
    <row r="221" spans="31:36" customFormat="1" x14ac:dyDescent="0.25">
      <c r="AE221" s="1" t="s">
        <v>230</v>
      </c>
      <c r="AF221" s="2">
        <v>41122</v>
      </c>
      <c r="AG221">
        <v>1.7985188793426401</v>
      </c>
      <c r="AH221">
        <f>VLOOKUP(AF221,LoanLevelHist!B:D,2,0)</f>
        <v>1.39243886455043</v>
      </c>
      <c r="AI221">
        <v>1.8889468945966199</v>
      </c>
      <c r="AJ221">
        <f>VLOOKUP(AF221,'v1'!AB:AD,3,0)</f>
        <v>1.49678689502984</v>
      </c>
    </row>
    <row r="222" spans="31:36" customFormat="1" x14ac:dyDescent="0.25">
      <c r="AE222" s="1" t="s">
        <v>231</v>
      </c>
      <c r="AF222" s="2">
        <v>41153</v>
      </c>
      <c r="AG222">
        <v>1.74821136020108</v>
      </c>
      <c r="AH222">
        <f>VLOOKUP(AF222,LoanLevelHist!B:D,2,0)</f>
        <v>1.31844265113703</v>
      </c>
      <c r="AI222">
        <v>1.8406928513941301</v>
      </c>
      <c r="AJ222">
        <f>VLOOKUP(AF222,'v1'!AB:AD,3,0)</f>
        <v>1.4442810953027001</v>
      </c>
    </row>
    <row r="223" spans="31:36" customFormat="1" x14ac:dyDescent="0.25">
      <c r="AE223" s="1" t="s">
        <v>232</v>
      </c>
      <c r="AF223" s="2">
        <v>41183</v>
      </c>
      <c r="AG223">
        <v>1.7948698080729599</v>
      </c>
      <c r="AH223">
        <f>VLOOKUP(AF223,LoanLevelHist!B:D,2,0)</f>
        <v>1.37033784774322</v>
      </c>
      <c r="AI223">
        <v>1.81292274263509</v>
      </c>
      <c r="AJ223">
        <f>VLOOKUP(AF223,'v1'!AB:AD,3,0)</f>
        <v>1.41613955326235</v>
      </c>
    </row>
    <row r="224" spans="31:36" customFormat="1" x14ac:dyDescent="0.25">
      <c r="AE224" s="1" t="s">
        <v>233</v>
      </c>
      <c r="AF224" s="2">
        <v>41214</v>
      </c>
      <c r="AG224">
        <v>1.7644306973522501</v>
      </c>
      <c r="AH224">
        <f>VLOOKUP(AF224,LoanLevelHist!B:D,2,0)</f>
        <v>1.3267119713395401</v>
      </c>
      <c r="AI224">
        <v>1.76585105595499</v>
      </c>
      <c r="AJ224">
        <f>VLOOKUP(AF224,'v1'!AB:AD,3,0)</f>
        <v>1.37712982673004</v>
      </c>
    </row>
    <row r="225" spans="31:36" customFormat="1" x14ac:dyDescent="0.25">
      <c r="AE225" s="1" t="s">
        <v>234</v>
      </c>
      <c r="AF225" s="2">
        <v>41244</v>
      </c>
      <c r="AG225">
        <v>1.6842785823566599</v>
      </c>
      <c r="AH225">
        <f>VLOOKUP(AF225,LoanLevelHist!B:D,2,0)</f>
        <v>1.2797866578653301</v>
      </c>
      <c r="AI225">
        <v>1.70841382179588</v>
      </c>
      <c r="AJ225">
        <f>VLOOKUP(AF225,'v1'!AB:AD,3,0)</f>
        <v>1.3306328543985499</v>
      </c>
    </row>
    <row r="226" spans="31:36" customFormat="1" x14ac:dyDescent="0.25">
      <c r="AE226" s="1" t="s">
        <v>235</v>
      </c>
      <c r="AF226" s="2">
        <v>41275</v>
      </c>
      <c r="AG226">
        <v>1.7239156172621499</v>
      </c>
      <c r="AH226">
        <f>VLOOKUP(AF226,LoanLevelHist!B:D,2,0)</f>
        <v>1.27426202293821</v>
      </c>
      <c r="AI226">
        <v>1.6667520001098901</v>
      </c>
      <c r="AJ226">
        <f>VLOOKUP(AF226,'v1'!AB:AD,3,0)</f>
        <v>1.2926883342623601</v>
      </c>
    </row>
    <row r="227" spans="31:36" customFormat="1" x14ac:dyDescent="0.25">
      <c r="AE227" s="1" t="s">
        <v>236</v>
      </c>
      <c r="AF227" s="2">
        <v>41306</v>
      </c>
      <c r="AG227">
        <v>1.63407369714366</v>
      </c>
      <c r="AH227">
        <f>VLOOKUP(AF227,LoanLevelHist!B:D,2,0)</f>
        <v>1.1926099516892601</v>
      </c>
      <c r="AI227">
        <v>1.60485812774787</v>
      </c>
      <c r="AJ227">
        <f>VLOOKUP(AF227,'v1'!AB:AD,3,0)</f>
        <v>1.2438721796835399</v>
      </c>
    </row>
    <row r="228" spans="31:36" customFormat="1" x14ac:dyDescent="0.25">
      <c r="AE228" s="1" t="s">
        <v>237</v>
      </c>
      <c r="AF228" s="2">
        <v>41334</v>
      </c>
      <c r="AG228">
        <v>1.60644195897374</v>
      </c>
      <c r="AH228">
        <f>VLOOKUP(AF228,LoanLevelHist!B:D,2,0)</f>
        <v>1.15919411211644</v>
      </c>
      <c r="AI228">
        <v>1.53754368031586</v>
      </c>
      <c r="AJ228">
        <f>VLOOKUP(AF228,'v1'!AB:AD,3,0)</f>
        <v>1.1925854341394599</v>
      </c>
    </row>
    <row r="229" spans="31:36" customFormat="1" x14ac:dyDescent="0.25">
      <c r="AE229" s="1" t="s">
        <v>238</v>
      </c>
      <c r="AF229" s="2">
        <v>41365</v>
      </c>
      <c r="AG229">
        <v>1.3451281632401499</v>
      </c>
      <c r="AH229">
        <f>VLOOKUP(AF229,LoanLevelHist!B:D,2,0)</f>
        <v>0.96415722036416995</v>
      </c>
      <c r="AI229">
        <v>1.4189439746243799</v>
      </c>
      <c r="AJ229">
        <f>VLOOKUP(AF229,'v1'!AB:AD,3,0)</f>
        <v>1.1014406414011599</v>
      </c>
    </row>
    <row r="230" spans="31:36" customFormat="1" x14ac:dyDescent="0.25">
      <c r="AE230" s="1" t="s">
        <v>239</v>
      </c>
      <c r="AF230" s="2">
        <v>41395</v>
      </c>
      <c r="AG230">
        <v>1.1994987791385301</v>
      </c>
      <c r="AH230">
        <f>VLOOKUP(AF230,LoanLevelHist!B:D,2,0)</f>
        <v>0.88373567283088805</v>
      </c>
      <c r="AI230">
        <v>1.3083559844541801</v>
      </c>
      <c r="AJ230">
        <f>VLOOKUP(AF230,'v1'!AB:AD,3,0)</f>
        <v>1.0227533674374301</v>
      </c>
    </row>
    <row r="231" spans="31:36" customFormat="1" x14ac:dyDescent="0.25">
      <c r="AE231" s="1" t="s">
        <v>240</v>
      </c>
      <c r="AF231" s="2">
        <v>41426</v>
      </c>
      <c r="AG231">
        <v>1.17734546359693</v>
      </c>
      <c r="AH231">
        <f>VLOOKUP(AF231,LoanLevelHist!B:D,2,0)</f>
        <v>0.84057894840388103</v>
      </c>
      <c r="AI231">
        <v>1.21293773281268</v>
      </c>
      <c r="AJ231">
        <f>VLOOKUP(AF231,'v1'!AB:AD,3,0)</f>
        <v>0.96054066080023504</v>
      </c>
    </row>
    <row r="232" spans="31:36" customFormat="1" x14ac:dyDescent="0.25">
      <c r="AE232" s="1" t="s">
        <v>241</v>
      </c>
      <c r="AF232" s="2">
        <v>41456</v>
      </c>
      <c r="AG232">
        <v>1.1428769843004101</v>
      </c>
      <c r="AH232">
        <f>VLOOKUP(AF232,LoanLevelHist!B:D,2,0)</f>
        <v>0.818941322077127</v>
      </c>
      <c r="AI232">
        <v>1.1428235553658901</v>
      </c>
      <c r="AJ232">
        <f>VLOOKUP(AF232,'v1'!AB:AD,3,0)</f>
        <v>0.91624505120213595</v>
      </c>
    </row>
    <row r="233" spans="31:36" customFormat="1" x14ac:dyDescent="0.25">
      <c r="AE233" s="1" t="s">
        <v>242</v>
      </c>
      <c r="AF233" s="2">
        <v>41487</v>
      </c>
      <c r="AG233">
        <v>1.0772854823956299</v>
      </c>
      <c r="AH233">
        <f>VLOOKUP(AF233,LoanLevelHist!B:D,2,0)</f>
        <v>0.76199690274208998</v>
      </c>
      <c r="AI233">
        <v>1.07819689513426</v>
      </c>
      <c r="AJ233">
        <f>VLOOKUP(AF233,'v1'!AB:AD,3,0)</f>
        <v>0.87670415808602797</v>
      </c>
    </row>
    <row r="234" spans="31:36" customFormat="1" x14ac:dyDescent="0.25">
      <c r="AE234" s="1" t="s">
        <v>243</v>
      </c>
      <c r="AF234" s="2">
        <v>41518</v>
      </c>
      <c r="AG234">
        <v>1.0788250312813501</v>
      </c>
      <c r="AH234">
        <f>VLOOKUP(AF234,LoanLevelHist!B:D,2,0)</f>
        <v>0.76420753839376898</v>
      </c>
      <c r="AI234">
        <v>1.01739715508172</v>
      </c>
      <c r="AJ234">
        <f>VLOOKUP(AF234,'v1'!AB:AD,3,0)</f>
        <v>0.83894353410357603</v>
      </c>
    </row>
    <row r="235" spans="31:36" customFormat="1" x14ac:dyDescent="0.25">
      <c r="AE235" s="1" t="s">
        <v>244</v>
      </c>
      <c r="AF235" s="2">
        <v>41548</v>
      </c>
      <c r="AG235">
        <v>1.0364740331311999</v>
      </c>
      <c r="AH235">
        <f>VLOOKUP(AF235,LoanLevelHist!B:D,2,0)</f>
        <v>0.76871540688981899</v>
      </c>
      <c r="AI235">
        <v>0.99138413649387802</v>
      </c>
      <c r="AJ235">
        <f>VLOOKUP(AF235,'v1'!AB:AD,3,0)</f>
        <v>0.82521044623954398</v>
      </c>
    </row>
    <row r="236" spans="31:36" customFormat="1" x14ac:dyDescent="0.25">
      <c r="AE236" s="1" t="s">
        <v>245</v>
      </c>
      <c r="AF236" s="2">
        <v>41579</v>
      </c>
      <c r="AG236">
        <v>0.99584955516093299</v>
      </c>
      <c r="AH236">
        <f>VLOOKUP(AF236,LoanLevelHist!B:D,2,0)</f>
        <v>0.70530120798186802</v>
      </c>
      <c r="AI236">
        <v>0.97211416016136398</v>
      </c>
      <c r="AJ236">
        <f>VLOOKUP(AF236,'v1'!AB:AD,3,0)</f>
        <v>0.81689177503437804</v>
      </c>
    </row>
    <row r="237" spans="31:36" customFormat="1" x14ac:dyDescent="0.25">
      <c r="AE237" s="1" t="s">
        <v>246</v>
      </c>
      <c r="AF237" s="2">
        <v>41609</v>
      </c>
      <c r="AG237">
        <v>1.0089726872343601</v>
      </c>
      <c r="AH237">
        <f>VLOOKUP(AF237,LoanLevelHist!B:D,2,0)</f>
        <v>0.73539410682857997</v>
      </c>
      <c r="AI237">
        <v>0.95616695931676199</v>
      </c>
      <c r="AJ237">
        <f>VLOOKUP(AF237,'v1'!AB:AD,3,0)</f>
        <v>0.80939029838958998</v>
      </c>
    </row>
    <row r="238" spans="31:36" customFormat="1" x14ac:dyDescent="0.25">
      <c r="AE238" s="1" t="s">
        <v>247</v>
      </c>
      <c r="AF238" s="2">
        <v>41640</v>
      </c>
      <c r="AG238">
        <v>0.97823824772996804</v>
      </c>
      <c r="AH238">
        <f>VLOOKUP(AF238,LoanLevelHist!B:D,2,0)</f>
        <v>0.68627701687525899</v>
      </c>
      <c r="AI238">
        <v>0.93337748637011297</v>
      </c>
      <c r="AJ238">
        <f>VLOOKUP(AF238,'v1'!AB:AD,3,0)</f>
        <v>0.79808000167362902</v>
      </c>
    </row>
    <row r="239" spans="31:36" customFormat="1" x14ac:dyDescent="0.25">
      <c r="AE239" s="1" t="s">
        <v>248</v>
      </c>
      <c r="AF239" s="2">
        <v>41671</v>
      </c>
      <c r="AG239">
        <v>0.94596064443802597</v>
      </c>
      <c r="AH239">
        <f>VLOOKUP(AF239,LoanLevelHist!B:D,2,0)</f>
        <v>0.68027322603685403</v>
      </c>
      <c r="AI239">
        <v>0.914781584006918</v>
      </c>
      <c r="AJ239">
        <f>VLOOKUP(AF239,'v1'!AB:AD,3,0)</f>
        <v>0.78918258497143701</v>
      </c>
    </row>
    <row r="240" spans="31:36" customFormat="1" x14ac:dyDescent="0.25">
      <c r="AE240" s="1" t="s">
        <v>249</v>
      </c>
      <c r="AF240" s="2">
        <v>41699</v>
      </c>
      <c r="AG240">
        <v>0.88176069656054101</v>
      </c>
      <c r="AH240">
        <f>VLOOKUP(AF240,LoanLevelHist!B:D,2,0)</f>
        <v>0.61706002898906898</v>
      </c>
      <c r="AI240">
        <v>0.89994058918423403</v>
      </c>
      <c r="AJ240">
        <f>VLOOKUP(AF240,'v1'!AB:AD,3,0)</f>
        <v>0.78247961404456201</v>
      </c>
    </row>
    <row r="241" spans="31:36" customFormat="1" x14ac:dyDescent="0.25">
      <c r="AE241" s="1" t="s">
        <v>250</v>
      </c>
      <c r="AF241" s="2">
        <v>41730</v>
      </c>
      <c r="AG241">
        <v>0.77089322969239304</v>
      </c>
      <c r="AH241">
        <f>VLOOKUP(AF241,LoanLevelHist!B:D,2,0)</f>
        <v>0.55488711442569505</v>
      </c>
      <c r="AI241">
        <v>0.85965784216445196</v>
      </c>
      <c r="AJ241">
        <f>VLOOKUP(AF241,'v1'!AB:AD,3,0)</f>
        <v>0.75880602368504402</v>
      </c>
    </row>
    <row r="242" spans="31:36" customFormat="1" x14ac:dyDescent="0.25">
      <c r="AE242" s="1" t="s">
        <v>251</v>
      </c>
      <c r="AF242" s="2">
        <v>41760</v>
      </c>
      <c r="AG242">
        <v>0.70730827752463199</v>
      </c>
      <c r="AH242">
        <f>VLOOKUP(AF242,LoanLevelHist!B:D,2,0)</f>
        <v>0.50430946195232396</v>
      </c>
      <c r="AI242">
        <v>0.82016679551624205</v>
      </c>
      <c r="AJ242">
        <f>VLOOKUP(AF242,'v1'!AB:AD,3,0)</f>
        <v>0.73486946711488499</v>
      </c>
    </row>
    <row r="243" spans="31:36" customFormat="1" x14ac:dyDescent="0.25">
      <c r="AE243" s="1" t="s">
        <v>252</v>
      </c>
      <c r="AF243" s="2">
        <v>41791</v>
      </c>
      <c r="AG243">
        <v>0.73020794921990795</v>
      </c>
      <c r="AH243">
        <f>VLOOKUP(AF243,LoanLevelHist!B:D,2,0)</f>
        <v>0.51325964463555496</v>
      </c>
      <c r="AI243">
        <v>0.78464121624739502</v>
      </c>
      <c r="AJ243">
        <f>VLOOKUP(AF243,'v1'!AB:AD,3,0)</f>
        <v>0.71205441493439303</v>
      </c>
    </row>
    <row r="244" spans="31:36" customFormat="1" x14ac:dyDescent="0.25">
      <c r="AE244" s="1" t="s">
        <v>253</v>
      </c>
      <c r="AF244" s="2">
        <v>41821</v>
      </c>
      <c r="AG244">
        <v>0.69287565148261598</v>
      </c>
      <c r="AH244">
        <f>VLOOKUP(AF244,LoanLevelHist!B:D,2,0)</f>
        <v>0.495774289693174</v>
      </c>
      <c r="AI244">
        <v>0.76751546073147203</v>
      </c>
      <c r="AJ244">
        <f>VLOOKUP(AF244,'v1'!AB:AD,3,0)</f>
        <v>0.702716749023791</v>
      </c>
    </row>
    <row r="245" spans="31:36" customFormat="1" x14ac:dyDescent="0.25">
      <c r="AE245" s="1" t="s">
        <v>254</v>
      </c>
      <c r="AF245" s="2">
        <v>41852</v>
      </c>
      <c r="AG245">
        <v>0.71117159013176501</v>
      </c>
      <c r="AH245">
        <f>VLOOKUP(AF245,LoanLevelHist!B:D,2,0)</f>
        <v>0.51764069948053704</v>
      </c>
      <c r="AI245">
        <v>0.74280544263651804</v>
      </c>
      <c r="AJ245">
        <f>VLOOKUP(AF245,'v1'!AB:AD,3,0)</f>
        <v>0.69538935457670303</v>
      </c>
    </row>
    <row r="246" spans="31:36" customFormat="1" x14ac:dyDescent="0.25">
      <c r="AE246" s="1" t="s">
        <v>255</v>
      </c>
      <c r="AF246" s="2">
        <v>41883</v>
      </c>
      <c r="AG246">
        <v>0.69269283228867695</v>
      </c>
      <c r="AH246">
        <f>VLOOKUP(AF246,LoanLevelHist!B:D,2,0)</f>
        <v>0.47936854997417999</v>
      </c>
      <c r="AI246">
        <v>0.73411845641013795</v>
      </c>
      <c r="AJ246">
        <f>VLOOKUP(AF246,'v1'!AB:AD,3,0)</f>
        <v>0.68046536933302804</v>
      </c>
    </row>
    <row r="247" spans="31:36" customFormat="1" x14ac:dyDescent="0.25">
      <c r="AE247" s="1" t="s">
        <v>256</v>
      </c>
      <c r="AF247" s="2">
        <v>41913</v>
      </c>
      <c r="AG247">
        <v>0.689705290668985</v>
      </c>
      <c r="AH247">
        <f>VLOOKUP(AF247,LoanLevelHist!B:D,2,0)</f>
        <v>0.48468081322732298</v>
      </c>
      <c r="AI247">
        <v>0.72397010094293901</v>
      </c>
      <c r="AJ247">
        <f>VLOOKUP(AF247,'v1'!AB:AD,3,0)</f>
        <v>0.67451217366938399</v>
      </c>
    </row>
    <row r="248" spans="31:36" customFormat="1" x14ac:dyDescent="0.25">
      <c r="AE248" s="1" t="s">
        <v>257</v>
      </c>
      <c r="AF248" s="2">
        <v>41944</v>
      </c>
      <c r="AG248">
        <v>0.65397913694174004</v>
      </c>
      <c r="AH248">
        <f>VLOOKUP(AF248,LoanLevelHist!B:D,2,0)</f>
        <v>0.466411069183292</v>
      </c>
      <c r="AI248">
        <v>0.71475498192067299</v>
      </c>
      <c r="AJ248">
        <f>VLOOKUP(AF248,'v1'!AB:AD,3,0)</f>
        <v>0.66860767704117796</v>
      </c>
    </row>
    <row r="249" spans="31:36" customFormat="1" x14ac:dyDescent="0.25">
      <c r="AE249" s="1" t="s">
        <v>258</v>
      </c>
      <c r="AF249" s="2">
        <v>41974</v>
      </c>
      <c r="AG249">
        <v>0.69831895263763299</v>
      </c>
      <c r="AH249">
        <f>VLOOKUP(AF249,LoanLevelHist!B:D,2,0)</f>
        <v>0.47681591709879401</v>
      </c>
      <c r="AI249">
        <v>0.708098227006704</v>
      </c>
      <c r="AJ249">
        <f>VLOOKUP(AF249,'v1'!AB:AD,3,0)</f>
        <v>0.66512661081309399</v>
      </c>
    </row>
    <row r="250" spans="31:36" customFormat="1" x14ac:dyDescent="0.25">
      <c r="AE250" s="1" t="s">
        <v>259</v>
      </c>
      <c r="AF250" s="2">
        <v>42005</v>
      </c>
      <c r="AG250">
        <v>0.64969267875842895</v>
      </c>
      <c r="AH250">
        <f>VLOOKUP(AF250,LoanLevelHist!B:D,2,0)</f>
        <v>0.46409720042372998</v>
      </c>
      <c r="AI250">
        <v>0.70022808395611102</v>
      </c>
      <c r="AJ250">
        <f>VLOOKUP(AF250,'v1'!AB:AD,3,0)</f>
        <v>0.65957899363705597</v>
      </c>
    </row>
    <row r="251" spans="31:36" customFormat="1" x14ac:dyDescent="0.25">
      <c r="AE251" s="1" t="s">
        <v>260</v>
      </c>
      <c r="AF251" s="2">
        <v>42036</v>
      </c>
      <c r="AG251">
        <v>0.64380936081920304</v>
      </c>
      <c r="AH251">
        <f>VLOOKUP(AF251,LoanLevelHist!B:D,2,0)</f>
        <v>0.45248429952595698</v>
      </c>
      <c r="AI251">
        <v>0.69414576436556097</v>
      </c>
      <c r="AJ251">
        <f>VLOOKUP(AF251,'v1'!AB:AD,3,0)</f>
        <v>0.65541165695933701</v>
      </c>
    </row>
    <row r="252" spans="31:36" customFormat="1" x14ac:dyDescent="0.25">
      <c r="AE252" s="1" t="s">
        <v>261</v>
      </c>
      <c r="AF252" s="2">
        <v>42064</v>
      </c>
      <c r="AG252">
        <v>0.58813600864986404</v>
      </c>
      <c r="AH252">
        <f>VLOOKUP(AF252,LoanLevelHist!B:D,2,0)</f>
        <v>0.41507828536597702</v>
      </c>
      <c r="AI252">
        <v>0.687575601014356</v>
      </c>
      <c r="AJ252">
        <f>VLOOKUP(AF252,'v1'!AB:AD,3,0)</f>
        <v>0.65030663897289698</v>
      </c>
    </row>
    <row r="253" spans="31:36" customFormat="1" x14ac:dyDescent="0.25">
      <c r="AE253" s="1" t="s">
        <v>262</v>
      </c>
      <c r="AF253" s="2">
        <v>42095</v>
      </c>
      <c r="AG253">
        <v>0.50731464004529803</v>
      </c>
      <c r="AH253">
        <f>VLOOKUP(AF253,LoanLevelHist!B:D,2,0)</f>
        <v>0.36122909441729201</v>
      </c>
      <c r="AI253">
        <v>0.66966328333813996</v>
      </c>
      <c r="AJ253">
        <f>VLOOKUP(AF253,'v1'!AB:AD,3,0)</f>
        <v>0.63454004949169396</v>
      </c>
    </row>
    <row r="254" spans="31:36" customFormat="1" x14ac:dyDescent="0.25">
      <c r="AE254" s="1" t="s">
        <v>263</v>
      </c>
      <c r="AF254" s="2">
        <v>42125</v>
      </c>
      <c r="AG254">
        <v>0.48334304569323</v>
      </c>
      <c r="AH254">
        <f>VLOOKUP(AF254,LoanLevelHist!B:D,2,0)</f>
        <v>0.35738949022405803</v>
      </c>
      <c r="AI254">
        <v>0.64710563504628604</v>
      </c>
      <c r="AJ254">
        <f>VLOOKUP(AF254,'v1'!AB:AD,3,0)</f>
        <v>0.61354776258044597</v>
      </c>
    </row>
    <row r="255" spans="31:36" customFormat="1" x14ac:dyDescent="0.25">
      <c r="AE255" s="1" t="s">
        <v>264</v>
      </c>
      <c r="AF255" s="2">
        <v>42156</v>
      </c>
      <c r="AG255">
        <v>0.44822073042972699</v>
      </c>
      <c r="AH255">
        <f>VLOOKUP(AF255,LoanLevelHist!B:D,2,0)</f>
        <v>0.32915963955050298</v>
      </c>
      <c r="AI255">
        <v>0.62529271473968895</v>
      </c>
      <c r="AJ255">
        <f>VLOOKUP(AF255,'v1'!AB:AD,3,0)</f>
        <v>0.594200581602089</v>
      </c>
    </row>
    <row r="256" spans="31:36" customFormat="1" x14ac:dyDescent="0.25">
      <c r="AE256" s="1" t="s">
        <v>265</v>
      </c>
      <c r="AF256" s="2">
        <v>42186</v>
      </c>
      <c r="AG256">
        <v>0.42191429944450398</v>
      </c>
      <c r="AH256" t="e">
        <f>VLOOKUP(AF256,LoanLevelHist!B:D,2,0)</f>
        <v>#N/A</v>
      </c>
      <c r="AI256">
        <v>0.613069471136096</v>
      </c>
      <c r="AJ256">
        <f>VLOOKUP(AF256,'v1'!AB:AD,3,0)</f>
        <v>0.58337284480440799</v>
      </c>
    </row>
    <row r="257" spans="31:36" customFormat="1" x14ac:dyDescent="0.25">
      <c r="AE257" s="1" t="s">
        <v>266</v>
      </c>
      <c r="AF257" s="2">
        <v>42217</v>
      </c>
      <c r="AG257">
        <v>0.43800255169093</v>
      </c>
      <c r="AH257" t="e">
        <f>VLOOKUP(AF257,LoanLevelHist!B:D,2,0)</f>
        <v>#N/A</v>
      </c>
      <c r="AI257">
        <v>0.60021829156644602</v>
      </c>
      <c r="AJ257">
        <f>VLOOKUP(AF257,'v1'!AB:AD,3,0)</f>
        <v>0.57307307997633805</v>
      </c>
    </row>
    <row r="258" spans="31:36" customFormat="1" x14ac:dyDescent="0.25">
      <c r="AE258" s="1" t="s">
        <v>267</v>
      </c>
      <c r="AF258" s="2">
        <v>42248</v>
      </c>
      <c r="AG258">
        <v>0.43729943870187699</v>
      </c>
      <c r="AH258" t="e">
        <f>VLOOKUP(AF258,LoanLevelHist!B:D,2,0)</f>
        <v>#N/A</v>
      </c>
      <c r="AI258">
        <v>0.59149410216071696</v>
      </c>
      <c r="AJ258">
        <f>VLOOKUP(AF258,'v1'!AB:AD,3,0)</f>
        <v>0.56541900993673</v>
      </c>
    </row>
    <row r="259" spans="31:36" customFormat="1" x14ac:dyDescent="0.25">
      <c r="AE259" s="1" t="s">
        <v>268</v>
      </c>
      <c r="AF259" s="2">
        <v>42278</v>
      </c>
      <c r="AG259">
        <v>0.44998184278133302</v>
      </c>
      <c r="AH259" t="e">
        <f>VLOOKUP(AF259,LoanLevelHist!B:D,2,0)</f>
        <v>#N/A</v>
      </c>
      <c r="AI259">
        <v>0.58910443892801201</v>
      </c>
      <c r="AJ259">
        <f>VLOOKUP(AF259,'v1'!AB:AD,3,0)</f>
        <v>0.56384894237739802</v>
      </c>
    </row>
    <row r="260" spans="31:36" customFormat="1" x14ac:dyDescent="0.25">
      <c r="AE260" s="1" t="s">
        <v>269</v>
      </c>
      <c r="AF260" s="2">
        <v>42309</v>
      </c>
      <c r="AG260">
        <v>0.468423935065643</v>
      </c>
      <c r="AH260" t="e">
        <f>VLOOKUP(AF260,LoanLevelHist!B:D,2,0)</f>
        <v>#N/A</v>
      </c>
      <c r="AI260">
        <v>0.58676234795090898</v>
      </c>
      <c r="AJ260">
        <f>VLOOKUP(AF260,'v1'!AB:AD,3,0)</f>
        <v>0.56287913696765302</v>
      </c>
    </row>
    <row r="261" spans="31:36" customFormat="1" x14ac:dyDescent="0.25">
      <c r="AE261" s="1" t="s">
        <v>270</v>
      </c>
      <c r="AF261" s="2">
        <v>42339</v>
      </c>
      <c r="AG261">
        <v>0.47337548501534799</v>
      </c>
      <c r="AH261" t="e">
        <f>VLOOKUP(AF261,LoanLevelHist!B:D,2,0)</f>
        <v>#N/A</v>
      </c>
      <c r="AI261">
        <v>0.58725904102836501</v>
      </c>
      <c r="AJ261">
        <f>VLOOKUP(AF261,'v1'!AB:AD,3,0)</f>
        <v>0.56480533777908404</v>
      </c>
    </row>
    <row r="262" spans="31:36" customFormat="1" x14ac:dyDescent="0.25">
      <c r="AE262" s="1" t="s">
        <v>271</v>
      </c>
      <c r="AF262" s="2">
        <v>42370</v>
      </c>
      <c r="AG262">
        <v>0.44586697615924797</v>
      </c>
      <c r="AH262" t="e">
        <f>VLOOKUP(AF262,LoanLevelHist!B:D,2,0)</f>
        <v>#N/A</v>
      </c>
      <c r="AI262">
        <v>0.58708997022508502</v>
      </c>
      <c r="AJ262">
        <f>VLOOKUP(AF262,'v1'!AB:AD,3,0)</f>
        <v>0.56580869358824304</v>
      </c>
    </row>
    <row r="263" spans="31:36" customFormat="1" x14ac:dyDescent="0.25">
      <c r="AE263" s="1" t="s">
        <v>272</v>
      </c>
      <c r="AF263" s="2">
        <v>42401</v>
      </c>
      <c r="AG263">
        <v>0.45481421246306197</v>
      </c>
      <c r="AH263" t="e">
        <f>VLOOKUP(AF263,LoanLevelHist!B:D,2,0)</f>
        <v>#N/A</v>
      </c>
      <c r="AI263">
        <v>0.58808762900394196</v>
      </c>
      <c r="AJ263">
        <f>VLOOKUP(AF263,'v1'!AB:AD,3,0)</f>
        <v>0.56720945028213599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3"/>
  <sheetViews>
    <sheetView workbookViewId="0">
      <selection activeCell="AD2" sqref="AD2"/>
    </sheetView>
  </sheetViews>
  <sheetFormatPr defaultRowHeight="15" x14ac:dyDescent="0.25"/>
  <sheetData>
    <row r="1" spans="1:30" x14ac:dyDescent="0.25">
      <c r="A1" s="1" t="s">
        <v>67</v>
      </c>
      <c r="B1" t="s">
        <v>0</v>
      </c>
      <c r="C1" t="s">
        <v>1</v>
      </c>
      <c r="D1" t="s">
        <v>2</v>
      </c>
      <c r="G1" s="1" t="s">
        <v>71</v>
      </c>
      <c r="H1" t="s">
        <v>0</v>
      </c>
      <c r="I1" t="s">
        <v>1</v>
      </c>
      <c r="J1" t="s">
        <v>2</v>
      </c>
      <c r="L1" s="1"/>
      <c r="M1" t="s">
        <v>0</v>
      </c>
      <c r="N1" t="s">
        <v>1</v>
      </c>
      <c r="O1" t="s">
        <v>2</v>
      </c>
      <c r="Q1" s="1"/>
      <c r="R1" t="s">
        <v>0</v>
      </c>
      <c r="S1" t="s">
        <v>1</v>
      </c>
      <c r="T1" t="s">
        <v>2</v>
      </c>
      <c r="V1" s="1"/>
      <c r="W1" t="s">
        <v>0</v>
      </c>
      <c r="X1" t="s">
        <v>1</v>
      </c>
      <c r="Y1" t="s">
        <v>2</v>
      </c>
      <c r="AA1" s="1"/>
      <c r="AB1" t="s">
        <v>0</v>
      </c>
      <c r="AC1" t="s">
        <v>1</v>
      </c>
      <c r="AD1" t="s">
        <v>2</v>
      </c>
    </row>
    <row r="2" spans="1:30" x14ac:dyDescent="0.25">
      <c r="A2" t="s">
        <v>3</v>
      </c>
      <c r="B2" s="2">
        <v>40513</v>
      </c>
      <c r="C2">
        <v>2.9403270560502999</v>
      </c>
      <c r="D2">
        <v>2.1523347633032399</v>
      </c>
      <c r="G2" t="s">
        <v>3</v>
      </c>
      <c r="H2" s="2">
        <v>40513</v>
      </c>
      <c r="I2">
        <v>2.94369415702606</v>
      </c>
      <c r="J2">
        <v>2.1546881322415299</v>
      </c>
      <c r="L2" t="s">
        <v>3</v>
      </c>
      <c r="M2" s="2">
        <v>40513</v>
      </c>
      <c r="N2">
        <v>8.74252811807348</v>
      </c>
      <c r="O2">
        <v>0.812177646143319</v>
      </c>
      <c r="Q2" t="s">
        <v>3</v>
      </c>
      <c r="R2" s="2">
        <v>40513</v>
      </c>
      <c r="S2">
        <v>1.04631944292003</v>
      </c>
      <c r="T2">
        <v>1.4039362236464299</v>
      </c>
      <c r="V2" t="s">
        <v>3</v>
      </c>
      <c r="W2" s="2">
        <v>41091</v>
      </c>
      <c r="X2">
        <v>0</v>
      </c>
      <c r="Y2">
        <v>0.30028540234311502</v>
      </c>
      <c r="AA2" t="s">
        <v>3</v>
      </c>
      <c r="AB2" s="2">
        <v>34335</v>
      </c>
      <c r="AC2">
        <v>0</v>
      </c>
      <c r="AD2">
        <v>4.8661250181214503E-3</v>
      </c>
    </row>
    <row r="3" spans="1:30" x14ac:dyDescent="0.25">
      <c r="A3" t="s">
        <v>4</v>
      </c>
      <c r="B3" s="2">
        <v>40544</v>
      </c>
      <c r="C3">
        <v>2.8515887646976901</v>
      </c>
      <c r="D3">
        <v>2.1791282800968799</v>
      </c>
      <c r="G3" t="s">
        <v>4</v>
      </c>
      <c r="H3" s="2">
        <v>40544</v>
      </c>
      <c r="I3">
        <v>2.8544039964127199</v>
      </c>
      <c r="J3">
        <v>2.1831643663766198</v>
      </c>
      <c r="L3" t="s">
        <v>4</v>
      </c>
      <c r="M3" s="2">
        <v>40544</v>
      </c>
      <c r="N3">
        <v>2.5327830427341</v>
      </c>
      <c r="O3">
        <v>0.318278899305657</v>
      </c>
      <c r="Q3" t="s">
        <v>4</v>
      </c>
      <c r="R3" s="2">
        <v>40544</v>
      </c>
      <c r="S3">
        <v>2.08468844246653</v>
      </c>
      <c r="T3">
        <v>1.40344885759658</v>
      </c>
      <c r="V3" t="s">
        <v>4</v>
      </c>
      <c r="W3" s="2">
        <v>41122</v>
      </c>
      <c r="X3">
        <v>0</v>
      </c>
      <c r="Y3">
        <v>0.45887599046399202</v>
      </c>
      <c r="AA3" t="s">
        <v>4</v>
      </c>
      <c r="AB3" s="2">
        <v>34366</v>
      </c>
      <c r="AC3">
        <v>0</v>
      </c>
      <c r="AD3">
        <v>0.214115224498479</v>
      </c>
    </row>
    <row r="4" spans="1:30" x14ac:dyDescent="0.25">
      <c r="A4" t="s">
        <v>5</v>
      </c>
      <c r="B4" s="2">
        <v>40575</v>
      </c>
      <c r="C4">
        <v>3.0092574384375799</v>
      </c>
      <c r="D4">
        <v>2.2621514618217602</v>
      </c>
      <c r="G4" t="s">
        <v>5</v>
      </c>
      <c r="H4" s="2">
        <v>40575</v>
      </c>
      <c r="I4">
        <v>3.01847609904183</v>
      </c>
      <c r="J4">
        <v>2.2672433282444202</v>
      </c>
      <c r="L4" t="s">
        <v>5</v>
      </c>
      <c r="M4" s="2">
        <v>40575</v>
      </c>
      <c r="N4">
        <v>0</v>
      </c>
      <c r="O4">
        <v>0.23491253553617999</v>
      </c>
      <c r="Q4" t="s">
        <v>5</v>
      </c>
      <c r="R4" s="2">
        <v>40575</v>
      </c>
      <c r="S4">
        <v>1.4608417769295401</v>
      </c>
      <c r="T4">
        <v>1.52262944858337</v>
      </c>
      <c r="V4" t="s">
        <v>5</v>
      </c>
      <c r="W4" s="2">
        <v>41153</v>
      </c>
      <c r="X4">
        <v>0</v>
      </c>
      <c r="Y4">
        <v>0.63430867585078099</v>
      </c>
      <c r="AA4" t="s">
        <v>5</v>
      </c>
      <c r="AB4" s="2">
        <v>34394</v>
      </c>
      <c r="AC4">
        <v>0</v>
      </c>
      <c r="AD4">
        <v>0.217263054076755</v>
      </c>
    </row>
    <row r="5" spans="1:30" x14ac:dyDescent="0.25">
      <c r="A5" t="s">
        <v>6</v>
      </c>
      <c r="B5" s="2">
        <v>40603</v>
      </c>
      <c r="C5">
        <v>2.58048347031187</v>
      </c>
      <c r="D5">
        <v>2.3374511477395798</v>
      </c>
      <c r="G5" t="s">
        <v>6</v>
      </c>
      <c r="H5" s="2">
        <v>40603</v>
      </c>
      <c r="I5">
        <v>2.5918149559730499</v>
      </c>
      <c r="J5">
        <v>2.34596760052426</v>
      </c>
      <c r="L5" t="s">
        <v>6</v>
      </c>
      <c r="M5" s="2">
        <v>40603</v>
      </c>
      <c r="N5">
        <v>0</v>
      </c>
      <c r="O5">
        <v>0.131241029026785</v>
      </c>
      <c r="Q5" t="s">
        <v>6</v>
      </c>
      <c r="R5" s="2">
        <v>40603</v>
      </c>
      <c r="S5">
        <v>1.3464863334513799</v>
      </c>
      <c r="T5">
        <v>1.5476715424390599</v>
      </c>
      <c r="V5" t="s">
        <v>6</v>
      </c>
      <c r="W5" s="2">
        <v>41183</v>
      </c>
      <c r="X5">
        <v>0.65312715558033496</v>
      </c>
      <c r="Y5">
        <v>0.82961525860169005</v>
      </c>
      <c r="AA5" t="s">
        <v>6</v>
      </c>
      <c r="AB5" s="2">
        <v>34486</v>
      </c>
      <c r="AC5">
        <v>0</v>
      </c>
      <c r="AD5">
        <v>1.41128366167531E-2</v>
      </c>
    </row>
    <row r="6" spans="1:30" x14ac:dyDescent="0.25">
      <c r="A6" t="s">
        <v>7</v>
      </c>
      <c r="B6" s="2">
        <v>40634</v>
      </c>
      <c r="C6">
        <v>2.2254604071283302</v>
      </c>
      <c r="D6">
        <v>2.2796873240873401</v>
      </c>
      <c r="G6" t="s">
        <v>7</v>
      </c>
      <c r="H6" s="2">
        <v>40634</v>
      </c>
      <c r="I6">
        <v>2.2371485608154602</v>
      </c>
      <c r="J6">
        <v>2.28908673839581</v>
      </c>
      <c r="L6" t="s">
        <v>7</v>
      </c>
      <c r="M6" s="2">
        <v>40634</v>
      </c>
      <c r="N6">
        <v>0.22696273637507999</v>
      </c>
      <c r="O6">
        <v>0.11974372711490699</v>
      </c>
      <c r="Q6" t="s">
        <v>7</v>
      </c>
      <c r="R6" s="2">
        <v>40634</v>
      </c>
      <c r="S6">
        <v>0.98139407993934602</v>
      </c>
      <c r="T6">
        <v>1.5496788385432401</v>
      </c>
      <c r="V6" t="s">
        <v>7</v>
      </c>
      <c r="W6" s="2">
        <v>41214</v>
      </c>
      <c r="X6">
        <v>0.48694950416733301</v>
      </c>
      <c r="Y6">
        <v>1.04063654227908</v>
      </c>
      <c r="AA6" t="s">
        <v>7</v>
      </c>
      <c r="AB6" s="2">
        <v>34516</v>
      </c>
      <c r="AC6">
        <v>0</v>
      </c>
      <c r="AD6">
        <v>0.24276857031987301</v>
      </c>
    </row>
    <row r="7" spans="1:30" x14ac:dyDescent="0.25">
      <c r="A7" t="s">
        <v>8</v>
      </c>
      <c r="B7" s="2">
        <v>40664</v>
      </c>
      <c r="C7">
        <v>2.1357740489281101</v>
      </c>
      <c r="D7">
        <v>2.2326216564850201</v>
      </c>
      <c r="G7" t="s">
        <v>8</v>
      </c>
      <c r="H7" s="2">
        <v>40664</v>
      </c>
      <c r="I7">
        <v>2.1435583911789799</v>
      </c>
      <c r="J7">
        <v>2.2427194920072102</v>
      </c>
      <c r="L7" t="s">
        <v>8</v>
      </c>
      <c r="M7" s="2">
        <v>40664</v>
      </c>
      <c r="N7">
        <v>0.41511955536134298</v>
      </c>
      <c r="O7">
        <v>0.108845324639306</v>
      </c>
      <c r="Q7" t="s">
        <v>8</v>
      </c>
      <c r="R7" s="2">
        <v>40664</v>
      </c>
      <c r="S7">
        <v>1.7104170283264699</v>
      </c>
      <c r="T7">
        <v>1.62206798163878</v>
      </c>
      <c r="V7" t="s">
        <v>8</v>
      </c>
      <c r="W7" s="2">
        <v>41244</v>
      </c>
      <c r="X7">
        <v>0.896753166175424</v>
      </c>
      <c r="Y7">
        <v>1.22214430319036</v>
      </c>
      <c r="AA7" t="s">
        <v>8</v>
      </c>
      <c r="AB7" s="2">
        <v>34547</v>
      </c>
      <c r="AC7">
        <v>0</v>
      </c>
      <c r="AD7">
        <v>0.25454948752312601</v>
      </c>
    </row>
    <row r="8" spans="1:30" x14ac:dyDescent="0.25">
      <c r="A8" t="s">
        <v>9</v>
      </c>
      <c r="B8" s="2">
        <v>40695</v>
      </c>
      <c r="C8">
        <v>2.11345256186191</v>
      </c>
      <c r="D8">
        <v>2.2338310275644999</v>
      </c>
      <c r="G8" t="s">
        <v>9</v>
      </c>
      <c r="H8" s="2">
        <v>40695</v>
      </c>
      <c r="I8">
        <v>2.1173279086885999</v>
      </c>
      <c r="J8">
        <v>2.2447436563705101</v>
      </c>
      <c r="L8" t="s">
        <v>9</v>
      </c>
      <c r="M8" s="2">
        <v>40695</v>
      </c>
      <c r="N8">
        <v>0.14997256081680199</v>
      </c>
      <c r="O8">
        <v>9.6631916170997201E-2</v>
      </c>
      <c r="Q8" t="s">
        <v>9</v>
      </c>
      <c r="R8" s="2">
        <v>40695</v>
      </c>
      <c r="S8">
        <v>2.6223027922401498</v>
      </c>
      <c r="T8">
        <v>1.73721220096742</v>
      </c>
      <c r="V8" t="s">
        <v>9</v>
      </c>
      <c r="W8" s="2">
        <v>41275</v>
      </c>
      <c r="X8">
        <v>0.88997950079841004</v>
      </c>
      <c r="Y8">
        <v>1.4605461559019</v>
      </c>
      <c r="AA8" t="s">
        <v>9</v>
      </c>
      <c r="AB8" s="2">
        <v>34578</v>
      </c>
      <c r="AC8">
        <v>0</v>
      </c>
      <c r="AD8">
        <v>0.26680184816917402</v>
      </c>
    </row>
    <row r="9" spans="1:30" x14ac:dyDescent="0.25">
      <c r="A9" t="s">
        <v>10</v>
      </c>
      <c r="B9" s="2">
        <v>40725</v>
      </c>
      <c r="C9">
        <v>2.07675597787004</v>
      </c>
      <c r="D9">
        <v>2.1894364394424399</v>
      </c>
      <c r="G9" t="s">
        <v>10</v>
      </c>
      <c r="H9" s="2">
        <v>40725</v>
      </c>
      <c r="I9">
        <v>2.0846663640417198</v>
      </c>
      <c r="J9">
        <v>2.2009848931599398</v>
      </c>
      <c r="L9" t="s">
        <v>10</v>
      </c>
      <c r="M9" s="2">
        <v>40725</v>
      </c>
      <c r="N9">
        <v>0.29877672067334399</v>
      </c>
      <c r="O9">
        <v>8.9722980315620801E-2</v>
      </c>
      <c r="Q9" t="s">
        <v>10</v>
      </c>
      <c r="R9" s="2">
        <v>40725</v>
      </c>
      <c r="S9">
        <v>2.0476761053838</v>
      </c>
      <c r="T9">
        <v>1.8343490487777701</v>
      </c>
      <c r="V9" t="s">
        <v>10</v>
      </c>
      <c r="W9" s="2">
        <v>41306</v>
      </c>
      <c r="X9">
        <v>1.1800203781962399</v>
      </c>
      <c r="Y9">
        <v>1.6776543096546701</v>
      </c>
      <c r="AA9" t="s">
        <v>10</v>
      </c>
      <c r="AB9" s="2">
        <v>34608</v>
      </c>
      <c r="AC9">
        <v>0</v>
      </c>
      <c r="AD9">
        <v>0.28058556066478102</v>
      </c>
    </row>
    <row r="10" spans="1:30" x14ac:dyDescent="0.25">
      <c r="A10" t="s">
        <v>11</v>
      </c>
      <c r="B10" s="2">
        <v>40756</v>
      </c>
      <c r="C10">
        <v>2.0678544608068501</v>
      </c>
      <c r="D10">
        <v>2.1524203787361502</v>
      </c>
      <c r="G10" t="s">
        <v>11</v>
      </c>
      <c r="H10" s="2">
        <v>40756</v>
      </c>
      <c r="I10">
        <v>2.0767136045586798</v>
      </c>
      <c r="J10">
        <v>2.1637330684896598</v>
      </c>
      <c r="L10" t="s">
        <v>11</v>
      </c>
      <c r="M10" s="2">
        <v>40756</v>
      </c>
      <c r="N10">
        <v>0.133444045202158</v>
      </c>
      <c r="O10">
        <v>8.9738570112940494E-2</v>
      </c>
      <c r="Q10" t="s">
        <v>11</v>
      </c>
      <c r="R10" s="2">
        <v>40756</v>
      </c>
      <c r="S10">
        <v>2.1192492021183602</v>
      </c>
      <c r="T10">
        <v>1.9552516853697699</v>
      </c>
      <c r="V10" t="s">
        <v>11</v>
      </c>
      <c r="W10" s="2">
        <v>41334</v>
      </c>
      <c r="X10">
        <v>1.25250120859004</v>
      </c>
      <c r="Y10">
        <v>1.88972884685353</v>
      </c>
      <c r="AA10" t="s">
        <v>11</v>
      </c>
      <c r="AB10" s="2">
        <v>34639</v>
      </c>
      <c r="AC10">
        <v>0</v>
      </c>
      <c r="AD10">
        <v>0.29522473438354802</v>
      </c>
    </row>
    <row r="11" spans="1:30" x14ac:dyDescent="0.25">
      <c r="A11" s="1" t="s">
        <v>12</v>
      </c>
      <c r="B11" s="2">
        <v>40787</v>
      </c>
      <c r="C11">
        <v>2.1195306707545698</v>
      </c>
      <c r="D11">
        <v>2.1118378076024502</v>
      </c>
      <c r="G11" s="1" t="s">
        <v>12</v>
      </c>
      <c r="H11" s="2">
        <v>40787</v>
      </c>
      <c r="I11">
        <v>2.1306943676025099</v>
      </c>
      <c r="J11">
        <v>2.1226306861735398</v>
      </c>
      <c r="L11" s="1" t="s">
        <v>12</v>
      </c>
      <c r="M11" s="2">
        <v>40787</v>
      </c>
      <c r="N11">
        <v>0.194100471672876</v>
      </c>
      <c r="O11">
        <v>9.0452568030186004E-2</v>
      </c>
      <c r="Q11" s="1" t="s">
        <v>12</v>
      </c>
      <c r="R11" s="2">
        <v>40787</v>
      </c>
      <c r="S11">
        <v>1.96830303110418</v>
      </c>
      <c r="T11">
        <v>2.0691216290555001</v>
      </c>
      <c r="V11" s="1" t="s">
        <v>12</v>
      </c>
      <c r="W11" s="2">
        <v>41365</v>
      </c>
      <c r="X11">
        <v>1.14856878077</v>
      </c>
      <c r="Y11">
        <v>2.0516141133667198</v>
      </c>
      <c r="AA11" t="s">
        <v>12</v>
      </c>
      <c r="AB11" s="2">
        <v>34669</v>
      </c>
      <c r="AC11">
        <v>0</v>
      </c>
      <c r="AD11">
        <v>0.31152860300082102</v>
      </c>
    </row>
    <row r="12" spans="1:30" x14ac:dyDescent="0.25">
      <c r="A12" s="1" t="s">
        <v>13</v>
      </c>
      <c r="B12" s="2">
        <v>40817</v>
      </c>
      <c r="C12">
        <v>2.1812705009670701</v>
      </c>
      <c r="D12">
        <v>2.1322872406214599</v>
      </c>
      <c r="G12" s="1" t="s">
        <v>13</v>
      </c>
      <c r="H12" s="2">
        <v>40817</v>
      </c>
      <c r="I12">
        <v>2.1940195616872402</v>
      </c>
      <c r="J12">
        <v>2.1427485808462401</v>
      </c>
      <c r="L12" s="1" t="s">
        <v>13</v>
      </c>
      <c r="M12" s="2">
        <v>40817</v>
      </c>
      <c r="N12">
        <v>8.0194661707522194E-2</v>
      </c>
      <c r="O12">
        <v>9.5590106753873402E-2</v>
      </c>
      <c r="Q12" s="1" t="s">
        <v>13</v>
      </c>
      <c r="R12" s="2">
        <v>40817</v>
      </c>
      <c r="S12">
        <v>2.03232550983684</v>
      </c>
      <c r="T12">
        <v>2.2106294780525499</v>
      </c>
      <c r="V12" s="1" t="s">
        <v>13</v>
      </c>
      <c r="W12" s="2">
        <v>41395</v>
      </c>
      <c r="X12">
        <v>1.17273882688486</v>
      </c>
      <c r="Y12">
        <v>2.2291296263364502</v>
      </c>
      <c r="AA12" t="s">
        <v>13</v>
      </c>
      <c r="AB12" s="2">
        <v>34700</v>
      </c>
      <c r="AC12">
        <v>0</v>
      </c>
      <c r="AD12">
        <v>0.32733926626770099</v>
      </c>
    </row>
    <row r="13" spans="1:30" x14ac:dyDescent="0.25">
      <c r="A13" s="1" t="s">
        <v>14</v>
      </c>
      <c r="B13" s="2">
        <v>40848</v>
      </c>
      <c r="C13">
        <v>2.2641556655418702</v>
      </c>
      <c r="D13">
        <v>2.1564726317672802</v>
      </c>
      <c r="G13" s="1" t="s">
        <v>14</v>
      </c>
      <c r="H13" s="2">
        <v>40848</v>
      </c>
      <c r="I13">
        <v>2.2744067973422899</v>
      </c>
      <c r="J13">
        <v>2.1673749612537798</v>
      </c>
      <c r="L13" s="1" t="s">
        <v>14</v>
      </c>
      <c r="M13" s="2">
        <v>40848</v>
      </c>
      <c r="N13">
        <v>0</v>
      </c>
      <c r="O13">
        <v>9.3902771736376095E-2</v>
      </c>
      <c r="Q13" s="1" t="s">
        <v>14</v>
      </c>
      <c r="R13" s="2">
        <v>40848</v>
      </c>
      <c r="S13">
        <v>2.7040705424370901</v>
      </c>
      <c r="T13">
        <v>2.3867471627207002</v>
      </c>
      <c r="V13" s="1" t="s">
        <v>14</v>
      </c>
      <c r="W13" s="2">
        <v>41426</v>
      </c>
      <c r="X13">
        <v>1.37035279794625</v>
      </c>
      <c r="Y13">
        <v>2.4255926601609099</v>
      </c>
      <c r="AA13" t="s">
        <v>14</v>
      </c>
      <c r="AB13" s="2">
        <v>34731</v>
      </c>
      <c r="AC13">
        <v>0</v>
      </c>
      <c r="AD13">
        <v>0.34256250381756698</v>
      </c>
    </row>
    <row r="14" spans="1:30" x14ac:dyDescent="0.25">
      <c r="A14" s="1" t="s">
        <v>15</v>
      </c>
      <c r="B14" s="2">
        <v>40878</v>
      </c>
      <c r="C14">
        <v>2.3807444954646</v>
      </c>
      <c r="D14">
        <v>2.1827696252802098</v>
      </c>
      <c r="G14" s="1" t="s">
        <v>15</v>
      </c>
      <c r="H14" s="2">
        <v>40878</v>
      </c>
      <c r="I14">
        <v>2.3940326090877502</v>
      </c>
      <c r="J14">
        <v>2.1939264221258901</v>
      </c>
      <c r="L14" s="1" t="s">
        <v>15</v>
      </c>
      <c r="M14" s="2">
        <v>40878</v>
      </c>
      <c r="N14">
        <v>0.223132839979645</v>
      </c>
      <c r="O14">
        <v>9.5957643255151201E-2</v>
      </c>
      <c r="Q14" s="1" t="s">
        <v>15</v>
      </c>
      <c r="R14" s="2">
        <v>40878</v>
      </c>
      <c r="S14">
        <v>2.5757107416823102</v>
      </c>
      <c r="T14">
        <v>2.5465637023453498</v>
      </c>
      <c r="V14" s="1" t="s">
        <v>15</v>
      </c>
      <c r="W14" s="2">
        <v>41456</v>
      </c>
      <c r="X14">
        <v>1.385849365856</v>
      </c>
      <c r="Y14">
        <v>2.6571551597413201</v>
      </c>
      <c r="AA14" t="s">
        <v>15</v>
      </c>
      <c r="AB14" s="2">
        <v>34759</v>
      </c>
      <c r="AC14">
        <v>0</v>
      </c>
      <c r="AD14">
        <v>0.35751292473867902</v>
      </c>
    </row>
    <row r="15" spans="1:30" x14ac:dyDescent="0.25">
      <c r="A15" s="1" t="s">
        <v>16</v>
      </c>
      <c r="B15" s="2">
        <v>40909</v>
      </c>
      <c r="C15">
        <v>2.34543412817301</v>
      </c>
      <c r="D15">
        <v>2.1837567975769399</v>
      </c>
      <c r="G15" s="1" t="s">
        <v>16</v>
      </c>
      <c r="H15" s="2">
        <v>40909</v>
      </c>
      <c r="I15">
        <v>2.3577087559015699</v>
      </c>
      <c r="J15">
        <v>2.1935650400789801</v>
      </c>
      <c r="L15" s="1" t="s">
        <v>16</v>
      </c>
      <c r="M15" s="2">
        <v>40909</v>
      </c>
      <c r="N15">
        <v>0</v>
      </c>
      <c r="O15">
        <v>9.9950684057104097E-2</v>
      </c>
      <c r="Q15" s="1" t="s">
        <v>16</v>
      </c>
      <c r="R15" s="2">
        <v>40909</v>
      </c>
      <c r="S15">
        <v>2.8767326354994101</v>
      </c>
      <c r="T15">
        <v>2.7671094723547598</v>
      </c>
      <c r="V15" s="1" t="s">
        <v>16</v>
      </c>
      <c r="W15" s="2">
        <v>41487</v>
      </c>
      <c r="X15">
        <v>1.5656034625891799</v>
      </c>
      <c r="Y15">
        <v>2.9053869653259299</v>
      </c>
      <c r="AA15" t="s">
        <v>16</v>
      </c>
      <c r="AB15" s="2">
        <v>34790</v>
      </c>
      <c r="AC15">
        <v>0</v>
      </c>
      <c r="AD15">
        <v>0.36987972822457599</v>
      </c>
    </row>
    <row r="16" spans="1:30" x14ac:dyDescent="0.25">
      <c r="A16" s="1" t="s">
        <v>17</v>
      </c>
      <c r="B16" s="2">
        <v>40940</v>
      </c>
      <c r="C16">
        <v>2.29688725514433</v>
      </c>
      <c r="D16">
        <v>2.16543213256492</v>
      </c>
      <c r="G16" s="1" t="s">
        <v>17</v>
      </c>
      <c r="H16" s="2">
        <v>40940</v>
      </c>
      <c r="I16">
        <v>2.3118167644729302</v>
      </c>
      <c r="J16">
        <v>2.1758004327617702</v>
      </c>
      <c r="L16" s="1" t="s">
        <v>17</v>
      </c>
      <c r="M16" s="2">
        <v>40940</v>
      </c>
      <c r="N16">
        <v>8.81532759084869E-2</v>
      </c>
      <c r="O16">
        <v>9.90340112922872E-2</v>
      </c>
      <c r="Q16" s="1" t="s">
        <v>17</v>
      </c>
      <c r="R16" s="2">
        <v>40940</v>
      </c>
      <c r="S16">
        <v>2.6239781294933899</v>
      </c>
      <c r="T16">
        <v>2.7988908582282201</v>
      </c>
      <c r="V16" s="1" t="s">
        <v>17</v>
      </c>
      <c r="W16" s="2">
        <v>41518</v>
      </c>
      <c r="X16">
        <v>1.71359280558779</v>
      </c>
      <c r="Y16">
        <v>3.1767160413380902</v>
      </c>
      <c r="AA16" t="s">
        <v>17</v>
      </c>
      <c r="AB16" s="2">
        <v>34820</v>
      </c>
      <c r="AC16">
        <v>0</v>
      </c>
      <c r="AD16">
        <v>0.38112349406211898</v>
      </c>
    </row>
    <row r="17" spans="1:30" x14ac:dyDescent="0.25">
      <c r="A17" s="1" t="s">
        <v>18</v>
      </c>
      <c r="B17" s="2">
        <v>40969</v>
      </c>
      <c r="C17">
        <v>2.1829314480471198</v>
      </c>
      <c r="D17">
        <v>2.1362323440895099</v>
      </c>
      <c r="G17" s="1" t="s">
        <v>18</v>
      </c>
      <c r="H17" s="2">
        <v>40969</v>
      </c>
      <c r="I17">
        <v>2.1955605382016499</v>
      </c>
      <c r="J17">
        <v>2.14567293926611</v>
      </c>
      <c r="L17" s="1" t="s">
        <v>18</v>
      </c>
      <c r="M17" s="2">
        <v>40969</v>
      </c>
      <c r="N17">
        <v>6.7306004729239505E-2</v>
      </c>
      <c r="O17">
        <v>0.101251170493455</v>
      </c>
      <c r="Q17" s="1" t="s">
        <v>18</v>
      </c>
      <c r="R17" s="2">
        <v>40969</v>
      </c>
      <c r="S17">
        <v>2.72826900176414</v>
      </c>
      <c r="T17">
        <v>2.8909361434240499</v>
      </c>
      <c r="V17" s="1" t="s">
        <v>18</v>
      </c>
      <c r="W17" s="2">
        <v>41548</v>
      </c>
      <c r="X17">
        <v>1.27631420091268</v>
      </c>
      <c r="Y17">
        <v>3.4896385002127799</v>
      </c>
      <c r="AA17" t="s">
        <v>18</v>
      </c>
      <c r="AB17" s="2">
        <v>34851</v>
      </c>
      <c r="AC17">
        <v>0</v>
      </c>
      <c r="AD17">
        <v>0.39217098824189101</v>
      </c>
    </row>
    <row r="18" spans="1:30" x14ac:dyDescent="0.25">
      <c r="A18" s="1" t="s">
        <v>19</v>
      </c>
      <c r="B18" s="2">
        <v>41000</v>
      </c>
      <c r="C18">
        <v>1.94856513902093</v>
      </c>
      <c r="D18">
        <v>1.98241370458213</v>
      </c>
      <c r="G18" s="1" t="s">
        <v>19</v>
      </c>
      <c r="H18" s="2">
        <v>41000</v>
      </c>
      <c r="I18">
        <v>1.96565477333005</v>
      </c>
      <c r="J18">
        <v>1.9919274073748501</v>
      </c>
      <c r="L18" s="1" t="s">
        <v>19</v>
      </c>
      <c r="M18" s="2">
        <v>41000</v>
      </c>
      <c r="N18">
        <v>0.170830333984473</v>
      </c>
      <c r="O18">
        <v>9.4302390074663095E-2</v>
      </c>
      <c r="Q18" s="1" t="s">
        <v>19</v>
      </c>
      <c r="R18" s="2">
        <v>41000</v>
      </c>
      <c r="S18">
        <v>2.0030860941525499</v>
      </c>
      <c r="T18">
        <v>2.6824536648977402</v>
      </c>
      <c r="V18" s="1" t="s">
        <v>19</v>
      </c>
      <c r="W18" s="2">
        <v>41579</v>
      </c>
      <c r="X18">
        <v>1.4239629615945499</v>
      </c>
      <c r="Y18">
        <v>3.83302714288196</v>
      </c>
      <c r="AA18" t="s">
        <v>19</v>
      </c>
      <c r="AB18" s="2">
        <v>34881</v>
      </c>
      <c r="AC18">
        <v>0</v>
      </c>
      <c r="AD18">
        <v>0.402333776121644</v>
      </c>
    </row>
    <row r="19" spans="1:30" x14ac:dyDescent="0.25">
      <c r="A19" s="1" t="s">
        <v>20</v>
      </c>
      <c r="B19" s="2">
        <v>41030</v>
      </c>
      <c r="C19">
        <v>1.8639765395774599</v>
      </c>
      <c r="D19">
        <v>1.83919853469801</v>
      </c>
      <c r="G19" s="1" t="s">
        <v>20</v>
      </c>
      <c r="H19" s="2">
        <v>41030</v>
      </c>
      <c r="I19">
        <v>1.8745477727752</v>
      </c>
      <c r="J19">
        <v>1.8466463021021</v>
      </c>
      <c r="L19" s="1" t="s">
        <v>20</v>
      </c>
      <c r="M19" s="2">
        <v>41030</v>
      </c>
      <c r="N19">
        <v>4.7257976221814997E-2</v>
      </c>
      <c r="O19">
        <v>9.4347495530078304E-2</v>
      </c>
      <c r="Q19" s="1" t="s">
        <v>20</v>
      </c>
      <c r="R19" s="2">
        <v>41030</v>
      </c>
      <c r="S19">
        <v>2.4424986805369602</v>
      </c>
      <c r="T19">
        <v>2.5782942771635202</v>
      </c>
      <c r="V19" s="1" t="s">
        <v>20</v>
      </c>
      <c r="W19" s="2">
        <v>41609</v>
      </c>
      <c r="X19">
        <v>1.79282550984931</v>
      </c>
      <c r="Y19">
        <v>4.1891163687453199</v>
      </c>
      <c r="AA19" t="s">
        <v>20</v>
      </c>
      <c r="AB19" s="2">
        <v>34912</v>
      </c>
      <c r="AC19">
        <v>0</v>
      </c>
      <c r="AD19">
        <v>0.41326866188370298</v>
      </c>
    </row>
    <row r="20" spans="1:30" x14ac:dyDescent="0.25">
      <c r="A20" s="1" t="s">
        <v>21</v>
      </c>
      <c r="B20" s="2">
        <v>41061</v>
      </c>
      <c r="C20">
        <v>1.8591084721441999</v>
      </c>
      <c r="D20">
        <v>1.7138727020357101</v>
      </c>
      <c r="G20" s="1" t="s">
        <v>21</v>
      </c>
      <c r="H20" s="2">
        <v>41061</v>
      </c>
      <c r="I20">
        <v>1.8690522527376101</v>
      </c>
      <c r="J20">
        <v>1.7194732417196901</v>
      </c>
      <c r="L20" s="1" t="s">
        <v>21</v>
      </c>
      <c r="M20" s="2">
        <v>41061</v>
      </c>
      <c r="N20">
        <v>5.2325381652229601E-2</v>
      </c>
      <c r="O20">
        <v>9.2837492807928995E-2</v>
      </c>
      <c r="Q20" s="1" t="s">
        <v>21</v>
      </c>
      <c r="R20" s="2">
        <v>41061</v>
      </c>
      <c r="S20">
        <v>2.4929084668971702</v>
      </c>
      <c r="T20">
        <v>2.4897810611972799</v>
      </c>
      <c r="V20" s="1" t="s">
        <v>21</v>
      </c>
      <c r="W20" s="2">
        <v>41640</v>
      </c>
      <c r="X20">
        <v>1.7805170645210999</v>
      </c>
      <c r="Y20">
        <v>4.5482944005324804</v>
      </c>
      <c r="AA20" t="s">
        <v>21</v>
      </c>
      <c r="AB20" s="2">
        <v>34943</v>
      </c>
      <c r="AC20">
        <v>0</v>
      </c>
      <c r="AD20">
        <v>0.42059816735079403</v>
      </c>
    </row>
    <row r="21" spans="1:30" x14ac:dyDescent="0.25">
      <c r="A21" s="1" t="s">
        <v>22</v>
      </c>
      <c r="B21" s="2">
        <v>41091</v>
      </c>
      <c r="C21">
        <v>1.7550053464528099</v>
      </c>
      <c r="D21">
        <v>1.6314673322353701</v>
      </c>
      <c r="G21" s="1" t="s">
        <v>22</v>
      </c>
      <c r="H21" s="2">
        <v>41091</v>
      </c>
      <c r="I21">
        <v>1.7835008421335901</v>
      </c>
      <c r="J21">
        <v>1.6450476970238199</v>
      </c>
      <c r="L21" s="1" t="s">
        <v>22</v>
      </c>
      <c r="M21" s="2">
        <v>41091</v>
      </c>
      <c r="N21">
        <v>0</v>
      </c>
      <c r="O21">
        <v>9.4580035658675704E-2</v>
      </c>
      <c r="Q21" s="1" t="s">
        <v>22</v>
      </c>
      <c r="R21" s="2">
        <v>41091</v>
      </c>
      <c r="S21">
        <v>1.9543691302675601</v>
      </c>
      <c r="T21">
        <v>2.3546159949986998</v>
      </c>
      <c r="V21" s="1" t="s">
        <v>22</v>
      </c>
      <c r="W21" s="2">
        <v>41671</v>
      </c>
      <c r="X21">
        <v>1.8107922145289399</v>
      </c>
      <c r="Y21">
        <v>4.9055050125501198</v>
      </c>
      <c r="AA21" t="s">
        <v>22</v>
      </c>
      <c r="AB21" s="2">
        <v>34973</v>
      </c>
      <c r="AC21">
        <v>0</v>
      </c>
      <c r="AD21">
        <v>0.42405550816460003</v>
      </c>
    </row>
    <row r="22" spans="1:30" x14ac:dyDescent="0.25">
      <c r="A22" s="1" t="s">
        <v>23</v>
      </c>
      <c r="B22" s="2">
        <v>41122</v>
      </c>
      <c r="C22">
        <v>1.7646720437213701</v>
      </c>
      <c r="D22">
        <v>1.5792915841962401</v>
      </c>
      <c r="G22" s="1" t="s">
        <v>23</v>
      </c>
      <c r="H22" s="2">
        <v>41122</v>
      </c>
      <c r="I22">
        <v>1.7985188793426401</v>
      </c>
      <c r="J22">
        <v>1.5925515036783999</v>
      </c>
      <c r="L22" s="1" t="s">
        <v>23</v>
      </c>
      <c r="M22" s="2">
        <v>41122</v>
      </c>
      <c r="N22">
        <v>0</v>
      </c>
      <c r="O22">
        <v>9.8377661156301394E-2</v>
      </c>
      <c r="Q22" s="1" t="s">
        <v>23</v>
      </c>
      <c r="R22" s="2">
        <v>41122</v>
      </c>
      <c r="S22">
        <v>1.9184626625608301</v>
      </c>
      <c r="T22">
        <v>2.2990995502616398</v>
      </c>
      <c r="V22" s="1" t="s">
        <v>23</v>
      </c>
      <c r="W22" s="2">
        <v>41699</v>
      </c>
      <c r="X22">
        <v>1.6640735563037501</v>
      </c>
      <c r="Y22">
        <v>5.2660435410925404</v>
      </c>
      <c r="AA22" t="s">
        <v>23</v>
      </c>
      <c r="AB22" s="2">
        <v>35004</v>
      </c>
      <c r="AC22">
        <v>0</v>
      </c>
      <c r="AD22">
        <v>0.42725290479493899</v>
      </c>
    </row>
    <row r="23" spans="1:30" x14ac:dyDescent="0.25">
      <c r="A23" s="1" t="s">
        <v>24</v>
      </c>
      <c r="B23" s="2">
        <v>41153</v>
      </c>
      <c r="C23">
        <v>1.7156623103770099</v>
      </c>
      <c r="D23">
        <v>1.5261493949456399</v>
      </c>
      <c r="G23" s="1" t="s">
        <v>24</v>
      </c>
      <c r="H23" s="2">
        <v>41153</v>
      </c>
      <c r="I23">
        <v>1.74821136020108</v>
      </c>
      <c r="J23">
        <v>1.53706669277068</v>
      </c>
      <c r="L23" s="1" t="s">
        <v>24</v>
      </c>
      <c r="M23" s="2">
        <v>41153</v>
      </c>
      <c r="N23">
        <v>0.20550623794862699</v>
      </c>
      <c r="O23">
        <v>0.101647757179213</v>
      </c>
      <c r="Q23" s="1" t="s">
        <v>24</v>
      </c>
      <c r="R23" s="2">
        <v>41153</v>
      </c>
      <c r="S23">
        <v>1.9430073958995</v>
      </c>
      <c r="T23">
        <v>2.2771531138754502</v>
      </c>
      <c r="V23" s="1" t="s">
        <v>24</v>
      </c>
      <c r="W23" s="2">
        <v>41730</v>
      </c>
      <c r="X23">
        <v>1.53863323571349</v>
      </c>
      <c r="Y23">
        <v>5.5551069313287798</v>
      </c>
      <c r="AA23" t="s">
        <v>24</v>
      </c>
      <c r="AB23" s="2">
        <v>35034</v>
      </c>
      <c r="AC23">
        <v>0</v>
      </c>
      <c r="AD23">
        <v>0.43471287659871999</v>
      </c>
    </row>
    <row r="24" spans="1:30" x14ac:dyDescent="0.25">
      <c r="A24" s="1" t="s">
        <v>25</v>
      </c>
      <c r="B24" s="2">
        <v>41183</v>
      </c>
      <c r="C24">
        <v>1.75821611978022</v>
      </c>
      <c r="D24">
        <v>1.4993799989015799</v>
      </c>
      <c r="G24" s="1" t="s">
        <v>25</v>
      </c>
      <c r="H24" s="2">
        <v>41183</v>
      </c>
      <c r="I24">
        <v>1.7948698080729599</v>
      </c>
      <c r="J24">
        <v>1.5077676565211</v>
      </c>
      <c r="L24" s="1" t="s">
        <v>25</v>
      </c>
      <c r="M24" s="2">
        <v>41183</v>
      </c>
      <c r="N24">
        <v>4.6313058751501497E-2</v>
      </c>
      <c r="O24">
        <v>0.100211456198052</v>
      </c>
      <c r="Q24" s="1" t="s">
        <v>25</v>
      </c>
      <c r="R24" s="2">
        <v>41183</v>
      </c>
      <c r="S24">
        <v>1.7836834859380699</v>
      </c>
      <c r="T24">
        <v>2.2980207323257802</v>
      </c>
      <c r="V24" s="1" t="s">
        <v>25</v>
      </c>
      <c r="W24" s="2">
        <v>41760</v>
      </c>
      <c r="X24">
        <v>1.5313773380033</v>
      </c>
      <c r="Y24">
        <v>5.8426500580849599</v>
      </c>
      <c r="AA24" t="s">
        <v>25</v>
      </c>
      <c r="AB24" s="2">
        <v>35065</v>
      </c>
      <c r="AC24">
        <v>0</v>
      </c>
      <c r="AD24">
        <v>0.44151095679639801</v>
      </c>
    </row>
    <row r="25" spans="1:30" x14ac:dyDescent="0.25">
      <c r="A25" s="1" t="s">
        <v>26</v>
      </c>
      <c r="B25" s="2">
        <v>41214</v>
      </c>
      <c r="C25">
        <v>1.7325123286972399</v>
      </c>
      <c r="D25">
        <v>1.46359278122423</v>
      </c>
      <c r="G25" s="1" t="s">
        <v>26</v>
      </c>
      <c r="H25" s="2">
        <v>41214</v>
      </c>
      <c r="I25">
        <v>1.7644306973522501</v>
      </c>
      <c r="J25">
        <v>1.4673599932153201</v>
      </c>
      <c r="L25" s="1" t="s">
        <v>26</v>
      </c>
      <c r="M25" s="2">
        <v>41214</v>
      </c>
      <c r="N25">
        <v>0</v>
      </c>
      <c r="O25">
        <v>9.6293726489626905E-2</v>
      </c>
      <c r="Q25" s="1" t="s">
        <v>26</v>
      </c>
      <c r="R25" s="2">
        <v>41214</v>
      </c>
      <c r="S25">
        <v>2.1881943203382899</v>
      </c>
      <c r="T25">
        <v>2.3463629170783298</v>
      </c>
      <c r="V25" s="1" t="s">
        <v>26</v>
      </c>
      <c r="W25" s="2">
        <v>41791</v>
      </c>
      <c r="X25">
        <v>1.4016124675158299</v>
      </c>
      <c r="Y25">
        <v>6.1222442679248203</v>
      </c>
      <c r="AA25" t="s">
        <v>26</v>
      </c>
      <c r="AB25" s="2">
        <v>35096</v>
      </c>
      <c r="AC25">
        <v>0</v>
      </c>
      <c r="AD25">
        <v>0.44573220915934397</v>
      </c>
    </row>
    <row r="26" spans="1:30" x14ac:dyDescent="0.25">
      <c r="A26" s="1" t="s">
        <v>27</v>
      </c>
      <c r="B26" s="2">
        <v>41244</v>
      </c>
      <c r="C26">
        <v>1.65662440228792</v>
      </c>
      <c r="D26">
        <v>1.42016831361644</v>
      </c>
      <c r="G26" s="1" t="s">
        <v>27</v>
      </c>
      <c r="H26" s="2">
        <v>41244</v>
      </c>
      <c r="I26">
        <v>1.6842785823566599</v>
      </c>
      <c r="J26">
        <v>1.4192180654403199</v>
      </c>
      <c r="L26" s="1" t="s">
        <v>27</v>
      </c>
      <c r="M26" s="2">
        <v>41244</v>
      </c>
      <c r="N26">
        <v>9.7128660250378501E-2</v>
      </c>
      <c r="O26">
        <v>9.27447251305447E-2</v>
      </c>
      <c r="Q26" s="1" t="s">
        <v>27</v>
      </c>
      <c r="R26" s="2">
        <v>41244</v>
      </c>
      <c r="S26">
        <v>2.0141278748770901</v>
      </c>
      <c r="T26">
        <v>2.3548780530012601</v>
      </c>
      <c r="V26" s="1" t="s">
        <v>27</v>
      </c>
      <c r="W26" s="2">
        <v>41821</v>
      </c>
      <c r="X26">
        <v>1.5270716306070899</v>
      </c>
      <c r="Y26">
        <v>6.4540473177121704</v>
      </c>
      <c r="AA26" t="s">
        <v>27</v>
      </c>
      <c r="AB26" s="2">
        <v>35125</v>
      </c>
      <c r="AC26">
        <v>0</v>
      </c>
      <c r="AD26">
        <v>0.44906283210164299</v>
      </c>
    </row>
    <row r="27" spans="1:30" x14ac:dyDescent="0.25">
      <c r="A27" s="1" t="s">
        <v>28</v>
      </c>
      <c r="B27" s="2">
        <v>41275</v>
      </c>
      <c r="C27">
        <v>1.6861336087958001</v>
      </c>
      <c r="D27">
        <v>1.3890694378024799</v>
      </c>
      <c r="G27" s="1" t="s">
        <v>28</v>
      </c>
      <c r="H27" s="2">
        <v>41275</v>
      </c>
      <c r="I27">
        <v>1.7239156172621499</v>
      </c>
      <c r="J27">
        <v>1.3796229913386</v>
      </c>
      <c r="L27" s="1" t="s">
        <v>28</v>
      </c>
      <c r="M27" s="2">
        <v>41275</v>
      </c>
      <c r="N27">
        <v>0.119835171820071</v>
      </c>
      <c r="O27">
        <v>9.7193058550570893E-2</v>
      </c>
      <c r="Q27" s="1" t="s">
        <v>28</v>
      </c>
      <c r="R27" s="2">
        <v>41275</v>
      </c>
      <c r="S27">
        <v>1.73888594093961</v>
      </c>
      <c r="T27">
        <v>2.4044365446367202</v>
      </c>
      <c r="V27" s="1" t="s">
        <v>28</v>
      </c>
      <c r="W27" s="2">
        <v>41852</v>
      </c>
      <c r="X27">
        <v>1.6665491841257301</v>
      </c>
      <c r="Y27">
        <v>6.7897757855188301</v>
      </c>
      <c r="AA27" t="s">
        <v>28</v>
      </c>
      <c r="AB27" s="2">
        <v>35156</v>
      </c>
      <c r="AC27">
        <v>0</v>
      </c>
      <c r="AD27">
        <v>0.45237449301905902</v>
      </c>
    </row>
    <row r="28" spans="1:30" x14ac:dyDescent="0.25">
      <c r="A28" s="1" t="s">
        <v>29</v>
      </c>
      <c r="B28" s="2">
        <v>41306</v>
      </c>
      <c r="C28">
        <v>1.5949000012047401</v>
      </c>
      <c r="D28">
        <v>1.3454655801912401</v>
      </c>
      <c r="G28" s="1" t="s">
        <v>29</v>
      </c>
      <c r="H28" s="2">
        <v>41306</v>
      </c>
      <c r="I28">
        <v>1.63407369714366</v>
      </c>
      <c r="J28">
        <v>1.3279261538056599</v>
      </c>
      <c r="L28" s="1" t="s">
        <v>29</v>
      </c>
      <c r="M28" s="2">
        <v>41306</v>
      </c>
      <c r="N28">
        <v>3.6941649739852297E-2</v>
      </c>
      <c r="O28">
        <v>9.6958957179060806E-2</v>
      </c>
      <c r="Q28" s="1" t="s">
        <v>29</v>
      </c>
      <c r="R28" s="2">
        <v>41306</v>
      </c>
      <c r="S28">
        <v>1.4287742206391101</v>
      </c>
      <c r="T28">
        <v>2.4191716157296201</v>
      </c>
      <c r="V28" s="1" t="s">
        <v>29</v>
      </c>
      <c r="W28" s="2">
        <v>41883</v>
      </c>
      <c r="X28">
        <v>1.6274068532113199</v>
      </c>
      <c r="Y28">
        <v>7.1072170077025998</v>
      </c>
      <c r="AA28" t="s">
        <v>29</v>
      </c>
      <c r="AB28" s="2">
        <v>35186</v>
      </c>
      <c r="AC28">
        <v>0</v>
      </c>
      <c r="AD28">
        <v>0.45622478739618699</v>
      </c>
    </row>
    <row r="29" spans="1:30" x14ac:dyDescent="0.25">
      <c r="A29" s="1" t="s">
        <v>30</v>
      </c>
      <c r="B29" s="2">
        <v>41334</v>
      </c>
      <c r="C29">
        <v>1.58455075996331</v>
      </c>
      <c r="D29">
        <v>1.3016225757178099</v>
      </c>
      <c r="G29" s="1" t="s">
        <v>30</v>
      </c>
      <c r="H29" s="2">
        <v>41334</v>
      </c>
      <c r="I29">
        <v>1.60644195897374</v>
      </c>
      <c r="J29">
        <v>1.2749515962276501</v>
      </c>
      <c r="L29" s="1" t="s">
        <v>30</v>
      </c>
      <c r="M29" s="2">
        <v>41334</v>
      </c>
      <c r="N29">
        <v>8.4311175306639494E-2</v>
      </c>
      <c r="O29">
        <v>9.7752497153902301E-2</v>
      </c>
      <c r="Q29" s="1" t="s">
        <v>30</v>
      </c>
      <c r="R29" s="2">
        <v>41334</v>
      </c>
      <c r="S29">
        <v>1.9456171696117399</v>
      </c>
      <c r="T29">
        <v>2.4376804492814701</v>
      </c>
      <c r="V29" s="1" t="s">
        <v>30</v>
      </c>
      <c r="W29" s="2">
        <v>41913</v>
      </c>
      <c r="X29">
        <v>1.88570155247337</v>
      </c>
      <c r="Y29">
        <v>7.4820461205890796</v>
      </c>
      <c r="AA29" t="s">
        <v>30</v>
      </c>
      <c r="AB29" s="2">
        <v>35217</v>
      </c>
      <c r="AC29">
        <v>0</v>
      </c>
      <c r="AD29">
        <v>0.46421099307054597</v>
      </c>
    </row>
    <row r="30" spans="1:30" x14ac:dyDescent="0.25">
      <c r="A30" s="1" t="s">
        <v>31</v>
      </c>
      <c r="B30" s="2">
        <v>41365</v>
      </c>
      <c r="C30">
        <v>1.32406070515968</v>
      </c>
      <c r="D30">
        <v>1.2135916878727799</v>
      </c>
      <c r="G30" s="1" t="s">
        <v>31</v>
      </c>
      <c r="H30" s="2">
        <v>41365</v>
      </c>
      <c r="I30">
        <v>1.3451281632401499</v>
      </c>
      <c r="J30">
        <v>1.1796466013015401</v>
      </c>
      <c r="L30" s="1" t="s">
        <v>31</v>
      </c>
      <c r="M30" s="2">
        <v>41365</v>
      </c>
      <c r="N30">
        <v>0.10311992184876</v>
      </c>
      <c r="O30">
        <v>9.4017453729422495E-2</v>
      </c>
      <c r="Q30" s="1" t="s">
        <v>31</v>
      </c>
      <c r="R30" s="2">
        <v>41365</v>
      </c>
      <c r="S30">
        <v>1.48986728501623</v>
      </c>
      <c r="T30">
        <v>2.3084003585764599</v>
      </c>
      <c r="V30" s="1" t="s">
        <v>31</v>
      </c>
      <c r="W30" s="2">
        <v>41944</v>
      </c>
      <c r="X30">
        <v>1.6119063154261</v>
      </c>
      <c r="Y30">
        <v>7.8588253742287799</v>
      </c>
      <c r="AA30" t="s">
        <v>31</v>
      </c>
      <c r="AB30" s="2">
        <v>35247</v>
      </c>
      <c r="AC30">
        <v>0</v>
      </c>
      <c r="AD30">
        <v>0.47178586023117802</v>
      </c>
    </row>
    <row r="31" spans="1:30" x14ac:dyDescent="0.25">
      <c r="A31" s="1" t="s">
        <v>32</v>
      </c>
      <c r="B31" s="2">
        <v>41395</v>
      </c>
      <c r="C31">
        <v>1.1865278613903401</v>
      </c>
      <c r="D31">
        <v>1.1381994956305399</v>
      </c>
      <c r="G31" s="1" t="s">
        <v>32</v>
      </c>
      <c r="H31" s="2">
        <v>41395</v>
      </c>
      <c r="I31">
        <v>1.1994987791385301</v>
      </c>
      <c r="J31">
        <v>1.09685474894174</v>
      </c>
      <c r="L31" s="1" t="s">
        <v>32</v>
      </c>
      <c r="M31" s="2">
        <v>41395</v>
      </c>
      <c r="N31">
        <v>4.8589053564296297E-2</v>
      </c>
      <c r="O31">
        <v>9.4647837789962899E-2</v>
      </c>
      <c r="Q31" s="1" t="s">
        <v>32</v>
      </c>
      <c r="R31" s="2">
        <v>41395</v>
      </c>
      <c r="S31">
        <v>1.4405699074860201</v>
      </c>
      <c r="T31">
        <v>2.1648697575747602</v>
      </c>
      <c r="V31" s="1" t="s">
        <v>32</v>
      </c>
      <c r="W31" s="2">
        <v>41974</v>
      </c>
      <c r="X31">
        <v>1.79346147600534</v>
      </c>
      <c r="Y31">
        <v>8.2337591532615004</v>
      </c>
      <c r="AA31" t="s">
        <v>32</v>
      </c>
      <c r="AB31" s="2">
        <v>35278</v>
      </c>
      <c r="AC31">
        <v>0</v>
      </c>
      <c r="AD31">
        <v>0.47690114158913699</v>
      </c>
    </row>
    <row r="32" spans="1:30" x14ac:dyDescent="0.25">
      <c r="A32" s="1" t="s">
        <v>33</v>
      </c>
      <c r="B32" s="2">
        <v>41426</v>
      </c>
      <c r="C32">
        <v>1.1666136700208201</v>
      </c>
      <c r="D32">
        <v>1.0784884559688199</v>
      </c>
      <c r="G32" s="1" t="s">
        <v>33</v>
      </c>
      <c r="H32" s="2">
        <v>41426</v>
      </c>
      <c r="I32">
        <v>1.17734546359693</v>
      </c>
      <c r="J32">
        <v>1.03012762274033</v>
      </c>
      <c r="L32" s="1" t="s">
        <v>33</v>
      </c>
      <c r="M32" s="2">
        <v>41426</v>
      </c>
      <c r="N32">
        <v>2.8236448330332099E-2</v>
      </c>
      <c r="O32">
        <v>9.5062644147525494E-2</v>
      </c>
      <c r="Q32" s="1" t="s">
        <v>33</v>
      </c>
      <c r="R32" s="2">
        <v>41426</v>
      </c>
      <c r="S32">
        <v>1.3337613025020501</v>
      </c>
      <c r="T32">
        <v>2.0227213043424901</v>
      </c>
      <c r="V32" s="1" t="s">
        <v>33</v>
      </c>
      <c r="W32" s="2">
        <v>42005</v>
      </c>
      <c r="X32">
        <v>1.79483091128119</v>
      </c>
      <c r="Y32">
        <v>8.5690300953671006</v>
      </c>
      <c r="AA32" t="s">
        <v>33</v>
      </c>
      <c r="AB32" s="2">
        <v>35309</v>
      </c>
      <c r="AC32">
        <v>0</v>
      </c>
      <c r="AD32">
        <v>0.48402326431773401</v>
      </c>
    </row>
    <row r="33" spans="1:30" x14ac:dyDescent="0.25">
      <c r="A33" s="1" t="s">
        <v>34</v>
      </c>
      <c r="B33" s="2">
        <v>41456</v>
      </c>
      <c r="C33">
        <v>1.1377007160388899</v>
      </c>
      <c r="D33">
        <v>1.04058249537833</v>
      </c>
      <c r="G33" s="1" t="s">
        <v>34</v>
      </c>
      <c r="H33" s="2">
        <v>41456</v>
      </c>
      <c r="I33">
        <v>1.1428769843004101</v>
      </c>
      <c r="J33">
        <v>0.98252492426313998</v>
      </c>
      <c r="L33" s="1" t="s">
        <v>34</v>
      </c>
      <c r="M33" s="2">
        <v>41456</v>
      </c>
      <c r="N33">
        <v>5.9085622279897401E-2</v>
      </c>
      <c r="O33">
        <v>9.6873908305017395E-2</v>
      </c>
      <c r="Q33" s="1" t="s">
        <v>34</v>
      </c>
      <c r="R33" s="2">
        <v>41456</v>
      </c>
      <c r="S33">
        <v>1.3941480211156301</v>
      </c>
      <c r="T33">
        <v>1.99252138029987</v>
      </c>
      <c r="V33" s="1" t="s">
        <v>34</v>
      </c>
      <c r="W33" s="2">
        <v>42036</v>
      </c>
      <c r="X33">
        <v>1.99176243301153</v>
      </c>
      <c r="Y33">
        <v>8.9011365272726</v>
      </c>
      <c r="AA33" t="s">
        <v>34</v>
      </c>
      <c r="AB33" s="2">
        <v>35339</v>
      </c>
      <c r="AC33">
        <v>0</v>
      </c>
      <c r="AD33">
        <v>0.49143130896021098</v>
      </c>
    </row>
    <row r="34" spans="1:30" x14ac:dyDescent="0.25">
      <c r="A34" s="1" t="s">
        <v>35</v>
      </c>
      <c r="B34" s="2">
        <v>41487</v>
      </c>
      <c r="C34">
        <v>1.07920216987707</v>
      </c>
      <c r="D34">
        <v>1.0077341425072399</v>
      </c>
      <c r="G34" s="1" t="s">
        <v>35</v>
      </c>
      <c r="H34" s="2">
        <v>41487</v>
      </c>
      <c r="I34">
        <v>1.0772854823956299</v>
      </c>
      <c r="J34">
        <v>0.93949352998626801</v>
      </c>
      <c r="L34" s="1" t="s">
        <v>35</v>
      </c>
      <c r="M34" s="2">
        <v>41487</v>
      </c>
      <c r="N34">
        <v>4.45157870088475E-2</v>
      </c>
      <c r="O34">
        <v>9.8632979405444104E-2</v>
      </c>
      <c r="Q34" s="1" t="s">
        <v>35</v>
      </c>
      <c r="R34" s="2">
        <v>41487</v>
      </c>
      <c r="S34">
        <v>1.3402132094458601</v>
      </c>
      <c r="T34">
        <v>1.97902606412438</v>
      </c>
      <c r="V34" s="1" t="s">
        <v>35</v>
      </c>
      <c r="W34" s="2">
        <v>42064</v>
      </c>
      <c r="X34">
        <v>1.7729347115143299</v>
      </c>
      <c r="Y34">
        <v>9.2357241493006796</v>
      </c>
      <c r="AA34" t="s">
        <v>35</v>
      </c>
      <c r="AB34" s="2">
        <v>35370</v>
      </c>
      <c r="AC34">
        <v>0</v>
      </c>
      <c r="AD34">
        <v>0.49787177370351798</v>
      </c>
    </row>
    <row r="35" spans="1:30" x14ac:dyDescent="0.25">
      <c r="A35" s="1" t="s">
        <v>36</v>
      </c>
      <c r="B35" s="2">
        <v>41518</v>
      </c>
      <c r="C35">
        <v>1.08382055352346</v>
      </c>
      <c r="D35">
        <v>0.97661977827581103</v>
      </c>
      <c r="G35" s="1" t="s">
        <v>36</v>
      </c>
      <c r="H35" s="2">
        <v>41518</v>
      </c>
      <c r="I35">
        <v>1.0788250312813501</v>
      </c>
      <c r="J35">
        <v>0.89816915024493205</v>
      </c>
      <c r="L35" s="1" t="s">
        <v>36</v>
      </c>
      <c r="M35" s="2">
        <v>41518</v>
      </c>
      <c r="N35">
        <v>5.5638049005013498E-2</v>
      </c>
      <c r="O35">
        <v>0.101404652657622</v>
      </c>
      <c r="Q35" s="1" t="s">
        <v>36</v>
      </c>
      <c r="R35" s="2">
        <v>41518</v>
      </c>
      <c r="S35">
        <v>1.3269382097018401</v>
      </c>
      <c r="T35">
        <v>1.97069862373689</v>
      </c>
      <c r="V35" s="1" t="s">
        <v>36</v>
      </c>
      <c r="W35" s="2">
        <v>42095</v>
      </c>
      <c r="X35">
        <v>1.27725129331081</v>
      </c>
      <c r="Y35">
        <v>9.3649012789064603</v>
      </c>
      <c r="AA35" t="s">
        <v>36</v>
      </c>
      <c r="AB35" s="2">
        <v>35462</v>
      </c>
      <c r="AC35">
        <v>0</v>
      </c>
      <c r="AD35">
        <v>2.5655740806440602E-2</v>
      </c>
    </row>
    <row r="36" spans="1:30" x14ac:dyDescent="0.25">
      <c r="A36" s="1" t="s">
        <v>37</v>
      </c>
      <c r="B36" s="2">
        <v>41548</v>
      </c>
      <c r="C36">
        <v>1.0348796584787801</v>
      </c>
      <c r="D36">
        <v>0.97561214670822705</v>
      </c>
      <c r="G36" s="1" t="s">
        <v>37</v>
      </c>
      <c r="H36" s="2">
        <v>41548</v>
      </c>
      <c r="I36">
        <v>1.0364740331311999</v>
      </c>
      <c r="J36">
        <v>0.88331105553032296</v>
      </c>
      <c r="L36" s="1" t="s">
        <v>37</v>
      </c>
      <c r="M36" s="2">
        <v>41548</v>
      </c>
      <c r="N36">
        <v>4.3621665805360102E-2</v>
      </c>
      <c r="O36">
        <v>0.107698567300007</v>
      </c>
      <c r="Q36" s="1" t="s">
        <v>37</v>
      </c>
      <c r="R36" s="2">
        <v>41548</v>
      </c>
      <c r="S36">
        <v>1.3562880465537099</v>
      </c>
      <c r="T36">
        <v>2.0771865093275701</v>
      </c>
      <c r="V36" s="1" t="s">
        <v>37</v>
      </c>
      <c r="W36" s="2">
        <v>42125</v>
      </c>
      <c r="X36">
        <v>1.4809219735186101</v>
      </c>
      <c r="Y36">
        <v>9.4801468308637507</v>
      </c>
      <c r="AA36" t="s">
        <v>37</v>
      </c>
      <c r="AB36" s="2">
        <v>35490</v>
      </c>
      <c r="AC36">
        <v>0</v>
      </c>
      <c r="AD36">
        <v>0.51841828458322203</v>
      </c>
    </row>
    <row r="37" spans="1:30" x14ac:dyDescent="0.25">
      <c r="A37" s="1" t="s">
        <v>38</v>
      </c>
      <c r="B37" s="2">
        <v>41579</v>
      </c>
      <c r="C37">
        <v>1.00225552915824</v>
      </c>
      <c r="D37">
        <v>0.98041182317504205</v>
      </c>
      <c r="G37" s="1" t="s">
        <v>38</v>
      </c>
      <c r="H37" s="2">
        <v>41579</v>
      </c>
      <c r="I37">
        <v>0.99584955516093299</v>
      </c>
      <c r="J37">
        <v>0.87343605915515299</v>
      </c>
      <c r="L37" s="1" t="s">
        <v>38</v>
      </c>
      <c r="M37" s="2">
        <v>41579</v>
      </c>
      <c r="N37">
        <v>7.8611385224580693E-2</v>
      </c>
      <c r="O37">
        <v>0.114438334493994</v>
      </c>
      <c r="Q37" s="1" t="s">
        <v>38</v>
      </c>
      <c r="R37" s="2">
        <v>41579</v>
      </c>
      <c r="S37">
        <v>1.3714922307227699</v>
      </c>
      <c r="T37">
        <v>2.1966581191441001</v>
      </c>
      <c r="V37" s="1" t="s">
        <v>38</v>
      </c>
      <c r="W37" s="2">
        <v>42156</v>
      </c>
      <c r="X37">
        <v>1.25351834824838</v>
      </c>
      <c r="Y37">
        <v>9.5712745028386497</v>
      </c>
      <c r="AA37" t="s">
        <v>38</v>
      </c>
      <c r="AB37" s="2">
        <v>35521</v>
      </c>
      <c r="AC37">
        <v>0</v>
      </c>
      <c r="AD37">
        <v>0.52700368165203804</v>
      </c>
    </row>
    <row r="38" spans="1:30" x14ac:dyDescent="0.25">
      <c r="A38" s="1" t="s">
        <v>39</v>
      </c>
      <c r="B38" s="2">
        <v>41609</v>
      </c>
      <c r="C38">
        <v>1.0269407791318701</v>
      </c>
      <c r="D38">
        <v>0.98723992336939803</v>
      </c>
      <c r="G38" s="1" t="s">
        <v>39</v>
      </c>
      <c r="H38" s="2">
        <v>41609</v>
      </c>
      <c r="I38">
        <v>1.0089726872343601</v>
      </c>
      <c r="J38">
        <v>0.86544363410243597</v>
      </c>
      <c r="L38" s="1" t="s">
        <v>39</v>
      </c>
      <c r="M38" s="2">
        <v>41609</v>
      </c>
      <c r="N38">
        <v>6.4174020570873E-2</v>
      </c>
      <c r="O38">
        <v>0.121292914760029</v>
      </c>
      <c r="Q38" s="1" t="s">
        <v>39</v>
      </c>
      <c r="R38" s="2">
        <v>41609</v>
      </c>
      <c r="S38">
        <v>1.47682691699984</v>
      </c>
      <c r="T38">
        <v>2.3286553773395799</v>
      </c>
      <c r="V38" s="1" t="s">
        <v>39</v>
      </c>
      <c r="W38" s="2">
        <v>42186</v>
      </c>
      <c r="X38">
        <v>1.39034821854783</v>
      </c>
      <c r="Y38">
        <v>9.8100181152813501</v>
      </c>
      <c r="AA38" t="s">
        <v>39</v>
      </c>
      <c r="AB38" s="2">
        <v>35551</v>
      </c>
      <c r="AC38">
        <v>0</v>
      </c>
      <c r="AD38">
        <v>0.53544373249983002</v>
      </c>
    </row>
    <row r="39" spans="1:30" x14ac:dyDescent="0.25">
      <c r="A39" s="1" t="s">
        <v>40</v>
      </c>
      <c r="B39" s="2">
        <v>41640</v>
      </c>
      <c r="C39">
        <v>0.99370403874938795</v>
      </c>
      <c r="D39">
        <v>0.98801394369167905</v>
      </c>
      <c r="G39" s="1" t="s">
        <v>40</v>
      </c>
      <c r="H39" s="2">
        <v>41640</v>
      </c>
      <c r="I39">
        <v>0.97823824772996804</v>
      </c>
      <c r="J39">
        <v>0.85247022486094604</v>
      </c>
      <c r="L39" s="1" t="s">
        <v>40</v>
      </c>
      <c r="M39" s="2">
        <v>41640</v>
      </c>
      <c r="N39">
        <v>2.41930337492091E-2</v>
      </c>
      <c r="O39">
        <v>0.12668205442321101</v>
      </c>
      <c r="Q39" s="1" t="s">
        <v>40</v>
      </c>
      <c r="R39" s="2">
        <v>41640</v>
      </c>
      <c r="S39">
        <v>1.37684730894081</v>
      </c>
      <c r="T39">
        <v>2.4318970986228798</v>
      </c>
      <c r="V39" s="1" t="s">
        <v>40</v>
      </c>
      <c r="W39" s="2">
        <v>42217</v>
      </c>
      <c r="X39">
        <v>1.4367808750206901</v>
      </c>
      <c r="Y39">
        <v>10.0232635254337</v>
      </c>
      <c r="AA39" t="s">
        <v>40</v>
      </c>
      <c r="AB39" s="2">
        <v>35582</v>
      </c>
      <c r="AC39">
        <v>0</v>
      </c>
      <c r="AD39">
        <v>0.54380540001716104</v>
      </c>
    </row>
    <row r="40" spans="1:30" x14ac:dyDescent="0.25">
      <c r="A40" s="1" t="s">
        <v>41</v>
      </c>
      <c r="B40" s="2">
        <v>41671</v>
      </c>
      <c r="C40">
        <v>0.97093538221213505</v>
      </c>
      <c r="D40">
        <v>0.99160781319813696</v>
      </c>
      <c r="G40" s="1" t="s">
        <v>41</v>
      </c>
      <c r="H40" s="2">
        <v>41671</v>
      </c>
      <c r="I40">
        <v>0.94596064443802597</v>
      </c>
      <c r="J40">
        <v>0.84259107010773404</v>
      </c>
      <c r="L40" s="1" t="s">
        <v>41</v>
      </c>
      <c r="M40" s="2">
        <v>41671</v>
      </c>
      <c r="N40">
        <v>3.3883757249852903E-2</v>
      </c>
      <c r="O40">
        <v>0.13351806348334</v>
      </c>
      <c r="Q40" s="1" t="s">
        <v>41</v>
      </c>
      <c r="R40" s="2">
        <v>41671</v>
      </c>
      <c r="S40">
        <v>1.54768515471095</v>
      </c>
      <c r="T40">
        <v>2.5270099948525999</v>
      </c>
      <c r="V40" s="1" t="s">
        <v>41</v>
      </c>
      <c r="W40" s="2">
        <v>42248</v>
      </c>
      <c r="X40">
        <v>1.5428042456961799</v>
      </c>
      <c r="Y40">
        <v>10.2091791425736</v>
      </c>
      <c r="AA40" t="s">
        <v>41</v>
      </c>
      <c r="AB40" s="2">
        <v>35612</v>
      </c>
      <c r="AC40">
        <v>0</v>
      </c>
      <c r="AD40">
        <v>0.54792927462508101</v>
      </c>
    </row>
    <row r="41" spans="1:30" x14ac:dyDescent="0.25">
      <c r="A41" s="1" t="s">
        <v>42</v>
      </c>
      <c r="B41" s="2">
        <v>41699</v>
      </c>
      <c r="C41">
        <v>0.90443603866915401</v>
      </c>
      <c r="D41">
        <v>0.99754230363845497</v>
      </c>
      <c r="G41" s="1" t="s">
        <v>42</v>
      </c>
      <c r="H41" s="2">
        <v>41699</v>
      </c>
      <c r="I41">
        <v>0.88176069656054101</v>
      </c>
      <c r="J41">
        <v>0.83506097343710695</v>
      </c>
      <c r="L41" s="1" t="s">
        <v>42</v>
      </c>
      <c r="M41" s="2">
        <v>41699</v>
      </c>
      <c r="N41">
        <v>7.0191862561275201E-2</v>
      </c>
      <c r="O41">
        <v>0.141068950468271</v>
      </c>
      <c r="Q41" s="1" t="s">
        <v>42</v>
      </c>
      <c r="R41" s="2">
        <v>41699</v>
      </c>
      <c r="S41">
        <v>1.4226274987912999</v>
      </c>
      <c r="T41">
        <v>2.6239723565178998</v>
      </c>
      <c r="V41" s="1" t="s">
        <v>42</v>
      </c>
      <c r="W41" s="2">
        <v>42278</v>
      </c>
      <c r="X41">
        <v>1.43328095771069</v>
      </c>
      <c r="Y41">
        <v>10.483552405938299</v>
      </c>
      <c r="AA41" t="s">
        <v>42</v>
      </c>
      <c r="AB41" s="2">
        <v>35643</v>
      </c>
      <c r="AC41">
        <v>0</v>
      </c>
      <c r="AD41">
        <v>0.55076200514656604</v>
      </c>
    </row>
    <row r="42" spans="1:30" x14ac:dyDescent="0.25">
      <c r="A42" s="1" t="s">
        <v>43</v>
      </c>
      <c r="B42" s="2">
        <v>41730</v>
      </c>
      <c r="C42">
        <v>0.78469756732072504</v>
      </c>
      <c r="D42">
        <v>0.97799043255789597</v>
      </c>
      <c r="G42" s="1" t="s">
        <v>43</v>
      </c>
      <c r="H42" s="2">
        <v>41730</v>
      </c>
      <c r="I42">
        <v>0.77089322969239304</v>
      </c>
      <c r="J42">
        <v>0.80859214605442098</v>
      </c>
      <c r="L42" s="1" t="s">
        <v>43</v>
      </c>
      <c r="M42" s="2">
        <v>41730</v>
      </c>
      <c r="N42">
        <v>0</v>
      </c>
      <c r="O42">
        <v>0.14578974038458301</v>
      </c>
      <c r="Q42" s="1" t="s">
        <v>43</v>
      </c>
      <c r="R42" s="2">
        <v>41730</v>
      </c>
      <c r="S42">
        <v>1.0529067150036699</v>
      </c>
      <c r="T42">
        <v>2.5418992603293602</v>
      </c>
      <c r="V42" s="1" t="s">
        <v>43</v>
      </c>
      <c r="W42" s="2">
        <v>42309</v>
      </c>
      <c r="X42">
        <v>1.7660994374754999</v>
      </c>
      <c r="Y42">
        <v>10.734889266466899</v>
      </c>
      <c r="AA42" t="s">
        <v>43</v>
      </c>
      <c r="AB42" s="2">
        <v>35674</v>
      </c>
      <c r="AC42">
        <v>0</v>
      </c>
      <c r="AD42">
        <v>0.55300993539515497</v>
      </c>
    </row>
    <row r="43" spans="1:30" x14ac:dyDescent="0.25">
      <c r="A43" s="1" t="s">
        <v>44</v>
      </c>
      <c r="B43" s="2">
        <v>41760</v>
      </c>
      <c r="C43">
        <v>0.73121295093910899</v>
      </c>
      <c r="D43">
        <v>0.95790016629261299</v>
      </c>
      <c r="G43" s="1" t="s">
        <v>44</v>
      </c>
      <c r="H43" s="2">
        <v>41760</v>
      </c>
      <c r="I43">
        <v>0.70730827752463199</v>
      </c>
      <c r="J43">
        <v>0.78210903517684804</v>
      </c>
      <c r="L43" s="1" t="s">
        <v>44</v>
      </c>
      <c r="M43" s="2">
        <v>41760</v>
      </c>
      <c r="N43">
        <v>0</v>
      </c>
      <c r="O43">
        <v>0.149788387370653</v>
      </c>
      <c r="Q43" s="1" t="s">
        <v>44</v>
      </c>
      <c r="R43" s="2">
        <v>41760</v>
      </c>
      <c r="S43">
        <v>1.20405306635862</v>
      </c>
      <c r="T43">
        <v>2.4647388056630701</v>
      </c>
      <c r="V43" s="1" t="s">
        <v>44</v>
      </c>
      <c r="W43" s="2">
        <v>42339</v>
      </c>
      <c r="X43">
        <v>1.50750669991996</v>
      </c>
      <c r="Y43">
        <v>10.941200470106301</v>
      </c>
      <c r="AA43" t="s">
        <v>44</v>
      </c>
      <c r="AB43" s="2">
        <v>35704</v>
      </c>
      <c r="AC43">
        <v>0</v>
      </c>
      <c r="AD43">
        <v>0.55576919435114103</v>
      </c>
    </row>
    <row r="44" spans="1:30" x14ac:dyDescent="0.25">
      <c r="A44" s="1" t="s">
        <v>45</v>
      </c>
      <c r="B44" s="2">
        <v>41791</v>
      </c>
      <c r="C44">
        <v>0.75234810880885306</v>
      </c>
      <c r="D44">
        <v>0.93895330721399695</v>
      </c>
      <c r="G44" s="1" t="s">
        <v>45</v>
      </c>
      <c r="H44" s="2">
        <v>41791</v>
      </c>
      <c r="I44">
        <v>0.73020794921990795</v>
      </c>
      <c r="J44">
        <v>0.75725363012071301</v>
      </c>
      <c r="L44" s="1" t="s">
        <v>45</v>
      </c>
      <c r="M44" s="2">
        <v>41791</v>
      </c>
      <c r="N44">
        <v>3.03463692512662E-2</v>
      </c>
      <c r="O44">
        <v>0.153467852235911</v>
      </c>
      <c r="Q44" s="1" t="s">
        <v>45</v>
      </c>
      <c r="R44" s="2">
        <v>41791</v>
      </c>
      <c r="S44">
        <v>1.28709369852047</v>
      </c>
      <c r="T44">
        <v>2.3862735867786502</v>
      </c>
      <c r="V44" s="1" t="s">
        <v>45</v>
      </c>
      <c r="W44" s="2">
        <v>42370</v>
      </c>
      <c r="X44">
        <v>1.64978599436628</v>
      </c>
      <c r="Y44">
        <v>11.173444435704299</v>
      </c>
      <c r="AA44" t="s">
        <v>45</v>
      </c>
      <c r="AB44" s="2">
        <v>35735</v>
      </c>
      <c r="AC44">
        <v>0</v>
      </c>
      <c r="AD44">
        <v>0.572526611240876</v>
      </c>
    </row>
    <row r="45" spans="1:30" x14ac:dyDescent="0.25">
      <c r="A45" s="1" t="s">
        <v>46</v>
      </c>
      <c r="B45" s="2">
        <v>41821</v>
      </c>
      <c r="C45">
        <v>0.71890986529851197</v>
      </c>
      <c r="D45">
        <v>0.93889907067923295</v>
      </c>
      <c r="G45" s="1" t="s">
        <v>46</v>
      </c>
      <c r="H45" s="2">
        <v>41821</v>
      </c>
      <c r="I45">
        <v>0.69287565148261598</v>
      </c>
      <c r="J45">
        <v>0.74684526804180695</v>
      </c>
      <c r="L45" s="1" t="s">
        <v>46</v>
      </c>
      <c r="M45" s="2">
        <v>41821</v>
      </c>
      <c r="N45">
        <v>8.9049625222636902E-2</v>
      </c>
      <c r="O45">
        <v>0.159650767780595</v>
      </c>
      <c r="Q45" s="1" t="s">
        <v>46</v>
      </c>
      <c r="R45" s="2">
        <v>41821</v>
      </c>
      <c r="S45">
        <v>1.1971972018130199</v>
      </c>
      <c r="T45">
        <v>2.4360086670104102</v>
      </c>
      <c r="V45" s="1" t="s">
        <v>46</v>
      </c>
      <c r="W45" s="2">
        <v>42401</v>
      </c>
      <c r="X45">
        <v>1.4464891240081801</v>
      </c>
      <c r="Y45">
        <v>11.364858408640499</v>
      </c>
      <c r="AA45" t="s">
        <v>46</v>
      </c>
      <c r="AB45" s="2">
        <v>35765</v>
      </c>
      <c r="AC45">
        <v>0</v>
      </c>
      <c r="AD45">
        <v>0.55451884690665998</v>
      </c>
    </row>
    <row r="46" spans="1:30" x14ac:dyDescent="0.25">
      <c r="A46" s="1" t="s">
        <v>47</v>
      </c>
      <c r="B46" s="2">
        <v>41852</v>
      </c>
      <c r="C46">
        <v>0.74288918882122701</v>
      </c>
      <c r="D46">
        <v>0.94145507005831697</v>
      </c>
      <c r="G46" s="1" t="s">
        <v>47</v>
      </c>
      <c r="H46" s="2">
        <v>41852</v>
      </c>
      <c r="I46">
        <v>0.71117159013176501</v>
      </c>
      <c r="J46">
        <v>0.73820703984452996</v>
      </c>
      <c r="L46" s="1" t="s">
        <v>47</v>
      </c>
      <c r="M46" s="2">
        <v>41852</v>
      </c>
      <c r="N46">
        <v>0.119118864486467</v>
      </c>
      <c r="O46">
        <v>0.165919876994369</v>
      </c>
      <c r="Q46" s="1" t="s">
        <v>47</v>
      </c>
      <c r="R46" s="2">
        <v>41852</v>
      </c>
      <c r="S46">
        <v>1.29600732275778</v>
      </c>
      <c r="T46">
        <v>2.5214115903367298</v>
      </c>
      <c r="AA46" t="s">
        <v>47</v>
      </c>
      <c r="AB46" s="2">
        <v>35796</v>
      </c>
      <c r="AC46">
        <v>0</v>
      </c>
      <c r="AD46">
        <v>0.55100098475564496</v>
      </c>
    </row>
    <row r="47" spans="1:30" x14ac:dyDescent="0.25">
      <c r="A47" s="1" t="s">
        <v>48</v>
      </c>
      <c r="B47" s="2">
        <v>41883</v>
      </c>
      <c r="C47">
        <v>0.72468512177834599</v>
      </c>
      <c r="D47">
        <v>0.93352289596000404</v>
      </c>
      <c r="G47" s="1" t="s">
        <v>48</v>
      </c>
      <c r="H47" s="2">
        <v>41883</v>
      </c>
      <c r="I47">
        <v>0.69269283228867695</v>
      </c>
      <c r="J47">
        <v>0.72280786517570095</v>
      </c>
      <c r="L47" s="1" t="s">
        <v>48</v>
      </c>
      <c r="M47" s="2">
        <v>41883</v>
      </c>
      <c r="N47">
        <v>8.2103125050214706E-2</v>
      </c>
      <c r="O47">
        <v>0.16965117641409799</v>
      </c>
      <c r="Q47" s="1" t="s">
        <v>48</v>
      </c>
      <c r="R47" s="2">
        <v>41883</v>
      </c>
      <c r="S47">
        <v>1.32829716626701</v>
      </c>
      <c r="T47">
        <v>2.5373180305041299</v>
      </c>
      <c r="AA47" t="s">
        <v>48</v>
      </c>
      <c r="AB47" s="2">
        <v>35827</v>
      </c>
      <c r="AC47">
        <v>0</v>
      </c>
      <c r="AD47">
        <v>0.55453178482989296</v>
      </c>
    </row>
    <row r="48" spans="1:30" x14ac:dyDescent="0.25">
      <c r="A48" s="1" t="s">
        <v>49</v>
      </c>
      <c r="B48" s="2">
        <v>41913</v>
      </c>
      <c r="C48">
        <v>0.72620129135423395</v>
      </c>
      <c r="D48">
        <v>0.939065274851414</v>
      </c>
      <c r="G48" s="1" t="s">
        <v>49</v>
      </c>
      <c r="H48" s="2">
        <v>41913</v>
      </c>
      <c r="I48">
        <v>0.689705290668985</v>
      </c>
      <c r="J48">
        <v>0.716774939922316</v>
      </c>
      <c r="L48" s="1" t="s">
        <v>49</v>
      </c>
      <c r="M48" s="2">
        <v>41913</v>
      </c>
      <c r="N48">
        <v>4.8598743451810901E-2</v>
      </c>
      <c r="O48">
        <v>0.17523445155331899</v>
      </c>
      <c r="Q48" s="1" t="s">
        <v>49</v>
      </c>
      <c r="R48" s="2">
        <v>41913</v>
      </c>
      <c r="S48">
        <v>1.3058516077720801</v>
      </c>
      <c r="T48">
        <v>2.6423743647857298</v>
      </c>
      <c r="AA48" t="s">
        <v>49</v>
      </c>
      <c r="AB48" s="2">
        <v>35855</v>
      </c>
      <c r="AC48">
        <v>0</v>
      </c>
      <c r="AD48">
        <v>0.55230636153675805</v>
      </c>
    </row>
    <row r="49" spans="1:30" x14ac:dyDescent="0.25">
      <c r="A49" s="1" t="s">
        <v>50</v>
      </c>
      <c r="B49" s="2">
        <v>41944</v>
      </c>
      <c r="C49">
        <v>0.68886206547695805</v>
      </c>
      <c r="D49">
        <v>0.94433405833209705</v>
      </c>
      <c r="G49" s="1" t="s">
        <v>50</v>
      </c>
      <c r="H49" s="2">
        <v>41944</v>
      </c>
      <c r="I49">
        <v>0.65397913694174004</v>
      </c>
      <c r="J49">
        <v>0.71081910130338399</v>
      </c>
      <c r="L49" s="1" t="s">
        <v>50</v>
      </c>
      <c r="M49" s="2">
        <v>41944</v>
      </c>
      <c r="N49">
        <v>0.117854442895149</v>
      </c>
      <c r="O49">
        <v>0.18075821368093201</v>
      </c>
      <c r="Q49" s="1" t="s">
        <v>50</v>
      </c>
      <c r="R49" s="2">
        <v>41944</v>
      </c>
      <c r="S49">
        <v>1.34509184270761</v>
      </c>
      <c r="T49">
        <v>2.7450737741209799</v>
      </c>
      <c r="AA49" t="s">
        <v>50</v>
      </c>
      <c r="AB49" s="2">
        <v>35886</v>
      </c>
      <c r="AC49">
        <v>0</v>
      </c>
      <c r="AD49">
        <v>0.539579849278637</v>
      </c>
    </row>
    <row r="50" spans="1:30" x14ac:dyDescent="0.25">
      <c r="A50" s="1" t="s">
        <v>51</v>
      </c>
      <c r="B50" s="2">
        <v>41974</v>
      </c>
      <c r="C50">
        <v>0.73175020799269896</v>
      </c>
      <c r="D50">
        <v>0.95249544748146098</v>
      </c>
      <c r="G50" s="1" t="s">
        <v>51</v>
      </c>
      <c r="H50" s="2">
        <v>41974</v>
      </c>
      <c r="I50">
        <v>0.69831895263763299</v>
      </c>
      <c r="J50">
        <v>0.70744130743589695</v>
      </c>
      <c r="L50" s="1" t="s">
        <v>51</v>
      </c>
      <c r="M50" s="2">
        <v>41974</v>
      </c>
      <c r="N50">
        <v>2.6388848964265001E-2</v>
      </c>
      <c r="O50">
        <v>0.186472795618808</v>
      </c>
      <c r="Q50" s="1" t="s">
        <v>51</v>
      </c>
      <c r="R50" s="2">
        <v>41974</v>
      </c>
      <c r="S50">
        <v>1.3463269879751301</v>
      </c>
      <c r="T50">
        <v>2.8510892052435599</v>
      </c>
      <c r="AA50" t="s">
        <v>51</v>
      </c>
      <c r="AB50" s="2">
        <v>35916</v>
      </c>
      <c r="AC50">
        <v>0</v>
      </c>
      <c r="AD50">
        <v>0.52563410461827798</v>
      </c>
    </row>
    <row r="51" spans="1:30" x14ac:dyDescent="0.25">
      <c r="A51" s="1" t="s">
        <v>52</v>
      </c>
      <c r="B51" s="2">
        <v>42005</v>
      </c>
      <c r="C51">
        <v>0.68760699562067096</v>
      </c>
      <c r="D51">
        <v>0.95646478566832105</v>
      </c>
      <c r="G51" s="1" t="s">
        <v>52</v>
      </c>
      <c r="H51" s="2">
        <v>42005</v>
      </c>
      <c r="I51">
        <v>0.64969267875842895</v>
      </c>
      <c r="J51">
        <v>0.70160083031551901</v>
      </c>
      <c r="L51" s="1" t="s">
        <v>52</v>
      </c>
      <c r="M51" s="2">
        <v>42005</v>
      </c>
      <c r="N51">
        <v>8.5151275160444406E-2</v>
      </c>
      <c r="O51">
        <v>0.19050565252510801</v>
      </c>
      <c r="Q51" s="1" t="s">
        <v>52</v>
      </c>
      <c r="R51" s="2">
        <v>42005</v>
      </c>
      <c r="S51">
        <v>1.3409663272022101</v>
      </c>
      <c r="T51">
        <v>2.92053753286226</v>
      </c>
      <c r="AA51" t="s">
        <v>52</v>
      </c>
      <c r="AB51" s="2">
        <v>35947</v>
      </c>
      <c r="AC51">
        <v>0</v>
      </c>
      <c r="AD51">
        <v>0.51556978079452298</v>
      </c>
    </row>
    <row r="52" spans="1:30" x14ac:dyDescent="0.25">
      <c r="A52" s="1" t="s">
        <v>53</v>
      </c>
      <c r="B52" s="2">
        <v>42036</v>
      </c>
      <c r="C52">
        <v>0.69063000413512898</v>
      </c>
      <c r="D52">
        <v>0.96136132335995494</v>
      </c>
      <c r="G52" s="1" t="s">
        <v>53</v>
      </c>
      <c r="H52" s="2">
        <v>42036</v>
      </c>
      <c r="I52">
        <v>0.64380936081920304</v>
      </c>
      <c r="J52">
        <v>0.69745945500254702</v>
      </c>
      <c r="L52" s="1" t="s">
        <v>53</v>
      </c>
      <c r="M52" s="2">
        <v>42036</v>
      </c>
      <c r="N52">
        <v>0.13158484295564499</v>
      </c>
      <c r="O52">
        <v>0.195112520231633</v>
      </c>
      <c r="Q52" s="1" t="s">
        <v>53</v>
      </c>
      <c r="R52" s="2">
        <v>42036</v>
      </c>
      <c r="S52">
        <v>1.4401412931507001</v>
      </c>
      <c r="T52">
        <v>2.9859047938038099</v>
      </c>
      <c r="AA52" t="s">
        <v>53</v>
      </c>
      <c r="AB52" s="2">
        <v>35977</v>
      </c>
      <c r="AC52">
        <v>0</v>
      </c>
      <c r="AD52">
        <v>0.50544417971829503</v>
      </c>
    </row>
    <row r="53" spans="1:30" x14ac:dyDescent="0.25">
      <c r="A53" s="1" t="s">
        <v>54</v>
      </c>
      <c r="B53" s="2">
        <v>42064</v>
      </c>
      <c r="C53">
        <v>0.62462777776288703</v>
      </c>
      <c r="D53">
        <v>0.96425929169279301</v>
      </c>
      <c r="G53" s="1" t="s">
        <v>54</v>
      </c>
      <c r="H53" s="2">
        <v>42064</v>
      </c>
      <c r="I53">
        <v>0.58813600864986404</v>
      </c>
      <c r="J53">
        <v>0.69201004346237704</v>
      </c>
      <c r="L53" s="1" t="s">
        <v>54</v>
      </c>
      <c r="M53" s="2">
        <v>42064</v>
      </c>
      <c r="N53">
        <v>9.3392530557345796E-2</v>
      </c>
      <c r="O53">
        <v>0.20065167530443101</v>
      </c>
      <c r="Q53" s="1" t="s">
        <v>54</v>
      </c>
      <c r="R53" s="2">
        <v>42064</v>
      </c>
      <c r="S53">
        <v>1.19490477209233</v>
      </c>
      <c r="T53">
        <v>3.0526450104871001</v>
      </c>
      <c r="AA53" t="s">
        <v>54</v>
      </c>
      <c r="AB53" s="2">
        <v>36008</v>
      </c>
      <c r="AC53">
        <v>0</v>
      </c>
      <c r="AD53">
        <v>0.49552463404705099</v>
      </c>
    </row>
    <row r="54" spans="1:30" x14ac:dyDescent="0.25">
      <c r="A54" s="1" t="s">
        <v>55</v>
      </c>
      <c r="B54" s="2">
        <v>42095</v>
      </c>
      <c r="C54">
        <v>0.53754334578658403</v>
      </c>
      <c r="D54">
        <v>0.94547493487658896</v>
      </c>
      <c r="G54" s="1" t="s">
        <v>55</v>
      </c>
      <c r="H54" s="2">
        <v>42095</v>
      </c>
      <c r="I54">
        <v>0.50731464004529803</v>
      </c>
      <c r="J54">
        <v>0.67395590375157699</v>
      </c>
      <c r="L54" s="1" t="s">
        <v>55</v>
      </c>
      <c r="M54" s="2">
        <v>42095</v>
      </c>
      <c r="N54">
        <v>6.7893245204087002E-2</v>
      </c>
      <c r="O54">
        <v>0.198869108160205</v>
      </c>
      <c r="Q54" s="1" t="s">
        <v>55</v>
      </c>
      <c r="R54" s="2">
        <v>42095</v>
      </c>
      <c r="S54">
        <v>1.1920219339351099</v>
      </c>
      <c r="T54">
        <v>2.9182593900643501</v>
      </c>
      <c r="AA54" t="s">
        <v>55</v>
      </c>
      <c r="AB54" s="2">
        <v>36039</v>
      </c>
      <c r="AC54">
        <v>0</v>
      </c>
      <c r="AD54">
        <v>0.48977749146753602</v>
      </c>
    </row>
    <row r="55" spans="1:30" x14ac:dyDescent="0.25">
      <c r="A55" s="1" t="s">
        <v>56</v>
      </c>
      <c r="B55" s="2">
        <v>42125</v>
      </c>
      <c r="C55">
        <v>0.51417879238037101</v>
      </c>
      <c r="D55">
        <v>0.92029304078529195</v>
      </c>
      <c r="G55" s="1" t="s">
        <v>56</v>
      </c>
      <c r="H55" s="2">
        <v>42125</v>
      </c>
      <c r="I55">
        <v>0.48334304569323</v>
      </c>
      <c r="J55">
        <v>0.65134723090760605</v>
      </c>
      <c r="L55" s="1" t="s">
        <v>56</v>
      </c>
      <c r="M55" s="2">
        <v>42125</v>
      </c>
      <c r="N55">
        <v>7.6871349007945303E-2</v>
      </c>
      <c r="O55">
        <v>0.198623471515424</v>
      </c>
      <c r="Q55" s="1" t="s">
        <v>56</v>
      </c>
      <c r="R55" s="2">
        <v>42125</v>
      </c>
      <c r="S55">
        <v>1.01760291330334</v>
      </c>
      <c r="T55">
        <v>2.7968009878532198</v>
      </c>
      <c r="AA55" t="s">
        <v>56</v>
      </c>
      <c r="AB55" s="2">
        <v>36069</v>
      </c>
      <c r="AC55">
        <v>0</v>
      </c>
      <c r="AD55">
        <v>0.48582652012249</v>
      </c>
    </row>
    <row r="56" spans="1:30" x14ac:dyDescent="0.25">
      <c r="A56" s="1" t="s">
        <v>57</v>
      </c>
      <c r="B56" s="2">
        <v>42156</v>
      </c>
      <c r="C56">
        <v>0.47831995339336902</v>
      </c>
      <c r="D56">
        <v>0.89587108424849005</v>
      </c>
      <c r="G56" s="1" t="s">
        <v>57</v>
      </c>
      <c r="H56" s="2">
        <v>42156</v>
      </c>
      <c r="I56">
        <v>0.44822073042972699</v>
      </c>
      <c r="J56">
        <v>0.63025235567846205</v>
      </c>
      <c r="L56" s="1" t="s">
        <v>57</v>
      </c>
      <c r="M56" s="2">
        <v>42156</v>
      </c>
      <c r="N56">
        <v>2.0595158197211898E-2</v>
      </c>
      <c r="O56">
        <v>0.195805115391601</v>
      </c>
      <c r="Q56" s="1" t="s">
        <v>57</v>
      </c>
      <c r="R56" s="2">
        <v>42156</v>
      </c>
      <c r="S56">
        <v>1.1365317123412799</v>
      </c>
      <c r="T56">
        <v>2.6866428802586202</v>
      </c>
      <c r="AA56" t="s">
        <v>57</v>
      </c>
      <c r="AB56" s="2">
        <v>36100</v>
      </c>
      <c r="AC56">
        <v>0</v>
      </c>
      <c r="AD56">
        <v>0.47617635440328998</v>
      </c>
    </row>
    <row r="57" spans="1:30" x14ac:dyDescent="0.25">
      <c r="A57" s="1" t="s">
        <v>58</v>
      </c>
      <c r="B57" s="2">
        <v>42186</v>
      </c>
      <c r="C57">
        <v>0.46056294540182102</v>
      </c>
      <c r="D57">
        <v>0.88740404340729195</v>
      </c>
      <c r="G57" s="1" t="s">
        <v>58</v>
      </c>
      <c r="H57" s="2">
        <v>42186</v>
      </c>
      <c r="I57">
        <v>0.42191429944450398</v>
      </c>
      <c r="J57">
        <v>0.618837310681153</v>
      </c>
      <c r="L57" s="1" t="s">
        <v>58</v>
      </c>
      <c r="M57" s="2">
        <v>42186</v>
      </c>
      <c r="N57">
        <v>8.1415182531341404E-2</v>
      </c>
      <c r="O57">
        <v>0.19643845434200699</v>
      </c>
      <c r="Q57" s="1" t="s">
        <v>58</v>
      </c>
      <c r="R57" s="2">
        <v>42186</v>
      </c>
      <c r="S57">
        <v>1.2301638236166299</v>
      </c>
      <c r="T57">
        <v>2.7054653492143999</v>
      </c>
      <c r="AA57" t="s">
        <v>58</v>
      </c>
      <c r="AB57" s="2">
        <v>36130</v>
      </c>
      <c r="AC57">
        <v>0</v>
      </c>
      <c r="AD57">
        <v>0.463078044090248</v>
      </c>
    </row>
    <row r="58" spans="1:30" x14ac:dyDescent="0.25">
      <c r="A58" s="1" t="s">
        <v>59</v>
      </c>
      <c r="B58" s="2">
        <v>42217</v>
      </c>
      <c r="C58">
        <v>0.47109754077180299</v>
      </c>
      <c r="D58">
        <v>0.87840121887595701</v>
      </c>
      <c r="G58" s="1" t="s">
        <v>59</v>
      </c>
      <c r="H58" s="2">
        <v>42217</v>
      </c>
      <c r="I58">
        <v>0.43800255169093</v>
      </c>
      <c r="J58">
        <v>0.60805318515320095</v>
      </c>
      <c r="L58" s="1" t="s">
        <v>59</v>
      </c>
      <c r="M58" s="2">
        <v>42217</v>
      </c>
      <c r="N58">
        <v>2.69113445388269E-2</v>
      </c>
      <c r="O58">
        <v>0.19808291158289701</v>
      </c>
      <c r="Q58" s="1" t="s">
        <v>59</v>
      </c>
      <c r="R58" s="2">
        <v>42217</v>
      </c>
      <c r="S58">
        <v>1.12937159314377</v>
      </c>
      <c r="T58">
        <v>2.7174988379767102</v>
      </c>
      <c r="AA58" t="s">
        <v>59</v>
      </c>
      <c r="AB58" s="2">
        <v>36161</v>
      </c>
      <c r="AC58">
        <v>0</v>
      </c>
      <c r="AD58">
        <v>0.44997071095372898</v>
      </c>
    </row>
    <row r="59" spans="1:30" x14ac:dyDescent="0.25">
      <c r="A59" s="1" t="s">
        <v>60</v>
      </c>
      <c r="B59" s="2">
        <v>42248</v>
      </c>
      <c r="C59">
        <v>0.47010513249710101</v>
      </c>
      <c r="D59">
        <v>0.87176744884277502</v>
      </c>
      <c r="G59" s="1" t="s">
        <v>60</v>
      </c>
      <c r="H59" s="2">
        <v>42248</v>
      </c>
      <c r="I59">
        <v>0.43729943870187699</v>
      </c>
      <c r="J59">
        <v>0.59970445226709101</v>
      </c>
      <c r="L59" s="1" t="s">
        <v>60</v>
      </c>
      <c r="M59" s="2">
        <v>42248</v>
      </c>
      <c r="N59">
        <v>6.7578953037727998E-2</v>
      </c>
      <c r="O59">
        <v>0.19956547490747001</v>
      </c>
      <c r="Q59" s="1" t="s">
        <v>60</v>
      </c>
      <c r="R59" s="2">
        <v>42248</v>
      </c>
      <c r="S59">
        <v>1.0327831652954</v>
      </c>
      <c r="T59">
        <v>2.7299318958567702</v>
      </c>
      <c r="AA59" t="s">
        <v>60</v>
      </c>
      <c r="AB59" s="2">
        <v>36192</v>
      </c>
      <c r="AC59">
        <v>0</v>
      </c>
      <c r="AD59">
        <v>0.44033953776770901</v>
      </c>
    </row>
    <row r="60" spans="1:30" x14ac:dyDescent="0.25">
      <c r="A60" s="1" t="s">
        <v>61</v>
      </c>
      <c r="B60" s="2">
        <v>42278</v>
      </c>
      <c r="C60">
        <v>0.48421266281546399</v>
      </c>
      <c r="D60">
        <v>0.87521990475064604</v>
      </c>
      <c r="G60" s="1" t="s">
        <v>61</v>
      </c>
      <c r="H60" s="2">
        <v>42278</v>
      </c>
      <c r="I60">
        <v>0.44998184278133302</v>
      </c>
      <c r="J60">
        <v>0.59778388090646595</v>
      </c>
      <c r="L60" s="1" t="s">
        <v>61</v>
      </c>
      <c r="M60" s="2">
        <v>42278</v>
      </c>
      <c r="N60">
        <v>2.3064118586812999E-2</v>
      </c>
      <c r="O60">
        <v>0.20599085619643601</v>
      </c>
      <c r="Q60" s="1" t="s">
        <v>61</v>
      </c>
      <c r="R60" s="2">
        <v>42278</v>
      </c>
      <c r="S60">
        <v>1.25225147109823</v>
      </c>
      <c r="T60">
        <v>2.8171638171939102</v>
      </c>
      <c r="AA60" t="s">
        <v>61</v>
      </c>
      <c r="AB60" s="2">
        <v>36220</v>
      </c>
      <c r="AC60">
        <v>0</v>
      </c>
      <c r="AD60">
        <v>0.43240462175884198</v>
      </c>
    </row>
    <row r="61" spans="1:30" x14ac:dyDescent="0.25">
      <c r="A61" s="1" t="s">
        <v>62</v>
      </c>
      <c r="B61" s="2">
        <v>42309</v>
      </c>
      <c r="C61">
        <v>0.51077296294593799</v>
      </c>
      <c r="D61">
        <v>0.87939747671824697</v>
      </c>
      <c r="G61" s="1" t="s">
        <v>62</v>
      </c>
      <c r="H61" s="2">
        <v>42309</v>
      </c>
      <c r="I61">
        <v>0.468423935065643</v>
      </c>
      <c r="J61">
        <v>0.597121980835713</v>
      </c>
      <c r="L61" s="1" t="s">
        <v>62</v>
      </c>
      <c r="M61" s="2">
        <v>42309</v>
      </c>
      <c r="N61">
        <v>7.0677389451234696E-2</v>
      </c>
      <c r="O61">
        <v>0.21294204367597899</v>
      </c>
      <c r="Q61" s="1" t="s">
        <v>62</v>
      </c>
      <c r="R61" s="2">
        <v>42309</v>
      </c>
      <c r="S61">
        <v>1.31575253897638</v>
      </c>
      <c r="T61">
        <v>2.9022416600313301</v>
      </c>
      <c r="AA61" t="s">
        <v>62</v>
      </c>
      <c r="AB61" s="2">
        <v>36251</v>
      </c>
      <c r="AC61">
        <v>0</v>
      </c>
      <c r="AD61">
        <v>0.42603226595586702</v>
      </c>
    </row>
    <row r="62" spans="1:30" x14ac:dyDescent="0.25">
      <c r="A62" s="1" t="s">
        <v>63</v>
      </c>
      <c r="B62" s="2">
        <v>42339</v>
      </c>
      <c r="C62">
        <v>0.51036826719876904</v>
      </c>
      <c r="D62">
        <v>0.88541387738282396</v>
      </c>
      <c r="G62" s="1" t="s">
        <v>63</v>
      </c>
      <c r="H62" s="2">
        <v>42339</v>
      </c>
      <c r="I62">
        <v>0.47337548501534799</v>
      </c>
      <c r="J62">
        <v>0.59904043385167205</v>
      </c>
      <c r="L62" s="1" t="s">
        <v>63</v>
      </c>
      <c r="M62" s="2">
        <v>42339</v>
      </c>
      <c r="N62">
        <v>1.9871955952954799E-2</v>
      </c>
      <c r="O62">
        <v>0.221736454073407</v>
      </c>
      <c r="Q62" s="1" t="s">
        <v>63</v>
      </c>
      <c r="R62" s="2">
        <v>42339</v>
      </c>
      <c r="S62">
        <v>1.39335263816878</v>
      </c>
      <c r="T62">
        <v>2.9818197765464598</v>
      </c>
      <c r="AA62" t="s">
        <v>63</v>
      </c>
      <c r="AB62" s="2">
        <v>36281</v>
      </c>
      <c r="AC62">
        <v>0</v>
      </c>
      <c r="AD62">
        <v>0.418462729882141</v>
      </c>
    </row>
    <row r="63" spans="1:30" x14ac:dyDescent="0.25">
      <c r="A63" s="1" t="s">
        <v>64</v>
      </c>
      <c r="B63" s="2">
        <v>42370</v>
      </c>
      <c r="C63">
        <v>0.484258752547928</v>
      </c>
      <c r="D63">
        <v>0.89114245926922298</v>
      </c>
      <c r="G63" s="1" t="s">
        <v>64</v>
      </c>
      <c r="H63" s="2">
        <v>42370</v>
      </c>
      <c r="I63">
        <v>0.44586697615924797</v>
      </c>
      <c r="J63">
        <v>0.60016022759161702</v>
      </c>
      <c r="L63" s="1" t="s">
        <v>64</v>
      </c>
      <c r="M63" s="2">
        <v>42370</v>
      </c>
      <c r="N63">
        <v>4.3471699436070703E-2</v>
      </c>
      <c r="O63">
        <v>0.22998010775068201</v>
      </c>
      <c r="Q63" s="1" t="s">
        <v>64</v>
      </c>
      <c r="R63" s="2">
        <v>42370</v>
      </c>
      <c r="S63">
        <v>1.2641865579126701</v>
      </c>
      <c r="T63">
        <v>3.0606308451050901</v>
      </c>
      <c r="AA63" t="s">
        <v>64</v>
      </c>
      <c r="AB63" s="2">
        <v>36312</v>
      </c>
      <c r="AC63">
        <v>0</v>
      </c>
      <c r="AD63">
        <v>0.41395946886693102</v>
      </c>
    </row>
    <row r="64" spans="1:30" x14ac:dyDescent="0.25">
      <c r="A64" s="1" t="s">
        <v>65</v>
      </c>
      <c r="B64" s="2">
        <v>42401</v>
      </c>
      <c r="C64">
        <v>0.48709674261546698</v>
      </c>
      <c r="D64">
        <v>0.89593135037958604</v>
      </c>
      <c r="G64" s="1" t="s">
        <v>65</v>
      </c>
      <c r="H64" s="2">
        <v>42401</v>
      </c>
      <c r="I64">
        <v>0.45481421246306197</v>
      </c>
      <c r="J64">
        <v>0.60158012704293296</v>
      </c>
      <c r="L64" s="1" t="s">
        <v>65</v>
      </c>
      <c r="M64" s="2">
        <v>42401</v>
      </c>
      <c r="N64">
        <v>0.115304968227825</v>
      </c>
      <c r="O64">
        <v>0.237935813759305</v>
      </c>
      <c r="Q64" s="1" t="s">
        <v>65</v>
      </c>
      <c r="R64" s="2">
        <v>42401</v>
      </c>
      <c r="S64">
        <v>1.1764374042884</v>
      </c>
      <c r="T64">
        <v>3.1382257296649798</v>
      </c>
      <c r="AA64" t="s">
        <v>65</v>
      </c>
      <c r="AB64" s="2">
        <v>36342</v>
      </c>
      <c r="AC64">
        <v>0</v>
      </c>
      <c r="AD64">
        <v>0.41225807936689002</v>
      </c>
    </row>
    <row r="65" spans="27:30" x14ac:dyDescent="0.25">
      <c r="AA65" t="s">
        <v>74</v>
      </c>
      <c r="AB65" s="2">
        <v>36373</v>
      </c>
      <c r="AC65">
        <v>0</v>
      </c>
      <c r="AD65">
        <v>0.41238628038540198</v>
      </c>
    </row>
    <row r="66" spans="27:30" x14ac:dyDescent="0.25">
      <c r="AA66" t="s">
        <v>75</v>
      </c>
      <c r="AB66" s="2">
        <v>36404</v>
      </c>
      <c r="AC66">
        <v>0</v>
      </c>
      <c r="AD66">
        <v>0.41493056779798898</v>
      </c>
    </row>
    <row r="67" spans="27:30" x14ac:dyDescent="0.25">
      <c r="AA67" t="s">
        <v>76</v>
      </c>
      <c r="AB67" s="2">
        <v>36434</v>
      </c>
      <c r="AC67">
        <v>0</v>
      </c>
      <c r="AD67">
        <v>0.419386240255881</v>
      </c>
    </row>
    <row r="68" spans="27:30" x14ac:dyDescent="0.25">
      <c r="AA68" t="s">
        <v>77</v>
      </c>
      <c r="AB68" s="2">
        <v>36465</v>
      </c>
      <c r="AC68">
        <v>0</v>
      </c>
      <c r="AD68">
        <v>0.42626880324512201</v>
      </c>
    </row>
    <row r="69" spans="27:30" x14ac:dyDescent="0.25">
      <c r="AA69" t="s">
        <v>78</v>
      </c>
      <c r="AB69" s="2">
        <v>36495</v>
      </c>
      <c r="AC69">
        <v>0</v>
      </c>
      <c r="AD69">
        <v>0.43411579846484</v>
      </c>
    </row>
    <row r="70" spans="27:30" x14ac:dyDescent="0.25">
      <c r="AA70" t="s">
        <v>79</v>
      </c>
      <c r="AB70" s="2">
        <v>36526</v>
      </c>
      <c r="AC70">
        <v>0</v>
      </c>
      <c r="AD70">
        <v>0.44070556916655501</v>
      </c>
    </row>
    <row r="71" spans="27:30" x14ac:dyDescent="0.25">
      <c r="AA71" t="s">
        <v>80</v>
      </c>
      <c r="AB71" s="2">
        <v>36557</v>
      </c>
      <c r="AC71">
        <v>0</v>
      </c>
      <c r="AD71">
        <v>0.44388874242526899</v>
      </c>
    </row>
    <row r="72" spans="27:30" x14ac:dyDescent="0.25">
      <c r="AA72" t="s">
        <v>81</v>
      </c>
      <c r="AB72" s="2">
        <v>36586</v>
      </c>
      <c r="AC72">
        <v>0</v>
      </c>
      <c r="AD72">
        <v>0.45139982062809603</v>
      </c>
    </row>
    <row r="73" spans="27:30" x14ac:dyDescent="0.25">
      <c r="AA73" t="s">
        <v>82</v>
      </c>
      <c r="AB73" s="2">
        <v>36617</v>
      </c>
      <c r="AC73">
        <v>0</v>
      </c>
      <c r="AD73">
        <v>0.45914740057653203</v>
      </c>
    </row>
    <row r="74" spans="27:30" x14ac:dyDescent="0.25">
      <c r="AA74" t="s">
        <v>83</v>
      </c>
      <c r="AB74" s="2">
        <v>36647</v>
      </c>
      <c r="AC74">
        <v>0</v>
      </c>
      <c r="AD74">
        <v>0.46609716609875601</v>
      </c>
    </row>
    <row r="75" spans="27:30" x14ac:dyDescent="0.25">
      <c r="AA75" t="s">
        <v>84</v>
      </c>
      <c r="AB75" s="2">
        <v>36678</v>
      </c>
      <c r="AC75">
        <v>0</v>
      </c>
      <c r="AD75">
        <v>0.47089257982433402</v>
      </c>
    </row>
    <row r="76" spans="27:30" x14ac:dyDescent="0.25">
      <c r="AA76" t="s">
        <v>85</v>
      </c>
      <c r="AB76" s="2">
        <v>36708</v>
      </c>
      <c r="AC76">
        <v>0</v>
      </c>
      <c r="AD76">
        <v>0.47510527494556398</v>
      </c>
    </row>
    <row r="77" spans="27:30" x14ac:dyDescent="0.25">
      <c r="AA77" t="s">
        <v>86</v>
      </c>
      <c r="AB77" s="2">
        <v>36739</v>
      </c>
      <c r="AC77">
        <v>0</v>
      </c>
      <c r="AD77">
        <v>0.47990128768490298</v>
      </c>
    </row>
    <row r="78" spans="27:30" x14ac:dyDescent="0.25">
      <c r="AA78" t="s">
        <v>87</v>
      </c>
      <c r="AB78" s="2">
        <v>36770</v>
      </c>
      <c r="AC78">
        <v>0</v>
      </c>
      <c r="AD78">
        <v>0.481298529789842</v>
      </c>
    </row>
    <row r="79" spans="27:30" x14ac:dyDescent="0.25">
      <c r="AA79" t="s">
        <v>88</v>
      </c>
      <c r="AB79" s="2">
        <v>36800</v>
      </c>
      <c r="AC79">
        <v>0</v>
      </c>
      <c r="AD79">
        <v>0.485088807049738</v>
      </c>
    </row>
    <row r="80" spans="27:30" x14ac:dyDescent="0.25">
      <c r="AA80" t="s">
        <v>89</v>
      </c>
      <c r="AB80" s="2">
        <v>36831</v>
      </c>
      <c r="AC80">
        <v>0</v>
      </c>
      <c r="AD80">
        <v>0.48777058279457802</v>
      </c>
    </row>
    <row r="81" spans="27:30" x14ac:dyDescent="0.25">
      <c r="AA81" t="s">
        <v>90</v>
      </c>
      <c r="AB81" s="2">
        <v>36861</v>
      </c>
      <c r="AC81">
        <v>0</v>
      </c>
      <c r="AD81">
        <v>0.49326461412503297</v>
      </c>
    </row>
    <row r="82" spans="27:30" x14ac:dyDescent="0.25">
      <c r="AA82" t="s">
        <v>91</v>
      </c>
      <c r="AB82" s="2">
        <v>36892</v>
      </c>
      <c r="AC82">
        <v>0</v>
      </c>
      <c r="AD82">
        <v>0.49324813674193102</v>
      </c>
    </row>
    <row r="83" spans="27:30" x14ac:dyDescent="0.25">
      <c r="AA83" t="s">
        <v>92</v>
      </c>
      <c r="AB83" s="2">
        <v>36923</v>
      </c>
      <c r="AC83">
        <v>0</v>
      </c>
      <c r="AD83">
        <v>0.49330963242067999</v>
      </c>
    </row>
    <row r="84" spans="27:30" x14ac:dyDescent="0.25">
      <c r="AA84" t="s">
        <v>93</v>
      </c>
      <c r="AB84" s="2">
        <v>36951</v>
      </c>
      <c r="AC84">
        <v>0</v>
      </c>
      <c r="AD84">
        <v>0.49520102698203899</v>
      </c>
    </row>
    <row r="85" spans="27:30" x14ac:dyDescent="0.25">
      <c r="AA85" t="s">
        <v>94</v>
      </c>
      <c r="AB85" s="2">
        <v>36982</v>
      </c>
      <c r="AC85">
        <v>0</v>
      </c>
      <c r="AD85">
        <v>0.496139717723865</v>
      </c>
    </row>
    <row r="86" spans="27:30" x14ac:dyDescent="0.25">
      <c r="AA86" t="s">
        <v>95</v>
      </c>
      <c r="AB86" s="2">
        <v>37012</v>
      </c>
      <c r="AC86">
        <v>0</v>
      </c>
      <c r="AD86">
        <v>0.491373349798507</v>
      </c>
    </row>
    <row r="87" spans="27:30" x14ac:dyDescent="0.25">
      <c r="AA87" t="s">
        <v>96</v>
      </c>
      <c r="AB87" s="2">
        <v>37043</v>
      </c>
      <c r="AC87">
        <v>0</v>
      </c>
      <c r="AD87">
        <v>0.48456989797855998</v>
      </c>
    </row>
    <row r="88" spans="27:30" x14ac:dyDescent="0.25">
      <c r="AA88" t="s">
        <v>97</v>
      </c>
      <c r="AB88" s="2">
        <v>37073</v>
      </c>
      <c r="AC88">
        <v>0</v>
      </c>
      <c r="AD88">
        <v>0.47411636819959502</v>
      </c>
    </row>
    <row r="89" spans="27:30" x14ac:dyDescent="0.25">
      <c r="AA89" t="s">
        <v>98</v>
      </c>
      <c r="AB89" s="2">
        <v>37104</v>
      </c>
      <c r="AC89">
        <v>0</v>
      </c>
      <c r="AD89">
        <v>0.46498996587237601</v>
      </c>
    </row>
    <row r="90" spans="27:30" x14ac:dyDescent="0.25">
      <c r="AA90" t="s">
        <v>99</v>
      </c>
      <c r="AB90" s="2">
        <v>37135</v>
      </c>
      <c r="AC90">
        <v>0</v>
      </c>
      <c r="AD90">
        <v>0.45896231240152302</v>
      </c>
    </row>
    <row r="91" spans="27:30" x14ac:dyDescent="0.25">
      <c r="AA91" t="s">
        <v>100</v>
      </c>
      <c r="AB91" s="2">
        <v>37165</v>
      </c>
      <c r="AC91">
        <v>0</v>
      </c>
      <c r="AD91">
        <v>0.45365219868301898</v>
      </c>
    </row>
    <row r="92" spans="27:30" x14ac:dyDescent="0.25">
      <c r="AA92" t="s">
        <v>101</v>
      </c>
      <c r="AB92" s="2">
        <v>37196</v>
      </c>
      <c r="AC92">
        <v>0</v>
      </c>
      <c r="AD92">
        <v>0.45095206065305399</v>
      </c>
    </row>
    <row r="93" spans="27:30" x14ac:dyDescent="0.25">
      <c r="AA93" t="s">
        <v>102</v>
      </c>
      <c r="AB93" s="2">
        <v>37226</v>
      </c>
      <c r="AC93">
        <v>0</v>
      </c>
      <c r="AD93">
        <v>0.44482842824722402</v>
      </c>
    </row>
    <row r="94" spans="27:30" x14ac:dyDescent="0.25">
      <c r="AA94" t="s">
        <v>103</v>
      </c>
      <c r="AB94" s="2">
        <v>37257</v>
      </c>
      <c r="AC94">
        <v>0</v>
      </c>
      <c r="AD94">
        <v>0.43431382178955602</v>
      </c>
    </row>
    <row r="95" spans="27:30" x14ac:dyDescent="0.25">
      <c r="AA95" t="s">
        <v>104</v>
      </c>
      <c r="AB95" s="2">
        <v>37288</v>
      </c>
      <c r="AC95">
        <v>0</v>
      </c>
      <c r="AD95">
        <v>0.42369177777244998</v>
      </c>
    </row>
    <row r="96" spans="27:30" x14ac:dyDescent="0.25">
      <c r="AA96" t="s">
        <v>105</v>
      </c>
      <c r="AB96" s="2">
        <v>37316</v>
      </c>
      <c r="AC96">
        <v>0</v>
      </c>
      <c r="AD96">
        <v>0.41518708483631001</v>
      </c>
    </row>
    <row r="97" spans="27:30" x14ac:dyDescent="0.25">
      <c r="AA97" t="s">
        <v>106</v>
      </c>
      <c r="AB97" s="2">
        <v>37347</v>
      </c>
      <c r="AC97">
        <v>0</v>
      </c>
      <c r="AD97">
        <v>0.41021520032666903</v>
      </c>
    </row>
    <row r="98" spans="27:30" x14ac:dyDescent="0.25">
      <c r="AA98" t="s">
        <v>107</v>
      </c>
      <c r="AB98" s="2">
        <v>37377</v>
      </c>
      <c r="AC98">
        <v>0</v>
      </c>
      <c r="AD98">
        <v>0.40323347340377502</v>
      </c>
    </row>
    <row r="99" spans="27:30" x14ac:dyDescent="0.25">
      <c r="AA99" t="s">
        <v>108</v>
      </c>
      <c r="AB99" s="2">
        <v>37408</v>
      </c>
      <c r="AC99">
        <v>0</v>
      </c>
      <c r="AD99">
        <v>0.40134575892255597</v>
      </c>
    </row>
    <row r="100" spans="27:30" x14ac:dyDescent="0.25">
      <c r="AA100" t="s">
        <v>109</v>
      </c>
      <c r="AB100" s="2">
        <v>37438</v>
      </c>
      <c r="AC100">
        <v>0</v>
      </c>
      <c r="AD100">
        <v>0.39851708261614499</v>
      </c>
    </row>
    <row r="101" spans="27:30" x14ac:dyDescent="0.25">
      <c r="AA101" s="1" t="s">
        <v>110</v>
      </c>
      <c r="AB101" s="2">
        <v>37469</v>
      </c>
      <c r="AC101">
        <v>0</v>
      </c>
      <c r="AD101">
        <v>0.395547124797901</v>
      </c>
    </row>
    <row r="102" spans="27:30" x14ac:dyDescent="0.25">
      <c r="AA102" s="1" t="s">
        <v>111</v>
      </c>
      <c r="AB102" s="2">
        <v>37500</v>
      </c>
      <c r="AC102">
        <v>0</v>
      </c>
      <c r="AD102">
        <v>0.39067847445651799</v>
      </c>
    </row>
    <row r="103" spans="27:30" x14ac:dyDescent="0.25">
      <c r="AA103" s="1" t="s">
        <v>112</v>
      </c>
      <c r="AB103" s="2">
        <v>37530</v>
      </c>
      <c r="AC103">
        <v>0</v>
      </c>
      <c r="AD103">
        <v>0.38441214505756699</v>
      </c>
    </row>
    <row r="104" spans="27:30" x14ac:dyDescent="0.25">
      <c r="AA104" s="1" t="s">
        <v>113</v>
      </c>
      <c r="AB104" s="2">
        <v>37561</v>
      </c>
      <c r="AC104">
        <v>0</v>
      </c>
      <c r="AD104">
        <v>0.37410499890808702</v>
      </c>
    </row>
    <row r="105" spans="27:30" x14ac:dyDescent="0.25">
      <c r="AA105" s="1" t="s">
        <v>114</v>
      </c>
      <c r="AB105" s="2">
        <v>37591</v>
      </c>
      <c r="AC105">
        <v>0</v>
      </c>
      <c r="AD105">
        <v>0.36317833714326597</v>
      </c>
    </row>
    <row r="106" spans="27:30" x14ac:dyDescent="0.25">
      <c r="AA106" s="1" t="s">
        <v>115</v>
      </c>
      <c r="AB106" s="2">
        <v>37622</v>
      </c>
      <c r="AC106">
        <v>0</v>
      </c>
      <c r="AD106">
        <v>0.35041999236165</v>
      </c>
    </row>
    <row r="107" spans="27:30" x14ac:dyDescent="0.25">
      <c r="AA107" s="1" t="s">
        <v>116</v>
      </c>
      <c r="AB107" s="2">
        <v>37653</v>
      </c>
      <c r="AC107">
        <v>0</v>
      </c>
      <c r="AD107">
        <v>0.34528520515035899</v>
      </c>
    </row>
    <row r="108" spans="27:30" x14ac:dyDescent="0.25">
      <c r="AA108" s="1" t="s">
        <v>117</v>
      </c>
      <c r="AB108" s="2">
        <v>37681</v>
      </c>
      <c r="AC108">
        <v>0</v>
      </c>
      <c r="AD108">
        <v>0.341598112127806</v>
      </c>
    </row>
    <row r="109" spans="27:30" x14ac:dyDescent="0.25">
      <c r="AA109" s="1" t="s">
        <v>118</v>
      </c>
      <c r="AB109" s="2">
        <v>37712</v>
      </c>
      <c r="AC109">
        <v>0</v>
      </c>
      <c r="AD109">
        <v>0.33163996441161198</v>
      </c>
    </row>
    <row r="110" spans="27:30" x14ac:dyDescent="0.25">
      <c r="AA110" s="1" t="s">
        <v>119</v>
      </c>
      <c r="AB110" s="2">
        <v>37742</v>
      </c>
      <c r="AC110">
        <v>0</v>
      </c>
      <c r="AD110">
        <v>0.32503108923280799</v>
      </c>
    </row>
    <row r="111" spans="27:30" x14ac:dyDescent="0.25">
      <c r="AA111" s="1" t="s">
        <v>120</v>
      </c>
      <c r="AB111" s="2">
        <v>37773</v>
      </c>
      <c r="AC111">
        <v>0</v>
      </c>
      <c r="AD111">
        <v>0.55720763945157303</v>
      </c>
    </row>
    <row r="112" spans="27:30" x14ac:dyDescent="0.25">
      <c r="AA112" s="1" t="s">
        <v>121</v>
      </c>
      <c r="AB112" s="2">
        <v>37803</v>
      </c>
      <c r="AC112">
        <v>0</v>
      </c>
      <c r="AD112">
        <v>0.55064123331190995</v>
      </c>
    </row>
    <row r="113" spans="27:30" x14ac:dyDescent="0.25">
      <c r="AA113" s="1" t="s">
        <v>122</v>
      </c>
      <c r="AB113" s="2">
        <v>37834</v>
      </c>
      <c r="AC113">
        <v>0</v>
      </c>
      <c r="AD113">
        <v>0.54261127317735103</v>
      </c>
    </row>
    <row r="114" spans="27:30" x14ac:dyDescent="0.25">
      <c r="AA114" s="1" t="s">
        <v>123</v>
      </c>
      <c r="AB114" s="2">
        <v>37865</v>
      </c>
      <c r="AC114">
        <v>0</v>
      </c>
      <c r="AD114">
        <v>0.51279443707376005</v>
      </c>
    </row>
    <row r="115" spans="27:30" x14ac:dyDescent="0.25">
      <c r="AA115" s="1" t="s">
        <v>124</v>
      </c>
      <c r="AB115" s="2">
        <v>37895</v>
      </c>
      <c r="AC115">
        <v>0</v>
      </c>
      <c r="AD115">
        <v>0.491203346806934</v>
      </c>
    </row>
    <row r="116" spans="27:30" x14ac:dyDescent="0.25">
      <c r="AA116" s="1" t="s">
        <v>125</v>
      </c>
      <c r="AB116" s="2">
        <v>37926</v>
      </c>
      <c r="AC116">
        <v>0</v>
      </c>
      <c r="AD116">
        <v>0.47359520842603597</v>
      </c>
    </row>
    <row r="117" spans="27:30" x14ac:dyDescent="0.25">
      <c r="AA117" s="1" t="s">
        <v>126</v>
      </c>
      <c r="AB117" s="2">
        <v>37956</v>
      </c>
      <c r="AC117">
        <v>0</v>
      </c>
      <c r="AD117">
        <v>0.47206642708869101</v>
      </c>
    </row>
    <row r="118" spans="27:30" x14ac:dyDescent="0.25">
      <c r="AA118" s="1" t="s">
        <v>127</v>
      </c>
      <c r="AB118" s="2">
        <v>37987</v>
      </c>
      <c r="AC118">
        <v>0</v>
      </c>
      <c r="AD118">
        <v>0.46779923122261002</v>
      </c>
    </row>
    <row r="119" spans="27:30" x14ac:dyDescent="0.25">
      <c r="AA119" s="1" t="s">
        <v>128</v>
      </c>
      <c r="AB119" s="2">
        <v>38018</v>
      </c>
      <c r="AC119">
        <v>0</v>
      </c>
      <c r="AD119">
        <v>0.46851703493352398</v>
      </c>
    </row>
    <row r="120" spans="27:30" x14ac:dyDescent="0.25">
      <c r="AA120" s="1" t="s">
        <v>129</v>
      </c>
      <c r="AB120" s="2">
        <v>38047</v>
      </c>
      <c r="AC120">
        <v>0</v>
      </c>
      <c r="AD120">
        <v>0.47158180890218798</v>
      </c>
    </row>
    <row r="121" spans="27:30" x14ac:dyDescent="0.25">
      <c r="AA121" s="1" t="s">
        <v>130</v>
      </c>
      <c r="AB121" s="2">
        <v>38078</v>
      </c>
      <c r="AC121">
        <v>0</v>
      </c>
      <c r="AD121">
        <v>0.46640030261322402</v>
      </c>
    </row>
    <row r="122" spans="27:30" x14ac:dyDescent="0.25">
      <c r="AA122" s="1" t="s">
        <v>131</v>
      </c>
      <c r="AB122" s="2">
        <v>38108</v>
      </c>
      <c r="AC122">
        <v>0</v>
      </c>
      <c r="AD122">
        <v>0.45964356297009101</v>
      </c>
    </row>
    <row r="123" spans="27:30" x14ac:dyDescent="0.25">
      <c r="AA123" s="1" t="s">
        <v>132</v>
      </c>
      <c r="AB123" s="2">
        <v>38139</v>
      </c>
      <c r="AC123">
        <v>0</v>
      </c>
      <c r="AD123">
        <v>0.449884648515819</v>
      </c>
    </row>
    <row r="124" spans="27:30" x14ac:dyDescent="0.25">
      <c r="AA124" s="1" t="s">
        <v>133</v>
      </c>
      <c r="AB124" s="2">
        <v>38169</v>
      </c>
      <c r="AC124">
        <v>0</v>
      </c>
      <c r="AD124">
        <v>0.44502884501580497</v>
      </c>
    </row>
    <row r="125" spans="27:30" x14ac:dyDescent="0.25">
      <c r="AA125" s="1" t="s">
        <v>134</v>
      </c>
      <c r="AB125" s="2">
        <v>38200</v>
      </c>
      <c r="AC125">
        <v>0</v>
      </c>
      <c r="AD125">
        <v>0.44307266466259199</v>
      </c>
    </row>
    <row r="126" spans="27:30" x14ac:dyDescent="0.25">
      <c r="AA126" s="1" t="s">
        <v>135</v>
      </c>
      <c r="AB126" s="2">
        <v>38231</v>
      </c>
      <c r="AC126">
        <v>0</v>
      </c>
      <c r="AD126">
        <v>0.44390639841306301</v>
      </c>
    </row>
    <row r="127" spans="27:30" x14ac:dyDescent="0.25">
      <c r="AA127" s="1" t="s">
        <v>136</v>
      </c>
      <c r="AB127" s="2">
        <v>38261</v>
      </c>
      <c r="AC127">
        <v>0</v>
      </c>
      <c r="AD127">
        <v>0.44982584305970402</v>
      </c>
    </row>
    <row r="128" spans="27:30" x14ac:dyDescent="0.25">
      <c r="AA128" s="1" t="s">
        <v>137</v>
      </c>
      <c r="AB128" s="2">
        <v>38292</v>
      </c>
      <c r="AC128">
        <v>0</v>
      </c>
      <c r="AD128">
        <v>0.45507217824477503</v>
      </c>
    </row>
    <row r="129" spans="27:30" x14ac:dyDescent="0.25">
      <c r="AA129" s="1" t="s">
        <v>138</v>
      </c>
      <c r="AB129" s="2">
        <v>38322</v>
      </c>
      <c r="AC129">
        <v>0</v>
      </c>
      <c r="AD129">
        <v>0.46055679464493998</v>
      </c>
    </row>
    <row r="130" spans="27:30" x14ac:dyDescent="0.25">
      <c r="AA130" s="1" t="s">
        <v>139</v>
      </c>
      <c r="AB130" s="2">
        <v>38353</v>
      </c>
      <c r="AC130">
        <v>0</v>
      </c>
      <c r="AD130">
        <v>0.46047213066275899</v>
      </c>
    </row>
    <row r="131" spans="27:30" x14ac:dyDescent="0.25">
      <c r="AA131" s="1" t="s">
        <v>140</v>
      </c>
      <c r="AB131" s="2">
        <v>38384</v>
      </c>
      <c r="AC131">
        <v>0</v>
      </c>
      <c r="AD131">
        <v>0.46276190299117098</v>
      </c>
    </row>
    <row r="132" spans="27:30" x14ac:dyDescent="0.25">
      <c r="AA132" s="1" t="s">
        <v>141</v>
      </c>
      <c r="AB132" s="2">
        <v>38412</v>
      </c>
      <c r="AC132">
        <v>0</v>
      </c>
      <c r="AD132">
        <v>0.46921510444041198</v>
      </c>
    </row>
    <row r="133" spans="27:30" x14ac:dyDescent="0.25">
      <c r="AA133" s="1" t="s">
        <v>142</v>
      </c>
      <c r="AB133" s="2">
        <v>38443</v>
      </c>
      <c r="AC133">
        <v>0</v>
      </c>
      <c r="AD133">
        <v>0.466934296648014</v>
      </c>
    </row>
    <row r="134" spans="27:30" x14ac:dyDescent="0.25">
      <c r="AA134" s="1" t="s">
        <v>143</v>
      </c>
      <c r="AB134" s="2">
        <v>38473</v>
      </c>
      <c r="AC134">
        <v>0</v>
      </c>
      <c r="AD134">
        <v>0.460858387475582</v>
      </c>
    </row>
    <row r="135" spans="27:30" x14ac:dyDescent="0.25">
      <c r="AA135" s="1" t="s">
        <v>144</v>
      </c>
      <c r="AB135" s="2">
        <v>38504</v>
      </c>
      <c r="AC135">
        <v>0</v>
      </c>
      <c r="AD135">
        <v>0.45692614884180699</v>
      </c>
    </row>
    <row r="136" spans="27:30" x14ac:dyDescent="0.25">
      <c r="AA136" s="1" t="s">
        <v>145</v>
      </c>
      <c r="AB136" s="2">
        <v>38534</v>
      </c>
      <c r="AC136">
        <v>0</v>
      </c>
      <c r="AD136">
        <v>0.45502500982356198</v>
      </c>
    </row>
    <row r="137" spans="27:30" x14ac:dyDescent="0.25">
      <c r="AA137" s="1" t="s">
        <v>146</v>
      </c>
      <c r="AB137" s="2">
        <v>38565</v>
      </c>
      <c r="AC137">
        <v>0</v>
      </c>
      <c r="AD137">
        <v>0.45452847236594501</v>
      </c>
    </row>
    <row r="138" spans="27:30" x14ac:dyDescent="0.25">
      <c r="AA138" s="1" t="s">
        <v>147</v>
      </c>
      <c r="AB138" s="2">
        <v>38596</v>
      </c>
      <c r="AC138">
        <v>0</v>
      </c>
      <c r="AD138">
        <v>0.44899387538902502</v>
      </c>
    </row>
    <row r="139" spans="27:30" x14ac:dyDescent="0.25">
      <c r="AA139" s="1" t="s">
        <v>148</v>
      </c>
      <c r="AB139" s="2">
        <v>38626</v>
      </c>
      <c r="AC139">
        <v>0</v>
      </c>
      <c r="AD139">
        <v>0.445285932813277</v>
      </c>
    </row>
    <row r="140" spans="27:30" x14ac:dyDescent="0.25">
      <c r="AA140" s="1" t="s">
        <v>149</v>
      </c>
      <c r="AB140" s="2">
        <v>38657</v>
      </c>
      <c r="AC140">
        <v>0</v>
      </c>
      <c r="AD140">
        <v>0.44437779422505902</v>
      </c>
    </row>
    <row r="141" spans="27:30" x14ac:dyDescent="0.25">
      <c r="AA141" s="1" t="s">
        <v>150</v>
      </c>
      <c r="AB141" s="2">
        <v>38687</v>
      </c>
      <c r="AC141">
        <v>0</v>
      </c>
      <c r="AD141">
        <v>0.44612361101715697</v>
      </c>
    </row>
    <row r="142" spans="27:30" x14ac:dyDescent="0.25">
      <c r="AA142" s="1" t="s">
        <v>151</v>
      </c>
      <c r="AB142" s="2">
        <v>38718</v>
      </c>
      <c r="AC142">
        <v>0</v>
      </c>
      <c r="AD142">
        <v>0.451791115326383</v>
      </c>
    </row>
    <row r="143" spans="27:30" x14ac:dyDescent="0.25">
      <c r="AA143" s="1" t="s">
        <v>152</v>
      </c>
      <c r="AB143" s="2">
        <v>38749</v>
      </c>
      <c r="AC143">
        <v>0</v>
      </c>
      <c r="AD143">
        <v>0.45598033753652101</v>
      </c>
    </row>
    <row r="144" spans="27:30" x14ac:dyDescent="0.25">
      <c r="AA144" s="1" t="s">
        <v>153</v>
      </c>
      <c r="AB144" s="2">
        <v>38777</v>
      </c>
      <c r="AC144">
        <v>0</v>
      </c>
      <c r="AD144">
        <v>0.46253869711631002</v>
      </c>
    </row>
    <row r="145" spans="27:30" x14ac:dyDescent="0.25">
      <c r="AA145" s="1" t="s">
        <v>154</v>
      </c>
      <c r="AB145" s="2">
        <v>38808</v>
      </c>
      <c r="AC145">
        <v>0</v>
      </c>
      <c r="AD145">
        <v>0.46713763659226298</v>
      </c>
    </row>
    <row r="146" spans="27:30" x14ac:dyDescent="0.25">
      <c r="AA146" s="1" t="s">
        <v>155</v>
      </c>
      <c r="AB146" s="2">
        <v>38838</v>
      </c>
      <c r="AC146">
        <v>0</v>
      </c>
      <c r="AD146">
        <v>0.47055649233236402</v>
      </c>
    </row>
    <row r="147" spans="27:30" x14ac:dyDescent="0.25">
      <c r="AA147" s="1" t="s">
        <v>156</v>
      </c>
      <c r="AB147" s="2">
        <v>38869</v>
      </c>
      <c r="AC147">
        <v>0</v>
      </c>
      <c r="AD147">
        <v>0.47526683269363301</v>
      </c>
    </row>
    <row r="148" spans="27:30" x14ac:dyDescent="0.25">
      <c r="AA148" s="1" t="s">
        <v>157</v>
      </c>
      <c r="AB148" s="2">
        <v>38899</v>
      </c>
      <c r="AC148">
        <v>0</v>
      </c>
      <c r="AD148">
        <v>0.48357389625943697</v>
      </c>
    </row>
    <row r="149" spans="27:30" x14ac:dyDescent="0.25">
      <c r="AA149" s="1" t="s">
        <v>158</v>
      </c>
      <c r="AB149" s="2">
        <v>38930</v>
      </c>
      <c r="AC149">
        <v>0</v>
      </c>
      <c r="AD149">
        <v>0.49125869075293799</v>
      </c>
    </row>
    <row r="150" spans="27:30" x14ac:dyDescent="0.25">
      <c r="AA150" s="1" t="s">
        <v>159</v>
      </c>
      <c r="AB150" s="2">
        <v>38961</v>
      </c>
      <c r="AC150">
        <v>0</v>
      </c>
      <c r="AD150">
        <v>0.498842995495064</v>
      </c>
    </row>
    <row r="151" spans="27:30" x14ac:dyDescent="0.25">
      <c r="AA151" s="1" t="s">
        <v>160</v>
      </c>
      <c r="AB151" s="2">
        <v>38991</v>
      </c>
      <c r="AC151">
        <v>0</v>
      </c>
      <c r="AD151">
        <v>0.51048362324596097</v>
      </c>
    </row>
    <row r="152" spans="27:30" x14ac:dyDescent="0.25">
      <c r="AA152" s="1" t="s">
        <v>161</v>
      </c>
      <c r="AB152" s="2">
        <v>39022</v>
      </c>
      <c r="AC152">
        <v>0</v>
      </c>
      <c r="AD152">
        <v>0.52264218672887197</v>
      </c>
    </row>
    <row r="153" spans="27:30" x14ac:dyDescent="0.25">
      <c r="AA153" s="1" t="s">
        <v>162</v>
      </c>
      <c r="AB153" s="2">
        <v>39052</v>
      </c>
      <c r="AC153">
        <v>0</v>
      </c>
      <c r="AD153">
        <v>0.53594813635716698</v>
      </c>
    </row>
    <row r="154" spans="27:30" x14ac:dyDescent="0.25">
      <c r="AA154" s="1" t="s">
        <v>163</v>
      </c>
      <c r="AB154" s="2">
        <v>39083</v>
      </c>
      <c r="AC154">
        <v>0</v>
      </c>
      <c r="AD154">
        <v>0.54405720288179804</v>
      </c>
    </row>
    <row r="155" spans="27:30" x14ac:dyDescent="0.25">
      <c r="AA155" s="1" t="s">
        <v>164</v>
      </c>
      <c r="AB155" s="2">
        <v>39114</v>
      </c>
      <c r="AC155">
        <v>0</v>
      </c>
      <c r="AD155">
        <v>0.55355757527518801</v>
      </c>
    </row>
    <row r="156" spans="27:30" x14ac:dyDescent="0.25">
      <c r="AA156" s="1" t="s">
        <v>165</v>
      </c>
      <c r="AB156" s="2">
        <v>39142</v>
      </c>
      <c r="AC156">
        <v>0</v>
      </c>
      <c r="AD156">
        <v>0.56002751920716198</v>
      </c>
    </row>
    <row r="157" spans="27:30" x14ac:dyDescent="0.25">
      <c r="AA157" s="1" t="s">
        <v>166</v>
      </c>
      <c r="AB157" s="2">
        <v>39173</v>
      </c>
      <c r="AC157">
        <v>0</v>
      </c>
      <c r="AD157">
        <v>0.56467403625232204</v>
      </c>
    </row>
    <row r="158" spans="27:30" x14ac:dyDescent="0.25">
      <c r="AA158" s="1" t="s">
        <v>167</v>
      </c>
      <c r="AB158" s="2">
        <v>39203</v>
      </c>
      <c r="AC158">
        <v>0</v>
      </c>
      <c r="AD158">
        <v>0.56955958741167201</v>
      </c>
    </row>
    <row r="159" spans="27:30" x14ac:dyDescent="0.25">
      <c r="AA159" s="1" t="s">
        <v>168</v>
      </c>
      <c r="AB159" s="2">
        <v>39234</v>
      </c>
      <c r="AC159">
        <v>0</v>
      </c>
      <c r="AD159">
        <v>0.57232849124047003</v>
      </c>
    </row>
    <row r="160" spans="27:30" x14ac:dyDescent="0.25">
      <c r="AA160" s="1" t="s">
        <v>169</v>
      </c>
      <c r="AB160" s="2">
        <v>39264</v>
      </c>
      <c r="AC160">
        <v>0</v>
      </c>
      <c r="AD160">
        <v>0.58584364426492697</v>
      </c>
    </row>
    <row r="161" spans="27:30" x14ac:dyDescent="0.25">
      <c r="AA161" s="1" t="s">
        <v>170</v>
      </c>
      <c r="AB161" s="2">
        <v>39295</v>
      </c>
      <c r="AC161">
        <v>0</v>
      </c>
      <c r="AD161">
        <v>0.60232429446374103</v>
      </c>
    </row>
    <row r="162" spans="27:30" x14ac:dyDescent="0.25">
      <c r="AA162" s="1" t="s">
        <v>171</v>
      </c>
      <c r="AB162" s="2">
        <v>39326</v>
      </c>
      <c r="AC162">
        <v>0</v>
      </c>
      <c r="AD162">
        <v>0.61744441471967004</v>
      </c>
    </row>
    <row r="163" spans="27:30" x14ac:dyDescent="0.25">
      <c r="AA163" s="1" t="s">
        <v>172</v>
      </c>
      <c r="AB163" s="2">
        <v>39356</v>
      </c>
      <c r="AC163">
        <v>0</v>
      </c>
      <c r="AD163">
        <v>0.64034373038421899</v>
      </c>
    </row>
    <row r="164" spans="27:30" x14ac:dyDescent="0.25">
      <c r="AA164" s="1" t="s">
        <v>173</v>
      </c>
      <c r="AB164" s="2">
        <v>39387</v>
      </c>
      <c r="AC164">
        <v>0</v>
      </c>
      <c r="AD164">
        <v>0.66944440155977103</v>
      </c>
    </row>
    <row r="165" spans="27:30" x14ac:dyDescent="0.25">
      <c r="AA165" s="1" t="s">
        <v>174</v>
      </c>
      <c r="AB165" s="2">
        <v>39417</v>
      </c>
      <c r="AC165">
        <v>0</v>
      </c>
      <c r="AD165">
        <v>0.69632905932865996</v>
      </c>
    </row>
    <row r="166" spans="27:30" x14ac:dyDescent="0.25">
      <c r="AA166" s="1" t="s">
        <v>175</v>
      </c>
      <c r="AB166" s="2">
        <v>39448</v>
      </c>
      <c r="AC166">
        <v>0</v>
      </c>
      <c r="AD166">
        <v>0.73069978774079603</v>
      </c>
    </row>
    <row r="167" spans="27:30" x14ac:dyDescent="0.25">
      <c r="AA167" s="1" t="s">
        <v>176</v>
      </c>
      <c r="AB167" s="2">
        <v>39479</v>
      </c>
      <c r="AC167">
        <v>0</v>
      </c>
      <c r="AD167">
        <v>0.76662782010864505</v>
      </c>
    </row>
    <row r="168" spans="27:30" x14ac:dyDescent="0.25">
      <c r="AA168" s="1" t="s">
        <v>177</v>
      </c>
      <c r="AB168" s="2">
        <v>39508</v>
      </c>
      <c r="AC168">
        <v>0</v>
      </c>
      <c r="AD168">
        <v>0.80382661379310205</v>
      </c>
    </row>
    <row r="169" spans="27:30" x14ac:dyDescent="0.25">
      <c r="AA169" s="1" t="s">
        <v>178</v>
      </c>
      <c r="AB169" s="2">
        <v>39539</v>
      </c>
      <c r="AC169">
        <v>0</v>
      </c>
      <c r="AD169">
        <v>0.83176656482094602</v>
      </c>
    </row>
    <row r="170" spans="27:30" x14ac:dyDescent="0.25">
      <c r="AA170" s="1" t="s">
        <v>179</v>
      </c>
      <c r="AB170" s="2">
        <v>39569</v>
      </c>
      <c r="AC170">
        <v>0</v>
      </c>
      <c r="AD170">
        <v>0.86067194405679004</v>
      </c>
    </row>
    <row r="171" spans="27:30" x14ac:dyDescent="0.25">
      <c r="AA171" s="1" t="s">
        <v>180</v>
      </c>
      <c r="AB171" s="2">
        <v>39600</v>
      </c>
      <c r="AC171">
        <v>0</v>
      </c>
      <c r="AD171">
        <v>0.88977869341234594</v>
      </c>
    </row>
    <row r="172" spans="27:30" x14ac:dyDescent="0.25">
      <c r="AA172" s="1" t="s">
        <v>181</v>
      </c>
      <c r="AB172" s="2">
        <v>39630</v>
      </c>
      <c r="AC172">
        <v>0</v>
      </c>
      <c r="AD172">
        <v>0.93770158254125002</v>
      </c>
    </row>
    <row r="173" spans="27:30" x14ac:dyDescent="0.25">
      <c r="AA173" s="1" t="s">
        <v>182</v>
      </c>
      <c r="AB173" s="2">
        <v>39661</v>
      </c>
      <c r="AC173">
        <v>0</v>
      </c>
      <c r="AD173">
        <v>0.99368662053303003</v>
      </c>
    </row>
    <row r="174" spans="27:30" x14ac:dyDescent="0.25">
      <c r="AA174" s="1" t="s">
        <v>183</v>
      </c>
      <c r="AB174" s="2">
        <v>39692</v>
      </c>
      <c r="AC174">
        <v>0</v>
      </c>
      <c r="AD174">
        <v>1.0571235298211099</v>
      </c>
    </row>
    <row r="175" spans="27:30" x14ac:dyDescent="0.25">
      <c r="AA175" s="1" t="s">
        <v>184</v>
      </c>
      <c r="AB175" s="2">
        <v>39722</v>
      </c>
      <c r="AC175">
        <v>0</v>
      </c>
      <c r="AD175">
        <v>1.14583967703601</v>
      </c>
    </row>
    <row r="176" spans="27:30" x14ac:dyDescent="0.25">
      <c r="AA176" s="1" t="s">
        <v>185</v>
      </c>
      <c r="AB176" s="2">
        <v>39753</v>
      </c>
      <c r="AC176">
        <v>0</v>
      </c>
      <c r="AD176">
        <v>1.2546151550301301</v>
      </c>
    </row>
    <row r="177" spans="27:30" x14ac:dyDescent="0.25">
      <c r="AA177" s="1" t="s">
        <v>186</v>
      </c>
      <c r="AB177" s="2">
        <v>39783</v>
      </c>
      <c r="AC177">
        <v>0</v>
      </c>
      <c r="AD177">
        <v>1.3719148686600999</v>
      </c>
    </row>
    <row r="178" spans="27:30" x14ac:dyDescent="0.25">
      <c r="AA178" s="1" t="s">
        <v>187</v>
      </c>
      <c r="AB178" s="2">
        <v>39814</v>
      </c>
      <c r="AC178">
        <v>0</v>
      </c>
      <c r="AD178">
        <v>1.44153027302354</v>
      </c>
    </row>
    <row r="179" spans="27:30" x14ac:dyDescent="0.25">
      <c r="AA179" s="1" t="s">
        <v>188</v>
      </c>
      <c r="AB179" s="2">
        <v>39845</v>
      </c>
      <c r="AC179">
        <v>0</v>
      </c>
      <c r="AD179">
        <v>1.52443595263947</v>
      </c>
    </row>
    <row r="180" spans="27:30" x14ac:dyDescent="0.25">
      <c r="AA180" s="1" t="s">
        <v>189</v>
      </c>
      <c r="AB180" s="2">
        <v>39873</v>
      </c>
      <c r="AC180">
        <v>0</v>
      </c>
      <c r="AD180">
        <v>1.5994819961795399</v>
      </c>
    </row>
    <row r="181" spans="27:30" x14ac:dyDescent="0.25">
      <c r="AA181" s="1" t="s">
        <v>190</v>
      </c>
      <c r="AB181" s="2">
        <v>39904</v>
      </c>
      <c r="AC181">
        <v>0</v>
      </c>
      <c r="AD181">
        <v>1.61613429101289</v>
      </c>
    </row>
    <row r="182" spans="27:30" x14ac:dyDescent="0.25">
      <c r="AA182" s="1" t="s">
        <v>191</v>
      </c>
      <c r="AB182" s="2">
        <v>39934</v>
      </c>
      <c r="AC182">
        <v>0</v>
      </c>
      <c r="AD182">
        <v>1.64172728587429</v>
      </c>
    </row>
    <row r="183" spans="27:30" x14ac:dyDescent="0.25">
      <c r="AA183" s="1" t="s">
        <v>192</v>
      </c>
      <c r="AB183" s="2">
        <v>39965</v>
      </c>
      <c r="AC183">
        <v>0</v>
      </c>
      <c r="AD183">
        <v>1.67949398597579</v>
      </c>
    </row>
    <row r="184" spans="27:30" x14ac:dyDescent="0.25">
      <c r="AA184" s="1" t="s">
        <v>193</v>
      </c>
      <c r="AB184" s="2">
        <v>39995</v>
      </c>
      <c r="AC184">
        <v>0</v>
      </c>
      <c r="AD184">
        <v>1.6957334735393801</v>
      </c>
    </row>
    <row r="185" spans="27:30" x14ac:dyDescent="0.25">
      <c r="AA185" s="1" t="s">
        <v>194</v>
      </c>
      <c r="AB185" s="2">
        <v>40026</v>
      </c>
      <c r="AC185">
        <v>0</v>
      </c>
      <c r="AD185">
        <v>1.7190956264956601</v>
      </c>
    </row>
    <row r="186" spans="27:30" x14ac:dyDescent="0.25">
      <c r="AA186" s="1" t="s">
        <v>195</v>
      </c>
      <c r="AB186" s="2">
        <v>40057</v>
      </c>
      <c r="AC186">
        <v>0</v>
      </c>
      <c r="AD186">
        <v>1.73190354625099</v>
      </c>
    </row>
    <row r="187" spans="27:30" x14ac:dyDescent="0.25">
      <c r="AA187" s="1" t="s">
        <v>196</v>
      </c>
      <c r="AB187" s="2">
        <v>40087</v>
      </c>
      <c r="AC187">
        <v>0</v>
      </c>
      <c r="AD187">
        <v>1.77838112316224</v>
      </c>
    </row>
    <row r="188" spans="27:30" x14ac:dyDescent="0.25">
      <c r="AA188" s="1" t="s">
        <v>197</v>
      </c>
      <c r="AB188" s="2">
        <v>40118</v>
      </c>
      <c r="AC188">
        <v>0</v>
      </c>
      <c r="AD188">
        <v>1.8344794338128201</v>
      </c>
    </row>
    <row r="189" spans="27:30" x14ac:dyDescent="0.25">
      <c r="AA189" s="1" t="s">
        <v>198</v>
      </c>
      <c r="AB189" s="2">
        <v>40148</v>
      </c>
      <c r="AC189">
        <v>0</v>
      </c>
      <c r="AD189">
        <v>1.89066402792417</v>
      </c>
    </row>
    <row r="190" spans="27:30" x14ac:dyDescent="0.25">
      <c r="AA190" s="1" t="s">
        <v>199</v>
      </c>
      <c r="AB190" s="2">
        <v>40179</v>
      </c>
      <c r="AC190">
        <v>0</v>
      </c>
      <c r="AD190">
        <v>1.9556891035936299</v>
      </c>
    </row>
    <row r="191" spans="27:30" x14ac:dyDescent="0.25">
      <c r="AA191" s="1" t="s">
        <v>200</v>
      </c>
      <c r="AB191" s="2">
        <v>40210</v>
      </c>
      <c r="AC191">
        <v>0</v>
      </c>
      <c r="AD191">
        <v>2.0227142698909999</v>
      </c>
    </row>
    <row r="192" spans="27:30" x14ac:dyDescent="0.25">
      <c r="AA192" s="1" t="s">
        <v>201</v>
      </c>
      <c r="AB192" s="2">
        <v>40238</v>
      </c>
      <c r="AC192">
        <v>0</v>
      </c>
      <c r="AD192">
        <v>1.78984479090274</v>
      </c>
    </row>
    <row r="193" spans="27:30" x14ac:dyDescent="0.25">
      <c r="AA193" s="1" t="s">
        <v>202</v>
      </c>
      <c r="AB193" s="2">
        <v>40269</v>
      </c>
      <c r="AC193">
        <v>0</v>
      </c>
      <c r="AD193">
        <v>1.7373978002160699</v>
      </c>
    </row>
    <row r="194" spans="27:30" x14ac:dyDescent="0.25">
      <c r="AA194" s="1" t="s">
        <v>203</v>
      </c>
      <c r="AB194" s="2">
        <v>40299</v>
      </c>
      <c r="AC194">
        <v>0</v>
      </c>
      <c r="AD194">
        <v>1.7014181154380199</v>
      </c>
    </row>
    <row r="195" spans="27:30" x14ac:dyDescent="0.25">
      <c r="AA195" s="1" t="s">
        <v>204</v>
      </c>
      <c r="AB195" s="2">
        <v>40330</v>
      </c>
      <c r="AC195">
        <v>0</v>
      </c>
      <c r="AD195">
        <v>1.6653029099526</v>
      </c>
    </row>
    <row r="196" spans="27:30" x14ac:dyDescent="0.25">
      <c r="AA196" s="1" t="s">
        <v>205</v>
      </c>
      <c r="AB196" s="2">
        <v>40360</v>
      </c>
      <c r="AC196">
        <v>0</v>
      </c>
      <c r="AD196">
        <v>1.7071129537693499</v>
      </c>
    </row>
    <row r="197" spans="27:30" x14ac:dyDescent="0.25">
      <c r="AA197" s="1" t="s">
        <v>206</v>
      </c>
      <c r="AB197" s="2">
        <v>40391</v>
      </c>
      <c r="AC197">
        <v>0</v>
      </c>
      <c r="AD197">
        <v>1.7519393671491801</v>
      </c>
    </row>
    <row r="198" spans="27:30" x14ac:dyDescent="0.25">
      <c r="AA198" s="1" t="s">
        <v>207</v>
      </c>
      <c r="AB198" s="2">
        <v>40422</v>
      </c>
      <c r="AC198">
        <v>0</v>
      </c>
      <c r="AD198">
        <v>1.8078802372862499</v>
      </c>
    </row>
    <row r="199" spans="27:30" x14ac:dyDescent="0.25">
      <c r="AA199" s="1" t="s">
        <v>208</v>
      </c>
      <c r="AB199" s="2">
        <v>40452</v>
      </c>
      <c r="AC199">
        <v>0</v>
      </c>
      <c r="AD199">
        <v>1.8748568750150201</v>
      </c>
    </row>
    <row r="200" spans="27:30" x14ac:dyDescent="0.25">
      <c r="AA200" s="1" t="s">
        <v>209</v>
      </c>
      <c r="AB200" s="2">
        <v>40483</v>
      </c>
      <c r="AC200">
        <v>0</v>
      </c>
      <c r="AD200">
        <v>1.94634934518282</v>
      </c>
    </row>
    <row r="201" spans="27:30" x14ac:dyDescent="0.25">
      <c r="AA201" s="1" t="s">
        <v>210</v>
      </c>
      <c r="AB201" s="2">
        <v>40513</v>
      </c>
      <c r="AC201">
        <v>2.94369415702606</v>
      </c>
      <c r="AD201">
        <v>2.0214944863669602</v>
      </c>
    </row>
    <row r="202" spans="27:30" x14ac:dyDescent="0.25">
      <c r="AA202" s="1" t="s">
        <v>211</v>
      </c>
      <c r="AB202" s="2">
        <v>40544</v>
      </c>
      <c r="AC202">
        <v>2.8544039964127199</v>
      </c>
      <c r="AD202">
        <v>2.0580624549622302</v>
      </c>
    </row>
    <row r="203" spans="27:30" x14ac:dyDescent="0.25">
      <c r="AA203" s="1" t="s">
        <v>212</v>
      </c>
      <c r="AB203" s="2">
        <v>40575</v>
      </c>
      <c r="AC203">
        <v>3.01847609904183</v>
      </c>
      <c r="AD203">
        <v>2.1364089760918699</v>
      </c>
    </row>
    <row r="204" spans="27:30" x14ac:dyDescent="0.25">
      <c r="AA204" s="1" t="s">
        <v>213</v>
      </c>
      <c r="AB204" s="2">
        <v>40603</v>
      </c>
      <c r="AC204">
        <v>2.5918149559730499</v>
      </c>
      <c r="AD204">
        <v>2.2132431343747898</v>
      </c>
    </row>
    <row r="205" spans="27:30" x14ac:dyDescent="0.25">
      <c r="AA205" s="1" t="s">
        <v>214</v>
      </c>
      <c r="AB205" s="2">
        <v>40634</v>
      </c>
      <c r="AC205">
        <v>2.2371485608154602</v>
      </c>
      <c r="AD205">
        <v>2.15931454852588</v>
      </c>
    </row>
    <row r="206" spans="27:30" x14ac:dyDescent="0.25">
      <c r="AA206" s="1" t="s">
        <v>215</v>
      </c>
      <c r="AB206" s="2">
        <v>40664</v>
      </c>
      <c r="AC206">
        <v>2.1435583911789799</v>
      </c>
      <c r="AD206">
        <v>2.11247056526862</v>
      </c>
    </row>
    <row r="207" spans="27:30" x14ac:dyDescent="0.25">
      <c r="AA207" s="1" t="s">
        <v>216</v>
      </c>
      <c r="AB207" s="2">
        <v>40695</v>
      </c>
      <c r="AC207">
        <v>2.1173279086885999</v>
      </c>
      <c r="AD207">
        <v>2.1066670659945799</v>
      </c>
    </row>
    <row r="208" spans="27:30" x14ac:dyDescent="0.25">
      <c r="AA208" s="1" t="s">
        <v>217</v>
      </c>
      <c r="AB208" s="2">
        <v>40725</v>
      </c>
      <c r="AC208">
        <v>2.0846663640417198</v>
      </c>
      <c r="AD208">
        <v>2.06535011892404</v>
      </c>
    </row>
    <row r="209" spans="27:30" x14ac:dyDescent="0.25">
      <c r="AA209" s="1" t="s">
        <v>218</v>
      </c>
      <c r="AB209" s="2">
        <v>40756</v>
      </c>
      <c r="AC209">
        <v>2.0767136045586798</v>
      </c>
      <c r="AD209">
        <v>2.0290025539915502</v>
      </c>
    </row>
    <row r="210" spans="27:30" x14ac:dyDescent="0.25">
      <c r="AA210" s="1" t="s">
        <v>219</v>
      </c>
      <c r="AB210" s="2">
        <v>40787</v>
      </c>
      <c r="AC210">
        <v>2.1306943676025099</v>
      </c>
      <c r="AD210">
        <v>1.9905624232852399</v>
      </c>
    </row>
    <row r="211" spans="27:30" x14ac:dyDescent="0.25">
      <c r="AA211" s="1" t="s">
        <v>220</v>
      </c>
      <c r="AB211" s="2">
        <v>40817</v>
      </c>
      <c r="AC211">
        <v>2.1940195616872402</v>
      </c>
      <c r="AD211">
        <v>2.0088731975124801</v>
      </c>
    </row>
    <row r="212" spans="27:30" x14ac:dyDescent="0.25">
      <c r="AA212" s="1" t="s">
        <v>221</v>
      </c>
      <c r="AB212" s="2">
        <v>40848</v>
      </c>
      <c r="AC212">
        <v>2.2744067973422899</v>
      </c>
      <c r="AD212">
        <v>2.0315901934890901</v>
      </c>
    </row>
    <row r="213" spans="27:30" x14ac:dyDescent="0.25">
      <c r="AA213" s="1" t="s">
        <v>222</v>
      </c>
      <c r="AB213" s="2">
        <v>40878</v>
      </c>
      <c r="AC213">
        <v>2.3940326090877502</v>
      </c>
      <c r="AD213">
        <v>2.0561791648638401</v>
      </c>
    </row>
    <row r="214" spans="27:30" x14ac:dyDescent="0.25">
      <c r="AA214" s="1" t="s">
        <v>223</v>
      </c>
      <c r="AB214" s="2">
        <v>40909</v>
      </c>
      <c r="AC214">
        <v>2.3577087559015699</v>
      </c>
      <c r="AD214">
        <v>2.0566094202990799</v>
      </c>
    </row>
    <row r="215" spans="27:30" x14ac:dyDescent="0.25">
      <c r="AA215" s="1" t="s">
        <v>224</v>
      </c>
      <c r="AB215" s="2">
        <v>40940</v>
      </c>
      <c r="AC215">
        <v>2.3118167644729302</v>
      </c>
      <c r="AD215">
        <v>2.0403041251401701</v>
      </c>
    </row>
    <row r="216" spans="27:30" x14ac:dyDescent="0.25">
      <c r="AA216" s="1" t="s">
        <v>225</v>
      </c>
      <c r="AB216" s="2">
        <v>40969</v>
      </c>
      <c r="AC216">
        <v>2.1955605382016499</v>
      </c>
      <c r="AD216">
        <v>2.0148548780368598</v>
      </c>
    </row>
    <row r="217" spans="27:30" x14ac:dyDescent="0.25">
      <c r="AA217" s="1" t="s">
        <v>226</v>
      </c>
      <c r="AB217" s="2">
        <v>41000</v>
      </c>
      <c r="AC217">
        <v>1.96565477333005</v>
      </c>
      <c r="AD217">
        <v>1.8715781790389401</v>
      </c>
    </row>
    <row r="218" spans="27:30" x14ac:dyDescent="0.25">
      <c r="AA218" s="1" t="s">
        <v>227</v>
      </c>
      <c r="AB218" s="2">
        <v>41030</v>
      </c>
      <c r="AC218">
        <v>1.8745477727752</v>
      </c>
      <c r="AD218">
        <v>1.7357332676352899</v>
      </c>
    </row>
    <row r="219" spans="27:30" x14ac:dyDescent="0.25">
      <c r="AA219" s="1" t="s">
        <v>228</v>
      </c>
      <c r="AB219" s="2">
        <v>41061</v>
      </c>
      <c r="AC219">
        <v>1.8690522527376101</v>
      </c>
      <c r="AD219">
        <v>1.6153086687049301</v>
      </c>
    </row>
    <row r="220" spans="27:30" x14ac:dyDescent="0.25">
      <c r="AA220" s="1" t="s">
        <v>229</v>
      </c>
      <c r="AB220" s="2">
        <v>41091</v>
      </c>
      <c r="AC220">
        <v>1.7835008421335901</v>
      </c>
      <c r="AD220">
        <v>1.54596310799648</v>
      </c>
    </row>
    <row r="221" spans="27:30" x14ac:dyDescent="0.25">
      <c r="AA221" s="1" t="s">
        <v>230</v>
      </c>
      <c r="AB221" s="2">
        <v>41122</v>
      </c>
      <c r="AC221">
        <v>1.7985188793426401</v>
      </c>
      <c r="AD221">
        <v>1.49678689502984</v>
      </c>
    </row>
    <row r="222" spans="27:30" x14ac:dyDescent="0.25">
      <c r="AA222" s="1" t="s">
        <v>231</v>
      </c>
      <c r="AB222" s="2">
        <v>41153</v>
      </c>
      <c r="AC222">
        <v>1.74821136020108</v>
      </c>
      <c r="AD222">
        <v>1.4442810953027001</v>
      </c>
    </row>
    <row r="223" spans="27:30" x14ac:dyDescent="0.25">
      <c r="AA223" s="1" t="s">
        <v>232</v>
      </c>
      <c r="AB223" s="2">
        <v>41183</v>
      </c>
      <c r="AC223">
        <v>1.7948698080729599</v>
      </c>
      <c r="AD223">
        <v>1.41613955326235</v>
      </c>
    </row>
    <row r="224" spans="27:30" x14ac:dyDescent="0.25">
      <c r="AA224" s="1" t="s">
        <v>233</v>
      </c>
      <c r="AB224" s="2">
        <v>41214</v>
      </c>
      <c r="AC224">
        <v>1.7644306973522501</v>
      </c>
      <c r="AD224">
        <v>1.37712982673004</v>
      </c>
    </row>
    <row r="225" spans="27:30" x14ac:dyDescent="0.25">
      <c r="AA225" s="1" t="s">
        <v>234</v>
      </c>
      <c r="AB225" s="2">
        <v>41244</v>
      </c>
      <c r="AC225">
        <v>1.6842785823566599</v>
      </c>
      <c r="AD225">
        <v>1.3306328543985499</v>
      </c>
    </row>
    <row r="226" spans="27:30" x14ac:dyDescent="0.25">
      <c r="AA226" s="1" t="s">
        <v>235</v>
      </c>
      <c r="AB226" s="2">
        <v>41275</v>
      </c>
      <c r="AC226">
        <v>1.7239156172621499</v>
      </c>
      <c r="AD226">
        <v>1.2926883342623601</v>
      </c>
    </row>
    <row r="227" spans="27:30" x14ac:dyDescent="0.25">
      <c r="AA227" s="1" t="s">
        <v>236</v>
      </c>
      <c r="AB227" s="2">
        <v>41306</v>
      </c>
      <c r="AC227">
        <v>1.63407369714366</v>
      </c>
      <c r="AD227">
        <v>1.2438721796835399</v>
      </c>
    </row>
    <row r="228" spans="27:30" x14ac:dyDescent="0.25">
      <c r="AA228" s="1" t="s">
        <v>237</v>
      </c>
      <c r="AB228" s="2">
        <v>41334</v>
      </c>
      <c r="AC228">
        <v>1.60644195897374</v>
      </c>
      <c r="AD228">
        <v>1.1925854341394599</v>
      </c>
    </row>
    <row r="229" spans="27:30" x14ac:dyDescent="0.25">
      <c r="AA229" s="1" t="s">
        <v>238</v>
      </c>
      <c r="AB229" s="2">
        <v>41365</v>
      </c>
      <c r="AC229">
        <v>1.3451281632401499</v>
      </c>
      <c r="AD229">
        <v>1.1014406414011599</v>
      </c>
    </row>
    <row r="230" spans="27:30" x14ac:dyDescent="0.25">
      <c r="AA230" s="1" t="s">
        <v>239</v>
      </c>
      <c r="AB230" s="2">
        <v>41395</v>
      </c>
      <c r="AC230">
        <v>1.1994987791385301</v>
      </c>
      <c r="AD230">
        <v>1.0227533674374301</v>
      </c>
    </row>
    <row r="231" spans="27:30" x14ac:dyDescent="0.25">
      <c r="AA231" s="1" t="s">
        <v>240</v>
      </c>
      <c r="AB231" s="2">
        <v>41426</v>
      </c>
      <c r="AC231">
        <v>1.17734546359693</v>
      </c>
      <c r="AD231">
        <v>0.96054066080023504</v>
      </c>
    </row>
    <row r="232" spans="27:30" x14ac:dyDescent="0.25">
      <c r="AA232" s="1" t="s">
        <v>241</v>
      </c>
      <c r="AB232" s="2">
        <v>41456</v>
      </c>
      <c r="AC232">
        <v>1.1428769843004101</v>
      </c>
      <c r="AD232">
        <v>0.91624505120213595</v>
      </c>
    </row>
    <row r="233" spans="27:30" x14ac:dyDescent="0.25">
      <c r="AA233" s="1" t="s">
        <v>242</v>
      </c>
      <c r="AB233" s="2">
        <v>41487</v>
      </c>
      <c r="AC233">
        <v>1.0772854823956299</v>
      </c>
      <c r="AD233">
        <v>0.87670415808602797</v>
      </c>
    </row>
    <row r="234" spans="27:30" x14ac:dyDescent="0.25">
      <c r="AA234" s="1" t="s">
        <v>243</v>
      </c>
      <c r="AB234" s="2">
        <v>41518</v>
      </c>
      <c r="AC234">
        <v>1.0788250312813501</v>
      </c>
      <c r="AD234">
        <v>0.83894353410357603</v>
      </c>
    </row>
    <row r="235" spans="27:30" x14ac:dyDescent="0.25">
      <c r="AA235" s="1" t="s">
        <v>244</v>
      </c>
      <c r="AB235" s="2">
        <v>41548</v>
      </c>
      <c r="AC235">
        <v>1.0364740331311999</v>
      </c>
      <c r="AD235">
        <v>0.82521044623954398</v>
      </c>
    </row>
    <row r="236" spans="27:30" x14ac:dyDescent="0.25">
      <c r="AA236" s="1" t="s">
        <v>245</v>
      </c>
      <c r="AB236" s="2">
        <v>41579</v>
      </c>
      <c r="AC236">
        <v>0.99584955516093299</v>
      </c>
      <c r="AD236">
        <v>0.81689177503437804</v>
      </c>
    </row>
    <row r="237" spans="27:30" x14ac:dyDescent="0.25">
      <c r="AA237" s="1" t="s">
        <v>246</v>
      </c>
      <c r="AB237" s="2">
        <v>41609</v>
      </c>
      <c r="AC237">
        <v>1.0089726872343601</v>
      </c>
      <c r="AD237">
        <v>0.80939029838958998</v>
      </c>
    </row>
    <row r="238" spans="27:30" x14ac:dyDescent="0.25">
      <c r="AA238" s="1" t="s">
        <v>247</v>
      </c>
      <c r="AB238" s="2">
        <v>41640</v>
      </c>
      <c r="AC238">
        <v>0.97823824772996804</v>
      </c>
      <c r="AD238">
        <v>0.79808000167362902</v>
      </c>
    </row>
    <row r="239" spans="27:30" x14ac:dyDescent="0.25">
      <c r="AA239" s="1" t="s">
        <v>248</v>
      </c>
      <c r="AB239" s="2">
        <v>41671</v>
      </c>
      <c r="AC239">
        <v>0.94596064443802597</v>
      </c>
      <c r="AD239">
        <v>0.78918258497143701</v>
      </c>
    </row>
    <row r="240" spans="27:30" x14ac:dyDescent="0.25">
      <c r="AA240" s="1" t="s">
        <v>249</v>
      </c>
      <c r="AB240" s="2">
        <v>41699</v>
      </c>
      <c r="AC240">
        <v>0.88176069656054101</v>
      </c>
      <c r="AD240">
        <v>0.78247961404456201</v>
      </c>
    </row>
    <row r="241" spans="27:30" x14ac:dyDescent="0.25">
      <c r="AA241" s="1" t="s">
        <v>250</v>
      </c>
      <c r="AB241" s="2">
        <v>41730</v>
      </c>
      <c r="AC241">
        <v>0.77089322969239304</v>
      </c>
      <c r="AD241">
        <v>0.75880602368504402</v>
      </c>
    </row>
    <row r="242" spans="27:30" x14ac:dyDescent="0.25">
      <c r="AA242" s="1" t="s">
        <v>251</v>
      </c>
      <c r="AB242" s="2">
        <v>41760</v>
      </c>
      <c r="AC242">
        <v>0.70730827752463199</v>
      </c>
      <c r="AD242">
        <v>0.73486946711488499</v>
      </c>
    </row>
    <row r="243" spans="27:30" x14ac:dyDescent="0.25">
      <c r="AA243" s="1" t="s">
        <v>252</v>
      </c>
      <c r="AB243" s="2">
        <v>41791</v>
      </c>
      <c r="AC243">
        <v>0.73020794921990795</v>
      </c>
      <c r="AD243">
        <v>0.71205441493439303</v>
      </c>
    </row>
    <row r="244" spans="27:30" x14ac:dyDescent="0.25">
      <c r="AA244" s="1" t="s">
        <v>253</v>
      </c>
      <c r="AB244" s="2">
        <v>41821</v>
      </c>
      <c r="AC244">
        <v>0.69287565148261598</v>
      </c>
      <c r="AD244">
        <v>0.702716749023791</v>
      </c>
    </row>
    <row r="245" spans="27:30" x14ac:dyDescent="0.25">
      <c r="AA245" s="1" t="s">
        <v>254</v>
      </c>
      <c r="AB245" s="2">
        <v>41852</v>
      </c>
      <c r="AC245">
        <v>0.71117159013176501</v>
      </c>
      <c r="AD245">
        <v>0.69538935457670303</v>
      </c>
    </row>
    <row r="246" spans="27:30" x14ac:dyDescent="0.25">
      <c r="AA246" s="1" t="s">
        <v>255</v>
      </c>
      <c r="AB246" s="2">
        <v>41883</v>
      </c>
      <c r="AC246">
        <v>0.69269283228867695</v>
      </c>
      <c r="AD246">
        <v>0.68046536933302804</v>
      </c>
    </row>
    <row r="247" spans="27:30" x14ac:dyDescent="0.25">
      <c r="AA247" s="1" t="s">
        <v>256</v>
      </c>
      <c r="AB247" s="2">
        <v>41913</v>
      </c>
      <c r="AC247">
        <v>0.689705290668985</v>
      </c>
      <c r="AD247">
        <v>0.67451217366938399</v>
      </c>
    </row>
    <row r="248" spans="27:30" x14ac:dyDescent="0.25">
      <c r="AA248" s="1" t="s">
        <v>257</v>
      </c>
      <c r="AB248" s="2">
        <v>41944</v>
      </c>
      <c r="AC248">
        <v>0.65397913694174004</v>
      </c>
      <c r="AD248">
        <v>0.66860767704117796</v>
      </c>
    </row>
    <row r="249" spans="27:30" x14ac:dyDescent="0.25">
      <c r="AA249" s="1" t="s">
        <v>258</v>
      </c>
      <c r="AB249" s="2">
        <v>41974</v>
      </c>
      <c r="AC249">
        <v>0.69831895263763299</v>
      </c>
      <c r="AD249">
        <v>0.66512661081309399</v>
      </c>
    </row>
    <row r="250" spans="27:30" x14ac:dyDescent="0.25">
      <c r="AA250" s="1" t="s">
        <v>259</v>
      </c>
      <c r="AB250" s="2">
        <v>42005</v>
      </c>
      <c r="AC250">
        <v>0.64969267875842895</v>
      </c>
      <c r="AD250">
        <v>0.65957899363705597</v>
      </c>
    </row>
    <row r="251" spans="27:30" x14ac:dyDescent="0.25">
      <c r="AA251" s="1" t="s">
        <v>260</v>
      </c>
      <c r="AB251" s="2">
        <v>42036</v>
      </c>
      <c r="AC251">
        <v>0.64380936081920304</v>
      </c>
      <c r="AD251">
        <v>0.65541165695933701</v>
      </c>
    </row>
    <row r="252" spans="27:30" x14ac:dyDescent="0.25">
      <c r="AA252" s="1" t="s">
        <v>261</v>
      </c>
      <c r="AB252" s="2">
        <v>42064</v>
      </c>
      <c r="AC252">
        <v>0.58813600864986404</v>
      </c>
      <c r="AD252">
        <v>0.65030663897289698</v>
      </c>
    </row>
    <row r="253" spans="27:30" x14ac:dyDescent="0.25">
      <c r="AA253" s="1" t="s">
        <v>262</v>
      </c>
      <c r="AB253" s="2">
        <v>42095</v>
      </c>
      <c r="AC253">
        <v>0.50731464004529803</v>
      </c>
      <c r="AD253">
        <v>0.63454004949169396</v>
      </c>
    </row>
    <row r="254" spans="27:30" x14ac:dyDescent="0.25">
      <c r="AA254" s="1" t="s">
        <v>263</v>
      </c>
      <c r="AB254" s="2">
        <v>42125</v>
      </c>
      <c r="AC254">
        <v>0.48334304569323</v>
      </c>
      <c r="AD254">
        <v>0.61354776258044597</v>
      </c>
    </row>
    <row r="255" spans="27:30" x14ac:dyDescent="0.25">
      <c r="AA255" s="1" t="s">
        <v>264</v>
      </c>
      <c r="AB255" s="2">
        <v>42156</v>
      </c>
      <c r="AC255">
        <v>0.44822073042972699</v>
      </c>
      <c r="AD255">
        <v>0.594200581602089</v>
      </c>
    </row>
    <row r="256" spans="27:30" x14ac:dyDescent="0.25">
      <c r="AA256" s="1" t="s">
        <v>265</v>
      </c>
      <c r="AB256" s="2">
        <v>42186</v>
      </c>
      <c r="AC256">
        <v>0.42191429944450398</v>
      </c>
      <c r="AD256">
        <v>0.58337284480440799</v>
      </c>
    </row>
    <row r="257" spans="27:30" x14ac:dyDescent="0.25">
      <c r="AA257" s="1" t="s">
        <v>266</v>
      </c>
      <c r="AB257" s="2">
        <v>42217</v>
      </c>
      <c r="AC257">
        <v>0.43800255169093</v>
      </c>
      <c r="AD257">
        <v>0.57307307997633805</v>
      </c>
    </row>
    <row r="258" spans="27:30" x14ac:dyDescent="0.25">
      <c r="AA258" s="1" t="s">
        <v>267</v>
      </c>
      <c r="AB258" s="2">
        <v>42248</v>
      </c>
      <c r="AC258">
        <v>0.43729943870187699</v>
      </c>
      <c r="AD258">
        <v>0.56541900993673</v>
      </c>
    </row>
    <row r="259" spans="27:30" x14ac:dyDescent="0.25">
      <c r="AA259" s="1" t="s">
        <v>268</v>
      </c>
      <c r="AB259" s="2">
        <v>42278</v>
      </c>
      <c r="AC259">
        <v>0.44998184278133302</v>
      </c>
      <c r="AD259">
        <v>0.56384894237739802</v>
      </c>
    </row>
    <row r="260" spans="27:30" x14ac:dyDescent="0.25">
      <c r="AA260" s="1" t="s">
        <v>269</v>
      </c>
      <c r="AB260" s="2">
        <v>42309</v>
      </c>
      <c r="AC260">
        <v>0.468423935065643</v>
      </c>
      <c r="AD260">
        <v>0.56287913696765302</v>
      </c>
    </row>
    <row r="261" spans="27:30" x14ac:dyDescent="0.25">
      <c r="AA261" s="1" t="s">
        <v>270</v>
      </c>
      <c r="AB261" s="2">
        <v>42339</v>
      </c>
      <c r="AC261">
        <v>0.47337548501534799</v>
      </c>
      <c r="AD261">
        <v>0.56480533777908404</v>
      </c>
    </row>
    <row r="262" spans="27:30" x14ac:dyDescent="0.25">
      <c r="AA262" s="1" t="s">
        <v>271</v>
      </c>
      <c r="AB262" s="2">
        <v>42370</v>
      </c>
      <c r="AC262">
        <v>0.44586697615924797</v>
      </c>
      <c r="AD262">
        <v>0.56580869358824304</v>
      </c>
    </row>
    <row r="263" spans="27:30" x14ac:dyDescent="0.25">
      <c r="AA263" s="1" t="s">
        <v>272</v>
      </c>
      <c r="AB263" s="2">
        <v>42401</v>
      </c>
      <c r="AC263">
        <v>0.45481421246306197</v>
      </c>
      <c r="AD263">
        <v>0.56720945028213599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7"/>
  <sheetViews>
    <sheetView workbookViewId="0">
      <selection activeCell="L30" sqref="L30"/>
    </sheetView>
  </sheetViews>
  <sheetFormatPr defaultRowHeight="15" x14ac:dyDescent="0.25"/>
  <sheetData>
    <row r="1" spans="1:4" x14ac:dyDescent="0.25">
      <c r="A1" s="1"/>
      <c r="B1" t="s">
        <v>0</v>
      </c>
      <c r="C1" t="s">
        <v>1</v>
      </c>
      <c r="D1" t="s">
        <v>2</v>
      </c>
    </row>
    <row r="2" spans="1:4" x14ac:dyDescent="0.25">
      <c r="A2" s="2" t="s">
        <v>3</v>
      </c>
      <c r="B2" s="2">
        <v>36220</v>
      </c>
      <c r="C2">
        <v>0</v>
      </c>
      <c r="D2">
        <v>5.3010549314613797E-4</v>
      </c>
    </row>
    <row r="3" spans="1:4" x14ac:dyDescent="0.25">
      <c r="A3" s="2" t="s">
        <v>4</v>
      </c>
      <c r="B3" s="2">
        <v>36251</v>
      </c>
      <c r="C3">
        <v>1.4883822426503501E-2</v>
      </c>
      <c r="D3">
        <v>2.9025082466827001E-3</v>
      </c>
    </row>
    <row r="4" spans="1:4" x14ac:dyDescent="0.25">
      <c r="A4" s="2" t="s">
        <v>5</v>
      </c>
      <c r="B4" s="2">
        <v>36281</v>
      </c>
      <c r="C4">
        <v>1.6324421766111801E-2</v>
      </c>
      <c r="D4">
        <v>3.8963063528352198E-3</v>
      </c>
    </row>
    <row r="5" spans="1:4" x14ac:dyDescent="0.25">
      <c r="A5" s="2" t="s">
        <v>6</v>
      </c>
      <c r="B5" s="2">
        <v>36312</v>
      </c>
      <c r="C5" s="4">
        <v>2.52768241822077E-2</v>
      </c>
      <c r="D5">
        <v>5.0999990943934002E-3</v>
      </c>
    </row>
    <row r="6" spans="1:4" x14ac:dyDescent="0.25">
      <c r="A6" s="2" t="s">
        <v>7</v>
      </c>
      <c r="B6" s="2">
        <v>36342</v>
      </c>
      <c r="C6" s="4">
        <v>2.9062141687030699E-2</v>
      </c>
      <c r="D6">
        <v>5.91497755253467E-3</v>
      </c>
    </row>
    <row r="7" spans="1:4" x14ac:dyDescent="0.25">
      <c r="A7" s="2" t="s">
        <v>8</v>
      </c>
      <c r="B7" s="2">
        <v>36373</v>
      </c>
      <c r="C7">
        <v>6.0712974114207598E-2</v>
      </c>
      <c r="D7">
        <v>1.1474891501550601E-2</v>
      </c>
    </row>
    <row r="8" spans="1:4" x14ac:dyDescent="0.25">
      <c r="A8" s="2" t="s">
        <v>9</v>
      </c>
      <c r="B8" s="2">
        <v>36404</v>
      </c>
      <c r="C8">
        <v>6.5832420370437503E-2</v>
      </c>
      <c r="D8">
        <v>1.9012124085571201E-2</v>
      </c>
    </row>
    <row r="9" spans="1:4" x14ac:dyDescent="0.25">
      <c r="A9" s="2" t="s">
        <v>10</v>
      </c>
      <c r="B9" s="2">
        <v>36434</v>
      </c>
      <c r="C9">
        <v>8.2015384939559996E-2</v>
      </c>
      <c r="D9">
        <v>3.79690879571681E-2</v>
      </c>
    </row>
    <row r="10" spans="1:4" x14ac:dyDescent="0.25">
      <c r="A10" s="2" t="s">
        <v>11</v>
      </c>
      <c r="B10" s="2">
        <v>36465</v>
      </c>
      <c r="C10">
        <v>8.2767818432838397E-2</v>
      </c>
      <c r="D10">
        <v>6.6280295237453005E-2</v>
      </c>
    </row>
    <row r="11" spans="1:4" x14ac:dyDescent="0.25">
      <c r="A11" s="2" t="s">
        <v>12</v>
      </c>
      <c r="B11" s="2">
        <v>36495</v>
      </c>
      <c r="C11">
        <v>0.131703751046641</v>
      </c>
      <c r="D11">
        <v>0.107425689960994</v>
      </c>
    </row>
    <row r="12" spans="1:4" x14ac:dyDescent="0.25">
      <c r="A12" s="2" t="s">
        <v>13</v>
      </c>
      <c r="B12" s="2">
        <v>36526</v>
      </c>
      <c r="C12">
        <v>0.14161340833904701</v>
      </c>
      <c r="D12">
        <v>0.137438690088032</v>
      </c>
    </row>
    <row r="13" spans="1:4" x14ac:dyDescent="0.25">
      <c r="A13" s="2" t="s">
        <v>14</v>
      </c>
      <c r="B13" s="2">
        <v>36557</v>
      </c>
      <c r="C13">
        <v>0.21005512712825</v>
      </c>
      <c r="D13">
        <v>0.17423998174115299</v>
      </c>
    </row>
    <row r="14" spans="1:4" x14ac:dyDescent="0.25">
      <c r="A14" s="2" t="s">
        <v>15</v>
      </c>
      <c r="B14" s="2">
        <v>36586</v>
      </c>
      <c r="C14">
        <v>0.22085049875316701</v>
      </c>
      <c r="D14">
        <v>0.23288934345391299</v>
      </c>
    </row>
    <row r="15" spans="1:4" x14ac:dyDescent="0.25">
      <c r="A15" s="2" t="s">
        <v>16</v>
      </c>
      <c r="B15" s="2">
        <v>36617</v>
      </c>
      <c r="C15">
        <v>0.21403560823517501</v>
      </c>
      <c r="D15">
        <v>0.217277306047647</v>
      </c>
    </row>
    <row r="16" spans="1:4" x14ac:dyDescent="0.25">
      <c r="A16" s="2" t="s">
        <v>17</v>
      </c>
      <c r="B16" s="2">
        <v>36647</v>
      </c>
      <c r="C16">
        <v>0.196257044539316</v>
      </c>
      <c r="D16">
        <v>0.29800503805326201</v>
      </c>
    </row>
    <row r="17" spans="1:4" x14ac:dyDescent="0.25">
      <c r="A17" s="2" t="s">
        <v>18</v>
      </c>
      <c r="B17" s="2">
        <v>36678</v>
      </c>
      <c r="C17">
        <v>0.19105318887421299</v>
      </c>
      <c r="D17">
        <v>0.29621498964655901</v>
      </c>
    </row>
    <row r="18" spans="1:4" x14ac:dyDescent="0.25">
      <c r="A18" s="2" t="s">
        <v>19</v>
      </c>
      <c r="B18" s="2">
        <v>36708</v>
      </c>
      <c r="C18">
        <v>0.223554357063527</v>
      </c>
      <c r="D18">
        <v>0.34150888433109899</v>
      </c>
    </row>
    <row r="19" spans="1:4" x14ac:dyDescent="0.25">
      <c r="A19" s="2" t="s">
        <v>20</v>
      </c>
      <c r="B19" s="2">
        <v>36739</v>
      </c>
      <c r="C19">
        <v>0.240473212617831</v>
      </c>
      <c r="D19">
        <v>0.39486454321316899</v>
      </c>
    </row>
    <row r="20" spans="1:4" x14ac:dyDescent="0.25">
      <c r="A20" s="2" t="s">
        <v>21</v>
      </c>
      <c r="B20" s="2">
        <v>36770</v>
      </c>
      <c r="C20">
        <v>0.25638413509546698</v>
      </c>
      <c r="D20">
        <v>0.39758079531478902</v>
      </c>
    </row>
    <row r="21" spans="1:4" x14ac:dyDescent="0.25">
      <c r="A21" s="2" t="s">
        <v>22</v>
      </c>
      <c r="B21" s="2">
        <v>36800</v>
      </c>
      <c r="C21">
        <v>0.33558846805797898</v>
      </c>
      <c r="D21">
        <v>0.48964754248479497</v>
      </c>
    </row>
    <row r="22" spans="1:4" x14ac:dyDescent="0.25">
      <c r="A22" s="2" t="s">
        <v>23</v>
      </c>
      <c r="B22" s="2">
        <v>36831</v>
      </c>
      <c r="C22">
        <v>0.33165779649085803</v>
      </c>
      <c r="D22">
        <v>0.48381814887763502</v>
      </c>
    </row>
    <row r="23" spans="1:4" x14ac:dyDescent="0.25">
      <c r="A23" s="2" t="s">
        <v>24</v>
      </c>
      <c r="B23" s="2">
        <v>36861</v>
      </c>
      <c r="C23">
        <v>0.35637697282649999</v>
      </c>
      <c r="D23">
        <v>0.55483289825136695</v>
      </c>
    </row>
    <row r="24" spans="1:4" x14ac:dyDescent="0.25">
      <c r="A24" s="2" t="s">
        <v>25</v>
      </c>
      <c r="B24" s="2">
        <v>36892</v>
      </c>
      <c r="C24">
        <v>0.41243916371161998</v>
      </c>
      <c r="D24">
        <v>0.69500688674191102</v>
      </c>
    </row>
    <row r="25" spans="1:4" x14ac:dyDescent="0.25">
      <c r="A25" s="2" t="s">
        <v>26</v>
      </c>
      <c r="B25" s="2">
        <v>36923</v>
      </c>
      <c r="C25">
        <v>0.44703116335084198</v>
      </c>
      <c r="D25">
        <v>0.610069715333594</v>
      </c>
    </row>
    <row r="26" spans="1:4" x14ac:dyDescent="0.25">
      <c r="A26" s="2" t="s">
        <v>27</v>
      </c>
      <c r="B26" s="2">
        <v>36951</v>
      </c>
      <c r="C26">
        <v>0.46140013989154299</v>
      </c>
      <c r="D26">
        <v>0.670184073193969</v>
      </c>
    </row>
    <row r="27" spans="1:4" x14ac:dyDescent="0.25">
      <c r="A27" s="2" t="s">
        <v>28</v>
      </c>
      <c r="B27" s="2">
        <v>36982</v>
      </c>
      <c r="C27">
        <v>0.45482191373494901</v>
      </c>
      <c r="D27">
        <v>0.56320889325799395</v>
      </c>
    </row>
    <row r="28" spans="1:4" x14ac:dyDescent="0.25">
      <c r="A28" s="2" t="s">
        <v>29</v>
      </c>
      <c r="B28" s="2">
        <v>37012</v>
      </c>
      <c r="C28">
        <v>0.39467841715098401</v>
      </c>
      <c r="D28">
        <v>0.56456272594312995</v>
      </c>
    </row>
    <row r="29" spans="1:4" x14ac:dyDescent="0.25">
      <c r="A29" s="2" t="s">
        <v>30</v>
      </c>
      <c r="B29" s="2">
        <v>37043</v>
      </c>
      <c r="C29">
        <v>0.38277448589761898</v>
      </c>
      <c r="D29">
        <v>0.56071365484116098</v>
      </c>
    </row>
    <row r="30" spans="1:4" x14ac:dyDescent="0.25">
      <c r="A30" s="2" t="s">
        <v>31</v>
      </c>
      <c r="B30" s="2">
        <v>37073</v>
      </c>
      <c r="C30">
        <v>0.40140835327503499</v>
      </c>
      <c r="D30">
        <v>0.62453797312733705</v>
      </c>
    </row>
    <row r="31" spans="1:4" x14ac:dyDescent="0.25">
      <c r="A31" s="2" t="s">
        <v>32</v>
      </c>
      <c r="B31" s="2">
        <v>37104</v>
      </c>
      <c r="C31">
        <v>0.41609590375928401</v>
      </c>
      <c r="D31">
        <v>0.58630948561991802</v>
      </c>
    </row>
    <row r="32" spans="1:4" x14ac:dyDescent="0.25">
      <c r="A32" s="2" t="s">
        <v>33</v>
      </c>
      <c r="B32" s="2">
        <v>37135</v>
      </c>
      <c r="C32">
        <v>0.423983491062907</v>
      </c>
      <c r="D32">
        <v>0.57513814576550804</v>
      </c>
    </row>
    <row r="33" spans="1:4" x14ac:dyDescent="0.25">
      <c r="A33" s="2" t="s">
        <v>34</v>
      </c>
      <c r="B33" s="2">
        <v>37165</v>
      </c>
      <c r="C33">
        <v>0.46452020827249002</v>
      </c>
      <c r="D33">
        <v>0.70482107848424103</v>
      </c>
    </row>
    <row r="34" spans="1:4" x14ac:dyDescent="0.25">
      <c r="A34" s="2" t="s">
        <v>35</v>
      </c>
      <c r="B34" s="2">
        <v>37196</v>
      </c>
      <c r="C34">
        <v>0.502319892103953</v>
      </c>
      <c r="D34">
        <v>0.64281947235275105</v>
      </c>
    </row>
    <row r="35" spans="1:4" x14ac:dyDescent="0.25">
      <c r="A35" s="2" t="s">
        <v>36</v>
      </c>
      <c r="B35" s="2">
        <v>37226</v>
      </c>
      <c r="C35">
        <v>0.55101987537786701</v>
      </c>
      <c r="D35">
        <v>0.67506606665506097</v>
      </c>
    </row>
    <row r="36" spans="1:4" x14ac:dyDescent="0.25">
      <c r="A36" s="2" t="s">
        <v>37</v>
      </c>
      <c r="B36" s="2">
        <v>37257</v>
      </c>
      <c r="C36">
        <v>0.58337615833662404</v>
      </c>
      <c r="D36">
        <v>0.72877616202190498</v>
      </c>
    </row>
    <row r="37" spans="1:4" x14ac:dyDescent="0.25">
      <c r="A37" s="2" t="s">
        <v>38</v>
      </c>
      <c r="B37" s="2">
        <v>37288</v>
      </c>
      <c r="C37">
        <v>0.67352034791856596</v>
      </c>
      <c r="D37">
        <v>0.64656449061224497</v>
      </c>
    </row>
    <row r="38" spans="1:4" x14ac:dyDescent="0.25">
      <c r="A38" s="2" t="s">
        <v>39</v>
      </c>
      <c r="B38" s="2">
        <v>37316</v>
      </c>
      <c r="C38">
        <v>0.62915694669181099</v>
      </c>
      <c r="D38">
        <v>0.68620774518239902</v>
      </c>
    </row>
    <row r="39" spans="1:4" x14ac:dyDescent="0.25">
      <c r="A39" s="2" t="s">
        <v>40</v>
      </c>
      <c r="B39" s="2">
        <v>37347</v>
      </c>
      <c r="C39">
        <v>0.52061885361077698</v>
      </c>
      <c r="D39">
        <v>0.63011685438832998</v>
      </c>
    </row>
    <row r="40" spans="1:4" x14ac:dyDescent="0.25">
      <c r="A40" s="2" t="s">
        <v>41</v>
      </c>
      <c r="B40" s="2">
        <v>37377</v>
      </c>
      <c r="C40">
        <v>0.47807590542092698</v>
      </c>
      <c r="D40">
        <v>0.59618165395807199</v>
      </c>
    </row>
    <row r="41" spans="1:4" x14ac:dyDescent="0.25">
      <c r="A41" s="2" t="s">
        <v>42</v>
      </c>
      <c r="B41" s="2">
        <v>37408</v>
      </c>
      <c r="C41">
        <v>0.46006889856737798</v>
      </c>
      <c r="D41">
        <v>0.59830436890957495</v>
      </c>
    </row>
    <row r="42" spans="1:4" x14ac:dyDescent="0.25">
      <c r="A42" s="2" t="s">
        <v>43</v>
      </c>
      <c r="B42" s="2">
        <v>37438</v>
      </c>
      <c r="C42">
        <v>0.46236499517159402</v>
      </c>
      <c r="D42">
        <v>0.70848114916866001</v>
      </c>
    </row>
    <row r="43" spans="1:4" x14ac:dyDescent="0.25">
      <c r="A43" s="2" t="s">
        <v>44</v>
      </c>
      <c r="B43" s="2">
        <v>37469</v>
      </c>
      <c r="C43">
        <v>0.49755405549173298</v>
      </c>
      <c r="D43">
        <v>0.67874389182244199</v>
      </c>
    </row>
    <row r="44" spans="1:4" x14ac:dyDescent="0.25">
      <c r="A44" s="2" t="s">
        <v>45</v>
      </c>
      <c r="B44" s="2">
        <v>37500</v>
      </c>
      <c r="C44">
        <v>0.51927117631298503</v>
      </c>
      <c r="D44">
        <v>0.71230596114032496</v>
      </c>
    </row>
    <row r="45" spans="1:4" x14ac:dyDescent="0.25">
      <c r="A45" s="2" t="s">
        <v>46</v>
      </c>
      <c r="B45" s="2">
        <v>37530</v>
      </c>
      <c r="C45">
        <v>0.59695954125765804</v>
      </c>
      <c r="D45">
        <v>0.77673645111281397</v>
      </c>
    </row>
    <row r="46" spans="1:4" x14ac:dyDescent="0.25">
      <c r="A46" s="2" t="s">
        <v>47</v>
      </c>
      <c r="B46" s="2">
        <v>37561</v>
      </c>
      <c r="C46">
        <v>0.61466957631460795</v>
      </c>
      <c r="D46">
        <v>0.77641345543593099</v>
      </c>
    </row>
    <row r="47" spans="1:4" x14ac:dyDescent="0.25">
      <c r="A47" s="2" t="s">
        <v>48</v>
      </c>
      <c r="B47" s="2">
        <v>37591</v>
      </c>
      <c r="C47">
        <v>0.68312660268507996</v>
      </c>
      <c r="D47">
        <v>0.85303793929919502</v>
      </c>
    </row>
    <row r="48" spans="1:4" x14ac:dyDescent="0.25">
      <c r="A48" s="2" t="s">
        <v>49</v>
      </c>
      <c r="B48" s="2">
        <v>37622</v>
      </c>
      <c r="C48">
        <v>0.69368965878284805</v>
      </c>
      <c r="D48">
        <v>0.85806285371544699</v>
      </c>
    </row>
    <row r="49" spans="1:4" x14ac:dyDescent="0.25">
      <c r="A49" s="2" t="s">
        <v>50</v>
      </c>
      <c r="B49" s="2">
        <v>37653</v>
      </c>
      <c r="C49">
        <v>0.78118513569595005</v>
      </c>
      <c r="D49">
        <v>0.84688483814440196</v>
      </c>
    </row>
    <row r="50" spans="1:4" x14ac:dyDescent="0.25">
      <c r="A50" s="2" t="s">
        <v>51</v>
      </c>
      <c r="B50" s="2">
        <v>37681</v>
      </c>
      <c r="C50">
        <v>0.77232684445793798</v>
      </c>
      <c r="D50">
        <v>0.90258405373975203</v>
      </c>
    </row>
    <row r="51" spans="1:4" x14ac:dyDescent="0.25">
      <c r="A51" s="2" t="s">
        <v>52</v>
      </c>
      <c r="B51" s="2">
        <v>37712</v>
      </c>
      <c r="C51">
        <v>0.68512157040298005</v>
      </c>
      <c r="D51">
        <v>0.78701586223411901</v>
      </c>
    </row>
    <row r="52" spans="1:4" x14ac:dyDescent="0.25">
      <c r="A52" s="2" t="s">
        <v>53</v>
      </c>
      <c r="B52" s="2">
        <v>37742</v>
      </c>
      <c r="C52">
        <v>0.63832935605313601</v>
      </c>
      <c r="D52">
        <v>0.84425257032977297</v>
      </c>
    </row>
    <row r="53" spans="1:4" x14ac:dyDescent="0.25">
      <c r="A53" s="2" t="s">
        <v>54</v>
      </c>
      <c r="B53" s="2">
        <v>37773</v>
      </c>
      <c r="C53">
        <v>0.64004318692116902</v>
      </c>
      <c r="D53">
        <v>0.88614442851246999</v>
      </c>
    </row>
    <row r="54" spans="1:4" x14ac:dyDescent="0.25">
      <c r="A54" s="2" t="s">
        <v>55</v>
      </c>
      <c r="B54" s="2">
        <v>37803</v>
      </c>
      <c r="C54">
        <v>0.66739240303607095</v>
      </c>
      <c r="D54">
        <v>0.91165464548562702</v>
      </c>
    </row>
    <row r="55" spans="1:4" x14ac:dyDescent="0.25">
      <c r="A55" s="2" t="s">
        <v>56</v>
      </c>
      <c r="B55" s="2">
        <v>37834</v>
      </c>
      <c r="C55">
        <v>0.69499933024194105</v>
      </c>
      <c r="D55">
        <v>0.89711805228059904</v>
      </c>
    </row>
    <row r="56" spans="1:4" x14ac:dyDescent="0.25">
      <c r="A56" s="2" t="s">
        <v>57</v>
      </c>
      <c r="B56" s="2">
        <v>37865</v>
      </c>
      <c r="C56">
        <v>0.63704613289337098</v>
      </c>
      <c r="D56">
        <v>0.92214003810796596</v>
      </c>
    </row>
    <row r="57" spans="1:4" x14ac:dyDescent="0.25">
      <c r="A57" s="2" t="s">
        <v>58</v>
      </c>
      <c r="B57" s="2">
        <v>37895</v>
      </c>
      <c r="C57">
        <v>0.68935173166751995</v>
      </c>
      <c r="D57">
        <v>0.87980533004323702</v>
      </c>
    </row>
    <row r="58" spans="1:4" x14ac:dyDescent="0.25">
      <c r="A58" s="2" t="s">
        <v>59</v>
      </c>
      <c r="B58" s="2">
        <v>37926</v>
      </c>
      <c r="C58">
        <v>0.61998577400995702</v>
      </c>
      <c r="D58">
        <v>0.80940453657334399</v>
      </c>
    </row>
    <row r="59" spans="1:4" x14ac:dyDescent="0.25">
      <c r="A59" s="2" t="s">
        <v>60</v>
      </c>
      <c r="B59" s="2">
        <v>37956</v>
      </c>
      <c r="C59">
        <v>0.63108913661869004</v>
      </c>
      <c r="D59">
        <v>0.96110596044290997</v>
      </c>
    </row>
    <row r="60" spans="1:4" x14ac:dyDescent="0.25">
      <c r="A60" s="2" t="s">
        <v>61</v>
      </c>
      <c r="B60" s="2">
        <v>37987</v>
      </c>
      <c r="C60">
        <v>0.667210224272619</v>
      </c>
      <c r="D60">
        <v>0.87199047880532898</v>
      </c>
    </row>
    <row r="61" spans="1:4" x14ac:dyDescent="0.25">
      <c r="A61" s="2" t="s">
        <v>62</v>
      </c>
      <c r="B61" s="2">
        <v>38018</v>
      </c>
      <c r="C61">
        <v>0.63771046400236098</v>
      </c>
      <c r="D61">
        <v>0.87124059513077301</v>
      </c>
    </row>
    <row r="62" spans="1:4" x14ac:dyDescent="0.25">
      <c r="A62" s="2" t="s">
        <v>63</v>
      </c>
      <c r="B62" s="2">
        <v>38047</v>
      </c>
      <c r="C62">
        <v>0.65955979351871596</v>
      </c>
      <c r="D62">
        <v>0.91168153516324502</v>
      </c>
    </row>
    <row r="63" spans="1:4" x14ac:dyDescent="0.25">
      <c r="A63" s="2" t="s">
        <v>64</v>
      </c>
      <c r="B63" s="2">
        <v>38078</v>
      </c>
      <c r="C63">
        <v>0.530538660971136</v>
      </c>
      <c r="D63">
        <v>0.70478383303771397</v>
      </c>
    </row>
    <row r="64" spans="1:4" x14ac:dyDescent="0.25">
      <c r="A64" s="2" t="s">
        <v>65</v>
      </c>
      <c r="B64" s="2">
        <v>38108</v>
      </c>
      <c r="C64">
        <v>0.46066034342494599</v>
      </c>
      <c r="D64">
        <v>0.722934794499974</v>
      </c>
    </row>
    <row r="65" spans="1:4" x14ac:dyDescent="0.25">
      <c r="A65" s="2" t="s">
        <v>74</v>
      </c>
      <c r="B65" s="2">
        <v>38139</v>
      </c>
      <c r="C65">
        <v>0.446540078978097</v>
      </c>
      <c r="D65">
        <v>0.85310115193230096</v>
      </c>
    </row>
    <row r="66" spans="1:4" x14ac:dyDescent="0.25">
      <c r="A66" s="2" t="s">
        <v>75</v>
      </c>
      <c r="B66" s="2">
        <v>38169</v>
      </c>
      <c r="C66">
        <v>0.47015695992189699</v>
      </c>
      <c r="D66">
        <v>0.79859273522685503</v>
      </c>
    </row>
    <row r="67" spans="1:4" x14ac:dyDescent="0.25">
      <c r="A67" s="2" t="s">
        <v>76</v>
      </c>
      <c r="B67" s="2">
        <v>38200</v>
      </c>
      <c r="C67">
        <v>0.48376428282514999</v>
      </c>
      <c r="D67">
        <v>0.79388744320669802</v>
      </c>
    </row>
    <row r="68" spans="1:4" x14ac:dyDescent="0.25">
      <c r="A68" s="2" t="s">
        <v>77</v>
      </c>
      <c r="B68" s="2">
        <v>38231</v>
      </c>
      <c r="C68">
        <v>0.49651218613475701</v>
      </c>
      <c r="D68">
        <v>0.79115370419804398</v>
      </c>
    </row>
    <row r="69" spans="1:4" x14ac:dyDescent="0.25">
      <c r="A69" s="2" t="s">
        <v>78</v>
      </c>
      <c r="B69" s="2">
        <v>38261</v>
      </c>
      <c r="C69">
        <v>0.48998998907140401</v>
      </c>
      <c r="D69">
        <v>0.861466030982871</v>
      </c>
    </row>
    <row r="70" spans="1:4" x14ac:dyDescent="0.25">
      <c r="A70" s="2" t="s">
        <v>79</v>
      </c>
      <c r="B70" s="2">
        <v>38292</v>
      </c>
      <c r="C70">
        <v>0.54084924519743904</v>
      </c>
      <c r="D70">
        <v>0.90224081598641004</v>
      </c>
    </row>
    <row r="71" spans="1:4" x14ac:dyDescent="0.25">
      <c r="A71" s="2" t="s">
        <v>80</v>
      </c>
      <c r="B71" s="2">
        <v>38322</v>
      </c>
      <c r="C71">
        <v>0.54508985320044201</v>
      </c>
      <c r="D71">
        <v>0.85901087312455504</v>
      </c>
    </row>
    <row r="72" spans="1:4" x14ac:dyDescent="0.25">
      <c r="A72" s="2" t="s">
        <v>81</v>
      </c>
      <c r="B72" s="2">
        <v>38353</v>
      </c>
      <c r="C72">
        <v>0.513840227843543</v>
      </c>
      <c r="D72">
        <v>0.84820860971354095</v>
      </c>
    </row>
    <row r="73" spans="1:4" x14ac:dyDescent="0.25">
      <c r="A73" s="2" t="s">
        <v>82</v>
      </c>
      <c r="B73" s="2">
        <v>38384</v>
      </c>
      <c r="C73">
        <v>0.515903232390447</v>
      </c>
      <c r="D73">
        <v>0.78252342886130399</v>
      </c>
    </row>
    <row r="74" spans="1:4" x14ac:dyDescent="0.25">
      <c r="A74" s="2" t="s">
        <v>83</v>
      </c>
      <c r="B74" s="2">
        <v>38412</v>
      </c>
      <c r="C74">
        <v>0.50932447562097605</v>
      </c>
      <c r="D74">
        <v>0.86724549107113402</v>
      </c>
    </row>
    <row r="75" spans="1:4" x14ac:dyDescent="0.25">
      <c r="A75" s="2" t="s">
        <v>84</v>
      </c>
      <c r="B75" s="2">
        <v>38443</v>
      </c>
      <c r="C75">
        <v>0.41077033491745402</v>
      </c>
      <c r="D75">
        <v>0.66717921828682902</v>
      </c>
    </row>
    <row r="76" spans="1:4" x14ac:dyDescent="0.25">
      <c r="A76" s="2" t="s">
        <v>85</v>
      </c>
      <c r="B76" s="2">
        <v>38473</v>
      </c>
      <c r="C76">
        <v>0.36662923479314802</v>
      </c>
      <c r="D76">
        <v>0.68682772636234901</v>
      </c>
    </row>
    <row r="77" spans="1:4" x14ac:dyDescent="0.25">
      <c r="A77" s="2" t="s">
        <v>86</v>
      </c>
      <c r="B77" s="2">
        <v>38504</v>
      </c>
      <c r="C77">
        <v>0.378939694281821</v>
      </c>
      <c r="D77">
        <v>0.67298501119056298</v>
      </c>
    </row>
    <row r="78" spans="1:4" x14ac:dyDescent="0.25">
      <c r="A78" s="2" t="s">
        <v>87</v>
      </c>
      <c r="B78" s="2">
        <v>38534</v>
      </c>
      <c r="C78">
        <v>0.34598044638463099</v>
      </c>
      <c r="D78">
        <v>0.70075113443343096</v>
      </c>
    </row>
    <row r="79" spans="1:4" x14ac:dyDescent="0.25">
      <c r="A79" s="2" t="s">
        <v>88</v>
      </c>
      <c r="B79" s="2">
        <v>38565</v>
      </c>
      <c r="C79">
        <v>0.38060646973148099</v>
      </c>
      <c r="D79">
        <v>0.74841469696446095</v>
      </c>
    </row>
    <row r="80" spans="1:4" x14ac:dyDescent="0.25">
      <c r="A80" s="2" t="s">
        <v>89</v>
      </c>
      <c r="B80" s="2">
        <v>38596</v>
      </c>
      <c r="C80">
        <v>0.38388299285170302</v>
      </c>
      <c r="D80">
        <v>0.66817778233760905</v>
      </c>
    </row>
    <row r="81" spans="1:4" x14ac:dyDescent="0.25">
      <c r="A81" s="2" t="s">
        <v>90</v>
      </c>
      <c r="B81" s="2">
        <v>38626</v>
      </c>
      <c r="C81">
        <v>0.39292331328130098</v>
      </c>
      <c r="D81">
        <v>0.72775565279800103</v>
      </c>
    </row>
    <row r="82" spans="1:4" x14ac:dyDescent="0.25">
      <c r="A82" s="2" t="s">
        <v>91</v>
      </c>
      <c r="B82" s="2">
        <v>38657</v>
      </c>
      <c r="C82">
        <v>0.39896797668025302</v>
      </c>
      <c r="D82">
        <v>0.74595092626852399</v>
      </c>
    </row>
    <row r="83" spans="1:4" x14ac:dyDescent="0.25">
      <c r="A83" s="2" t="s">
        <v>92</v>
      </c>
      <c r="B83" s="2">
        <v>38687</v>
      </c>
      <c r="C83">
        <v>0.44344397332379798</v>
      </c>
      <c r="D83">
        <v>0.77091804367285199</v>
      </c>
    </row>
    <row r="84" spans="1:4" x14ac:dyDescent="0.25">
      <c r="A84" s="2" t="s">
        <v>93</v>
      </c>
      <c r="B84" s="2">
        <v>38718</v>
      </c>
      <c r="C84">
        <v>0.81671657692509203</v>
      </c>
      <c r="D84">
        <v>0.75737136626887702</v>
      </c>
    </row>
    <row r="85" spans="1:4" x14ac:dyDescent="0.25">
      <c r="A85" s="2" t="s">
        <v>94</v>
      </c>
      <c r="B85" s="2">
        <v>38749</v>
      </c>
      <c r="C85">
        <v>0.61520331767598302</v>
      </c>
      <c r="D85">
        <v>0.68578385651393303</v>
      </c>
    </row>
    <row r="86" spans="1:4" x14ac:dyDescent="0.25">
      <c r="A86" s="2" t="s">
        <v>95</v>
      </c>
      <c r="B86" s="2">
        <v>38777</v>
      </c>
      <c r="C86">
        <v>0.47488139808290503</v>
      </c>
      <c r="D86">
        <v>0.69774912275026901</v>
      </c>
    </row>
    <row r="87" spans="1:4" x14ac:dyDescent="0.25">
      <c r="A87" s="2" t="s">
        <v>96</v>
      </c>
      <c r="B87" s="2">
        <v>38808</v>
      </c>
      <c r="C87">
        <v>0.33964192613772398</v>
      </c>
      <c r="D87">
        <v>0.53607888385397395</v>
      </c>
    </row>
    <row r="88" spans="1:4" x14ac:dyDescent="0.25">
      <c r="A88" s="2" t="s">
        <v>97</v>
      </c>
      <c r="B88" s="2">
        <v>38838</v>
      </c>
      <c r="C88">
        <v>0.31615136021718698</v>
      </c>
      <c r="D88">
        <v>0.67044699222937898</v>
      </c>
    </row>
    <row r="89" spans="1:4" x14ac:dyDescent="0.25">
      <c r="A89" s="2" t="s">
        <v>98</v>
      </c>
      <c r="B89" s="2">
        <v>38869</v>
      </c>
      <c r="C89">
        <v>0.30099273683741301</v>
      </c>
      <c r="D89">
        <v>0.614223290885063</v>
      </c>
    </row>
    <row r="90" spans="1:4" x14ac:dyDescent="0.25">
      <c r="A90" s="2" t="s">
        <v>99</v>
      </c>
      <c r="B90" s="2">
        <v>38899</v>
      </c>
      <c r="C90">
        <v>0.305863381771809</v>
      </c>
      <c r="D90">
        <v>0.62428606591012903</v>
      </c>
    </row>
    <row r="91" spans="1:4" x14ac:dyDescent="0.25">
      <c r="A91" s="2" t="s">
        <v>100</v>
      </c>
      <c r="B91" s="2">
        <v>38930</v>
      </c>
      <c r="C91">
        <v>0.53217958721749603</v>
      </c>
      <c r="D91">
        <v>0.65729683148026996</v>
      </c>
    </row>
    <row r="92" spans="1:4" x14ac:dyDescent="0.25">
      <c r="A92" s="2" t="s">
        <v>101</v>
      </c>
      <c r="B92" s="2">
        <v>38961</v>
      </c>
      <c r="C92">
        <v>0.33553031473254602</v>
      </c>
      <c r="D92">
        <v>0.66187738972944798</v>
      </c>
    </row>
    <row r="93" spans="1:4" x14ac:dyDescent="0.25">
      <c r="A93" s="2" t="s">
        <v>102</v>
      </c>
      <c r="B93" s="2">
        <v>38991</v>
      </c>
      <c r="C93">
        <v>0.37035387260566699</v>
      </c>
      <c r="D93">
        <v>0.73119860515877799</v>
      </c>
    </row>
    <row r="94" spans="1:4" x14ac:dyDescent="0.25">
      <c r="A94" s="2" t="s">
        <v>103</v>
      </c>
      <c r="B94" s="2">
        <v>39022</v>
      </c>
      <c r="C94">
        <v>0.40392519520222597</v>
      </c>
      <c r="D94">
        <v>0.69635793302676996</v>
      </c>
    </row>
    <row r="95" spans="1:4" x14ac:dyDescent="0.25">
      <c r="A95" s="2" t="s">
        <v>104</v>
      </c>
      <c r="B95" s="2">
        <v>39052</v>
      </c>
      <c r="C95">
        <v>0.42968388841614402</v>
      </c>
      <c r="D95">
        <v>0.74223821322809702</v>
      </c>
    </row>
    <row r="96" spans="1:4" x14ac:dyDescent="0.25">
      <c r="A96" s="2" t="s">
        <v>105</v>
      </c>
      <c r="B96" s="2">
        <v>39083</v>
      </c>
      <c r="C96">
        <v>0.470935490451663</v>
      </c>
      <c r="D96">
        <v>0.84539154948086703</v>
      </c>
    </row>
    <row r="97" spans="1:4" x14ac:dyDescent="0.25">
      <c r="A97" s="2" t="s">
        <v>106</v>
      </c>
      <c r="B97" s="2">
        <v>39114</v>
      </c>
      <c r="C97">
        <v>0.48788618576141002</v>
      </c>
      <c r="D97">
        <v>0.73205111113050503</v>
      </c>
    </row>
    <row r="98" spans="1:4" x14ac:dyDescent="0.25">
      <c r="A98" s="2" t="s">
        <v>107</v>
      </c>
      <c r="B98" s="2">
        <v>39142</v>
      </c>
      <c r="C98">
        <v>0.476497276174426</v>
      </c>
      <c r="D98">
        <v>0.78466546549706995</v>
      </c>
    </row>
    <row r="99" spans="1:4" x14ac:dyDescent="0.25">
      <c r="A99" s="2" t="s">
        <v>108</v>
      </c>
      <c r="B99" s="2">
        <v>39173</v>
      </c>
      <c r="C99">
        <v>0.41117771638148298</v>
      </c>
      <c r="D99">
        <v>0.65467928153430899</v>
      </c>
    </row>
    <row r="100" spans="1:4" x14ac:dyDescent="0.25">
      <c r="A100" s="2" t="s">
        <v>109</v>
      </c>
      <c r="B100" s="2">
        <v>39203</v>
      </c>
      <c r="C100">
        <v>0.37468703781634599</v>
      </c>
      <c r="D100">
        <v>0.69287908935335996</v>
      </c>
    </row>
    <row r="101" spans="1:4" x14ac:dyDescent="0.25">
      <c r="A101" s="1" t="s">
        <v>110</v>
      </c>
      <c r="B101" s="2">
        <v>39234</v>
      </c>
      <c r="C101">
        <v>0.40101347627320399</v>
      </c>
      <c r="D101">
        <v>0.72252367704106502</v>
      </c>
    </row>
    <row r="102" spans="1:4" x14ac:dyDescent="0.25">
      <c r="A102" s="1" t="s">
        <v>111</v>
      </c>
      <c r="B102" s="2">
        <v>39264</v>
      </c>
      <c r="C102">
        <v>0.42843390279647697</v>
      </c>
      <c r="D102">
        <v>0.80504646622959797</v>
      </c>
    </row>
    <row r="103" spans="1:4" x14ac:dyDescent="0.25">
      <c r="A103" s="1" t="s">
        <v>112</v>
      </c>
      <c r="B103" s="2">
        <v>39295</v>
      </c>
      <c r="C103">
        <v>0.48428831981772702</v>
      </c>
      <c r="D103">
        <v>0.80995047446035295</v>
      </c>
    </row>
    <row r="104" spans="1:4" x14ac:dyDescent="0.25">
      <c r="A104" s="1" t="s">
        <v>113</v>
      </c>
      <c r="B104" s="2">
        <v>39326</v>
      </c>
      <c r="C104">
        <v>0.53165405635983198</v>
      </c>
      <c r="D104">
        <v>0.80201569570794695</v>
      </c>
    </row>
    <row r="105" spans="1:4" x14ac:dyDescent="0.25">
      <c r="A105" s="1" t="s">
        <v>114</v>
      </c>
      <c r="B105" s="2">
        <v>39356</v>
      </c>
      <c r="C105">
        <v>0.63381115674722199</v>
      </c>
      <c r="D105">
        <v>1.06921564419165</v>
      </c>
    </row>
    <row r="106" spans="1:4" x14ac:dyDescent="0.25">
      <c r="A106" s="1" t="s">
        <v>115</v>
      </c>
      <c r="B106" s="2">
        <v>39387</v>
      </c>
      <c r="C106">
        <v>0.67013422339865503</v>
      </c>
      <c r="D106">
        <v>0.99739280689069598</v>
      </c>
    </row>
    <row r="107" spans="1:4" x14ac:dyDescent="0.25">
      <c r="A107" s="1" t="s">
        <v>116</v>
      </c>
      <c r="B107" s="2">
        <v>39417</v>
      </c>
      <c r="C107">
        <v>0.74550640106490995</v>
      </c>
      <c r="D107">
        <v>1.0035875118347899</v>
      </c>
    </row>
    <row r="108" spans="1:4" x14ac:dyDescent="0.25">
      <c r="A108" s="1" t="s">
        <v>117</v>
      </c>
      <c r="B108" s="2">
        <v>39448</v>
      </c>
      <c r="C108">
        <v>0.88116394125605801</v>
      </c>
      <c r="D108">
        <v>1.1106430760002299</v>
      </c>
    </row>
    <row r="109" spans="1:4" x14ac:dyDescent="0.25">
      <c r="A109" s="1" t="s">
        <v>118</v>
      </c>
      <c r="B109" s="2">
        <v>39479</v>
      </c>
      <c r="C109">
        <v>0.925923955101837</v>
      </c>
      <c r="D109">
        <v>1.0790103152189301</v>
      </c>
    </row>
    <row r="110" spans="1:4" x14ac:dyDescent="0.25">
      <c r="A110" s="1" t="s">
        <v>119</v>
      </c>
      <c r="B110" s="2">
        <v>39508</v>
      </c>
      <c r="C110">
        <v>0.97514341090044798</v>
      </c>
      <c r="D110">
        <v>1.02666625701361</v>
      </c>
    </row>
    <row r="111" spans="1:4" x14ac:dyDescent="0.25">
      <c r="A111" s="1" t="s">
        <v>120</v>
      </c>
      <c r="B111" s="2">
        <v>39539</v>
      </c>
      <c r="C111">
        <v>0.91840788032556697</v>
      </c>
      <c r="D111">
        <v>0.99441821901980998</v>
      </c>
    </row>
    <row r="112" spans="1:4" x14ac:dyDescent="0.25">
      <c r="A112" s="1" t="s">
        <v>121</v>
      </c>
      <c r="B112" s="2">
        <v>39569</v>
      </c>
      <c r="C112">
        <v>0.88793699598153097</v>
      </c>
      <c r="D112">
        <v>1.0854165128480999</v>
      </c>
    </row>
    <row r="113" spans="1:4" x14ac:dyDescent="0.25">
      <c r="A113" s="1" t="s">
        <v>122</v>
      </c>
      <c r="B113" s="2">
        <v>39600</v>
      </c>
      <c r="C113">
        <v>1.0162584378038699</v>
      </c>
      <c r="D113">
        <v>1.09622947485239</v>
      </c>
    </row>
    <row r="114" spans="1:4" x14ac:dyDescent="0.25">
      <c r="A114" s="1" t="s">
        <v>123</v>
      </c>
      <c r="B114" s="2">
        <v>39630</v>
      </c>
      <c r="C114">
        <v>1.0555879871573199</v>
      </c>
      <c r="D114">
        <v>1.2367819839687999</v>
      </c>
    </row>
    <row r="115" spans="1:4" x14ac:dyDescent="0.25">
      <c r="A115" s="1" t="s">
        <v>124</v>
      </c>
      <c r="B115" s="2">
        <v>39661</v>
      </c>
      <c r="C115">
        <v>1.19210343223439</v>
      </c>
      <c r="D115">
        <v>1.3129065773988999</v>
      </c>
    </row>
    <row r="116" spans="1:4" x14ac:dyDescent="0.25">
      <c r="A116" s="1" t="s">
        <v>125</v>
      </c>
      <c r="B116" s="2">
        <v>39692</v>
      </c>
      <c r="C116">
        <v>1.2987063440570801</v>
      </c>
      <c r="D116">
        <v>1.5729962788429599</v>
      </c>
    </row>
    <row r="117" spans="1:4" x14ac:dyDescent="0.25">
      <c r="A117" s="1" t="s">
        <v>126</v>
      </c>
      <c r="B117" s="2">
        <v>39722</v>
      </c>
      <c r="C117">
        <v>1.45991096311866</v>
      </c>
      <c r="D117">
        <v>1.66833356691374</v>
      </c>
    </row>
    <row r="118" spans="1:4" x14ac:dyDescent="0.25">
      <c r="A118" s="1" t="s">
        <v>127</v>
      </c>
      <c r="B118" s="2">
        <v>39753</v>
      </c>
      <c r="C118">
        <v>1.71961889531949</v>
      </c>
      <c r="D118">
        <v>1.73271300776602</v>
      </c>
    </row>
    <row r="119" spans="1:4" x14ac:dyDescent="0.25">
      <c r="A119" s="1" t="s">
        <v>128</v>
      </c>
      <c r="B119" s="2">
        <v>39783</v>
      </c>
      <c r="C119">
        <v>1.9214541780975301</v>
      </c>
      <c r="D119">
        <v>2.18661297522124</v>
      </c>
    </row>
    <row r="120" spans="1:4" x14ac:dyDescent="0.25">
      <c r="A120" s="1" t="s">
        <v>129</v>
      </c>
      <c r="B120" s="2">
        <v>39814</v>
      </c>
      <c r="C120">
        <v>2.25389090042033</v>
      </c>
      <c r="D120">
        <v>2.1873525426880902</v>
      </c>
    </row>
    <row r="121" spans="1:4" x14ac:dyDescent="0.25">
      <c r="A121" s="1" t="s">
        <v>130</v>
      </c>
      <c r="B121" s="2">
        <v>39845</v>
      </c>
      <c r="C121">
        <v>2.7080037868882201</v>
      </c>
      <c r="D121">
        <v>2.2552702511403702</v>
      </c>
    </row>
    <row r="122" spans="1:4" x14ac:dyDescent="0.25">
      <c r="A122" s="1" t="s">
        <v>131</v>
      </c>
      <c r="B122" s="2">
        <v>39873</v>
      </c>
      <c r="C122">
        <v>3.04805748311923</v>
      </c>
      <c r="D122">
        <v>2.2796986207054899</v>
      </c>
    </row>
    <row r="123" spans="1:4" x14ac:dyDescent="0.25">
      <c r="A123" s="1" t="s">
        <v>132</v>
      </c>
      <c r="B123" s="2">
        <v>39904</v>
      </c>
      <c r="C123">
        <v>2.9852986648602902</v>
      </c>
      <c r="D123">
        <v>2.0854206459242901</v>
      </c>
    </row>
    <row r="124" spans="1:4" x14ac:dyDescent="0.25">
      <c r="A124" s="1" t="s">
        <v>133</v>
      </c>
      <c r="B124" s="2">
        <v>39934</v>
      </c>
      <c r="C124">
        <v>2.8440022012460799</v>
      </c>
      <c r="D124">
        <v>2.2069965276654502</v>
      </c>
    </row>
    <row r="125" spans="1:4" x14ac:dyDescent="0.25">
      <c r="A125" s="1" t="s">
        <v>134</v>
      </c>
      <c r="B125" s="2">
        <v>39965</v>
      </c>
      <c r="C125">
        <v>2.9627014279613899</v>
      </c>
      <c r="D125">
        <v>2.4104788949138101</v>
      </c>
    </row>
    <row r="126" spans="1:4" x14ac:dyDescent="0.25">
      <c r="A126" s="1" t="s">
        <v>135</v>
      </c>
      <c r="B126" s="2">
        <v>39995</v>
      </c>
      <c r="C126">
        <v>2.94772192506049</v>
      </c>
      <c r="D126">
        <v>2.4497830689233102</v>
      </c>
    </row>
    <row r="127" spans="1:4" x14ac:dyDescent="0.25">
      <c r="A127" s="1" t="s">
        <v>136</v>
      </c>
      <c r="B127" s="2">
        <v>40026</v>
      </c>
      <c r="C127">
        <v>2.9564448739643998</v>
      </c>
      <c r="D127">
        <v>2.4873047138626601</v>
      </c>
    </row>
    <row r="128" spans="1:4" x14ac:dyDescent="0.25">
      <c r="A128" s="1" t="s">
        <v>137</v>
      </c>
      <c r="B128" s="2">
        <v>40057</v>
      </c>
      <c r="C128">
        <v>2.9643326185774801</v>
      </c>
      <c r="D128">
        <v>3.0565477118839599</v>
      </c>
    </row>
    <row r="129" spans="1:4" x14ac:dyDescent="0.25">
      <c r="A129" s="1" t="s">
        <v>138</v>
      </c>
      <c r="B129" s="2">
        <v>40087</v>
      </c>
      <c r="C129">
        <v>3.1621062711956101</v>
      </c>
      <c r="D129">
        <v>3.0432303854083398</v>
      </c>
    </row>
    <row r="130" spans="1:4" x14ac:dyDescent="0.25">
      <c r="A130" s="1" t="s">
        <v>139</v>
      </c>
      <c r="B130" s="2">
        <v>40118</v>
      </c>
      <c r="C130">
        <v>3.28985697699262</v>
      </c>
      <c r="D130">
        <v>3.0127318928058902</v>
      </c>
    </row>
    <row r="131" spans="1:4" x14ac:dyDescent="0.25">
      <c r="A131" s="1" t="s">
        <v>140</v>
      </c>
      <c r="B131" s="2">
        <v>40148</v>
      </c>
      <c r="C131">
        <v>3.7075005189332702</v>
      </c>
      <c r="D131">
        <v>3.1355445964857598</v>
      </c>
    </row>
    <row r="132" spans="1:4" x14ac:dyDescent="0.25">
      <c r="A132" s="1" t="s">
        <v>141</v>
      </c>
      <c r="B132" s="2">
        <v>40179</v>
      </c>
      <c r="C132">
        <v>3.5355514708824098</v>
      </c>
      <c r="D132">
        <v>3.0812428356889199</v>
      </c>
    </row>
    <row r="133" spans="1:4" x14ac:dyDescent="0.25">
      <c r="A133" s="1" t="s">
        <v>142</v>
      </c>
      <c r="B133" s="2">
        <v>40210</v>
      </c>
      <c r="C133">
        <v>3.4270111055520598</v>
      </c>
      <c r="D133">
        <v>3.1931850770936099</v>
      </c>
    </row>
    <row r="134" spans="1:4" x14ac:dyDescent="0.25">
      <c r="A134" s="1" t="s">
        <v>143</v>
      </c>
      <c r="B134" s="2">
        <v>40238</v>
      </c>
      <c r="C134">
        <v>3.5037176376604902</v>
      </c>
      <c r="D134">
        <v>3.1257922413596</v>
      </c>
    </row>
    <row r="135" spans="1:4" x14ac:dyDescent="0.25">
      <c r="A135" s="1" t="s">
        <v>144</v>
      </c>
      <c r="B135" s="2">
        <v>40269</v>
      </c>
      <c r="C135">
        <v>2.9012737379232201</v>
      </c>
      <c r="D135">
        <v>2.6393205006067899</v>
      </c>
    </row>
    <row r="136" spans="1:4" x14ac:dyDescent="0.25">
      <c r="A136" s="1" t="s">
        <v>145</v>
      </c>
      <c r="B136" s="2">
        <v>40299</v>
      </c>
      <c r="C136">
        <v>2.5998715960288199</v>
      </c>
      <c r="D136">
        <v>2.5753576589376501</v>
      </c>
    </row>
    <row r="137" spans="1:4" x14ac:dyDescent="0.25">
      <c r="A137" s="1" t="s">
        <v>146</v>
      </c>
      <c r="B137" s="2">
        <v>40330</v>
      </c>
      <c r="C137">
        <v>2.5867273100285502</v>
      </c>
      <c r="D137">
        <v>2.72217997088257</v>
      </c>
    </row>
    <row r="138" spans="1:4" x14ac:dyDescent="0.25">
      <c r="A138" s="1" t="s">
        <v>147</v>
      </c>
      <c r="B138" s="2">
        <v>40360</v>
      </c>
      <c r="C138">
        <v>2.3438828544702699</v>
      </c>
      <c r="D138">
        <v>2.6797152852339901</v>
      </c>
    </row>
    <row r="139" spans="1:4" x14ac:dyDescent="0.25">
      <c r="A139" s="1" t="s">
        <v>148</v>
      </c>
      <c r="B139" s="2">
        <v>40391</v>
      </c>
      <c r="C139">
        <v>2.2651285913272701</v>
      </c>
      <c r="D139">
        <v>2.6526294309728899</v>
      </c>
    </row>
    <row r="140" spans="1:4" x14ac:dyDescent="0.25">
      <c r="A140" s="1" t="s">
        <v>149</v>
      </c>
      <c r="B140" s="2">
        <v>40422</v>
      </c>
      <c r="C140">
        <v>2.3531104526959901</v>
      </c>
      <c r="D140">
        <v>2.6823041842219801</v>
      </c>
    </row>
    <row r="141" spans="1:4" x14ac:dyDescent="0.25">
      <c r="A141" s="1" t="s">
        <v>150</v>
      </c>
      <c r="B141" s="2">
        <v>40452</v>
      </c>
      <c r="C141">
        <v>2.37002607196766</v>
      </c>
      <c r="D141">
        <v>2.7588731982076702</v>
      </c>
    </row>
    <row r="142" spans="1:4" x14ac:dyDescent="0.25">
      <c r="A142" s="1" t="s">
        <v>151</v>
      </c>
      <c r="B142" s="2">
        <v>40483</v>
      </c>
      <c r="C142">
        <v>2.4093945316916101</v>
      </c>
      <c r="D142">
        <v>2.8747165911738901</v>
      </c>
    </row>
    <row r="143" spans="1:4" x14ac:dyDescent="0.25">
      <c r="A143" s="1" t="s">
        <v>152</v>
      </c>
      <c r="B143" s="2">
        <v>40513</v>
      </c>
      <c r="C143">
        <v>2.3242181641309401</v>
      </c>
      <c r="D143">
        <v>2.7906340152796001</v>
      </c>
    </row>
    <row r="144" spans="1:4" x14ac:dyDescent="0.25">
      <c r="A144" s="1" t="s">
        <v>153</v>
      </c>
      <c r="B144" s="2">
        <v>40544</v>
      </c>
      <c r="C144">
        <v>2.2074844746692399</v>
      </c>
      <c r="D144">
        <v>2.7497042513221599</v>
      </c>
    </row>
    <row r="145" spans="1:4" x14ac:dyDescent="0.25">
      <c r="A145" s="1" t="s">
        <v>154</v>
      </c>
      <c r="B145" s="2">
        <v>40575</v>
      </c>
      <c r="C145">
        <v>2.1431750258135001</v>
      </c>
      <c r="D145">
        <v>2.8025096622838599</v>
      </c>
    </row>
    <row r="146" spans="1:4" x14ac:dyDescent="0.25">
      <c r="A146" s="1" t="s">
        <v>155</v>
      </c>
      <c r="B146" s="2">
        <v>40603</v>
      </c>
      <c r="C146">
        <v>1.9992577373095199</v>
      </c>
      <c r="D146">
        <v>2.8178338165171701</v>
      </c>
    </row>
    <row r="147" spans="1:4" x14ac:dyDescent="0.25">
      <c r="A147" s="1" t="s">
        <v>156</v>
      </c>
      <c r="B147" s="2">
        <v>40634</v>
      </c>
      <c r="C147">
        <v>1.7807401180548801</v>
      </c>
      <c r="D147">
        <v>2.3924369148336502</v>
      </c>
    </row>
    <row r="148" spans="1:4" x14ac:dyDescent="0.25">
      <c r="A148" s="1" t="s">
        <v>157</v>
      </c>
      <c r="B148" s="2">
        <v>40664</v>
      </c>
      <c r="C148">
        <v>1.67568562146669</v>
      </c>
      <c r="D148">
        <v>2.4989107055574298</v>
      </c>
    </row>
    <row r="149" spans="1:4" x14ac:dyDescent="0.25">
      <c r="A149" s="1" t="s">
        <v>158</v>
      </c>
      <c r="B149" s="2">
        <v>40695</v>
      </c>
      <c r="C149">
        <v>1.81514905704161</v>
      </c>
      <c r="D149">
        <v>2.5141751336722602</v>
      </c>
    </row>
    <row r="150" spans="1:4" x14ac:dyDescent="0.25">
      <c r="A150" s="1" t="s">
        <v>159</v>
      </c>
      <c r="B150" s="2">
        <v>40725</v>
      </c>
      <c r="C150">
        <v>1.62633141700533</v>
      </c>
      <c r="D150">
        <v>2.5515449728003099</v>
      </c>
    </row>
    <row r="151" spans="1:4" x14ac:dyDescent="0.25">
      <c r="A151" s="1" t="s">
        <v>160</v>
      </c>
      <c r="B151" s="2">
        <v>40756</v>
      </c>
      <c r="C151">
        <v>1.6272926414172599</v>
      </c>
      <c r="D151">
        <v>2.7207155562797198</v>
      </c>
    </row>
    <row r="152" spans="1:4" x14ac:dyDescent="0.25">
      <c r="A152" s="1" t="s">
        <v>161</v>
      </c>
      <c r="B152" s="2">
        <v>40787</v>
      </c>
      <c r="C152">
        <v>1.65589367778965</v>
      </c>
      <c r="D152">
        <v>2.6094955858036801</v>
      </c>
    </row>
    <row r="153" spans="1:4" x14ac:dyDescent="0.25">
      <c r="A153" s="1" t="s">
        <v>162</v>
      </c>
      <c r="B153" s="2">
        <v>40817</v>
      </c>
      <c r="C153">
        <v>1.7099436535938499</v>
      </c>
      <c r="D153">
        <v>2.6060613854952499</v>
      </c>
    </row>
    <row r="154" spans="1:4" x14ac:dyDescent="0.25">
      <c r="A154" s="1" t="s">
        <v>163</v>
      </c>
      <c r="B154" s="2">
        <v>40848</v>
      </c>
      <c r="C154">
        <v>1.73891577277248</v>
      </c>
      <c r="D154">
        <v>2.6175949358011601</v>
      </c>
    </row>
    <row r="155" spans="1:4" x14ac:dyDescent="0.25">
      <c r="A155" s="1" t="s">
        <v>164</v>
      </c>
      <c r="B155" s="2">
        <v>40878</v>
      </c>
      <c r="C155">
        <v>1.8291200565411401</v>
      </c>
      <c r="D155">
        <v>2.6775204636071899</v>
      </c>
    </row>
    <row r="156" spans="1:4" x14ac:dyDescent="0.25">
      <c r="A156" s="1" t="s">
        <v>165</v>
      </c>
      <c r="B156" s="2">
        <v>40909</v>
      </c>
      <c r="C156">
        <v>1.80556836132467</v>
      </c>
      <c r="D156">
        <v>2.6629849282006699</v>
      </c>
    </row>
    <row r="157" spans="1:4" x14ac:dyDescent="0.25">
      <c r="A157" s="1" t="s">
        <v>166</v>
      </c>
      <c r="B157" s="2">
        <v>40940</v>
      </c>
      <c r="C157">
        <v>1.7688155898111999</v>
      </c>
      <c r="D157">
        <v>2.5454348356301901</v>
      </c>
    </row>
    <row r="158" spans="1:4" x14ac:dyDescent="0.25">
      <c r="A158" s="1" t="s">
        <v>167</v>
      </c>
      <c r="B158" s="2">
        <v>40969</v>
      </c>
      <c r="C158">
        <v>1.64516876678602</v>
      </c>
      <c r="D158">
        <v>2.4285858739815902</v>
      </c>
    </row>
    <row r="159" spans="1:4" x14ac:dyDescent="0.25">
      <c r="A159" s="1" t="s">
        <v>168</v>
      </c>
      <c r="B159" s="2">
        <v>41000</v>
      </c>
      <c r="C159">
        <v>1.5006403798937</v>
      </c>
      <c r="D159">
        <v>2.2266428975610801</v>
      </c>
    </row>
    <row r="160" spans="1:4" x14ac:dyDescent="0.25">
      <c r="A160" s="1" t="s">
        <v>169</v>
      </c>
      <c r="B160" s="2">
        <v>41030</v>
      </c>
      <c r="C160">
        <v>1.5205155596752</v>
      </c>
      <c r="D160">
        <v>2.2461309309484099</v>
      </c>
    </row>
    <row r="161" spans="1:4" x14ac:dyDescent="0.25">
      <c r="A161" s="1" t="s">
        <v>170</v>
      </c>
      <c r="B161" s="2">
        <v>41061</v>
      </c>
      <c r="C161">
        <v>1.44627007991767</v>
      </c>
      <c r="D161">
        <v>2.2590549756625902</v>
      </c>
    </row>
    <row r="162" spans="1:4" x14ac:dyDescent="0.25">
      <c r="A162" s="1" t="s">
        <v>171</v>
      </c>
      <c r="B162" s="2">
        <v>41091</v>
      </c>
      <c r="C162">
        <v>1.3786600207576201</v>
      </c>
      <c r="D162">
        <v>2.3747578935229701</v>
      </c>
    </row>
    <row r="163" spans="1:4" x14ac:dyDescent="0.25">
      <c r="A163" s="1" t="s">
        <v>172</v>
      </c>
      <c r="B163" s="2">
        <v>41122</v>
      </c>
      <c r="C163">
        <v>1.39243886455043</v>
      </c>
      <c r="D163">
        <v>2.3216114996520001</v>
      </c>
    </row>
    <row r="164" spans="1:4" x14ac:dyDescent="0.25">
      <c r="A164" s="1" t="s">
        <v>173</v>
      </c>
      <c r="B164" s="2">
        <v>41153</v>
      </c>
      <c r="C164">
        <v>1.31844265113703</v>
      </c>
      <c r="D164">
        <v>2.2673749603984699</v>
      </c>
    </row>
    <row r="165" spans="1:4" x14ac:dyDescent="0.25">
      <c r="A165" s="1" t="s">
        <v>174</v>
      </c>
      <c r="B165" s="2">
        <v>41183</v>
      </c>
      <c r="C165">
        <v>1.37033784774322</v>
      </c>
      <c r="D165">
        <v>2.5849540237555302</v>
      </c>
    </row>
    <row r="166" spans="1:4" x14ac:dyDescent="0.25">
      <c r="A166" s="1" t="s">
        <v>175</v>
      </c>
      <c r="B166" s="2">
        <v>41214</v>
      </c>
      <c r="C166">
        <v>1.3267119713395401</v>
      </c>
      <c r="D166">
        <v>2.3379763644909</v>
      </c>
    </row>
    <row r="167" spans="1:4" x14ac:dyDescent="0.25">
      <c r="A167" s="1" t="s">
        <v>176</v>
      </c>
      <c r="B167" s="2">
        <v>41244</v>
      </c>
      <c r="C167">
        <v>1.2797866578653301</v>
      </c>
      <c r="D167">
        <v>2.29427485740776</v>
      </c>
    </row>
    <row r="168" spans="1:4" x14ac:dyDescent="0.25">
      <c r="A168" s="1" t="s">
        <v>177</v>
      </c>
      <c r="B168" s="2">
        <v>41275</v>
      </c>
      <c r="C168">
        <v>1.27426202293821</v>
      </c>
      <c r="D168">
        <v>2.3505787510781699</v>
      </c>
    </row>
    <row r="169" spans="1:4" x14ac:dyDescent="0.25">
      <c r="A169" s="1" t="s">
        <v>178</v>
      </c>
      <c r="B169" s="2">
        <v>41306</v>
      </c>
      <c r="C169">
        <v>1.1926099516892601</v>
      </c>
      <c r="D169">
        <v>2.2348732969619398</v>
      </c>
    </row>
    <row r="170" spans="1:4" x14ac:dyDescent="0.25">
      <c r="A170" s="1" t="s">
        <v>179</v>
      </c>
      <c r="B170" s="2">
        <v>41334</v>
      </c>
      <c r="C170">
        <v>1.15919411211644</v>
      </c>
      <c r="D170">
        <v>2.2148939345107399</v>
      </c>
    </row>
    <row r="171" spans="1:4" x14ac:dyDescent="0.25">
      <c r="A171" s="1" t="s">
        <v>180</v>
      </c>
      <c r="B171" s="2">
        <v>41365</v>
      </c>
      <c r="C171">
        <v>0.96415722036416995</v>
      </c>
      <c r="D171">
        <v>2.0558337250798302</v>
      </c>
    </row>
    <row r="172" spans="1:4" x14ac:dyDescent="0.25">
      <c r="A172" s="1" t="s">
        <v>181</v>
      </c>
      <c r="B172" s="2">
        <v>41395</v>
      </c>
      <c r="C172">
        <v>0.88373567283088805</v>
      </c>
      <c r="D172">
        <v>1.8581670713788501</v>
      </c>
    </row>
    <row r="173" spans="1:4" x14ac:dyDescent="0.25">
      <c r="A173" s="1" t="s">
        <v>182</v>
      </c>
      <c r="B173" s="2">
        <v>41426</v>
      </c>
      <c r="C173">
        <v>0.84057894840388103</v>
      </c>
      <c r="D173">
        <v>1.8131428178596001</v>
      </c>
    </row>
    <row r="174" spans="1:4" x14ac:dyDescent="0.25">
      <c r="A174" s="1" t="s">
        <v>183</v>
      </c>
      <c r="B174" s="2">
        <v>41456</v>
      </c>
      <c r="C174">
        <v>0.818941322077127</v>
      </c>
      <c r="D174">
        <v>2.0084254391331799</v>
      </c>
    </row>
    <row r="175" spans="1:4" x14ac:dyDescent="0.25">
      <c r="A175" s="1" t="s">
        <v>184</v>
      </c>
      <c r="B175" s="2">
        <v>41487</v>
      </c>
      <c r="C175">
        <v>0.76199690274208998</v>
      </c>
      <c r="D175">
        <v>1.8253297337354699</v>
      </c>
    </row>
    <row r="176" spans="1:4" x14ac:dyDescent="0.25">
      <c r="A176" s="1" t="s">
        <v>185</v>
      </c>
      <c r="B176" s="2">
        <v>41518</v>
      </c>
      <c r="C176">
        <v>0.76420753839376898</v>
      </c>
      <c r="D176">
        <v>1.8078798475236699</v>
      </c>
    </row>
    <row r="177" spans="1:4" x14ac:dyDescent="0.25">
      <c r="A177" s="1" t="s">
        <v>186</v>
      </c>
      <c r="B177" s="2">
        <v>41548</v>
      </c>
      <c r="C177">
        <v>0.76871540688981899</v>
      </c>
      <c r="D177">
        <v>1.7877930589178399</v>
      </c>
    </row>
    <row r="178" spans="1:4" x14ac:dyDescent="0.25">
      <c r="A178" s="1" t="s">
        <v>187</v>
      </c>
      <c r="B178" s="2">
        <v>41579</v>
      </c>
      <c r="C178">
        <v>0.70530120798186802</v>
      </c>
      <c r="D178">
        <v>1.7234999754517299</v>
      </c>
    </row>
    <row r="179" spans="1:4" x14ac:dyDescent="0.25">
      <c r="A179" s="1" t="s">
        <v>188</v>
      </c>
      <c r="B179" s="2">
        <v>41609</v>
      </c>
      <c r="C179">
        <v>0.73539410682857997</v>
      </c>
      <c r="D179">
        <v>1.8099786511928799</v>
      </c>
    </row>
    <row r="180" spans="1:4" x14ac:dyDescent="0.25">
      <c r="A180" s="1" t="s">
        <v>189</v>
      </c>
      <c r="B180" s="2">
        <v>41640</v>
      </c>
      <c r="C180">
        <v>0.68627701687525899</v>
      </c>
      <c r="D180">
        <v>1.77290823926718</v>
      </c>
    </row>
    <row r="181" spans="1:4" x14ac:dyDescent="0.25">
      <c r="A181" s="1" t="s">
        <v>190</v>
      </c>
      <c r="B181" s="2">
        <v>41671</v>
      </c>
      <c r="C181">
        <v>0.68027322603685403</v>
      </c>
      <c r="D181">
        <v>1.6457565397688101</v>
      </c>
    </row>
    <row r="182" spans="1:4" x14ac:dyDescent="0.25">
      <c r="A182" s="1" t="s">
        <v>191</v>
      </c>
      <c r="B182" s="2">
        <v>41699</v>
      </c>
      <c r="C182">
        <v>0.61706002898906898</v>
      </c>
      <c r="D182">
        <v>1.58735329072035</v>
      </c>
    </row>
    <row r="183" spans="1:4" x14ac:dyDescent="0.25">
      <c r="A183" s="1" t="s">
        <v>192</v>
      </c>
      <c r="B183" s="2">
        <v>41730</v>
      </c>
      <c r="C183">
        <v>0.55488711442569505</v>
      </c>
      <c r="D183">
        <v>1.3992506599196799</v>
      </c>
    </row>
    <row r="184" spans="1:4" x14ac:dyDescent="0.25">
      <c r="A184" s="1" t="s">
        <v>193</v>
      </c>
      <c r="B184" s="2">
        <v>41760</v>
      </c>
      <c r="C184">
        <v>0.50430946195232396</v>
      </c>
      <c r="D184">
        <v>1.3994026423366599</v>
      </c>
    </row>
    <row r="185" spans="1:4" x14ac:dyDescent="0.25">
      <c r="A185" s="1" t="s">
        <v>194</v>
      </c>
      <c r="B185" s="2">
        <v>41791</v>
      </c>
      <c r="C185">
        <v>0.51325964463555496</v>
      </c>
      <c r="D185">
        <v>1.4019829418080101</v>
      </c>
    </row>
    <row r="186" spans="1:4" x14ac:dyDescent="0.25">
      <c r="A186" s="1" t="s">
        <v>195</v>
      </c>
      <c r="B186" s="2">
        <v>41821</v>
      </c>
      <c r="C186">
        <v>0.495774289693174</v>
      </c>
      <c r="D186">
        <v>1.41983080413233</v>
      </c>
    </row>
    <row r="187" spans="1:4" x14ac:dyDescent="0.25">
      <c r="A187" s="1" t="s">
        <v>196</v>
      </c>
      <c r="B187" s="2">
        <v>41852</v>
      </c>
      <c r="C187">
        <v>0.51764069948053704</v>
      </c>
      <c r="D187">
        <v>1.37835015010883</v>
      </c>
    </row>
    <row r="188" spans="1:4" x14ac:dyDescent="0.25">
      <c r="A188" s="1" t="s">
        <v>197</v>
      </c>
      <c r="B188" s="2">
        <v>41883</v>
      </c>
      <c r="C188">
        <v>0.47936854997417999</v>
      </c>
      <c r="D188">
        <v>1.47452722942507</v>
      </c>
    </row>
    <row r="189" spans="1:4" x14ac:dyDescent="0.25">
      <c r="A189" s="1" t="s">
        <v>198</v>
      </c>
      <c r="B189" s="2">
        <v>41913</v>
      </c>
      <c r="C189">
        <v>0.48468081322732298</v>
      </c>
      <c r="D189">
        <v>1.3737276614667699</v>
      </c>
    </row>
    <row r="190" spans="1:4" x14ac:dyDescent="0.25">
      <c r="A190" s="1" t="s">
        <v>199</v>
      </c>
      <c r="B190" s="2">
        <v>41944</v>
      </c>
      <c r="C190">
        <v>0.466411069183292</v>
      </c>
      <c r="D190">
        <v>1.2764145206761299</v>
      </c>
    </row>
    <row r="191" spans="1:4" x14ac:dyDescent="0.25">
      <c r="A191" s="1" t="s">
        <v>200</v>
      </c>
      <c r="B191" s="2">
        <v>41974</v>
      </c>
      <c r="C191">
        <v>0.47681591709879401</v>
      </c>
      <c r="D191">
        <v>1.46433660844646</v>
      </c>
    </row>
    <row r="192" spans="1:4" x14ac:dyDescent="0.25">
      <c r="A192" s="1" t="s">
        <v>201</v>
      </c>
      <c r="B192" s="2">
        <v>42005</v>
      </c>
      <c r="C192">
        <v>0.46409720042372998</v>
      </c>
      <c r="D192">
        <v>1.3060029040628001</v>
      </c>
    </row>
    <row r="193" spans="1:4" x14ac:dyDescent="0.25">
      <c r="A193" s="1" t="s">
        <v>202</v>
      </c>
      <c r="B193" s="2">
        <v>42036</v>
      </c>
      <c r="C193">
        <v>0.45248429952595698</v>
      </c>
      <c r="D193">
        <v>1.2995033554169799</v>
      </c>
    </row>
    <row r="194" spans="1:4" x14ac:dyDescent="0.25">
      <c r="A194" s="1" t="s">
        <v>203</v>
      </c>
      <c r="B194" s="2">
        <v>42064</v>
      </c>
      <c r="C194">
        <v>0.41507828536597702</v>
      </c>
      <c r="D194">
        <v>1.2792776671826001</v>
      </c>
    </row>
    <row r="195" spans="1:4" x14ac:dyDescent="0.25">
      <c r="A195" s="1" t="s">
        <v>204</v>
      </c>
      <c r="B195" s="2">
        <v>42095</v>
      </c>
      <c r="C195">
        <v>0.36122909441729201</v>
      </c>
      <c r="D195">
        <v>1.1009327839374801</v>
      </c>
    </row>
    <row r="196" spans="1:4" x14ac:dyDescent="0.25">
      <c r="A196" s="1" t="s">
        <v>205</v>
      </c>
      <c r="B196" s="2">
        <v>42125</v>
      </c>
      <c r="C196">
        <v>0.35738949022405803</v>
      </c>
      <c r="D196">
        <v>1.10818088698202</v>
      </c>
    </row>
    <row r="197" spans="1:4" x14ac:dyDescent="0.25">
      <c r="A197" s="1" t="s">
        <v>206</v>
      </c>
      <c r="B197" s="2">
        <v>42156</v>
      </c>
      <c r="C197">
        <v>0.32915963955050298</v>
      </c>
      <c r="D197">
        <v>1.20551598069331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v3</vt:lpstr>
      <vt:lpstr>v2</vt:lpstr>
      <vt:lpstr>v1</vt:lpstr>
      <vt:lpstr>LoanLevelHist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2016-03-28T13:32:29Z</cp:lastPrinted>
  <dcterms:created xsi:type="dcterms:W3CDTF">2016-03-10T18:58:01Z</dcterms:created>
  <dcterms:modified xsi:type="dcterms:W3CDTF">2016-03-28T17:31:49Z</dcterms:modified>
</cp:coreProperties>
</file>