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0675" windowHeight="18705"/>
  </bookViews>
  <sheets>
    <sheet name="Lock-in Effect" sheetId="1" r:id="rId1"/>
    <sheet name="Seasoning Ramp" sheetId="2" r:id="rId2"/>
  </sheets>
  <calcPr calcId="145621"/>
</workbook>
</file>

<file path=xl/calcChain.xml><?xml version="1.0" encoding="utf-8"?>
<calcChain xmlns="http://schemas.openxmlformats.org/spreadsheetml/2006/main">
  <c r="F4" i="2" l="1"/>
  <c r="G4" i="2"/>
  <c r="H4" i="2"/>
  <c r="F5" i="2"/>
  <c r="G5" i="2"/>
  <c r="H5" i="2"/>
  <c r="F6" i="2"/>
  <c r="G6" i="2"/>
  <c r="H6" i="2"/>
  <c r="F7" i="2"/>
  <c r="G7" i="2"/>
  <c r="H7" i="2"/>
  <c r="F8" i="2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2" i="2"/>
  <c r="G32" i="2"/>
  <c r="H32" i="2"/>
  <c r="F33" i="2"/>
  <c r="G33" i="2"/>
  <c r="H33" i="2"/>
  <c r="F34" i="2"/>
  <c r="G34" i="2"/>
  <c r="H34" i="2"/>
  <c r="F35" i="2"/>
  <c r="G35" i="2"/>
  <c r="H35" i="2"/>
  <c r="F36" i="2"/>
  <c r="G36" i="2"/>
  <c r="H36" i="2"/>
  <c r="F37" i="2"/>
  <c r="G37" i="2"/>
  <c r="H37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F44" i="2"/>
  <c r="G44" i="2"/>
  <c r="H44" i="2"/>
  <c r="F45" i="2"/>
  <c r="G45" i="2"/>
  <c r="H45" i="2"/>
  <c r="F46" i="2"/>
  <c r="G46" i="2"/>
  <c r="H46" i="2"/>
  <c r="F47" i="2"/>
  <c r="G47" i="2"/>
  <c r="H47" i="2"/>
  <c r="F48" i="2"/>
  <c r="G48" i="2"/>
  <c r="H48" i="2"/>
  <c r="F49" i="2"/>
  <c r="G49" i="2"/>
  <c r="H49" i="2"/>
  <c r="F50" i="2"/>
  <c r="G50" i="2"/>
  <c r="H50" i="2"/>
  <c r="F51" i="2"/>
  <c r="G51" i="2"/>
  <c r="H51" i="2"/>
  <c r="F52" i="2"/>
  <c r="G52" i="2"/>
  <c r="H52" i="2"/>
  <c r="F53" i="2"/>
  <c r="G53" i="2"/>
  <c r="H53" i="2"/>
  <c r="F54" i="2"/>
  <c r="G54" i="2"/>
  <c r="H54" i="2"/>
  <c r="F55" i="2"/>
  <c r="G55" i="2"/>
  <c r="H55" i="2"/>
  <c r="F56" i="2"/>
  <c r="G56" i="2"/>
  <c r="H56" i="2"/>
  <c r="F57" i="2"/>
  <c r="G57" i="2"/>
  <c r="H57" i="2"/>
  <c r="F58" i="2"/>
  <c r="G58" i="2"/>
  <c r="H58" i="2"/>
  <c r="F59" i="2"/>
  <c r="G59" i="2"/>
  <c r="H59" i="2"/>
  <c r="F60" i="2"/>
  <c r="G60" i="2"/>
  <c r="H60" i="2"/>
  <c r="F61" i="2"/>
  <c r="G61" i="2"/>
  <c r="H61" i="2"/>
  <c r="F62" i="2"/>
  <c r="G62" i="2"/>
  <c r="H62" i="2"/>
  <c r="F63" i="2"/>
  <c r="G63" i="2"/>
  <c r="H63" i="2"/>
  <c r="F64" i="2"/>
  <c r="G64" i="2"/>
  <c r="H64" i="2"/>
  <c r="F65" i="2"/>
  <c r="G65" i="2"/>
  <c r="H65" i="2"/>
  <c r="F66" i="2"/>
  <c r="G66" i="2"/>
  <c r="H66" i="2"/>
  <c r="F67" i="2"/>
  <c r="G67" i="2"/>
  <c r="H67" i="2"/>
  <c r="F68" i="2"/>
  <c r="G68" i="2"/>
  <c r="H68" i="2"/>
  <c r="F69" i="2"/>
  <c r="G69" i="2"/>
  <c r="H69" i="2"/>
  <c r="F70" i="2"/>
  <c r="G70" i="2"/>
  <c r="H70" i="2"/>
  <c r="F71" i="2"/>
  <c r="G71" i="2"/>
  <c r="H71" i="2"/>
  <c r="F72" i="2"/>
  <c r="G72" i="2"/>
  <c r="H72" i="2"/>
  <c r="F73" i="2"/>
  <c r="G73" i="2"/>
  <c r="H73" i="2"/>
  <c r="F74" i="2"/>
  <c r="G74" i="2"/>
  <c r="H74" i="2"/>
  <c r="F75" i="2"/>
  <c r="G75" i="2"/>
  <c r="H75" i="2"/>
  <c r="F76" i="2"/>
  <c r="G76" i="2"/>
  <c r="H76" i="2"/>
  <c r="F77" i="2"/>
  <c r="G77" i="2"/>
  <c r="H77" i="2"/>
  <c r="F78" i="2"/>
  <c r="G78" i="2"/>
  <c r="H78" i="2"/>
  <c r="F79" i="2"/>
  <c r="G79" i="2"/>
  <c r="H79" i="2"/>
  <c r="F80" i="2"/>
  <c r="G80" i="2"/>
  <c r="H80" i="2"/>
  <c r="F81" i="2"/>
  <c r="G81" i="2"/>
  <c r="H81" i="2"/>
  <c r="F82" i="2"/>
  <c r="G82" i="2"/>
  <c r="H82" i="2"/>
  <c r="F83" i="2"/>
  <c r="G83" i="2"/>
  <c r="H83" i="2"/>
  <c r="F84" i="2"/>
  <c r="G84" i="2"/>
  <c r="H84" i="2"/>
  <c r="F85" i="2"/>
  <c r="G85" i="2"/>
  <c r="H85" i="2"/>
  <c r="F86" i="2"/>
  <c r="G86" i="2"/>
  <c r="H86" i="2"/>
  <c r="F87" i="2"/>
  <c r="G87" i="2"/>
  <c r="H87" i="2"/>
  <c r="F88" i="2"/>
  <c r="G88" i="2"/>
  <c r="H88" i="2"/>
  <c r="F89" i="2"/>
  <c r="G89" i="2"/>
  <c r="H89" i="2"/>
  <c r="F90" i="2"/>
  <c r="G90" i="2"/>
  <c r="H90" i="2"/>
  <c r="F91" i="2"/>
  <c r="G91" i="2"/>
  <c r="H91" i="2"/>
  <c r="F92" i="2"/>
  <c r="G92" i="2"/>
  <c r="H92" i="2"/>
  <c r="F93" i="2"/>
  <c r="G93" i="2"/>
  <c r="H93" i="2"/>
  <c r="F94" i="2"/>
  <c r="G94" i="2"/>
  <c r="H94" i="2"/>
  <c r="F95" i="2"/>
  <c r="G95" i="2"/>
  <c r="H95" i="2"/>
  <c r="F96" i="2"/>
  <c r="G96" i="2"/>
  <c r="H96" i="2"/>
  <c r="F97" i="2"/>
  <c r="G97" i="2"/>
  <c r="H97" i="2"/>
  <c r="F98" i="2"/>
  <c r="G98" i="2"/>
  <c r="H98" i="2"/>
  <c r="F99" i="2"/>
  <c r="G99" i="2"/>
  <c r="H99" i="2"/>
  <c r="F100" i="2"/>
  <c r="G100" i="2"/>
  <c r="H100" i="2"/>
  <c r="F101" i="2"/>
  <c r="G101" i="2"/>
  <c r="H101" i="2"/>
  <c r="F102" i="2"/>
  <c r="G102" i="2"/>
  <c r="H102" i="2"/>
  <c r="F103" i="2"/>
  <c r="G103" i="2"/>
  <c r="H103" i="2"/>
  <c r="F104" i="2"/>
  <c r="G104" i="2"/>
  <c r="H104" i="2"/>
  <c r="F105" i="2"/>
  <c r="G105" i="2"/>
  <c r="H105" i="2"/>
  <c r="F106" i="2"/>
  <c r="G106" i="2"/>
  <c r="H106" i="2"/>
  <c r="F107" i="2"/>
  <c r="G107" i="2"/>
  <c r="H107" i="2"/>
  <c r="F108" i="2"/>
  <c r="G108" i="2"/>
  <c r="H108" i="2"/>
  <c r="F109" i="2"/>
  <c r="G109" i="2"/>
  <c r="H109" i="2"/>
  <c r="F110" i="2"/>
  <c r="G110" i="2"/>
  <c r="H110" i="2"/>
  <c r="F111" i="2"/>
  <c r="G111" i="2"/>
  <c r="H111" i="2"/>
  <c r="F112" i="2"/>
  <c r="G112" i="2"/>
  <c r="H112" i="2"/>
  <c r="F113" i="2"/>
  <c r="G113" i="2"/>
  <c r="H113" i="2"/>
  <c r="F114" i="2"/>
  <c r="G114" i="2"/>
  <c r="H114" i="2"/>
  <c r="F115" i="2"/>
  <c r="G115" i="2"/>
  <c r="H115" i="2"/>
  <c r="F116" i="2"/>
  <c r="G116" i="2"/>
  <c r="H116" i="2"/>
  <c r="F117" i="2"/>
  <c r="G117" i="2"/>
  <c r="H117" i="2"/>
  <c r="F118" i="2"/>
  <c r="G118" i="2"/>
  <c r="H118" i="2"/>
  <c r="F119" i="2"/>
  <c r="G119" i="2"/>
  <c r="H119" i="2"/>
  <c r="F120" i="2"/>
  <c r="G120" i="2"/>
  <c r="H120" i="2"/>
  <c r="F121" i="2"/>
  <c r="G121" i="2"/>
  <c r="H121" i="2"/>
  <c r="F122" i="2"/>
  <c r="G122" i="2"/>
  <c r="H122" i="2"/>
  <c r="F123" i="2"/>
  <c r="G123" i="2"/>
  <c r="H123" i="2"/>
  <c r="F124" i="2"/>
  <c r="G124" i="2"/>
  <c r="H124" i="2"/>
  <c r="F125" i="2"/>
  <c r="G125" i="2"/>
  <c r="H125" i="2"/>
  <c r="F126" i="2"/>
  <c r="G126" i="2"/>
  <c r="H126" i="2"/>
  <c r="F127" i="2"/>
  <c r="G127" i="2"/>
  <c r="H127" i="2"/>
  <c r="F128" i="2"/>
  <c r="G128" i="2"/>
  <c r="H128" i="2"/>
  <c r="F129" i="2"/>
  <c r="G129" i="2"/>
  <c r="H129" i="2"/>
  <c r="F130" i="2"/>
  <c r="G130" i="2"/>
  <c r="H130" i="2"/>
  <c r="F131" i="2"/>
  <c r="G131" i="2"/>
  <c r="H131" i="2"/>
  <c r="F132" i="2"/>
  <c r="G132" i="2"/>
  <c r="H132" i="2"/>
  <c r="F133" i="2"/>
  <c r="G133" i="2"/>
  <c r="H133" i="2"/>
  <c r="F134" i="2"/>
  <c r="G134" i="2"/>
  <c r="H134" i="2"/>
  <c r="F135" i="2"/>
  <c r="G135" i="2"/>
  <c r="H135" i="2"/>
  <c r="F136" i="2"/>
  <c r="G136" i="2"/>
  <c r="H136" i="2"/>
  <c r="F137" i="2"/>
  <c r="G137" i="2"/>
  <c r="H137" i="2"/>
  <c r="F138" i="2"/>
  <c r="G138" i="2"/>
  <c r="H138" i="2"/>
  <c r="F139" i="2"/>
  <c r="G139" i="2"/>
  <c r="H139" i="2"/>
  <c r="F140" i="2"/>
  <c r="G140" i="2"/>
  <c r="H140" i="2"/>
  <c r="F141" i="2"/>
  <c r="G141" i="2"/>
  <c r="H141" i="2"/>
  <c r="F142" i="2"/>
  <c r="G142" i="2"/>
  <c r="H142" i="2"/>
  <c r="F143" i="2"/>
  <c r="G143" i="2"/>
  <c r="H143" i="2"/>
  <c r="F144" i="2"/>
  <c r="G144" i="2"/>
  <c r="H144" i="2"/>
  <c r="F145" i="2"/>
  <c r="G145" i="2"/>
  <c r="H145" i="2"/>
  <c r="F146" i="2"/>
  <c r="G146" i="2"/>
  <c r="H146" i="2"/>
  <c r="F147" i="2"/>
  <c r="G147" i="2"/>
  <c r="H147" i="2"/>
  <c r="F148" i="2"/>
  <c r="G148" i="2"/>
  <c r="H148" i="2"/>
  <c r="F149" i="2"/>
  <c r="G149" i="2"/>
  <c r="H149" i="2"/>
  <c r="F150" i="2"/>
  <c r="G150" i="2"/>
  <c r="H150" i="2"/>
  <c r="F151" i="2"/>
  <c r="G151" i="2"/>
  <c r="H151" i="2"/>
  <c r="F152" i="2"/>
  <c r="G152" i="2"/>
  <c r="H152" i="2"/>
  <c r="F153" i="2"/>
  <c r="G153" i="2"/>
  <c r="H153" i="2"/>
  <c r="F154" i="2"/>
  <c r="G154" i="2"/>
  <c r="H154" i="2"/>
  <c r="F155" i="2"/>
  <c r="G155" i="2"/>
  <c r="H155" i="2"/>
  <c r="F156" i="2"/>
  <c r="G156" i="2"/>
  <c r="H156" i="2"/>
  <c r="F157" i="2"/>
  <c r="G157" i="2"/>
  <c r="H157" i="2"/>
  <c r="F158" i="2"/>
  <c r="G158" i="2"/>
  <c r="H158" i="2"/>
  <c r="F159" i="2"/>
  <c r="G159" i="2"/>
  <c r="H159" i="2"/>
  <c r="F160" i="2"/>
  <c r="G160" i="2"/>
  <c r="H160" i="2"/>
  <c r="F161" i="2"/>
  <c r="G161" i="2"/>
  <c r="H161" i="2"/>
  <c r="F162" i="2"/>
  <c r="G162" i="2"/>
  <c r="H162" i="2"/>
  <c r="F163" i="2"/>
  <c r="G163" i="2"/>
  <c r="H163" i="2"/>
  <c r="F164" i="2"/>
  <c r="G164" i="2"/>
  <c r="H164" i="2"/>
  <c r="F165" i="2"/>
  <c r="G165" i="2"/>
  <c r="H165" i="2"/>
  <c r="F166" i="2"/>
  <c r="G166" i="2"/>
  <c r="H166" i="2"/>
  <c r="F167" i="2"/>
  <c r="G167" i="2"/>
  <c r="H167" i="2"/>
  <c r="F168" i="2"/>
  <c r="G168" i="2"/>
  <c r="H168" i="2"/>
  <c r="F169" i="2"/>
  <c r="G169" i="2"/>
  <c r="H169" i="2"/>
  <c r="F170" i="2"/>
  <c r="G170" i="2"/>
  <c r="H170" i="2"/>
  <c r="F171" i="2"/>
  <c r="G171" i="2"/>
  <c r="H171" i="2"/>
  <c r="F172" i="2"/>
  <c r="G172" i="2"/>
  <c r="H172" i="2"/>
  <c r="F173" i="2"/>
  <c r="G173" i="2"/>
  <c r="H173" i="2"/>
  <c r="F174" i="2"/>
  <c r="G174" i="2"/>
  <c r="H174" i="2"/>
  <c r="F175" i="2"/>
  <c r="G175" i="2"/>
  <c r="H175" i="2"/>
  <c r="F176" i="2"/>
  <c r="G176" i="2"/>
  <c r="H176" i="2"/>
  <c r="F177" i="2"/>
  <c r="G177" i="2"/>
  <c r="H177" i="2"/>
  <c r="F178" i="2"/>
  <c r="G178" i="2"/>
  <c r="H178" i="2"/>
  <c r="F179" i="2"/>
  <c r="G179" i="2"/>
  <c r="H179" i="2"/>
  <c r="F180" i="2"/>
  <c r="G180" i="2"/>
  <c r="H180" i="2"/>
  <c r="F181" i="2"/>
  <c r="G181" i="2"/>
  <c r="H181" i="2"/>
  <c r="F182" i="2"/>
  <c r="G182" i="2"/>
  <c r="H182" i="2"/>
  <c r="F183" i="2"/>
  <c r="G183" i="2"/>
  <c r="H183" i="2"/>
  <c r="G3" i="2"/>
  <c r="H3" i="2"/>
  <c r="F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E3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3" i="2"/>
  <c r="Q3" i="2"/>
  <c r="H2" i="1" l="1"/>
  <c r="C2" i="1"/>
  <c r="D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/>
  <c r="C10" i="1"/>
  <c r="D10" i="1" s="1"/>
  <c r="C11" i="1"/>
  <c r="D11" i="1"/>
  <c r="C12" i="1"/>
  <c r="D12" i="1" s="1"/>
  <c r="C13" i="1"/>
  <c r="D13" i="1" s="1"/>
  <c r="C14" i="1"/>
  <c r="D14" i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/>
  <c r="C23" i="1"/>
  <c r="D23" i="1" s="1"/>
  <c r="C24" i="1"/>
  <c r="D24" i="1" s="1"/>
  <c r="C25" i="1"/>
  <c r="D25" i="1" s="1"/>
  <c r="C26" i="1"/>
  <c r="D26" i="1" s="1"/>
  <c r="C27" i="1"/>
  <c r="D27" i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/>
  <c r="C40" i="1"/>
  <c r="D40" i="1" s="1"/>
  <c r="C41" i="1"/>
  <c r="D41" i="1"/>
  <c r="C42" i="1"/>
  <c r="D42" i="1" s="1"/>
  <c r="C43" i="1"/>
  <c r="D43" i="1"/>
  <c r="C44" i="1"/>
  <c r="D44" i="1" s="1"/>
  <c r="C45" i="1"/>
  <c r="D45" i="1" s="1"/>
  <c r="C46" i="1"/>
  <c r="D46" i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/>
  <c r="C55" i="1"/>
  <c r="D55" i="1" s="1"/>
  <c r="C56" i="1"/>
  <c r="D56" i="1" s="1"/>
  <c r="C57" i="1"/>
  <c r="D57" i="1"/>
  <c r="C58" i="1"/>
  <c r="D58" i="1" s="1"/>
  <c r="C59" i="1"/>
  <c r="D59" i="1" s="1"/>
  <c r="C60" i="1"/>
  <c r="D60" i="1" s="1"/>
  <c r="C61" i="1"/>
  <c r="D61" i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/>
  <c r="C72" i="1"/>
  <c r="D72" i="1" s="1"/>
  <c r="C73" i="1"/>
  <c r="D73" i="1"/>
  <c r="C74" i="1"/>
  <c r="D74" i="1" s="1"/>
  <c r="C75" i="1"/>
  <c r="D75" i="1" s="1"/>
  <c r="C76" i="1"/>
  <c r="D76" i="1" s="1"/>
  <c r="C77" i="1"/>
  <c r="D77" i="1" s="1"/>
  <c r="C78" i="1"/>
  <c r="D78" i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/>
  <c r="C87" i="1"/>
  <c r="D87" i="1" s="1"/>
  <c r="C88" i="1"/>
  <c r="D88" i="1" s="1"/>
  <c r="C89" i="1"/>
  <c r="D89" i="1" s="1"/>
  <c r="C90" i="1"/>
  <c r="D90" i="1"/>
  <c r="C91" i="1"/>
  <c r="D91" i="1"/>
  <c r="C92" i="1"/>
  <c r="D92" i="1" s="1"/>
  <c r="C93" i="1"/>
  <c r="D93" i="1" s="1"/>
  <c r="C94" i="1"/>
  <c r="D94" i="1" s="1"/>
  <c r="C95" i="1"/>
  <c r="D95" i="1"/>
  <c r="C96" i="1"/>
  <c r="D96" i="1" s="1"/>
  <c r="C97" i="1"/>
  <c r="D97" i="1" s="1"/>
  <c r="C98" i="1"/>
  <c r="D98" i="1"/>
  <c r="C99" i="1"/>
  <c r="D99" i="1" s="1"/>
  <c r="C100" i="1"/>
  <c r="D100" i="1" s="1"/>
  <c r="C101" i="1"/>
  <c r="D101" i="1"/>
  <c r="C102" i="1"/>
  <c r="D102" i="1" s="1"/>
  <c r="C103" i="1"/>
  <c r="D103" i="1"/>
  <c r="C104" i="1"/>
  <c r="D104" i="1" s="1"/>
  <c r="C105" i="1"/>
  <c r="D105" i="1"/>
  <c r="C106" i="1"/>
  <c r="D106" i="1"/>
  <c r="C107" i="1"/>
  <c r="D107" i="1"/>
  <c r="C108" i="1"/>
  <c r="D108" i="1" s="1"/>
  <c r="C109" i="1"/>
  <c r="D109" i="1" s="1"/>
  <c r="C110" i="1"/>
  <c r="D110" i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/>
  <c r="C128" i="1"/>
  <c r="D128" i="1" s="1"/>
  <c r="C129" i="1"/>
  <c r="D129" i="1" s="1"/>
  <c r="C130" i="1"/>
  <c r="D130" i="1"/>
  <c r="C131" i="1"/>
  <c r="D131" i="1" s="1"/>
  <c r="C132" i="1"/>
  <c r="D132" i="1" s="1"/>
  <c r="C133" i="1"/>
  <c r="D133" i="1"/>
  <c r="C134" i="1"/>
  <c r="D134" i="1" s="1"/>
  <c r="C135" i="1"/>
  <c r="D135" i="1" s="1"/>
  <c r="C136" i="1"/>
  <c r="D136" i="1" s="1"/>
  <c r="C137" i="1"/>
  <c r="D137" i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/>
  <c r="C151" i="1"/>
  <c r="D151" i="1" s="1"/>
  <c r="C152" i="1"/>
  <c r="D152" i="1" s="1"/>
  <c r="C153" i="1"/>
  <c r="D153" i="1" s="1"/>
  <c r="C154" i="1"/>
  <c r="D154" i="1" s="1"/>
  <c r="C155" i="1"/>
  <c r="D155" i="1"/>
  <c r="C156" i="1"/>
  <c r="D156" i="1" s="1"/>
  <c r="C157" i="1"/>
  <c r="D157" i="1"/>
  <c r="C158" i="1"/>
  <c r="D158" i="1" s="1"/>
  <c r="C159" i="1"/>
  <c r="D159" i="1"/>
  <c r="C160" i="1"/>
  <c r="D160" i="1" s="1"/>
  <c r="C161" i="1"/>
  <c r="D161" i="1" s="1"/>
  <c r="C162" i="1"/>
  <c r="D162" i="1"/>
  <c r="C163" i="1"/>
  <c r="D163" i="1" s="1"/>
  <c r="C164" i="1"/>
  <c r="D164" i="1" s="1"/>
  <c r="C165" i="1"/>
  <c r="D165" i="1"/>
  <c r="C166" i="1"/>
  <c r="D166" i="1"/>
  <c r="C167" i="1"/>
  <c r="D167" i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/>
  <c r="C184" i="1"/>
  <c r="D184" i="1" s="1"/>
  <c r="C185" i="1"/>
  <c r="D185" i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/>
  <c r="C198" i="1"/>
  <c r="D198" i="1"/>
  <c r="C199" i="1"/>
  <c r="D199" i="1" s="1"/>
  <c r="C200" i="1"/>
  <c r="D200" i="1" s="1"/>
  <c r="C201" i="1"/>
  <c r="D201" i="1"/>
  <c r="C202" i="1"/>
  <c r="D202" i="1" s="1"/>
  <c r="C203" i="1"/>
  <c r="D203" i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/>
  <c r="C215" i="1"/>
  <c r="D215" i="1" s="1"/>
  <c r="C216" i="1"/>
  <c r="D216" i="1" s="1"/>
  <c r="C217" i="1"/>
  <c r="D217" i="1"/>
  <c r="C218" i="1"/>
  <c r="D218" i="1" s="1"/>
  <c r="C219" i="1"/>
  <c r="D219" i="1" s="1"/>
  <c r="C220" i="1"/>
  <c r="D220" i="1" s="1"/>
  <c r="C221" i="1"/>
  <c r="D221" i="1"/>
  <c r="C222" i="1"/>
  <c r="D222" i="1"/>
  <c r="C223" i="1"/>
  <c r="D223" i="1" s="1"/>
  <c r="C224" i="1"/>
  <c r="D224" i="1" s="1"/>
  <c r="C225" i="1"/>
  <c r="D225" i="1" s="1"/>
  <c r="C226" i="1"/>
  <c r="D226" i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/>
  <c r="C238" i="1"/>
  <c r="D238" i="1" s="1"/>
  <c r="C239" i="1"/>
  <c r="D239" i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/>
  <c r="C255" i="1"/>
  <c r="D255" i="1" s="1"/>
  <c r="C256" i="1"/>
  <c r="D256" i="1"/>
  <c r="C257" i="1"/>
  <c r="D257" i="1" s="1"/>
  <c r="C258" i="1"/>
  <c r="D258" i="1" s="1"/>
  <c r="C259" i="1"/>
  <c r="D259" i="1" s="1"/>
  <c r="C260" i="1"/>
  <c r="D260" i="1"/>
  <c r="C261" i="1"/>
  <c r="D261" i="1"/>
  <c r="C262" i="1"/>
  <c r="D262" i="1" s="1"/>
</calcChain>
</file>

<file path=xl/sharedStrings.xml><?xml version="1.0" encoding="utf-8"?>
<sst xmlns="http://schemas.openxmlformats.org/spreadsheetml/2006/main" count="20" uniqueCount="14">
  <si>
    <t>Incentive (bps)</t>
  </si>
  <si>
    <t>Lock-in Multiplier</t>
  </si>
  <si>
    <t>Baseline Turnover</t>
  </si>
  <si>
    <t>Lock-in Effect SMM</t>
  </si>
  <si>
    <t>Lock-in Effect CPR</t>
  </si>
  <si>
    <t>CPR</t>
  </si>
  <si>
    <t>HPA2Yr</t>
  </si>
  <si>
    <t>HPA 2-year multiplier</t>
  </si>
  <si>
    <t>WALA</t>
  </si>
  <si>
    <t>Seasoning Ramp</t>
  </si>
  <si>
    <t>HAP 5%</t>
  </si>
  <si>
    <t>HAP 10%</t>
  </si>
  <si>
    <t>HAP 15%</t>
  </si>
  <si>
    <t>SMM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</si>
</sst>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0.00000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Lucida Console"/>
      <family val="3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173" fontId="0" fillId="0" borderId="0" xfId="0" applyNumberFormat="1"/>
    <xf numFmtId="0" fontId="0" fillId="0" borderId="1" xfId="0" applyBorder="1"/>
    <xf numFmtId="0" fontId="0" fillId="0" borderId="0" xfId="0" applyBorder="1"/>
    <xf numFmtId="0" fontId="0" fillId="2" borderId="0" xfId="0" applyFill="1"/>
    <xf numFmtId="0" fontId="0" fillId="2" borderId="1" xfId="0" applyFill="1" applyBorder="1"/>
    <xf numFmtId="0" fontId="0" fillId="2" borderId="0" xfId="0" applyFill="1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Lock-in Effect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'Lock-in Effect'!$D$1</c:f>
              <c:strCache>
                <c:ptCount val="1"/>
                <c:pt idx="0">
                  <c:v>Lock-in Effect CPR</c:v>
                </c:pt>
              </c:strCache>
            </c:strRef>
          </c:tx>
          <c:marker>
            <c:symbol val="none"/>
          </c:marker>
          <c:cat>
            <c:numRef>
              <c:f>'Lock-in Effect'!$A$2:$A$262</c:f>
              <c:numCache>
                <c:formatCode>General</c:formatCode>
                <c:ptCount val="261"/>
                <c:pt idx="0">
                  <c:v>-260</c:v>
                </c:pt>
                <c:pt idx="1">
                  <c:v>-259</c:v>
                </c:pt>
                <c:pt idx="2">
                  <c:v>-258</c:v>
                </c:pt>
                <c:pt idx="3">
                  <c:v>-257</c:v>
                </c:pt>
                <c:pt idx="4">
                  <c:v>-256</c:v>
                </c:pt>
                <c:pt idx="5">
                  <c:v>-255</c:v>
                </c:pt>
                <c:pt idx="6">
                  <c:v>-254</c:v>
                </c:pt>
                <c:pt idx="7">
                  <c:v>-253</c:v>
                </c:pt>
                <c:pt idx="8">
                  <c:v>-252</c:v>
                </c:pt>
                <c:pt idx="9">
                  <c:v>-251</c:v>
                </c:pt>
                <c:pt idx="10">
                  <c:v>-250</c:v>
                </c:pt>
                <c:pt idx="11">
                  <c:v>-249</c:v>
                </c:pt>
                <c:pt idx="12">
                  <c:v>-248</c:v>
                </c:pt>
                <c:pt idx="13">
                  <c:v>-247</c:v>
                </c:pt>
                <c:pt idx="14">
                  <c:v>-246</c:v>
                </c:pt>
                <c:pt idx="15">
                  <c:v>-245</c:v>
                </c:pt>
                <c:pt idx="16">
                  <c:v>-244</c:v>
                </c:pt>
                <c:pt idx="17">
                  <c:v>-243</c:v>
                </c:pt>
                <c:pt idx="18">
                  <c:v>-242</c:v>
                </c:pt>
                <c:pt idx="19">
                  <c:v>-241</c:v>
                </c:pt>
                <c:pt idx="20">
                  <c:v>-240</c:v>
                </c:pt>
                <c:pt idx="21">
                  <c:v>-239</c:v>
                </c:pt>
                <c:pt idx="22">
                  <c:v>-238</c:v>
                </c:pt>
                <c:pt idx="23">
                  <c:v>-237</c:v>
                </c:pt>
                <c:pt idx="24">
                  <c:v>-236</c:v>
                </c:pt>
                <c:pt idx="25">
                  <c:v>-235</c:v>
                </c:pt>
                <c:pt idx="26">
                  <c:v>-234</c:v>
                </c:pt>
                <c:pt idx="27">
                  <c:v>-233</c:v>
                </c:pt>
                <c:pt idx="28">
                  <c:v>-232</c:v>
                </c:pt>
                <c:pt idx="29">
                  <c:v>-231</c:v>
                </c:pt>
                <c:pt idx="30">
                  <c:v>-230</c:v>
                </c:pt>
                <c:pt idx="31">
                  <c:v>-229</c:v>
                </c:pt>
                <c:pt idx="32">
                  <c:v>-228</c:v>
                </c:pt>
                <c:pt idx="33">
                  <c:v>-227</c:v>
                </c:pt>
                <c:pt idx="34">
                  <c:v>-226</c:v>
                </c:pt>
                <c:pt idx="35">
                  <c:v>-225</c:v>
                </c:pt>
                <c:pt idx="36">
                  <c:v>-224</c:v>
                </c:pt>
                <c:pt idx="37">
                  <c:v>-223</c:v>
                </c:pt>
                <c:pt idx="38">
                  <c:v>-222</c:v>
                </c:pt>
                <c:pt idx="39">
                  <c:v>-221</c:v>
                </c:pt>
                <c:pt idx="40">
                  <c:v>-220</c:v>
                </c:pt>
                <c:pt idx="41">
                  <c:v>-219</c:v>
                </c:pt>
                <c:pt idx="42">
                  <c:v>-218</c:v>
                </c:pt>
                <c:pt idx="43">
                  <c:v>-217</c:v>
                </c:pt>
                <c:pt idx="44">
                  <c:v>-216</c:v>
                </c:pt>
                <c:pt idx="45">
                  <c:v>-215</c:v>
                </c:pt>
                <c:pt idx="46">
                  <c:v>-214</c:v>
                </c:pt>
                <c:pt idx="47">
                  <c:v>-213</c:v>
                </c:pt>
                <c:pt idx="48">
                  <c:v>-212</c:v>
                </c:pt>
                <c:pt idx="49">
                  <c:v>-211</c:v>
                </c:pt>
                <c:pt idx="50">
                  <c:v>-210</c:v>
                </c:pt>
                <c:pt idx="51">
                  <c:v>-209</c:v>
                </c:pt>
                <c:pt idx="52">
                  <c:v>-208</c:v>
                </c:pt>
                <c:pt idx="53">
                  <c:v>-207</c:v>
                </c:pt>
                <c:pt idx="54">
                  <c:v>-206</c:v>
                </c:pt>
                <c:pt idx="55">
                  <c:v>-205</c:v>
                </c:pt>
                <c:pt idx="56">
                  <c:v>-204</c:v>
                </c:pt>
                <c:pt idx="57">
                  <c:v>-203</c:v>
                </c:pt>
                <c:pt idx="58">
                  <c:v>-202</c:v>
                </c:pt>
                <c:pt idx="59">
                  <c:v>-201</c:v>
                </c:pt>
                <c:pt idx="60">
                  <c:v>-200</c:v>
                </c:pt>
                <c:pt idx="61">
                  <c:v>-199</c:v>
                </c:pt>
                <c:pt idx="62">
                  <c:v>-198</c:v>
                </c:pt>
                <c:pt idx="63">
                  <c:v>-197</c:v>
                </c:pt>
                <c:pt idx="64">
                  <c:v>-196</c:v>
                </c:pt>
                <c:pt idx="65">
                  <c:v>-195</c:v>
                </c:pt>
                <c:pt idx="66">
                  <c:v>-194</c:v>
                </c:pt>
                <c:pt idx="67">
                  <c:v>-193</c:v>
                </c:pt>
                <c:pt idx="68">
                  <c:v>-192</c:v>
                </c:pt>
                <c:pt idx="69">
                  <c:v>-191</c:v>
                </c:pt>
                <c:pt idx="70">
                  <c:v>-190</c:v>
                </c:pt>
                <c:pt idx="71">
                  <c:v>-189</c:v>
                </c:pt>
                <c:pt idx="72">
                  <c:v>-188</c:v>
                </c:pt>
                <c:pt idx="73">
                  <c:v>-187</c:v>
                </c:pt>
                <c:pt idx="74">
                  <c:v>-186</c:v>
                </c:pt>
                <c:pt idx="75">
                  <c:v>-185</c:v>
                </c:pt>
                <c:pt idx="76">
                  <c:v>-184</c:v>
                </c:pt>
                <c:pt idx="77">
                  <c:v>-183</c:v>
                </c:pt>
                <c:pt idx="78">
                  <c:v>-182</c:v>
                </c:pt>
                <c:pt idx="79">
                  <c:v>-181</c:v>
                </c:pt>
                <c:pt idx="80">
                  <c:v>-180</c:v>
                </c:pt>
                <c:pt idx="81">
                  <c:v>-179</c:v>
                </c:pt>
                <c:pt idx="82">
                  <c:v>-178</c:v>
                </c:pt>
                <c:pt idx="83">
                  <c:v>-177</c:v>
                </c:pt>
                <c:pt idx="84">
                  <c:v>-176</c:v>
                </c:pt>
                <c:pt idx="85">
                  <c:v>-175</c:v>
                </c:pt>
                <c:pt idx="86">
                  <c:v>-174</c:v>
                </c:pt>
                <c:pt idx="87">
                  <c:v>-173</c:v>
                </c:pt>
                <c:pt idx="88">
                  <c:v>-172</c:v>
                </c:pt>
                <c:pt idx="89">
                  <c:v>-171</c:v>
                </c:pt>
                <c:pt idx="90">
                  <c:v>-170</c:v>
                </c:pt>
                <c:pt idx="91">
                  <c:v>-169</c:v>
                </c:pt>
                <c:pt idx="92">
                  <c:v>-168</c:v>
                </c:pt>
                <c:pt idx="93">
                  <c:v>-167</c:v>
                </c:pt>
                <c:pt idx="94">
                  <c:v>-166</c:v>
                </c:pt>
                <c:pt idx="95">
                  <c:v>-165</c:v>
                </c:pt>
                <c:pt idx="96">
                  <c:v>-164</c:v>
                </c:pt>
                <c:pt idx="97">
                  <c:v>-163</c:v>
                </c:pt>
                <c:pt idx="98">
                  <c:v>-162</c:v>
                </c:pt>
                <c:pt idx="99">
                  <c:v>-161</c:v>
                </c:pt>
                <c:pt idx="100">
                  <c:v>-160</c:v>
                </c:pt>
                <c:pt idx="101">
                  <c:v>-159</c:v>
                </c:pt>
                <c:pt idx="102">
                  <c:v>-158</c:v>
                </c:pt>
                <c:pt idx="103">
                  <c:v>-157</c:v>
                </c:pt>
                <c:pt idx="104">
                  <c:v>-156</c:v>
                </c:pt>
                <c:pt idx="105">
                  <c:v>-155</c:v>
                </c:pt>
                <c:pt idx="106">
                  <c:v>-154</c:v>
                </c:pt>
                <c:pt idx="107">
                  <c:v>-153</c:v>
                </c:pt>
                <c:pt idx="108">
                  <c:v>-152</c:v>
                </c:pt>
                <c:pt idx="109">
                  <c:v>-151</c:v>
                </c:pt>
                <c:pt idx="110">
                  <c:v>-150</c:v>
                </c:pt>
                <c:pt idx="111">
                  <c:v>-149</c:v>
                </c:pt>
                <c:pt idx="112">
                  <c:v>-148</c:v>
                </c:pt>
                <c:pt idx="113">
                  <c:v>-147</c:v>
                </c:pt>
                <c:pt idx="114">
                  <c:v>-146</c:v>
                </c:pt>
                <c:pt idx="115">
                  <c:v>-145</c:v>
                </c:pt>
                <c:pt idx="116">
                  <c:v>-144</c:v>
                </c:pt>
                <c:pt idx="117">
                  <c:v>-143</c:v>
                </c:pt>
                <c:pt idx="118">
                  <c:v>-142</c:v>
                </c:pt>
                <c:pt idx="119">
                  <c:v>-141</c:v>
                </c:pt>
                <c:pt idx="120">
                  <c:v>-140</c:v>
                </c:pt>
                <c:pt idx="121">
                  <c:v>-139</c:v>
                </c:pt>
                <c:pt idx="122">
                  <c:v>-138</c:v>
                </c:pt>
                <c:pt idx="123">
                  <c:v>-137</c:v>
                </c:pt>
                <c:pt idx="124">
                  <c:v>-136</c:v>
                </c:pt>
                <c:pt idx="125">
                  <c:v>-135</c:v>
                </c:pt>
                <c:pt idx="126">
                  <c:v>-134</c:v>
                </c:pt>
                <c:pt idx="127">
                  <c:v>-133</c:v>
                </c:pt>
                <c:pt idx="128">
                  <c:v>-132</c:v>
                </c:pt>
                <c:pt idx="129">
                  <c:v>-131</c:v>
                </c:pt>
                <c:pt idx="130">
                  <c:v>-130</c:v>
                </c:pt>
                <c:pt idx="131">
                  <c:v>-129</c:v>
                </c:pt>
                <c:pt idx="132">
                  <c:v>-128</c:v>
                </c:pt>
                <c:pt idx="133">
                  <c:v>-127</c:v>
                </c:pt>
                <c:pt idx="134">
                  <c:v>-126</c:v>
                </c:pt>
                <c:pt idx="135">
                  <c:v>-125</c:v>
                </c:pt>
                <c:pt idx="136">
                  <c:v>-124</c:v>
                </c:pt>
                <c:pt idx="137">
                  <c:v>-123</c:v>
                </c:pt>
                <c:pt idx="138">
                  <c:v>-122</c:v>
                </c:pt>
                <c:pt idx="139">
                  <c:v>-121</c:v>
                </c:pt>
                <c:pt idx="140">
                  <c:v>-120</c:v>
                </c:pt>
                <c:pt idx="141">
                  <c:v>-119</c:v>
                </c:pt>
                <c:pt idx="142">
                  <c:v>-118</c:v>
                </c:pt>
                <c:pt idx="143">
                  <c:v>-117</c:v>
                </c:pt>
                <c:pt idx="144">
                  <c:v>-116</c:v>
                </c:pt>
                <c:pt idx="145">
                  <c:v>-115</c:v>
                </c:pt>
                <c:pt idx="146">
                  <c:v>-114</c:v>
                </c:pt>
                <c:pt idx="147">
                  <c:v>-113</c:v>
                </c:pt>
                <c:pt idx="148">
                  <c:v>-112</c:v>
                </c:pt>
                <c:pt idx="149">
                  <c:v>-111</c:v>
                </c:pt>
                <c:pt idx="150">
                  <c:v>-110</c:v>
                </c:pt>
                <c:pt idx="151">
                  <c:v>-109</c:v>
                </c:pt>
                <c:pt idx="152">
                  <c:v>-108</c:v>
                </c:pt>
                <c:pt idx="153">
                  <c:v>-107</c:v>
                </c:pt>
                <c:pt idx="154">
                  <c:v>-106</c:v>
                </c:pt>
                <c:pt idx="155">
                  <c:v>-105</c:v>
                </c:pt>
                <c:pt idx="156">
                  <c:v>-104</c:v>
                </c:pt>
                <c:pt idx="157">
                  <c:v>-103</c:v>
                </c:pt>
                <c:pt idx="158">
                  <c:v>-102</c:v>
                </c:pt>
                <c:pt idx="159">
                  <c:v>-101</c:v>
                </c:pt>
                <c:pt idx="160">
                  <c:v>-100</c:v>
                </c:pt>
                <c:pt idx="161">
                  <c:v>-99</c:v>
                </c:pt>
                <c:pt idx="162">
                  <c:v>-98</c:v>
                </c:pt>
                <c:pt idx="163">
                  <c:v>-97</c:v>
                </c:pt>
                <c:pt idx="164">
                  <c:v>-96</c:v>
                </c:pt>
                <c:pt idx="165">
                  <c:v>-95</c:v>
                </c:pt>
                <c:pt idx="166">
                  <c:v>-94</c:v>
                </c:pt>
                <c:pt idx="167">
                  <c:v>-93</c:v>
                </c:pt>
                <c:pt idx="168">
                  <c:v>-92</c:v>
                </c:pt>
                <c:pt idx="169">
                  <c:v>-91</c:v>
                </c:pt>
                <c:pt idx="170">
                  <c:v>-90</c:v>
                </c:pt>
                <c:pt idx="171">
                  <c:v>-89</c:v>
                </c:pt>
                <c:pt idx="172">
                  <c:v>-88</c:v>
                </c:pt>
                <c:pt idx="173">
                  <c:v>-87</c:v>
                </c:pt>
                <c:pt idx="174">
                  <c:v>-86</c:v>
                </c:pt>
                <c:pt idx="175">
                  <c:v>-85</c:v>
                </c:pt>
                <c:pt idx="176">
                  <c:v>-84</c:v>
                </c:pt>
                <c:pt idx="177">
                  <c:v>-83</c:v>
                </c:pt>
                <c:pt idx="178">
                  <c:v>-82</c:v>
                </c:pt>
                <c:pt idx="179">
                  <c:v>-81</c:v>
                </c:pt>
                <c:pt idx="180">
                  <c:v>-80</c:v>
                </c:pt>
                <c:pt idx="181">
                  <c:v>-79</c:v>
                </c:pt>
                <c:pt idx="182">
                  <c:v>-78</c:v>
                </c:pt>
                <c:pt idx="183">
                  <c:v>-77</c:v>
                </c:pt>
                <c:pt idx="184">
                  <c:v>-76</c:v>
                </c:pt>
                <c:pt idx="185">
                  <c:v>-75</c:v>
                </c:pt>
                <c:pt idx="186">
                  <c:v>-74</c:v>
                </c:pt>
                <c:pt idx="187">
                  <c:v>-73</c:v>
                </c:pt>
                <c:pt idx="188">
                  <c:v>-72</c:v>
                </c:pt>
                <c:pt idx="189">
                  <c:v>-71</c:v>
                </c:pt>
                <c:pt idx="190">
                  <c:v>-70</c:v>
                </c:pt>
                <c:pt idx="191">
                  <c:v>-69</c:v>
                </c:pt>
                <c:pt idx="192">
                  <c:v>-68</c:v>
                </c:pt>
                <c:pt idx="193">
                  <c:v>-67</c:v>
                </c:pt>
                <c:pt idx="194">
                  <c:v>-66</c:v>
                </c:pt>
                <c:pt idx="195">
                  <c:v>-65</c:v>
                </c:pt>
                <c:pt idx="196">
                  <c:v>-64</c:v>
                </c:pt>
                <c:pt idx="197">
                  <c:v>-63</c:v>
                </c:pt>
                <c:pt idx="198">
                  <c:v>-62</c:v>
                </c:pt>
                <c:pt idx="199">
                  <c:v>-61</c:v>
                </c:pt>
                <c:pt idx="200">
                  <c:v>-60</c:v>
                </c:pt>
                <c:pt idx="201">
                  <c:v>-59</c:v>
                </c:pt>
                <c:pt idx="202">
                  <c:v>-58</c:v>
                </c:pt>
                <c:pt idx="203">
                  <c:v>-57</c:v>
                </c:pt>
                <c:pt idx="204">
                  <c:v>-56</c:v>
                </c:pt>
                <c:pt idx="205">
                  <c:v>-55</c:v>
                </c:pt>
                <c:pt idx="206">
                  <c:v>-54</c:v>
                </c:pt>
                <c:pt idx="207">
                  <c:v>-53</c:v>
                </c:pt>
                <c:pt idx="208">
                  <c:v>-52</c:v>
                </c:pt>
                <c:pt idx="209">
                  <c:v>-51</c:v>
                </c:pt>
                <c:pt idx="210">
                  <c:v>-50</c:v>
                </c:pt>
                <c:pt idx="211">
                  <c:v>-49</c:v>
                </c:pt>
                <c:pt idx="212">
                  <c:v>-48</c:v>
                </c:pt>
                <c:pt idx="213">
                  <c:v>-47</c:v>
                </c:pt>
                <c:pt idx="214">
                  <c:v>-46</c:v>
                </c:pt>
                <c:pt idx="215">
                  <c:v>-45</c:v>
                </c:pt>
                <c:pt idx="216">
                  <c:v>-44</c:v>
                </c:pt>
                <c:pt idx="217">
                  <c:v>-43</c:v>
                </c:pt>
                <c:pt idx="218">
                  <c:v>-42</c:v>
                </c:pt>
                <c:pt idx="219">
                  <c:v>-41</c:v>
                </c:pt>
                <c:pt idx="220">
                  <c:v>-40</c:v>
                </c:pt>
                <c:pt idx="221">
                  <c:v>-39</c:v>
                </c:pt>
                <c:pt idx="222">
                  <c:v>-38</c:v>
                </c:pt>
                <c:pt idx="223">
                  <c:v>-37</c:v>
                </c:pt>
                <c:pt idx="224">
                  <c:v>-36</c:v>
                </c:pt>
                <c:pt idx="225">
                  <c:v>-35</c:v>
                </c:pt>
                <c:pt idx="226">
                  <c:v>-34</c:v>
                </c:pt>
                <c:pt idx="227">
                  <c:v>-33</c:v>
                </c:pt>
                <c:pt idx="228">
                  <c:v>-32</c:v>
                </c:pt>
                <c:pt idx="229">
                  <c:v>-31</c:v>
                </c:pt>
                <c:pt idx="230">
                  <c:v>-30</c:v>
                </c:pt>
                <c:pt idx="231">
                  <c:v>-29</c:v>
                </c:pt>
                <c:pt idx="232">
                  <c:v>-28</c:v>
                </c:pt>
                <c:pt idx="233">
                  <c:v>-27</c:v>
                </c:pt>
                <c:pt idx="234">
                  <c:v>-26</c:v>
                </c:pt>
                <c:pt idx="235">
                  <c:v>-25</c:v>
                </c:pt>
                <c:pt idx="236">
                  <c:v>-24</c:v>
                </c:pt>
                <c:pt idx="237">
                  <c:v>-23</c:v>
                </c:pt>
                <c:pt idx="238">
                  <c:v>-22</c:v>
                </c:pt>
                <c:pt idx="239">
                  <c:v>-21</c:v>
                </c:pt>
                <c:pt idx="240">
                  <c:v>-20</c:v>
                </c:pt>
                <c:pt idx="241">
                  <c:v>-19</c:v>
                </c:pt>
                <c:pt idx="242">
                  <c:v>-18</c:v>
                </c:pt>
                <c:pt idx="243">
                  <c:v>-17</c:v>
                </c:pt>
                <c:pt idx="244">
                  <c:v>-16</c:v>
                </c:pt>
                <c:pt idx="245">
                  <c:v>-15</c:v>
                </c:pt>
                <c:pt idx="246">
                  <c:v>-14</c:v>
                </c:pt>
                <c:pt idx="247">
                  <c:v>-13</c:v>
                </c:pt>
                <c:pt idx="248">
                  <c:v>-12</c:v>
                </c:pt>
                <c:pt idx="249">
                  <c:v>-11</c:v>
                </c:pt>
                <c:pt idx="250">
                  <c:v>-10</c:v>
                </c:pt>
                <c:pt idx="251">
                  <c:v>-9</c:v>
                </c:pt>
                <c:pt idx="252">
                  <c:v>-8</c:v>
                </c:pt>
                <c:pt idx="253">
                  <c:v>-7</c:v>
                </c:pt>
                <c:pt idx="254">
                  <c:v>-6</c:v>
                </c:pt>
                <c:pt idx="255">
                  <c:v>-5</c:v>
                </c:pt>
                <c:pt idx="256">
                  <c:v>-4</c:v>
                </c:pt>
                <c:pt idx="257">
                  <c:v>-3</c:v>
                </c:pt>
                <c:pt idx="258">
                  <c:v>-2</c:v>
                </c:pt>
                <c:pt idx="259">
                  <c:v>-1</c:v>
                </c:pt>
                <c:pt idx="260">
                  <c:v>0</c:v>
                </c:pt>
              </c:numCache>
            </c:numRef>
          </c:cat>
          <c:val>
            <c:numRef>
              <c:f>'Lock-in Effect'!$D$2:$D$262</c:f>
              <c:numCache>
                <c:formatCode>General</c:formatCode>
                <c:ptCount val="261"/>
                <c:pt idx="0">
                  <c:v>3.8887461980479543</c:v>
                </c:pt>
                <c:pt idx="1">
                  <c:v>3.8888293099940241</c:v>
                </c:pt>
                <c:pt idx="2">
                  <c:v>3.8889147305366412</c:v>
                </c:pt>
                <c:pt idx="3">
                  <c:v>3.8890030368350592</c:v>
                </c:pt>
                <c:pt idx="4">
                  <c:v>3.8890936517177344</c:v>
                </c:pt>
                <c:pt idx="5">
                  <c:v>3.8891865751784827</c:v>
                </c:pt>
                <c:pt idx="6">
                  <c:v>3.889282384374726</c:v>
                </c:pt>
                <c:pt idx="7">
                  <c:v>3.8893805021355532</c:v>
                </c:pt>
                <c:pt idx="8">
                  <c:v>3.8894815056170318</c:v>
                </c:pt>
                <c:pt idx="9">
                  <c:v>3.8895853948108239</c:v>
                </c:pt>
                <c:pt idx="10">
                  <c:v>3.8896915925468289</c:v>
                </c:pt>
                <c:pt idx="11">
                  <c:v>3.8898006759788717</c:v>
                </c:pt>
                <c:pt idx="12">
                  <c:v>3.8899126450981147</c:v>
                </c:pt>
                <c:pt idx="13">
                  <c:v>3.8900274998949991</c:v>
                </c:pt>
                <c:pt idx="14">
                  <c:v>3.8901452403602765</c:v>
                </c:pt>
                <c:pt idx="15">
                  <c:v>3.8902658664841661</c:v>
                </c:pt>
                <c:pt idx="16">
                  <c:v>3.8903893782566645</c:v>
                </c:pt>
                <c:pt idx="17">
                  <c:v>3.8905157756675468</c:v>
                </c:pt>
                <c:pt idx="18">
                  <c:v>3.8906456358626218</c:v>
                </c:pt>
                <c:pt idx="19">
                  <c:v>3.8907783816734542</c:v>
                </c:pt>
                <c:pt idx="20">
                  <c:v>3.8909140130892417</c:v>
                </c:pt>
                <c:pt idx="21">
                  <c:v>3.891052530098793</c:v>
                </c:pt>
                <c:pt idx="22">
                  <c:v>3.8911950869966905</c:v>
                </c:pt>
                <c:pt idx="23">
                  <c:v>3.8913399523097136</c:v>
                </c:pt>
                <c:pt idx="24">
                  <c:v>3.8914882803311679</c:v>
                </c:pt>
                <c:pt idx="25">
                  <c:v>3.8916400710464427</c:v>
                </c:pt>
                <c:pt idx="26">
                  <c:v>3.8917953244404391</c:v>
                </c:pt>
                <c:pt idx="27">
                  <c:v>3.8919540404976805</c:v>
                </c:pt>
                <c:pt idx="28">
                  <c:v>3.8921156420546388</c:v>
                </c:pt>
                <c:pt idx="29">
                  <c:v>3.8922807062448772</c:v>
                </c:pt>
                <c:pt idx="30">
                  <c:v>3.892449810198384</c:v>
                </c:pt>
                <c:pt idx="31">
                  <c:v>3.8926217996050116</c:v>
                </c:pt>
                <c:pt idx="32">
                  <c:v>3.8927978287389919</c:v>
                </c:pt>
                <c:pt idx="33">
                  <c:v>3.8929767432939077</c:v>
                </c:pt>
                <c:pt idx="34">
                  <c:v>3.8931596975390614</c:v>
                </c:pt>
                <c:pt idx="35">
                  <c:v>3.8933466914533255</c:v>
                </c:pt>
                <c:pt idx="36">
                  <c:v>3.8935365707348901</c:v>
                </c:pt>
                <c:pt idx="37">
                  <c:v>3.8937310667853553</c:v>
                </c:pt>
                <c:pt idx="38">
                  <c:v>3.8939284481650405</c:v>
                </c:pt>
                <c:pt idx="39">
                  <c:v>3.8941304462682513</c:v>
                </c:pt>
                <c:pt idx="40">
                  <c:v>3.8943359067968197</c:v>
                </c:pt>
                <c:pt idx="41">
                  <c:v>3.8946094687857369</c:v>
                </c:pt>
                <c:pt idx="42">
                  <c:v>3.895212572336948</c:v>
                </c:pt>
                <c:pt idx="43">
                  <c:v>3.8961642569126931</c:v>
                </c:pt>
                <c:pt idx="44">
                  <c:v>3.8974575875977635</c:v>
                </c:pt>
                <c:pt idx="45">
                  <c:v>3.8990856264328966</c:v>
                </c:pt>
                <c:pt idx="46">
                  <c:v>3.9010402784413256</c:v>
                </c:pt>
                <c:pt idx="47">
                  <c:v>3.903314600317187</c:v>
                </c:pt>
                <c:pt idx="48">
                  <c:v>3.9059010693171858</c:v>
                </c:pt>
                <c:pt idx="49">
                  <c:v>3.9087921606042797</c:v>
                </c:pt>
                <c:pt idx="50">
                  <c:v>3.9119797704305181</c:v>
                </c:pt>
                <c:pt idx="51">
                  <c:v>3.9154569475071455</c:v>
                </c:pt>
                <c:pt idx="52">
                  <c:v>3.9192167390255883</c:v>
                </c:pt>
                <c:pt idx="53">
                  <c:v>3.9232510368933271</c:v>
                </c:pt>
                <c:pt idx="54">
                  <c:v>3.9275523090148479</c:v>
                </c:pt>
                <c:pt idx="55">
                  <c:v>3.9321130224467482</c:v>
                </c:pt>
                <c:pt idx="56">
                  <c:v>3.9369267973889066</c:v>
                </c:pt>
                <c:pt idx="57">
                  <c:v>3.9419843689758705</c:v>
                </c:pt>
                <c:pt idx="58">
                  <c:v>3.9472799334439479</c:v>
                </c:pt>
                <c:pt idx="59">
                  <c:v>3.9528048024781715</c:v>
                </c:pt>
                <c:pt idx="60">
                  <c:v>3.9585525951726708</c:v>
                </c:pt>
                <c:pt idx="61">
                  <c:v>3.9645146235660955</c:v>
                </c:pt>
                <c:pt idx="62">
                  <c:v>3.9706845071771912</c:v>
                </c:pt>
                <c:pt idx="63">
                  <c:v>3.9770541357150968</c:v>
                </c:pt>
                <c:pt idx="64">
                  <c:v>3.9836165529667289</c:v>
                </c:pt>
                <c:pt idx="65">
                  <c:v>3.9903636501482542</c:v>
                </c:pt>
                <c:pt idx="66">
                  <c:v>3.9972884726875546</c:v>
                </c:pt>
                <c:pt idx="67">
                  <c:v>4.004382913853366</c:v>
                </c:pt>
                <c:pt idx="68">
                  <c:v>4.0116400212301677</c:v>
                </c:pt>
                <c:pt idx="69">
                  <c:v>4.0190528435400052</c:v>
                </c:pt>
                <c:pt idx="70">
                  <c:v>4.0266127015250337</c:v>
                </c:pt>
                <c:pt idx="71">
                  <c:v>4.0343126468751489</c:v>
                </c:pt>
                <c:pt idx="72">
                  <c:v>4.0421457327333705</c:v>
                </c:pt>
                <c:pt idx="73">
                  <c:v>4.0501038612298146</c:v>
                </c:pt>
                <c:pt idx="74">
                  <c:v>4.0581800889474717</c:v>
                </c:pt>
                <c:pt idx="75">
                  <c:v>4.0663663218099995</c:v>
                </c:pt>
                <c:pt idx="76">
                  <c:v>4.0746556201858741</c:v>
                </c:pt>
                <c:pt idx="77">
                  <c:v>4.0830404702191236</c:v>
                </c:pt>
                <c:pt idx="78">
                  <c:v>4.0915127841271159</c:v>
                </c:pt>
                <c:pt idx="79">
                  <c:v>4.1000662045153513</c:v>
                </c:pt>
                <c:pt idx="80">
                  <c:v>4.1086926479955928</c:v>
                </c:pt>
                <c:pt idx="81">
                  <c:v>4.1173846095816868</c:v>
                </c:pt>
                <c:pt idx="82">
                  <c:v>4.1261345866429044</c:v>
                </c:pt>
                <c:pt idx="83">
                  <c:v>4.1349356547591647</c:v>
                </c:pt>
                <c:pt idx="84">
                  <c:v>4.1437803159920739</c:v>
                </c:pt>
                <c:pt idx="85">
                  <c:v>4.152660499159766</c:v>
                </c:pt>
                <c:pt idx="86">
                  <c:v>4.1615692871058485</c:v>
                </c:pt>
                <c:pt idx="87">
                  <c:v>4.1704986137691913</c:v>
                </c:pt>
                <c:pt idx="88">
                  <c:v>4.1794421425247581</c:v>
                </c:pt>
                <c:pt idx="89">
                  <c:v>4.1883918123557624</c:v>
                </c:pt>
                <c:pt idx="90">
                  <c:v>4.1973401404698745</c:v>
                </c:pt>
                <c:pt idx="91">
                  <c:v>4.206280222054593</c:v>
                </c:pt>
                <c:pt idx="92">
                  <c:v>4.2152080315052576</c:v>
                </c:pt>
                <c:pt idx="93">
                  <c:v>4.2241770765844127</c:v>
                </c:pt>
                <c:pt idx="94">
                  <c:v>4.2332092068006926</c:v>
                </c:pt>
                <c:pt idx="95">
                  <c:v>4.2423072817537104</c:v>
                </c:pt>
                <c:pt idx="96">
                  <c:v>4.2514741599196659</c:v>
                </c:pt>
                <c:pt idx="97">
                  <c:v>4.2607132737508717</c:v>
                </c:pt>
                <c:pt idx="98">
                  <c:v>4.2700274792665249</c:v>
                </c:pt>
                <c:pt idx="99">
                  <c:v>4.279420206316864</c:v>
                </c:pt>
                <c:pt idx="100">
                  <c:v>4.2888937334118804</c:v>
                </c:pt>
                <c:pt idx="101">
                  <c:v>4.29845263768539</c:v>
                </c:pt>
                <c:pt idx="102">
                  <c:v>4.3080986200960787</c:v>
                </c:pt>
                <c:pt idx="103">
                  <c:v>4.3178356799663646</c:v>
                </c:pt>
                <c:pt idx="104">
                  <c:v>4.3276660906352742</c:v>
                </c:pt>
                <c:pt idx="105">
                  <c:v>4.3375938484146559</c:v>
                </c:pt>
                <c:pt idx="106">
                  <c:v>4.3476217985400911</c:v>
                </c:pt>
                <c:pt idx="107">
                  <c:v>4.3577533594433726</c:v>
                </c:pt>
                <c:pt idx="108">
                  <c:v>4.3679907988589228</c:v>
                </c:pt>
                <c:pt idx="109">
                  <c:v>4.3783375322429707</c:v>
                </c:pt>
                <c:pt idx="110">
                  <c:v>4.3887969733470307</c:v>
                </c:pt>
                <c:pt idx="111">
                  <c:v>4.3993719598265031</c:v>
                </c:pt>
                <c:pt idx="112">
                  <c:v>4.4100659020899773</c:v>
                </c:pt>
                <c:pt idx="113">
                  <c:v>4.4208816344960873</c:v>
                </c:pt>
                <c:pt idx="114">
                  <c:v>4.4318219897913735</c:v>
                </c:pt>
                <c:pt idx="115">
                  <c:v>4.4428909473070881</c:v>
                </c:pt>
                <c:pt idx="116">
                  <c:v>4.4540907620399643</c:v>
                </c:pt>
                <c:pt idx="117">
                  <c:v>4.4654248354942911</c:v>
                </c:pt>
                <c:pt idx="118">
                  <c:v>4.4768959932372958</c:v>
                </c:pt>
                <c:pt idx="119">
                  <c:v>4.4885082067665056</c:v>
                </c:pt>
                <c:pt idx="120">
                  <c:v>4.5002631500284611</c:v>
                </c:pt>
                <c:pt idx="121">
                  <c:v>4.512165364279042</c:v>
                </c:pt>
                <c:pt idx="122">
                  <c:v>4.5242165197262096</c:v>
                </c:pt>
                <c:pt idx="123">
                  <c:v>4.5364211531477068</c:v>
                </c:pt>
                <c:pt idx="124">
                  <c:v>4.548780930843499</c:v>
                </c:pt>
                <c:pt idx="125">
                  <c:v>4.5613003849229505</c:v>
                </c:pt>
                <c:pt idx="126">
                  <c:v>4.5739811776001833</c:v>
                </c:pt>
                <c:pt idx="127">
                  <c:v>4.5868272627960449</c:v>
                </c:pt>
                <c:pt idx="128">
                  <c:v>4.5998414451716263</c:v>
                </c:pt>
                <c:pt idx="129">
                  <c:v>4.6130265271482784</c:v>
                </c:pt>
                <c:pt idx="130">
                  <c:v>4.626386455069909</c:v>
                </c:pt>
                <c:pt idx="131">
                  <c:v>4.63992345326022</c:v>
                </c:pt>
                <c:pt idx="132">
                  <c:v>4.6536408898610322</c:v>
                </c:pt>
                <c:pt idx="133">
                  <c:v>4.6675415573941059</c:v>
                </c:pt>
                <c:pt idx="134">
                  <c:v>4.6816288186899424</c:v>
                </c:pt>
                <c:pt idx="135">
                  <c:v>4.6959054610012156</c:v>
                </c:pt>
                <c:pt idx="136">
                  <c:v>4.710374841623322</c:v>
                </c:pt>
                <c:pt idx="137">
                  <c:v>4.7250397423165946</c:v>
                </c:pt>
                <c:pt idx="138">
                  <c:v>4.7399035146098782</c:v>
                </c:pt>
                <c:pt idx="139">
                  <c:v>4.7549689345405044</c:v>
                </c:pt>
                <c:pt idx="140">
                  <c:v>4.7702393476326987</c:v>
                </c:pt>
                <c:pt idx="141">
                  <c:v>4.7857169517359299</c:v>
                </c:pt>
                <c:pt idx="142">
                  <c:v>4.8013381459163558</c:v>
                </c:pt>
                <c:pt idx="143">
                  <c:v>4.8170571003240958</c:v>
                </c:pt>
                <c:pt idx="144">
                  <c:v>4.8328760576913492</c:v>
                </c:pt>
                <c:pt idx="145">
                  <c:v>4.8487978309493247</c:v>
                </c:pt>
                <c:pt idx="146">
                  <c:v>4.8648252309737465</c:v>
                </c:pt>
                <c:pt idx="147">
                  <c:v>4.8809599231521394</c:v>
                </c:pt>
                <c:pt idx="148">
                  <c:v>4.8972047147000204</c:v>
                </c:pt>
                <c:pt idx="149">
                  <c:v>4.9135624106971143</c:v>
                </c:pt>
                <c:pt idx="150">
                  <c:v>4.9300352426250527</c:v>
                </c:pt>
                <c:pt idx="151">
                  <c:v>4.9466254401334231</c:v>
                </c:pt>
                <c:pt idx="152">
                  <c:v>4.9633358022627361</c:v>
                </c:pt>
                <c:pt idx="153">
                  <c:v>4.9801685546436936</c:v>
                </c:pt>
                <c:pt idx="154">
                  <c:v>4.9971259209935397</c:v>
                </c:pt>
                <c:pt idx="155">
                  <c:v>5.0142112650246595</c:v>
                </c:pt>
                <c:pt idx="156">
                  <c:v>5.0314262351031758</c:v>
                </c:pt>
                <c:pt idx="157">
                  <c:v>5.0487736195282018</c:v>
                </c:pt>
                <c:pt idx="158">
                  <c:v>5.0662550628219893</c:v>
                </c:pt>
                <c:pt idx="159">
                  <c:v>5.0838744901697481</c:v>
                </c:pt>
                <c:pt idx="160">
                  <c:v>5.1016335415496545</c:v>
                </c:pt>
                <c:pt idx="161">
                  <c:v>5.1195344255910991</c:v>
                </c:pt>
                <c:pt idx="162">
                  <c:v>5.1375799190543354</c:v>
                </c:pt>
                <c:pt idx="163">
                  <c:v>5.1557722259224619</c:v>
                </c:pt>
                <c:pt idx="164">
                  <c:v>5.1741141180410395</c:v>
                </c:pt>
                <c:pt idx="165">
                  <c:v>5.1926077946053422</c:v>
                </c:pt>
                <c:pt idx="166">
                  <c:v>5.2112554525166939</c:v>
                </c:pt>
                <c:pt idx="167">
                  <c:v>5.2300598561268341</c:v>
                </c:pt>
                <c:pt idx="168">
                  <c:v>5.249023767008099</c:v>
                </c:pt>
                <c:pt idx="169">
                  <c:v>5.2681488047731317</c:v>
                </c:pt>
                <c:pt idx="170">
                  <c:v>5.2874382954053445</c:v>
                </c:pt>
                <c:pt idx="171">
                  <c:v>5.3068938534946541</c:v>
                </c:pt>
                <c:pt idx="172">
                  <c:v>5.3265182300395892</c:v>
                </c:pt>
                <c:pt idx="173">
                  <c:v>5.3463136039159309</c:v>
                </c:pt>
                <c:pt idx="174">
                  <c:v>5.3662827204370096</c:v>
                </c:pt>
                <c:pt idx="175">
                  <c:v>5.3864277529270144</c:v>
                </c:pt>
                <c:pt idx="176">
                  <c:v>5.4067514408434043</c:v>
                </c:pt>
                <c:pt idx="177">
                  <c:v>5.4272559517900554</c:v>
                </c:pt>
                <c:pt idx="178">
                  <c:v>5.4479434506162328</c:v>
                </c:pt>
                <c:pt idx="179">
                  <c:v>5.4688166678399046</c:v>
                </c:pt>
                <c:pt idx="180">
                  <c:v>5.489877762334638</c:v>
                </c:pt>
                <c:pt idx="181">
                  <c:v>5.5111294583232269</c:v>
                </c:pt>
                <c:pt idx="182">
                  <c:v>5.5325739085235526</c:v>
                </c:pt>
                <c:pt idx="183">
                  <c:v>5.5542132626851597</c:v>
                </c:pt>
                <c:pt idx="184">
                  <c:v>5.5760502354187169</c:v>
                </c:pt>
                <c:pt idx="185">
                  <c:v>5.5980875377966477</c:v>
                </c:pt>
                <c:pt idx="186">
                  <c:v>5.6203267420440017</c:v>
                </c:pt>
                <c:pt idx="187">
                  <c:v>5.6427705527369199</c:v>
                </c:pt>
                <c:pt idx="188">
                  <c:v>5.6654216707626937</c:v>
                </c:pt>
                <c:pt idx="189">
                  <c:v>5.6882816587600527</c:v>
                </c:pt>
                <c:pt idx="190">
                  <c:v>5.7113537779612811</c:v>
                </c:pt>
                <c:pt idx="191">
                  <c:v>5.7346401512482714</c:v>
                </c:pt>
                <c:pt idx="192">
                  <c:v>5.7581428981135607</c:v>
                </c:pt>
                <c:pt idx="193">
                  <c:v>5.7818641346145894</c:v>
                </c:pt>
                <c:pt idx="194">
                  <c:v>5.8058065399312131</c:v>
                </c:pt>
                <c:pt idx="195">
                  <c:v>5.8299727891818698</c:v>
                </c:pt>
                <c:pt idx="196">
                  <c:v>5.8543644206889951</c:v>
                </c:pt>
                <c:pt idx="197">
                  <c:v>5.879861710215506</c:v>
                </c:pt>
                <c:pt idx="198">
                  <c:v>5.9080572486856608</c:v>
                </c:pt>
                <c:pt idx="199">
                  <c:v>5.938700391904284</c:v>
                </c:pt>
                <c:pt idx="200">
                  <c:v>5.9714902582553524</c:v>
                </c:pt>
                <c:pt idx="201">
                  <c:v>6.0061245033006028</c:v>
                </c:pt>
                <c:pt idx="202">
                  <c:v>6.0423033382058344</c:v>
                </c:pt>
                <c:pt idx="203">
                  <c:v>6.0797261847974067</c:v>
                </c:pt>
                <c:pt idx="204">
                  <c:v>6.1180922832300144</c:v>
                </c:pt>
                <c:pt idx="205">
                  <c:v>6.157102419076244</c:v>
                </c:pt>
                <c:pt idx="206">
                  <c:v>6.1964572510598721</c:v>
                </c:pt>
                <c:pt idx="207">
                  <c:v>6.2358584550686658</c:v>
                </c:pt>
                <c:pt idx="208">
                  <c:v>6.2750064727466022</c:v>
                </c:pt>
                <c:pt idx="209">
                  <c:v>6.3136044583722235</c:v>
                </c:pt>
                <c:pt idx="210">
                  <c:v>6.351354881371396</c:v>
                </c:pt>
                <c:pt idx="211">
                  <c:v>6.3879600714956464</c:v>
                </c:pt>
                <c:pt idx="212">
                  <c:v>6.4231238804090545</c:v>
                </c:pt>
                <c:pt idx="213">
                  <c:v>6.4565499530806036</c:v>
                </c:pt>
                <c:pt idx="214">
                  <c:v>6.4879428081878299</c:v>
                </c:pt>
                <c:pt idx="215">
                  <c:v>6.5170055317334992</c:v>
                </c:pt>
                <c:pt idx="216">
                  <c:v>6.5434436536761842</c:v>
                </c:pt>
                <c:pt idx="217">
                  <c:v>6.5669616985363444</c:v>
                </c:pt>
                <c:pt idx="218">
                  <c:v>6.5872636684977781</c:v>
                </c:pt>
                <c:pt idx="219">
                  <c:v>6.6040552034329796</c:v>
                </c:pt>
                <c:pt idx="220">
                  <c:v>6.6170395468477921</c:v>
                </c:pt>
                <c:pt idx="221">
                  <c:v>6.6259213753623758</c:v>
                </c:pt>
                <c:pt idx="222">
                  <c:v>6.6304049965349225</c:v>
                </c:pt>
                <c:pt idx="223">
                  <c:v>6.631634768128059</c:v>
                </c:pt>
                <c:pt idx="224">
                  <c:v>6.632682984935256</c:v>
                </c:pt>
                <c:pt idx="225">
                  <c:v>6.6336659945414382</c:v>
                </c:pt>
                <c:pt idx="226">
                  <c:v>6.6345866090001255</c:v>
                </c:pt>
                <c:pt idx="227">
                  <c:v>6.6354470781166741</c:v>
                </c:pt>
                <c:pt idx="228">
                  <c:v>6.6362490894871335</c:v>
                </c:pt>
                <c:pt idx="229">
                  <c:v>6.6369954545917098</c:v>
                </c:pt>
                <c:pt idx="230">
                  <c:v>6.6376872986858242</c:v>
                </c:pt>
                <c:pt idx="231">
                  <c:v>6.6383274329427699</c:v>
                </c:pt>
                <c:pt idx="232">
                  <c:v>6.6389175443655635</c:v>
                </c:pt>
                <c:pt idx="233">
                  <c:v>6.6394598818483868</c:v>
                </c:pt>
                <c:pt idx="234">
                  <c:v>6.6399566941686139</c:v>
                </c:pt>
                <c:pt idx="235">
                  <c:v>6.6404102299965961</c:v>
                </c:pt>
                <c:pt idx="236">
                  <c:v>6.6408221759066244</c:v>
                </c:pt>
                <c:pt idx="237">
                  <c:v>6.6411947803900802</c:v>
                </c:pt>
                <c:pt idx="238">
                  <c:v>6.6415302918581105</c:v>
                </c:pt>
                <c:pt idx="239">
                  <c:v>6.6418303966568999</c:v>
                </c:pt>
                <c:pt idx="240">
                  <c:v>6.642097905057998</c:v>
                </c:pt>
                <c:pt idx="241">
                  <c:v>6.6423345032892716</c:v>
                </c:pt>
                <c:pt idx="242">
                  <c:v>6.6425424395233463</c:v>
                </c:pt>
                <c:pt idx="243">
                  <c:v>6.6427239618886418</c:v>
                </c:pt>
                <c:pt idx="244">
                  <c:v>6.6428807564887897</c:v>
                </c:pt>
                <c:pt idx="245">
                  <c:v>6.6430150713842062</c:v>
                </c:pt>
                <c:pt idx="246">
                  <c:v>6.6431291546083742</c:v>
                </c:pt>
                <c:pt idx="247">
                  <c:v>6.6432246921853011</c:v>
                </c:pt>
                <c:pt idx="248">
                  <c:v>6.6433044940925949</c:v>
                </c:pt>
                <c:pt idx="249">
                  <c:v>6.643370246321445</c:v>
                </c:pt>
                <c:pt idx="250">
                  <c:v>6.6434241968364338</c:v>
                </c:pt>
                <c:pt idx="251">
                  <c:v>6.6434680316087675</c:v>
                </c:pt>
                <c:pt idx="252">
                  <c:v>6.6435045605714116</c:v>
                </c:pt>
                <c:pt idx="253">
                  <c:v>6.6435354696833819</c:v>
                </c:pt>
                <c:pt idx="254">
                  <c:v>6.6435630068843121</c:v>
                </c:pt>
                <c:pt idx="255">
                  <c:v>6.6435888581273028</c:v>
                </c:pt>
                <c:pt idx="256">
                  <c:v>6.6436158333305517</c:v>
                </c:pt>
                <c:pt idx="257">
                  <c:v>6.6436444944760868</c:v>
                </c:pt>
                <c:pt idx="258">
                  <c:v>6.643672593630578</c:v>
                </c:pt>
                <c:pt idx="259">
                  <c:v>6.6437012547601366</c:v>
                </c:pt>
                <c:pt idx="260">
                  <c:v>6.6437299158816021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33568"/>
        <c:axId val="319857792"/>
      </c:lineChart>
      <c:catAx>
        <c:axId val="15113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Incentive (bps)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19857792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319857792"/>
        <c:scaling>
          <c:orientation val="minMax"/>
          <c:min val="3.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Baseline Turnover * Lock-in Multiplier (CPR)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1133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Seasoning Ramp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'Seasoning Ramp'!$F$1:$F$2</c:f>
              <c:strCache>
                <c:ptCount val="1"/>
                <c:pt idx="0">
                  <c:v>CPR HAP 5%</c:v>
                </c:pt>
              </c:strCache>
            </c:strRef>
          </c:tx>
          <c:marker>
            <c:symbol val="none"/>
          </c:marker>
          <c:cat>
            <c:numRef>
              <c:f>'Seasoning Ramp'!$A$3:$A$183</c:f>
              <c:numCache>
                <c:formatCode>General</c:formatCode>
                <c:ptCount val="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numCache>
            </c:numRef>
          </c:cat>
          <c:val>
            <c:numRef>
              <c:f>'Seasoning Ramp'!$F$3:$F$183</c:f>
              <c:numCache>
                <c:formatCode>General</c:formatCode>
                <c:ptCount val="181"/>
                <c:pt idx="0">
                  <c:v>0</c:v>
                </c:pt>
                <c:pt idx="1">
                  <c:v>0.6331013347073644</c:v>
                </c:pt>
                <c:pt idx="2">
                  <c:v>1.2560505350093343</c:v>
                </c:pt>
                <c:pt idx="3">
                  <c:v>1.7577712236302445</c:v>
                </c:pt>
                <c:pt idx="4">
                  <c:v>2.1344575143101951</c:v>
                </c:pt>
                <c:pt idx="5">
                  <c:v>2.4333456788003804</c:v>
                </c:pt>
                <c:pt idx="6">
                  <c:v>2.6751267398648526</c:v>
                </c:pt>
                <c:pt idx="7">
                  <c:v>2.8801919738128956</c:v>
                </c:pt>
                <c:pt idx="8">
                  <c:v>3.0682816536618418</c:v>
                </c:pt>
                <c:pt idx="9">
                  <c:v>3.2457130331817408</c:v>
                </c:pt>
                <c:pt idx="10">
                  <c:v>3.4129900476523312</c:v>
                </c:pt>
                <c:pt idx="11">
                  <c:v>3.5706112212024466</c:v>
                </c:pt>
                <c:pt idx="12">
                  <c:v>3.7190687312259274</c:v>
                </c:pt>
                <c:pt idx="13">
                  <c:v>3.8588511224224575</c:v>
                </c:pt>
                <c:pt idx="14">
                  <c:v>3.9904414075088268</c:v>
                </c:pt>
                <c:pt idx="15">
                  <c:v>4.1143183592585402</c:v>
                </c:pt>
                <c:pt idx="16">
                  <c:v>4.2309568607825536</c:v>
                </c:pt>
                <c:pt idx="17">
                  <c:v>4.3408286894659813</c:v>
                </c:pt>
                <c:pt idx="18">
                  <c:v>4.4444019110195025</c:v>
                </c:pt>
                <c:pt idx="19">
                  <c:v>4.542142076781996</c:v>
                </c:pt>
                <c:pt idx="20">
                  <c:v>4.634511577382594</c:v>
                </c:pt>
                <c:pt idx="21">
                  <c:v>4.7219703425059549</c:v>
                </c:pt>
                <c:pt idx="22">
                  <c:v>4.8049765176671366</c:v>
                </c:pt>
                <c:pt idx="23">
                  <c:v>4.8839857588522717</c:v>
                </c:pt>
                <c:pt idx="24">
                  <c:v>4.9594523230074739</c:v>
                </c:pt>
                <c:pt idx="25">
                  <c:v>5.031828324104004</c:v>
                </c:pt>
                <c:pt idx="26">
                  <c:v>5.1015643302125273</c:v>
                </c:pt>
                <c:pt idx="27">
                  <c:v>5.1691099389935875</c:v>
                </c:pt>
                <c:pt idx="28">
                  <c:v>5.2349129767555453</c:v>
                </c:pt>
                <c:pt idx="29">
                  <c:v>5.299420035921254</c:v>
                </c:pt>
                <c:pt idx="30">
                  <c:v>5.3630774425922674</c:v>
                </c:pt>
                <c:pt idx="31">
                  <c:v>5.4263285944052946</c:v>
                </c:pt>
                <c:pt idx="32">
                  <c:v>5.4896175978609518</c:v>
                </c:pt>
                <c:pt idx="33">
                  <c:v>5.5533870188335559</c:v>
                </c:pt>
                <c:pt idx="34">
                  <c:v>5.6180769725769242</c:v>
                </c:pt>
                <c:pt idx="35">
                  <c:v>5.6838840215541753</c:v>
                </c:pt>
                <c:pt idx="36">
                  <c:v>5.7481980694786161</c:v>
                </c:pt>
                <c:pt idx="37">
                  <c:v>5.8102406759226728</c:v>
                </c:pt>
                <c:pt idx="38">
                  <c:v>5.8700603497495845</c:v>
                </c:pt>
                <c:pt idx="39">
                  <c:v>5.9277057991930278</c:v>
                </c:pt>
                <c:pt idx="40">
                  <c:v>5.9832250435894352</c:v>
                </c:pt>
                <c:pt idx="41">
                  <c:v>6.0366663207262921</c:v>
                </c:pt>
                <c:pt idx="42">
                  <c:v>6.0880771991128739</c:v>
                </c:pt>
                <c:pt idx="43">
                  <c:v>6.1375054838910703</c:v>
                </c:pt>
                <c:pt idx="44">
                  <c:v>6.1849978820018858</c:v>
                </c:pt>
                <c:pt idx="45">
                  <c:v>6.2306026972539286</c:v>
                </c:pt>
                <c:pt idx="46">
                  <c:v>6.2743658102161977</c:v>
                </c:pt>
                <c:pt idx="47">
                  <c:v>6.3163347143537329</c:v>
                </c:pt>
                <c:pt idx="48">
                  <c:v>6.3565562862620943</c:v>
                </c:pt>
                <c:pt idx="49">
                  <c:v>6.395075901174363</c:v>
                </c:pt>
                <c:pt idx="50">
                  <c:v>6.431941015057574</c:v>
                </c:pt>
                <c:pt idx="51">
                  <c:v>6.4671975972613538</c:v>
                </c:pt>
                <c:pt idx="52">
                  <c:v>6.5008910325213947</c:v>
                </c:pt>
                <c:pt idx="53">
                  <c:v>6.5330683589211569</c:v>
                </c:pt>
                <c:pt idx="54">
                  <c:v>6.5637742586112431</c:v>
                </c:pt>
                <c:pt idx="55">
                  <c:v>6.5930550799065184</c:v>
                </c:pt>
                <c:pt idx="56">
                  <c:v>6.6209561670434569</c:v>
                </c:pt>
                <c:pt idx="57">
                  <c:v>6.6475227587207808</c:v>
                </c:pt>
                <c:pt idx="58">
                  <c:v>6.6728004394849938</c:v>
                </c:pt>
                <c:pt idx="59">
                  <c:v>6.696834699605847</c:v>
                </c:pt>
                <c:pt idx="60">
                  <c:v>6.7196704954254116</c:v>
                </c:pt>
                <c:pt idx="61">
                  <c:v>6.7413531455085778</c:v>
                </c:pt>
                <c:pt idx="62">
                  <c:v>6.7619270001614495</c:v>
                </c:pt>
                <c:pt idx="63">
                  <c:v>6.7814376721137215</c:v>
                </c:pt>
                <c:pt idx="64">
                  <c:v>6.799929815552308</c:v>
                </c:pt>
                <c:pt idx="65">
                  <c:v>6.8174484659474288</c:v>
                </c:pt>
                <c:pt idx="66">
                  <c:v>6.8340377098095928</c:v>
                </c:pt>
                <c:pt idx="67">
                  <c:v>6.8497429129126157</c:v>
                </c:pt>
                <c:pt idx="68">
                  <c:v>6.8646085001964341</c:v>
                </c:pt>
                <c:pt idx="69">
                  <c:v>6.8786788492928856</c:v>
                </c:pt>
                <c:pt idx="70">
                  <c:v>6.8919987385653636</c:v>
                </c:pt>
                <c:pt idx="71">
                  <c:v>6.9046129057609651</c:v>
                </c:pt>
                <c:pt idx="72">
                  <c:v>6.9165651624494835</c:v>
                </c:pt>
                <c:pt idx="73">
                  <c:v>6.9279006191597876</c:v>
                </c:pt>
                <c:pt idx="74">
                  <c:v>6.9387083384438437</c:v>
                </c:pt>
                <c:pt idx="75">
                  <c:v>6.949056012459554</c:v>
                </c:pt>
                <c:pt idx="76">
                  <c:v>6.9589539980740467</c:v>
                </c:pt>
                <c:pt idx="77">
                  <c:v>6.9684139745582963</c:v>
                </c:pt>
                <c:pt idx="78">
                  <c:v>6.9774467228843058</c:v>
                </c:pt>
                <c:pt idx="79">
                  <c:v>6.9860634588190029</c:v>
                </c:pt>
                <c:pt idx="80">
                  <c:v>6.9942749451133324</c:v>
                </c:pt>
                <c:pt idx="81">
                  <c:v>7.0020923801322965</c:v>
                </c:pt>
                <c:pt idx="82">
                  <c:v>7.0095269541419309</c:v>
                </c:pt>
                <c:pt idx="83">
                  <c:v>7.0165894057957363</c:v>
                </c:pt>
                <c:pt idx="84">
                  <c:v>7.0232904666065687</c:v>
                </c:pt>
                <c:pt idx="85">
                  <c:v>7.0296417491003798</c:v>
                </c:pt>
                <c:pt idx="86">
                  <c:v>7.0356544153554967</c:v>
                </c:pt>
                <c:pt idx="87">
                  <c:v>7.04133873368884</c:v>
                </c:pt>
                <c:pt idx="88">
                  <c:v>7.046705854489943</c:v>
                </c:pt>
                <c:pt idx="89">
                  <c:v>7.0517669227527673</c:v>
                </c:pt>
                <c:pt idx="90">
                  <c:v>7.0565330784173934</c:v>
                </c:pt>
                <c:pt idx="91">
                  <c:v>7.0610150129530203</c:v>
                </c:pt>
                <c:pt idx="92">
                  <c:v>7.065223857222902</c:v>
                </c:pt>
                <c:pt idx="93">
                  <c:v>7.0691702942702435</c:v>
                </c:pt>
                <c:pt idx="94">
                  <c:v>7.0728654470808561</c:v>
                </c:pt>
                <c:pt idx="95">
                  <c:v>7.0763204350986602</c:v>
                </c:pt>
                <c:pt idx="96">
                  <c:v>7.0795459308300002</c:v>
                </c:pt>
                <c:pt idx="97">
                  <c:v>7.0825530474696752</c:v>
                </c:pt>
                <c:pt idx="98">
                  <c:v>7.0853524517968003</c:v>
                </c:pt>
                <c:pt idx="99">
                  <c:v>7.0879556953489908</c:v>
                </c:pt>
                <c:pt idx="100">
                  <c:v>7.0903729964411966</c:v>
                </c:pt>
                <c:pt idx="101">
                  <c:v>7.0926154585690622</c:v>
                </c:pt>
                <c:pt idx="102">
                  <c:v>7.0946946269009885</c:v>
                </c:pt>
                <c:pt idx="103">
                  <c:v>7.0966207140606308</c:v>
                </c:pt>
                <c:pt idx="104">
                  <c:v>7.0984052619179172</c:v>
                </c:pt>
                <c:pt idx="105">
                  <c:v>7.1000584801783955</c:v>
                </c:pt>
                <c:pt idx="106">
                  <c:v>7.1015914644807836</c:v>
                </c:pt>
                <c:pt idx="107">
                  <c:v>7.1030157528998323</c:v>
                </c:pt>
                <c:pt idx="108">
                  <c:v>7.1043419953729643</c:v>
                </c:pt>
                <c:pt idx="109">
                  <c:v>7.1055803974234166</c:v>
                </c:pt>
                <c:pt idx="110">
                  <c:v>7.1067429380123333</c:v>
                </c:pt>
                <c:pt idx="111">
                  <c:v>7.1078398211968157</c:v>
                </c:pt>
                <c:pt idx="112">
                  <c:v>7.1088821375237199</c:v>
                </c:pt>
                <c:pt idx="113">
                  <c:v>7.1098814205147409</c:v>
                </c:pt>
                <c:pt idx="114">
                  <c:v>7.1108474290586638</c:v>
                </c:pt>
                <c:pt idx="115">
                  <c:v>7.1117921392515164</c:v>
                </c:pt>
                <c:pt idx="116">
                  <c:v>7.1127257526437333</c:v>
                </c:pt>
                <c:pt idx="117">
                  <c:v>7.1136593574341429</c:v>
                </c:pt>
                <c:pt idx="118">
                  <c:v>7.114604041411976</c:v>
                </c:pt>
                <c:pt idx="119">
                  <c:v>7.1155708919502842</c:v>
                </c:pt>
                <c:pt idx="120">
                  <c:v>7.116570552485479</c:v>
                </c:pt>
                <c:pt idx="121">
                  <c:v>7.1176141095058432</c:v>
                </c:pt>
                <c:pt idx="122">
                  <c:v>7.118712205500966</c:v>
                </c:pt>
                <c:pt idx="123">
                  <c:v>7.1198754824208894</c:v>
                </c:pt>
                <c:pt idx="124">
                  <c:v>7.1211159120630585</c:v>
                </c:pt>
                <c:pt idx="125">
                  <c:v>7.1224436915703349</c:v>
                </c:pt>
                <c:pt idx="126">
                  <c:v>7.1238619218052861</c:v>
                </c:pt>
                <c:pt idx="127">
                  <c:v>7.1252304641180046</c:v>
                </c:pt>
                <c:pt idx="128">
                  <c:v>7.1265027572891659</c:v>
                </c:pt>
                <c:pt idx="129">
                  <c:v>7.1276925520265433</c:v>
                </c:pt>
                <c:pt idx="130">
                  <c:v>7.1288135981670493</c:v>
                </c:pt>
                <c:pt idx="131">
                  <c:v>7.1298792013334555</c:v>
                </c:pt>
                <c:pt idx="132">
                  <c:v>7.1309022230417689</c:v>
                </c:pt>
                <c:pt idx="133">
                  <c:v>7.1318972979655832</c:v>
                </c:pt>
                <c:pt idx="134">
                  <c:v>7.1328768430125482</c:v>
                </c:pt>
                <c:pt idx="135">
                  <c:v>7.1338550483065699</c:v>
                </c:pt>
                <c:pt idx="136">
                  <c:v>7.1348452165757914</c:v>
                </c:pt>
                <c:pt idx="137">
                  <c:v>7.1358606500247284</c:v>
                </c:pt>
                <c:pt idx="138">
                  <c:v>7.13691465031091</c:v>
                </c:pt>
                <c:pt idx="139">
                  <c:v>7.1380072162303581</c:v>
                </c:pt>
                <c:pt idx="140">
                  <c:v>7.1391019873883526</c:v>
                </c:pt>
                <c:pt idx="141">
                  <c:v>7.1401971901148382</c:v>
                </c:pt>
                <c:pt idx="142">
                  <c:v>7.141291937606054</c:v>
                </c:pt>
                <c:pt idx="143">
                  <c:v>7.1423866732665653</c:v>
                </c:pt>
                <c:pt idx="144">
                  <c:v>7.1434818404815914</c:v>
                </c:pt>
                <c:pt idx="145">
                  <c:v>7.1445765524761669</c:v>
                </c:pt>
                <c:pt idx="146">
                  <c:v>7.1456716960159872</c:v>
                </c:pt>
                <c:pt idx="147">
                  <c:v>7.1467663843450495</c:v>
                </c:pt>
                <c:pt idx="148">
                  <c:v>7.1478610608441411</c:v>
                </c:pt>
                <c:pt idx="149">
                  <c:v>7.1489561688742098</c:v>
                </c:pt>
                <c:pt idx="150">
                  <c:v>7.1500508217084091</c:v>
                </c:pt>
                <c:pt idx="151">
                  <c:v>7.1511459060643601</c:v>
                </c:pt>
                <c:pt idx="152">
                  <c:v>7.1522405352342888</c:v>
                </c:pt>
                <c:pt idx="153">
                  <c:v>7.1533351525745363</c:v>
                </c:pt>
                <c:pt idx="154">
                  <c:v>7.1544302014226453</c:v>
                </c:pt>
                <c:pt idx="155">
                  <c:v>7.1555247950993657</c:v>
                </c:pt>
                <c:pt idx="156">
                  <c:v>7.1566198202744458</c:v>
                </c:pt>
                <c:pt idx="157">
                  <c:v>7.157714390288028</c:v>
                </c:pt>
                <c:pt idx="158">
                  <c:v>7.1588089484726609</c:v>
                </c:pt>
                <c:pt idx="159">
                  <c:v>7.1599039381416425</c:v>
                </c:pt>
                <c:pt idx="160">
                  <c:v>7.1609984726637377</c:v>
                </c:pt>
                <c:pt idx="161">
                  <c:v>7.1620929953572503</c:v>
                </c:pt>
                <c:pt idx="162">
                  <c:v>7.1631879495210775</c:v>
                </c:pt>
                <c:pt idx="163">
                  <c:v>7.1642824485527612</c:v>
                </c:pt>
                <c:pt idx="164">
                  <c:v>7.1653773790455233</c:v>
                </c:pt>
                <c:pt idx="165">
                  <c:v>7.1664718544159562</c:v>
                </c:pt>
                <c:pt idx="166">
                  <c:v>7.1675663179584177</c:v>
                </c:pt>
                <c:pt idx="167">
                  <c:v>7.1686612129478577</c:v>
                </c:pt>
                <c:pt idx="168">
                  <c:v>7.1697556528296236</c:v>
                </c:pt>
                <c:pt idx="169">
                  <c:v>7.1708505241490972</c:v>
                </c:pt>
                <c:pt idx="170">
                  <c:v>7.1719449403707447</c:v>
                </c:pt>
                <c:pt idx="171">
                  <c:v>7.1730393447648977</c:v>
                </c:pt>
                <c:pt idx="172">
                  <c:v>7.1741341805827696</c:v>
                </c:pt>
                <c:pt idx="173">
                  <c:v>7.1752285613175264</c:v>
                </c:pt>
                <c:pt idx="174">
                  <c:v>7.1763233734665537</c:v>
                </c:pt>
                <c:pt idx="175">
                  <c:v>7.1774177305423459</c:v>
                </c:pt>
                <c:pt idx="176">
                  <c:v>7.1785120757913994</c:v>
                </c:pt>
                <c:pt idx="177">
                  <c:v>7.1796068524405898</c:v>
                </c:pt>
                <c:pt idx="178">
                  <c:v>7.1807011740311788</c:v>
                </c:pt>
                <c:pt idx="179">
                  <c:v>7.1817954837952502</c:v>
                </c:pt>
                <c:pt idx="180">
                  <c:v>7.1828902249456146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'Seasoning Ramp'!$G$1:$G$2</c:f>
              <c:strCache>
                <c:ptCount val="1"/>
                <c:pt idx="0">
                  <c:v>CPR HAP 10%</c:v>
                </c:pt>
              </c:strCache>
            </c:strRef>
          </c:tx>
          <c:marker>
            <c:symbol val="none"/>
          </c:marker>
          <c:cat>
            <c:numRef>
              <c:f>'Seasoning Ramp'!$A$3:$A$183</c:f>
              <c:numCache>
                <c:formatCode>General</c:formatCode>
                <c:ptCount val="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numCache>
            </c:numRef>
          </c:cat>
          <c:val>
            <c:numRef>
              <c:f>'Seasoning Ramp'!$G$3:$G$183</c:f>
              <c:numCache>
                <c:formatCode>General</c:formatCode>
                <c:ptCount val="181"/>
                <c:pt idx="0">
                  <c:v>0</c:v>
                </c:pt>
                <c:pt idx="1">
                  <c:v>0.81486431849624452</c:v>
                </c:pt>
                <c:pt idx="2">
                  <c:v>1.6153234065219402</c:v>
                </c:pt>
                <c:pt idx="3">
                  <c:v>2.2590397870171586</c:v>
                </c:pt>
                <c:pt idx="4">
                  <c:v>2.7417635990102274</c:v>
                </c:pt>
                <c:pt idx="5">
                  <c:v>3.1244392577013169</c:v>
                </c:pt>
                <c:pt idx="6">
                  <c:v>3.4337718962892949</c:v>
                </c:pt>
                <c:pt idx="7">
                  <c:v>3.695971121463415</c:v>
                </c:pt>
                <c:pt idx="8">
                  <c:v>3.9363362192821327</c:v>
                </c:pt>
                <c:pt idx="9">
                  <c:v>4.1629674945736106</c:v>
                </c:pt>
                <c:pt idx="10">
                  <c:v>4.376527831777155</c:v>
                </c:pt>
                <c:pt idx="11">
                  <c:v>4.5776709676915051</c:v>
                </c:pt>
                <c:pt idx="12">
                  <c:v>4.7670404755473683</c:v>
                </c:pt>
                <c:pt idx="13">
                  <c:v>4.9452733949449934</c:v>
                </c:pt>
                <c:pt idx="14">
                  <c:v>5.1129979653481206</c:v>
                </c:pt>
                <c:pt idx="15">
                  <c:v>5.2708354214988873</c:v>
                </c:pt>
                <c:pt idx="16">
                  <c:v>5.419400577037548</c:v>
                </c:pt>
                <c:pt idx="17">
                  <c:v>5.5593029507604026</c:v>
                </c:pt>
                <c:pt idx="18">
                  <c:v>5.6911461137274522</c:v>
                </c:pt>
                <c:pt idx="19">
                  <c:v>5.8155293240116261</c:v>
                </c:pt>
                <c:pt idx="20">
                  <c:v>5.9330468056111858</c:v>
                </c:pt>
                <c:pt idx="21">
                  <c:v>6.0442887327117001</c:v>
                </c:pt>
                <c:pt idx="22">
                  <c:v>6.1498421755836414</c:v>
                </c:pt>
                <c:pt idx="23">
                  <c:v>6.2502902807065048</c:v>
                </c:pt>
                <c:pt idx="24">
                  <c:v>6.3462137269746481</c:v>
                </c:pt>
                <c:pt idx="25">
                  <c:v>6.4381898417104839</c:v>
                </c:pt>
                <c:pt idx="26">
                  <c:v>6.5267934141348789</c:v>
                </c:pt>
                <c:pt idx="27">
                  <c:v>6.6125974731964359</c:v>
                </c:pt>
                <c:pt idx="28">
                  <c:v>6.6961723093391212</c:v>
                </c:pt>
                <c:pt idx="29">
                  <c:v>6.7780861896387101</c:v>
                </c:pt>
                <c:pt idx="30">
                  <c:v>6.858906611045434</c:v>
                </c:pt>
                <c:pt idx="31">
                  <c:v>6.9391969381244252</c:v>
                </c:pt>
                <c:pt idx="32">
                  <c:v>7.0195210316898908</c:v>
                </c:pt>
                <c:pt idx="33">
                  <c:v>7.1004403961428935</c:v>
                </c:pt>
                <c:pt idx="34">
                  <c:v>7.1825130221490401</c:v>
                </c:pt>
                <c:pt idx="35">
                  <c:v>7.2659875743962044</c:v>
                </c:pt>
                <c:pt idx="36">
                  <c:v>7.3475533349055659</c:v>
                </c:pt>
                <c:pt idx="37">
                  <c:v>7.426224338014908</c:v>
                </c:pt>
                <c:pt idx="38">
                  <c:v>7.5020635829709192</c:v>
                </c:pt>
                <c:pt idx="39">
                  <c:v>7.5751342279206764</c:v>
                </c:pt>
                <c:pt idx="40">
                  <c:v>7.645498467652267</c:v>
                </c:pt>
                <c:pt idx="41">
                  <c:v>7.7132186875222057</c:v>
                </c:pt>
                <c:pt idx="42">
                  <c:v>7.7783563420366857</c:v>
                </c:pt>
                <c:pt idx="43">
                  <c:v>7.840973106390936</c:v>
                </c:pt>
                <c:pt idx="44">
                  <c:v>7.9011291889053314</c:v>
                </c:pt>
                <c:pt idx="45">
                  <c:v>7.958886748184546</c:v>
                </c:pt>
                <c:pt idx="46">
                  <c:v>8.0143048045317027</c:v>
                </c:pt>
                <c:pt idx="47">
                  <c:v>8.0674443550082344</c:v>
                </c:pt>
                <c:pt idx="48">
                  <c:v>8.118365552409557</c:v>
                </c:pt>
                <c:pt idx="49">
                  <c:v>8.1671265890282179</c:v>
                </c:pt>
                <c:pt idx="50">
                  <c:v>8.2137882342367305</c:v>
                </c:pt>
                <c:pt idx="51">
                  <c:v>8.2584093211870098</c:v>
                </c:pt>
                <c:pt idx="52">
                  <c:v>8.301047891844993</c:v>
                </c:pt>
                <c:pt idx="53">
                  <c:v>8.3417640316067789</c:v>
                </c:pt>
                <c:pt idx="54">
                  <c:v>8.3806147983087165</c:v>
                </c:pt>
                <c:pt idx="55">
                  <c:v>8.4176593142767153</c:v>
                </c:pt>
                <c:pt idx="56">
                  <c:v>8.4529553899392766</c:v>
                </c:pt>
                <c:pt idx="57">
                  <c:v>8.4865606631691737</c:v>
                </c:pt>
                <c:pt idx="58">
                  <c:v>8.51853317242991</c:v>
                </c:pt>
                <c:pt idx="59">
                  <c:v>8.5489308020975976</c:v>
                </c:pt>
                <c:pt idx="60">
                  <c:v>8.5778107285540592</c:v>
                </c:pt>
                <c:pt idx="61">
                  <c:v>8.6052305556074451</c:v>
                </c:pt>
                <c:pt idx="62">
                  <c:v>8.6312466338690044</c:v>
                </c:pt>
                <c:pt idx="63">
                  <c:v>8.6559168834279383</c:v>
                </c:pt>
                <c:pt idx="64">
                  <c:v>8.6792979870789377</c:v>
                </c:pt>
                <c:pt idx="65">
                  <c:v>8.7014470862427871</c:v>
                </c:pt>
                <c:pt idx="66">
                  <c:v>8.7224201007209405</c:v>
                </c:pt>
                <c:pt idx="67">
                  <c:v>8.742274547342344</c:v>
                </c:pt>
                <c:pt idx="68">
                  <c:v>8.7610667346019078</c:v>
                </c:pt>
                <c:pt idx="69">
                  <c:v>8.7788528937735926</c:v>
                </c:pt>
                <c:pt idx="70">
                  <c:v>8.7956897465535029</c:v>
                </c:pt>
                <c:pt idx="71">
                  <c:v>8.8116339483524815</c:v>
                </c:pt>
                <c:pt idx="72">
                  <c:v>8.8267409701918602</c:v>
                </c:pt>
                <c:pt idx="73">
                  <c:v>8.8410679123104412</c:v>
                </c:pt>
                <c:pt idx="74">
                  <c:v>8.8547274118103036</c:v>
                </c:pt>
                <c:pt idx="75">
                  <c:v>8.8678050804198669</c:v>
                </c:pt>
                <c:pt idx="76">
                  <c:v>8.8803140584605913</c:v>
                </c:pt>
                <c:pt idx="77">
                  <c:v>8.8922691537239302</c:v>
                </c:pt>
                <c:pt idx="78">
                  <c:v>8.9036840351078954</c:v>
                </c:pt>
                <c:pt idx="79">
                  <c:v>8.9145729175343256</c:v>
                </c:pt>
                <c:pt idx="80">
                  <c:v>8.9249494401698044</c:v>
                </c:pt>
                <c:pt idx="81">
                  <c:v>8.9348277895429327</c:v>
                </c:pt>
                <c:pt idx="82">
                  <c:v>8.9442221389700158</c:v>
                </c:pt>
                <c:pt idx="83">
                  <c:v>8.9531460883039102</c:v>
                </c:pt>
                <c:pt idx="84">
                  <c:v>8.9616132257498649</c:v>
                </c:pt>
                <c:pt idx="85">
                  <c:v>8.9696382502033263</c:v>
                </c:pt>
                <c:pt idx="86">
                  <c:v>8.9772352890004399</c:v>
                </c:pt>
                <c:pt idx="87">
                  <c:v>8.9844173379905143</c:v>
                </c:pt>
                <c:pt idx="88">
                  <c:v>8.991198505444487</c:v>
                </c:pt>
                <c:pt idx="89">
                  <c:v>8.9975928908336833</c:v>
                </c:pt>
                <c:pt idx="90">
                  <c:v>9.0036145853868881</c:v>
                </c:pt>
                <c:pt idx="91">
                  <c:v>9.0092771119983599</c:v>
                </c:pt>
                <c:pt idx="92">
                  <c:v>9.0145945470948234</c:v>
                </c:pt>
                <c:pt idx="93">
                  <c:v>9.0195803998299855</c:v>
                </c:pt>
                <c:pt idx="94">
                  <c:v>9.0242487337851447</c:v>
                </c:pt>
                <c:pt idx="95">
                  <c:v>9.0286136067665659</c:v>
                </c:pt>
                <c:pt idx="96">
                  <c:v>9.0326885107462331</c:v>
                </c:pt>
                <c:pt idx="97">
                  <c:v>9.0364874933412729</c:v>
                </c:pt>
                <c:pt idx="98">
                  <c:v>9.0400240371852689</c:v>
                </c:pt>
                <c:pt idx="99">
                  <c:v>9.0433127417152264</c:v>
                </c:pt>
                <c:pt idx="100">
                  <c:v>9.0463665212426996</c:v>
                </c:pt>
                <c:pt idx="101">
                  <c:v>9.0491994075701072</c:v>
                </c:pt>
                <c:pt idx="102">
                  <c:v>9.0518259897505278</c:v>
                </c:pt>
                <c:pt idx="103">
                  <c:v>9.0542591728163266</c:v>
                </c:pt>
                <c:pt idx="104">
                  <c:v>9.0565135404424346</c:v>
                </c:pt>
                <c:pt idx="105">
                  <c:v>9.0586019929035579</c:v>
                </c:pt>
                <c:pt idx="106">
                  <c:v>9.0605385491934971</c:v>
                </c:pt>
                <c:pt idx="107">
                  <c:v>9.0623377868000894</c:v>
                </c:pt>
                <c:pt idx="108">
                  <c:v>9.0640131608993091</c:v>
                </c:pt>
                <c:pt idx="109">
                  <c:v>9.0655775649477022</c:v>
                </c:pt>
                <c:pt idx="110">
                  <c:v>9.0670461324011029</c:v>
                </c:pt>
                <c:pt idx="111">
                  <c:v>9.068431754326312</c:v>
                </c:pt>
                <c:pt idx="112">
                  <c:v>9.069748441415836</c:v>
                </c:pt>
                <c:pt idx="113">
                  <c:v>9.0710107637349111</c:v>
                </c:pt>
                <c:pt idx="114">
                  <c:v>9.0722310494014362</c:v>
                </c:pt>
                <c:pt idx="115">
                  <c:v>9.0734244272008269</c:v>
                </c:pt>
                <c:pt idx="116">
                  <c:v>9.0746037841130107</c:v>
                </c:pt>
                <c:pt idx="117">
                  <c:v>9.0757831270032341</c:v>
                </c:pt>
                <c:pt idx="118">
                  <c:v>9.0769764620683304</c:v>
                </c:pt>
                <c:pt idx="119">
                  <c:v>9.0781977948274353</c:v>
                </c:pt>
                <c:pt idx="120">
                  <c:v>9.0794605698580337</c:v>
                </c:pt>
                <c:pt idx="121">
                  <c:v>9.0807787912367424</c:v>
                </c:pt>
                <c:pt idx="122">
                  <c:v>9.0821659019980743</c:v>
                </c:pt>
                <c:pt idx="123">
                  <c:v>9.0836353442973579</c:v>
                </c:pt>
                <c:pt idx="124">
                  <c:v>9.0852022399128494</c:v>
                </c:pt>
                <c:pt idx="125">
                  <c:v>9.0868794686395642</c:v>
                </c:pt>
                <c:pt idx="126">
                  <c:v>9.0886709461513995</c:v>
                </c:pt>
                <c:pt idx="127">
                  <c:v>9.0903996520575561</c:v>
                </c:pt>
                <c:pt idx="128">
                  <c:v>9.0920067725479452</c:v>
                </c:pt>
                <c:pt idx="129">
                  <c:v>9.0935096783221425</c:v>
                </c:pt>
                <c:pt idx="130">
                  <c:v>9.0949257386587323</c:v>
                </c:pt>
                <c:pt idx="131">
                  <c:v>9.0962717614441644</c:v>
                </c:pt>
                <c:pt idx="132">
                  <c:v>9.09756399334597</c:v>
                </c:pt>
                <c:pt idx="133">
                  <c:v>9.0988209205748802</c:v>
                </c:pt>
                <c:pt idx="134">
                  <c:v>9.1000582277631636</c:v>
                </c:pt>
                <c:pt idx="135">
                  <c:v>9.1012938391818672</c:v>
                </c:pt>
                <c:pt idx="136">
                  <c:v>9.10254455799776</c:v>
                </c:pt>
                <c:pt idx="137">
                  <c:v>9.1038271865253932</c:v>
                </c:pt>
                <c:pt idx="138">
                  <c:v>9.1051585261870081</c:v>
                </c:pt>
                <c:pt idx="139">
                  <c:v>9.1065385750202736</c:v>
                </c:pt>
                <c:pt idx="140">
                  <c:v>9.1079214050115542</c:v>
                </c:pt>
                <c:pt idx="141">
                  <c:v>9.1093047757833006</c:v>
                </c:pt>
                <c:pt idx="142">
                  <c:v>9.1106875671973615</c:v>
                </c:pt>
                <c:pt idx="143">
                  <c:v>9.1120703393269729</c:v>
                </c:pt>
                <c:pt idx="144">
                  <c:v>9.1134536522143765</c:v>
                </c:pt>
                <c:pt idx="145">
                  <c:v>9.1148363857681325</c:v>
                </c:pt>
                <c:pt idx="146">
                  <c:v>9.1162196600645053</c:v>
                </c:pt>
                <c:pt idx="147">
                  <c:v>9.1176023550433634</c:v>
                </c:pt>
                <c:pt idx="148">
                  <c:v>9.1189850307392248</c:v>
                </c:pt>
                <c:pt idx="149">
                  <c:v>9.1203682471547527</c:v>
                </c:pt>
                <c:pt idx="150">
                  <c:v>9.1217508842770574</c:v>
                </c:pt>
                <c:pt idx="151">
                  <c:v>9.1231340621041657</c:v>
                </c:pt>
                <c:pt idx="152">
                  <c:v>9.1245166606539811</c:v>
                </c:pt>
                <c:pt idx="153">
                  <c:v>9.1258992399220631</c:v>
                </c:pt>
                <c:pt idx="154">
                  <c:v>9.1272823598719803</c:v>
                </c:pt>
                <c:pt idx="155">
                  <c:v>9.1286649005690172</c:v>
                </c:pt>
                <c:pt idx="156">
                  <c:v>9.1300479819328437</c:v>
                </c:pt>
                <c:pt idx="157">
                  <c:v>9.1314304840597771</c:v>
                </c:pt>
                <c:pt idx="158">
                  <c:v>9.1328129669061227</c:v>
                </c:pt>
                <c:pt idx="159">
                  <c:v>9.1341959903965648</c:v>
                </c:pt>
                <c:pt idx="160">
                  <c:v>9.135578434674386</c:v>
                </c:pt>
                <c:pt idx="161">
                  <c:v>9.136960859672083</c:v>
                </c:pt>
                <c:pt idx="162">
                  <c:v>9.1383438252914289</c:v>
                </c:pt>
                <c:pt idx="163">
                  <c:v>9.1397262117220883</c:v>
                </c:pt>
                <c:pt idx="164">
                  <c:v>9.141109138759095</c:v>
                </c:pt>
                <c:pt idx="165">
                  <c:v>9.1424914866237934</c:v>
                </c:pt>
                <c:pt idx="166">
                  <c:v>9.1438738152096235</c:v>
                </c:pt>
                <c:pt idx="167">
                  <c:v>9.145256684379266</c:v>
                </c:pt>
                <c:pt idx="168">
                  <c:v>9.1466389744004672</c:v>
                </c:pt>
                <c:pt idx="169">
                  <c:v>9.1480218049903144</c:v>
                </c:pt>
                <c:pt idx="170">
                  <c:v>9.1494040564478745</c:v>
                </c:pt>
                <c:pt idx="171">
                  <c:v>9.1507862886280549</c:v>
                </c:pt>
                <c:pt idx="172">
                  <c:v>9.1521690613539093</c:v>
                </c:pt>
                <c:pt idx="173">
                  <c:v>9.1535512549718039</c:v>
                </c:pt>
                <c:pt idx="174">
                  <c:v>9.1549339891205292</c:v>
                </c:pt>
                <c:pt idx="175">
                  <c:v>9.1563161441771683</c:v>
                </c:pt>
                <c:pt idx="176">
                  <c:v>9.1576982799576605</c:v>
                </c:pt>
                <c:pt idx="177">
                  <c:v>9.1590809562460898</c:v>
                </c:pt>
                <c:pt idx="178">
                  <c:v>9.1604630534668381</c:v>
                </c:pt>
                <c:pt idx="179">
                  <c:v>9.161845131411928</c:v>
                </c:pt>
                <c:pt idx="180">
                  <c:v>9.1632277498422852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'Seasoning Ramp'!$H$1:$H$2</c:f>
              <c:strCache>
                <c:ptCount val="1"/>
                <c:pt idx="0">
                  <c:v>CPR HAP 15%</c:v>
                </c:pt>
              </c:strCache>
            </c:strRef>
          </c:tx>
          <c:marker>
            <c:symbol val="none"/>
          </c:marker>
          <c:cat>
            <c:numRef>
              <c:f>'Seasoning Ramp'!$A$3:$A$183</c:f>
              <c:numCache>
                <c:formatCode>General</c:formatCode>
                <c:ptCount val="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numCache>
            </c:numRef>
          </c:cat>
          <c:val>
            <c:numRef>
              <c:f>'Seasoning Ramp'!$H$3:$H$183</c:f>
              <c:numCache>
                <c:formatCode>General</c:formatCode>
                <c:ptCount val="181"/>
                <c:pt idx="0">
                  <c:v>0</c:v>
                </c:pt>
                <c:pt idx="1">
                  <c:v>1.0838668055975886</c:v>
                </c:pt>
                <c:pt idx="2">
                  <c:v>2.1459371820710782</c:v>
                </c:pt>
                <c:pt idx="3">
                  <c:v>2.9981304416859533</c:v>
                </c:pt>
                <c:pt idx="4">
                  <c:v>3.6360701831017916</c:v>
                </c:pt>
                <c:pt idx="5">
                  <c:v>4.141106423887031</c:v>
                </c:pt>
                <c:pt idx="6">
                  <c:v>4.548903555657791</c:v>
                </c:pt>
                <c:pt idx="7">
                  <c:v>4.8942520047039695</c:v>
                </c:pt>
                <c:pt idx="8">
                  <c:v>5.2105900769881526</c:v>
                </c:pt>
                <c:pt idx="9">
                  <c:v>5.5086320565261415</c:v>
                </c:pt>
                <c:pt idx="10">
                  <c:v>5.7892874824481799</c:v>
                </c:pt>
                <c:pt idx="11">
                  <c:v>6.0534494208021599</c:v>
                </c:pt>
                <c:pt idx="12">
                  <c:v>6.3019934939890776</c:v>
                </c:pt>
                <c:pt idx="13">
                  <c:v>6.5357829867167432</c:v>
                </c:pt>
                <c:pt idx="14">
                  <c:v>6.7556661878124586</c:v>
                </c:pt>
                <c:pt idx="15">
                  <c:v>6.9624790439928859</c:v>
                </c:pt>
                <c:pt idx="16">
                  <c:v>7.1570462010147491</c:v>
                </c:pt>
                <c:pt idx="17">
                  <c:v>7.3401827350589528</c:v>
                </c:pt>
                <c:pt idx="18">
                  <c:v>7.5126935355940727</c:v>
                </c:pt>
                <c:pt idx="19">
                  <c:v>7.6753756652074063</c:v>
                </c:pt>
                <c:pt idx="20">
                  <c:v>7.8290176184796607</c:v>
                </c:pt>
                <c:pt idx="21">
                  <c:v>7.9744007955227847</c:v>
                </c:pt>
                <c:pt idx="22">
                  <c:v>8.1123009069205327</c:v>
                </c:pt>
                <c:pt idx="23">
                  <c:v>8.2434870552215873</c:v>
                </c:pt>
                <c:pt idx="24">
                  <c:v>8.3687237747768872</c:v>
                </c:pt>
                <c:pt idx="25">
                  <c:v>8.4887699992805885</c:v>
                </c:pt>
                <c:pt idx="26">
                  <c:v>8.6043802314291433</c:v>
                </c:pt>
                <c:pt idx="27">
                  <c:v>8.7163056498164355</c:v>
                </c:pt>
                <c:pt idx="28">
                  <c:v>8.8252929102567883</c:v>
                </c:pt>
                <c:pt idx="29">
                  <c:v>8.9320851425466525</c:v>
                </c:pt>
                <c:pt idx="30">
                  <c:v>9.0374236329995092</c:v>
                </c:pt>
                <c:pt idx="31">
                  <c:v>9.1420434772789054</c:v>
                </c:pt>
                <c:pt idx="32">
                  <c:v>9.2466796346197917</c:v>
                </c:pt>
                <c:pt idx="33">
                  <c:v>9.3520632170009943</c:v>
                </c:pt>
                <c:pt idx="34">
                  <c:v>9.4589199776867758</c:v>
                </c:pt>
                <c:pt idx="35">
                  <c:v>9.5675722981634728</c:v>
                </c:pt>
                <c:pt idx="36">
                  <c:v>9.67371112347214</c:v>
                </c:pt>
                <c:pt idx="37">
                  <c:v>9.7760559493085033</c:v>
                </c:pt>
                <c:pt idx="38">
                  <c:v>9.8746916268637968</c:v>
                </c:pt>
                <c:pt idx="39">
                  <c:v>9.9697030300847089</c:v>
                </c:pt>
                <c:pt idx="40">
                  <c:v>10.061173603856922</c:v>
                </c:pt>
                <c:pt idx="41">
                  <c:v>10.149186871989802</c:v>
                </c:pt>
                <c:pt idx="42">
                  <c:v>10.233824986752371</c:v>
                </c:pt>
                <c:pt idx="43">
                  <c:v>10.315170232618676</c:v>
                </c:pt>
                <c:pt idx="44">
                  <c:v>10.393302840782182</c:v>
                </c:pt>
                <c:pt idx="45">
                  <c:v>10.468305434339575</c:v>
                </c:pt>
                <c:pt idx="46">
                  <c:v>10.540256425941863</c:v>
                </c:pt>
                <c:pt idx="47">
                  <c:v>10.609236666769773</c:v>
                </c:pt>
                <c:pt idx="48">
                  <c:v>10.675325789009914</c:v>
                </c:pt>
                <c:pt idx="49">
                  <c:v>10.738600764100836</c:v>
                </c:pt>
                <c:pt idx="50">
                  <c:v>10.799141797045619</c:v>
                </c:pt>
                <c:pt idx="51">
                  <c:v>10.857026474676745</c:v>
                </c:pt>
                <c:pt idx="52">
                  <c:v>10.912331257814722</c:v>
                </c:pt>
                <c:pt idx="53">
                  <c:v>10.965135162859696</c:v>
                </c:pt>
                <c:pt idx="54">
                  <c:v>11.01551318970342</c:v>
                </c:pt>
                <c:pt idx="55">
                  <c:v>11.063542930625768</c:v>
                </c:pt>
                <c:pt idx="56">
                  <c:v>11.10930019632419</c:v>
                </c:pt>
                <c:pt idx="57">
                  <c:v>11.152860498110206</c:v>
                </c:pt>
                <c:pt idx="58">
                  <c:v>11.194299795076901</c:v>
                </c:pt>
                <c:pt idx="59">
                  <c:v>11.233693779118891</c:v>
                </c:pt>
                <c:pt idx="60">
                  <c:v>11.271117161278909</c:v>
                </c:pt>
                <c:pt idx="61">
                  <c:v>11.30664514710279</c:v>
                </c:pt>
                <c:pt idx="62">
                  <c:v>11.340351262749405</c:v>
                </c:pt>
                <c:pt idx="63">
                  <c:v>11.372311015765691</c:v>
                </c:pt>
                <c:pt idx="64">
                  <c:v>11.402598261945407</c:v>
                </c:pt>
                <c:pt idx="65">
                  <c:v>11.431287405812075</c:v>
                </c:pt>
                <c:pt idx="66">
                  <c:v>11.458451227344336</c:v>
                </c:pt>
                <c:pt idx="67">
                  <c:v>11.484164535756335</c:v>
                </c:pt>
                <c:pt idx="68">
                  <c:v>11.508500538768374</c:v>
                </c:pt>
                <c:pt idx="69">
                  <c:v>11.531532310451221</c:v>
                </c:pt>
                <c:pt idx="70">
                  <c:v>11.553333528766673</c:v>
                </c:pt>
                <c:pt idx="71">
                  <c:v>11.573977756983789</c:v>
                </c:pt>
                <c:pt idx="72">
                  <c:v>11.593536998380294</c:v>
                </c:pt>
                <c:pt idx="73">
                  <c:v>11.612085341276469</c:v>
                </c:pt>
                <c:pt idx="74">
                  <c:v>11.629768747019153</c:v>
                </c:pt>
                <c:pt idx="75">
                  <c:v>11.646698159248892</c:v>
                </c:pt>
                <c:pt idx="76">
                  <c:v>11.66289068693419</c:v>
                </c:pt>
                <c:pt idx="77">
                  <c:v>11.678365590256712</c:v>
                </c:pt>
                <c:pt idx="78">
                  <c:v>11.693140648116884</c:v>
                </c:pt>
                <c:pt idx="79">
                  <c:v>11.707234339535844</c:v>
                </c:pt>
                <c:pt idx="80">
                  <c:v>11.720664391985791</c:v>
                </c:pt>
                <c:pt idx="81">
                  <c:v>11.733449235378634</c:v>
                </c:pt>
                <c:pt idx="82">
                  <c:v>11.745607276777859</c:v>
                </c:pt>
                <c:pt idx="83">
                  <c:v>11.757156175666882</c:v>
                </c:pt>
                <c:pt idx="84">
                  <c:v>11.768113571387772</c:v>
                </c:pt>
                <c:pt idx="85">
                  <c:v>11.778498535785808</c:v>
                </c:pt>
                <c:pt idx="86">
                  <c:v>11.788329396422558</c:v>
                </c:pt>
                <c:pt idx="87">
                  <c:v>11.797623012402314</c:v>
                </c:pt>
                <c:pt idx="88">
                  <c:v>11.80639767832835</c:v>
                </c:pt>
                <c:pt idx="89">
                  <c:v>11.814671673593624</c:v>
                </c:pt>
                <c:pt idx="90">
                  <c:v>11.822463263344618</c:v>
                </c:pt>
                <c:pt idx="91">
                  <c:v>11.829789974022386</c:v>
                </c:pt>
                <c:pt idx="92">
                  <c:v>11.836670045190779</c:v>
                </c:pt>
                <c:pt idx="93">
                  <c:v>11.843120979544031</c:v>
                </c:pt>
                <c:pt idx="94">
                  <c:v>11.849160994447349</c:v>
                </c:pt>
                <c:pt idx="95">
                  <c:v>11.854808297285979</c:v>
                </c:pt>
                <c:pt idx="96">
                  <c:v>11.86008036106344</c:v>
                </c:pt>
                <c:pt idx="97">
                  <c:v>11.864995375558651</c:v>
                </c:pt>
                <c:pt idx="98">
                  <c:v>11.869570797639506</c:v>
                </c:pt>
                <c:pt idx="99">
                  <c:v>11.873825527251459</c:v>
                </c:pt>
                <c:pt idx="100">
                  <c:v>11.877776282582698</c:v>
                </c:pt>
                <c:pt idx="101">
                  <c:v>11.881441226087963</c:v>
                </c:pt>
                <c:pt idx="102">
                  <c:v>11.884839239772004</c:v>
                </c:pt>
                <c:pt idx="103">
                  <c:v>11.887987025791425</c:v>
                </c:pt>
                <c:pt idx="104">
                  <c:v>11.89090345686019</c:v>
                </c:pt>
                <c:pt idx="105">
                  <c:v>11.89360522691566</c:v>
                </c:pt>
                <c:pt idx="106">
                  <c:v>11.896110476283518</c:v>
                </c:pt>
                <c:pt idx="107">
                  <c:v>11.898438066988637</c:v>
                </c:pt>
                <c:pt idx="108">
                  <c:v>11.900605408461228</c:v>
                </c:pt>
                <c:pt idx="109">
                  <c:v>11.902629182859847</c:v>
                </c:pt>
                <c:pt idx="110">
                  <c:v>11.904528969544915</c:v>
                </c:pt>
                <c:pt idx="111">
                  <c:v>11.906321446547096</c:v>
                </c:pt>
                <c:pt idx="112">
                  <c:v>11.908024739852118</c:v>
                </c:pt>
                <c:pt idx="113">
                  <c:v>11.909657698662423</c:v>
                </c:pt>
                <c:pt idx="114">
                  <c:v>11.911236271614245</c:v>
                </c:pt>
                <c:pt idx="115">
                  <c:v>11.912780029999869</c:v>
                </c:pt>
                <c:pt idx="116">
                  <c:v>11.914305644790524</c:v>
                </c:pt>
                <c:pt idx="117">
                  <c:v>11.915831235360342</c:v>
                </c:pt>
                <c:pt idx="118">
                  <c:v>11.917374919929358</c:v>
                </c:pt>
                <c:pt idx="119">
                  <c:v>11.918954815546556</c:v>
                </c:pt>
                <c:pt idx="120">
                  <c:v>11.920588313333912</c:v>
                </c:pt>
                <c:pt idx="121">
                  <c:v>11.922293527849215</c:v>
                </c:pt>
                <c:pt idx="122">
                  <c:v>11.924087847548758</c:v>
                </c:pt>
                <c:pt idx="123">
                  <c:v>11.92598865937099</c:v>
                </c:pt>
                <c:pt idx="124">
                  <c:v>11.928015522504875</c:v>
                </c:pt>
                <c:pt idx="125">
                  <c:v>11.930185095511037</c:v>
                </c:pt>
                <c:pt idx="126">
                  <c:v>11.932502441022219</c:v>
                </c:pt>
                <c:pt idx="127">
                  <c:v>11.93473857572479</c:v>
                </c:pt>
                <c:pt idx="128">
                  <c:v>11.936817424198287</c:v>
                </c:pt>
                <c:pt idx="129">
                  <c:v>11.938761458243585</c:v>
                </c:pt>
                <c:pt idx="130">
                  <c:v>11.940593147207345</c:v>
                </c:pt>
                <c:pt idx="131">
                  <c:v>11.942334233730723</c:v>
                </c:pt>
                <c:pt idx="132">
                  <c:v>11.94400573404889</c:v>
                </c:pt>
                <c:pt idx="133">
                  <c:v>11.945631560810977</c:v>
                </c:pt>
                <c:pt idx="134">
                  <c:v>11.947232002435914</c:v>
                </c:pt>
                <c:pt idx="135">
                  <c:v>11.948830243921504</c:v>
                </c:pt>
                <c:pt idx="136">
                  <c:v>11.950448019757099</c:v>
                </c:pt>
                <c:pt idx="137">
                  <c:v>11.952107062960216</c:v>
                </c:pt>
                <c:pt idx="138">
                  <c:v>11.95382910500693</c:v>
                </c:pt>
                <c:pt idx="139">
                  <c:v>11.955614142507764</c:v>
                </c:pt>
                <c:pt idx="140">
                  <c:v>11.957402768968961</c:v>
                </c:pt>
                <c:pt idx="141">
                  <c:v>11.959192086535319</c:v>
                </c:pt>
                <c:pt idx="142">
                  <c:v>11.96098064636727</c:v>
                </c:pt>
                <c:pt idx="143">
                  <c:v>11.962769172892262</c:v>
                </c:pt>
                <c:pt idx="144">
                  <c:v>11.964558390483859</c:v>
                </c:pt>
                <c:pt idx="145">
                  <c:v>11.966346850383125</c:v>
                </c:pt>
                <c:pt idx="146">
                  <c:v>11.968136001323003</c:v>
                </c:pt>
                <c:pt idx="147">
                  <c:v>11.969924394598797</c:v>
                </c:pt>
                <c:pt idx="148">
                  <c:v>11.971712754570586</c:v>
                </c:pt>
                <c:pt idx="149">
                  <c:v>11.973501805544039</c:v>
                </c:pt>
                <c:pt idx="150">
                  <c:v>11.975290098895563</c:v>
                </c:pt>
                <c:pt idx="151">
                  <c:v>11.97707908322313</c:v>
                </c:pt>
                <c:pt idx="152">
                  <c:v>11.97886730995693</c:v>
                </c:pt>
                <c:pt idx="153">
                  <c:v>11.980655503389336</c:v>
                </c:pt>
                <c:pt idx="154">
                  <c:v>11.982444387758894</c:v>
                </c:pt>
                <c:pt idx="155">
                  <c:v>11.984232514576876</c:v>
                </c:pt>
                <c:pt idx="156">
                  <c:v>11.986021332306052</c:v>
                </c:pt>
                <c:pt idx="157">
                  <c:v>11.987809392511938</c:v>
                </c:pt>
                <c:pt idx="158">
                  <c:v>11.989597419419173</c:v>
                </c:pt>
                <c:pt idx="159">
                  <c:v>11.991386137198978</c:v>
                </c:pt>
                <c:pt idx="160">
                  <c:v>11.993174097497338</c:v>
                </c:pt>
                <c:pt idx="161">
                  <c:v>11.994962024499046</c:v>
                </c:pt>
                <c:pt idx="162">
                  <c:v>11.996750642334463</c:v>
                </c:pt>
                <c:pt idx="163">
                  <c:v>11.998538502730627</c:v>
                </c:pt>
                <c:pt idx="164">
                  <c:v>12.000327053934711</c:v>
                </c:pt>
                <c:pt idx="165">
                  <c:v>12.002114847727841</c:v>
                </c:pt>
                <c:pt idx="166">
                  <c:v>12.003902608226868</c:v>
                </c:pt>
                <c:pt idx="167">
                  <c:v>12.005691059494994</c:v>
                </c:pt>
                <c:pt idx="168">
                  <c:v>12.007478753394174</c:v>
                </c:pt>
                <c:pt idx="169">
                  <c:v>12.009267138036805</c:v>
                </c:pt>
                <c:pt idx="170">
                  <c:v>12.011054765338503</c:v>
                </c:pt>
                <c:pt idx="171">
                  <c:v>12.012842359348941</c:v>
                </c:pt>
                <c:pt idx="172">
                  <c:v>12.014630644063972</c:v>
                </c:pt>
                <c:pt idx="173">
                  <c:v>12.016418171480471</c:v>
                </c:pt>
                <c:pt idx="174">
                  <c:v>12.018206389575504</c:v>
                </c:pt>
                <c:pt idx="175">
                  <c:v>12.019993850399935</c:v>
                </c:pt>
                <c:pt idx="176">
                  <c:v>12.021781277935961</c:v>
                </c:pt>
                <c:pt idx="177">
                  <c:v>12.023569396111988</c:v>
                </c:pt>
                <c:pt idx="178">
                  <c:v>12.025356757059647</c:v>
                </c:pt>
                <c:pt idx="179">
                  <c:v>12.027144084720543</c:v>
                </c:pt>
                <c:pt idx="180">
                  <c:v>12.028932102982671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38592"/>
        <c:axId val="172640128"/>
      </c:lineChart>
      <c:catAx>
        <c:axId val="17263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WALA (Month)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2640128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1726401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Baseline Turnover * Seasoning Ramp * HPA 2-year multiplier (CPR)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2638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590551</xdr:colOff>
      <xdr:row>1</xdr:row>
      <xdr:rowOff>161925</xdr:rowOff>
    </xdr:from>
    <xdr:to>
      <xdr:col>23</xdr:col>
      <xdr:colOff>123825</xdr:colOff>
      <xdr:row>28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190500</xdr:colOff>
      <xdr:row>7</xdr:row>
      <xdr:rowOff>95249</xdr:rowOff>
    </xdr:from>
    <xdr:to>
      <xdr:col>26</xdr:col>
      <xdr:colOff>295275</xdr:colOff>
      <xdr:row>36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2"/>
  <sheetViews>
    <sheetView tabSelected="1" workbookViewId="0">
      <selection activeCell="M35" sqref="M35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17.5703125" bestFit="1" customWidth="1"/>
    <col min="4" max="4" width="16.85546875" bestFit="1" customWidth="1"/>
    <col min="5" max="6" width="10.140625" customWidth="1"/>
    <col min="7" max="7" width="15.7109375" bestFit="1" customWidth="1"/>
    <col min="8" max="8" width="9.5703125" bestFit="1" customWidth="1"/>
  </cols>
  <sheetData>
    <row r="1" spans="1:8" x14ac:dyDescent="0.25">
      <c r="A1" s="6" t="s">
        <v>0</v>
      </c>
      <c r="B1" s="6" t="s">
        <v>1</v>
      </c>
      <c r="C1" s="12" t="s">
        <v>3</v>
      </c>
      <c r="D1" s="12" t="s">
        <v>4</v>
      </c>
      <c r="G1" s="2" t="s">
        <v>2</v>
      </c>
      <c r="H1" s="1" t="s">
        <v>5</v>
      </c>
    </row>
    <row r="2" spans="1:8" x14ac:dyDescent="0.25">
      <c r="A2">
        <v>-260</v>
      </c>
      <c r="B2">
        <v>0.66158410000000001</v>
      </c>
      <c r="C2">
        <f>B2*$G$2</f>
        <v>3.2998577745732998E-3</v>
      </c>
      <c r="D2">
        <f>100*(1-(1-C2)^12)</f>
        <v>3.8887461980479543</v>
      </c>
      <c r="G2" s="3">
        <v>4.9878129999999998E-3</v>
      </c>
      <c r="H2" s="3">
        <f>100*(1-(1-G2)^12)</f>
        <v>5.8238785082800781</v>
      </c>
    </row>
    <row r="3" spans="1:8" x14ac:dyDescent="0.25">
      <c r="A3">
        <v>-259</v>
      </c>
      <c r="B3">
        <v>0.66159849999999998</v>
      </c>
      <c r="C3">
        <f>B3*$G$2</f>
        <v>3.2999295990804997E-3</v>
      </c>
      <c r="D3">
        <f>100*(1-(1-C3)^12)</f>
        <v>3.8888293099940241</v>
      </c>
    </row>
    <row r="4" spans="1:8" x14ac:dyDescent="0.25">
      <c r="A4">
        <v>-258</v>
      </c>
      <c r="B4">
        <v>0.66161329999999996</v>
      </c>
      <c r="C4">
        <f>B4*$G$2</f>
        <v>3.3000034187128996E-3</v>
      </c>
      <c r="D4">
        <f>100*(1-(1-C4)^12)</f>
        <v>3.8889147305366412</v>
      </c>
    </row>
    <row r="5" spans="1:8" x14ac:dyDescent="0.25">
      <c r="A5">
        <v>-257</v>
      </c>
      <c r="B5">
        <v>0.66162860000000001</v>
      </c>
      <c r="C5">
        <f>B5*$G$2</f>
        <v>3.3000797322518E-3</v>
      </c>
      <c r="D5">
        <f>100*(1-(1-C5)^12)</f>
        <v>3.8890030368350592</v>
      </c>
    </row>
    <row r="6" spans="1:8" x14ac:dyDescent="0.25">
      <c r="A6">
        <v>-256</v>
      </c>
      <c r="B6">
        <v>0.66164429999999996</v>
      </c>
      <c r="C6">
        <f>B6*$G$2</f>
        <v>3.3001580409158997E-3</v>
      </c>
      <c r="D6">
        <f>100*(1-(1-C6)^12)</f>
        <v>3.8890936517177344</v>
      </c>
    </row>
    <row r="7" spans="1:8" x14ac:dyDescent="0.25">
      <c r="A7">
        <v>-255</v>
      </c>
      <c r="B7">
        <v>0.66166040000000004</v>
      </c>
      <c r="C7">
        <f>B7*$G$2</f>
        <v>3.3002383447052002E-3</v>
      </c>
      <c r="D7">
        <f>100*(1-(1-C7)^12)</f>
        <v>3.8891865751784827</v>
      </c>
    </row>
    <row r="8" spans="1:8" x14ac:dyDescent="0.25">
      <c r="A8">
        <v>-254</v>
      </c>
      <c r="B8">
        <v>0.66167699999999996</v>
      </c>
      <c r="C8">
        <f>B8*$G$2</f>
        <v>3.3003211424009996E-3</v>
      </c>
      <c r="D8">
        <f>100*(1-(1-C8)^12)</f>
        <v>3.889282384374726</v>
      </c>
    </row>
    <row r="9" spans="1:8" x14ac:dyDescent="0.25">
      <c r="A9">
        <v>-253</v>
      </c>
      <c r="B9">
        <v>0.661694</v>
      </c>
      <c r="C9">
        <f>B9*$G$2</f>
        <v>3.3004059352219998E-3</v>
      </c>
      <c r="D9">
        <f>100*(1-(1-C9)^12)</f>
        <v>3.8893805021355532</v>
      </c>
    </row>
    <row r="10" spans="1:8" x14ac:dyDescent="0.25">
      <c r="A10">
        <v>-252</v>
      </c>
      <c r="B10">
        <v>0.66171150000000001</v>
      </c>
      <c r="C10">
        <f>B10*$G$2</f>
        <v>3.3004932219494998E-3</v>
      </c>
      <c r="D10">
        <f>100*(1-(1-C10)^12)</f>
        <v>3.8894815056170318</v>
      </c>
    </row>
    <row r="11" spans="1:8" x14ac:dyDescent="0.25">
      <c r="A11">
        <v>-251</v>
      </c>
      <c r="B11">
        <v>0.66172949999999997</v>
      </c>
      <c r="C11">
        <f>B11*$G$2</f>
        <v>3.3005830025834995E-3</v>
      </c>
      <c r="D11">
        <f>100*(1-(1-C11)^12)</f>
        <v>3.8895853948108239</v>
      </c>
    </row>
    <row r="12" spans="1:8" x14ac:dyDescent="0.25">
      <c r="A12">
        <v>-250</v>
      </c>
      <c r="B12">
        <v>0.66174789999999994</v>
      </c>
      <c r="C12">
        <f>B12*$G$2</f>
        <v>3.3006747783426997E-3</v>
      </c>
      <c r="D12">
        <f>100*(1-(1-C12)^12)</f>
        <v>3.8896915925468289</v>
      </c>
    </row>
    <row r="13" spans="1:8" x14ac:dyDescent="0.25">
      <c r="A13">
        <v>-249</v>
      </c>
      <c r="B13">
        <v>0.66176679999999999</v>
      </c>
      <c r="C13">
        <f>B13*$G$2</f>
        <v>3.3007690480083996E-3</v>
      </c>
      <c r="D13">
        <f>100*(1-(1-C13)^12)</f>
        <v>3.8898006759788717</v>
      </c>
    </row>
    <row r="14" spans="1:8" x14ac:dyDescent="0.25">
      <c r="A14">
        <v>-248</v>
      </c>
      <c r="B14">
        <v>0.66178619999999999</v>
      </c>
      <c r="C14">
        <f>B14*$G$2</f>
        <v>3.3008658115805996E-3</v>
      </c>
      <c r="D14">
        <f>100*(1-(1-C14)^12)</f>
        <v>3.8899126450981147</v>
      </c>
    </row>
    <row r="15" spans="1:8" x14ac:dyDescent="0.25">
      <c r="A15">
        <v>-247</v>
      </c>
      <c r="B15">
        <v>0.66180609999999995</v>
      </c>
      <c r="C15">
        <f>B15*$G$2</f>
        <v>3.3009650690592998E-3</v>
      </c>
      <c r="D15">
        <f>100*(1-(1-C15)^12)</f>
        <v>3.8900274998949991</v>
      </c>
    </row>
    <row r="16" spans="1:8" x14ac:dyDescent="0.25">
      <c r="A16">
        <v>-246</v>
      </c>
      <c r="B16">
        <v>0.66182649999999998</v>
      </c>
      <c r="C16">
        <f>B16*$G$2</f>
        <v>3.3010668204444997E-3</v>
      </c>
      <c r="D16">
        <f>100*(1-(1-C16)^12)</f>
        <v>3.8901452403602765</v>
      </c>
    </row>
    <row r="17" spans="1:4" x14ac:dyDescent="0.25">
      <c r="A17">
        <v>-245</v>
      </c>
      <c r="B17">
        <v>0.66184739999999997</v>
      </c>
      <c r="C17">
        <f>B17*$G$2</f>
        <v>3.3011710657361998E-3</v>
      </c>
      <c r="D17">
        <f>100*(1-(1-C17)^12)</f>
        <v>3.8902658664841661</v>
      </c>
    </row>
    <row r="18" spans="1:4" x14ac:dyDescent="0.25">
      <c r="A18">
        <v>-244</v>
      </c>
      <c r="B18">
        <v>0.66186880000000003</v>
      </c>
      <c r="C18">
        <f>B18*$G$2</f>
        <v>3.3012778049344E-3</v>
      </c>
      <c r="D18">
        <f>100*(1-(1-C18)^12)</f>
        <v>3.8903893782566645</v>
      </c>
    </row>
    <row r="19" spans="1:4" x14ac:dyDescent="0.25">
      <c r="A19">
        <v>-243</v>
      </c>
      <c r="B19">
        <v>0.66189070000000005</v>
      </c>
      <c r="C19">
        <f>B19*$G$2</f>
        <v>3.3013870380391003E-3</v>
      </c>
      <c r="D19">
        <f>100*(1-(1-C19)^12)</f>
        <v>3.8905157756675468</v>
      </c>
    </row>
    <row r="20" spans="1:4" x14ac:dyDescent="0.25">
      <c r="A20">
        <v>-242</v>
      </c>
      <c r="B20">
        <v>0.66191319999999998</v>
      </c>
      <c r="C20">
        <f>B20*$G$2</f>
        <v>3.3014992638315996E-3</v>
      </c>
      <c r="D20">
        <f>100*(1-(1-C20)^12)</f>
        <v>3.8906456358626218</v>
      </c>
    </row>
    <row r="21" spans="1:4" x14ac:dyDescent="0.25">
      <c r="A21">
        <v>-241</v>
      </c>
      <c r="B21">
        <v>0.66193619999999997</v>
      </c>
      <c r="C21">
        <f>B21*$G$2</f>
        <v>3.3016139835305995E-3</v>
      </c>
      <c r="D21">
        <f>100*(1-(1-C21)^12)</f>
        <v>3.8907783816734542</v>
      </c>
    </row>
    <row r="22" spans="1:4" x14ac:dyDescent="0.25">
      <c r="A22">
        <v>-240</v>
      </c>
      <c r="B22">
        <v>0.66195970000000004</v>
      </c>
      <c r="C22">
        <f>B22*$G$2</f>
        <v>3.3017311971361E-3</v>
      </c>
      <c r="D22">
        <f>100*(1-(1-C22)^12)</f>
        <v>3.8909140130892417</v>
      </c>
    </row>
    <row r="23" spans="1:4" x14ac:dyDescent="0.25">
      <c r="A23">
        <v>-239</v>
      </c>
      <c r="B23">
        <v>0.66198369999999995</v>
      </c>
      <c r="C23">
        <f>B23*$G$2</f>
        <v>3.3018509046480998E-3</v>
      </c>
      <c r="D23">
        <f>100*(1-(1-C23)^12)</f>
        <v>3.891052530098793</v>
      </c>
    </row>
    <row r="24" spans="1:4" x14ac:dyDescent="0.25">
      <c r="A24">
        <v>-238</v>
      </c>
      <c r="B24">
        <v>0.66200840000000005</v>
      </c>
      <c r="C24">
        <f>B24*$G$2</f>
        <v>3.3019741036292003E-3</v>
      </c>
      <c r="D24">
        <f>100*(1-(1-C24)^12)</f>
        <v>3.8911950869966905</v>
      </c>
    </row>
    <row r="25" spans="1:4" x14ac:dyDescent="0.25">
      <c r="A25">
        <v>-237</v>
      </c>
      <c r="B25">
        <v>0.66203350000000005</v>
      </c>
      <c r="C25">
        <f>B25*$G$2</f>
        <v>3.3020992977355001E-3</v>
      </c>
      <c r="D25">
        <f>100*(1-(1-C25)^12)</f>
        <v>3.8913399523097136</v>
      </c>
    </row>
    <row r="26" spans="1:4" x14ac:dyDescent="0.25">
      <c r="A26">
        <v>-236</v>
      </c>
      <c r="B26">
        <v>0.66205919999999996</v>
      </c>
      <c r="C26">
        <f>B26*$G$2</f>
        <v>3.3022274845295996E-3</v>
      </c>
      <c r="D26">
        <f>100*(1-(1-C26)^12)</f>
        <v>3.8914882803311679</v>
      </c>
    </row>
    <row r="27" spans="1:4" x14ac:dyDescent="0.25">
      <c r="A27">
        <v>-235</v>
      </c>
      <c r="B27">
        <v>0.66208549999999999</v>
      </c>
      <c r="C27">
        <f>B27*$G$2</f>
        <v>3.3023586640114999E-3</v>
      </c>
      <c r="D27">
        <f>100*(1-(1-C27)^12)</f>
        <v>3.8916400710464427</v>
      </c>
    </row>
    <row r="28" spans="1:4" x14ac:dyDescent="0.25">
      <c r="A28">
        <v>-234</v>
      </c>
      <c r="B28">
        <v>0.66211240000000005</v>
      </c>
      <c r="C28">
        <f>B28*$G$2</f>
        <v>3.3024928361812E-3</v>
      </c>
      <c r="D28">
        <f>100*(1-(1-C28)^12)</f>
        <v>3.8917953244404391</v>
      </c>
    </row>
    <row r="29" spans="1:4" x14ac:dyDescent="0.25">
      <c r="A29">
        <v>-233</v>
      </c>
      <c r="B29">
        <v>0.6621399</v>
      </c>
      <c r="C29">
        <f>B29*$G$2</f>
        <v>3.3026300010386999E-3</v>
      </c>
      <c r="D29">
        <f>100*(1-(1-C29)^12)</f>
        <v>3.8919540404976805</v>
      </c>
    </row>
    <row r="30" spans="1:4" x14ac:dyDescent="0.25">
      <c r="A30">
        <v>-232</v>
      </c>
      <c r="B30">
        <v>0.66216790000000003</v>
      </c>
      <c r="C30">
        <f>B30*$G$2</f>
        <v>3.3027696598027E-3</v>
      </c>
      <c r="D30">
        <f>100*(1-(1-C30)^12)</f>
        <v>3.8921156420546388</v>
      </c>
    </row>
    <row r="31" spans="1:4" x14ac:dyDescent="0.25">
      <c r="A31">
        <v>-231</v>
      </c>
      <c r="B31">
        <v>0.66219649999999997</v>
      </c>
      <c r="C31">
        <f>B31*$G$2</f>
        <v>3.3029123112544999E-3</v>
      </c>
      <c r="D31">
        <f>100*(1-(1-C31)^12)</f>
        <v>3.8922807062448772</v>
      </c>
    </row>
    <row r="32" spans="1:4" x14ac:dyDescent="0.25">
      <c r="A32">
        <v>-230</v>
      </c>
      <c r="B32">
        <v>0.66222579999999998</v>
      </c>
      <c r="C32">
        <f>B32*$G$2</f>
        <v>3.3030584541753998E-3</v>
      </c>
      <c r="D32">
        <f>100*(1-(1-C32)^12)</f>
        <v>3.892449810198384</v>
      </c>
    </row>
    <row r="33" spans="1:4" x14ac:dyDescent="0.25">
      <c r="A33">
        <v>-229</v>
      </c>
      <c r="B33">
        <v>0.66225560000000006</v>
      </c>
      <c r="C33">
        <f>B33*$G$2</f>
        <v>3.3032070910028002E-3</v>
      </c>
      <c r="D33">
        <f>100*(1-(1-C33)^12)</f>
        <v>3.8926217996050116</v>
      </c>
    </row>
    <row r="34" spans="1:4" x14ac:dyDescent="0.25">
      <c r="A34">
        <v>-228</v>
      </c>
      <c r="B34">
        <v>0.66228609999999999</v>
      </c>
      <c r="C34">
        <f>B34*$G$2</f>
        <v>3.3033592192992997E-3</v>
      </c>
      <c r="D34">
        <f>100*(1-(1-C34)^12)</f>
        <v>3.8927978287389919</v>
      </c>
    </row>
    <row r="35" spans="1:4" x14ac:dyDescent="0.25">
      <c r="A35">
        <v>-227</v>
      </c>
      <c r="B35">
        <v>0.66231709999999999</v>
      </c>
      <c r="C35">
        <f>B35*$G$2</f>
        <v>3.3035138415022998E-3</v>
      </c>
      <c r="D35">
        <f>100*(1-(1-C35)^12)</f>
        <v>3.8929767432939077</v>
      </c>
    </row>
    <row r="36" spans="1:4" x14ac:dyDescent="0.25">
      <c r="A36">
        <v>-226</v>
      </c>
      <c r="B36">
        <v>0.66234879999999996</v>
      </c>
      <c r="C36">
        <f>B36*$G$2</f>
        <v>3.3036719551743999E-3</v>
      </c>
      <c r="D36">
        <f>100*(1-(1-C36)^12)</f>
        <v>3.8931596975390614</v>
      </c>
    </row>
    <row r="37" spans="1:4" x14ac:dyDescent="0.25">
      <c r="A37">
        <v>-225</v>
      </c>
      <c r="B37">
        <v>0.6623812</v>
      </c>
      <c r="C37">
        <f>B37*$G$2</f>
        <v>3.3038335603155999E-3</v>
      </c>
      <c r="D37">
        <f>100*(1-(1-C37)^12)</f>
        <v>3.8933466914533255</v>
      </c>
    </row>
    <row r="38" spans="1:4" x14ac:dyDescent="0.25">
      <c r="A38">
        <v>-224</v>
      </c>
      <c r="B38">
        <v>0.66241410000000001</v>
      </c>
      <c r="C38">
        <f>B38*$G$2</f>
        <v>3.3039976593633E-3</v>
      </c>
      <c r="D38">
        <f>100*(1-(1-C38)^12)</f>
        <v>3.8935365707348901</v>
      </c>
    </row>
    <row r="39" spans="1:4" x14ac:dyDescent="0.25">
      <c r="A39">
        <v>-223</v>
      </c>
      <c r="B39">
        <v>0.66244780000000003</v>
      </c>
      <c r="C39">
        <f>B39*$G$2</f>
        <v>3.3041657486614002E-3</v>
      </c>
      <c r="D39">
        <f>100*(1-(1-C39)^12)</f>
        <v>3.8937310667853553</v>
      </c>
    </row>
    <row r="40" spans="1:4" x14ac:dyDescent="0.25">
      <c r="A40">
        <v>-222</v>
      </c>
      <c r="B40">
        <v>0.66248200000000002</v>
      </c>
      <c r="C40">
        <f>B40*$G$2</f>
        <v>3.3043363318660001E-3</v>
      </c>
      <c r="D40">
        <f>100*(1-(1-C40)^12)</f>
        <v>3.8939284481650405</v>
      </c>
    </row>
    <row r="41" spans="1:4" x14ac:dyDescent="0.25">
      <c r="A41">
        <v>-221</v>
      </c>
      <c r="B41">
        <v>0.66251700000000002</v>
      </c>
      <c r="C41">
        <f t="shared" ref="C41:C104" si="0">B41*$G$2</f>
        <v>3.3045109053210001E-3</v>
      </c>
      <c r="D41">
        <f t="shared" ref="D41:D104" si="1">100*(1-(1-C41)^12)</f>
        <v>3.8941304462682513</v>
      </c>
    </row>
    <row r="42" spans="1:4" x14ac:dyDescent="0.25">
      <c r="A42">
        <v>-220</v>
      </c>
      <c r="B42">
        <v>0.66255260000000005</v>
      </c>
      <c r="C42">
        <f t="shared" si="0"/>
        <v>3.3046884714637999E-3</v>
      </c>
      <c r="D42">
        <f t="shared" si="1"/>
        <v>3.8943359067968197</v>
      </c>
    </row>
    <row r="43" spans="1:4" x14ac:dyDescent="0.25">
      <c r="A43">
        <v>-219</v>
      </c>
      <c r="B43">
        <v>0.66259999999999997</v>
      </c>
      <c r="C43">
        <f t="shared" si="0"/>
        <v>3.3049248937999996E-3</v>
      </c>
      <c r="D43">
        <f t="shared" si="1"/>
        <v>3.8946094687857369</v>
      </c>
    </row>
    <row r="44" spans="1:4" x14ac:dyDescent="0.25">
      <c r="A44">
        <v>-218</v>
      </c>
      <c r="B44">
        <v>0.66270450000000003</v>
      </c>
      <c r="C44">
        <f t="shared" si="0"/>
        <v>3.3054461202584999E-3</v>
      </c>
      <c r="D44">
        <f t="shared" si="1"/>
        <v>3.895212572336948</v>
      </c>
    </row>
    <row r="45" spans="1:4" x14ac:dyDescent="0.25">
      <c r="A45">
        <v>-217</v>
      </c>
      <c r="B45">
        <v>0.66286940000000005</v>
      </c>
      <c r="C45">
        <f t="shared" si="0"/>
        <v>3.3062686106222002E-3</v>
      </c>
      <c r="D45">
        <f t="shared" si="1"/>
        <v>3.8961642569126931</v>
      </c>
    </row>
    <row r="46" spans="1:4" x14ac:dyDescent="0.25">
      <c r="A46">
        <v>-216</v>
      </c>
      <c r="B46">
        <v>0.6630935</v>
      </c>
      <c r="C46">
        <f t="shared" si="0"/>
        <v>3.3073863795155E-3</v>
      </c>
      <c r="D46">
        <f t="shared" si="1"/>
        <v>3.8974575875977635</v>
      </c>
    </row>
    <row r="47" spans="1:4" x14ac:dyDescent="0.25">
      <c r="A47">
        <v>-215</v>
      </c>
      <c r="B47">
        <v>0.66337559999999995</v>
      </c>
      <c r="C47">
        <f t="shared" si="0"/>
        <v>3.3087934415627998E-3</v>
      </c>
      <c r="D47">
        <f t="shared" si="1"/>
        <v>3.8990856264328966</v>
      </c>
    </row>
    <row r="48" spans="1:4" x14ac:dyDescent="0.25">
      <c r="A48">
        <v>-214</v>
      </c>
      <c r="B48">
        <v>0.66371429999999998</v>
      </c>
      <c r="C48">
        <f t="shared" si="0"/>
        <v>3.3104828138258999E-3</v>
      </c>
      <c r="D48">
        <f t="shared" si="1"/>
        <v>3.9010402784413256</v>
      </c>
    </row>
    <row r="49" spans="1:4" x14ac:dyDescent="0.25">
      <c r="A49">
        <v>-213</v>
      </c>
      <c r="B49">
        <v>0.66410840000000004</v>
      </c>
      <c r="C49">
        <f t="shared" si="0"/>
        <v>3.3124485109291999E-3</v>
      </c>
      <c r="D49">
        <f t="shared" si="1"/>
        <v>3.903314600317187</v>
      </c>
    </row>
    <row r="50" spans="1:4" x14ac:dyDescent="0.25">
      <c r="A50">
        <v>-212</v>
      </c>
      <c r="B50">
        <v>0.66455660000000005</v>
      </c>
      <c r="C50">
        <f t="shared" si="0"/>
        <v>3.3146840487158001E-3</v>
      </c>
      <c r="D50">
        <f t="shared" si="1"/>
        <v>3.9059010693171858</v>
      </c>
    </row>
    <row r="51" spans="1:4" x14ac:dyDescent="0.25">
      <c r="A51">
        <v>-211</v>
      </c>
      <c r="B51">
        <v>0.66505760000000003</v>
      </c>
      <c r="C51">
        <f t="shared" si="0"/>
        <v>3.3171829430288001E-3</v>
      </c>
      <c r="D51">
        <f t="shared" si="1"/>
        <v>3.9087921606042797</v>
      </c>
    </row>
    <row r="52" spans="1:4" x14ac:dyDescent="0.25">
      <c r="A52">
        <v>-210</v>
      </c>
      <c r="B52">
        <v>0.66561000000000003</v>
      </c>
      <c r="C52">
        <f t="shared" si="0"/>
        <v>3.3199382109300002E-3</v>
      </c>
      <c r="D52">
        <f t="shared" si="1"/>
        <v>3.9119797704305181</v>
      </c>
    </row>
    <row r="53" spans="1:4" x14ac:dyDescent="0.25">
      <c r="A53">
        <v>-209</v>
      </c>
      <c r="B53">
        <v>0.66621260000000004</v>
      </c>
      <c r="C53">
        <f t="shared" si="0"/>
        <v>3.3229438670438001E-3</v>
      </c>
      <c r="D53">
        <f t="shared" si="1"/>
        <v>3.9154569475071455</v>
      </c>
    </row>
    <row r="54" spans="1:4" x14ac:dyDescent="0.25">
      <c r="A54">
        <v>-208</v>
      </c>
      <c r="B54">
        <v>0.66686420000000002</v>
      </c>
      <c r="C54">
        <f t="shared" si="0"/>
        <v>3.3261939259945999E-3</v>
      </c>
      <c r="D54">
        <f t="shared" si="1"/>
        <v>3.9192167390255883</v>
      </c>
    </row>
    <row r="55" spans="1:4" x14ac:dyDescent="0.25">
      <c r="A55">
        <v>-207</v>
      </c>
      <c r="B55">
        <v>0.66756340000000003</v>
      </c>
      <c r="C55">
        <f t="shared" si="0"/>
        <v>3.3296814048442E-3</v>
      </c>
      <c r="D55">
        <f t="shared" si="1"/>
        <v>3.9232510368933271</v>
      </c>
    </row>
    <row r="56" spans="1:4" x14ac:dyDescent="0.25">
      <c r="A56">
        <v>-206</v>
      </c>
      <c r="B56">
        <v>0.66830889999999998</v>
      </c>
      <c r="C56">
        <f t="shared" si="0"/>
        <v>3.3333998194356998E-3</v>
      </c>
      <c r="D56">
        <f t="shared" si="1"/>
        <v>3.9275523090148479</v>
      </c>
    </row>
    <row r="57" spans="1:4" x14ac:dyDescent="0.25">
      <c r="A57">
        <v>-205</v>
      </c>
      <c r="B57">
        <v>0.66909940000000001</v>
      </c>
      <c r="C57">
        <f t="shared" si="0"/>
        <v>3.3373426856121999E-3</v>
      </c>
      <c r="D57">
        <f t="shared" si="1"/>
        <v>3.9321130224467482</v>
      </c>
    </row>
    <row r="58" spans="1:4" x14ac:dyDescent="0.25">
      <c r="A58">
        <v>-204</v>
      </c>
      <c r="B58">
        <v>0.66993380000000002</v>
      </c>
      <c r="C58">
        <f t="shared" si="0"/>
        <v>3.3415045167794E-3</v>
      </c>
      <c r="D58">
        <f t="shared" si="1"/>
        <v>3.9369267973889066</v>
      </c>
    </row>
    <row r="59" spans="1:4" x14ac:dyDescent="0.25">
      <c r="A59">
        <v>-203</v>
      </c>
      <c r="B59">
        <v>0.67081049999999998</v>
      </c>
      <c r="C59">
        <f t="shared" si="0"/>
        <v>3.3458773324364999E-3</v>
      </c>
      <c r="D59">
        <f t="shared" si="1"/>
        <v>3.9419843689758705</v>
      </c>
    </row>
    <row r="60" spans="1:4" x14ac:dyDescent="0.25">
      <c r="A60">
        <v>-202</v>
      </c>
      <c r="B60">
        <v>0.67172849999999995</v>
      </c>
      <c r="C60">
        <f t="shared" si="0"/>
        <v>3.3504561447704998E-3</v>
      </c>
      <c r="D60">
        <f t="shared" si="1"/>
        <v>3.9472799334439479</v>
      </c>
    </row>
    <row r="61" spans="1:4" x14ac:dyDescent="0.25">
      <c r="A61">
        <v>-201</v>
      </c>
      <c r="B61">
        <v>0.67268629999999996</v>
      </c>
      <c r="C61">
        <f t="shared" si="0"/>
        <v>3.3552334720618996E-3</v>
      </c>
      <c r="D61">
        <f t="shared" si="1"/>
        <v>3.9528048024781715</v>
      </c>
    </row>
    <row r="62" spans="1:4" x14ac:dyDescent="0.25">
      <c r="A62">
        <v>-200</v>
      </c>
      <c r="B62">
        <v>0.67368280000000003</v>
      </c>
      <c r="C62">
        <f t="shared" si="0"/>
        <v>3.3602038277164002E-3</v>
      </c>
      <c r="D62">
        <f t="shared" si="1"/>
        <v>3.9585525951726708</v>
      </c>
    </row>
    <row r="63" spans="1:4" x14ac:dyDescent="0.25">
      <c r="A63">
        <v>-199</v>
      </c>
      <c r="B63">
        <v>0.67471650000000005</v>
      </c>
      <c r="C63">
        <f t="shared" si="0"/>
        <v>3.3653597300145003E-3</v>
      </c>
      <c r="D63">
        <f t="shared" si="1"/>
        <v>3.9645146235660955</v>
      </c>
    </row>
    <row r="64" spans="1:4" x14ac:dyDescent="0.25">
      <c r="A64">
        <v>-198</v>
      </c>
      <c r="B64">
        <v>0.67578629999999995</v>
      </c>
      <c r="C64">
        <f t="shared" si="0"/>
        <v>3.3706956923618995E-3</v>
      </c>
      <c r="D64">
        <f t="shared" si="1"/>
        <v>3.9706845071771912</v>
      </c>
    </row>
    <row r="65" spans="1:4" x14ac:dyDescent="0.25">
      <c r="A65">
        <v>-197</v>
      </c>
      <c r="B65">
        <v>0.67689080000000001</v>
      </c>
      <c r="C65">
        <f t="shared" si="0"/>
        <v>3.3762047318204001E-3</v>
      </c>
      <c r="D65">
        <f t="shared" si="1"/>
        <v>3.9770541357150968</v>
      </c>
    </row>
    <row r="66" spans="1:4" x14ac:dyDescent="0.25">
      <c r="A66">
        <v>-196</v>
      </c>
      <c r="B66">
        <v>0.67802879999999999</v>
      </c>
      <c r="C66">
        <f t="shared" si="0"/>
        <v>3.3818808630143998E-3</v>
      </c>
      <c r="D66">
        <f t="shared" si="1"/>
        <v>3.9836165529667289</v>
      </c>
    </row>
    <row r="67" spans="1:4" x14ac:dyDescent="0.25">
      <c r="A67">
        <v>-195</v>
      </c>
      <c r="B67">
        <v>0.67919890000000005</v>
      </c>
      <c r="C67">
        <f t="shared" si="0"/>
        <v>3.3877171030057E-3</v>
      </c>
      <c r="D67">
        <f t="shared" si="1"/>
        <v>3.9903636501482542</v>
      </c>
    </row>
    <row r="68" spans="1:4" x14ac:dyDescent="0.25">
      <c r="A68">
        <v>-194</v>
      </c>
      <c r="B68">
        <v>0.68039989999999995</v>
      </c>
      <c r="C68">
        <f t="shared" si="0"/>
        <v>3.3937074664186994E-3</v>
      </c>
      <c r="D68">
        <f t="shared" si="1"/>
        <v>3.9972884726875546</v>
      </c>
    </row>
    <row r="69" spans="1:4" x14ac:dyDescent="0.25">
      <c r="A69">
        <v>-193</v>
      </c>
      <c r="B69">
        <v>0.68163039999999997</v>
      </c>
      <c r="C69">
        <f t="shared" si="0"/>
        <v>3.3998449703151997E-3</v>
      </c>
      <c r="D69">
        <f t="shared" si="1"/>
        <v>4.004382913853366</v>
      </c>
    </row>
    <row r="70" spans="1:4" x14ac:dyDescent="0.25">
      <c r="A70">
        <v>-192</v>
      </c>
      <c r="B70">
        <v>0.68288919999999997</v>
      </c>
      <c r="C70">
        <f t="shared" si="0"/>
        <v>3.4061236293195995E-3</v>
      </c>
      <c r="D70">
        <f t="shared" si="1"/>
        <v>4.0116400212301677</v>
      </c>
    </row>
    <row r="71" spans="1:4" x14ac:dyDescent="0.25">
      <c r="A71">
        <v>-191</v>
      </c>
      <c r="B71">
        <v>0.68417510000000004</v>
      </c>
      <c r="C71">
        <f t="shared" si="0"/>
        <v>3.4125374580563001E-3</v>
      </c>
      <c r="D71">
        <f t="shared" si="1"/>
        <v>4.0190528435400052</v>
      </c>
    </row>
    <row r="72" spans="1:4" x14ac:dyDescent="0.25">
      <c r="A72">
        <v>-190</v>
      </c>
      <c r="B72">
        <v>0.68548659999999995</v>
      </c>
      <c r="C72">
        <f t="shared" si="0"/>
        <v>3.4190789748057998E-3</v>
      </c>
      <c r="D72">
        <f t="shared" si="1"/>
        <v>4.0266127015250337</v>
      </c>
    </row>
    <row r="73" spans="1:4" x14ac:dyDescent="0.25">
      <c r="A73">
        <v>-189</v>
      </c>
      <c r="B73">
        <v>0.6868225</v>
      </c>
      <c r="C73">
        <f t="shared" si="0"/>
        <v>3.4257421941925E-3</v>
      </c>
      <c r="D73">
        <f t="shared" si="1"/>
        <v>4.0343126468751489</v>
      </c>
    </row>
    <row r="74" spans="1:4" x14ac:dyDescent="0.25">
      <c r="A74">
        <v>-188</v>
      </c>
      <c r="B74">
        <v>0.68818159999999995</v>
      </c>
      <c r="C74">
        <f t="shared" si="0"/>
        <v>3.4325211308407996E-3</v>
      </c>
      <c r="D74">
        <f t="shared" si="1"/>
        <v>4.0421457327333705</v>
      </c>
    </row>
    <row r="75" spans="1:4" x14ac:dyDescent="0.25">
      <c r="A75">
        <v>-187</v>
      </c>
      <c r="B75">
        <v>0.68956249999999997</v>
      </c>
      <c r="C75">
        <f t="shared" si="0"/>
        <v>3.4394088018124998E-3</v>
      </c>
      <c r="D75">
        <f t="shared" si="1"/>
        <v>4.0501038612298146</v>
      </c>
    </row>
    <row r="76" spans="1:4" x14ac:dyDescent="0.25">
      <c r="A76">
        <v>-186</v>
      </c>
      <c r="B76">
        <v>0.69096400000000002</v>
      </c>
      <c r="C76">
        <f t="shared" si="0"/>
        <v>3.4463992217320001E-3</v>
      </c>
      <c r="D76">
        <f t="shared" si="1"/>
        <v>4.0581800889474717</v>
      </c>
    </row>
    <row r="77" spans="1:4" x14ac:dyDescent="0.25">
      <c r="A77">
        <v>-185</v>
      </c>
      <c r="B77">
        <v>0.69238469999999996</v>
      </c>
      <c r="C77">
        <f t="shared" si="0"/>
        <v>3.4534854076610998E-3</v>
      </c>
      <c r="D77">
        <f t="shared" si="1"/>
        <v>4.0663663218099995</v>
      </c>
    </row>
    <row r="78" spans="1:4" x14ac:dyDescent="0.25">
      <c r="A78">
        <v>-184</v>
      </c>
      <c r="B78">
        <v>0.69382339999999998</v>
      </c>
      <c r="C78">
        <f t="shared" si="0"/>
        <v>3.4606613742241997E-3</v>
      </c>
      <c r="D78">
        <f t="shared" si="1"/>
        <v>4.0746556201858741</v>
      </c>
    </row>
    <row r="79" spans="1:4" x14ac:dyDescent="0.25">
      <c r="A79">
        <v>-183</v>
      </c>
      <c r="B79">
        <v>0.69527879999999997</v>
      </c>
      <c r="C79">
        <f t="shared" si="0"/>
        <v>3.4679206372643999E-3</v>
      </c>
      <c r="D79">
        <f t="shared" si="1"/>
        <v>4.0830404702191236</v>
      </c>
    </row>
    <row r="80" spans="1:4" x14ac:dyDescent="0.25">
      <c r="A80">
        <v>-182</v>
      </c>
      <c r="B80">
        <v>0.69674950000000002</v>
      </c>
      <c r="C80">
        <f t="shared" si="0"/>
        <v>3.4752562138435001E-3</v>
      </c>
      <c r="D80">
        <f t="shared" si="1"/>
        <v>4.0915127841271159</v>
      </c>
    </row>
    <row r="81" spans="1:4" x14ac:dyDescent="0.25">
      <c r="A81">
        <v>-181</v>
      </c>
      <c r="B81">
        <v>0.69823440000000003</v>
      </c>
      <c r="C81">
        <f t="shared" si="0"/>
        <v>3.4826626173672E-3</v>
      </c>
      <c r="D81">
        <f t="shared" si="1"/>
        <v>4.1000662045153513</v>
      </c>
    </row>
    <row r="82" spans="1:4" x14ac:dyDescent="0.25">
      <c r="A82">
        <v>-180</v>
      </c>
      <c r="B82">
        <v>0.69973209999999997</v>
      </c>
      <c r="C82">
        <f t="shared" si="0"/>
        <v>3.4901328648972996E-3</v>
      </c>
      <c r="D82">
        <f t="shared" si="1"/>
        <v>4.1086926479955928</v>
      </c>
    </row>
    <row r="83" spans="1:4" x14ac:dyDescent="0.25">
      <c r="A83">
        <v>-179</v>
      </c>
      <c r="B83">
        <v>0.70124129999999996</v>
      </c>
      <c r="C83">
        <f t="shared" si="0"/>
        <v>3.4976604722768995E-3</v>
      </c>
      <c r="D83">
        <f t="shared" si="1"/>
        <v>4.1173846095816868</v>
      </c>
    </row>
    <row r="84" spans="1:4" x14ac:dyDescent="0.25">
      <c r="A84">
        <v>-178</v>
      </c>
      <c r="B84">
        <v>0.70276070000000002</v>
      </c>
      <c r="C84">
        <f t="shared" si="0"/>
        <v>3.5052389553491001E-3</v>
      </c>
      <c r="D84">
        <f t="shared" si="1"/>
        <v>4.1261345866429044</v>
      </c>
    </row>
    <row r="85" spans="1:4" x14ac:dyDescent="0.25">
      <c r="A85">
        <v>-177</v>
      </c>
      <c r="B85">
        <v>0.7042891</v>
      </c>
      <c r="C85">
        <f t="shared" si="0"/>
        <v>3.5128623287382999E-3</v>
      </c>
      <c r="D85">
        <f t="shared" si="1"/>
        <v>4.1349356547591647</v>
      </c>
    </row>
    <row r="86" spans="1:4" x14ac:dyDescent="0.25">
      <c r="A86">
        <v>-176</v>
      </c>
      <c r="B86">
        <v>0.70582520000000004</v>
      </c>
      <c r="C86">
        <f t="shared" si="0"/>
        <v>3.5205241082875999E-3</v>
      </c>
      <c r="D86">
        <f t="shared" si="1"/>
        <v>4.1437803159920739</v>
      </c>
    </row>
    <row r="87" spans="1:4" x14ac:dyDescent="0.25">
      <c r="A87">
        <v>-175</v>
      </c>
      <c r="B87">
        <v>0.70736759999999999</v>
      </c>
      <c r="C87">
        <f t="shared" si="0"/>
        <v>3.5282173110588E-3</v>
      </c>
      <c r="D87">
        <f t="shared" si="1"/>
        <v>4.152660499159766</v>
      </c>
    </row>
    <row r="88" spans="1:4" x14ac:dyDescent="0.25">
      <c r="A88">
        <v>-174</v>
      </c>
      <c r="B88">
        <v>0.70891510000000002</v>
      </c>
      <c r="C88">
        <f t="shared" si="0"/>
        <v>3.5359359516762999E-3</v>
      </c>
      <c r="D88">
        <f t="shared" si="1"/>
        <v>4.1615692871058485</v>
      </c>
    </row>
    <row r="89" spans="1:4" x14ac:dyDescent="0.25">
      <c r="A89">
        <v>-173</v>
      </c>
      <c r="B89">
        <v>0.7104663</v>
      </c>
      <c r="C89">
        <f t="shared" si="0"/>
        <v>3.5436730472018997E-3</v>
      </c>
      <c r="D89">
        <f t="shared" si="1"/>
        <v>4.1704986137691913</v>
      </c>
    </row>
    <row r="90" spans="1:4" x14ac:dyDescent="0.25">
      <c r="A90">
        <v>-172</v>
      </c>
      <c r="B90">
        <v>0.71202010000000004</v>
      </c>
      <c r="C90">
        <f t="shared" si="0"/>
        <v>3.5514231110413E-3</v>
      </c>
      <c r="D90">
        <f t="shared" si="1"/>
        <v>4.1794421425247581</v>
      </c>
    </row>
    <row r="91" spans="1:4" x14ac:dyDescent="0.25">
      <c r="A91">
        <v>-171</v>
      </c>
      <c r="B91">
        <v>0.71357510000000002</v>
      </c>
      <c r="C91">
        <f t="shared" si="0"/>
        <v>3.5591791602563E-3</v>
      </c>
      <c r="D91">
        <f t="shared" si="1"/>
        <v>4.1883918123557624</v>
      </c>
    </row>
    <row r="92" spans="1:4" x14ac:dyDescent="0.25">
      <c r="A92">
        <v>-170</v>
      </c>
      <c r="B92">
        <v>0.71513000000000004</v>
      </c>
      <c r="C92">
        <f t="shared" si="0"/>
        <v>3.5669347106900002E-3</v>
      </c>
      <c r="D92">
        <f t="shared" si="1"/>
        <v>4.1973401404698745</v>
      </c>
    </row>
    <row r="93" spans="1:4" x14ac:dyDescent="0.25">
      <c r="A93">
        <v>-169</v>
      </c>
      <c r="B93">
        <v>0.71668359999999998</v>
      </c>
      <c r="C93">
        <f t="shared" si="0"/>
        <v>3.5746837769667999E-3</v>
      </c>
      <c r="D93">
        <f t="shared" si="1"/>
        <v>4.206280222054593</v>
      </c>
    </row>
    <row r="94" spans="1:4" x14ac:dyDescent="0.25">
      <c r="A94">
        <v>-168</v>
      </c>
      <c r="B94">
        <v>0.71823519999999996</v>
      </c>
      <c r="C94">
        <f t="shared" si="0"/>
        <v>3.5824228676175998E-3</v>
      </c>
      <c r="D94">
        <f t="shared" si="1"/>
        <v>4.2152080315052576</v>
      </c>
    </row>
    <row r="95" spans="1:4" x14ac:dyDescent="0.25">
      <c r="A95">
        <v>-167</v>
      </c>
      <c r="B95">
        <v>0.71979409999999999</v>
      </c>
      <c r="C95">
        <f t="shared" si="0"/>
        <v>3.5901983693032999E-3</v>
      </c>
      <c r="D95">
        <f t="shared" si="1"/>
        <v>4.2241770765844127</v>
      </c>
    </row>
    <row r="96" spans="1:4" x14ac:dyDescent="0.25">
      <c r="A96">
        <v>-166</v>
      </c>
      <c r="B96">
        <v>0.72136409999999995</v>
      </c>
      <c r="C96">
        <f t="shared" si="0"/>
        <v>3.5980292357132996E-3</v>
      </c>
      <c r="D96">
        <f t="shared" si="1"/>
        <v>4.2332092068006926</v>
      </c>
    </row>
    <row r="97" spans="1:4" x14ac:dyDescent="0.25">
      <c r="A97">
        <v>-165</v>
      </c>
      <c r="B97">
        <v>0.72294570000000002</v>
      </c>
      <c r="C97">
        <f t="shared" si="0"/>
        <v>3.6059179607541001E-3</v>
      </c>
      <c r="D97">
        <f t="shared" si="1"/>
        <v>4.2423072817537104</v>
      </c>
    </row>
    <row r="98" spans="1:4" x14ac:dyDescent="0.25">
      <c r="A98">
        <v>-164</v>
      </c>
      <c r="B98">
        <v>0.72453939999999994</v>
      </c>
      <c r="C98">
        <f t="shared" si="0"/>
        <v>3.6138670383321996E-3</v>
      </c>
      <c r="D98">
        <f t="shared" si="1"/>
        <v>4.2514741599196659</v>
      </c>
    </row>
    <row r="99" spans="1:4" x14ac:dyDescent="0.25">
      <c r="A99">
        <v>-163</v>
      </c>
      <c r="B99">
        <v>0.72614579999999995</v>
      </c>
      <c r="C99">
        <f t="shared" si="0"/>
        <v>3.6218794611353996E-3</v>
      </c>
      <c r="D99">
        <f t="shared" si="1"/>
        <v>4.2607132737508717</v>
      </c>
    </row>
    <row r="100" spans="1:4" x14ac:dyDescent="0.25">
      <c r="A100">
        <v>-162</v>
      </c>
      <c r="B100">
        <v>0.72776540000000001</v>
      </c>
      <c r="C100">
        <f t="shared" si="0"/>
        <v>3.6299577230701997E-3</v>
      </c>
      <c r="D100">
        <f t="shared" si="1"/>
        <v>4.2700274792665249</v>
      </c>
    </row>
    <row r="101" spans="1:4" x14ac:dyDescent="0.25">
      <c r="A101">
        <v>-161</v>
      </c>
      <c r="B101">
        <v>0.72939880000000001</v>
      </c>
      <c r="C101">
        <f t="shared" si="0"/>
        <v>3.6381048168243999E-3</v>
      </c>
      <c r="D101">
        <f t="shared" si="1"/>
        <v>4.279420206316864</v>
      </c>
    </row>
    <row r="102" spans="1:4" x14ac:dyDescent="0.25">
      <c r="A102">
        <v>-160</v>
      </c>
      <c r="B102">
        <v>0.73104639999999999</v>
      </c>
      <c r="C102">
        <f t="shared" si="0"/>
        <v>3.6463227375231996E-3</v>
      </c>
      <c r="D102">
        <f t="shared" si="1"/>
        <v>4.2888937334118804</v>
      </c>
    </row>
    <row r="103" spans="1:4" x14ac:dyDescent="0.25">
      <c r="A103">
        <v>-159</v>
      </c>
      <c r="B103">
        <v>0.73270900000000005</v>
      </c>
      <c r="C103">
        <f t="shared" si="0"/>
        <v>3.654615475417E-3</v>
      </c>
      <c r="D103">
        <f t="shared" si="1"/>
        <v>4.29845263768539</v>
      </c>
    </row>
    <row r="104" spans="1:4" x14ac:dyDescent="0.25">
      <c r="A104">
        <v>-158</v>
      </c>
      <c r="B104">
        <v>0.73438689999999995</v>
      </c>
      <c r="C104">
        <f t="shared" si="0"/>
        <v>3.6629845268496995E-3</v>
      </c>
      <c r="D104">
        <f t="shared" si="1"/>
        <v>4.3080986200960787</v>
      </c>
    </row>
    <row r="105" spans="1:4" x14ac:dyDescent="0.25">
      <c r="A105">
        <v>-157</v>
      </c>
      <c r="B105">
        <v>0.73608079999999998</v>
      </c>
      <c r="C105">
        <f t="shared" ref="C105:C168" si="2">B105*$G$2</f>
        <v>3.6714333832903998E-3</v>
      </c>
      <c r="D105">
        <f t="shared" ref="D105:D168" si="3">100*(1-(1-C105)^12)</f>
        <v>4.3178356799663646</v>
      </c>
    </row>
    <row r="106" spans="1:4" x14ac:dyDescent="0.25">
      <c r="A106">
        <v>-156</v>
      </c>
      <c r="B106">
        <v>0.73779110000000003</v>
      </c>
      <c r="C106">
        <f t="shared" si="2"/>
        <v>3.6799640398643002E-3</v>
      </c>
      <c r="D106">
        <f t="shared" si="3"/>
        <v>4.3276660906352742</v>
      </c>
    </row>
    <row r="107" spans="1:4" x14ac:dyDescent="0.25">
      <c r="A107">
        <v>-155</v>
      </c>
      <c r="B107">
        <v>0.73951849999999997</v>
      </c>
      <c r="C107">
        <f t="shared" si="2"/>
        <v>3.6885799880404997E-3</v>
      </c>
      <c r="D107">
        <f t="shared" si="3"/>
        <v>4.3375938484146559</v>
      </c>
    </row>
    <row r="108" spans="1:4" x14ac:dyDescent="0.25">
      <c r="A108">
        <v>-154</v>
      </c>
      <c r="B108">
        <v>0.74126349999999996</v>
      </c>
      <c r="C108">
        <f t="shared" si="2"/>
        <v>3.6972837217254997E-3</v>
      </c>
      <c r="D108">
        <f t="shared" si="3"/>
        <v>4.3476217985400911</v>
      </c>
    </row>
    <row r="109" spans="1:4" x14ac:dyDescent="0.25">
      <c r="A109">
        <v>-153</v>
      </c>
      <c r="B109">
        <v>0.74302670000000004</v>
      </c>
      <c r="C109">
        <f t="shared" si="2"/>
        <v>3.7060782336071E-3</v>
      </c>
      <c r="D109">
        <f t="shared" si="3"/>
        <v>4.3577533594433726</v>
      </c>
    </row>
    <row r="110" spans="1:4" x14ac:dyDescent="0.25">
      <c r="A110">
        <v>-152</v>
      </c>
      <c r="B110">
        <v>0.74480849999999998</v>
      </c>
      <c r="C110">
        <f t="shared" si="2"/>
        <v>3.7149655188105E-3</v>
      </c>
      <c r="D110">
        <f t="shared" si="3"/>
        <v>4.3679907988589228</v>
      </c>
    </row>
    <row r="111" spans="1:4" x14ac:dyDescent="0.25">
      <c r="A111">
        <v>-151</v>
      </c>
      <c r="B111">
        <v>0.74660950000000004</v>
      </c>
      <c r="C111">
        <f t="shared" si="2"/>
        <v>3.7239485700235001E-3</v>
      </c>
      <c r="D111">
        <f t="shared" si="3"/>
        <v>4.3783375322429707</v>
      </c>
    </row>
    <row r="112" spans="1:4" x14ac:dyDescent="0.25">
      <c r="A112">
        <v>-150</v>
      </c>
      <c r="B112">
        <v>0.74843029999999999</v>
      </c>
      <c r="C112">
        <f t="shared" si="2"/>
        <v>3.7330303799338999E-3</v>
      </c>
      <c r="D112">
        <f t="shared" si="3"/>
        <v>4.3887969733470307</v>
      </c>
    </row>
    <row r="113" spans="1:4" x14ac:dyDescent="0.25">
      <c r="A113">
        <v>-149</v>
      </c>
      <c r="B113">
        <v>0.75027140000000003</v>
      </c>
      <c r="C113">
        <f t="shared" si="2"/>
        <v>3.7422134424481999E-3</v>
      </c>
      <c r="D113">
        <f t="shared" si="3"/>
        <v>4.3993719598265031</v>
      </c>
    </row>
    <row r="114" spans="1:4" x14ac:dyDescent="0.25">
      <c r="A114">
        <v>-148</v>
      </c>
      <c r="B114">
        <v>0.75213339999999995</v>
      </c>
      <c r="C114">
        <f t="shared" si="2"/>
        <v>3.7515007502541995E-3</v>
      </c>
      <c r="D114">
        <f t="shared" si="3"/>
        <v>4.4100659020899773</v>
      </c>
    </row>
    <row r="115" spans="1:4" x14ac:dyDescent="0.25">
      <c r="A115">
        <v>-147</v>
      </c>
      <c r="B115">
        <v>0.75401680000000004</v>
      </c>
      <c r="C115">
        <f t="shared" si="2"/>
        <v>3.7608947972584002E-3</v>
      </c>
      <c r="D115">
        <f t="shared" si="3"/>
        <v>4.4208816344960873</v>
      </c>
    </row>
    <row r="116" spans="1:4" x14ac:dyDescent="0.25">
      <c r="A116">
        <v>-146</v>
      </c>
      <c r="B116">
        <v>0.75592210000000004</v>
      </c>
      <c r="C116">
        <f t="shared" si="2"/>
        <v>3.7703980773673E-3</v>
      </c>
      <c r="D116">
        <f t="shared" si="3"/>
        <v>4.4318219897913735</v>
      </c>
    </row>
    <row r="117" spans="1:4" x14ac:dyDescent="0.25">
      <c r="A117">
        <v>-145</v>
      </c>
      <c r="B117">
        <v>0.75785000000000002</v>
      </c>
      <c r="C117">
        <f t="shared" si="2"/>
        <v>3.78001408205E-3</v>
      </c>
      <c r="D117">
        <f t="shared" si="3"/>
        <v>4.4428909473070881</v>
      </c>
    </row>
    <row r="118" spans="1:4" x14ac:dyDescent="0.25">
      <c r="A118">
        <v>-144</v>
      </c>
      <c r="B118">
        <v>0.7598009</v>
      </c>
      <c r="C118">
        <f t="shared" si="2"/>
        <v>3.7897448064316999E-3</v>
      </c>
      <c r="D118">
        <f t="shared" si="3"/>
        <v>4.4540907620399643</v>
      </c>
    </row>
    <row r="119" spans="1:4" x14ac:dyDescent="0.25">
      <c r="A119">
        <v>-143</v>
      </c>
      <c r="B119">
        <v>0.76177539999999999</v>
      </c>
      <c r="C119">
        <f t="shared" si="2"/>
        <v>3.7995932432002E-3</v>
      </c>
      <c r="D119">
        <f t="shared" si="3"/>
        <v>4.4654248354942911</v>
      </c>
    </row>
    <row r="120" spans="1:4" x14ac:dyDescent="0.25">
      <c r="A120">
        <v>-142</v>
      </c>
      <c r="B120">
        <v>0.76377399999999995</v>
      </c>
      <c r="C120">
        <f t="shared" si="2"/>
        <v>3.8095618862619995E-3</v>
      </c>
      <c r="D120">
        <f t="shared" si="3"/>
        <v>4.4768959932372958</v>
      </c>
    </row>
    <row r="121" spans="1:4" x14ac:dyDescent="0.25">
      <c r="A121">
        <v>-141</v>
      </c>
      <c r="B121">
        <v>0.76579739999999996</v>
      </c>
      <c r="C121">
        <f t="shared" si="2"/>
        <v>3.8196542270861997E-3</v>
      </c>
      <c r="D121">
        <f t="shared" si="3"/>
        <v>4.4885082067665056</v>
      </c>
    </row>
    <row r="122" spans="1:4" x14ac:dyDescent="0.25">
      <c r="A122">
        <v>-140</v>
      </c>
      <c r="B122">
        <v>0.76784589999999997</v>
      </c>
      <c r="C122">
        <f t="shared" si="2"/>
        <v>3.8298717620166996E-3</v>
      </c>
      <c r="D122">
        <f t="shared" si="3"/>
        <v>4.5002631500284611</v>
      </c>
    </row>
    <row r="123" spans="1:4" x14ac:dyDescent="0.25">
      <c r="A123">
        <v>-139</v>
      </c>
      <c r="B123">
        <v>0.7699203</v>
      </c>
      <c r="C123">
        <f t="shared" si="2"/>
        <v>3.8402184813038998E-3</v>
      </c>
      <c r="D123">
        <f t="shared" si="3"/>
        <v>4.512165364279042</v>
      </c>
    </row>
    <row r="124" spans="1:4" x14ac:dyDescent="0.25">
      <c r="A124">
        <v>-138</v>
      </c>
      <c r="B124">
        <v>0.77202090000000001</v>
      </c>
      <c r="C124">
        <f t="shared" si="2"/>
        <v>3.8506958812917001E-3</v>
      </c>
      <c r="D124">
        <f t="shared" si="3"/>
        <v>4.5242165197262096</v>
      </c>
    </row>
    <row r="125" spans="1:4" x14ac:dyDescent="0.25">
      <c r="A125">
        <v>-137</v>
      </c>
      <c r="B125">
        <v>0.77414850000000002</v>
      </c>
      <c r="C125">
        <f t="shared" si="2"/>
        <v>3.8613079522304998E-3</v>
      </c>
      <c r="D125">
        <f t="shared" si="3"/>
        <v>4.5364211531477068</v>
      </c>
    </row>
    <row r="126" spans="1:4" x14ac:dyDescent="0.25">
      <c r="A126">
        <v>-136</v>
      </c>
      <c r="B126">
        <v>0.77630339999999998</v>
      </c>
      <c r="C126">
        <f t="shared" si="2"/>
        <v>3.8720561904641996E-3</v>
      </c>
      <c r="D126">
        <f t="shared" si="3"/>
        <v>4.548780930843499</v>
      </c>
    </row>
    <row r="127" spans="1:4" x14ac:dyDescent="0.25">
      <c r="A127">
        <v>-135</v>
      </c>
      <c r="B127">
        <v>0.77848640000000002</v>
      </c>
      <c r="C127">
        <f t="shared" si="2"/>
        <v>3.8829445862432E-3</v>
      </c>
      <c r="D127">
        <f t="shared" si="3"/>
        <v>4.5613003849229505</v>
      </c>
    </row>
    <row r="128" spans="1:4" x14ac:dyDescent="0.25">
      <c r="A128">
        <v>-134</v>
      </c>
      <c r="B128">
        <v>0.7806978</v>
      </c>
      <c r="C128">
        <f t="shared" si="2"/>
        <v>3.8939746359113996E-3</v>
      </c>
      <c r="D128">
        <f t="shared" si="3"/>
        <v>4.5739811776001833</v>
      </c>
    </row>
    <row r="129" spans="1:4" x14ac:dyDescent="0.25">
      <c r="A129">
        <v>-133</v>
      </c>
      <c r="B129">
        <v>0.78293829999999998</v>
      </c>
      <c r="C129">
        <f t="shared" si="2"/>
        <v>3.9051498309378998E-3</v>
      </c>
      <c r="D129">
        <f t="shared" si="3"/>
        <v>4.5868272627960449</v>
      </c>
    </row>
    <row r="130" spans="1:4" x14ac:dyDescent="0.25">
      <c r="A130">
        <v>-132</v>
      </c>
      <c r="B130">
        <v>0.78520840000000003</v>
      </c>
      <c r="C130">
        <f t="shared" si="2"/>
        <v>3.9164726652291997E-3</v>
      </c>
      <c r="D130">
        <f t="shared" si="3"/>
        <v>4.5998414451716263</v>
      </c>
    </row>
    <row r="131" spans="1:4" x14ac:dyDescent="0.25">
      <c r="A131">
        <v>-131</v>
      </c>
      <c r="B131">
        <v>0.7875086</v>
      </c>
      <c r="C131">
        <f t="shared" si="2"/>
        <v>3.9279456326917995E-3</v>
      </c>
      <c r="D131">
        <f t="shared" si="3"/>
        <v>4.6130265271482784</v>
      </c>
    </row>
    <row r="132" spans="1:4" x14ac:dyDescent="0.25">
      <c r="A132">
        <v>-130</v>
      </c>
      <c r="B132">
        <v>0.78983959999999998</v>
      </c>
      <c r="C132">
        <f t="shared" si="2"/>
        <v>3.9395722247947997E-3</v>
      </c>
      <c r="D132">
        <f t="shared" si="3"/>
        <v>4.626386455069909</v>
      </c>
    </row>
    <row r="133" spans="1:4" x14ac:dyDescent="0.25">
      <c r="A133">
        <v>-129</v>
      </c>
      <c r="B133">
        <v>0.79220179999999996</v>
      </c>
      <c r="C133">
        <f t="shared" si="2"/>
        <v>3.9513544366633997E-3</v>
      </c>
      <c r="D133">
        <f t="shared" si="3"/>
        <v>4.63992345326022</v>
      </c>
    </row>
    <row r="134" spans="1:4" x14ac:dyDescent="0.25">
      <c r="A134">
        <v>-128</v>
      </c>
      <c r="B134">
        <v>0.79459579999999996</v>
      </c>
      <c r="C134">
        <f t="shared" si="2"/>
        <v>3.9632952609853994E-3</v>
      </c>
      <c r="D134">
        <f t="shared" si="3"/>
        <v>4.6536408898610322</v>
      </c>
    </row>
    <row r="135" spans="1:4" x14ac:dyDescent="0.25">
      <c r="A135">
        <v>-127</v>
      </c>
      <c r="B135">
        <v>0.79702209999999996</v>
      </c>
      <c r="C135">
        <f t="shared" si="2"/>
        <v>3.9753971916672995E-3</v>
      </c>
      <c r="D135">
        <f t="shared" si="3"/>
        <v>4.6675415573941059</v>
      </c>
    </row>
    <row r="136" spans="1:4" x14ac:dyDescent="0.25">
      <c r="A136">
        <v>-126</v>
      </c>
      <c r="B136">
        <v>0.79948129999999995</v>
      </c>
      <c r="C136">
        <f t="shared" si="2"/>
        <v>3.9876632213968997E-3</v>
      </c>
      <c r="D136">
        <f t="shared" si="3"/>
        <v>4.6816288186899424</v>
      </c>
    </row>
    <row r="137" spans="1:4" x14ac:dyDescent="0.25">
      <c r="A137">
        <v>-125</v>
      </c>
      <c r="B137">
        <v>0.80197390000000002</v>
      </c>
      <c r="C137">
        <f t="shared" si="2"/>
        <v>4.0000958440806998E-3</v>
      </c>
      <c r="D137">
        <f t="shared" si="3"/>
        <v>4.6959054610012156</v>
      </c>
    </row>
    <row r="138" spans="1:4" x14ac:dyDescent="0.25">
      <c r="A138">
        <v>-124</v>
      </c>
      <c r="B138">
        <v>0.80450049999999995</v>
      </c>
      <c r="C138">
        <f t="shared" si="2"/>
        <v>4.0126980524064996E-3</v>
      </c>
      <c r="D138">
        <f t="shared" si="3"/>
        <v>4.710374841623322</v>
      </c>
    </row>
    <row r="139" spans="1:4" x14ac:dyDescent="0.25">
      <c r="A139">
        <v>-123</v>
      </c>
      <c r="B139">
        <v>0.80706160000000005</v>
      </c>
      <c r="C139">
        <f t="shared" si="2"/>
        <v>4.0254723402808005E-3</v>
      </c>
      <c r="D139">
        <f t="shared" si="3"/>
        <v>4.7250397423165946</v>
      </c>
    </row>
    <row r="140" spans="1:4" x14ac:dyDescent="0.25">
      <c r="A140">
        <v>-122</v>
      </c>
      <c r="B140">
        <v>0.80965779999999998</v>
      </c>
      <c r="C140">
        <f t="shared" si="2"/>
        <v>4.0384217003913998E-3</v>
      </c>
      <c r="D140">
        <f t="shared" si="3"/>
        <v>4.7399035146098782</v>
      </c>
    </row>
    <row r="141" spans="1:4" x14ac:dyDescent="0.25">
      <c r="A141">
        <v>-121</v>
      </c>
      <c r="B141">
        <v>0.81228959999999995</v>
      </c>
      <c r="C141">
        <f t="shared" si="2"/>
        <v>4.0515486266447997E-3</v>
      </c>
      <c r="D141">
        <f t="shared" si="3"/>
        <v>4.7549689345405044</v>
      </c>
    </row>
    <row r="142" spans="1:4" x14ac:dyDescent="0.25">
      <c r="A142">
        <v>-120</v>
      </c>
      <c r="B142">
        <v>0.81495759999999995</v>
      </c>
      <c r="C142">
        <f t="shared" si="2"/>
        <v>4.0648561117287993E-3</v>
      </c>
      <c r="D142">
        <f t="shared" si="3"/>
        <v>4.7702393476326987</v>
      </c>
    </row>
    <row r="143" spans="1:4" x14ac:dyDescent="0.25">
      <c r="A143">
        <v>-119</v>
      </c>
      <c r="B143">
        <v>0.81766220000000001</v>
      </c>
      <c r="C143">
        <f t="shared" si="2"/>
        <v>4.0783461507685999E-3</v>
      </c>
      <c r="D143">
        <f t="shared" si="3"/>
        <v>4.7857169517359299</v>
      </c>
    </row>
    <row r="144" spans="1:4" x14ac:dyDescent="0.25">
      <c r="A144">
        <v>-118</v>
      </c>
      <c r="B144">
        <v>0.82039229999999996</v>
      </c>
      <c r="C144">
        <f t="shared" si="2"/>
        <v>4.0919633790398998E-3</v>
      </c>
      <c r="D144">
        <f t="shared" si="3"/>
        <v>4.8013381459163558</v>
      </c>
    </row>
    <row r="145" spans="1:4" x14ac:dyDescent="0.25">
      <c r="A145">
        <v>-117</v>
      </c>
      <c r="B145">
        <v>0.82313990000000004</v>
      </c>
      <c r="C145">
        <f t="shared" si="2"/>
        <v>4.1056678940387002E-3</v>
      </c>
      <c r="D145">
        <f t="shared" si="3"/>
        <v>4.8170571003240958</v>
      </c>
    </row>
    <row r="146" spans="1:4" x14ac:dyDescent="0.25">
      <c r="A146">
        <v>-116</v>
      </c>
      <c r="B146">
        <v>0.82590540000000001</v>
      </c>
      <c r="C146">
        <f t="shared" si="2"/>
        <v>4.1194616908901997E-3</v>
      </c>
      <c r="D146">
        <f t="shared" si="3"/>
        <v>4.8328760576913492</v>
      </c>
    </row>
    <row r="147" spans="1:4" x14ac:dyDescent="0.25">
      <c r="A147">
        <v>-115</v>
      </c>
      <c r="B147">
        <v>0.82868929999999996</v>
      </c>
      <c r="C147">
        <f t="shared" si="2"/>
        <v>4.1333472635008998E-3</v>
      </c>
      <c r="D147">
        <f t="shared" si="3"/>
        <v>4.8487978309493247</v>
      </c>
    </row>
    <row r="148" spans="1:4" x14ac:dyDescent="0.25">
      <c r="A148">
        <v>-114</v>
      </c>
      <c r="B148">
        <v>0.83149209999999996</v>
      </c>
      <c r="C148">
        <f t="shared" si="2"/>
        <v>4.1473271057772994E-3</v>
      </c>
      <c r="D148">
        <f t="shared" si="3"/>
        <v>4.8648252309737465</v>
      </c>
    </row>
    <row r="149" spans="1:4" x14ac:dyDescent="0.25">
      <c r="A149">
        <v>-113</v>
      </c>
      <c r="B149">
        <v>0.83431409999999995</v>
      </c>
      <c r="C149">
        <f t="shared" si="2"/>
        <v>4.1614027140632996E-3</v>
      </c>
      <c r="D149">
        <f t="shared" si="3"/>
        <v>4.8809599231521394</v>
      </c>
    </row>
    <row r="150" spans="1:4" x14ac:dyDescent="0.25">
      <c r="A150">
        <v>-112</v>
      </c>
      <c r="B150">
        <v>0.83715580000000001</v>
      </c>
      <c r="C150">
        <f t="shared" si="2"/>
        <v>4.1755765822654002E-3</v>
      </c>
      <c r="D150">
        <f t="shared" si="3"/>
        <v>4.8972047147000204</v>
      </c>
    </row>
    <row r="151" spans="1:4" x14ac:dyDescent="0.25">
      <c r="A151">
        <v>-111</v>
      </c>
      <c r="B151">
        <v>0.84001769999999998</v>
      </c>
      <c r="C151">
        <f t="shared" si="2"/>
        <v>4.1898512042901001E-3</v>
      </c>
      <c r="D151">
        <f t="shared" si="3"/>
        <v>4.9135624106971143</v>
      </c>
    </row>
    <row r="152" spans="1:4" x14ac:dyDescent="0.25">
      <c r="A152">
        <v>-110</v>
      </c>
      <c r="B152">
        <v>0.84290019999999999</v>
      </c>
      <c r="C152">
        <f t="shared" si="2"/>
        <v>4.2042285752625997E-3</v>
      </c>
      <c r="D152">
        <f t="shared" si="3"/>
        <v>4.9300352426250527</v>
      </c>
    </row>
    <row r="153" spans="1:4" x14ac:dyDescent="0.25">
      <c r="A153">
        <v>-109</v>
      </c>
      <c r="B153">
        <v>0.84580370000000005</v>
      </c>
      <c r="C153">
        <f t="shared" si="2"/>
        <v>4.2187106903081003E-3</v>
      </c>
      <c r="D153">
        <f t="shared" si="3"/>
        <v>4.9466254401334231</v>
      </c>
    </row>
    <row r="154" spans="1:4" x14ac:dyDescent="0.25">
      <c r="A154">
        <v>-108</v>
      </c>
      <c r="B154">
        <v>0.8487287</v>
      </c>
      <c r="C154">
        <f t="shared" si="2"/>
        <v>4.2333000433330999E-3</v>
      </c>
      <c r="D154">
        <f t="shared" si="3"/>
        <v>4.9633358022627361</v>
      </c>
    </row>
    <row r="155" spans="1:4" x14ac:dyDescent="0.25">
      <c r="A155">
        <v>-107</v>
      </c>
      <c r="B155">
        <v>0.85167559999999998</v>
      </c>
      <c r="C155">
        <f t="shared" si="2"/>
        <v>4.2479986294627998E-3</v>
      </c>
      <c r="D155">
        <f t="shared" si="3"/>
        <v>4.9801685546436936</v>
      </c>
    </row>
    <row r="156" spans="1:4" x14ac:dyDescent="0.25">
      <c r="A156">
        <v>-106</v>
      </c>
      <c r="B156">
        <v>0.85464479999999998</v>
      </c>
      <c r="C156">
        <f t="shared" si="2"/>
        <v>4.2628084438223997E-3</v>
      </c>
      <c r="D156">
        <f t="shared" si="3"/>
        <v>4.9971259209935397</v>
      </c>
    </row>
    <row r="157" spans="1:4" x14ac:dyDescent="0.25">
      <c r="A157">
        <v>-105</v>
      </c>
      <c r="B157">
        <v>0.85763690000000004</v>
      </c>
      <c r="C157">
        <f t="shared" si="2"/>
        <v>4.2777324790997003E-3</v>
      </c>
      <c r="D157">
        <f t="shared" si="3"/>
        <v>5.0142112650246595</v>
      </c>
    </row>
    <row r="158" spans="1:4" x14ac:dyDescent="0.25">
      <c r="A158">
        <v>-104</v>
      </c>
      <c r="B158">
        <v>0.86065219999999998</v>
      </c>
      <c r="C158">
        <f t="shared" si="2"/>
        <v>4.2927722316386E-3</v>
      </c>
      <c r="D158">
        <f t="shared" si="3"/>
        <v>5.0314262351031758</v>
      </c>
    </row>
    <row r="159" spans="1:4" x14ac:dyDescent="0.25">
      <c r="A159">
        <v>-103</v>
      </c>
      <c r="B159">
        <v>0.86369119999999999</v>
      </c>
      <c r="C159">
        <f t="shared" si="2"/>
        <v>4.3079301953455997E-3</v>
      </c>
      <c r="D159">
        <f t="shared" si="3"/>
        <v>5.0487736195282018</v>
      </c>
    </row>
    <row r="160" spans="1:4" x14ac:dyDescent="0.25">
      <c r="A160">
        <v>-102</v>
      </c>
      <c r="B160">
        <v>0.86675420000000003</v>
      </c>
      <c r="C160">
        <f t="shared" si="2"/>
        <v>4.3232078665646004E-3</v>
      </c>
      <c r="D160">
        <f t="shared" si="3"/>
        <v>5.0662550628219893</v>
      </c>
    </row>
    <row r="161" spans="1:4" x14ac:dyDescent="0.25">
      <c r="A161">
        <v>-101</v>
      </c>
      <c r="B161">
        <v>0.86984189999999995</v>
      </c>
      <c r="C161">
        <f t="shared" si="2"/>
        <v>4.3386087367646995E-3</v>
      </c>
      <c r="D161">
        <f t="shared" si="3"/>
        <v>5.0838744901697481</v>
      </c>
    </row>
    <row r="162" spans="1:4" x14ac:dyDescent="0.25">
      <c r="A162">
        <v>-100</v>
      </c>
      <c r="B162">
        <v>0.87295460000000002</v>
      </c>
      <c r="C162">
        <f t="shared" si="2"/>
        <v>4.3541343022897999E-3</v>
      </c>
      <c r="D162">
        <f t="shared" si="3"/>
        <v>5.1016335415496545</v>
      </c>
    </row>
    <row r="163" spans="1:4" x14ac:dyDescent="0.25">
      <c r="A163">
        <v>-99</v>
      </c>
      <c r="B163">
        <v>0.87609269999999995</v>
      </c>
      <c r="C163">
        <f t="shared" si="2"/>
        <v>4.3697865582650996E-3</v>
      </c>
      <c r="D163">
        <f t="shared" si="3"/>
        <v>5.1195344255910991</v>
      </c>
    </row>
    <row r="164" spans="1:4" x14ac:dyDescent="0.25">
      <c r="A164">
        <v>-98</v>
      </c>
      <c r="B164">
        <v>0.8792567</v>
      </c>
      <c r="C164">
        <f t="shared" si="2"/>
        <v>4.3855679985970999E-3</v>
      </c>
      <c r="D164">
        <f t="shared" si="3"/>
        <v>5.1375799190543354</v>
      </c>
    </row>
    <row r="165" spans="1:4" x14ac:dyDescent="0.25">
      <c r="A165">
        <v>-97</v>
      </c>
      <c r="B165">
        <v>0.88244699999999998</v>
      </c>
      <c r="C165">
        <f t="shared" si="2"/>
        <v>4.4014806184109996E-3</v>
      </c>
      <c r="D165">
        <f t="shared" si="3"/>
        <v>5.1557722259224619</v>
      </c>
    </row>
    <row r="166" spans="1:4" x14ac:dyDescent="0.25">
      <c r="A166">
        <v>-96</v>
      </c>
      <c r="B166">
        <v>0.88566409999999995</v>
      </c>
      <c r="C166">
        <f t="shared" si="2"/>
        <v>4.4175269116132993E-3</v>
      </c>
      <c r="D166">
        <f t="shared" si="3"/>
        <v>5.1741141180410395</v>
      </c>
    </row>
    <row r="167" spans="1:4" x14ac:dyDescent="0.25">
      <c r="A167">
        <v>-95</v>
      </c>
      <c r="B167">
        <v>0.88890840000000004</v>
      </c>
      <c r="C167">
        <f t="shared" si="2"/>
        <v>4.4337088733292004E-3</v>
      </c>
      <c r="D167">
        <f t="shared" si="3"/>
        <v>5.1926077946053422</v>
      </c>
    </row>
    <row r="168" spans="1:4" x14ac:dyDescent="0.25">
      <c r="A168">
        <v>-94</v>
      </c>
      <c r="B168">
        <v>0.89218030000000004</v>
      </c>
      <c r="C168">
        <f t="shared" si="2"/>
        <v>4.4500284986838997E-3</v>
      </c>
      <c r="D168">
        <f t="shared" si="3"/>
        <v>5.2112554525166939</v>
      </c>
    </row>
    <row r="169" spans="1:4" x14ac:dyDescent="0.25">
      <c r="A169">
        <v>-93</v>
      </c>
      <c r="B169">
        <v>0.89548030000000001</v>
      </c>
      <c r="C169">
        <f t="shared" ref="C169:C232" si="4">B169*$G$2</f>
        <v>4.4664882815838997E-3</v>
      </c>
      <c r="D169">
        <f t="shared" ref="D169:D232" si="5">100*(1-(1-C169)^12)</f>
        <v>5.2300598561268341</v>
      </c>
    </row>
    <row r="170" spans="1:4" x14ac:dyDescent="0.25">
      <c r="A170">
        <v>-92</v>
      </c>
      <c r="B170">
        <v>0.89880890000000002</v>
      </c>
      <c r="C170">
        <f t="shared" si="4"/>
        <v>4.4830907159357E-3</v>
      </c>
      <c r="D170">
        <f t="shared" si="5"/>
        <v>5.249023767008099</v>
      </c>
    </row>
    <row r="171" spans="1:4" x14ac:dyDescent="0.25">
      <c r="A171">
        <v>-91</v>
      </c>
      <c r="B171">
        <v>0.90216640000000003</v>
      </c>
      <c r="C171">
        <f t="shared" si="4"/>
        <v>4.4998372980832001E-3</v>
      </c>
      <c r="D171">
        <f t="shared" si="5"/>
        <v>5.2681488047731317</v>
      </c>
    </row>
    <row r="172" spans="1:4" x14ac:dyDescent="0.25">
      <c r="A172">
        <v>-90</v>
      </c>
      <c r="B172">
        <v>0.90555339999999995</v>
      </c>
      <c r="C172">
        <f t="shared" si="4"/>
        <v>4.5167310207141998E-3</v>
      </c>
      <c r="D172">
        <f t="shared" si="5"/>
        <v>5.2874382954053445</v>
      </c>
    </row>
    <row r="173" spans="1:4" x14ac:dyDescent="0.25">
      <c r="A173">
        <v>-89</v>
      </c>
      <c r="B173">
        <v>0.90897019999999995</v>
      </c>
      <c r="C173">
        <f t="shared" si="4"/>
        <v>4.5337733801725996E-3</v>
      </c>
      <c r="D173">
        <f t="shared" si="5"/>
        <v>5.3068938534946541</v>
      </c>
    </row>
    <row r="174" spans="1:4" x14ac:dyDescent="0.25">
      <c r="A174">
        <v>-88</v>
      </c>
      <c r="B174">
        <v>0.91241729999999999</v>
      </c>
      <c r="C174">
        <f t="shared" si="4"/>
        <v>4.5509668703649E-3</v>
      </c>
      <c r="D174">
        <f t="shared" si="5"/>
        <v>5.3265182300395892</v>
      </c>
    </row>
    <row r="175" spans="1:4" x14ac:dyDescent="0.25">
      <c r="A175">
        <v>-87</v>
      </c>
      <c r="B175">
        <v>0.91589509999999996</v>
      </c>
      <c r="C175">
        <f t="shared" si="4"/>
        <v>4.5683134864162997E-3</v>
      </c>
      <c r="D175">
        <f t="shared" si="5"/>
        <v>5.3463136039159309</v>
      </c>
    </row>
    <row r="176" spans="1:4" x14ac:dyDescent="0.25">
      <c r="A176">
        <v>-86</v>
      </c>
      <c r="B176">
        <v>0.91940409999999995</v>
      </c>
      <c r="C176">
        <f t="shared" si="4"/>
        <v>4.5858157222332992E-3</v>
      </c>
      <c r="D176">
        <f t="shared" si="5"/>
        <v>5.3662827204370096</v>
      </c>
    </row>
    <row r="177" spans="1:4" x14ac:dyDescent="0.25">
      <c r="A177">
        <v>-85</v>
      </c>
      <c r="B177">
        <v>0.92294469999999995</v>
      </c>
      <c r="C177">
        <f t="shared" si="4"/>
        <v>4.6034755729410992E-3</v>
      </c>
      <c r="D177">
        <f t="shared" si="5"/>
        <v>5.3864277529270144</v>
      </c>
    </row>
    <row r="178" spans="1:4" x14ac:dyDescent="0.25">
      <c r="A178">
        <v>-84</v>
      </c>
      <c r="B178">
        <v>0.92651740000000005</v>
      </c>
      <c r="C178">
        <f t="shared" si="4"/>
        <v>4.6212955324462001E-3</v>
      </c>
      <c r="D178">
        <f t="shared" si="5"/>
        <v>5.4067514408434043</v>
      </c>
    </row>
    <row r="179" spans="1:4" x14ac:dyDescent="0.25">
      <c r="A179">
        <v>-83</v>
      </c>
      <c r="B179">
        <v>0.93012260000000002</v>
      </c>
      <c r="C179">
        <f t="shared" si="4"/>
        <v>4.6392775958737998E-3</v>
      </c>
      <c r="D179">
        <f t="shared" si="5"/>
        <v>5.4272559517900554</v>
      </c>
    </row>
    <row r="180" spans="1:4" x14ac:dyDescent="0.25">
      <c r="A180">
        <v>-82</v>
      </c>
      <c r="B180">
        <v>0.9337607</v>
      </c>
      <c r="C180">
        <f t="shared" si="4"/>
        <v>4.6574237583490996E-3</v>
      </c>
      <c r="D180">
        <f t="shared" si="5"/>
        <v>5.4479434506162328</v>
      </c>
    </row>
    <row r="181" spans="1:4" x14ac:dyDescent="0.25">
      <c r="A181">
        <v>-81</v>
      </c>
      <c r="B181">
        <v>0.93743220000000005</v>
      </c>
      <c r="C181">
        <f t="shared" si="4"/>
        <v>4.6757365137786002E-3</v>
      </c>
      <c r="D181">
        <f t="shared" si="5"/>
        <v>5.4688166678399046</v>
      </c>
    </row>
    <row r="182" spans="1:4" x14ac:dyDescent="0.25">
      <c r="A182">
        <v>-80</v>
      </c>
      <c r="B182">
        <v>0.94113749999999996</v>
      </c>
      <c r="C182">
        <f t="shared" si="4"/>
        <v>4.6942178572874993E-3</v>
      </c>
      <c r="D182">
        <f t="shared" si="5"/>
        <v>5.489877762334638</v>
      </c>
    </row>
    <row r="183" spans="1:4" x14ac:dyDescent="0.25">
      <c r="A183">
        <v>-79</v>
      </c>
      <c r="B183">
        <v>0.94487710000000003</v>
      </c>
      <c r="C183">
        <f t="shared" si="4"/>
        <v>4.7128702827823003E-3</v>
      </c>
      <c r="D183">
        <f t="shared" si="5"/>
        <v>5.5111294583232269</v>
      </c>
    </row>
    <row r="184" spans="1:4" x14ac:dyDescent="0.25">
      <c r="A184">
        <v>-78</v>
      </c>
      <c r="B184">
        <v>0.94865140000000003</v>
      </c>
      <c r="C184">
        <f t="shared" si="4"/>
        <v>4.7316957853882E-3</v>
      </c>
      <c r="D184">
        <f t="shared" si="5"/>
        <v>5.5325739085235526</v>
      </c>
    </row>
    <row r="185" spans="1:4" x14ac:dyDescent="0.25">
      <c r="A185">
        <v>-77</v>
      </c>
      <c r="B185">
        <v>0.9524608</v>
      </c>
      <c r="C185">
        <f t="shared" si="4"/>
        <v>4.7506963602303998E-3</v>
      </c>
      <c r="D185">
        <f t="shared" si="5"/>
        <v>5.5542132626851597</v>
      </c>
    </row>
    <row r="186" spans="1:4" x14ac:dyDescent="0.25">
      <c r="A186">
        <v>-76</v>
      </c>
      <c r="B186">
        <v>0.95630579999999998</v>
      </c>
      <c r="C186">
        <f t="shared" si="4"/>
        <v>4.7698745012153994E-3</v>
      </c>
      <c r="D186">
        <f t="shared" si="5"/>
        <v>5.5760502354187169</v>
      </c>
    </row>
    <row r="187" spans="1:4" x14ac:dyDescent="0.25">
      <c r="A187">
        <v>-75</v>
      </c>
      <c r="B187">
        <v>0.96018689999999995</v>
      </c>
      <c r="C187">
        <f t="shared" si="4"/>
        <v>4.7892327022496994E-3</v>
      </c>
      <c r="D187">
        <f t="shared" si="5"/>
        <v>5.5980875377966477</v>
      </c>
    </row>
    <row r="188" spans="1:4" x14ac:dyDescent="0.25">
      <c r="A188">
        <v>-74</v>
      </c>
      <c r="B188">
        <v>0.96410439999999997</v>
      </c>
      <c r="C188">
        <f t="shared" si="4"/>
        <v>4.8087724596771993E-3</v>
      </c>
      <c r="D188">
        <f t="shared" si="5"/>
        <v>5.6203267420440017</v>
      </c>
    </row>
    <row r="189" spans="1:4" x14ac:dyDescent="0.25">
      <c r="A189">
        <v>-73</v>
      </c>
      <c r="B189">
        <v>0.9680588</v>
      </c>
      <c r="C189">
        <f t="shared" si="4"/>
        <v>4.8284962674043997E-3</v>
      </c>
      <c r="D189">
        <f t="shared" si="5"/>
        <v>5.6427705527369199</v>
      </c>
    </row>
    <row r="190" spans="1:4" x14ac:dyDescent="0.25">
      <c r="A190">
        <v>-72</v>
      </c>
      <c r="B190">
        <v>0.97205059999999999</v>
      </c>
      <c r="C190">
        <f t="shared" si="4"/>
        <v>4.8484066193377993E-3</v>
      </c>
      <c r="D190">
        <f t="shared" si="5"/>
        <v>5.6654216707626937</v>
      </c>
    </row>
    <row r="191" spans="1:4" x14ac:dyDescent="0.25">
      <c r="A191">
        <v>-71</v>
      </c>
      <c r="B191">
        <v>0.97608010000000001</v>
      </c>
      <c r="C191">
        <f t="shared" si="4"/>
        <v>4.8685050118212995E-3</v>
      </c>
      <c r="D191">
        <f t="shared" si="5"/>
        <v>5.6882816587600527</v>
      </c>
    </row>
    <row r="192" spans="1:4" x14ac:dyDescent="0.25">
      <c r="A192">
        <v>-70</v>
      </c>
      <c r="B192">
        <v>0.98014789999999996</v>
      </c>
      <c r="C192">
        <f t="shared" si="4"/>
        <v>4.8887944375426992E-3</v>
      </c>
      <c r="D192">
        <f t="shared" si="5"/>
        <v>5.7113537779612811</v>
      </c>
    </row>
    <row r="193" spans="1:4" x14ac:dyDescent="0.25">
      <c r="A193">
        <v>-69</v>
      </c>
      <c r="B193">
        <v>0.98425439999999997</v>
      </c>
      <c r="C193">
        <f t="shared" si="4"/>
        <v>4.9092768916271998E-3</v>
      </c>
      <c r="D193">
        <f t="shared" si="5"/>
        <v>5.7346401512482714</v>
      </c>
    </row>
    <row r="194" spans="1:4" x14ac:dyDescent="0.25">
      <c r="A194">
        <v>-68</v>
      </c>
      <c r="B194">
        <v>0.98839999999999995</v>
      </c>
      <c r="C194">
        <f t="shared" si="4"/>
        <v>4.9299543691999998E-3</v>
      </c>
      <c r="D194">
        <f t="shared" si="5"/>
        <v>5.7581428981135607</v>
      </c>
    </row>
    <row r="195" spans="1:4" x14ac:dyDescent="0.25">
      <c r="A195">
        <v>-67</v>
      </c>
      <c r="B195">
        <v>0.9925851</v>
      </c>
      <c r="C195">
        <f t="shared" si="4"/>
        <v>4.9508288653862999E-3</v>
      </c>
      <c r="D195">
        <f t="shared" si="5"/>
        <v>5.7818641346145894</v>
      </c>
    </row>
    <row r="196" spans="1:4" x14ac:dyDescent="0.25">
      <c r="A196">
        <v>-66</v>
      </c>
      <c r="B196">
        <v>0.99681019999999998</v>
      </c>
      <c r="C196">
        <f t="shared" si="4"/>
        <v>4.9719028740925998E-3</v>
      </c>
      <c r="D196">
        <f t="shared" si="5"/>
        <v>5.8058065399312131</v>
      </c>
    </row>
    <row r="197" spans="1:4" x14ac:dyDescent="0.25">
      <c r="A197">
        <v>-65</v>
      </c>
      <c r="B197">
        <v>1.0010758</v>
      </c>
      <c r="C197">
        <f t="shared" si="4"/>
        <v>4.9931788892253999E-3</v>
      </c>
      <c r="D197">
        <f t="shared" si="5"/>
        <v>5.8299727891818698</v>
      </c>
    </row>
    <row r="198" spans="1:4" x14ac:dyDescent="0.25">
      <c r="A198">
        <v>-64</v>
      </c>
      <c r="B198">
        <v>1.0053821999999999</v>
      </c>
      <c r="C198">
        <f t="shared" si="4"/>
        <v>5.014658407128599E-3</v>
      </c>
      <c r="D198">
        <f t="shared" si="5"/>
        <v>5.8543644206889951</v>
      </c>
    </row>
    <row r="199" spans="1:4" x14ac:dyDescent="0.25">
      <c r="A199">
        <v>-63</v>
      </c>
      <c r="B199">
        <v>1.0098849000000001</v>
      </c>
      <c r="C199">
        <f t="shared" si="4"/>
        <v>5.0371170327237003E-3</v>
      </c>
      <c r="D199">
        <f t="shared" si="5"/>
        <v>5.879861710215506</v>
      </c>
    </row>
    <row r="200" spans="1:4" x14ac:dyDescent="0.25">
      <c r="A200">
        <v>-62</v>
      </c>
      <c r="B200">
        <v>1.0148653999999999</v>
      </c>
      <c r="C200">
        <f t="shared" si="4"/>
        <v>5.0619588353701993E-3</v>
      </c>
      <c r="D200">
        <f t="shared" si="5"/>
        <v>5.9080572486856608</v>
      </c>
    </row>
    <row r="201" spans="1:4" x14ac:dyDescent="0.25">
      <c r="A201">
        <v>-61</v>
      </c>
      <c r="B201">
        <v>1.0202798</v>
      </c>
      <c r="C201">
        <f t="shared" si="4"/>
        <v>5.0889648500773996E-3</v>
      </c>
      <c r="D201">
        <f t="shared" si="5"/>
        <v>5.938700391904284</v>
      </c>
    </row>
    <row r="202" spans="1:4" x14ac:dyDescent="0.25">
      <c r="A202">
        <v>-60</v>
      </c>
      <c r="B202">
        <v>1.0260753</v>
      </c>
      <c r="C202">
        <f t="shared" si="4"/>
        <v>5.1178717203188995E-3</v>
      </c>
      <c r="D202">
        <f t="shared" si="5"/>
        <v>5.9714902582553524</v>
      </c>
    </row>
    <row r="203" spans="1:4" x14ac:dyDescent="0.25">
      <c r="A203">
        <v>-59</v>
      </c>
      <c r="B203">
        <v>1.0321988</v>
      </c>
      <c r="C203">
        <f t="shared" si="4"/>
        <v>5.1484145932243998E-3</v>
      </c>
      <c r="D203">
        <f t="shared" si="5"/>
        <v>6.0061245033006028</v>
      </c>
    </row>
    <row r="204" spans="1:4" x14ac:dyDescent="0.25">
      <c r="A204">
        <v>-58</v>
      </c>
      <c r="B204">
        <v>1.0385975999999999</v>
      </c>
      <c r="C204">
        <f t="shared" si="4"/>
        <v>5.1803306110487996E-3</v>
      </c>
      <c r="D204">
        <f t="shared" si="5"/>
        <v>6.0423033382058344</v>
      </c>
    </row>
    <row r="205" spans="1:4" x14ac:dyDescent="0.25">
      <c r="A205">
        <v>-57</v>
      </c>
      <c r="B205">
        <v>1.0452188</v>
      </c>
      <c r="C205">
        <f t="shared" si="4"/>
        <v>5.2133559184843999E-3</v>
      </c>
      <c r="D205">
        <f t="shared" si="5"/>
        <v>6.0797261847974067</v>
      </c>
    </row>
    <row r="206" spans="1:4" x14ac:dyDescent="0.25">
      <c r="A206">
        <v>-56</v>
      </c>
      <c r="B206">
        <v>1.0520094</v>
      </c>
      <c r="C206">
        <f t="shared" si="4"/>
        <v>5.2472261614421997E-3</v>
      </c>
      <c r="D206">
        <f t="shared" si="5"/>
        <v>6.1180922832300144</v>
      </c>
    </row>
    <row r="207" spans="1:4" x14ac:dyDescent="0.25">
      <c r="A207">
        <v>-55</v>
      </c>
      <c r="B207">
        <v>1.0589166000000001</v>
      </c>
      <c r="C207">
        <f t="shared" si="4"/>
        <v>5.2816779833957999E-3</v>
      </c>
      <c r="D207">
        <f t="shared" si="5"/>
        <v>6.157102419076244</v>
      </c>
    </row>
    <row r="208" spans="1:4" x14ac:dyDescent="0.25">
      <c r="A208">
        <v>-54</v>
      </c>
      <c r="B208">
        <v>1.0658875000000001</v>
      </c>
      <c r="C208">
        <f t="shared" si="4"/>
        <v>5.3164475290375006E-3</v>
      </c>
      <c r="D208">
        <f t="shared" si="5"/>
        <v>6.1964572510598721</v>
      </c>
    </row>
    <row r="209" spans="1:4" x14ac:dyDescent="0.25">
      <c r="A209">
        <v>-53</v>
      </c>
      <c r="B209">
        <v>1.0728693</v>
      </c>
      <c r="C209">
        <f t="shared" si="4"/>
        <v>5.3512714418409001E-3</v>
      </c>
      <c r="D209">
        <f t="shared" si="5"/>
        <v>6.2358584550686658</v>
      </c>
    </row>
    <row r="210" spans="1:4" x14ac:dyDescent="0.25">
      <c r="A210">
        <v>-52</v>
      </c>
      <c r="B210">
        <v>1.0798089</v>
      </c>
      <c r="C210">
        <f t="shared" si="4"/>
        <v>5.3858848689356999E-3</v>
      </c>
      <c r="D210">
        <f t="shared" si="5"/>
        <v>6.2750064727466022</v>
      </c>
    </row>
    <row r="211" spans="1:4" x14ac:dyDescent="0.25">
      <c r="A211">
        <v>-51</v>
      </c>
      <c r="B211">
        <v>1.0866536</v>
      </c>
      <c r="C211">
        <f t="shared" si="4"/>
        <v>5.4200249525767994E-3</v>
      </c>
      <c r="D211">
        <f t="shared" si="5"/>
        <v>6.3136044583722235</v>
      </c>
    </row>
    <row r="212" spans="1:4" x14ac:dyDescent="0.25">
      <c r="A212">
        <v>-50</v>
      </c>
      <c r="B212">
        <v>1.0933504999999999</v>
      </c>
      <c r="C212">
        <f t="shared" si="4"/>
        <v>5.4534278374564994E-3</v>
      </c>
      <c r="D212">
        <f t="shared" si="5"/>
        <v>6.351354881371396</v>
      </c>
    </row>
    <row r="213" spans="1:4" x14ac:dyDescent="0.25">
      <c r="A213">
        <v>-49</v>
      </c>
      <c r="B213">
        <v>1.0998466</v>
      </c>
      <c r="C213">
        <f t="shared" si="4"/>
        <v>5.4858291694857998E-3</v>
      </c>
      <c r="D213">
        <f t="shared" si="5"/>
        <v>6.3879600714956464</v>
      </c>
    </row>
    <row r="214" spans="1:4" x14ac:dyDescent="0.25">
      <c r="A214">
        <v>-48</v>
      </c>
      <c r="B214">
        <v>1.1060890999999999</v>
      </c>
      <c r="C214">
        <f t="shared" si="4"/>
        <v>5.5169655921382997E-3</v>
      </c>
      <c r="D214">
        <f t="shared" si="5"/>
        <v>6.4231238804090545</v>
      </c>
    </row>
    <row r="215" spans="1:4" x14ac:dyDescent="0.25">
      <c r="A215">
        <v>-47</v>
      </c>
      <c r="B215">
        <v>1.1120251000000001</v>
      </c>
      <c r="C215">
        <f t="shared" si="4"/>
        <v>5.5465732501063002E-3</v>
      </c>
      <c r="D215">
        <f t="shared" si="5"/>
        <v>6.4565499530806036</v>
      </c>
    </row>
    <row r="216" spans="1:4" x14ac:dyDescent="0.25">
      <c r="A216">
        <v>-46</v>
      </c>
      <c r="B216">
        <v>1.1176018000000001</v>
      </c>
      <c r="C216">
        <f t="shared" si="4"/>
        <v>5.5743887868634004E-3</v>
      </c>
      <c r="D216">
        <f t="shared" si="5"/>
        <v>6.4879428081878299</v>
      </c>
    </row>
    <row r="217" spans="1:4" x14ac:dyDescent="0.25">
      <c r="A217">
        <v>-45</v>
      </c>
      <c r="B217">
        <v>1.1227661</v>
      </c>
      <c r="C217">
        <f t="shared" si="4"/>
        <v>5.6001473495393E-3</v>
      </c>
      <c r="D217">
        <f t="shared" si="5"/>
        <v>6.5170055317334992</v>
      </c>
    </row>
    <row r="218" spans="1:4" x14ac:dyDescent="0.25">
      <c r="A218">
        <v>-44</v>
      </c>
      <c r="B218">
        <v>1.1274652999999999</v>
      </c>
      <c r="C218">
        <f t="shared" si="4"/>
        <v>5.6235860803888994E-3</v>
      </c>
      <c r="D218">
        <f t="shared" si="5"/>
        <v>6.5434436536761842</v>
      </c>
    </row>
    <row r="219" spans="1:4" x14ac:dyDescent="0.25">
      <c r="A219">
        <v>-43</v>
      </c>
      <c r="B219">
        <v>1.1316465</v>
      </c>
      <c r="C219">
        <f t="shared" si="4"/>
        <v>5.6444411241045002E-3</v>
      </c>
      <c r="D219">
        <f t="shared" si="5"/>
        <v>6.5669616985363444</v>
      </c>
    </row>
    <row r="220" spans="1:4" x14ac:dyDescent="0.25">
      <c r="A220">
        <v>-42</v>
      </c>
      <c r="B220">
        <v>1.1352567</v>
      </c>
      <c r="C220">
        <f t="shared" si="4"/>
        <v>5.6624481265970996E-3</v>
      </c>
      <c r="D220">
        <f t="shared" si="5"/>
        <v>6.5872636684977781</v>
      </c>
    </row>
    <row r="221" spans="1:4" x14ac:dyDescent="0.25">
      <c r="A221">
        <v>-41</v>
      </c>
      <c r="B221">
        <v>1.1382432</v>
      </c>
      <c r="C221">
        <f t="shared" si="4"/>
        <v>5.6773442301215997E-3</v>
      </c>
      <c r="D221">
        <f t="shared" si="5"/>
        <v>6.6040552034329796</v>
      </c>
    </row>
    <row r="222" spans="1:4" x14ac:dyDescent="0.25">
      <c r="A222">
        <v>-40</v>
      </c>
      <c r="B222">
        <v>1.1405529000000001</v>
      </c>
      <c r="C222">
        <f t="shared" si="4"/>
        <v>5.6888645818077002E-3</v>
      </c>
      <c r="D222">
        <f t="shared" si="5"/>
        <v>6.6170395468477921</v>
      </c>
    </row>
    <row r="223" spans="1:4" x14ac:dyDescent="0.25">
      <c r="A223">
        <v>-39</v>
      </c>
      <c r="B223">
        <v>1.1421330000000001</v>
      </c>
      <c r="C223">
        <f t="shared" si="4"/>
        <v>5.6967458251290003E-3</v>
      </c>
      <c r="D223">
        <f t="shared" si="5"/>
        <v>6.6259213753623758</v>
      </c>
    </row>
    <row r="224" spans="1:4" x14ac:dyDescent="0.25">
      <c r="A224">
        <v>-38</v>
      </c>
      <c r="B224">
        <v>1.1429307</v>
      </c>
      <c r="C224">
        <f t="shared" si="4"/>
        <v>5.7007246035590993E-3</v>
      </c>
      <c r="D224">
        <f t="shared" si="5"/>
        <v>6.6304049965349225</v>
      </c>
    </row>
    <row r="225" spans="1:4" x14ac:dyDescent="0.25">
      <c r="A225">
        <v>-37</v>
      </c>
      <c r="B225">
        <v>1.1431495</v>
      </c>
      <c r="C225">
        <f t="shared" si="4"/>
        <v>5.7018159370434999E-3</v>
      </c>
      <c r="D225">
        <f t="shared" si="5"/>
        <v>6.631634768128059</v>
      </c>
    </row>
    <row r="226" spans="1:4" x14ac:dyDescent="0.25">
      <c r="A226">
        <v>-36</v>
      </c>
      <c r="B226">
        <v>1.1433359999999999</v>
      </c>
      <c r="C226">
        <f t="shared" si="4"/>
        <v>5.7027461641679994E-3</v>
      </c>
      <c r="D226">
        <f t="shared" si="5"/>
        <v>6.632682984935256</v>
      </c>
    </row>
    <row r="227" spans="1:4" x14ac:dyDescent="0.25">
      <c r="A227">
        <v>-35</v>
      </c>
      <c r="B227">
        <v>1.1435109000000001</v>
      </c>
      <c r="C227">
        <f t="shared" si="4"/>
        <v>5.7036185326617E-3</v>
      </c>
      <c r="D227">
        <f t="shared" si="5"/>
        <v>6.6336659945414382</v>
      </c>
    </row>
    <row r="228" spans="1:4" x14ac:dyDescent="0.25">
      <c r="A228">
        <v>-34</v>
      </c>
      <c r="B228">
        <v>1.1436747</v>
      </c>
      <c r="C228">
        <f t="shared" si="4"/>
        <v>5.7044355364310999E-3</v>
      </c>
      <c r="D228">
        <f t="shared" si="5"/>
        <v>6.6345866090001255</v>
      </c>
    </row>
    <row r="229" spans="1:4" x14ac:dyDescent="0.25">
      <c r="A229">
        <v>-33</v>
      </c>
      <c r="B229">
        <v>1.1438278</v>
      </c>
      <c r="C229">
        <f t="shared" si="4"/>
        <v>5.7051991706013995E-3</v>
      </c>
      <c r="D229">
        <f t="shared" si="5"/>
        <v>6.6354470781166741</v>
      </c>
    </row>
    <row r="230" spans="1:4" x14ac:dyDescent="0.25">
      <c r="A230">
        <v>-32</v>
      </c>
      <c r="B230">
        <v>1.1439705</v>
      </c>
      <c r="C230">
        <f t="shared" si="4"/>
        <v>5.7059109315165E-3</v>
      </c>
      <c r="D230">
        <f t="shared" si="5"/>
        <v>6.6362490894871335</v>
      </c>
    </row>
    <row r="231" spans="1:4" x14ac:dyDescent="0.25">
      <c r="A231">
        <v>-31</v>
      </c>
      <c r="B231">
        <v>1.1441033</v>
      </c>
      <c r="C231">
        <f t="shared" si="4"/>
        <v>5.7065733130829003E-3</v>
      </c>
      <c r="D231">
        <f t="shared" si="5"/>
        <v>6.6369954545917098</v>
      </c>
    </row>
    <row r="232" spans="1:4" x14ac:dyDescent="0.25">
      <c r="A232">
        <v>-30</v>
      </c>
      <c r="B232">
        <v>1.1442264</v>
      </c>
      <c r="C232">
        <f t="shared" si="4"/>
        <v>5.7071873128631996E-3</v>
      </c>
      <c r="D232">
        <f t="shared" si="5"/>
        <v>6.6376872986858242</v>
      </c>
    </row>
    <row r="233" spans="1:4" x14ac:dyDescent="0.25">
      <c r="A233">
        <v>-29</v>
      </c>
      <c r="B233">
        <v>1.1443403000000001</v>
      </c>
      <c r="C233">
        <f t="shared" ref="C233:C262" si="6">B233*$G$2</f>
        <v>5.7077554247639004E-3</v>
      </c>
      <c r="D233">
        <f t="shared" ref="D233:D262" si="7">100*(1-(1-C233)^12)</f>
        <v>6.6383274329427699</v>
      </c>
    </row>
    <row r="234" spans="1:4" x14ac:dyDescent="0.25">
      <c r="A234">
        <v>-28</v>
      </c>
      <c r="B234">
        <v>1.1444453000000001</v>
      </c>
      <c r="C234">
        <f t="shared" si="6"/>
        <v>5.7082791451289003E-3</v>
      </c>
      <c r="D234">
        <f t="shared" si="7"/>
        <v>6.6389175443655635</v>
      </c>
    </row>
    <row r="235" spans="1:4" x14ac:dyDescent="0.25">
      <c r="A235">
        <v>-27</v>
      </c>
      <c r="B235">
        <v>1.1445418000000001</v>
      </c>
      <c r="C235">
        <f t="shared" si="6"/>
        <v>5.7087604690834E-3</v>
      </c>
      <c r="D235">
        <f t="shared" si="7"/>
        <v>6.6394598818483868</v>
      </c>
    </row>
    <row r="236" spans="1:4" x14ac:dyDescent="0.25">
      <c r="A236">
        <v>-26</v>
      </c>
      <c r="B236">
        <v>1.1446301999999999</v>
      </c>
      <c r="C236">
        <f t="shared" si="6"/>
        <v>5.7092013917525997E-3</v>
      </c>
      <c r="D236">
        <f t="shared" si="7"/>
        <v>6.6399566941686139</v>
      </c>
    </row>
    <row r="237" spans="1:4" x14ac:dyDescent="0.25">
      <c r="A237">
        <v>-25</v>
      </c>
      <c r="B237">
        <v>1.1447109</v>
      </c>
      <c r="C237">
        <f t="shared" si="6"/>
        <v>5.7096039082617E-3</v>
      </c>
      <c r="D237">
        <f t="shared" si="7"/>
        <v>6.6404102299965961</v>
      </c>
    </row>
    <row r="238" spans="1:4" x14ac:dyDescent="0.25">
      <c r="A238">
        <v>-24</v>
      </c>
      <c r="B238">
        <v>1.1447841999999999</v>
      </c>
      <c r="C238">
        <f t="shared" si="6"/>
        <v>5.7099695149545994E-3</v>
      </c>
      <c r="D238">
        <f t="shared" si="7"/>
        <v>6.6408221759066244</v>
      </c>
    </row>
    <row r="239" spans="1:4" x14ac:dyDescent="0.25">
      <c r="A239">
        <v>-23</v>
      </c>
      <c r="B239">
        <v>1.1448505</v>
      </c>
      <c r="C239">
        <f t="shared" si="6"/>
        <v>5.7103002069564994E-3</v>
      </c>
      <c r="D239">
        <f t="shared" si="7"/>
        <v>6.6411947803900802</v>
      </c>
    </row>
    <row r="240" spans="1:4" x14ac:dyDescent="0.25">
      <c r="A240">
        <v>-22</v>
      </c>
      <c r="B240">
        <v>1.1449102</v>
      </c>
      <c r="C240">
        <f t="shared" si="6"/>
        <v>5.7105979793925996E-3</v>
      </c>
      <c r="D240">
        <f t="shared" si="7"/>
        <v>6.6415302918581105</v>
      </c>
    </row>
    <row r="241" spans="1:4" x14ac:dyDescent="0.25">
      <c r="A241">
        <v>-21</v>
      </c>
      <c r="B241">
        <v>1.1449636000000001</v>
      </c>
      <c r="C241">
        <f t="shared" si="6"/>
        <v>5.7108643286068001E-3</v>
      </c>
      <c r="D241">
        <f t="shared" si="7"/>
        <v>6.6418303966568999</v>
      </c>
    </row>
    <row r="242" spans="1:4" x14ac:dyDescent="0.25">
      <c r="A242">
        <v>-20</v>
      </c>
      <c r="B242">
        <v>1.1450111999999999</v>
      </c>
      <c r="C242">
        <f t="shared" si="6"/>
        <v>5.7111017485055992E-3</v>
      </c>
      <c r="D242">
        <f t="shared" si="7"/>
        <v>6.642097905057998</v>
      </c>
    </row>
    <row r="243" spans="1:4" x14ac:dyDescent="0.25">
      <c r="A243">
        <v>-19</v>
      </c>
      <c r="B243">
        <v>1.1450533000000001</v>
      </c>
      <c r="C243">
        <f t="shared" si="6"/>
        <v>5.7113117354328996E-3</v>
      </c>
      <c r="D243">
        <f t="shared" si="7"/>
        <v>6.6423345032892716</v>
      </c>
    </row>
    <row r="244" spans="1:4" x14ac:dyDescent="0.25">
      <c r="A244">
        <v>-18</v>
      </c>
      <c r="B244">
        <v>1.1450902999999999</v>
      </c>
      <c r="C244">
        <f t="shared" si="6"/>
        <v>5.7114962845138994E-3</v>
      </c>
      <c r="D244">
        <f t="shared" si="7"/>
        <v>6.6425424395233463</v>
      </c>
    </row>
    <row r="245" spans="1:4" x14ac:dyDescent="0.25">
      <c r="A245">
        <v>-17</v>
      </c>
      <c r="B245">
        <v>1.1451226000000001</v>
      </c>
      <c r="C245">
        <f t="shared" si="6"/>
        <v>5.7116573908738005E-3</v>
      </c>
      <c r="D245">
        <f t="shared" si="7"/>
        <v>6.6427239618886418</v>
      </c>
    </row>
    <row r="246" spans="1:4" x14ac:dyDescent="0.25">
      <c r="A246">
        <v>-16</v>
      </c>
      <c r="B246">
        <v>1.1451505</v>
      </c>
      <c r="C246">
        <f t="shared" si="6"/>
        <v>5.7117965508564992E-3</v>
      </c>
      <c r="D246">
        <f t="shared" si="7"/>
        <v>6.6428807564887897</v>
      </c>
    </row>
    <row r="247" spans="1:4" x14ac:dyDescent="0.25">
      <c r="A247">
        <v>-15</v>
      </c>
      <c r="B247">
        <v>1.1451743999999999</v>
      </c>
      <c r="C247">
        <f t="shared" si="6"/>
        <v>5.7119157595871993E-3</v>
      </c>
      <c r="D247">
        <f t="shared" si="7"/>
        <v>6.6430150713842062</v>
      </c>
    </row>
    <row r="248" spans="1:4" x14ac:dyDescent="0.25">
      <c r="A248">
        <v>-14</v>
      </c>
      <c r="B248">
        <v>1.1451947</v>
      </c>
      <c r="C248">
        <f t="shared" si="6"/>
        <v>5.7120170121910995E-3</v>
      </c>
      <c r="D248">
        <f t="shared" si="7"/>
        <v>6.6431291546083742</v>
      </c>
    </row>
    <row r="249" spans="1:4" x14ac:dyDescent="0.25">
      <c r="A249">
        <v>-13</v>
      </c>
      <c r="B249">
        <v>1.1452116999999999</v>
      </c>
      <c r="C249">
        <f t="shared" si="6"/>
        <v>5.7121018050120993E-3</v>
      </c>
      <c r="D249">
        <f t="shared" si="7"/>
        <v>6.6432246921853011</v>
      </c>
    </row>
    <row r="250" spans="1:4" x14ac:dyDescent="0.25">
      <c r="A250">
        <v>-12</v>
      </c>
      <c r="B250">
        <v>1.1452259</v>
      </c>
      <c r="C250">
        <f t="shared" si="6"/>
        <v>5.7121726319567002E-3</v>
      </c>
      <c r="D250">
        <f t="shared" si="7"/>
        <v>6.6433044940925949</v>
      </c>
    </row>
    <row r="251" spans="1:4" x14ac:dyDescent="0.25">
      <c r="A251">
        <v>-11</v>
      </c>
      <c r="B251">
        <v>1.1452376</v>
      </c>
      <c r="C251">
        <f t="shared" si="6"/>
        <v>5.7122309893688E-3</v>
      </c>
      <c r="D251">
        <f t="shared" si="7"/>
        <v>6.643370246321445</v>
      </c>
    </row>
    <row r="252" spans="1:4" x14ac:dyDescent="0.25">
      <c r="A252">
        <v>-10</v>
      </c>
      <c r="B252">
        <v>1.1452472</v>
      </c>
      <c r="C252">
        <f t="shared" si="6"/>
        <v>5.7122788723735999E-3</v>
      </c>
      <c r="D252">
        <f t="shared" si="7"/>
        <v>6.6434241968364338</v>
      </c>
    </row>
    <row r="253" spans="1:4" x14ac:dyDescent="0.25">
      <c r="A253">
        <v>-9</v>
      </c>
      <c r="B253">
        <v>1.1452549999999999</v>
      </c>
      <c r="C253">
        <f t="shared" si="6"/>
        <v>5.7123177773149994E-3</v>
      </c>
      <c r="D253">
        <f t="shared" si="7"/>
        <v>6.6434680316087675</v>
      </c>
    </row>
    <row r="254" spans="1:4" x14ac:dyDescent="0.25">
      <c r="A254">
        <v>-8</v>
      </c>
      <c r="B254">
        <v>1.1452614999999999</v>
      </c>
      <c r="C254">
        <f t="shared" si="6"/>
        <v>5.7123501980994992E-3</v>
      </c>
      <c r="D254">
        <f t="shared" si="7"/>
        <v>6.6435045605714116</v>
      </c>
    </row>
    <row r="255" spans="1:4" x14ac:dyDescent="0.25">
      <c r="A255">
        <v>-7</v>
      </c>
      <c r="B255">
        <v>1.145267</v>
      </c>
      <c r="C255">
        <f t="shared" si="6"/>
        <v>5.7123776310709995E-3</v>
      </c>
      <c r="D255">
        <f t="shared" si="7"/>
        <v>6.6435354696833819</v>
      </c>
    </row>
    <row r="256" spans="1:4" x14ac:dyDescent="0.25">
      <c r="A256">
        <v>-6</v>
      </c>
      <c r="B256">
        <v>1.1452719</v>
      </c>
      <c r="C256">
        <f t="shared" si="6"/>
        <v>5.7124020713547E-3</v>
      </c>
      <c r="D256">
        <f t="shared" si="7"/>
        <v>6.6435630068843121</v>
      </c>
    </row>
    <row r="257" spans="1:4" x14ac:dyDescent="0.25">
      <c r="A257">
        <v>-5</v>
      </c>
      <c r="B257">
        <v>1.1452765</v>
      </c>
      <c r="C257">
        <f t="shared" si="6"/>
        <v>5.7124250152945002E-3</v>
      </c>
      <c r="D257">
        <f t="shared" si="7"/>
        <v>6.6435888581273028</v>
      </c>
    </row>
    <row r="258" spans="1:4" x14ac:dyDescent="0.25">
      <c r="A258">
        <v>-4</v>
      </c>
      <c r="B258">
        <v>1.1452812999999999</v>
      </c>
      <c r="C258">
        <f t="shared" si="6"/>
        <v>5.7124489567968997E-3</v>
      </c>
      <c r="D258">
        <f t="shared" si="7"/>
        <v>6.6436158333305517</v>
      </c>
    </row>
    <row r="259" spans="1:4" x14ac:dyDescent="0.25">
      <c r="A259">
        <v>-3</v>
      </c>
      <c r="B259">
        <v>1.1452864</v>
      </c>
      <c r="C259">
        <f t="shared" si="6"/>
        <v>5.7124743946431996E-3</v>
      </c>
      <c r="D259">
        <f t="shared" si="7"/>
        <v>6.6436444944760868</v>
      </c>
    </row>
    <row r="260" spans="1:4" x14ac:dyDescent="0.25">
      <c r="A260">
        <v>-2</v>
      </c>
      <c r="B260">
        <v>1.1452914000000001</v>
      </c>
      <c r="C260">
        <f t="shared" si="6"/>
        <v>5.7124993337082002E-3</v>
      </c>
      <c r="D260">
        <f t="shared" si="7"/>
        <v>6.643672593630578</v>
      </c>
    </row>
    <row r="261" spans="1:4" x14ac:dyDescent="0.25">
      <c r="A261">
        <v>-1</v>
      </c>
      <c r="B261">
        <v>1.1452964999999999</v>
      </c>
      <c r="C261">
        <f t="shared" si="6"/>
        <v>5.7125247715544992E-3</v>
      </c>
      <c r="D261">
        <f t="shared" si="7"/>
        <v>6.6437012547601366</v>
      </c>
    </row>
    <row r="262" spans="1:4" x14ac:dyDescent="0.25">
      <c r="A262">
        <v>0</v>
      </c>
      <c r="B262">
        <v>1.1453016</v>
      </c>
      <c r="C262">
        <f t="shared" si="6"/>
        <v>5.7125502094007999E-3</v>
      </c>
      <c r="D262">
        <f t="shared" si="7"/>
        <v>6.6437299158816021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3"/>
  <sheetViews>
    <sheetView workbookViewId="0">
      <selection activeCell="N22" sqref="N22"/>
    </sheetView>
  </sheetViews>
  <sheetFormatPr defaultRowHeight="15" x14ac:dyDescent="0.25"/>
  <cols>
    <col min="2" max="2" width="15.28515625" bestFit="1" customWidth="1"/>
    <col min="3" max="3" width="7.7109375" style="4" bestFit="1" customWidth="1"/>
    <col min="4" max="5" width="7.7109375" bestFit="1" customWidth="1"/>
    <col min="6" max="6" width="9.140625" style="4"/>
    <col min="7" max="8" width="9.140625" style="5"/>
    <col min="16" max="16" width="15.7109375" bestFit="1" customWidth="1"/>
    <col min="17" max="17" width="9.5703125" bestFit="1" customWidth="1"/>
  </cols>
  <sheetData>
    <row r="1" spans="1:17" x14ac:dyDescent="0.25">
      <c r="A1" s="6"/>
      <c r="B1" s="6"/>
      <c r="C1" s="9" t="s">
        <v>13</v>
      </c>
      <c r="D1" s="10"/>
      <c r="E1" s="11"/>
      <c r="F1" s="9" t="s">
        <v>5</v>
      </c>
      <c r="G1" s="10"/>
      <c r="H1" s="10"/>
    </row>
    <row r="2" spans="1:17" x14ac:dyDescent="0.25">
      <c r="A2" s="6" t="s">
        <v>8</v>
      </c>
      <c r="B2" s="6" t="s">
        <v>9</v>
      </c>
      <c r="C2" s="7" t="s">
        <v>10</v>
      </c>
      <c r="D2" s="6" t="s">
        <v>11</v>
      </c>
      <c r="E2" s="6" t="s">
        <v>12</v>
      </c>
      <c r="F2" s="7" t="s">
        <v>10</v>
      </c>
      <c r="G2" s="8" t="s">
        <v>11</v>
      </c>
      <c r="H2" s="8" t="s">
        <v>12</v>
      </c>
      <c r="J2" t="s">
        <v>6</v>
      </c>
      <c r="K2">
        <v>105</v>
      </c>
      <c r="L2">
        <v>110</v>
      </c>
      <c r="M2">
        <v>115</v>
      </c>
      <c r="P2" s="2" t="s">
        <v>2</v>
      </c>
      <c r="Q2" s="1" t="s">
        <v>5</v>
      </c>
    </row>
    <row r="3" spans="1:17" x14ac:dyDescent="0.25">
      <c r="A3">
        <v>0</v>
      </c>
      <c r="B3">
        <v>0</v>
      </c>
      <c r="C3" s="4">
        <f>B3*$P$3*$K$3</f>
        <v>0</v>
      </c>
      <c r="D3">
        <f>B3*$P$3*$L$3</f>
        <v>0</v>
      </c>
      <c r="E3">
        <f>B3*$P$3*$M$3</f>
        <v>0</v>
      </c>
      <c r="F3" s="4">
        <f>100*(1-(1-C3)^12)</f>
        <v>0</v>
      </c>
      <c r="G3" s="5">
        <f t="shared" ref="G3:H3" si="0">100*(1-(1-D3)^12)</f>
        <v>0</v>
      </c>
      <c r="H3" s="5">
        <f t="shared" si="0"/>
        <v>0</v>
      </c>
      <c r="J3" t="s">
        <v>7</v>
      </c>
      <c r="K3" s="1">
        <v>0.79285729999999999</v>
      </c>
      <c r="L3">
        <v>1.0213417</v>
      </c>
      <c r="M3">
        <v>1.3601954999999999</v>
      </c>
      <c r="P3" s="3">
        <v>4.9878129999999998E-3</v>
      </c>
      <c r="Q3" s="3">
        <f>100*(1-(1-P3)^12)</f>
        <v>5.8238785082800781</v>
      </c>
    </row>
    <row r="4" spans="1:17" x14ac:dyDescent="0.25">
      <c r="A4">
        <v>1</v>
      </c>
      <c r="B4">
        <v>0.13379820000000001</v>
      </c>
      <c r="C4" s="4">
        <f>B4*$P$3*$K$3</f>
        <v>5.2912156593065305E-4</v>
      </c>
      <c r="D4">
        <f>B4*$P$3*$L$3</f>
        <v>6.816030068138053E-4</v>
      </c>
      <c r="E4">
        <f>B4*$P$3*$M$3</f>
        <v>9.0774061477623728E-4</v>
      </c>
      <c r="F4" s="4">
        <f t="shared" ref="F4:F67" si="1">100*(1-(1-C4)^12)</f>
        <v>0.6331013347073644</v>
      </c>
      <c r="G4" s="5">
        <f t="shared" ref="G4:G67" si="2">100*(1-(1-D4)^12)</f>
        <v>0.81486431849624452</v>
      </c>
      <c r="H4" s="5">
        <f t="shared" ref="H4:H67" si="3">100*(1-(1-E4)^12)</f>
        <v>1.0838668055975886</v>
      </c>
    </row>
    <row r="5" spans="1:17" x14ac:dyDescent="0.25">
      <c r="A5">
        <v>2</v>
      </c>
      <c r="B5">
        <v>0.2662158</v>
      </c>
      <c r="C5" s="4">
        <f>B5*$P$3*$K$3</f>
        <v>1.0527833780385801E-3</v>
      </c>
      <c r="D5">
        <f>B5*$P$3*$L$3</f>
        <v>1.3561728763267565E-3</v>
      </c>
      <c r="E5">
        <f>B5*$P$3*$M$3</f>
        <v>1.8061146858115266E-3</v>
      </c>
      <c r="F5" s="4">
        <f t="shared" si="1"/>
        <v>1.2560505350093343</v>
      </c>
      <c r="G5" s="5">
        <f t="shared" si="2"/>
        <v>1.6153234065219402</v>
      </c>
      <c r="H5" s="5">
        <f t="shared" si="3"/>
        <v>2.1459371820710782</v>
      </c>
    </row>
    <row r="6" spans="1:17" x14ac:dyDescent="0.25">
      <c r="A6">
        <v>3</v>
      </c>
      <c r="B6">
        <v>0.37342229999999998</v>
      </c>
      <c r="C6" s="4">
        <f>B6*$P$3*$K$3</f>
        <v>1.4767447703289437E-3</v>
      </c>
      <c r="D6">
        <f>B6*$P$3*$L$3</f>
        <v>1.9023108120387782E-3</v>
      </c>
      <c r="E6">
        <f>B6*$P$3*$M$3</f>
        <v>2.5334465499024387E-3</v>
      </c>
      <c r="F6" s="4">
        <f t="shared" si="1"/>
        <v>1.7577712236302445</v>
      </c>
      <c r="G6" s="5">
        <f t="shared" si="2"/>
        <v>2.2590397870171586</v>
      </c>
      <c r="H6" s="5">
        <f t="shared" si="3"/>
        <v>2.9981304416859533</v>
      </c>
    </row>
    <row r="7" spans="1:17" x14ac:dyDescent="0.25">
      <c r="A7">
        <v>4</v>
      </c>
      <c r="B7">
        <v>0.45424209999999998</v>
      </c>
      <c r="C7" s="4">
        <f>B7*$P$3*$K$3</f>
        <v>1.7963566868883756E-3</v>
      </c>
      <c r="D7">
        <f>B7*$P$3*$L$3</f>
        <v>2.3140280002377999E-3</v>
      </c>
      <c r="E7">
        <f>B7*$P$3*$M$3</f>
        <v>3.081760465471501E-3</v>
      </c>
      <c r="F7" s="4">
        <f t="shared" si="1"/>
        <v>2.1344575143101951</v>
      </c>
      <c r="G7" s="5">
        <f t="shared" si="2"/>
        <v>2.7417635990102274</v>
      </c>
      <c r="H7" s="5">
        <f t="shared" si="3"/>
        <v>3.6360701831017916</v>
      </c>
    </row>
    <row r="8" spans="1:17" x14ac:dyDescent="0.25">
      <c r="A8">
        <v>5</v>
      </c>
      <c r="B8">
        <v>0.51857310000000001</v>
      </c>
      <c r="C8" s="4">
        <f>B8*$P$3*$K$3</f>
        <v>2.0507616000926257E-3</v>
      </c>
      <c r="D8">
        <f>B8*$P$3*$L$3</f>
        <v>2.6417469309210151E-3</v>
      </c>
      <c r="E8">
        <f>B8*$P$3*$M$3</f>
        <v>3.5182077531717105E-3</v>
      </c>
      <c r="F8" s="4">
        <f t="shared" si="1"/>
        <v>2.4333456788003804</v>
      </c>
      <c r="G8" s="5">
        <f t="shared" si="2"/>
        <v>3.1244392577013169</v>
      </c>
      <c r="H8" s="5">
        <f t="shared" si="3"/>
        <v>4.141106423887031</v>
      </c>
    </row>
    <row r="9" spans="1:17" x14ac:dyDescent="0.25">
      <c r="A9">
        <v>6</v>
      </c>
      <c r="B9">
        <v>0.57074499999999995</v>
      </c>
      <c r="C9" s="4">
        <f>B9*$P$3*$K$3</f>
        <v>2.2570818452497159E-3</v>
      </c>
      <c r="D9">
        <f>B9*$P$3*$L$3</f>
        <v>2.9075242277096795E-3</v>
      </c>
      <c r="E9">
        <f>B9*$P$3*$M$3</f>
        <v>3.8721628331357481E-3</v>
      </c>
      <c r="F9" s="4">
        <f t="shared" si="1"/>
        <v>2.6751267398648526</v>
      </c>
      <c r="G9" s="5">
        <f t="shared" si="2"/>
        <v>3.4337718962892949</v>
      </c>
      <c r="H9" s="5">
        <f t="shared" si="3"/>
        <v>4.548903555657791</v>
      </c>
    </row>
    <row r="10" spans="1:17" x14ac:dyDescent="0.25">
      <c r="A10">
        <v>7</v>
      </c>
      <c r="B10">
        <v>0.61508750000000001</v>
      </c>
      <c r="C10" s="4">
        <f>B10*$P$3*$K$3</f>
        <v>2.4324397576676706E-3</v>
      </c>
      <c r="D10">
        <f>B10*$P$3*$L$3</f>
        <v>3.1334165142250527E-3</v>
      </c>
      <c r="E10">
        <f>B10*$P$3*$M$3</f>
        <v>4.1730001254962979E-3</v>
      </c>
      <c r="F10" s="4">
        <f t="shared" si="1"/>
        <v>2.8801919738128956</v>
      </c>
      <c r="G10" s="5">
        <f t="shared" si="2"/>
        <v>3.695971121463415</v>
      </c>
      <c r="H10" s="5">
        <f t="shared" si="3"/>
        <v>4.8942520047039695</v>
      </c>
    </row>
    <row r="11" spans="1:17" x14ac:dyDescent="0.25">
      <c r="A11">
        <v>8</v>
      </c>
      <c r="B11">
        <v>0.65583480000000005</v>
      </c>
      <c r="C11" s="4">
        <f>B11*$P$3*$K$3</f>
        <v>2.593580006067471E-3</v>
      </c>
      <c r="D11">
        <f>B11*$P$3*$L$3</f>
        <v>3.3409939121238604E-3</v>
      </c>
      <c r="E11">
        <f>B11*$P$3*$M$3</f>
        <v>4.4494461401098865E-3</v>
      </c>
      <c r="F11" s="4">
        <f t="shared" si="1"/>
        <v>3.0682816536618418</v>
      </c>
      <c r="G11" s="5">
        <f t="shared" si="2"/>
        <v>3.9363362192821327</v>
      </c>
      <c r="H11" s="5">
        <f t="shared" si="3"/>
        <v>5.2105900769881526</v>
      </c>
    </row>
    <row r="12" spans="1:17" x14ac:dyDescent="0.25">
      <c r="A12">
        <v>9</v>
      </c>
      <c r="B12">
        <v>0.69433959999999995</v>
      </c>
      <c r="C12" s="4">
        <f>B12*$P$3*$K$3</f>
        <v>2.7458520102636901E-3</v>
      </c>
      <c r="D12">
        <f>B12*$P$3*$L$3</f>
        <v>3.5371474288136522E-3</v>
      </c>
      <c r="E12">
        <f>B12*$P$3*$M$3</f>
        <v>4.7106781359352113E-3</v>
      </c>
      <c r="F12" s="4">
        <f t="shared" si="1"/>
        <v>3.2457130331817408</v>
      </c>
      <c r="G12" s="5">
        <f t="shared" si="2"/>
        <v>4.1629674945736106</v>
      </c>
      <c r="H12" s="5">
        <f t="shared" si="3"/>
        <v>5.5086320565261415</v>
      </c>
    </row>
    <row r="13" spans="1:17" x14ac:dyDescent="0.25">
      <c r="A13">
        <v>10</v>
      </c>
      <c r="B13">
        <v>0.73070009999999996</v>
      </c>
      <c r="C13" s="4">
        <f>B13*$P$3*$K$3</f>
        <v>2.8896441143280308E-3</v>
      </c>
      <c r="D13">
        <f>B13*$P$3*$L$3</f>
        <v>3.7223773207647652E-3</v>
      </c>
      <c r="E13">
        <f>B13*$P$3*$M$3</f>
        <v>4.9573623411305829E-3</v>
      </c>
      <c r="F13" s="4">
        <f t="shared" si="1"/>
        <v>3.4129900476523312</v>
      </c>
      <c r="G13" s="5">
        <f t="shared" si="2"/>
        <v>4.376527831777155</v>
      </c>
      <c r="H13" s="5">
        <f t="shared" si="3"/>
        <v>5.7892874824481799</v>
      </c>
    </row>
    <row r="14" spans="1:17" x14ac:dyDescent="0.25">
      <c r="A14">
        <v>11</v>
      </c>
      <c r="B14">
        <v>0.76501459999999999</v>
      </c>
      <c r="C14" s="4">
        <f>B14*$P$3*$K$3</f>
        <v>3.0253450577945903E-3</v>
      </c>
      <c r="D14">
        <f>B14*$P$3*$L$3</f>
        <v>3.8971843538736736E-3</v>
      </c>
      <c r="E14">
        <f>B14*$P$3*$M$3</f>
        <v>5.1901656622943895E-3</v>
      </c>
      <c r="F14" s="4">
        <f t="shared" si="1"/>
        <v>3.5706112212024466</v>
      </c>
      <c r="G14" s="5">
        <f t="shared" si="2"/>
        <v>4.5776709676915051</v>
      </c>
      <c r="H14" s="5">
        <f t="shared" si="3"/>
        <v>6.0534494208021599</v>
      </c>
    </row>
    <row r="15" spans="1:17" x14ac:dyDescent="0.25">
      <c r="A15">
        <v>12</v>
      </c>
      <c r="B15">
        <v>0.79738120000000001</v>
      </c>
      <c r="C15" s="4">
        <f>B15*$P$3*$K$3</f>
        <v>3.1533427892726749E-3</v>
      </c>
      <c r="D15">
        <f>B15*$P$3*$L$3</f>
        <v>4.0620682751845707E-3</v>
      </c>
      <c r="E15">
        <f>B15*$P$3*$M$3</f>
        <v>5.4097536491448592E-3</v>
      </c>
      <c r="F15" s="4">
        <f t="shared" si="1"/>
        <v>3.7190687312259274</v>
      </c>
      <c r="G15" s="5">
        <f t="shared" si="2"/>
        <v>4.7670404755473683</v>
      </c>
      <c r="H15" s="5">
        <f t="shared" si="3"/>
        <v>6.3019934939890776</v>
      </c>
    </row>
    <row r="16" spans="1:17" x14ac:dyDescent="0.25">
      <c r="A16">
        <v>13</v>
      </c>
      <c r="B16">
        <v>0.82789829999999998</v>
      </c>
      <c r="C16" s="4">
        <f>B16*$P$3*$K$3</f>
        <v>3.2740264437587769E-3</v>
      </c>
      <c r="D16">
        <f>B16*$P$3*$L$3</f>
        <v>4.2175303600200742E-3</v>
      </c>
      <c r="E16">
        <f>B16*$P$3*$M$3</f>
        <v>5.6167938867204619E-3</v>
      </c>
      <c r="F16" s="4">
        <f t="shared" si="1"/>
        <v>3.8588511224224575</v>
      </c>
      <c r="G16" s="5">
        <f t="shared" si="2"/>
        <v>4.9452733949449934</v>
      </c>
      <c r="H16" s="5">
        <f t="shared" si="3"/>
        <v>6.5357829867167432</v>
      </c>
    </row>
    <row r="17" spans="1:8" x14ac:dyDescent="0.25">
      <c r="A17">
        <v>14</v>
      </c>
      <c r="B17">
        <v>0.85666410000000004</v>
      </c>
      <c r="C17" s="4">
        <f>B17*$P$3*$K$3</f>
        <v>3.3877843653245979E-3</v>
      </c>
      <c r="D17">
        <f>B17*$P$3*$L$3</f>
        <v>4.364070864850517E-3</v>
      </c>
      <c r="E17">
        <f>B17*$P$3*$M$3</f>
        <v>5.811952603179505E-3</v>
      </c>
      <c r="F17" s="4">
        <f t="shared" si="1"/>
        <v>3.9904414075088268</v>
      </c>
      <c r="G17" s="5">
        <f t="shared" si="2"/>
        <v>5.1129979653481206</v>
      </c>
      <c r="H17" s="5">
        <f t="shared" si="3"/>
        <v>6.7556661878124586</v>
      </c>
    </row>
    <row r="18" spans="1:8" x14ac:dyDescent="0.25">
      <c r="A18">
        <v>15</v>
      </c>
      <c r="B18">
        <v>0.88377680000000003</v>
      </c>
      <c r="C18" s="4">
        <f>B18*$P$3*$K$3</f>
        <v>3.4950048980418387E-3</v>
      </c>
      <c r="D18">
        <f>B18*$P$3*$L$3</f>
        <v>4.5021900461462341E-3</v>
      </c>
      <c r="E18">
        <f>B18*$P$3*$M$3</f>
        <v>5.9958960266802966E-3</v>
      </c>
      <c r="F18" s="4">
        <f t="shared" si="1"/>
        <v>4.1143183592585402</v>
      </c>
      <c r="G18" s="5">
        <f t="shared" si="2"/>
        <v>5.2708354214988873</v>
      </c>
      <c r="H18" s="5">
        <f t="shared" si="3"/>
        <v>6.9624790439928859</v>
      </c>
    </row>
    <row r="19" spans="1:8" x14ac:dyDescent="0.25">
      <c r="A19">
        <v>16</v>
      </c>
      <c r="B19">
        <v>0.90933459999999999</v>
      </c>
      <c r="C19" s="4">
        <f>B19*$P$3*$K$3</f>
        <v>3.5960763859822029E-3</v>
      </c>
      <c r="D19">
        <f>B19*$P$3*$L$3</f>
        <v>4.6323881603775605E-3</v>
      </c>
      <c r="E19">
        <f>B19*$P$3*$M$3</f>
        <v>6.1692903853811463E-3</v>
      </c>
      <c r="F19" s="4">
        <f t="shared" si="1"/>
        <v>4.2309568607825536</v>
      </c>
      <c r="G19" s="5">
        <f t="shared" si="2"/>
        <v>5.419400577037548</v>
      </c>
      <c r="H19" s="5">
        <f t="shared" si="3"/>
        <v>7.1570462010147491</v>
      </c>
    </row>
    <row r="20" spans="1:8" x14ac:dyDescent="0.25">
      <c r="A20">
        <v>17</v>
      </c>
      <c r="B20">
        <v>0.93343580000000004</v>
      </c>
      <c r="C20" s="4">
        <f>B20*$P$3*$K$3</f>
        <v>3.6913875686797873E-3</v>
      </c>
      <c r="D20">
        <f>B20*$P$3*$L$3</f>
        <v>4.7551659734409724E-3</v>
      </c>
      <c r="E20">
        <f>B20*$P$3*$M$3</f>
        <v>6.3328025858804442E-3</v>
      </c>
      <c r="F20" s="4">
        <f t="shared" si="1"/>
        <v>4.3408286894659813</v>
      </c>
      <c r="G20" s="5">
        <f t="shared" si="2"/>
        <v>5.5593029507604026</v>
      </c>
      <c r="H20" s="5">
        <f t="shared" si="3"/>
        <v>7.3401827350589528</v>
      </c>
    </row>
    <row r="21" spans="1:8" x14ac:dyDescent="0.25">
      <c r="A21">
        <v>18</v>
      </c>
      <c r="B21">
        <v>0.95617859999999999</v>
      </c>
      <c r="C21" s="4">
        <f>B21*$P$3*$K$3</f>
        <v>3.7813267902062921E-3</v>
      </c>
      <c r="D21">
        <f>B21*$P$3*$L$3</f>
        <v>4.8710237418068012E-3</v>
      </c>
      <c r="E21">
        <f>B21*$P$3*$M$3</f>
        <v>6.4870988563364958E-3</v>
      </c>
      <c r="F21" s="4">
        <f t="shared" si="1"/>
        <v>4.4444019110195025</v>
      </c>
      <c r="G21" s="5">
        <f t="shared" si="2"/>
        <v>5.6911461137274522</v>
      </c>
      <c r="H21" s="5">
        <f t="shared" si="3"/>
        <v>7.5126935355940727</v>
      </c>
    </row>
    <row r="22" spans="1:8" x14ac:dyDescent="0.25">
      <c r="A22">
        <v>19</v>
      </c>
      <c r="B22">
        <v>0.97766129999999996</v>
      </c>
      <c r="C22" s="4">
        <f>B22*$P$3*$K$3</f>
        <v>3.8662827900958151E-3</v>
      </c>
      <c r="D22">
        <f>B22*$P$3*$L$3</f>
        <v>4.9804622313715258E-3</v>
      </c>
      <c r="E22">
        <f>B22*$P$3*$M$3</f>
        <v>6.6328461033476919E-3</v>
      </c>
      <c r="F22" s="4">
        <f t="shared" si="1"/>
        <v>4.542142076781996</v>
      </c>
      <c r="G22" s="5">
        <f t="shared" si="2"/>
        <v>5.8155293240116261</v>
      </c>
      <c r="H22" s="5">
        <f t="shared" si="3"/>
        <v>7.6753756652074063</v>
      </c>
    </row>
    <row r="23" spans="1:8" x14ac:dyDescent="0.25">
      <c r="A23">
        <v>20</v>
      </c>
      <c r="B23">
        <v>0.99798209999999998</v>
      </c>
      <c r="C23" s="4">
        <f>B23*$P$3*$K$3</f>
        <v>3.9466439124200593E-3</v>
      </c>
      <c r="D23">
        <f>B23*$P$3*$L$3</f>
        <v>5.0839816986054803E-3</v>
      </c>
      <c r="E23">
        <f>B23*$P$3*$M$3</f>
        <v>6.7707105550723424E-3</v>
      </c>
      <c r="F23" s="4">
        <f t="shared" si="1"/>
        <v>4.634511577382594</v>
      </c>
      <c r="G23" s="5">
        <f t="shared" si="2"/>
        <v>5.9330468056111858</v>
      </c>
      <c r="H23" s="5">
        <f t="shared" si="3"/>
        <v>7.8290176184796607</v>
      </c>
    </row>
    <row r="24" spans="1:8" x14ac:dyDescent="0.25">
      <c r="A24">
        <v>21</v>
      </c>
      <c r="B24">
        <v>1.0172391999999999</v>
      </c>
      <c r="C24" s="4">
        <f>B24*$P$3*$K$3</f>
        <v>4.0227985012507243E-3</v>
      </c>
      <c r="D24">
        <f>B24*$P$3*$L$3</f>
        <v>5.1820823999789963E-3</v>
      </c>
      <c r="E24">
        <f>B24*$P$3*$M$3</f>
        <v>6.9013584396687517E-3</v>
      </c>
      <c r="F24" s="4">
        <f t="shared" si="1"/>
        <v>4.7219703425059549</v>
      </c>
      <c r="G24" s="5">
        <f t="shared" si="2"/>
        <v>6.0442887327117001</v>
      </c>
      <c r="H24" s="5">
        <f t="shared" si="3"/>
        <v>7.9744007955227847</v>
      </c>
    </row>
    <row r="25" spans="1:8" x14ac:dyDescent="0.25">
      <c r="A25">
        <v>22</v>
      </c>
      <c r="B25">
        <v>1.0355308999999999</v>
      </c>
      <c r="C25" s="4">
        <f>B25*$P$3*$K$3</f>
        <v>4.0951352961219097E-3</v>
      </c>
      <c r="D25">
        <f>B25*$P$3*$L$3</f>
        <v>5.2752651013885533E-3</v>
      </c>
      <c r="E25">
        <f>B25*$P$3*$M$3</f>
        <v>7.0254566637353135E-3</v>
      </c>
      <c r="F25" s="4">
        <f t="shared" si="1"/>
        <v>4.8049765176671366</v>
      </c>
      <c r="G25" s="5">
        <f t="shared" si="2"/>
        <v>6.1498421755836414</v>
      </c>
      <c r="H25" s="5">
        <f t="shared" si="3"/>
        <v>8.1123009069205327</v>
      </c>
    </row>
    <row r="26" spans="1:8" x14ac:dyDescent="0.25">
      <c r="A26">
        <v>23</v>
      </c>
      <c r="B26">
        <v>1.0529554000000001</v>
      </c>
      <c r="C26" s="4">
        <f>B26*$P$3*$K$3</f>
        <v>4.1640426411053153E-3</v>
      </c>
      <c r="D26">
        <f>B26*$P$3*$L$3</f>
        <v>5.3640300593044837E-3</v>
      </c>
      <c r="E26">
        <f>B26*$P$3*$M$3</f>
        <v>7.1436714554303339E-3</v>
      </c>
      <c r="F26" s="4">
        <f t="shared" si="1"/>
        <v>4.8839857588522717</v>
      </c>
      <c r="G26" s="5">
        <f t="shared" si="2"/>
        <v>6.2502902807065048</v>
      </c>
      <c r="H26" s="5">
        <f t="shared" si="3"/>
        <v>8.2434870552215873</v>
      </c>
    </row>
    <row r="27" spans="1:8" x14ac:dyDescent="0.25">
      <c r="A27">
        <v>24</v>
      </c>
      <c r="B27">
        <v>1.0696110000000001</v>
      </c>
      <c r="C27" s="4">
        <f>B27*$P$3*$K$3</f>
        <v>4.2299092757350377E-3</v>
      </c>
      <c r="D27">
        <f>B27*$P$3*$L$3</f>
        <v>5.448878039623262E-3</v>
      </c>
      <c r="E27">
        <f>B27*$P$3*$M$3</f>
        <v>7.2566697213521996E-3</v>
      </c>
      <c r="F27" s="4">
        <f t="shared" si="1"/>
        <v>4.9594523230074739</v>
      </c>
      <c r="G27" s="5">
        <f t="shared" si="2"/>
        <v>6.3462137269746481</v>
      </c>
      <c r="H27" s="5">
        <f t="shared" si="3"/>
        <v>8.3687237747768872</v>
      </c>
    </row>
    <row r="28" spans="1:8" x14ac:dyDescent="0.25">
      <c r="A28">
        <v>25</v>
      </c>
      <c r="B28">
        <v>1.0855958999999999</v>
      </c>
      <c r="C28" s="4">
        <f>B28*$P$3*$K$3</f>
        <v>4.2931235440827799E-3</v>
      </c>
      <c r="D28">
        <f>B28*$P$3*$L$3</f>
        <v>5.530309298815224E-3</v>
      </c>
      <c r="E28">
        <f>B28*$P$3*$M$3</f>
        <v>7.3651176896592212E-3</v>
      </c>
      <c r="F28" s="4">
        <f t="shared" si="1"/>
        <v>5.031828324104004</v>
      </c>
      <c r="G28" s="5">
        <f t="shared" si="2"/>
        <v>6.4381898417104839</v>
      </c>
      <c r="H28" s="5">
        <f t="shared" si="3"/>
        <v>8.4887699992805885</v>
      </c>
    </row>
    <row r="29" spans="1:8" x14ac:dyDescent="0.25">
      <c r="A29">
        <v>26</v>
      </c>
      <c r="B29">
        <v>1.1010082999999999</v>
      </c>
      <c r="C29" s="4">
        <f>B29*$P$3*$K$3</f>
        <v>4.3540737902202434E-3</v>
      </c>
      <c r="D29">
        <f>B29*$P$3*$L$3</f>
        <v>5.608824093350704E-3</v>
      </c>
      <c r="E29">
        <f>B29*$P$3*$M$3</f>
        <v>7.4696815885097086E-3</v>
      </c>
      <c r="F29" s="4">
        <f t="shared" si="1"/>
        <v>5.1015643302125273</v>
      </c>
      <c r="G29" s="5">
        <f t="shared" si="2"/>
        <v>6.5267934141348789</v>
      </c>
      <c r="H29" s="5">
        <f t="shared" si="3"/>
        <v>8.6043802314291433</v>
      </c>
    </row>
    <row r="30" spans="1:8" x14ac:dyDescent="0.25">
      <c r="A30">
        <v>27</v>
      </c>
      <c r="B30">
        <v>1.1159465</v>
      </c>
      <c r="C30" s="4">
        <f>B30*$P$3*$K$3</f>
        <v>4.4131487536815256E-3</v>
      </c>
      <c r="D30">
        <f>B30*$P$3*$L$3</f>
        <v>5.684923189126178E-3</v>
      </c>
      <c r="E30">
        <f>B30*$P$3*$M$3</f>
        <v>7.5710283245020498E-3</v>
      </c>
      <c r="F30" s="4">
        <f t="shared" si="1"/>
        <v>5.1691099389935875</v>
      </c>
      <c r="G30" s="5">
        <f t="shared" si="2"/>
        <v>6.6125974731964359</v>
      </c>
      <c r="H30" s="5">
        <f t="shared" si="3"/>
        <v>8.7163056498164355</v>
      </c>
    </row>
    <row r="31" spans="1:8" x14ac:dyDescent="0.25">
      <c r="A31">
        <v>28</v>
      </c>
      <c r="B31">
        <v>1.1305087</v>
      </c>
      <c r="C31" s="4">
        <f>B31*$P$3*$K$3</f>
        <v>4.4707367785383279E-3</v>
      </c>
      <c r="D31">
        <f>B31*$P$3*$L$3</f>
        <v>5.7591068426119793E-3</v>
      </c>
      <c r="E31">
        <f>B31*$P$3*$M$3</f>
        <v>7.6698241257945523E-3</v>
      </c>
      <c r="F31" s="4">
        <f t="shared" si="1"/>
        <v>5.2349129767555453</v>
      </c>
      <c r="G31" s="5">
        <f t="shared" si="2"/>
        <v>6.6961723093391212</v>
      </c>
      <c r="H31" s="5">
        <f t="shared" si="3"/>
        <v>8.8252929102567883</v>
      </c>
    </row>
    <row r="32" spans="1:8" x14ac:dyDescent="0.25">
      <c r="A32">
        <v>29</v>
      </c>
      <c r="B32">
        <v>1.1447931</v>
      </c>
      <c r="C32" s="4">
        <f>B32*$P$3*$K$3</f>
        <v>4.5272262088623515E-3</v>
      </c>
      <c r="D32">
        <f>B32*$P$3*$L$3</f>
        <v>5.8318753102784438E-3</v>
      </c>
      <c r="E32">
        <f>B32*$P$3*$M$3</f>
        <v>7.7667352205455257E-3</v>
      </c>
      <c r="F32" s="4">
        <f t="shared" si="1"/>
        <v>5.299420035921254</v>
      </c>
      <c r="G32" s="5">
        <f t="shared" si="2"/>
        <v>6.7780861896387101</v>
      </c>
      <c r="H32" s="5">
        <f t="shared" si="3"/>
        <v>8.9320851425466525</v>
      </c>
    </row>
    <row r="33" spans="1:8" x14ac:dyDescent="0.25">
      <c r="A33">
        <v>30</v>
      </c>
      <c r="B33">
        <v>1.1588981</v>
      </c>
      <c r="C33" s="4">
        <f>B33*$P$3*$K$3</f>
        <v>4.5830061796500888E-3</v>
      </c>
      <c r="D33">
        <f>B33*$P$3*$L$3</f>
        <v>5.903729867448187E-3</v>
      </c>
      <c r="E33">
        <f>B33*$P$3*$M$3</f>
        <v>7.8624291937934385E-3</v>
      </c>
      <c r="F33" s="4">
        <f t="shared" si="1"/>
        <v>5.3630774425922674</v>
      </c>
      <c r="G33" s="5">
        <f t="shared" si="2"/>
        <v>6.858906611045434</v>
      </c>
      <c r="H33" s="5">
        <f t="shared" si="3"/>
        <v>9.0374236329995092</v>
      </c>
    </row>
    <row r="34" spans="1:8" x14ac:dyDescent="0.25">
      <c r="A34">
        <v>31</v>
      </c>
      <c r="B34">
        <v>1.1729217000000001</v>
      </c>
      <c r="C34" s="4">
        <f>B34*$P$3*$K$3</f>
        <v>4.6384642440484526E-3</v>
      </c>
      <c r="D34">
        <f>B34*$P$3*$L$3</f>
        <v>5.9751697517392626E-3</v>
      </c>
      <c r="E34">
        <f>B34*$P$3*$M$3</f>
        <v>7.9575709168164394E-3</v>
      </c>
      <c r="F34" s="4">
        <f t="shared" si="1"/>
        <v>5.4263285944052946</v>
      </c>
      <c r="G34" s="5">
        <f t="shared" si="2"/>
        <v>6.9391969381244252</v>
      </c>
      <c r="H34" s="5">
        <f t="shared" si="3"/>
        <v>9.1420434772789054</v>
      </c>
    </row>
    <row r="35" spans="1:8" x14ac:dyDescent="0.25">
      <c r="A35">
        <v>32</v>
      </c>
      <c r="B35">
        <v>1.1869623</v>
      </c>
      <c r="C35" s="4">
        <f>B35*$P$3*$K$3</f>
        <v>4.6939895370539334E-3</v>
      </c>
      <c r="D35">
        <f>B35*$P$3*$L$3</f>
        <v>6.0466962384742844E-3</v>
      </c>
      <c r="E35">
        <f>B35*$P$3*$M$3</f>
        <v>8.0528279746529957E-3</v>
      </c>
      <c r="F35" s="4">
        <f t="shared" si="1"/>
        <v>5.4896175978609518</v>
      </c>
      <c r="G35" s="5">
        <f t="shared" si="2"/>
        <v>7.0195210316898908</v>
      </c>
      <c r="H35" s="5">
        <f t="shared" si="3"/>
        <v>9.2466796346197917</v>
      </c>
    </row>
    <row r="36" spans="1:8" x14ac:dyDescent="0.25">
      <c r="A36">
        <v>33</v>
      </c>
      <c r="B36">
        <v>1.2011182</v>
      </c>
      <c r="C36" s="4">
        <f>B36*$P$3*$K$3</f>
        <v>4.749970798200628E-3</v>
      </c>
      <c r="D36">
        <f>B36*$P$3*$L$3</f>
        <v>6.1188100935497302E-3</v>
      </c>
      <c r="E36">
        <f>B36*$P$3*$M$3</f>
        <v>8.1488672739014976E-3</v>
      </c>
      <c r="F36" s="4">
        <f t="shared" si="1"/>
        <v>5.5533870188335559</v>
      </c>
      <c r="G36" s="5">
        <f t="shared" si="2"/>
        <v>7.1004403961428935</v>
      </c>
      <c r="H36" s="5">
        <f t="shared" si="3"/>
        <v>9.3520632170009943</v>
      </c>
    </row>
    <row r="37" spans="1:8" x14ac:dyDescent="0.25">
      <c r="A37">
        <v>34</v>
      </c>
      <c r="B37">
        <v>1.2154874</v>
      </c>
      <c r="C37" s="4">
        <f>B37*$P$3*$K$3</f>
        <v>4.8067955806354503E-3</v>
      </c>
      <c r="D37">
        <f>B37*$P$3*$L$3</f>
        <v>6.1920105545836528E-3</v>
      </c>
      <c r="E37">
        <f>B37*$P$3*$M$3</f>
        <v>8.2463536858400945E-3</v>
      </c>
      <c r="F37" s="4">
        <f t="shared" si="1"/>
        <v>5.6180769725769242</v>
      </c>
      <c r="G37" s="5">
        <f t="shared" si="2"/>
        <v>7.1825130221490401</v>
      </c>
      <c r="H37" s="5">
        <f t="shared" si="3"/>
        <v>9.4589199776867758</v>
      </c>
    </row>
    <row r="38" spans="1:8" x14ac:dyDescent="0.25">
      <c r="A38">
        <v>35</v>
      </c>
      <c r="B38">
        <v>1.2301139999999999</v>
      </c>
      <c r="C38" s="4">
        <f>B38*$P$3*$K$3</f>
        <v>4.8646382832745081E-3</v>
      </c>
      <c r="D38">
        <f>B38*$P$3*$L$3</f>
        <v>6.2665222785041738E-3</v>
      </c>
      <c r="E38">
        <f>B38*$P$3*$M$3</f>
        <v>8.3455864025439516E-3</v>
      </c>
      <c r="F38" s="4">
        <f t="shared" si="1"/>
        <v>5.6838840215541753</v>
      </c>
      <c r="G38" s="5">
        <f t="shared" si="2"/>
        <v>7.2659875743962044</v>
      </c>
      <c r="H38" s="5">
        <f t="shared" si="3"/>
        <v>9.5675722981634728</v>
      </c>
    </row>
    <row r="39" spans="1:8" x14ac:dyDescent="0.25">
      <c r="A39">
        <v>36</v>
      </c>
      <c r="B39">
        <v>1.2444177999999999</v>
      </c>
      <c r="C39" s="4">
        <f>B39*$P$3*$K$3</f>
        <v>4.9212044333031254E-3</v>
      </c>
      <c r="D39">
        <f>B39*$P$3*$L$3</f>
        <v>6.3393895748419674E-3</v>
      </c>
      <c r="E39">
        <f>B39*$P$3*$M$3</f>
        <v>8.4426291146703948E-3</v>
      </c>
      <c r="F39" s="4">
        <f t="shared" si="1"/>
        <v>5.7481980694786161</v>
      </c>
      <c r="G39" s="5">
        <f t="shared" si="2"/>
        <v>7.3475533349055659</v>
      </c>
      <c r="H39" s="5">
        <f t="shared" si="3"/>
        <v>9.67371112347214</v>
      </c>
    </row>
    <row r="40" spans="1:8" x14ac:dyDescent="0.25">
      <c r="A40">
        <v>37</v>
      </c>
      <c r="B40">
        <v>1.2582249000000001</v>
      </c>
      <c r="C40" s="4">
        <f>B40*$P$3*$K$3</f>
        <v>4.9758063216167282E-3</v>
      </c>
      <c r="D40">
        <f>B40*$P$3*$L$3</f>
        <v>6.4097265515380593E-3</v>
      </c>
      <c r="E40">
        <f>B40*$P$3*$M$3</f>
        <v>8.5363020149207512E-3</v>
      </c>
      <c r="F40" s="4">
        <f t="shared" si="1"/>
        <v>5.8102406759226728</v>
      </c>
      <c r="G40" s="5">
        <f t="shared" si="2"/>
        <v>7.426224338014908</v>
      </c>
      <c r="H40" s="5">
        <f t="shared" si="3"/>
        <v>9.7760559493085033</v>
      </c>
    </row>
    <row r="41" spans="1:8" x14ac:dyDescent="0.25">
      <c r="A41">
        <v>38</v>
      </c>
      <c r="B41">
        <v>1.2715452</v>
      </c>
      <c r="C41" s="4">
        <f>B41*$P$3*$K$3</f>
        <v>5.0284830989924039E-3</v>
      </c>
      <c r="D41">
        <f>B41*$P$3*$L$3</f>
        <v>6.4775836417803939E-3</v>
      </c>
      <c r="E41">
        <f>B41*$P$3*$M$3</f>
        <v>8.6266722688629113E-3</v>
      </c>
      <c r="F41" s="4">
        <f t="shared" si="1"/>
        <v>5.8700603497495845</v>
      </c>
      <c r="G41" s="5">
        <f t="shared" si="2"/>
        <v>7.5020635829709192</v>
      </c>
      <c r="H41" s="5">
        <f t="shared" si="3"/>
        <v>9.8746916268637968</v>
      </c>
    </row>
    <row r="42" spans="1:8" x14ac:dyDescent="0.25">
      <c r="A42">
        <v>39</v>
      </c>
      <c r="B42">
        <v>1.2843887</v>
      </c>
      <c r="C42" s="4">
        <f>B42*$P$3*$K$3</f>
        <v>5.0792743116696319E-3</v>
      </c>
      <c r="D42">
        <f>B42*$P$3*$L$3</f>
        <v>6.5430117881830584E-3</v>
      </c>
      <c r="E42">
        <f>B42*$P$3*$M$3</f>
        <v>8.7138077205048507E-3</v>
      </c>
      <c r="F42" s="4">
        <f t="shared" si="1"/>
        <v>5.9277057991930278</v>
      </c>
      <c r="G42" s="5">
        <f t="shared" si="2"/>
        <v>7.5751342279206764</v>
      </c>
      <c r="H42" s="5">
        <f t="shared" si="3"/>
        <v>9.9697030300847089</v>
      </c>
    </row>
    <row r="43" spans="1:8" x14ac:dyDescent="0.25">
      <c r="A43">
        <v>40</v>
      </c>
      <c r="B43">
        <v>1.2967652999999999</v>
      </c>
      <c r="C43" s="4">
        <f>B43*$P$3*$K$3</f>
        <v>5.1282191104254993E-3</v>
      </c>
      <c r="D43">
        <f>B43*$P$3*$L$3</f>
        <v>6.6060614239340006E-3</v>
      </c>
      <c r="E43">
        <f>B43*$P$3*$M$3</f>
        <v>8.7977755354144635E-3</v>
      </c>
      <c r="F43" s="4">
        <f t="shared" si="1"/>
        <v>5.9832250435894352</v>
      </c>
      <c r="G43" s="5">
        <f t="shared" si="2"/>
        <v>7.645498467652267</v>
      </c>
      <c r="H43" s="5">
        <f t="shared" si="3"/>
        <v>10.061173603856922</v>
      </c>
    </row>
    <row r="44" spans="1:8" x14ac:dyDescent="0.25">
      <c r="A44">
        <v>41</v>
      </c>
      <c r="B44">
        <v>1.3086850000000001</v>
      </c>
      <c r="C44" s="4">
        <f>B44*$P$3*$K$3</f>
        <v>5.1753570414994872E-3</v>
      </c>
      <c r="D44">
        <f>B44*$P$3*$L$3</f>
        <v>6.6667834916473078E-3</v>
      </c>
      <c r="E44">
        <f>B44*$P$3*$M$3</f>
        <v>8.8786435575997288E-3</v>
      </c>
      <c r="F44" s="4">
        <f t="shared" si="1"/>
        <v>6.0366663207262921</v>
      </c>
      <c r="G44" s="5">
        <f t="shared" si="2"/>
        <v>7.7132186875222057</v>
      </c>
      <c r="H44" s="5">
        <f t="shared" si="3"/>
        <v>10.149186871989802</v>
      </c>
    </row>
    <row r="45" spans="1:8" x14ac:dyDescent="0.25">
      <c r="A45">
        <v>42</v>
      </c>
      <c r="B45">
        <v>1.3201577</v>
      </c>
      <c r="C45" s="4">
        <f>B45*$P$3*$K$3</f>
        <v>5.2207272556686803E-3</v>
      </c>
      <c r="D45">
        <f>B45*$P$3*$L$3</f>
        <v>6.7252284245109236E-3</v>
      </c>
      <c r="E45">
        <f>B45*$P$3*$M$3</f>
        <v>8.9564789526285354E-3</v>
      </c>
      <c r="F45" s="4">
        <f t="shared" si="1"/>
        <v>6.0880771991128739</v>
      </c>
      <c r="G45" s="5">
        <f t="shared" si="2"/>
        <v>7.7783563420366857</v>
      </c>
      <c r="H45" s="5">
        <f t="shared" si="3"/>
        <v>10.233824986752371</v>
      </c>
    </row>
    <row r="46" spans="1:8" x14ac:dyDescent="0.25">
      <c r="A46">
        <v>43</v>
      </c>
      <c r="B46">
        <v>1.3311934000000001</v>
      </c>
      <c r="C46" s="4">
        <f>B46*$P$3*$K$3</f>
        <v>5.2643692991725614E-3</v>
      </c>
      <c r="D46">
        <f>B46*$P$3*$L$3</f>
        <v>6.7814471651389376E-3</v>
      </c>
      <c r="E46">
        <f>B46*$P$3*$M$3</f>
        <v>9.0313495645088608E-3</v>
      </c>
      <c r="F46" s="4">
        <f t="shared" si="1"/>
        <v>6.1375054838910703</v>
      </c>
      <c r="G46" s="5">
        <f t="shared" si="2"/>
        <v>7.840973106390936</v>
      </c>
      <c r="H46" s="5">
        <f t="shared" si="3"/>
        <v>10.315170232618676</v>
      </c>
    </row>
    <row r="47" spans="1:8" x14ac:dyDescent="0.25">
      <c r="A47">
        <v>44</v>
      </c>
      <c r="B47">
        <v>1.3418019000000001</v>
      </c>
      <c r="C47" s="4">
        <f>B47*$P$3*$K$3</f>
        <v>5.3063219273258204E-3</v>
      </c>
      <c r="D47">
        <f>B47*$P$3*$L$3</f>
        <v>6.835489637293155E-3</v>
      </c>
      <c r="E47">
        <f>B47*$P$3*$M$3</f>
        <v>9.1033218803685204E-3</v>
      </c>
      <c r="F47" s="4">
        <f t="shared" si="1"/>
        <v>6.1849978820018858</v>
      </c>
      <c r="G47" s="5">
        <f t="shared" si="2"/>
        <v>7.9011291889053314</v>
      </c>
      <c r="H47" s="5">
        <f t="shared" si="3"/>
        <v>10.393302840782182</v>
      </c>
    </row>
    <row r="48" spans="1:8" x14ac:dyDescent="0.25">
      <c r="A48">
        <v>45</v>
      </c>
      <c r="B48">
        <v>1.3519934</v>
      </c>
      <c r="C48" s="4">
        <f>B48*$P$3*$K$3</f>
        <v>5.3466254772927269E-3</v>
      </c>
      <c r="D48">
        <f>B48*$P$3*$L$3</f>
        <v>6.8874078024399417E-3</v>
      </c>
      <c r="E48">
        <f>B48*$P$3*$M$3</f>
        <v>9.1724651010956434E-3</v>
      </c>
      <c r="F48" s="4">
        <f t="shared" si="1"/>
        <v>6.2306026972539286</v>
      </c>
      <c r="G48" s="5">
        <f t="shared" si="2"/>
        <v>7.958886748184546</v>
      </c>
      <c r="H48" s="5">
        <f t="shared" si="3"/>
        <v>10.468305434339575</v>
      </c>
    </row>
    <row r="49" spans="1:8" x14ac:dyDescent="0.25">
      <c r="A49">
        <v>46</v>
      </c>
      <c r="B49">
        <v>1.3617775999999999</v>
      </c>
      <c r="C49" s="4">
        <f>B49*$P$3*$K$3</f>
        <v>5.3853183089255787E-3</v>
      </c>
      <c r="D49">
        <f>B49*$P$3*$L$3</f>
        <v>6.9372510749149642E-3</v>
      </c>
      <c r="E49">
        <f>B49*$P$3*$M$3</f>
        <v>9.2388450353779704E-3</v>
      </c>
      <c r="F49" s="4">
        <f t="shared" si="1"/>
        <v>6.2743658102161977</v>
      </c>
      <c r="G49" s="5">
        <f t="shared" si="2"/>
        <v>8.0143048045317027</v>
      </c>
      <c r="H49" s="5">
        <f t="shared" si="3"/>
        <v>10.540256425941863</v>
      </c>
    </row>
    <row r="50" spans="1:8" x14ac:dyDescent="0.25">
      <c r="A50">
        <v>47</v>
      </c>
      <c r="B50">
        <v>1.3711646</v>
      </c>
      <c r="C50" s="4">
        <f>B50*$P$3*$K$3</f>
        <v>5.4224403639262526E-3</v>
      </c>
      <c r="D50">
        <f>B50*$P$3*$L$3</f>
        <v>6.9850709067584508E-3</v>
      </c>
      <c r="E50">
        <f>B50*$P$3*$M$3</f>
        <v>9.3025302056635537E-3</v>
      </c>
      <c r="F50" s="4">
        <f t="shared" si="1"/>
        <v>6.3163347143537329</v>
      </c>
      <c r="G50" s="5">
        <f t="shared" si="2"/>
        <v>8.0674443550082344</v>
      </c>
      <c r="H50" s="5">
        <f t="shared" si="3"/>
        <v>10.609236666769773</v>
      </c>
    </row>
    <row r="51" spans="1:8" x14ac:dyDescent="0.25">
      <c r="A51">
        <v>48</v>
      </c>
      <c r="B51">
        <v>1.3801644</v>
      </c>
      <c r="C51" s="4">
        <f>B51*$P$3*$K$3</f>
        <v>5.4580311885342268E-3</v>
      </c>
      <c r="D51">
        <f>B51*$P$3*$L$3</f>
        <v>7.0309182405844887E-3</v>
      </c>
      <c r="E51">
        <f>B51*$P$3*$M$3</f>
        <v>9.3635884559603692E-3</v>
      </c>
      <c r="F51" s="4">
        <f t="shared" si="1"/>
        <v>6.3565562862620943</v>
      </c>
      <c r="G51" s="5">
        <f t="shared" si="2"/>
        <v>8.118365552409557</v>
      </c>
      <c r="H51" s="5">
        <f t="shared" si="3"/>
        <v>10.675325789009914</v>
      </c>
    </row>
    <row r="52" spans="1:8" x14ac:dyDescent="0.25">
      <c r="A52">
        <v>49</v>
      </c>
      <c r="B52">
        <v>1.3887867</v>
      </c>
      <c r="C52" s="4">
        <f>B52*$P$3*$K$3</f>
        <v>5.4921291426017994E-3</v>
      </c>
      <c r="D52">
        <f>B52*$P$3*$L$3</f>
        <v>7.0748424907287402E-3</v>
      </c>
      <c r="E52">
        <f>B52*$P$3*$M$3</f>
        <v>9.422085594956147E-3</v>
      </c>
      <c r="F52" s="4">
        <f t="shared" si="1"/>
        <v>6.395075901174363</v>
      </c>
      <c r="G52" s="5">
        <f t="shared" si="2"/>
        <v>8.1671265890282179</v>
      </c>
      <c r="H52" s="5">
        <f t="shared" si="3"/>
        <v>10.738600764100836</v>
      </c>
    </row>
    <row r="53" spans="1:8" x14ac:dyDescent="0.25">
      <c r="A53">
        <v>50</v>
      </c>
      <c r="B53">
        <v>1.3970416999999999</v>
      </c>
      <c r="C53" s="4">
        <f>B53*$P$3*$K$3</f>
        <v>5.5247745632932398E-3</v>
      </c>
      <c r="D53">
        <f>B53*$P$3*$L$3</f>
        <v>7.1168956186575755E-3</v>
      </c>
      <c r="E53">
        <f>B53*$P$3*$M$3</f>
        <v>9.4780908235390267E-3</v>
      </c>
      <c r="F53" s="4">
        <f t="shared" si="1"/>
        <v>6.431941015057574</v>
      </c>
      <c r="G53" s="5">
        <f t="shared" si="2"/>
        <v>8.2137882342367305</v>
      </c>
      <c r="H53" s="5">
        <f t="shared" si="3"/>
        <v>10.799141797045619</v>
      </c>
    </row>
    <row r="54" spans="1:8" x14ac:dyDescent="0.25">
      <c r="A54">
        <v>51</v>
      </c>
      <c r="B54">
        <v>1.4049392999999999</v>
      </c>
      <c r="C54" s="4">
        <f>B54*$P$3*$K$3</f>
        <v>5.5560066013856345E-3</v>
      </c>
      <c r="D54">
        <f>B54*$P$3*$L$3</f>
        <v>7.1571280575589416E-3</v>
      </c>
      <c r="E54">
        <f>B54*$P$3*$M$3</f>
        <v>9.5316713072769003E-3</v>
      </c>
      <c r="F54" s="4">
        <f t="shared" si="1"/>
        <v>6.4671975972613538</v>
      </c>
      <c r="G54" s="5">
        <f t="shared" si="2"/>
        <v>8.2584093211870098</v>
      </c>
      <c r="H54" s="5">
        <f t="shared" si="3"/>
        <v>10.857026474676745</v>
      </c>
    </row>
    <row r="55" spans="1:8" x14ac:dyDescent="0.25">
      <c r="A55">
        <v>52</v>
      </c>
      <c r="B55">
        <v>1.4124893000000001</v>
      </c>
      <c r="C55" s="4">
        <f>B55*$P$3*$K$3</f>
        <v>5.5858640121936769E-3</v>
      </c>
      <c r="D55">
        <f>B55*$P$3*$L$3</f>
        <v>7.1955897311946435E-3</v>
      </c>
      <c r="E55">
        <f>B55*$P$3*$M$3</f>
        <v>9.5828935332975852E-3</v>
      </c>
      <c r="F55" s="4">
        <f t="shared" si="1"/>
        <v>6.5008910325213947</v>
      </c>
      <c r="G55" s="5">
        <f t="shared" si="2"/>
        <v>8.301047891844993</v>
      </c>
      <c r="H55" s="5">
        <f t="shared" si="3"/>
        <v>10.912331257814722</v>
      </c>
    </row>
    <row r="56" spans="1:8" x14ac:dyDescent="0.25">
      <c r="A56">
        <v>53</v>
      </c>
      <c r="B56">
        <v>1.4197019</v>
      </c>
      <c r="C56" s="4">
        <f>B56*$P$3*$K$3</f>
        <v>5.614387132881633E-3</v>
      </c>
      <c r="D56">
        <f>B56*$P$3*$L$3</f>
        <v>7.2323326010310472E-3</v>
      </c>
      <c r="E56">
        <f>B56*$P$3*$M$3</f>
        <v>9.6318267024892105E-3</v>
      </c>
      <c r="F56" s="4">
        <f t="shared" si="1"/>
        <v>6.5330683589211569</v>
      </c>
      <c r="G56" s="5">
        <f t="shared" si="2"/>
        <v>8.3417640316067789</v>
      </c>
      <c r="H56" s="5">
        <f t="shared" si="3"/>
        <v>10.965135162859696</v>
      </c>
    </row>
    <row r="57" spans="1:8" x14ac:dyDescent="0.25">
      <c r="A57">
        <v>54</v>
      </c>
      <c r="B57">
        <v>1.4265867999999999</v>
      </c>
      <c r="C57" s="4">
        <f>B57*$P$3*$K$3</f>
        <v>5.6416143233018034E-3</v>
      </c>
      <c r="D57">
        <f>B57*$P$3*$L$3</f>
        <v>7.2674060814038209E-3</v>
      </c>
      <c r="E57">
        <f>B57*$P$3*$M$3</f>
        <v>9.6785366235395166E-3</v>
      </c>
      <c r="F57" s="4">
        <f t="shared" si="1"/>
        <v>6.5637742586112431</v>
      </c>
      <c r="G57" s="5">
        <f t="shared" si="2"/>
        <v>8.3806147983087165</v>
      </c>
      <c r="H57" s="5">
        <f t="shared" si="3"/>
        <v>11.01551318970342</v>
      </c>
    </row>
    <row r="58" spans="1:8" x14ac:dyDescent="0.25">
      <c r="A58">
        <v>55</v>
      </c>
      <c r="B58">
        <v>1.4331541000000001</v>
      </c>
      <c r="C58" s="4">
        <f>B58*$P$3*$K$3</f>
        <v>5.667585525156062E-3</v>
      </c>
      <c r="D58">
        <f>B58*$P$3*$L$3</f>
        <v>7.3008616243531912E-3</v>
      </c>
      <c r="E58">
        <f>B58*$P$3*$M$3</f>
        <v>9.7230918188965544E-3</v>
      </c>
      <c r="F58" s="4">
        <f t="shared" si="1"/>
        <v>6.5930550799065184</v>
      </c>
      <c r="G58" s="5">
        <f t="shared" si="2"/>
        <v>8.4176593142767153</v>
      </c>
      <c r="H58" s="5">
        <f t="shared" si="3"/>
        <v>11.063542930625768</v>
      </c>
    </row>
    <row r="59" spans="1:8" x14ac:dyDescent="0.25">
      <c r="A59">
        <v>56</v>
      </c>
      <c r="B59">
        <v>1.4394137</v>
      </c>
      <c r="C59" s="4">
        <f>B59*$P$3*$K$3</f>
        <v>5.6923398892214936E-3</v>
      </c>
      <c r="D59">
        <f>B59*$P$3*$L$3</f>
        <v>7.3327496630671016E-3</v>
      </c>
      <c r="E59">
        <f>B59*$P$3*$M$3</f>
        <v>9.7655594541282194E-3</v>
      </c>
      <c r="F59" s="4">
        <f t="shared" si="1"/>
        <v>6.6209561670434569</v>
      </c>
      <c r="G59" s="5">
        <f t="shared" si="2"/>
        <v>8.4529553899392766</v>
      </c>
      <c r="H59" s="5">
        <f t="shared" si="3"/>
        <v>11.10930019632419</v>
      </c>
    </row>
    <row r="60" spans="1:8" x14ac:dyDescent="0.25">
      <c r="A60">
        <v>57</v>
      </c>
      <c r="B60">
        <v>1.4453754999999999</v>
      </c>
      <c r="C60" s="4">
        <f>B60*$P$3*$K$3</f>
        <v>5.7159165662751853E-3</v>
      </c>
      <c r="D60">
        <f>B60*$P$3*$L$3</f>
        <v>7.3631206307335009E-3</v>
      </c>
      <c r="E60">
        <f>B60*$P$3*$M$3</f>
        <v>9.8060066948024039E-3</v>
      </c>
      <c r="F60" s="4">
        <f t="shared" si="1"/>
        <v>6.6475227587207808</v>
      </c>
      <c r="G60" s="5">
        <f t="shared" si="2"/>
        <v>8.4865606631691737</v>
      </c>
      <c r="H60" s="5">
        <f t="shared" si="3"/>
        <v>11.152860498110206</v>
      </c>
    </row>
    <row r="61" spans="1:8" x14ac:dyDescent="0.25">
      <c r="A61">
        <v>58</v>
      </c>
      <c r="B61">
        <v>1.4510495000000001</v>
      </c>
      <c r="C61" s="4">
        <f>B61*$P$3*$K$3</f>
        <v>5.73835510255662E-3</v>
      </c>
      <c r="D61">
        <f>B61*$P$3*$L$3</f>
        <v>7.3920254699664789E-3</v>
      </c>
      <c r="E61">
        <f>B61*$P$3*$M$3</f>
        <v>9.8445013849270905E-3</v>
      </c>
      <c r="F61" s="4">
        <f t="shared" si="1"/>
        <v>6.6728004394849938</v>
      </c>
      <c r="G61" s="5">
        <f t="shared" si="2"/>
        <v>8.51853317242991</v>
      </c>
      <c r="H61" s="5">
        <f t="shared" si="3"/>
        <v>11.194299795076901</v>
      </c>
    </row>
    <row r="62" spans="1:8" x14ac:dyDescent="0.25">
      <c r="A62">
        <v>59</v>
      </c>
      <c r="B62">
        <v>1.4564457</v>
      </c>
      <c r="C62" s="4">
        <f>B62*$P$3*$K$3</f>
        <v>5.7596950443052752E-3</v>
      </c>
      <c r="D62">
        <f>B62*$P$3*$L$3</f>
        <v>7.4195151233801158E-3</v>
      </c>
      <c r="E62">
        <f>B62*$P$3*$M$3</f>
        <v>9.8811113685102429E-3</v>
      </c>
      <c r="F62" s="4">
        <f t="shared" si="1"/>
        <v>6.696834699605847</v>
      </c>
      <c r="G62" s="5">
        <f t="shared" si="2"/>
        <v>8.5489308020975976</v>
      </c>
      <c r="H62" s="5">
        <f t="shared" si="3"/>
        <v>11.233693779118891</v>
      </c>
    </row>
    <row r="63" spans="1:8" x14ac:dyDescent="0.25">
      <c r="A63">
        <v>60</v>
      </c>
      <c r="B63">
        <v>1.4615739999999999</v>
      </c>
      <c r="C63" s="4">
        <f>B63*$P$3*$K$3</f>
        <v>5.779975542298239E-3</v>
      </c>
      <c r="D63">
        <f>B63*$P$3*$L$3</f>
        <v>7.4456400241623621E-3</v>
      </c>
      <c r="E63">
        <f>B63*$P$3*$M$3</f>
        <v>9.9159038111197601E-3</v>
      </c>
      <c r="F63" s="4">
        <f t="shared" si="1"/>
        <v>6.7196704954254116</v>
      </c>
      <c r="G63" s="5">
        <f t="shared" si="2"/>
        <v>8.5778107285540592</v>
      </c>
      <c r="H63" s="5">
        <f t="shared" si="3"/>
        <v>11.271117161278909</v>
      </c>
    </row>
    <row r="64" spans="1:8" x14ac:dyDescent="0.25">
      <c r="A64">
        <v>61</v>
      </c>
      <c r="B64">
        <v>1.4664444000000001</v>
      </c>
      <c r="C64" s="4">
        <f>B64*$P$3*$K$3</f>
        <v>5.7992361427749925E-3</v>
      </c>
      <c r="D64">
        <f>B64*$P$3*$L$3</f>
        <v>7.4704511149273059E-3</v>
      </c>
      <c r="E64">
        <f>B64*$P$3*$M$3</f>
        <v>9.9489465567636215E-3</v>
      </c>
      <c r="F64" s="4">
        <f t="shared" si="1"/>
        <v>6.7413531455085778</v>
      </c>
      <c r="G64" s="5">
        <f t="shared" si="2"/>
        <v>8.6052305556074451</v>
      </c>
      <c r="H64" s="5">
        <f t="shared" si="3"/>
        <v>11.30664514710279</v>
      </c>
    </row>
    <row r="65" spans="1:8" x14ac:dyDescent="0.25">
      <c r="A65">
        <v>62</v>
      </c>
      <c r="B65">
        <v>1.4710666999999999</v>
      </c>
      <c r="C65" s="4">
        <f>B65*$P$3*$K$3</f>
        <v>5.8175156010502249E-3</v>
      </c>
      <c r="D65">
        <f>B65*$P$3*$L$3</f>
        <v>7.4939983194367496E-3</v>
      </c>
      <c r="E65">
        <f>B65*$P$3*$M$3</f>
        <v>9.9803060925696355E-3</v>
      </c>
      <c r="F65" s="4">
        <f t="shared" si="1"/>
        <v>6.7619270001614495</v>
      </c>
      <c r="G65" s="5">
        <f t="shared" si="2"/>
        <v>8.6312466338690044</v>
      </c>
      <c r="H65" s="5">
        <f t="shared" si="3"/>
        <v>11.340351262749405</v>
      </c>
    </row>
    <row r="66" spans="1:8" x14ac:dyDescent="0.25">
      <c r="A66">
        <v>63</v>
      </c>
      <c r="B66">
        <v>1.4754510000000001</v>
      </c>
      <c r="C66" s="4">
        <f>B66*$P$3*$K$3</f>
        <v>5.8348538588258135E-3</v>
      </c>
      <c r="D66">
        <f>B66*$P$3*$L$3</f>
        <v>7.5163330897309224E-3</v>
      </c>
      <c r="E66">
        <f>B66*$P$3*$M$3</f>
        <v>1.0010050940985858E-2</v>
      </c>
      <c r="F66" s="4">
        <f t="shared" si="1"/>
        <v>6.7814376721137215</v>
      </c>
      <c r="G66" s="5">
        <f t="shared" si="2"/>
        <v>8.6559168834279383</v>
      </c>
      <c r="H66" s="5">
        <f t="shared" si="3"/>
        <v>11.372311015765691</v>
      </c>
    </row>
    <row r="67" spans="1:8" x14ac:dyDescent="0.25">
      <c r="A67">
        <v>64</v>
      </c>
      <c r="B67">
        <v>1.4796072</v>
      </c>
      <c r="C67" s="4">
        <f>B67*$P$3*$K$3</f>
        <v>5.8512900668788439E-3</v>
      </c>
      <c r="D67">
        <f>B67*$P$3*$L$3</f>
        <v>7.5375058589977695E-3</v>
      </c>
      <c r="E67">
        <f>B67*$P$3*$M$3</f>
        <v>1.0038248267580183E-2</v>
      </c>
      <c r="F67" s="4">
        <f t="shared" si="1"/>
        <v>6.799929815552308</v>
      </c>
      <c r="G67" s="5">
        <f t="shared" si="2"/>
        <v>8.6792979870789377</v>
      </c>
      <c r="H67" s="5">
        <f t="shared" si="3"/>
        <v>11.402598261945407</v>
      </c>
    </row>
    <row r="68" spans="1:8" x14ac:dyDescent="0.25">
      <c r="A68">
        <v>65</v>
      </c>
      <c r="B68">
        <v>1.4835453000000001</v>
      </c>
      <c r="C68" s="4">
        <f>B68*$P$3*$K$3</f>
        <v>5.8668637714487971E-3</v>
      </c>
      <c r="D68">
        <f>B68*$P$3*$L$3</f>
        <v>7.5575675698513799E-3</v>
      </c>
      <c r="E68">
        <f>B68*$P$3*$M$3</f>
        <v>1.0064965916360588E-2</v>
      </c>
      <c r="F68" s="4">
        <f t="shared" ref="F68:F131" si="4">100*(1-(1-C68)^12)</f>
        <v>6.8174484659474288</v>
      </c>
      <c r="G68" s="5">
        <f t="shared" ref="G68:G131" si="5">100*(1-(1-D68)^12)</f>
        <v>8.7014470862427871</v>
      </c>
      <c r="H68" s="5">
        <f t="shared" ref="H68:H131" si="6">100*(1-(1-E68)^12)</f>
        <v>11.431287405812075</v>
      </c>
    </row>
    <row r="69" spans="1:8" x14ac:dyDescent="0.25">
      <c r="A69">
        <v>66</v>
      </c>
      <c r="B69">
        <v>1.4872751</v>
      </c>
      <c r="C69" s="4">
        <f>B69*$P$3*$K$3</f>
        <v>5.8816137278503641E-3</v>
      </c>
      <c r="D69">
        <f>B69*$P$3*$L$3</f>
        <v>7.5765681460535561E-3</v>
      </c>
      <c r="E69">
        <f>B69*$P$3*$M$3</f>
        <v>1.0090270374454886E-2</v>
      </c>
      <c r="F69" s="4">
        <f t="shared" si="4"/>
        <v>6.8340377098095928</v>
      </c>
      <c r="G69" s="5">
        <f t="shared" si="5"/>
        <v>8.7224201007209405</v>
      </c>
      <c r="H69" s="5">
        <f t="shared" si="6"/>
        <v>11.458451227344336</v>
      </c>
    </row>
    <row r="70" spans="1:8" x14ac:dyDescent="0.25">
      <c r="A70">
        <v>67</v>
      </c>
      <c r="B70">
        <v>1.4908067</v>
      </c>
      <c r="C70" s="4">
        <f>B70*$P$3*$K$3</f>
        <v>5.8955798777854214E-3</v>
      </c>
      <c r="D70">
        <f>B70*$P$3*$L$3</f>
        <v>7.5945590396445288E-3</v>
      </c>
      <c r="E70">
        <f>B70*$P$3*$M$3</f>
        <v>1.0114230164311131E-2</v>
      </c>
      <c r="F70" s="4">
        <f t="shared" si="4"/>
        <v>6.8497429129126157</v>
      </c>
      <c r="G70" s="5">
        <f t="shared" si="5"/>
        <v>8.742274547342344</v>
      </c>
      <c r="H70" s="5">
        <f t="shared" si="6"/>
        <v>11.484164535756335</v>
      </c>
    </row>
    <row r="71" spans="1:8" x14ac:dyDescent="0.25">
      <c r="A71">
        <v>68</v>
      </c>
      <c r="B71">
        <v>1.4941500000000001</v>
      </c>
      <c r="C71" s="4">
        <f>B71*$P$3*$K$3</f>
        <v>5.9088013720310535E-3</v>
      </c>
      <c r="D71">
        <f>B71*$P$3*$L$3</f>
        <v>7.6115906838122426E-3</v>
      </c>
      <c r="E71">
        <f>B71*$P$3*$M$3</f>
        <v>1.0136912451497216E-2</v>
      </c>
      <c r="F71" s="4">
        <f t="shared" si="4"/>
        <v>6.8646085001964341</v>
      </c>
      <c r="G71" s="5">
        <f t="shared" si="5"/>
        <v>8.7610667346019078</v>
      </c>
      <c r="H71" s="5">
        <f t="shared" si="6"/>
        <v>11.508500538768374</v>
      </c>
    </row>
    <row r="72" spans="1:8" x14ac:dyDescent="0.25">
      <c r="A72">
        <v>69</v>
      </c>
      <c r="B72">
        <v>1.4973148999999999</v>
      </c>
      <c r="C72" s="4">
        <f>B72*$P$3*$K$3</f>
        <v>5.9213173613643462E-3</v>
      </c>
      <c r="D72">
        <f>B72*$P$3*$L$3</f>
        <v>7.6277135117446427E-3</v>
      </c>
      <c r="E72">
        <f>B72*$P$3*$M$3</f>
        <v>1.0158384401581037E-2</v>
      </c>
      <c r="F72" s="4">
        <f t="shared" si="4"/>
        <v>6.8786788492928856</v>
      </c>
      <c r="G72" s="5">
        <f t="shared" si="5"/>
        <v>8.7788528937735926</v>
      </c>
      <c r="H72" s="5">
        <f t="shared" si="6"/>
        <v>11.531532310451221</v>
      </c>
    </row>
    <row r="73" spans="1:8" x14ac:dyDescent="0.25">
      <c r="A73">
        <v>70</v>
      </c>
      <c r="B73">
        <v>1.5003114</v>
      </c>
      <c r="C73" s="4">
        <f>B73*$P$3*$K$3</f>
        <v>5.9331673920247829E-3</v>
      </c>
      <c r="D73">
        <f>B73*$P$3*$L$3</f>
        <v>7.6429784660558189E-3</v>
      </c>
      <c r="E73">
        <f>B73*$P$3*$M$3</f>
        <v>1.0178713858570571E-2</v>
      </c>
      <c r="F73" s="4">
        <f t="shared" si="4"/>
        <v>6.8919987385653636</v>
      </c>
      <c r="G73" s="5">
        <f t="shared" si="5"/>
        <v>8.7956897465535029</v>
      </c>
      <c r="H73" s="5">
        <f t="shared" si="6"/>
        <v>11.553333528766673</v>
      </c>
    </row>
    <row r="74" spans="1:8" x14ac:dyDescent="0.25">
      <c r="A74">
        <v>71</v>
      </c>
      <c r="B74">
        <v>1.5031494999999999</v>
      </c>
      <c r="C74" s="4">
        <f>B74*$P$3*$K$3</f>
        <v>5.944391010251843E-3</v>
      </c>
      <c r="D74">
        <f>B74*$P$3*$L$3</f>
        <v>7.6574364893598566E-3</v>
      </c>
      <c r="E74">
        <f>B74*$P$3*$M$3</f>
        <v>1.0197968666473789E-2</v>
      </c>
      <c r="F74" s="4">
        <f t="shared" si="4"/>
        <v>6.9046129057609651</v>
      </c>
      <c r="G74" s="5">
        <f t="shared" si="5"/>
        <v>8.8116339483524815</v>
      </c>
      <c r="H74" s="5">
        <f t="shared" si="6"/>
        <v>11.573977756983789</v>
      </c>
    </row>
    <row r="75" spans="1:8" x14ac:dyDescent="0.25">
      <c r="A75">
        <v>72</v>
      </c>
      <c r="B75">
        <v>1.5058389999999999</v>
      </c>
      <c r="C75" s="4">
        <f>B75*$P$3*$K$3</f>
        <v>5.9550269713602175E-3</v>
      </c>
      <c r="D75">
        <f>B75*$P$3*$L$3</f>
        <v>7.6711375054185609E-3</v>
      </c>
      <c r="E75">
        <f>B75*$P$3*$M$3</f>
        <v>1.021621531241851E-2</v>
      </c>
      <c r="F75" s="4">
        <f t="shared" si="4"/>
        <v>6.9165651624494835</v>
      </c>
      <c r="G75" s="5">
        <f t="shared" si="5"/>
        <v>8.8267409701918602</v>
      </c>
      <c r="H75" s="5">
        <f t="shared" si="6"/>
        <v>11.593536998380294</v>
      </c>
    </row>
    <row r="76" spans="1:8" x14ac:dyDescent="0.25">
      <c r="A76">
        <v>73</v>
      </c>
      <c r="B76">
        <v>1.5083899999999999</v>
      </c>
      <c r="C76" s="4">
        <f>B76*$P$3*$K$3</f>
        <v>5.9651152170517811E-3</v>
      </c>
      <c r="D76">
        <f>B76*$P$3*$L$3</f>
        <v>7.6841329662721601E-3</v>
      </c>
      <c r="E76">
        <f>B76*$P$3*$M$3</f>
        <v>1.0233522318852783E-2</v>
      </c>
      <c r="F76" s="4">
        <f t="shared" si="4"/>
        <v>6.9279006191597876</v>
      </c>
      <c r="G76" s="5">
        <f t="shared" si="5"/>
        <v>8.8410679123104412</v>
      </c>
      <c r="H76" s="5">
        <f t="shared" si="6"/>
        <v>11.612085341276469</v>
      </c>
    </row>
    <row r="77" spans="1:8" x14ac:dyDescent="0.25">
      <c r="A77">
        <v>74</v>
      </c>
      <c r="B77">
        <v>1.5108225</v>
      </c>
      <c r="C77" s="4">
        <f>B77*$P$3*$K$3</f>
        <v>5.9747348398054984E-3</v>
      </c>
      <c r="D77">
        <f>B77*$P$3*$L$3</f>
        <v>7.6965247571488277E-3</v>
      </c>
      <c r="E77">
        <f>B77*$P$3*$M$3</f>
        <v>1.0250025373792559E-2</v>
      </c>
      <c r="F77" s="4">
        <f t="shared" si="4"/>
        <v>6.9387083384438437</v>
      </c>
      <c r="G77" s="5">
        <f t="shared" si="5"/>
        <v>8.8547274118103036</v>
      </c>
      <c r="H77" s="5">
        <f t="shared" si="6"/>
        <v>11.629768747019153</v>
      </c>
    </row>
    <row r="78" spans="1:8" x14ac:dyDescent="0.25">
      <c r="A78">
        <v>75</v>
      </c>
      <c r="B78">
        <v>1.5131517000000001</v>
      </c>
      <c r="C78" s="4">
        <f>B78*$P$3*$K$3</f>
        <v>5.9839459499053784E-3</v>
      </c>
      <c r="D78">
        <f>B78*$P$3*$L$3</f>
        <v>7.7083903108219774E-3</v>
      </c>
      <c r="E78">
        <f>B78*$P$3*$M$3</f>
        <v>1.0265827600129961E-2</v>
      </c>
      <c r="F78" s="4">
        <f t="shared" si="4"/>
        <v>6.949056012459554</v>
      </c>
      <c r="G78" s="5">
        <f t="shared" si="5"/>
        <v>8.8678050804198669</v>
      </c>
      <c r="H78" s="5">
        <f t="shared" si="6"/>
        <v>11.646698159248892</v>
      </c>
    </row>
    <row r="79" spans="1:8" x14ac:dyDescent="0.25">
      <c r="A79">
        <v>76</v>
      </c>
      <c r="B79">
        <v>1.5153798999999999</v>
      </c>
      <c r="C79" s="4">
        <f>B79*$P$3*$K$3</f>
        <v>5.9927576429865004E-3</v>
      </c>
      <c r="D79">
        <f>B79*$P$3*$L$3</f>
        <v>7.7197413440928467E-3</v>
      </c>
      <c r="E79">
        <f>B79*$P$3*$M$3</f>
        <v>1.0280944601986818E-2</v>
      </c>
      <c r="F79" s="4">
        <f t="shared" si="4"/>
        <v>6.9589539980740467</v>
      </c>
      <c r="G79" s="5">
        <f t="shared" si="5"/>
        <v>8.8803140584605913</v>
      </c>
      <c r="H79" s="5">
        <f t="shared" si="6"/>
        <v>11.66289068693419</v>
      </c>
    </row>
    <row r="80" spans="1:8" x14ac:dyDescent="0.25">
      <c r="A80">
        <v>77</v>
      </c>
      <c r="B80">
        <v>1.5175097</v>
      </c>
      <c r="C80" s="4">
        <f>B80*$P$3*$K$3</f>
        <v>6.001180201071132E-3</v>
      </c>
      <c r="D80">
        <f>B80*$P$3*$L$3</f>
        <v>7.7305911020411006E-3</v>
      </c>
      <c r="E80">
        <f>B80*$P$3*$M$3</f>
        <v>1.029539401880521E-2</v>
      </c>
      <c r="F80" s="4">
        <f t="shared" si="4"/>
        <v>6.9684139745582963</v>
      </c>
      <c r="G80" s="5">
        <f t="shared" si="5"/>
        <v>8.8922691537239302</v>
      </c>
      <c r="H80" s="5">
        <f t="shared" si="6"/>
        <v>11.678365590256712</v>
      </c>
    </row>
    <row r="81" spans="1:8" x14ac:dyDescent="0.25">
      <c r="A81">
        <v>78</v>
      </c>
      <c r="B81">
        <v>1.5195434999999999</v>
      </c>
      <c r="C81" s="4">
        <f>B81*$P$3*$K$3</f>
        <v>6.009223115256747E-3</v>
      </c>
      <c r="D81">
        <f>B81*$P$3*$L$3</f>
        <v>7.7409518108941195E-3</v>
      </c>
      <c r="E81">
        <f>B81*$P$3*$M$3</f>
        <v>1.0309192133147047E-2</v>
      </c>
      <c r="F81" s="4">
        <f t="shared" si="4"/>
        <v>6.9774467228843058</v>
      </c>
      <c r="G81" s="5">
        <f t="shared" si="5"/>
        <v>8.9036840351078954</v>
      </c>
      <c r="H81" s="5">
        <f t="shared" si="6"/>
        <v>11.693140648116884</v>
      </c>
    </row>
    <row r="82" spans="1:8" x14ac:dyDescent="0.25">
      <c r="A82">
        <v>79</v>
      </c>
      <c r="B82">
        <v>1.5214837999999999</v>
      </c>
      <c r="C82" s="4">
        <f>B82*$P$3*$K$3</f>
        <v>6.0168962721032157E-3</v>
      </c>
      <c r="D82">
        <f>B82*$P$3*$L$3</f>
        <v>7.7508362063054238E-3</v>
      </c>
      <c r="E82">
        <f>B82*$P$3*$M$3</f>
        <v>1.0322355906014323E-2</v>
      </c>
      <c r="F82" s="4">
        <f t="shared" si="4"/>
        <v>6.9860634588190029</v>
      </c>
      <c r="G82" s="5">
        <f t="shared" si="5"/>
        <v>8.9145729175343256</v>
      </c>
      <c r="H82" s="5">
        <f t="shared" si="6"/>
        <v>11.707234339535844</v>
      </c>
    </row>
    <row r="83" spans="1:8" x14ac:dyDescent="0.25">
      <c r="A83">
        <v>80</v>
      </c>
      <c r="B83">
        <v>1.523333</v>
      </c>
      <c r="C83" s="4">
        <f>B83*$P$3*$K$3</f>
        <v>6.0242091627080146E-3</v>
      </c>
      <c r="D83">
        <f>B83*$P$3*$L$3</f>
        <v>7.7602565145023956E-3</v>
      </c>
      <c r="E83">
        <f>B83*$P$3*$M$3</f>
        <v>1.0334901619968952E-2</v>
      </c>
      <c r="F83" s="4">
        <f t="shared" si="4"/>
        <v>6.9942749451133324</v>
      </c>
      <c r="G83" s="5">
        <f t="shared" si="5"/>
        <v>8.9249494401698044</v>
      </c>
      <c r="H83" s="5">
        <f t="shared" si="6"/>
        <v>11.720664391985791</v>
      </c>
    </row>
    <row r="84" spans="1:8" x14ac:dyDescent="0.25">
      <c r="A84">
        <v>81</v>
      </c>
      <c r="B84">
        <v>1.5250935999999999</v>
      </c>
      <c r="C84" s="4">
        <f>B84*$P$3*$K$3</f>
        <v>6.0311716736310122E-3</v>
      </c>
      <c r="D84">
        <f>B84*$P$3*$L$3</f>
        <v>7.7692254711385564E-3</v>
      </c>
      <c r="E84">
        <f>B84*$P$3*$M$3</f>
        <v>1.0346846236012926E-2</v>
      </c>
      <c r="F84" s="4">
        <f t="shared" si="4"/>
        <v>7.0020923801322965</v>
      </c>
      <c r="G84" s="5">
        <f t="shared" si="5"/>
        <v>8.9348277895429327</v>
      </c>
      <c r="H84" s="5">
        <f t="shared" si="6"/>
        <v>11.733449235378634</v>
      </c>
    </row>
    <row r="85" spans="1:8" x14ac:dyDescent="0.25">
      <c r="A85">
        <v>82</v>
      </c>
      <c r="B85">
        <v>1.5267681</v>
      </c>
      <c r="C85" s="4">
        <f>B85*$P$3*$K$3</f>
        <v>6.0377936914320814E-3</v>
      </c>
      <c r="D85">
        <f>B85*$P$3*$L$3</f>
        <v>7.7777558118674291E-3</v>
      </c>
      <c r="E85">
        <f>B85*$P$3*$M$3</f>
        <v>1.0358206715148243E-2</v>
      </c>
      <c r="F85" s="4">
        <f t="shared" si="4"/>
        <v>7.0095269541419309</v>
      </c>
      <c r="G85" s="5">
        <f t="shared" si="5"/>
        <v>8.9442221389700158</v>
      </c>
      <c r="H85" s="5">
        <f t="shared" si="6"/>
        <v>11.745607276777859</v>
      </c>
    </row>
    <row r="86" spans="1:8" x14ac:dyDescent="0.25">
      <c r="A86">
        <v>83</v>
      </c>
      <c r="B86">
        <v>1.5283589</v>
      </c>
      <c r="C86" s="4">
        <f>B86*$P$3*$K$3</f>
        <v>6.0440847072086943E-3</v>
      </c>
      <c r="D86">
        <f>B86*$P$3*$L$3</f>
        <v>7.7858597629163915E-3</v>
      </c>
      <c r="E86">
        <f>B86*$P$3*$M$3</f>
        <v>1.0368999339936812E-2</v>
      </c>
      <c r="F86" s="4">
        <f t="shared" si="4"/>
        <v>7.0165894057957363</v>
      </c>
      <c r="G86" s="5">
        <f t="shared" si="5"/>
        <v>8.9531460883039102</v>
      </c>
      <c r="H86" s="5">
        <f t="shared" si="6"/>
        <v>11.757156175666882</v>
      </c>
    </row>
    <row r="87" spans="1:8" x14ac:dyDescent="0.25">
      <c r="A87">
        <v>84</v>
      </c>
      <c r="B87">
        <v>1.5298684</v>
      </c>
      <c r="C87" s="4">
        <f>B87*$P$3*$K$3</f>
        <v>6.0500542120583284E-3</v>
      </c>
      <c r="D87">
        <f>B87*$P$3*$L$3</f>
        <v>7.7935495505128275E-3</v>
      </c>
      <c r="E87">
        <f>B87*$P$3*$M$3</f>
        <v>1.0379240392940551E-2</v>
      </c>
      <c r="F87" s="4">
        <f t="shared" si="4"/>
        <v>7.0232904666065687</v>
      </c>
      <c r="G87" s="5">
        <f t="shared" si="5"/>
        <v>8.9616132257498649</v>
      </c>
      <c r="H87" s="5">
        <f t="shared" si="6"/>
        <v>11.768113571387772</v>
      </c>
    </row>
    <row r="88" spans="1:8" x14ac:dyDescent="0.25">
      <c r="A88">
        <v>85</v>
      </c>
      <c r="B88">
        <v>1.5312992000000001</v>
      </c>
      <c r="C88" s="4">
        <f>B88*$P$3*$K$3</f>
        <v>6.0557124880032493E-3</v>
      </c>
      <c r="D88">
        <f>B88*$P$3*$L$3</f>
        <v>7.8008384197363993E-3</v>
      </c>
      <c r="E88">
        <f>B88*$P$3*$M$3</f>
        <v>1.038894751360153E-2</v>
      </c>
      <c r="F88" s="4">
        <f t="shared" si="4"/>
        <v>7.0296417491003798</v>
      </c>
      <c r="G88" s="5">
        <f t="shared" si="5"/>
        <v>8.9696382502033263</v>
      </c>
      <c r="H88" s="5">
        <f t="shared" si="6"/>
        <v>11.778498535785808</v>
      </c>
    </row>
    <row r="89" spans="1:8" x14ac:dyDescent="0.25">
      <c r="A89">
        <v>86</v>
      </c>
      <c r="B89">
        <v>1.5326538000000001</v>
      </c>
      <c r="C89" s="4">
        <f>B89*$P$3*$K$3</f>
        <v>6.0610694216033248E-3</v>
      </c>
      <c r="D89">
        <f>B89*$P$3*$L$3</f>
        <v>7.8077391062406267E-3</v>
      </c>
      <c r="E89">
        <f>B89*$P$3*$M$3</f>
        <v>1.0398137662921744E-2</v>
      </c>
      <c r="F89" s="4">
        <f t="shared" si="4"/>
        <v>7.0356544153554967</v>
      </c>
      <c r="G89" s="5">
        <f t="shared" si="5"/>
        <v>8.9772352890004399</v>
      </c>
      <c r="H89" s="5">
        <f t="shared" si="6"/>
        <v>11.788329396422558</v>
      </c>
    </row>
    <row r="90" spans="1:8" x14ac:dyDescent="0.25">
      <c r="A90">
        <v>87</v>
      </c>
      <c r="B90">
        <v>1.5339345</v>
      </c>
      <c r="C90" s="4">
        <f>B90*$P$3*$K$3</f>
        <v>6.0661341084936368E-3</v>
      </c>
      <c r="D90">
        <f>B90*$P$3*$L$3</f>
        <v>7.8142633268267515E-3</v>
      </c>
      <c r="E90">
        <f>B90*$P$3*$M$3</f>
        <v>1.0406826445023026E-2</v>
      </c>
      <c r="F90" s="4">
        <f t="shared" si="4"/>
        <v>7.04133873368884</v>
      </c>
      <c r="G90" s="5">
        <f t="shared" si="5"/>
        <v>8.9844173379905143</v>
      </c>
      <c r="H90" s="5">
        <f t="shared" si="6"/>
        <v>11.797623012402314</v>
      </c>
    </row>
    <row r="91" spans="1:8" x14ac:dyDescent="0.25">
      <c r="A91">
        <v>88</v>
      </c>
      <c r="B91">
        <v>1.5351437999999999</v>
      </c>
      <c r="C91" s="4">
        <f>B91*$P$3*$K$3</f>
        <v>6.0709164352340554E-3</v>
      </c>
      <c r="D91">
        <f>B91*$P$3*$L$3</f>
        <v>7.8204238171482952E-3</v>
      </c>
      <c r="E91">
        <f>B91*$P$3*$M$3</f>
        <v>1.0415030820907374E-2</v>
      </c>
      <c r="F91" s="4">
        <f t="shared" si="4"/>
        <v>7.046705854489943</v>
      </c>
      <c r="G91" s="5">
        <f t="shared" si="5"/>
        <v>8.991198505444487</v>
      </c>
      <c r="H91" s="5">
        <f t="shared" si="6"/>
        <v>11.80639767832835</v>
      </c>
    </row>
    <row r="92" spans="1:8" x14ac:dyDescent="0.25">
      <c r="A92">
        <v>89</v>
      </c>
      <c r="B92">
        <v>1.5362842000000001</v>
      </c>
      <c r="C92" s="4">
        <f>B92*$P$3*$K$3</f>
        <v>6.0754262883844527E-3</v>
      </c>
      <c r="D92">
        <f>B92*$P$3*$L$3</f>
        <v>7.826233312858779E-3</v>
      </c>
      <c r="E92">
        <f>B92*$P$3*$M$3</f>
        <v>1.0422767751576776E-2</v>
      </c>
      <c r="F92" s="4">
        <f t="shared" si="4"/>
        <v>7.0517669227527673</v>
      </c>
      <c r="G92" s="5">
        <f t="shared" si="5"/>
        <v>8.9975928908336833</v>
      </c>
      <c r="H92" s="5">
        <f t="shared" si="6"/>
        <v>11.814671673593624</v>
      </c>
    </row>
    <row r="93" spans="1:8" x14ac:dyDescent="0.25">
      <c r="A93">
        <v>90</v>
      </c>
      <c r="B93">
        <v>1.5373581999999999</v>
      </c>
      <c r="C93" s="4">
        <f>B93*$P$3*$K$3</f>
        <v>6.0796735545046946E-3</v>
      </c>
      <c r="D93">
        <f>B93*$P$3*$L$3</f>
        <v>7.8317045496117243E-3</v>
      </c>
      <c r="E93">
        <f>B93*$P$3*$M$3</f>
        <v>1.0430054198033226E-2</v>
      </c>
      <c r="F93" s="4">
        <f t="shared" si="4"/>
        <v>7.0565330784173934</v>
      </c>
      <c r="G93" s="5">
        <f t="shared" si="5"/>
        <v>9.0036145853868881</v>
      </c>
      <c r="H93" s="5">
        <f t="shared" si="6"/>
        <v>11.822463263344618</v>
      </c>
    </row>
    <row r="94" spans="1:8" x14ac:dyDescent="0.25">
      <c r="A94">
        <v>91</v>
      </c>
      <c r="B94">
        <v>1.5383682000000001</v>
      </c>
      <c r="C94" s="4">
        <f>B94*$P$3*$K$3</f>
        <v>6.0836677246922611E-3</v>
      </c>
      <c r="D94">
        <f>B94*$P$3*$L$3</f>
        <v>7.8368497536345141E-3</v>
      </c>
      <c r="E94">
        <f>B94*$P$3*$M$3</f>
        <v>1.0436906442838643E-2</v>
      </c>
      <c r="F94" s="4">
        <f t="shared" si="4"/>
        <v>7.0610150129530203</v>
      </c>
      <c r="G94" s="5">
        <f t="shared" si="5"/>
        <v>9.0092771119983599</v>
      </c>
      <c r="H94" s="5">
        <f t="shared" si="6"/>
        <v>11.829789974022386</v>
      </c>
    </row>
    <row r="95" spans="1:8" x14ac:dyDescent="0.25">
      <c r="A95">
        <v>92</v>
      </c>
      <c r="B95">
        <v>1.5393167000000001</v>
      </c>
      <c r="C95" s="4">
        <f>B95*$P$3*$K$3</f>
        <v>6.0874186855070199E-3</v>
      </c>
      <c r="D95">
        <f>B95*$P$3*$L$3</f>
        <v>7.8416816605806679E-3</v>
      </c>
      <c r="E95">
        <f>B95*$P$3*$M$3</f>
        <v>1.0443341446995017E-2</v>
      </c>
      <c r="F95" s="4">
        <f t="shared" si="4"/>
        <v>7.065223857222902</v>
      </c>
      <c r="G95" s="5">
        <f t="shared" si="5"/>
        <v>9.0145945470948234</v>
      </c>
      <c r="H95" s="5">
        <f t="shared" si="6"/>
        <v>11.836670045190779</v>
      </c>
    </row>
    <row r="96" spans="1:8" x14ac:dyDescent="0.25">
      <c r="A96">
        <v>93</v>
      </c>
      <c r="B96">
        <v>1.5402061</v>
      </c>
      <c r="C96" s="4">
        <f>B96*$P$3*$K$3</f>
        <v>6.0909359280464466E-3</v>
      </c>
      <c r="D96">
        <f>B96*$P$3*$L$3</f>
        <v>7.8462124966775671E-3</v>
      </c>
      <c r="E96">
        <f>B96*$P$3*$M$3</f>
        <v>1.0449375493064262E-2</v>
      </c>
      <c r="F96" s="4">
        <f t="shared" si="4"/>
        <v>7.0691702942702435</v>
      </c>
      <c r="G96" s="5">
        <f t="shared" si="5"/>
        <v>9.0195803998299855</v>
      </c>
      <c r="H96" s="5">
        <f t="shared" si="6"/>
        <v>11.843120979544031</v>
      </c>
    </row>
    <row r="97" spans="1:8" x14ac:dyDescent="0.25">
      <c r="A97">
        <v>94</v>
      </c>
      <c r="B97">
        <v>1.5410389</v>
      </c>
      <c r="C97" s="4">
        <f>B97*$P$3*$K$3</f>
        <v>6.0942293388704105E-3</v>
      </c>
      <c r="D97">
        <f>B97*$P$3*$L$3</f>
        <v>7.8504549975787347E-3</v>
      </c>
      <c r="E97">
        <f>B97*$P$3*$M$3</f>
        <v>1.0455025542048369E-2</v>
      </c>
      <c r="F97" s="4">
        <f t="shared" si="4"/>
        <v>7.0728654470808561</v>
      </c>
      <c r="G97" s="5">
        <f t="shared" si="5"/>
        <v>9.0242487337851447</v>
      </c>
      <c r="H97" s="5">
        <f t="shared" si="6"/>
        <v>11.849160994447349</v>
      </c>
    </row>
    <row r="98" spans="1:8" x14ac:dyDescent="0.25">
      <c r="A98">
        <v>95</v>
      </c>
      <c r="B98">
        <v>1.5418175999999999</v>
      </c>
      <c r="C98" s="4">
        <f>B98*$P$3*$K$3</f>
        <v>6.0973088045387846E-3</v>
      </c>
      <c r="D98">
        <f>B98*$P$3*$L$3</f>
        <v>7.8544218989376902E-3</v>
      </c>
      <c r="E98">
        <f>B98*$P$3*$M$3</f>
        <v>1.0460308554949338E-2</v>
      </c>
      <c r="F98" s="4">
        <f t="shared" si="4"/>
        <v>7.0763204350986602</v>
      </c>
      <c r="G98" s="5">
        <f t="shared" si="5"/>
        <v>9.0286136067665659</v>
      </c>
      <c r="H98" s="5">
        <f t="shared" si="6"/>
        <v>11.854808297285979</v>
      </c>
    </row>
    <row r="99" spans="1:8" x14ac:dyDescent="0.25">
      <c r="A99">
        <v>96</v>
      </c>
      <c r="B99">
        <v>1.5425446</v>
      </c>
      <c r="C99" s="4">
        <f>B99*$P$3*$K$3</f>
        <v>6.1001838161490419E-3</v>
      </c>
      <c r="D99">
        <f>B99*$P$3*$L$3</f>
        <v>7.8581254269818167E-3</v>
      </c>
      <c r="E99">
        <f>B99*$P$3*$M$3</f>
        <v>1.0465240814329079E-2</v>
      </c>
      <c r="F99" s="4">
        <f t="shared" si="4"/>
        <v>7.0795459308300002</v>
      </c>
      <c r="G99" s="5">
        <f t="shared" si="5"/>
        <v>9.0326885107462331</v>
      </c>
      <c r="H99" s="5">
        <f t="shared" si="6"/>
        <v>11.86008036106344</v>
      </c>
    </row>
    <row r="100" spans="1:8" x14ac:dyDescent="0.25">
      <c r="A100">
        <v>97</v>
      </c>
      <c r="B100">
        <v>1.5432224000000001</v>
      </c>
      <c r="C100" s="4">
        <f>B100*$P$3*$K$3</f>
        <v>6.1028642602610553E-3</v>
      </c>
      <c r="D100">
        <f>B100*$P$3*$L$3</f>
        <v>7.8615783173646356E-3</v>
      </c>
      <c r="E100">
        <f>B100*$P$3*$M$3</f>
        <v>1.0469839281189585E-2</v>
      </c>
      <c r="F100" s="4">
        <f t="shared" si="4"/>
        <v>7.0825530474696752</v>
      </c>
      <c r="G100" s="5">
        <f t="shared" si="5"/>
        <v>9.0364874933412729</v>
      </c>
      <c r="H100" s="5">
        <f t="shared" si="6"/>
        <v>11.864995375558651</v>
      </c>
    </row>
    <row r="101" spans="1:8" x14ac:dyDescent="0.25">
      <c r="A101">
        <v>98</v>
      </c>
      <c r="B101">
        <v>1.5438533999999999</v>
      </c>
      <c r="C101" s="4">
        <f>B101*$P$3*$K$3</f>
        <v>6.105359627972296E-3</v>
      </c>
      <c r="D101">
        <f>B101*$P$3*$L$3</f>
        <v>7.8647927963135262E-3</v>
      </c>
      <c r="E101">
        <f>B101*$P$3*$M$3</f>
        <v>1.0474120238092769E-2</v>
      </c>
      <c r="F101" s="4">
        <f t="shared" si="4"/>
        <v>7.0853524517968003</v>
      </c>
      <c r="G101" s="5">
        <f t="shared" si="5"/>
        <v>9.0400240371852689</v>
      </c>
      <c r="H101" s="5">
        <f t="shared" si="6"/>
        <v>11.869570797639506</v>
      </c>
    </row>
    <row r="102" spans="1:8" x14ac:dyDescent="0.25">
      <c r="A102">
        <v>99</v>
      </c>
      <c r="B102">
        <v>1.5444401999999999</v>
      </c>
      <c r="C102" s="4">
        <f>B102*$P$3*$K$3</f>
        <v>6.1076802013050316E-3</v>
      </c>
      <c r="D102">
        <f>B102*$P$3*$L$3</f>
        <v>7.8677821089081518E-3</v>
      </c>
      <c r="E102">
        <f>B102*$P$3*$M$3</f>
        <v>1.0478101324480708E-2</v>
      </c>
      <c r="F102" s="4">
        <f t="shared" si="4"/>
        <v>7.0879556953489908</v>
      </c>
      <c r="G102" s="5">
        <f t="shared" si="5"/>
        <v>9.0433127417152264</v>
      </c>
      <c r="H102" s="5">
        <f t="shared" si="6"/>
        <v>11.873825527251459</v>
      </c>
    </row>
    <row r="103" spans="1:8" x14ac:dyDescent="0.25">
      <c r="A103">
        <v>100</v>
      </c>
      <c r="B103">
        <v>1.5449850999999999</v>
      </c>
      <c r="C103" s="4">
        <f>B103*$P$3*$K$3</f>
        <v>6.109835075894343E-3</v>
      </c>
      <c r="D103">
        <f>B103*$P$3*$L$3</f>
        <v>7.8705579719497536E-3</v>
      </c>
      <c r="E103">
        <f>B103*$P$3*$M$3</f>
        <v>1.0481798144475233E-2</v>
      </c>
      <c r="F103" s="4">
        <f t="shared" si="4"/>
        <v>7.0903729964411966</v>
      </c>
      <c r="G103" s="5">
        <f t="shared" si="5"/>
        <v>9.0463665212426996</v>
      </c>
      <c r="H103" s="5">
        <f t="shared" si="6"/>
        <v>11.877776282582698</v>
      </c>
    </row>
    <row r="104" spans="1:8" x14ac:dyDescent="0.25">
      <c r="A104">
        <v>101</v>
      </c>
      <c r="B104">
        <v>1.5454905999999999</v>
      </c>
      <c r="C104" s="4">
        <f>B104*$P$3*$K$3</f>
        <v>6.1118341383001006E-3</v>
      </c>
      <c r="D104">
        <f>B104*$P$3*$L$3</f>
        <v>7.8731331210918527E-3</v>
      </c>
      <c r="E104">
        <f>B104*$P$3*$M$3</f>
        <v>1.048522765907834E-2</v>
      </c>
      <c r="F104" s="4">
        <f t="shared" si="4"/>
        <v>7.0926154585690622</v>
      </c>
      <c r="G104" s="5">
        <f t="shared" si="5"/>
        <v>9.0491994075701072</v>
      </c>
      <c r="H104" s="5">
        <f t="shared" si="6"/>
        <v>11.881441226087963</v>
      </c>
    </row>
    <row r="105" spans="1:8" x14ac:dyDescent="0.25">
      <c r="A105">
        <v>102</v>
      </c>
      <c r="B105">
        <v>1.5459593</v>
      </c>
      <c r="C105" s="4">
        <f>B105*$P$3*$K$3</f>
        <v>6.1136876705445682E-3</v>
      </c>
      <c r="D105">
        <f>B105*$P$3*$L$3</f>
        <v>7.8755208014141126E-3</v>
      </c>
      <c r="E105">
        <f>B105*$P$3*$M$3</f>
        <v>1.0488407507732103E-2</v>
      </c>
      <c r="F105" s="4">
        <f t="shared" si="4"/>
        <v>7.0946946269009885</v>
      </c>
      <c r="G105" s="5">
        <f t="shared" si="5"/>
        <v>9.0518259897505278</v>
      </c>
      <c r="H105" s="5">
        <f t="shared" si="6"/>
        <v>11.884839239772004</v>
      </c>
    </row>
    <row r="106" spans="1:8" x14ac:dyDescent="0.25">
      <c r="A106">
        <v>103</v>
      </c>
      <c r="B106">
        <v>1.5463935</v>
      </c>
      <c r="C106" s="4">
        <f>B106*$P$3*$K$3</f>
        <v>6.1154047682628263E-3</v>
      </c>
      <c r="D106">
        <f>B106*$P$3*$L$3</f>
        <v>7.8777327297177707E-3</v>
      </c>
      <c r="E106">
        <f>B106*$P$3*$M$3</f>
        <v>1.049135329455835E-2</v>
      </c>
      <c r="F106" s="4">
        <f t="shared" si="4"/>
        <v>7.0966207140606308</v>
      </c>
      <c r="G106" s="5">
        <f t="shared" si="5"/>
        <v>9.0542591728163266</v>
      </c>
      <c r="H106" s="5">
        <f t="shared" si="6"/>
        <v>11.887987025791425</v>
      </c>
    </row>
    <row r="107" spans="1:8" x14ac:dyDescent="0.25">
      <c r="A107">
        <v>104</v>
      </c>
      <c r="B107">
        <v>1.5467957999999999</v>
      </c>
      <c r="C107" s="4">
        <f>B107*$P$3*$K$3</f>
        <v>6.1169957134771412E-3</v>
      </c>
      <c r="D107">
        <f>B107*$P$3*$L$3</f>
        <v>7.8797821510824904E-3</v>
      </c>
      <c r="E107">
        <f>B107*$P$3*$M$3</f>
        <v>1.0494082658999161E-2</v>
      </c>
      <c r="F107" s="4">
        <f t="shared" si="4"/>
        <v>7.0984052619179172</v>
      </c>
      <c r="G107" s="5">
        <f t="shared" si="5"/>
        <v>9.0565135404424346</v>
      </c>
      <c r="H107" s="5">
        <f t="shared" si="6"/>
        <v>11.89090345686019</v>
      </c>
    </row>
    <row r="108" spans="1:8" x14ac:dyDescent="0.25">
      <c r="A108">
        <v>105</v>
      </c>
      <c r="B108">
        <v>1.5471684999999999</v>
      </c>
      <c r="C108" s="4">
        <f>B108*$P$3*$K$3</f>
        <v>6.1184696018225923E-3</v>
      </c>
      <c r="D108">
        <f>B108*$P$3*$L$3</f>
        <v>7.8816807823095143E-3</v>
      </c>
      <c r="E108">
        <f>B108*$P$3*$M$3</f>
        <v>1.0496611205176368E-2</v>
      </c>
      <c r="F108" s="4">
        <f t="shared" si="4"/>
        <v>7.1000584801783955</v>
      </c>
      <c r="G108" s="5">
        <f t="shared" si="5"/>
        <v>9.0586019929035579</v>
      </c>
      <c r="H108" s="5">
        <f t="shared" si="6"/>
        <v>11.89360522691566</v>
      </c>
    </row>
    <row r="109" spans="1:8" x14ac:dyDescent="0.25">
      <c r="A109">
        <v>106</v>
      </c>
      <c r="B109">
        <v>1.5475140999999999</v>
      </c>
      <c r="C109" s="4">
        <f>B109*$P$3*$K$3</f>
        <v>6.1198363198590507E-3</v>
      </c>
      <c r="D109">
        <f>B109*$P$3*$L$3</f>
        <v>7.8834413590523622E-3</v>
      </c>
      <c r="E109">
        <f>B109*$P$3*$M$3</f>
        <v>1.0498955894091964E-2</v>
      </c>
      <c r="F109" s="4">
        <f t="shared" si="4"/>
        <v>7.1015914644807836</v>
      </c>
      <c r="G109" s="5">
        <f t="shared" si="5"/>
        <v>9.0605385491934971</v>
      </c>
      <c r="H109" s="5">
        <f t="shared" si="6"/>
        <v>11.896110476283518</v>
      </c>
    </row>
    <row r="110" spans="1:8" x14ac:dyDescent="0.25">
      <c r="A110">
        <v>107</v>
      </c>
      <c r="B110">
        <v>1.5478352</v>
      </c>
      <c r="C110" s="4">
        <f>B110*$P$3*$K$3</f>
        <v>6.1211061496087805E-3</v>
      </c>
      <c r="D110">
        <f>B110*$P$3*$L$3</f>
        <v>7.8850771263906973E-3</v>
      </c>
      <c r="E110">
        <f>B110*$P$3*$M$3</f>
        <v>1.0501134365188023E-2</v>
      </c>
      <c r="F110" s="4">
        <f t="shared" si="4"/>
        <v>7.1030157528998323</v>
      </c>
      <c r="G110" s="5">
        <f t="shared" si="5"/>
        <v>9.0623377868000894</v>
      </c>
      <c r="H110" s="5">
        <f t="shared" si="6"/>
        <v>11.898438066988637</v>
      </c>
    </row>
    <row r="111" spans="1:8" x14ac:dyDescent="0.25">
      <c r="A111">
        <v>108</v>
      </c>
      <c r="B111">
        <v>1.5481342</v>
      </c>
      <c r="C111" s="4">
        <f>B111*$P$3*$K$3</f>
        <v>6.1222885821692581E-3</v>
      </c>
      <c r="D111">
        <f>B111*$P$3*$L$3</f>
        <v>7.886600310551899E-3</v>
      </c>
      <c r="E111">
        <f>B111*$P$3*$M$3</f>
        <v>1.0503162901026458E-2</v>
      </c>
      <c r="F111" s="4">
        <f t="shared" si="4"/>
        <v>7.1043419953729643</v>
      </c>
      <c r="G111" s="5">
        <f t="shared" si="5"/>
        <v>9.0640131608993091</v>
      </c>
      <c r="H111" s="5">
        <f t="shared" si="6"/>
        <v>11.900605408461228</v>
      </c>
    </row>
    <row r="112" spans="1:8" x14ac:dyDescent="0.25">
      <c r="A112">
        <v>109</v>
      </c>
      <c r="B112">
        <v>1.5484134000000001</v>
      </c>
      <c r="C112" s="4">
        <f>B112*$P$3*$K$3</f>
        <v>6.1233927131755629E-3</v>
      </c>
      <c r="D112">
        <f>B112*$P$3*$L$3</f>
        <v>7.8880226283372084E-3</v>
      </c>
      <c r="E112">
        <f>B112*$P$3*$M$3</f>
        <v>1.0505057105729102E-2</v>
      </c>
      <c r="F112" s="4">
        <f t="shared" si="4"/>
        <v>7.1055803974234166</v>
      </c>
      <c r="G112" s="5">
        <f t="shared" si="5"/>
        <v>9.0655775649477022</v>
      </c>
      <c r="H112" s="5">
        <f t="shared" si="6"/>
        <v>11.902629182859847</v>
      </c>
    </row>
    <row r="113" spans="1:8" x14ac:dyDescent="0.25">
      <c r="A113">
        <v>110</v>
      </c>
      <c r="B113">
        <v>1.5486755000000001</v>
      </c>
      <c r="C113" s="4">
        <f>B113*$P$3*$K$3</f>
        <v>6.124429220112357E-3</v>
      </c>
      <c r="D113">
        <f>B113*$P$3*$L$3</f>
        <v>7.8893578342524289E-3</v>
      </c>
      <c r="E113">
        <f>B113*$P$3*$M$3</f>
        <v>1.0506835297178113E-2</v>
      </c>
      <c r="F113" s="4">
        <f t="shared" si="4"/>
        <v>7.1067429380123333</v>
      </c>
      <c r="G113" s="5">
        <f t="shared" si="5"/>
        <v>9.0670461324011029</v>
      </c>
      <c r="H113" s="5">
        <f t="shared" si="6"/>
        <v>11.904528969544915</v>
      </c>
    </row>
    <row r="114" spans="1:8" x14ac:dyDescent="0.25">
      <c r="A114">
        <v>111</v>
      </c>
      <c r="B114">
        <v>1.5489227999999999</v>
      </c>
      <c r="C114" s="4">
        <f>B114*$P$3*$K$3</f>
        <v>6.1254071986147178E-3</v>
      </c>
      <c r="D114">
        <f>B114*$P$3*$L$3</f>
        <v>7.8906176450988016E-3</v>
      </c>
      <c r="E114">
        <f>B114*$P$3*$M$3</f>
        <v>1.0508513079495319E-2</v>
      </c>
      <c r="F114" s="4">
        <f t="shared" si="4"/>
        <v>7.1078398211968157</v>
      </c>
      <c r="G114" s="5">
        <f t="shared" si="5"/>
        <v>9.068431754326312</v>
      </c>
      <c r="H114" s="5">
        <f t="shared" si="6"/>
        <v>11.906321446547096</v>
      </c>
    </row>
    <row r="115" spans="1:8" x14ac:dyDescent="0.25">
      <c r="A115">
        <v>112</v>
      </c>
      <c r="B115">
        <v>1.5491577999999999</v>
      </c>
      <c r="C115" s="4">
        <f>B115*$P$3*$K$3</f>
        <v>6.1263365352425174E-3</v>
      </c>
      <c r="D115">
        <f>B115*$P$3*$L$3</f>
        <v>7.891814796529846E-3</v>
      </c>
      <c r="E115">
        <f>B115*$P$3*$M$3</f>
        <v>1.0510107413682718E-2</v>
      </c>
      <c r="F115" s="4">
        <f t="shared" si="4"/>
        <v>7.1088821375237199</v>
      </c>
      <c r="G115" s="5">
        <f t="shared" si="5"/>
        <v>9.069748441415836</v>
      </c>
      <c r="H115" s="5">
        <f t="shared" si="6"/>
        <v>11.908024739852118</v>
      </c>
    </row>
    <row r="116" spans="1:8" x14ac:dyDescent="0.25">
      <c r="A116">
        <v>113</v>
      </c>
      <c r="B116">
        <v>1.5493831</v>
      </c>
      <c r="C116" s="4">
        <f>B116*$P$3*$K$3</f>
        <v>6.1272275120180207E-3</v>
      </c>
      <c r="D116">
        <f>B116*$P$3*$L$3</f>
        <v>7.8929625336252255E-3</v>
      </c>
      <c r="E116">
        <f>B116*$P$3*$M$3</f>
        <v>1.0511635939182381E-2</v>
      </c>
      <c r="F116" s="4">
        <f t="shared" si="4"/>
        <v>7.1098814205147409</v>
      </c>
      <c r="G116" s="5">
        <f t="shared" si="5"/>
        <v>9.0710107637349111</v>
      </c>
      <c r="H116" s="5">
        <f t="shared" si="6"/>
        <v>11.909657698662423</v>
      </c>
    </row>
    <row r="117" spans="1:8" x14ac:dyDescent="0.25">
      <c r="A117">
        <v>114</v>
      </c>
      <c r="B117">
        <v>1.5496008999999999</v>
      </c>
      <c r="C117" s="4">
        <f>B117*$P$3*$K$3</f>
        <v>6.1280888291139141E-3</v>
      </c>
      <c r="D117">
        <f>B117*$P$3*$L$3</f>
        <v>7.8940720637600426E-3</v>
      </c>
      <c r="E117">
        <f>B117*$P$3*$M$3</f>
        <v>1.0513113581676064E-2</v>
      </c>
      <c r="F117" s="4">
        <f t="shared" si="4"/>
        <v>7.1108474290586638</v>
      </c>
      <c r="G117" s="5">
        <f t="shared" si="5"/>
        <v>9.0722310494014362</v>
      </c>
      <c r="H117" s="5">
        <f t="shared" si="6"/>
        <v>11.911236271614245</v>
      </c>
    </row>
    <row r="118" spans="1:8" x14ac:dyDescent="0.25">
      <c r="A118">
        <v>115</v>
      </c>
      <c r="B118">
        <v>1.5498139</v>
      </c>
      <c r="C118" s="4">
        <f>B118*$P$3*$K$3</f>
        <v>6.1289311640148562E-3</v>
      </c>
      <c r="D118">
        <f>B118*$P$3*$L$3</f>
        <v>7.8951571414400956E-3</v>
      </c>
      <c r="E118">
        <f>B118*$P$3*$M$3</f>
        <v>1.0514558659045921E-2</v>
      </c>
      <c r="F118" s="4">
        <f t="shared" si="4"/>
        <v>7.1117921392515164</v>
      </c>
      <c r="G118" s="5">
        <f t="shared" si="5"/>
        <v>9.0734244272008269</v>
      </c>
      <c r="H118" s="5">
        <f t="shared" si="6"/>
        <v>11.912780029999869</v>
      </c>
    </row>
    <row r="119" spans="1:8" x14ac:dyDescent="0.25">
      <c r="A119">
        <v>116</v>
      </c>
      <c r="B119">
        <v>1.5500244000000001</v>
      </c>
      <c r="C119" s="4">
        <f>B119*$P$3*$K$3</f>
        <v>6.129763612355928E-3</v>
      </c>
      <c r="D119">
        <f>B119*$P$3*$L$3</f>
        <v>7.8962294834666272E-3</v>
      </c>
      <c r="E119">
        <f>B119*$P$3*$M$3</f>
        <v>1.0515986775413782E-2</v>
      </c>
      <c r="F119" s="4">
        <f t="shared" si="4"/>
        <v>7.1127257526437333</v>
      </c>
      <c r="G119" s="5">
        <f t="shared" si="5"/>
        <v>9.0746037841130107</v>
      </c>
      <c r="H119" s="5">
        <f t="shared" si="6"/>
        <v>11.914305644790524</v>
      </c>
    </row>
    <row r="120" spans="1:8" x14ac:dyDescent="0.25">
      <c r="A120">
        <v>117</v>
      </c>
      <c r="B120">
        <v>1.5502349</v>
      </c>
      <c r="C120" s="4">
        <f>B120*$P$3*$K$3</f>
        <v>6.1305960606969998E-3</v>
      </c>
      <c r="D120">
        <f>B120*$P$3*$L$3</f>
        <v>7.8973018254931589E-3</v>
      </c>
      <c r="E120">
        <f>B120*$P$3*$M$3</f>
        <v>1.0517414891781643E-2</v>
      </c>
      <c r="F120" s="4">
        <f t="shared" si="4"/>
        <v>7.1136593574341429</v>
      </c>
      <c r="G120" s="5">
        <f t="shared" si="5"/>
        <v>9.0757831270032341</v>
      </c>
      <c r="H120" s="5">
        <f t="shared" si="6"/>
        <v>11.915831235360342</v>
      </c>
    </row>
    <row r="121" spans="1:8" x14ac:dyDescent="0.25">
      <c r="A121">
        <v>118</v>
      </c>
      <c r="B121">
        <v>1.5504479</v>
      </c>
      <c r="C121" s="4">
        <f>B121*$P$3*$K$3</f>
        <v>6.1314383955979419E-3</v>
      </c>
      <c r="D121">
        <f>B121*$P$3*$L$3</f>
        <v>7.8983869031732119E-3</v>
      </c>
      <c r="E121">
        <f>B121*$P$3*$M$3</f>
        <v>1.0518859969151499E-2</v>
      </c>
      <c r="F121" s="4">
        <f t="shared" si="4"/>
        <v>7.114604041411976</v>
      </c>
      <c r="G121" s="5">
        <f t="shared" si="5"/>
        <v>9.0769764620683304</v>
      </c>
      <c r="H121" s="5">
        <f t="shared" si="6"/>
        <v>11.917374919929358</v>
      </c>
    </row>
    <row r="122" spans="1:8" x14ac:dyDescent="0.25">
      <c r="A122">
        <v>119</v>
      </c>
      <c r="B122">
        <v>1.5506659</v>
      </c>
      <c r="C122" s="4">
        <f>B122*$P$3*$K$3</f>
        <v>6.1323005036186245E-3</v>
      </c>
      <c r="D122">
        <f>B122*$P$3*$L$3</f>
        <v>7.8994974521603093E-3</v>
      </c>
      <c r="E122">
        <f>B122*$P$3*$M$3</f>
        <v>1.052033896852534E-2</v>
      </c>
      <c r="F122" s="4">
        <f t="shared" si="4"/>
        <v>7.1155708919502842</v>
      </c>
      <c r="G122" s="5">
        <f t="shared" si="5"/>
        <v>9.0781977948274353</v>
      </c>
      <c r="H122" s="5">
        <f t="shared" si="6"/>
        <v>11.918954815546556</v>
      </c>
    </row>
    <row r="123" spans="1:8" x14ac:dyDescent="0.25">
      <c r="A123">
        <v>120</v>
      </c>
      <c r="B123">
        <v>1.5508913</v>
      </c>
      <c r="C123" s="4">
        <f>B123*$P$3*$K$3</f>
        <v>6.1331918758565224E-3</v>
      </c>
      <c r="D123">
        <f>B123*$P$3*$L$3</f>
        <v>7.9006456986818307E-3</v>
      </c>
      <c r="E123">
        <f>B123*$P$3*$M$3</f>
        <v>1.0521868172465082E-2</v>
      </c>
      <c r="F123" s="4">
        <f t="shared" si="4"/>
        <v>7.116570552485479</v>
      </c>
      <c r="G123" s="5">
        <f t="shared" si="5"/>
        <v>9.0794605698580337</v>
      </c>
      <c r="H123" s="5">
        <f t="shared" si="6"/>
        <v>11.920588313333912</v>
      </c>
    </row>
    <row r="124" spans="1:8" x14ac:dyDescent="0.25">
      <c r="A124">
        <v>121</v>
      </c>
      <c r="B124">
        <v>1.5511265999999999</v>
      </c>
      <c r="C124" s="4">
        <f>B124*$P$3*$K$3</f>
        <v>6.1341223988715067E-3</v>
      </c>
      <c r="D124">
        <f>B124*$P$3*$L$3</f>
        <v>7.9018443783912973E-3</v>
      </c>
      <c r="E124">
        <f>B124*$P$3*$M$3</f>
        <v>1.052346454197272E-2</v>
      </c>
      <c r="F124" s="4">
        <f t="shared" si="4"/>
        <v>7.1176141095058432</v>
      </c>
      <c r="G124" s="5">
        <f t="shared" si="5"/>
        <v>9.0807787912367424</v>
      </c>
      <c r="H124" s="5">
        <f t="shared" si="6"/>
        <v>11.922293527849215</v>
      </c>
    </row>
    <row r="125" spans="1:8" x14ac:dyDescent="0.25">
      <c r="A125">
        <v>122</v>
      </c>
      <c r="B125">
        <v>1.5513741999999999</v>
      </c>
      <c r="C125" s="4">
        <f>B125*$P$3*$K$3</f>
        <v>6.135101563761053E-3</v>
      </c>
      <c r="D125">
        <f>B125*$P$3*$L$3</f>
        <v>7.9031057175160922E-3</v>
      </c>
      <c r="E125">
        <f>B125*$P$3*$M$3</f>
        <v>1.0525144359610168E-2</v>
      </c>
      <c r="F125" s="4">
        <f t="shared" si="4"/>
        <v>7.118712205500966</v>
      </c>
      <c r="G125" s="5">
        <f t="shared" si="5"/>
        <v>9.0821659019980743</v>
      </c>
      <c r="H125" s="5">
        <f t="shared" si="6"/>
        <v>11.924087847548758</v>
      </c>
    </row>
    <row r="126" spans="1:8" x14ac:dyDescent="0.25">
      <c r="A126">
        <v>123</v>
      </c>
      <c r="B126">
        <v>1.5516365000000001</v>
      </c>
      <c r="C126" s="4">
        <f>B126*$P$3*$K$3</f>
        <v>6.1361388616226363E-3</v>
      </c>
      <c r="D126">
        <f>B126*$P$3*$L$3</f>
        <v>7.9044419422835965E-3</v>
      </c>
      <c r="E126">
        <f>B126*$P$3*$M$3</f>
        <v>1.0526923907939337E-2</v>
      </c>
      <c r="F126" s="4">
        <f t="shared" si="4"/>
        <v>7.1198754824208894</v>
      </c>
      <c r="G126" s="5">
        <f t="shared" si="5"/>
        <v>9.0836353442973579</v>
      </c>
      <c r="H126" s="5">
        <f t="shared" si="6"/>
        <v>11.92598865937099</v>
      </c>
    </row>
    <row r="127" spans="1:8" x14ac:dyDescent="0.25">
      <c r="A127">
        <v>124</v>
      </c>
      <c r="B127">
        <v>1.5519162</v>
      </c>
      <c r="C127" s="4">
        <f>B127*$P$3*$K$3</f>
        <v>6.1372449699409149E-3</v>
      </c>
      <c r="D127">
        <f>B127*$P$3*$L$3</f>
        <v>7.9058668071996102E-3</v>
      </c>
      <c r="E127">
        <f>B127*$P$3*$M$3</f>
        <v>1.0528821504842382E-2</v>
      </c>
      <c r="F127" s="4">
        <f t="shared" si="4"/>
        <v>7.1211159120630585</v>
      </c>
      <c r="G127" s="5">
        <f t="shared" si="5"/>
        <v>9.0852022399128494</v>
      </c>
      <c r="H127" s="5">
        <f t="shared" si="6"/>
        <v>11.928015522504875</v>
      </c>
    </row>
    <row r="128" spans="1:8" x14ac:dyDescent="0.25">
      <c r="A128">
        <v>125</v>
      </c>
      <c r="B128">
        <v>1.5522156</v>
      </c>
      <c r="C128" s="4">
        <f>B128*$P$3*$K$3</f>
        <v>6.1384289843509719E-3</v>
      </c>
      <c r="D128">
        <f>B128*$P$3*$L$3</f>
        <v>7.907392029065376E-3</v>
      </c>
      <c r="E128">
        <f>B128*$P$3*$M$3</f>
        <v>1.0530852754441135E-2</v>
      </c>
      <c r="F128" s="4">
        <f t="shared" si="4"/>
        <v>7.1224436915703349</v>
      </c>
      <c r="G128" s="5">
        <f t="shared" si="5"/>
        <v>9.0868794686395642</v>
      </c>
      <c r="H128" s="5">
        <f t="shared" si="6"/>
        <v>11.930185095511037</v>
      </c>
    </row>
    <row r="129" spans="1:8" x14ac:dyDescent="0.25">
      <c r="A129">
        <v>126</v>
      </c>
      <c r="B129">
        <v>1.5525354</v>
      </c>
      <c r="C129" s="4">
        <f>B129*$P$3*$K$3</f>
        <v>6.1396936730895692E-3</v>
      </c>
      <c r="D129">
        <f>B129*$P$3*$L$3</f>
        <v>7.9090211738638786E-3</v>
      </c>
      <c r="E129">
        <f>B129*$P$3*$M$3</f>
        <v>1.0533022405816158E-2</v>
      </c>
      <c r="F129" s="4">
        <f t="shared" si="4"/>
        <v>7.1238619218052861</v>
      </c>
      <c r="G129" s="5">
        <f t="shared" si="5"/>
        <v>9.0886709461513995</v>
      </c>
      <c r="H129" s="5">
        <f t="shared" si="6"/>
        <v>11.932502441022219</v>
      </c>
    </row>
    <row r="130" spans="1:8" x14ac:dyDescent="0.25">
      <c r="A130">
        <v>127</v>
      </c>
      <c r="B130">
        <v>1.5528439999999999</v>
      </c>
      <c r="C130" s="4">
        <f>B130*$P$3*$K$3</f>
        <v>6.1409140700399477E-3</v>
      </c>
      <c r="D130">
        <f>B130*$P$3*$L$3</f>
        <v>7.9105932629346034E-3</v>
      </c>
      <c r="E130">
        <f>B130*$P$3*$M$3</f>
        <v>1.0535116071902247E-2</v>
      </c>
      <c r="F130" s="4">
        <f t="shared" si="4"/>
        <v>7.1252304641180046</v>
      </c>
      <c r="G130" s="5">
        <f t="shared" si="5"/>
        <v>9.0903996520575561</v>
      </c>
      <c r="H130" s="5">
        <f t="shared" si="6"/>
        <v>11.93473857572479</v>
      </c>
    </row>
    <row r="131" spans="1:8" x14ac:dyDescent="0.25">
      <c r="A131">
        <v>128</v>
      </c>
      <c r="B131">
        <v>1.5531309</v>
      </c>
      <c r="C131" s="4">
        <f>B131*$P$3*$K$3</f>
        <v>6.1420486516506534E-3</v>
      </c>
      <c r="D131">
        <f>B131*$P$3*$L$3</f>
        <v>7.9120548065327607E-3</v>
      </c>
      <c r="E131">
        <f>B131*$P$3*$M$3</f>
        <v>1.0537062516491034E-2</v>
      </c>
      <c r="F131" s="4">
        <f t="shared" si="4"/>
        <v>7.1265027572891659</v>
      </c>
      <c r="G131" s="5">
        <f t="shared" si="5"/>
        <v>9.0920067725479452</v>
      </c>
      <c r="H131" s="5">
        <f t="shared" si="6"/>
        <v>11.936817424198287</v>
      </c>
    </row>
    <row r="132" spans="1:8" x14ac:dyDescent="0.25">
      <c r="A132">
        <v>129</v>
      </c>
      <c r="B132">
        <v>1.5533992000000001</v>
      </c>
      <c r="C132" s="4">
        <f>B132*$P$3*$K$3</f>
        <v>6.1431096772559248E-3</v>
      </c>
      <c r="D132">
        <f>B132*$P$3*$L$3</f>
        <v>7.9134215968687145E-3</v>
      </c>
      <c r="E132">
        <f>B132*$P$3*$M$3</f>
        <v>1.0538882771224988E-2</v>
      </c>
      <c r="F132" s="4">
        <f t="shared" ref="F132:F183" si="7">100*(1-(1-C132)^12)</f>
        <v>7.1276925520265433</v>
      </c>
      <c r="G132" s="5">
        <f t="shared" ref="G132:G183" si="8">100*(1-(1-D132)^12)</f>
        <v>9.0935096783221425</v>
      </c>
      <c r="H132" s="5">
        <f t="shared" ref="H132:H183" si="9">100*(1-(1-E132)^12)</f>
        <v>11.938761458243585</v>
      </c>
    </row>
    <row r="133" spans="1:8" x14ac:dyDescent="0.25">
      <c r="A133">
        <v>130</v>
      </c>
      <c r="B133">
        <v>1.553652</v>
      </c>
      <c r="C133" s="4">
        <f>B133*$P$3*$K$3</f>
        <v>6.1441094061900009E-3</v>
      </c>
      <c r="D133">
        <f>B133*$P$3*$L$3</f>
        <v>7.9147094261528359E-3</v>
      </c>
      <c r="E133">
        <f>B133*$P$3*$M$3</f>
        <v>1.054059786774658E-2</v>
      </c>
      <c r="F133" s="4">
        <f t="shared" si="7"/>
        <v>7.1288135981670493</v>
      </c>
      <c r="G133" s="5">
        <f t="shared" si="8"/>
        <v>9.0949257386587323</v>
      </c>
      <c r="H133" s="5">
        <f t="shared" si="9"/>
        <v>11.940593147207345</v>
      </c>
    </row>
    <row r="134" spans="1:8" x14ac:dyDescent="0.25">
      <c r="A134">
        <v>131</v>
      </c>
      <c r="B134">
        <v>1.5538923</v>
      </c>
      <c r="C134" s="4">
        <f>B134*$P$3*$K$3</f>
        <v>6.1450597023247257E-3</v>
      </c>
      <c r="D134">
        <f>B134*$P$3*$L$3</f>
        <v>7.9159335771693453E-3</v>
      </c>
      <c r="E134">
        <f>B134*$P$3*$M$3</f>
        <v>1.0542228159258205E-2</v>
      </c>
      <c r="F134" s="4">
        <f t="shared" si="7"/>
        <v>7.1298792013334555</v>
      </c>
      <c r="G134" s="5">
        <f t="shared" si="8"/>
        <v>9.0962717614441644</v>
      </c>
      <c r="H134" s="5">
        <f t="shared" si="9"/>
        <v>11.942334233730723</v>
      </c>
    </row>
    <row r="135" spans="1:8" x14ac:dyDescent="0.25">
      <c r="A135">
        <v>132</v>
      </c>
      <c r="B135">
        <v>1.5541229999999999</v>
      </c>
      <c r="C135" s="4">
        <f>B135*$P$3*$K$3</f>
        <v>6.1459720340695488E-3</v>
      </c>
      <c r="D135">
        <f>B135*$P$3*$L$3</f>
        <v>7.9171088232763333E-3</v>
      </c>
      <c r="E135">
        <f>B135*$P$3*$M$3</f>
        <v>1.0543793320522174E-2</v>
      </c>
      <c r="F135" s="4">
        <f t="shared" si="7"/>
        <v>7.1309022230417689</v>
      </c>
      <c r="G135" s="5">
        <f t="shared" si="8"/>
        <v>9.09756399334597</v>
      </c>
      <c r="H135" s="5">
        <f t="shared" si="9"/>
        <v>11.94400573404889</v>
      </c>
    </row>
    <row r="136" spans="1:8" x14ac:dyDescent="0.25">
      <c r="A136">
        <v>133</v>
      </c>
      <c r="B136">
        <v>1.5543473999999999</v>
      </c>
      <c r="C136" s="4">
        <f>B136*$P$3*$K$3</f>
        <v>6.1468594516834989E-3</v>
      </c>
      <c r="D136">
        <f>B136*$P$3*$L$3</f>
        <v>7.9182519755364462E-3</v>
      </c>
      <c r="E136">
        <f>B136*$P$3*$M$3</f>
        <v>1.0545315740061121E-2</v>
      </c>
      <c r="F136" s="4">
        <f t="shared" si="7"/>
        <v>7.1318972979655832</v>
      </c>
      <c r="G136" s="5">
        <f t="shared" si="8"/>
        <v>9.0988209205748802</v>
      </c>
      <c r="H136" s="5">
        <f t="shared" si="9"/>
        <v>11.945631560810977</v>
      </c>
    </row>
    <row r="137" spans="1:8" x14ac:dyDescent="0.25">
      <c r="A137">
        <v>134</v>
      </c>
      <c r="B137">
        <v>1.5545682999999999</v>
      </c>
      <c r="C137" s="4">
        <f>B137*$P$3*$K$3</f>
        <v>6.1477330281136302E-3</v>
      </c>
      <c r="D137">
        <f>B137*$P$3*$L$3</f>
        <v>7.9193772978816274E-3</v>
      </c>
      <c r="E137">
        <f>B137*$P$3*$M$3</f>
        <v>1.0546814414197275E-2</v>
      </c>
      <c r="F137" s="4">
        <f t="shared" si="7"/>
        <v>7.1328768430125482</v>
      </c>
      <c r="G137" s="5">
        <f t="shared" si="8"/>
        <v>9.1000582277631636</v>
      </c>
      <c r="H137" s="5">
        <f t="shared" si="9"/>
        <v>11.947232002435914</v>
      </c>
    </row>
    <row r="138" spans="1:8" x14ac:dyDescent="0.25">
      <c r="A138">
        <v>135</v>
      </c>
      <c r="B138">
        <v>1.5547888999999999</v>
      </c>
      <c r="C138" s="4">
        <f>B138*$P$3*$K$3</f>
        <v>6.1486054181565785E-3</v>
      </c>
      <c r="D138">
        <f>B138*$P$3*$L$3</f>
        <v>7.9205010919483881E-3</v>
      </c>
      <c r="E138">
        <f>B138*$P$3*$M$3</f>
        <v>1.0548311053013191E-2</v>
      </c>
      <c r="F138" s="4">
        <f t="shared" si="7"/>
        <v>7.1338550483065699</v>
      </c>
      <c r="G138" s="5">
        <f t="shared" si="8"/>
        <v>9.1012938391818672</v>
      </c>
      <c r="H138" s="5">
        <f t="shared" si="9"/>
        <v>11.948830243921504</v>
      </c>
    </row>
    <row r="139" spans="1:8" x14ac:dyDescent="0.25">
      <c r="A139">
        <v>136</v>
      </c>
      <c r="B139">
        <v>1.5550122</v>
      </c>
      <c r="C139" s="4">
        <f>B139*$P$3*$K$3</f>
        <v>6.1494884856841854E-3</v>
      </c>
      <c r="D139">
        <f>B139*$P$3*$L$3</f>
        <v>7.9216386405209505E-3</v>
      </c>
      <c r="E139">
        <f>B139*$P$3*$M$3</f>
        <v>1.054982600971126E-2</v>
      </c>
      <c r="F139" s="4">
        <f t="shared" si="7"/>
        <v>7.1348452165757914</v>
      </c>
      <c r="G139" s="5">
        <f t="shared" si="8"/>
        <v>9.10254455799776</v>
      </c>
      <c r="H139" s="5">
        <f t="shared" si="9"/>
        <v>11.950448019757099</v>
      </c>
    </row>
    <row r="140" spans="1:8" x14ac:dyDescent="0.25">
      <c r="A140">
        <v>137</v>
      </c>
      <c r="B140">
        <v>1.5552412</v>
      </c>
      <c r="C140" s="4">
        <f>B140*$P$3*$K$3</f>
        <v>6.1503940945682968E-3</v>
      </c>
      <c r="D140">
        <f>B140*$P$3*$L$3</f>
        <v>7.9228052263835436E-3</v>
      </c>
      <c r="E140">
        <f>B140*$P$3*$M$3</f>
        <v>1.0551379637493873E-2</v>
      </c>
      <c r="F140" s="4">
        <f t="shared" si="7"/>
        <v>7.1358606500247284</v>
      </c>
      <c r="G140" s="5">
        <f t="shared" si="8"/>
        <v>9.1038271865253932</v>
      </c>
      <c r="H140" s="5">
        <f t="shared" si="9"/>
        <v>11.952107062960216</v>
      </c>
    </row>
    <row r="141" spans="1:8" x14ac:dyDescent="0.25">
      <c r="A141">
        <v>138</v>
      </c>
      <c r="B141">
        <v>1.5554789</v>
      </c>
      <c r="C141" s="4">
        <f>B141*$P$3*$K$3</f>
        <v>6.1513341086807567E-3</v>
      </c>
      <c r="D141">
        <f>B141*$P$3*$L$3</f>
        <v>7.9240161323203932E-3</v>
      </c>
      <c r="E141">
        <f>B141*$P$3*$M$3</f>
        <v>1.0552992289563426E-2</v>
      </c>
      <c r="F141" s="4">
        <f t="shared" si="7"/>
        <v>7.13691465031091</v>
      </c>
      <c r="G141" s="5">
        <f t="shared" si="8"/>
        <v>9.1051585261870081</v>
      </c>
      <c r="H141" s="5">
        <f t="shared" si="9"/>
        <v>11.95382910500693</v>
      </c>
    </row>
    <row r="142" spans="1:8" x14ac:dyDescent="0.25">
      <c r="A142">
        <v>139</v>
      </c>
      <c r="B142">
        <v>1.5557253</v>
      </c>
      <c r="C142" s="4">
        <f>B142*$P$3*$K$3</f>
        <v>6.1523085280215653E-3</v>
      </c>
      <c r="D142">
        <f>B142*$P$3*$L$3</f>
        <v>7.9252713583314958E-3</v>
      </c>
      <c r="E142">
        <f>B142*$P$3*$M$3</f>
        <v>1.0554663965919916E-2</v>
      </c>
      <c r="F142" s="4">
        <f t="shared" si="7"/>
        <v>7.1380072162303581</v>
      </c>
      <c r="G142" s="5">
        <f t="shared" si="8"/>
        <v>9.1065385750202736</v>
      </c>
      <c r="H142" s="5">
        <f t="shared" si="9"/>
        <v>11.955614142507764</v>
      </c>
    </row>
    <row r="143" spans="1:8" x14ac:dyDescent="0.25">
      <c r="A143">
        <v>140</v>
      </c>
      <c r="B143">
        <v>1.5559722</v>
      </c>
      <c r="C143" s="4">
        <f>B143*$P$3*$K$3</f>
        <v>6.1532849246743477E-3</v>
      </c>
      <c r="D143">
        <f>B143*$P$3*$L$3</f>
        <v>7.9265291314733061E-3</v>
      </c>
      <c r="E143">
        <f>B143*$P$3*$M$3</f>
        <v>1.0556339034476805E-2</v>
      </c>
      <c r="F143" s="4">
        <f t="shared" si="7"/>
        <v>7.1391019873883526</v>
      </c>
      <c r="G143" s="5">
        <f t="shared" si="8"/>
        <v>9.1079214050115542</v>
      </c>
      <c r="H143" s="5">
        <f t="shared" si="9"/>
        <v>11.957402768968961</v>
      </c>
    </row>
    <row r="144" spans="1:8" x14ac:dyDescent="0.25">
      <c r="A144">
        <v>141</v>
      </c>
      <c r="B144">
        <v>1.5562191999999999</v>
      </c>
      <c r="C144" s="4">
        <f>B144*$P$3*$K$3</f>
        <v>6.1542617167895238E-3</v>
      </c>
      <c r="D144">
        <f>B144*$P$3*$L$3</f>
        <v>7.9277874140412548E-3</v>
      </c>
      <c r="E144">
        <f>B144*$P$3*$M$3</f>
        <v>1.0558014781473772E-2</v>
      </c>
      <c r="F144" s="4">
        <f t="shared" si="7"/>
        <v>7.1401971901148382</v>
      </c>
      <c r="G144" s="5">
        <f t="shared" si="8"/>
        <v>9.1093047757833006</v>
      </c>
      <c r="H144" s="5">
        <f t="shared" si="9"/>
        <v>11.959192086535319</v>
      </c>
    </row>
    <row r="145" spans="1:8" x14ac:dyDescent="0.25">
      <c r="A145">
        <v>142</v>
      </c>
      <c r="B145">
        <v>1.5564661</v>
      </c>
      <c r="C145" s="4">
        <f>B145*$P$3*$K$3</f>
        <v>6.1552381134423063E-3</v>
      </c>
      <c r="D145">
        <f>B145*$P$3*$L$3</f>
        <v>7.9290451871830633E-3</v>
      </c>
      <c r="E145">
        <f>B145*$P$3*$M$3</f>
        <v>1.0559689850030661E-2</v>
      </c>
      <c r="F145" s="4">
        <f t="shared" si="7"/>
        <v>7.141291937606054</v>
      </c>
      <c r="G145" s="5">
        <f t="shared" si="8"/>
        <v>9.1106875671973615</v>
      </c>
      <c r="H145" s="5">
        <f t="shared" si="9"/>
        <v>11.96098064636727</v>
      </c>
    </row>
    <row r="146" spans="1:8" x14ac:dyDescent="0.25">
      <c r="A146">
        <v>143</v>
      </c>
      <c r="B146">
        <v>1.556713</v>
      </c>
      <c r="C146" s="4">
        <f>B146*$P$3*$K$3</f>
        <v>6.1562145100950887E-3</v>
      </c>
      <c r="D146">
        <f>B146*$P$3*$L$3</f>
        <v>7.9303029603248719E-3</v>
      </c>
      <c r="E146">
        <f>B146*$P$3*$M$3</f>
        <v>1.056136491858755E-2</v>
      </c>
      <c r="F146" s="4">
        <f t="shared" si="7"/>
        <v>7.1423866732665653</v>
      </c>
      <c r="G146" s="5">
        <f t="shared" si="8"/>
        <v>9.1120703393269729</v>
      </c>
      <c r="H146" s="5">
        <f t="shared" si="9"/>
        <v>11.962769172892262</v>
      </c>
    </row>
    <row r="147" spans="1:8" x14ac:dyDescent="0.25">
      <c r="A147">
        <v>144</v>
      </c>
      <c r="B147">
        <v>1.5569599999999999</v>
      </c>
      <c r="C147" s="4">
        <f>B147*$P$3*$K$3</f>
        <v>6.1571913022102649E-3</v>
      </c>
      <c r="D147">
        <f>B147*$P$3*$L$3</f>
        <v>7.9315612428928206E-3</v>
      </c>
      <c r="E147">
        <f>B147*$P$3*$M$3</f>
        <v>1.0563040665584516E-2</v>
      </c>
      <c r="F147" s="4">
        <f t="shared" si="7"/>
        <v>7.1434818404815914</v>
      </c>
      <c r="G147" s="5">
        <f t="shared" si="8"/>
        <v>9.1134536522143765</v>
      </c>
      <c r="H147" s="5">
        <f t="shared" si="9"/>
        <v>11.964558390483859</v>
      </c>
    </row>
    <row r="148" spans="1:8" x14ac:dyDescent="0.25">
      <c r="A148">
        <v>145</v>
      </c>
      <c r="B148">
        <v>1.5572068999999999</v>
      </c>
      <c r="C148" s="4">
        <f>B148*$P$3*$K$3</f>
        <v>6.1581676988630473E-3</v>
      </c>
      <c r="D148">
        <f>B148*$P$3*$L$3</f>
        <v>7.9328190160346292E-3</v>
      </c>
      <c r="E148">
        <f>B148*$P$3*$M$3</f>
        <v>1.0564715734141404E-2</v>
      </c>
      <c r="F148" s="4">
        <f t="shared" si="7"/>
        <v>7.1445765524761669</v>
      </c>
      <c r="G148" s="5">
        <f t="shared" si="8"/>
        <v>9.1148363857681325</v>
      </c>
      <c r="H148" s="5">
        <f t="shared" si="9"/>
        <v>11.966346850383125</v>
      </c>
    </row>
    <row r="149" spans="1:8" x14ac:dyDescent="0.25">
      <c r="A149">
        <v>146</v>
      </c>
      <c r="B149">
        <v>1.5574539000000001</v>
      </c>
      <c r="C149" s="4">
        <f>B149*$P$3*$K$3</f>
        <v>6.1591444909782252E-3</v>
      </c>
      <c r="D149">
        <f>B149*$P$3*$L$3</f>
        <v>7.9340772986025796E-3</v>
      </c>
      <c r="E149">
        <f>B149*$P$3*$M$3</f>
        <v>1.0566391481138374E-2</v>
      </c>
      <c r="F149" s="4">
        <f t="shared" si="7"/>
        <v>7.1456716960159872</v>
      </c>
      <c r="G149" s="5">
        <f t="shared" si="8"/>
        <v>9.1162196600645053</v>
      </c>
      <c r="H149" s="5">
        <f t="shared" si="9"/>
        <v>11.968136001323003</v>
      </c>
    </row>
    <row r="150" spans="1:8" x14ac:dyDescent="0.25">
      <c r="A150">
        <v>147</v>
      </c>
      <c r="B150">
        <v>1.5577008000000001</v>
      </c>
      <c r="C150" s="4">
        <f>B150*$P$3*$K$3</f>
        <v>6.1601208876310076E-3</v>
      </c>
      <c r="D150">
        <f>B150*$P$3*$L$3</f>
        <v>7.9353350717443882E-3</v>
      </c>
      <c r="E150">
        <f>B150*$P$3*$M$3</f>
        <v>1.0568066549695262E-2</v>
      </c>
      <c r="F150" s="4">
        <f t="shared" si="7"/>
        <v>7.1467663843450495</v>
      </c>
      <c r="G150" s="5">
        <f t="shared" si="8"/>
        <v>9.1176023550433634</v>
      </c>
      <c r="H150" s="5">
        <f t="shared" si="9"/>
        <v>11.969924394598797</v>
      </c>
    </row>
    <row r="151" spans="1:8" x14ac:dyDescent="0.25">
      <c r="A151">
        <v>148</v>
      </c>
      <c r="B151">
        <v>1.5579476999999999</v>
      </c>
      <c r="C151" s="4">
        <f>B151*$P$3*$K$3</f>
        <v>6.1610972842837891E-3</v>
      </c>
      <c r="D151">
        <f>B151*$P$3*$L$3</f>
        <v>7.9365928448861967E-3</v>
      </c>
      <c r="E151">
        <f>B151*$P$3*$M$3</f>
        <v>1.056974161825215E-2</v>
      </c>
      <c r="F151" s="4">
        <f t="shared" si="7"/>
        <v>7.1478610608441411</v>
      </c>
      <c r="G151" s="5">
        <f t="shared" si="8"/>
        <v>9.1189850307392248</v>
      </c>
      <c r="H151" s="5">
        <f t="shared" si="9"/>
        <v>11.971712754570586</v>
      </c>
    </row>
    <row r="152" spans="1:8" x14ac:dyDescent="0.25">
      <c r="A152">
        <v>149</v>
      </c>
      <c r="B152">
        <v>1.5581947</v>
      </c>
      <c r="C152" s="4">
        <f>B152*$P$3*$K$3</f>
        <v>6.1620740763989662E-3</v>
      </c>
      <c r="D152">
        <f>B152*$P$3*$L$3</f>
        <v>7.9378511274541472E-3</v>
      </c>
      <c r="E152">
        <f>B152*$P$3*$M$3</f>
        <v>1.0571417365249119E-2</v>
      </c>
      <c r="F152" s="4">
        <f t="shared" si="7"/>
        <v>7.1489561688742098</v>
      </c>
      <c r="G152" s="5">
        <f t="shared" si="8"/>
        <v>9.1203682471547527</v>
      </c>
      <c r="H152" s="5">
        <f t="shared" si="9"/>
        <v>11.973501805544039</v>
      </c>
    </row>
    <row r="153" spans="1:8" x14ac:dyDescent="0.25">
      <c r="A153">
        <v>150</v>
      </c>
      <c r="B153">
        <v>1.5584416000000001</v>
      </c>
      <c r="C153" s="4">
        <f>B153*$P$3*$K$3</f>
        <v>6.1630504730517486E-3</v>
      </c>
      <c r="D153">
        <f>B153*$P$3*$L$3</f>
        <v>7.9391089005959557E-3</v>
      </c>
      <c r="E153">
        <f>B153*$P$3*$M$3</f>
        <v>1.0573092433806008E-2</v>
      </c>
      <c r="F153" s="4">
        <f t="shared" si="7"/>
        <v>7.1500508217084091</v>
      </c>
      <c r="G153" s="5">
        <f t="shared" si="8"/>
        <v>9.1217508842770574</v>
      </c>
      <c r="H153" s="5">
        <f t="shared" si="9"/>
        <v>11.975290098895563</v>
      </c>
    </row>
    <row r="154" spans="1:8" x14ac:dyDescent="0.25">
      <c r="A154">
        <v>151</v>
      </c>
      <c r="B154">
        <v>1.5586886</v>
      </c>
      <c r="C154" s="4">
        <f>B154*$P$3*$K$3</f>
        <v>6.1640272651669248E-3</v>
      </c>
      <c r="D154">
        <f>B154*$P$3*$L$3</f>
        <v>7.9403671831639027E-3</v>
      </c>
      <c r="E154">
        <f>B154*$P$3*$M$3</f>
        <v>1.0574768180802973E-2</v>
      </c>
      <c r="F154" s="4">
        <f t="shared" si="7"/>
        <v>7.1511459060643601</v>
      </c>
      <c r="G154" s="5">
        <f t="shared" si="8"/>
        <v>9.1231340621041657</v>
      </c>
      <c r="H154" s="5">
        <f t="shared" si="9"/>
        <v>11.97707908322313</v>
      </c>
    </row>
    <row r="155" spans="1:8" x14ac:dyDescent="0.25">
      <c r="A155">
        <v>152</v>
      </c>
      <c r="B155">
        <v>1.5589355</v>
      </c>
      <c r="C155" s="4">
        <f>B155*$P$3*$K$3</f>
        <v>6.1650036618197072E-3</v>
      </c>
      <c r="D155">
        <f>B155*$P$3*$L$3</f>
        <v>7.941624956305713E-3</v>
      </c>
      <c r="E155">
        <f>B155*$P$3*$M$3</f>
        <v>1.0576443249359862E-2</v>
      </c>
      <c r="F155" s="4">
        <f t="shared" si="7"/>
        <v>7.1522405352342888</v>
      </c>
      <c r="G155" s="5">
        <f t="shared" si="8"/>
        <v>9.1245166606539811</v>
      </c>
      <c r="H155" s="5">
        <f t="shared" si="9"/>
        <v>11.97886730995693</v>
      </c>
    </row>
    <row r="156" spans="1:8" x14ac:dyDescent="0.25">
      <c r="A156">
        <v>153</v>
      </c>
      <c r="B156">
        <v>1.5591824000000001</v>
      </c>
      <c r="C156" s="4">
        <f>B156*$P$3*$K$3</f>
        <v>6.1659800584724896E-3</v>
      </c>
      <c r="D156">
        <f>B156*$P$3*$L$3</f>
        <v>7.9428827294475216E-3</v>
      </c>
      <c r="E156">
        <f>B156*$P$3*$M$3</f>
        <v>1.0578118317916751E-2</v>
      </c>
      <c r="F156" s="4">
        <f t="shared" si="7"/>
        <v>7.1533351525745363</v>
      </c>
      <c r="G156" s="5">
        <f t="shared" si="8"/>
        <v>9.1258992399220631</v>
      </c>
      <c r="H156" s="5">
        <f t="shared" si="9"/>
        <v>11.980655503389336</v>
      </c>
    </row>
    <row r="157" spans="1:8" x14ac:dyDescent="0.25">
      <c r="A157">
        <v>154</v>
      </c>
      <c r="B157">
        <v>1.5594294</v>
      </c>
      <c r="C157" s="4">
        <f>B157*$P$3*$K$3</f>
        <v>6.1669568505876666E-3</v>
      </c>
      <c r="D157">
        <f>B157*$P$3*$L$3</f>
        <v>7.9441410120154703E-3</v>
      </c>
      <c r="E157">
        <f>B157*$P$3*$M$3</f>
        <v>1.0579794064913719E-2</v>
      </c>
      <c r="F157" s="4">
        <f t="shared" si="7"/>
        <v>7.1544302014226453</v>
      </c>
      <c r="G157" s="5">
        <f t="shared" si="8"/>
        <v>9.1272823598719803</v>
      </c>
      <c r="H157" s="5">
        <f t="shared" si="9"/>
        <v>11.982444387758894</v>
      </c>
    </row>
    <row r="158" spans="1:8" x14ac:dyDescent="0.25">
      <c r="A158">
        <v>155</v>
      </c>
      <c r="B158">
        <v>1.5596763</v>
      </c>
      <c r="C158" s="4">
        <f>B158*$P$3*$K$3</f>
        <v>6.167933247240449E-3</v>
      </c>
      <c r="D158">
        <f>B158*$P$3*$L$3</f>
        <v>7.9453987851572788E-3</v>
      </c>
      <c r="E158">
        <f>B158*$P$3*$M$3</f>
        <v>1.0581469133470607E-2</v>
      </c>
      <c r="F158" s="4">
        <f t="shared" si="7"/>
        <v>7.1555247950993657</v>
      </c>
      <c r="G158" s="5">
        <f t="shared" si="8"/>
        <v>9.1286649005690172</v>
      </c>
      <c r="H158" s="5">
        <f t="shared" si="9"/>
        <v>11.984232514576876</v>
      </c>
    </row>
    <row r="159" spans="1:8" x14ac:dyDescent="0.25">
      <c r="A159">
        <v>156</v>
      </c>
      <c r="B159">
        <v>1.5599232999999999</v>
      </c>
      <c r="C159" s="4">
        <f>B159*$P$3*$K$3</f>
        <v>6.1689100393556252E-3</v>
      </c>
      <c r="D159">
        <f>B159*$P$3*$L$3</f>
        <v>7.9466570677252275E-3</v>
      </c>
      <c r="E159">
        <f>B159*$P$3*$M$3</f>
        <v>1.0583144880467573E-2</v>
      </c>
      <c r="F159" s="4">
        <f t="shared" si="7"/>
        <v>7.1566198202744458</v>
      </c>
      <c r="G159" s="5">
        <f t="shared" si="8"/>
        <v>9.1300479819328437</v>
      </c>
      <c r="H159" s="5">
        <f t="shared" si="9"/>
        <v>11.986021332306052</v>
      </c>
    </row>
    <row r="160" spans="1:8" x14ac:dyDescent="0.25">
      <c r="A160">
        <v>157</v>
      </c>
      <c r="B160">
        <v>1.5601702</v>
      </c>
      <c r="C160" s="4">
        <f>B160*$P$3*$K$3</f>
        <v>6.1698864360084076E-3</v>
      </c>
      <c r="D160">
        <f>B160*$P$3*$L$3</f>
        <v>7.9479148408670361E-3</v>
      </c>
      <c r="E160">
        <f>B160*$P$3*$M$3</f>
        <v>1.0584819949024462E-2</v>
      </c>
      <c r="F160" s="4">
        <f t="shared" si="7"/>
        <v>7.157714390288028</v>
      </c>
      <c r="G160" s="5">
        <f t="shared" si="8"/>
        <v>9.1314304840597771</v>
      </c>
      <c r="H160" s="5">
        <f t="shared" si="9"/>
        <v>11.987809392511938</v>
      </c>
    </row>
    <row r="161" spans="1:8" x14ac:dyDescent="0.25">
      <c r="A161">
        <v>158</v>
      </c>
      <c r="B161">
        <v>1.5604171</v>
      </c>
      <c r="C161" s="4">
        <f>B161*$P$3*$K$3</f>
        <v>6.17086283266119E-3</v>
      </c>
      <c r="D161">
        <f>B161*$P$3*$L$3</f>
        <v>7.9491726140088446E-3</v>
      </c>
      <c r="E161">
        <f>B161*$P$3*$M$3</f>
        <v>1.0586495017581351E-2</v>
      </c>
      <c r="F161" s="4">
        <f t="shared" si="7"/>
        <v>7.1588089484726609</v>
      </c>
      <c r="G161" s="5">
        <f t="shared" si="8"/>
        <v>9.1328129669061227</v>
      </c>
      <c r="H161" s="5">
        <f t="shared" si="9"/>
        <v>11.989597419419173</v>
      </c>
    </row>
    <row r="162" spans="1:8" x14ac:dyDescent="0.25">
      <c r="A162">
        <v>159</v>
      </c>
      <c r="B162">
        <v>1.5606641000000001</v>
      </c>
      <c r="C162" s="4">
        <f>B162*$P$3*$K$3</f>
        <v>6.1718396247763671E-3</v>
      </c>
      <c r="D162">
        <f>B162*$P$3*$L$3</f>
        <v>7.9504308965767951E-3</v>
      </c>
      <c r="E162">
        <f>B162*$P$3*$M$3</f>
        <v>1.058817076457832E-2</v>
      </c>
      <c r="F162" s="4">
        <f t="shared" si="7"/>
        <v>7.1599039381416425</v>
      </c>
      <c r="G162" s="5">
        <f t="shared" si="8"/>
        <v>9.1341959903965648</v>
      </c>
      <c r="H162" s="5">
        <f t="shared" si="9"/>
        <v>11.991386137198978</v>
      </c>
    </row>
    <row r="163" spans="1:8" x14ac:dyDescent="0.25">
      <c r="A163">
        <v>160</v>
      </c>
      <c r="B163">
        <v>1.5609109999999999</v>
      </c>
      <c r="C163" s="4">
        <f>B163*$P$3*$K$3</f>
        <v>6.1728160214291486E-3</v>
      </c>
      <c r="D163">
        <f>B163*$P$3*$L$3</f>
        <v>7.9516886697186036E-3</v>
      </c>
      <c r="E163">
        <f>B163*$P$3*$M$3</f>
        <v>1.0589845833135207E-2</v>
      </c>
      <c r="F163" s="4">
        <f t="shared" si="7"/>
        <v>7.1609984726637377</v>
      </c>
      <c r="G163" s="5">
        <f t="shared" si="8"/>
        <v>9.135578434674386</v>
      </c>
      <c r="H163" s="5">
        <f t="shared" si="9"/>
        <v>11.993174097497338</v>
      </c>
    </row>
    <row r="164" spans="1:8" x14ac:dyDescent="0.25">
      <c r="A164">
        <v>161</v>
      </c>
      <c r="B164">
        <v>1.5611579</v>
      </c>
      <c r="C164" s="4">
        <f>B164*$P$3*$K$3</f>
        <v>6.173792418081931E-3</v>
      </c>
      <c r="D164">
        <f>B164*$P$3*$L$3</f>
        <v>7.9529464428604122E-3</v>
      </c>
      <c r="E164">
        <f>B164*$P$3*$M$3</f>
        <v>1.0591520901692096E-2</v>
      </c>
      <c r="F164" s="4">
        <f t="shared" si="7"/>
        <v>7.1620929953572503</v>
      </c>
      <c r="G164" s="5">
        <f t="shared" si="8"/>
        <v>9.136960859672083</v>
      </c>
      <c r="H164" s="5">
        <f t="shared" si="9"/>
        <v>11.994962024499046</v>
      </c>
    </row>
    <row r="165" spans="1:8" x14ac:dyDescent="0.25">
      <c r="A165">
        <v>162</v>
      </c>
      <c r="B165">
        <v>1.5614049000000001</v>
      </c>
      <c r="C165" s="4">
        <f>B165*$P$3*$K$3</f>
        <v>6.1747692101971089E-3</v>
      </c>
      <c r="D165">
        <f>B165*$P$3*$L$3</f>
        <v>7.9542047254283627E-3</v>
      </c>
      <c r="E165">
        <f>B165*$P$3*$M$3</f>
        <v>1.0593196648689065E-2</v>
      </c>
      <c r="F165" s="4">
        <f t="shared" si="7"/>
        <v>7.1631879495210775</v>
      </c>
      <c r="G165" s="5">
        <f t="shared" si="8"/>
        <v>9.1383438252914289</v>
      </c>
      <c r="H165" s="5">
        <f t="shared" si="9"/>
        <v>11.996750642334463</v>
      </c>
    </row>
    <row r="166" spans="1:8" x14ac:dyDescent="0.25">
      <c r="A166">
        <v>163</v>
      </c>
      <c r="B166">
        <v>1.5616517999999999</v>
      </c>
      <c r="C166" s="4">
        <f>B166*$P$3*$K$3</f>
        <v>6.1757456068498896E-3</v>
      </c>
      <c r="D166">
        <f>B166*$P$3*$L$3</f>
        <v>7.9554624985701695E-3</v>
      </c>
      <c r="E166">
        <f>B166*$P$3*$M$3</f>
        <v>1.0594871717245952E-2</v>
      </c>
      <c r="F166" s="4">
        <f t="shared" si="7"/>
        <v>7.1642824485527612</v>
      </c>
      <c r="G166" s="5">
        <f t="shared" si="8"/>
        <v>9.1397262117220883</v>
      </c>
      <c r="H166" s="5">
        <f t="shared" si="9"/>
        <v>11.998538502730627</v>
      </c>
    </row>
    <row r="167" spans="1:8" x14ac:dyDescent="0.25">
      <c r="A167">
        <v>164</v>
      </c>
      <c r="B167">
        <v>1.5618988</v>
      </c>
      <c r="C167" s="4">
        <f>B167*$P$3*$K$3</f>
        <v>6.1767223989650675E-3</v>
      </c>
      <c r="D167">
        <f>B167*$P$3*$L$3</f>
        <v>7.9567207811381199E-3</v>
      </c>
      <c r="E167">
        <f>B167*$P$3*$M$3</f>
        <v>1.0596547464242921E-2</v>
      </c>
      <c r="F167" s="4">
        <f t="shared" si="7"/>
        <v>7.1653773790455233</v>
      </c>
      <c r="G167" s="5">
        <f t="shared" si="8"/>
        <v>9.141109138759095</v>
      </c>
      <c r="H167" s="5">
        <f t="shared" si="9"/>
        <v>12.000327053934711</v>
      </c>
    </row>
    <row r="168" spans="1:8" x14ac:dyDescent="0.25">
      <c r="A168">
        <v>165</v>
      </c>
      <c r="B168">
        <v>1.5621457000000001</v>
      </c>
      <c r="C168" s="4">
        <f>B168*$P$3*$K$3</f>
        <v>6.1776987956178499E-3</v>
      </c>
      <c r="D168">
        <f>B168*$P$3*$L$3</f>
        <v>7.9579785542799285E-3</v>
      </c>
      <c r="E168">
        <f>B168*$P$3*$M$3</f>
        <v>1.0598222532799809E-2</v>
      </c>
      <c r="F168" s="4">
        <f t="shared" si="7"/>
        <v>7.1664718544159562</v>
      </c>
      <c r="G168" s="5">
        <f t="shared" si="8"/>
        <v>9.1424914866237934</v>
      </c>
      <c r="H168" s="5">
        <f t="shared" si="9"/>
        <v>12.002114847727841</v>
      </c>
    </row>
    <row r="169" spans="1:8" x14ac:dyDescent="0.25">
      <c r="A169">
        <v>166</v>
      </c>
      <c r="B169">
        <v>1.5623925999999999</v>
      </c>
      <c r="C169" s="4">
        <f>B169*$P$3*$K$3</f>
        <v>6.1786751922706315E-3</v>
      </c>
      <c r="D169">
        <f>B169*$P$3*$L$3</f>
        <v>7.959236327421737E-3</v>
      </c>
      <c r="E169">
        <f>B169*$P$3*$M$3</f>
        <v>1.0599897601356698E-2</v>
      </c>
      <c r="F169" s="4">
        <f t="shared" si="7"/>
        <v>7.1675663179584177</v>
      </c>
      <c r="G169" s="5">
        <f t="shared" si="8"/>
        <v>9.1438738152096235</v>
      </c>
      <c r="H169" s="5">
        <f t="shared" si="9"/>
        <v>12.003902608226868</v>
      </c>
    </row>
    <row r="170" spans="1:8" x14ac:dyDescent="0.25">
      <c r="A170">
        <v>167</v>
      </c>
      <c r="B170">
        <v>1.5626396</v>
      </c>
      <c r="C170" s="4">
        <f>B170*$P$3*$K$3</f>
        <v>6.1796519843858085E-3</v>
      </c>
      <c r="D170">
        <f>B170*$P$3*$L$3</f>
        <v>7.9604946099896857E-3</v>
      </c>
      <c r="E170">
        <f>B170*$P$3*$M$3</f>
        <v>1.0601573348353667E-2</v>
      </c>
      <c r="F170" s="4">
        <f t="shared" si="7"/>
        <v>7.1686612129478577</v>
      </c>
      <c r="G170" s="5">
        <f t="shared" si="8"/>
        <v>9.145256684379266</v>
      </c>
      <c r="H170" s="5">
        <f t="shared" si="9"/>
        <v>12.005691059494994</v>
      </c>
    </row>
    <row r="171" spans="1:8" x14ac:dyDescent="0.25">
      <c r="A171">
        <v>168</v>
      </c>
      <c r="B171">
        <v>1.5628865000000001</v>
      </c>
      <c r="C171" s="4">
        <f>B171*$P$3*$K$3</f>
        <v>6.1806283810385909E-3</v>
      </c>
      <c r="D171">
        <f>B171*$P$3*$L$3</f>
        <v>7.9617523831314943E-3</v>
      </c>
      <c r="E171">
        <f>B171*$P$3*$M$3</f>
        <v>1.0603248416910554E-2</v>
      </c>
      <c r="F171" s="4">
        <f t="shared" si="7"/>
        <v>7.1697556528296236</v>
      </c>
      <c r="G171" s="5">
        <f t="shared" si="8"/>
        <v>9.1466389744004672</v>
      </c>
      <c r="H171" s="5">
        <f t="shared" si="9"/>
        <v>12.007478753394174</v>
      </c>
    </row>
    <row r="172" spans="1:8" x14ac:dyDescent="0.25">
      <c r="A172">
        <v>169</v>
      </c>
      <c r="B172">
        <v>1.5631335</v>
      </c>
      <c r="C172" s="4">
        <f>B172*$P$3*$K$3</f>
        <v>6.1816051731537671E-3</v>
      </c>
      <c r="D172">
        <f>B172*$P$3*$L$3</f>
        <v>7.963010665699443E-3</v>
      </c>
      <c r="E172">
        <f>B172*$P$3*$M$3</f>
        <v>1.0604924163907521E-2</v>
      </c>
      <c r="F172" s="4">
        <f t="shared" si="7"/>
        <v>7.1708505241490972</v>
      </c>
      <c r="G172" s="5">
        <f t="shared" si="8"/>
        <v>9.1480218049903144</v>
      </c>
      <c r="H172" s="5">
        <f t="shared" si="9"/>
        <v>12.009267138036805</v>
      </c>
    </row>
    <row r="173" spans="1:8" x14ac:dyDescent="0.25">
      <c r="A173">
        <v>170</v>
      </c>
      <c r="B173">
        <v>1.5633804</v>
      </c>
      <c r="C173" s="4">
        <f>B173*$P$3*$K$3</f>
        <v>6.1825815698065495E-3</v>
      </c>
      <c r="D173">
        <f>B173*$P$3*$L$3</f>
        <v>7.9642684388412516E-3</v>
      </c>
      <c r="E173">
        <f>B173*$P$3*$M$3</f>
        <v>1.060659923246441E-2</v>
      </c>
      <c r="F173" s="4">
        <f t="shared" si="7"/>
        <v>7.1719449403707447</v>
      </c>
      <c r="G173" s="5">
        <f t="shared" si="8"/>
        <v>9.1494040564478745</v>
      </c>
      <c r="H173" s="5">
        <f t="shared" si="9"/>
        <v>12.011054765338503</v>
      </c>
    </row>
    <row r="174" spans="1:8" x14ac:dyDescent="0.25">
      <c r="A174">
        <v>171</v>
      </c>
      <c r="B174">
        <v>1.5636273000000001</v>
      </c>
      <c r="C174" s="4">
        <f>B174*$P$3*$K$3</f>
        <v>6.183557966459332E-3</v>
      </c>
      <c r="D174">
        <f>B174*$P$3*$L$3</f>
        <v>7.9655262119830619E-3</v>
      </c>
      <c r="E174">
        <f>B174*$P$3*$M$3</f>
        <v>1.0608274301021299E-2</v>
      </c>
      <c r="F174" s="4">
        <f t="shared" si="7"/>
        <v>7.1730393447648977</v>
      </c>
      <c r="G174" s="5">
        <f t="shared" si="8"/>
        <v>9.1507862886280549</v>
      </c>
      <c r="H174" s="5">
        <f t="shared" si="9"/>
        <v>12.012842359348941</v>
      </c>
    </row>
    <row r="175" spans="1:8" x14ac:dyDescent="0.25">
      <c r="A175">
        <v>172</v>
      </c>
      <c r="B175">
        <v>1.5638742999999999</v>
      </c>
      <c r="C175" s="4">
        <f>B175*$P$3*$K$3</f>
        <v>6.184534758574509E-3</v>
      </c>
      <c r="D175">
        <f>B175*$P$3*$L$3</f>
        <v>7.9667844945510106E-3</v>
      </c>
      <c r="E175">
        <f>B175*$P$3*$M$3</f>
        <v>1.0609950048018266E-2</v>
      </c>
      <c r="F175" s="4">
        <f t="shared" si="7"/>
        <v>7.1741341805827696</v>
      </c>
      <c r="G175" s="5">
        <f t="shared" si="8"/>
        <v>9.1521690613539093</v>
      </c>
      <c r="H175" s="5">
        <f t="shared" si="9"/>
        <v>12.014630644063972</v>
      </c>
    </row>
    <row r="176" spans="1:8" x14ac:dyDescent="0.25">
      <c r="A176">
        <v>173</v>
      </c>
      <c r="B176">
        <v>1.5641212</v>
      </c>
      <c r="C176" s="4">
        <f>B176*$P$3*$K$3</f>
        <v>6.1855111552272914E-3</v>
      </c>
      <c r="D176">
        <f>B176*$P$3*$L$3</f>
        <v>7.9680422676928191E-3</v>
      </c>
      <c r="E176">
        <f>B176*$P$3*$M$3</f>
        <v>1.0611625116575155E-2</v>
      </c>
      <c r="F176" s="4">
        <f t="shared" si="7"/>
        <v>7.1752285613175264</v>
      </c>
      <c r="G176" s="5">
        <f t="shared" si="8"/>
        <v>9.1535512549718039</v>
      </c>
      <c r="H176" s="5">
        <f t="shared" si="9"/>
        <v>12.016418171480471</v>
      </c>
    </row>
    <row r="177" spans="1:8" x14ac:dyDescent="0.25">
      <c r="A177">
        <v>174</v>
      </c>
      <c r="B177">
        <v>1.5643682000000001</v>
      </c>
      <c r="C177" s="4">
        <f>B177*$P$3*$K$3</f>
        <v>6.1864879473424684E-3</v>
      </c>
      <c r="D177">
        <f>B177*$P$3*$L$3</f>
        <v>7.9693005502607696E-3</v>
      </c>
      <c r="E177">
        <f>B177*$P$3*$M$3</f>
        <v>1.0613300863572124E-2</v>
      </c>
      <c r="F177" s="4">
        <f t="shared" si="7"/>
        <v>7.1763233734665537</v>
      </c>
      <c r="G177" s="5">
        <f t="shared" si="8"/>
        <v>9.1549339891205292</v>
      </c>
      <c r="H177" s="5">
        <f t="shared" si="9"/>
        <v>12.018206389575504</v>
      </c>
    </row>
    <row r="178" spans="1:8" x14ac:dyDescent="0.25">
      <c r="A178">
        <v>175</v>
      </c>
      <c r="B178">
        <v>1.5646150999999999</v>
      </c>
      <c r="C178" s="4">
        <f>B178*$P$3*$K$3</f>
        <v>6.18746434399525E-3</v>
      </c>
      <c r="D178">
        <f>B178*$P$3*$L$3</f>
        <v>7.9705583234025764E-3</v>
      </c>
      <c r="E178">
        <f>B178*$P$3*$M$3</f>
        <v>1.061497593212901E-2</v>
      </c>
      <c r="F178" s="4">
        <f t="shared" si="7"/>
        <v>7.1774177305423459</v>
      </c>
      <c r="G178" s="5">
        <f t="shared" si="8"/>
        <v>9.1563161441771683</v>
      </c>
      <c r="H178" s="5">
        <f t="shared" si="9"/>
        <v>12.019993850399935</v>
      </c>
    </row>
    <row r="179" spans="1:8" x14ac:dyDescent="0.25">
      <c r="A179">
        <v>176</v>
      </c>
      <c r="B179">
        <v>1.564862</v>
      </c>
      <c r="C179" s="4">
        <f>B179*$P$3*$K$3</f>
        <v>6.1884407406480324E-3</v>
      </c>
      <c r="D179">
        <f>B179*$P$3*$L$3</f>
        <v>7.971816096544385E-3</v>
      </c>
      <c r="E179">
        <f>B179*$P$3*$M$3</f>
        <v>1.0616651000685899E-2</v>
      </c>
      <c r="F179" s="4">
        <f t="shared" si="7"/>
        <v>7.1785120757913994</v>
      </c>
      <c r="G179" s="5">
        <f t="shared" si="8"/>
        <v>9.1576982799576605</v>
      </c>
      <c r="H179" s="5">
        <f t="shared" si="9"/>
        <v>12.021781277935961</v>
      </c>
    </row>
    <row r="180" spans="1:8" x14ac:dyDescent="0.25">
      <c r="A180">
        <v>177</v>
      </c>
      <c r="B180">
        <v>1.5651090000000001</v>
      </c>
      <c r="C180" s="4">
        <f>B180*$P$3*$K$3</f>
        <v>6.1894175327632094E-3</v>
      </c>
      <c r="D180">
        <f>B180*$P$3*$L$3</f>
        <v>7.9730743791123354E-3</v>
      </c>
      <c r="E180">
        <f>B180*$P$3*$M$3</f>
        <v>1.0618326747682868E-2</v>
      </c>
      <c r="F180" s="4">
        <f t="shared" si="7"/>
        <v>7.1796068524405898</v>
      </c>
      <c r="G180" s="5">
        <f t="shared" si="8"/>
        <v>9.1590809562460898</v>
      </c>
      <c r="H180" s="5">
        <f t="shared" si="9"/>
        <v>12.023569396111988</v>
      </c>
    </row>
    <row r="181" spans="1:8" x14ac:dyDescent="0.25">
      <c r="A181">
        <v>178</v>
      </c>
      <c r="B181">
        <v>1.5653558999999999</v>
      </c>
      <c r="C181" s="4">
        <f>B181*$P$3*$K$3</f>
        <v>6.1903939294159918E-3</v>
      </c>
      <c r="D181">
        <f>B181*$P$3*$L$3</f>
        <v>7.974332152254144E-3</v>
      </c>
      <c r="E181">
        <f>B181*$P$3*$M$3</f>
        <v>1.0620001816239755E-2</v>
      </c>
      <c r="F181" s="4">
        <f t="shared" si="7"/>
        <v>7.1807011740311788</v>
      </c>
      <c r="G181" s="5">
        <f t="shared" si="8"/>
        <v>9.1604630534668381</v>
      </c>
      <c r="H181" s="5">
        <f t="shared" si="9"/>
        <v>12.025356757059647</v>
      </c>
    </row>
    <row r="182" spans="1:8" x14ac:dyDescent="0.25">
      <c r="A182">
        <v>179</v>
      </c>
      <c r="B182">
        <v>1.5656028</v>
      </c>
      <c r="C182" s="4">
        <f>B182*$P$3*$K$3</f>
        <v>6.1913703260687734E-3</v>
      </c>
      <c r="D182">
        <f>B182*$P$3*$L$3</f>
        <v>7.9755899253959508E-3</v>
      </c>
      <c r="E182">
        <f>B182*$P$3*$M$3</f>
        <v>1.0621676884796644E-2</v>
      </c>
      <c r="F182" s="4">
        <f t="shared" si="7"/>
        <v>7.1817954837952502</v>
      </c>
      <c r="G182" s="5">
        <f t="shared" si="8"/>
        <v>9.161845131411928</v>
      </c>
      <c r="H182" s="5">
        <f t="shared" si="9"/>
        <v>12.027144084720543</v>
      </c>
    </row>
    <row r="183" spans="1:8" x14ac:dyDescent="0.25">
      <c r="A183">
        <v>180</v>
      </c>
      <c r="B183">
        <v>1.5658498000000001</v>
      </c>
      <c r="C183" s="4">
        <f>B183*$P$3*$K$3</f>
        <v>6.1923471181839513E-3</v>
      </c>
      <c r="D183">
        <f>B183*$P$3*$L$3</f>
        <v>7.976848207963903E-3</v>
      </c>
      <c r="E183">
        <f>B183*$P$3*$M$3</f>
        <v>1.0623352631793613E-2</v>
      </c>
      <c r="F183" s="4">
        <f t="shared" si="7"/>
        <v>7.1828902249456146</v>
      </c>
      <c r="G183" s="5">
        <f t="shared" si="8"/>
        <v>9.1632277498422852</v>
      </c>
      <c r="H183" s="5">
        <f t="shared" si="9"/>
        <v>12.028932102982671</v>
      </c>
    </row>
  </sheetData>
  <mergeCells count="2">
    <mergeCell ref="C1:E1"/>
    <mergeCell ref="F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Lock-in Effect</vt:lpstr>
      <vt:lpstr>Seasoning Ramp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2016-06-15T15:31:31Z</dcterms:created>
  <dcterms:modified xsi:type="dcterms:W3CDTF">2016-06-15T17:19:15Z</dcterms:modified>
</cp:coreProperties>
</file>