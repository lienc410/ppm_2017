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pivotTables/pivotTable1.xml" ContentType="application/vnd.openxmlformats-officedocument.spreadsheetml.pivotTable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6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7.xml" ContentType="application/vnd.openxmlformats-officedocument.drawing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75" windowWidth="35235" windowHeight="18930" activeTab="6"/>
  </bookViews>
  <sheets>
    <sheet name="Sheet1" sheetId="1" r:id="rId1"/>
    <sheet name="Sheet2" sheetId="2" r:id="rId2"/>
    <sheet name="Sheet3" sheetId="3" r:id="rId3"/>
    <sheet name="model curve" sheetId="4" r:id="rId4"/>
    <sheet name="total smm" sheetId="5" r:id="rId5"/>
    <sheet name="Sheet7" sheetId="7" r:id="rId6"/>
    <sheet name="Sheet8" sheetId="8" r:id="rId7"/>
    <sheet name="Sheet9" sheetId="9" r:id="rId8"/>
  </sheets>
  <calcPr calcId="145621"/>
  <pivotCaches>
    <pivotCache cacheId="134" r:id="rId9"/>
  </pivotCaches>
</workbook>
</file>

<file path=xl/calcChain.xml><?xml version="1.0" encoding="utf-8"?>
<calcChain xmlns="http://schemas.openxmlformats.org/spreadsheetml/2006/main">
  <c r="N53" i="4" l="1"/>
  <c r="M55" i="4"/>
  <c r="L55" i="4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2" i="8"/>
  <c r="AP3" i="7" l="1"/>
  <c r="AP4" i="7"/>
  <c r="AP5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2" i="7"/>
  <c r="AD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D35" i="7"/>
  <c r="AD36" i="7"/>
  <c r="AD37" i="7"/>
  <c r="AD38" i="7"/>
  <c r="AD39" i="7"/>
  <c r="AD40" i="7"/>
  <c r="AD41" i="7"/>
  <c r="AD2" i="7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2" i="5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2" i="3"/>
  <c r="W3" i="5"/>
  <c r="W4" i="5"/>
  <c r="W5" i="5"/>
  <c r="W6" i="5"/>
  <c r="W7" i="5"/>
  <c r="W8" i="5"/>
  <c r="W9" i="5"/>
  <c r="W10" i="5"/>
  <c r="W11" i="5"/>
  <c r="W12" i="5"/>
  <c r="W13" i="5"/>
  <c r="W14" i="5"/>
  <c r="W15" i="5"/>
  <c r="W16" i="5"/>
  <c r="W17" i="5"/>
  <c r="W18" i="5"/>
  <c r="W19" i="5"/>
  <c r="W20" i="5"/>
  <c r="W21" i="5"/>
  <c r="W22" i="5"/>
  <c r="W23" i="5"/>
  <c r="W24" i="5"/>
  <c r="W25" i="5"/>
  <c r="W26" i="5"/>
  <c r="W27" i="5"/>
  <c r="W28" i="5"/>
  <c r="W29" i="5"/>
  <c r="W30" i="5"/>
  <c r="W31" i="5"/>
  <c r="W32" i="5"/>
  <c r="W33" i="5"/>
  <c r="W34" i="5"/>
  <c r="W35" i="5"/>
  <c r="W36" i="5"/>
  <c r="W37" i="5"/>
  <c r="W38" i="5"/>
  <c r="W39" i="5"/>
  <c r="W40" i="5"/>
  <c r="W41" i="5"/>
  <c r="W42" i="5"/>
  <c r="W43" i="5"/>
  <c r="W44" i="5"/>
  <c r="W45" i="5"/>
  <c r="W46" i="5"/>
  <c r="W47" i="5"/>
  <c r="W48" i="5"/>
  <c r="W49" i="5"/>
  <c r="W50" i="5"/>
  <c r="W51" i="5"/>
  <c r="W52" i="5"/>
  <c r="W53" i="5"/>
  <c r="W54" i="5"/>
  <c r="W55" i="5"/>
  <c r="W56" i="5"/>
  <c r="W57" i="5"/>
  <c r="W58" i="5"/>
  <c r="W59" i="5"/>
  <c r="W60" i="5"/>
  <c r="W61" i="5"/>
  <c r="W62" i="5"/>
  <c r="W63" i="5"/>
  <c r="W64" i="5"/>
  <c r="W65" i="5"/>
  <c r="W66" i="5"/>
  <c r="W67" i="5"/>
  <c r="W68" i="5"/>
  <c r="W69" i="5"/>
  <c r="W70" i="5"/>
  <c r="W71" i="5"/>
  <c r="W72" i="5"/>
  <c r="W73" i="5"/>
  <c r="W74" i="5"/>
  <c r="W75" i="5"/>
  <c r="W76" i="5"/>
  <c r="W77" i="5"/>
  <c r="W78" i="5"/>
  <c r="W79" i="5"/>
  <c r="W80" i="5"/>
  <c r="W81" i="5"/>
  <c r="W82" i="5"/>
  <c r="W83" i="5"/>
  <c r="W84" i="5"/>
  <c r="W85" i="5"/>
  <c r="W86" i="5"/>
  <c r="W87" i="5"/>
  <c r="W88" i="5"/>
  <c r="W89" i="5"/>
  <c r="W90" i="5"/>
  <c r="W91" i="5"/>
  <c r="W92" i="5"/>
  <c r="W93" i="5"/>
  <c r="W94" i="5"/>
  <c r="W95" i="5"/>
  <c r="W96" i="5"/>
  <c r="W97" i="5"/>
  <c r="W98" i="5"/>
  <c r="W99" i="5"/>
  <c r="W100" i="5"/>
  <c r="W101" i="5"/>
  <c r="W102" i="5"/>
  <c r="W103" i="5"/>
  <c r="W104" i="5"/>
  <c r="W105" i="5"/>
  <c r="W106" i="5"/>
  <c r="W107" i="5"/>
  <c r="W108" i="5"/>
  <c r="W109" i="5"/>
  <c r="W110" i="5"/>
  <c r="W111" i="5"/>
  <c r="W112" i="5"/>
  <c r="W113" i="5"/>
  <c r="W114" i="5"/>
  <c r="W115" i="5"/>
  <c r="W116" i="5"/>
  <c r="W117" i="5"/>
  <c r="W118" i="5"/>
  <c r="W119" i="5"/>
  <c r="W120" i="5"/>
  <c r="W121" i="5"/>
  <c r="W122" i="5"/>
  <c r="W123" i="5"/>
  <c r="W124" i="5"/>
  <c r="W125" i="5"/>
  <c r="W126" i="5"/>
  <c r="W127" i="5"/>
  <c r="W128" i="5"/>
  <c r="W129" i="5"/>
  <c r="W130" i="5"/>
  <c r="W131" i="5"/>
  <c r="W132" i="5"/>
  <c r="W133" i="5"/>
  <c r="W134" i="5"/>
  <c r="W135" i="5"/>
  <c r="W136" i="5"/>
  <c r="W137" i="5"/>
  <c r="W138" i="5"/>
  <c r="W139" i="5"/>
  <c r="W140" i="5"/>
  <c r="W141" i="5"/>
  <c r="W142" i="5"/>
  <c r="W143" i="5"/>
  <c r="W144" i="5"/>
  <c r="W145" i="5"/>
  <c r="W146" i="5"/>
  <c r="W147" i="5"/>
  <c r="W148" i="5"/>
  <c r="W149" i="5"/>
  <c r="W150" i="5"/>
  <c r="W151" i="5"/>
  <c r="W152" i="5"/>
  <c r="W153" i="5"/>
  <c r="W154" i="5"/>
  <c r="W155" i="5"/>
  <c r="W156" i="5"/>
  <c r="W157" i="5"/>
  <c r="W158" i="5"/>
  <c r="W159" i="5"/>
  <c r="W160" i="5"/>
  <c r="W161" i="5"/>
  <c r="W162" i="5"/>
  <c r="W163" i="5"/>
  <c r="W164" i="5"/>
  <c r="W165" i="5"/>
  <c r="W166" i="5"/>
  <c r="W167" i="5"/>
  <c r="W168" i="5"/>
  <c r="W169" i="5"/>
  <c r="W170" i="5"/>
  <c r="W171" i="5"/>
  <c r="W172" i="5"/>
  <c r="W173" i="5"/>
  <c r="W174" i="5"/>
  <c r="W175" i="5"/>
  <c r="W176" i="5"/>
  <c r="W177" i="5"/>
  <c r="W178" i="5"/>
  <c r="W179" i="5"/>
  <c r="W180" i="5"/>
  <c r="W181" i="5"/>
  <c r="W182" i="5"/>
  <c r="W183" i="5"/>
  <c r="W184" i="5"/>
  <c r="W185" i="5"/>
  <c r="W186" i="5"/>
  <c r="W187" i="5"/>
  <c r="W188" i="5"/>
  <c r="W189" i="5"/>
  <c r="W190" i="5"/>
  <c r="W191" i="5"/>
  <c r="W192" i="5"/>
  <c r="W193" i="5"/>
  <c r="W194" i="5"/>
  <c r="W195" i="5"/>
  <c r="W196" i="5"/>
  <c r="W197" i="5"/>
  <c r="W198" i="5"/>
  <c r="W199" i="5"/>
  <c r="W200" i="5"/>
  <c r="W201" i="5"/>
  <c r="W202" i="5"/>
  <c r="W203" i="5"/>
  <c r="W204" i="5"/>
  <c r="W205" i="5"/>
  <c r="W206" i="5"/>
  <c r="W207" i="5"/>
  <c r="W208" i="5"/>
  <c r="W209" i="5"/>
  <c r="W210" i="5"/>
  <c r="W211" i="5"/>
  <c r="W212" i="5"/>
  <c r="W213" i="5"/>
  <c r="W214" i="5"/>
  <c r="W215" i="5"/>
  <c r="W216" i="5"/>
  <c r="W217" i="5"/>
  <c r="W218" i="5"/>
  <c r="W219" i="5"/>
  <c r="W220" i="5"/>
  <c r="W221" i="5"/>
  <c r="W222" i="5"/>
  <c r="W223" i="5"/>
  <c r="W224" i="5"/>
  <c r="W225" i="5"/>
  <c r="W226" i="5"/>
  <c r="W227" i="5"/>
  <c r="W228" i="5"/>
  <c r="W229" i="5"/>
  <c r="W230" i="5"/>
  <c r="W231" i="5"/>
  <c r="W232" i="5"/>
  <c r="W233" i="5"/>
  <c r="W234" i="5"/>
  <c r="W235" i="5"/>
  <c r="W236" i="5"/>
  <c r="W237" i="5"/>
  <c r="W238" i="5"/>
  <c r="W239" i="5"/>
  <c r="W240" i="5"/>
  <c r="W241" i="5"/>
  <c r="W242" i="5"/>
  <c r="W243" i="5"/>
  <c r="W244" i="5"/>
  <c r="W245" i="5"/>
  <c r="W246" i="5"/>
  <c r="W247" i="5"/>
  <c r="W248" i="5"/>
  <c r="W249" i="5"/>
  <c r="W250" i="5"/>
  <c r="W251" i="5"/>
  <c r="W252" i="5"/>
  <c r="W253" i="5"/>
  <c r="W254" i="5"/>
  <c r="W255" i="5"/>
  <c r="W256" i="5"/>
  <c r="W257" i="5"/>
  <c r="W258" i="5"/>
  <c r="W259" i="5"/>
  <c r="W260" i="5"/>
  <c r="W261" i="5"/>
  <c r="W262" i="5"/>
  <c r="W263" i="5"/>
  <c r="W264" i="5"/>
  <c r="W265" i="5"/>
  <c r="W266" i="5"/>
  <c r="W267" i="5"/>
  <c r="W268" i="5"/>
  <c r="W269" i="5"/>
  <c r="W270" i="5"/>
  <c r="W271" i="5"/>
  <c r="W272" i="5"/>
  <c r="W273" i="5"/>
  <c r="W274" i="5"/>
  <c r="W275" i="5"/>
  <c r="W276" i="5"/>
  <c r="W277" i="5"/>
  <c r="W278" i="5"/>
  <c r="W279" i="5"/>
  <c r="W280" i="5"/>
  <c r="W281" i="5"/>
  <c r="W282" i="5"/>
  <c r="W283" i="5"/>
  <c r="W284" i="5"/>
  <c r="W285" i="5"/>
  <c r="W286" i="5"/>
  <c r="W287" i="5"/>
  <c r="W288" i="5"/>
  <c r="W289" i="5"/>
  <c r="W290" i="5"/>
  <c r="W291" i="5"/>
  <c r="W292" i="5"/>
  <c r="W293" i="5"/>
  <c r="W294" i="5"/>
  <c r="W295" i="5"/>
  <c r="W296" i="5"/>
  <c r="W297" i="5"/>
  <c r="W298" i="5"/>
  <c r="W299" i="5"/>
  <c r="W300" i="5"/>
  <c r="W301" i="5"/>
  <c r="W302" i="5"/>
  <c r="W303" i="5"/>
  <c r="W304" i="5"/>
  <c r="W305" i="5"/>
  <c r="W306" i="5"/>
  <c r="W307" i="5"/>
  <c r="W308" i="5"/>
  <c r="W309" i="5"/>
  <c r="W310" i="5"/>
  <c r="W311" i="5"/>
  <c r="W312" i="5"/>
  <c r="W313" i="5"/>
  <c r="W314" i="5"/>
  <c r="W315" i="5"/>
  <c r="W316" i="5"/>
  <c r="W317" i="5"/>
  <c r="W318" i="5"/>
  <c r="W319" i="5"/>
  <c r="W320" i="5"/>
  <c r="W321" i="5"/>
  <c r="W322" i="5"/>
  <c r="W323" i="5"/>
  <c r="W324" i="5"/>
  <c r="W325" i="5"/>
  <c r="W326" i="5"/>
  <c r="W327" i="5"/>
  <c r="W328" i="5"/>
  <c r="W329" i="5"/>
  <c r="W330" i="5"/>
  <c r="W331" i="5"/>
  <c r="W332" i="5"/>
  <c r="W333" i="5"/>
  <c r="W334" i="5"/>
  <c r="W335" i="5"/>
  <c r="W336" i="5"/>
  <c r="W337" i="5"/>
  <c r="W338" i="5"/>
  <c r="W339" i="5"/>
  <c r="W340" i="5"/>
  <c r="W341" i="5"/>
  <c r="W342" i="5"/>
  <c r="W343" i="5"/>
  <c r="W344" i="5"/>
  <c r="W345" i="5"/>
  <c r="W346" i="5"/>
  <c r="W347" i="5"/>
  <c r="W348" i="5"/>
  <c r="W349" i="5"/>
  <c r="W350" i="5"/>
  <c r="W351" i="5"/>
  <c r="W352" i="5"/>
  <c r="W353" i="5"/>
  <c r="W354" i="5"/>
  <c r="W355" i="5"/>
  <c r="W356" i="5"/>
  <c r="W357" i="5"/>
  <c r="W358" i="5"/>
  <c r="W359" i="5"/>
  <c r="W360" i="5"/>
  <c r="W361" i="5"/>
  <c r="W362" i="5"/>
  <c r="W363" i="5"/>
  <c r="W364" i="5"/>
  <c r="W365" i="5"/>
  <c r="W366" i="5"/>
  <c r="W367" i="5"/>
  <c r="W368" i="5"/>
  <c r="W369" i="5"/>
  <c r="W370" i="5"/>
  <c r="W371" i="5"/>
  <c r="W372" i="5"/>
  <c r="W373" i="5"/>
  <c r="W374" i="5"/>
  <c r="W375" i="5"/>
  <c r="W376" i="5"/>
  <c r="W377" i="5"/>
  <c r="W378" i="5"/>
  <c r="W379" i="5"/>
  <c r="W380" i="5"/>
  <c r="W381" i="5"/>
  <c r="W382" i="5"/>
  <c r="W383" i="5"/>
  <c r="W384" i="5"/>
  <c r="W385" i="5"/>
  <c r="W386" i="5"/>
  <c r="W387" i="5"/>
  <c r="W388" i="5"/>
  <c r="W389" i="5"/>
  <c r="W390" i="5"/>
  <c r="W391" i="5"/>
  <c r="W392" i="5"/>
  <c r="W393" i="5"/>
  <c r="W394" i="5"/>
  <c r="W395" i="5"/>
  <c r="W396" i="5"/>
  <c r="W397" i="5"/>
  <c r="W398" i="5"/>
  <c r="W399" i="5"/>
  <c r="W400" i="5"/>
  <c r="W401" i="5"/>
  <c r="W402" i="5"/>
  <c r="W403" i="5"/>
  <c r="W404" i="5"/>
  <c r="W405" i="5"/>
  <c r="W406" i="5"/>
  <c r="W407" i="5"/>
  <c r="W408" i="5"/>
  <c r="W409" i="5"/>
  <c r="W410" i="5"/>
  <c r="W411" i="5"/>
  <c r="W412" i="5"/>
  <c r="W413" i="5"/>
  <c r="W414" i="5"/>
  <c r="W415" i="5"/>
  <c r="W416" i="5"/>
  <c r="W417" i="5"/>
  <c r="W418" i="5"/>
  <c r="W419" i="5"/>
  <c r="W420" i="5"/>
  <c r="W421" i="5"/>
  <c r="W422" i="5"/>
  <c r="W423" i="5"/>
  <c r="W424" i="5"/>
  <c r="W425" i="5"/>
  <c r="W426" i="5"/>
  <c r="W427" i="5"/>
  <c r="W428" i="5"/>
  <c r="W429" i="5"/>
  <c r="W430" i="5"/>
  <c r="W431" i="5"/>
  <c r="W432" i="5"/>
  <c r="W433" i="5"/>
  <c r="W434" i="5"/>
  <c r="W435" i="5"/>
  <c r="W436" i="5"/>
  <c r="W437" i="5"/>
  <c r="W438" i="5"/>
  <c r="W439" i="5"/>
  <c r="W440" i="5"/>
  <c r="W441" i="5"/>
  <c r="W442" i="5"/>
  <c r="W443" i="5"/>
  <c r="W444" i="5"/>
  <c r="W445" i="5"/>
  <c r="W446" i="5"/>
  <c r="W447" i="5"/>
  <c r="W448" i="5"/>
  <c r="W449" i="5"/>
  <c r="W450" i="5"/>
  <c r="W451" i="5"/>
  <c r="W452" i="5"/>
  <c r="W453" i="5"/>
  <c r="W454" i="5"/>
  <c r="W455" i="5"/>
  <c r="W456" i="5"/>
  <c r="W457" i="5"/>
  <c r="W458" i="5"/>
  <c r="W459" i="5"/>
  <c r="W460" i="5"/>
  <c r="W461" i="5"/>
  <c r="W462" i="5"/>
  <c r="W463" i="5"/>
  <c r="W464" i="5"/>
  <c r="W465" i="5"/>
  <c r="W466" i="5"/>
  <c r="W467" i="5"/>
  <c r="W468" i="5"/>
  <c r="W469" i="5"/>
  <c r="W470" i="5"/>
  <c r="W471" i="5"/>
  <c r="W472" i="5"/>
  <c r="W473" i="5"/>
  <c r="W474" i="5"/>
  <c r="W475" i="5"/>
  <c r="W476" i="5"/>
  <c r="W477" i="5"/>
  <c r="W478" i="5"/>
  <c r="W479" i="5"/>
  <c r="W480" i="5"/>
  <c r="W481" i="5"/>
  <c r="W482" i="5"/>
  <c r="W483" i="5"/>
  <c r="W484" i="5"/>
  <c r="W485" i="5"/>
  <c r="W486" i="5"/>
  <c r="W487" i="5"/>
  <c r="W488" i="5"/>
  <c r="W489" i="5"/>
  <c r="W490" i="5"/>
  <c r="W491" i="5"/>
  <c r="W492" i="5"/>
  <c r="W493" i="5"/>
  <c r="W494" i="5"/>
  <c r="W495" i="5"/>
  <c r="W496" i="5"/>
  <c r="W497" i="5"/>
  <c r="W498" i="5"/>
  <c r="W499" i="5"/>
  <c r="W500" i="5"/>
  <c r="W501" i="5"/>
  <c r="W502" i="5"/>
  <c r="W503" i="5"/>
  <c r="W504" i="5"/>
  <c r="W505" i="5"/>
  <c r="W506" i="5"/>
  <c r="W507" i="5"/>
  <c r="W508" i="5"/>
  <c r="W509" i="5"/>
  <c r="W510" i="5"/>
  <c r="W511" i="5"/>
  <c r="W512" i="5"/>
  <c r="W513" i="5"/>
  <c r="W514" i="5"/>
  <c r="W515" i="5"/>
  <c r="W516" i="5"/>
  <c r="W517" i="5"/>
  <c r="W518" i="5"/>
  <c r="W519" i="5"/>
  <c r="W520" i="5"/>
  <c r="W521" i="5"/>
  <c r="W522" i="5"/>
  <c r="W523" i="5"/>
  <c r="W524" i="5"/>
  <c r="W525" i="5"/>
  <c r="W526" i="5"/>
  <c r="W527" i="5"/>
  <c r="W528" i="5"/>
  <c r="W529" i="5"/>
  <c r="W530" i="5"/>
  <c r="W531" i="5"/>
  <c r="W532" i="5"/>
  <c r="W533" i="5"/>
  <c r="W534" i="5"/>
  <c r="W535" i="5"/>
  <c r="W536" i="5"/>
  <c r="W537" i="5"/>
  <c r="W538" i="5"/>
  <c r="W539" i="5"/>
  <c r="W540" i="5"/>
  <c r="W541" i="5"/>
  <c r="W542" i="5"/>
  <c r="W543" i="5"/>
  <c r="W544" i="5"/>
  <c r="W545" i="5"/>
  <c r="W546" i="5"/>
  <c r="W547" i="5"/>
  <c r="W548" i="5"/>
  <c r="W549" i="5"/>
  <c r="W550" i="5"/>
  <c r="W551" i="5"/>
  <c r="W552" i="5"/>
  <c r="W553" i="5"/>
  <c r="W554" i="5"/>
  <c r="W555" i="5"/>
  <c r="W556" i="5"/>
  <c r="W557" i="5"/>
  <c r="W558" i="5"/>
  <c r="W559" i="5"/>
  <c r="W560" i="5"/>
  <c r="W561" i="5"/>
  <c r="W562" i="5"/>
  <c r="W2" i="5"/>
  <c r="E3" i="5" l="1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2" i="5"/>
  <c r="G129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2" i="1"/>
  <c r="F4" i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3" i="1"/>
  <c r="F2" i="1"/>
  <c r="I3" i="1"/>
  <c r="I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2" i="1"/>
</calcChain>
</file>

<file path=xl/sharedStrings.xml><?xml version="1.0" encoding="utf-8"?>
<sst xmlns="http://schemas.openxmlformats.org/spreadsheetml/2006/main" count="2446" uniqueCount="401">
  <si>
    <t>wala</t>
  </si>
  <si>
    <t>count(1)</t>
  </si>
  <si>
    <t>sum(p.bal)</t>
  </si>
  <si>
    <t>smm</t>
  </si>
  <si>
    <t>cpr</t>
  </si>
  <si>
    <t>Total bal:</t>
  </si>
  <si>
    <t>Total count:</t>
  </si>
  <si>
    <t>age</t>
  </si>
  <si>
    <t>loan_curtail</t>
  </si>
  <si>
    <t>pool_cpr</t>
  </si>
  <si>
    <t>&gt;</t>
  </si>
  <si>
    <t>citi_curtail</t>
  </si>
  <si>
    <t>old</t>
  </si>
  <si>
    <t>Row Labels</t>
  </si>
  <si>
    <t>Grand Total</t>
  </si>
  <si>
    <t>empirical</t>
  </si>
  <si>
    <t>cpr new</t>
  </si>
  <si>
    <t>cpr old</t>
  </si>
  <si>
    <t>marketTicker</t>
  </si>
  <si>
    <t>FGLMC</t>
  </si>
  <si>
    <t>FGT6</t>
  </si>
  <si>
    <t>FGU6</t>
  </si>
  <si>
    <t>FGU9</t>
  </si>
  <si>
    <t>Sum of cpr new</t>
  </si>
  <si>
    <t>loanAge_bucket</t>
  </si>
  <si>
    <t>wac</t>
  </si>
  <si>
    <t>schamBalance</t>
  </si>
  <si>
    <t>FNCL</t>
  </si>
  <si>
    <t>FHL CPR</t>
  </si>
  <si>
    <t>FNMA CPR</t>
  </si>
  <si>
    <t>FNMA bal%</t>
  </si>
  <si>
    <t>y_vals.act</t>
  </si>
  <si>
    <t>y_vals.mdl</t>
  </si>
  <si>
    <t>[1</t>
  </si>
  <si>
    <t>]</t>
  </si>
  <si>
    <t>[2</t>
  </si>
  <si>
    <t>[3</t>
  </si>
  <si>
    <t>[4</t>
  </si>
  <si>
    <t>[5</t>
  </si>
  <si>
    <t>[6</t>
  </si>
  <si>
    <t>[7</t>
  </si>
  <si>
    <t>[8</t>
  </si>
  <si>
    <t>[9</t>
  </si>
  <si>
    <t>[10</t>
  </si>
  <si>
    <t>[11</t>
  </si>
  <si>
    <t>[12</t>
  </si>
  <si>
    <t>[13</t>
  </si>
  <si>
    <t>[14</t>
  </si>
  <si>
    <t>[15</t>
  </si>
  <si>
    <t>[16</t>
  </si>
  <si>
    <t>[17</t>
  </si>
  <si>
    <t>[18</t>
  </si>
  <si>
    <t>[19</t>
  </si>
  <si>
    <t>[20</t>
  </si>
  <si>
    <t>[21</t>
  </si>
  <si>
    <t>[22</t>
  </si>
  <si>
    <t>[23</t>
  </si>
  <si>
    <t>[24</t>
  </si>
  <si>
    <t>[25</t>
  </si>
  <si>
    <t>[26</t>
  </si>
  <si>
    <t>[27</t>
  </si>
  <si>
    <t>[28</t>
  </si>
  <si>
    <t>[29</t>
  </si>
  <si>
    <t>[30</t>
  </si>
  <si>
    <t>[31</t>
  </si>
  <si>
    <t>[32</t>
  </si>
  <si>
    <t>[33</t>
  </si>
  <si>
    <t>[34</t>
  </si>
  <si>
    <t>[35</t>
  </si>
  <si>
    <t>[36</t>
  </si>
  <si>
    <t>[37</t>
  </si>
  <si>
    <t>[38</t>
  </si>
  <si>
    <t>[39</t>
  </si>
  <si>
    <t>[40</t>
  </si>
  <si>
    <t>[41</t>
  </si>
  <si>
    <t>[42</t>
  </si>
  <si>
    <t>[43</t>
  </si>
  <si>
    <t>[44</t>
  </si>
  <si>
    <t>[45</t>
  </si>
  <si>
    <t>[46</t>
  </si>
  <si>
    <t>[47</t>
  </si>
  <si>
    <t>[48</t>
  </si>
  <si>
    <t>[49</t>
  </si>
  <si>
    <t>[50</t>
  </si>
  <si>
    <t>[51</t>
  </si>
  <si>
    <t>[52</t>
  </si>
  <si>
    <t>[53</t>
  </si>
  <si>
    <t>[54</t>
  </si>
  <si>
    <t>[55</t>
  </si>
  <si>
    <t>[56</t>
  </si>
  <si>
    <t>[57</t>
  </si>
  <si>
    <t>[58</t>
  </si>
  <si>
    <t>[59</t>
  </si>
  <si>
    <t>[60</t>
  </si>
  <si>
    <t>[61</t>
  </si>
  <si>
    <t>[62</t>
  </si>
  <si>
    <t>[63</t>
  </si>
  <si>
    <t>[64</t>
  </si>
  <si>
    <t>[65</t>
  </si>
  <si>
    <t>[66</t>
  </si>
  <si>
    <t>[67</t>
  </si>
  <si>
    <t>[68</t>
  </si>
  <si>
    <t>[69</t>
  </si>
  <si>
    <t>[70</t>
  </si>
  <si>
    <t>[71</t>
  </si>
  <si>
    <t>[72</t>
  </si>
  <si>
    <t>Diff</t>
  </si>
  <si>
    <t>kAgeVector</t>
  </si>
  <si>
    <t>[73</t>
  </si>
  <si>
    <t>[74</t>
  </si>
  <si>
    <t>[75</t>
  </si>
  <si>
    <t>[76</t>
  </si>
  <si>
    <t>[77</t>
  </si>
  <si>
    <t>[78</t>
  </si>
  <si>
    <t>[79</t>
  </si>
  <si>
    <t>[80</t>
  </si>
  <si>
    <t>[81</t>
  </si>
  <si>
    <t>[82</t>
  </si>
  <si>
    <t>[83</t>
  </si>
  <si>
    <t>[84</t>
  </si>
  <si>
    <t>[85</t>
  </si>
  <si>
    <t>[86</t>
  </si>
  <si>
    <t>[87</t>
  </si>
  <si>
    <t>[88</t>
  </si>
  <si>
    <t>[89</t>
  </si>
  <si>
    <t>[90</t>
  </si>
  <si>
    <t>[91</t>
  </si>
  <si>
    <t>[92</t>
  </si>
  <si>
    <t>[93</t>
  </si>
  <si>
    <t>[94</t>
  </si>
  <si>
    <t>[95</t>
  </si>
  <si>
    <t>[96</t>
  </si>
  <si>
    <t>[97</t>
  </si>
  <si>
    <t>[98</t>
  </si>
  <si>
    <t>[99</t>
  </si>
  <si>
    <t>[100</t>
  </si>
  <si>
    <t>[101</t>
  </si>
  <si>
    <t>[102</t>
  </si>
  <si>
    <t>[103</t>
  </si>
  <si>
    <t>[104</t>
  </si>
  <si>
    <t>[105</t>
  </si>
  <si>
    <t>[106</t>
  </si>
  <si>
    <t>[107</t>
  </si>
  <si>
    <t>[108</t>
  </si>
  <si>
    <t>[109</t>
  </si>
  <si>
    <t>[110</t>
  </si>
  <si>
    <t>[111</t>
  </si>
  <si>
    <t>[112</t>
  </si>
  <si>
    <t>[113</t>
  </si>
  <si>
    <t>[114</t>
  </si>
  <si>
    <t>[115</t>
  </si>
  <si>
    <t>[116</t>
  </si>
  <si>
    <t>[117</t>
  </si>
  <si>
    <t>[118</t>
  </si>
  <si>
    <t>[119</t>
  </si>
  <si>
    <t>[120</t>
  </si>
  <si>
    <t>[121</t>
  </si>
  <si>
    <t>[122</t>
  </si>
  <si>
    <t>[123</t>
  </si>
  <si>
    <t>[124</t>
  </si>
  <si>
    <t>[125</t>
  </si>
  <si>
    <t>[126</t>
  </si>
  <si>
    <t>[127</t>
  </si>
  <si>
    <t>[128</t>
  </si>
  <si>
    <t>[129</t>
  </si>
  <si>
    <t>[130</t>
  </si>
  <si>
    <t>[131</t>
  </si>
  <si>
    <t>[132</t>
  </si>
  <si>
    <t>[133</t>
  </si>
  <si>
    <t>[134</t>
  </si>
  <si>
    <t>[135</t>
  </si>
  <si>
    <t>[136</t>
  </si>
  <si>
    <t>[137</t>
  </si>
  <si>
    <t>[138</t>
  </si>
  <si>
    <t>[139</t>
  </si>
  <si>
    <t>[140</t>
  </si>
  <si>
    <t>[141</t>
  </si>
  <si>
    <t>[142</t>
  </si>
  <si>
    <t>[143</t>
  </si>
  <si>
    <t>[144</t>
  </si>
  <si>
    <t>[145</t>
  </si>
  <si>
    <t>[146</t>
  </si>
  <si>
    <t>[147</t>
  </si>
  <si>
    <t>[148</t>
  </si>
  <si>
    <t>[149</t>
  </si>
  <si>
    <t>[150</t>
  </si>
  <si>
    <t>[151</t>
  </si>
  <si>
    <t>[152</t>
  </si>
  <si>
    <t>[153</t>
  </si>
  <si>
    <t>[154</t>
  </si>
  <si>
    <t>[155</t>
  </si>
  <si>
    <t>[156</t>
  </si>
  <si>
    <t>[157</t>
  </si>
  <si>
    <t>[158</t>
  </si>
  <si>
    <t>[159</t>
  </si>
  <si>
    <t>[160</t>
  </si>
  <si>
    <t>[161</t>
  </si>
  <si>
    <t>[162</t>
  </si>
  <si>
    <t>[163</t>
  </si>
  <si>
    <t>[164</t>
  </si>
  <si>
    <t>[165</t>
  </si>
  <si>
    <t>[166</t>
  </si>
  <si>
    <t>[167</t>
  </si>
  <si>
    <t>[168</t>
  </si>
  <si>
    <t>[169</t>
  </si>
  <si>
    <t>[170</t>
  </si>
  <si>
    <t>[171</t>
  </si>
  <si>
    <t>[172</t>
  </si>
  <si>
    <t>[173</t>
  </si>
  <si>
    <t>[174</t>
  </si>
  <si>
    <t>[175</t>
  </si>
  <si>
    <t>[176</t>
  </si>
  <si>
    <t>[177</t>
  </si>
  <si>
    <t>[178</t>
  </si>
  <si>
    <t>[179</t>
  </si>
  <si>
    <t>[180</t>
  </si>
  <si>
    <t>[181</t>
  </si>
  <si>
    <t>[182</t>
  </si>
  <si>
    <t>[183</t>
  </si>
  <si>
    <t>[184</t>
  </si>
  <si>
    <t>[185</t>
  </si>
  <si>
    <t>[186</t>
  </si>
  <si>
    <t>[187</t>
  </si>
  <si>
    <t>[188</t>
  </si>
  <si>
    <t>[189</t>
  </si>
  <si>
    <t>[190</t>
  </si>
  <si>
    <t>[191</t>
  </si>
  <si>
    <t>[192</t>
  </si>
  <si>
    <t>[193</t>
  </si>
  <si>
    <t>[194</t>
  </si>
  <si>
    <t>[195</t>
  </si>
  <si>
    <t>[196</t>
  </si>
  <si>
    <t>[197</t>
  </si>
  <si>
    <t>[198</t>
  </si>
  <si>
    <t>[199</t>
  </si>
  <si>
    <t>[200</t>
  </si>
  <si>
    <t>[201</t>
  </si>
  <si>
    <t>[202</t>
  </si>
  <si>
    <t>[203</t>
  </si>
  <si>
    <t>[204</t>
  </si>
  <si>
    <t>[205</t>
  </si>
  <si>
    <t>[206</t>
  </si>
  <si>
    <t>[207</t>
  </si>
  <si>
    <t>[208</t>
  </si>
  <si>
    <t>[209</t>
  </si>
  <si>
    <t>[210</t>
  </si>
  <si>
    <t>[211</t>
  </si>
  <si>
    <t>[212</t>
  </si>
  <si>
    <t>[213</t>
  </si>
  <si>
    <t>[214</t>
  </si>
  <si>
    <t>[215</t>
  </si>
  <si>
    <t>[216</t>
  </si>
  <si>
    <t>[217</t>
  </si>
  <si>
    <t>[218</t>
  </si>
  <si>
    <t>[219</t>
  </si>
  <si>
    <t>[220</t>
  </si>
  <si>
    <t>[221</t>
  </si>
  <si>
    <t>[222</t>
  </si>
  <si>
    <t>[223</t>
  </si>
  <si>
    <t>[224</t>
  </si>
  <si>
    <t>[225</t>
  </si>
  <si>
    <t>[226</t>
  </si>
  <si>
    <t>[227</t>
  </si>
  <si>
    <t>[228</t>
  </si>
  <si>
    <t>[229</t>
  </si>
  <si>
    <t>[230</t>
  </si>
  <si>
    <t>[231</t>
  </si>
  <si>
    <t>[232</t>
  </si>
  <si>
    <t>[233</t>
  </si>
  <si>
    <t>[234</t>
  </si>
  <si>
    <t>[235</t>
  </si>
  <si>
    <t>[236</t>
  </si>
  <si>
    <t>[237</t>
  </si>
  <si>
    <t>[238</t>
  </si>
  <si>
    <t>[239</t>
  </si>
  <si>
    <t>[240</t>
  </si>
  <si>
    <t>[241</t>
  </si>
  <si>
    <t>[242</t>
  </si>
  <si>
    <t>[243</t>
  </si>
  <si>
    <t>[244</t>
  </si>
  <si>
    <t>[245</t>
  </si>
  <si>
    <t>[246</t>
  </si>
  <si>
    <t>[247</t>
  </si>
  <si>
    <t>[248</t>
  </si>
  <si>
    <t>[249</t>
  </si>
  <si>
    <t>[250</t>
  </si>
  <si>
    <t>[251</t>
  </si>
  <si>
    <t>[252</t>
  </si>
  <si>
    <t>[253</t>
  </si>
  <si>
    <t>[254</t>
  </si>
  <si>
    <t>[255</t>
  </si>
  <si>
    <t>[256</t>
  </si>
  <si>
    <t>[257</t>
  </si>
  <si>
    <t>[258</t>
  </si>
  <si>
    <t>[259</t>
  </si>
  <si>
    <t>[260</t>
  </si>
  <si>
    <t>[261</t>
  </si>
  <si>
    <t>[262</t>
  </si>
  <si>
    <t>[263</t>
  </si>
  <si>
    <t>[264</t>
  </si>
  <si>
    <t>[265</t>
  </si>
  <si>
    <t>[266</t>
  </si>
  <si>
    <t>[267</t>
  </si>
  <si>
    <t>[268</t>
  </si>
  <si>
    <t>[269</t>
  </si>
  <si>
    <t>[270</t>
  </si>
  <si>
    <t>[271</t>
  </si>
  <si>
    <t>[272</t>
  </si>
  <si>
    <t>[273</t>
  </si>
  <si>
    <t>[274</t>
  </si>
  <si>
    <t>[275</t>
  </si>
  <si>
    <t>[276</t>
  </si>
  <si>
    <t>[277</t>
  </si>
  <si>
    <t>[278</t>
  </si>
  <si>
    <t>[279</t>
  </si>
  <si>
    <t>[280</t>
  </si>
  <si>
    <t>[281</t>
  </si>
  <si>
    <t>[282</t>
  </si>
  <si>
    <t>[283</t>
  </si>
  <si>
    <t>[284</t>
  </si>
  <si>
    <t>[285</t>
  </si>
  <si>
    <t>[286</t>
  </si>
  <si>
    <t>[287</t>
  </si>
  <si>
    <t>[288</t>
  </si>
  <si>
    <t>[289</t>
  </si>
  <si>
    <t>[290</t>
  </si>
  <si>
    <t>[291</t>
  </si>
  <si>
    <t>[292</t>
  </si>
  <si>
    <t>[293</t>
  </si>
  <si>
    <t>[294</t>
  </si>
  <si>
    <t>[295</t>
  </si>
  <si>
    <t>[296</t>
  </si>
  <si>
    <t>[297</t>
  </si>
  <si>
    <t>[298</t>
  </si>
  <si>
    <t>[299</t>
  </si>
  <si>
    <t>[300</t>
  </si>
  <si>
    <t>[301</t>
  </si>
  <si>
    <t>[302</t>
  </si>
  <si>
    <t>[303</t>
  </si>
  <si>
    <t>[304</t>
  </si>
  <si>
    <t>[305</t>
  </si>
  <si>
    <t>[306</t>
  </si>
  <si>
    <t>[307</t>
  </si>
  <si>
    <t>[308</t>
  </si>
  <si>
    <t>[309</t>
  </si>
  <si>
    <t>[310</t>
  </si>
  <si>
    <t>[311</t>
  </si>
  <si>
    <t>[312</t>
  </si>
  <si>
    <t>[313</t>
  </si>
  <si>
    <t>[314</t>
  </si>
  <si>
    <t>[315</t>
  </si>
  <si>
    <t>[316</t>
  </si>
  <si>
    <t>[317</t>
  </si>
  <si>
    <t>[318</t>
  </si>
  <si>
    <t>[319</t>
  </si>
  <si>
    <t>[320</t>
  </si>
  <si>
    <t>[321</t>
  </si>
  <si>
    <t>[322</t>
  </si>
  <si>
    <t>[323</t>
  </si>
  <si>
    <t>[324</t>
  </si>
  <si>
    <t>[325</t>
  </si>
  <si>
    <t>[326</t>
  </si>
  <si>
    <t>[327</t>
  </si>
  <si>
    <t>[328</t>
  </si>
  <si>
    <t>[329</t>
  </si>
  <si>
    <t>[330</t>
  </si>
  <si>
    <t>[331</t>
  </si>
  <si>
    <t>[332</t>
  </si>
  <si>
    <t>[333</t>
  </si>
  <si>
    <t>[334</t>
  </si>
  <si>
    <t>[335</t>
  </si>
  <si>
    <t>[336</t>
  </si>
  <si>
    <t>[337</t>
  </si>
  <si>
    <t>[338</t>
  </si>
  <si>
    <t>[339</t>
  </si>
  <si>
    <t>[340</t>
  </si>
  <si>
    <t>[341</t>
  </si>
  <si>
    <t>[342</t>
  </si>
  <si>
    <t>[343</t>
  </si>
  <si>
    <t>[344</t>
  </si>
  <si>
    <t>[345</t>
  </si>
  <si>
    <t>[346</t>
  </si>
  <si>
    <t>[347</t>
  </si>
  <si>
    <t>[348</t>
  </si>
  <si>
    <t>[349</t>
  </si>
  <si>
    <t>[350</t>
  </si>
  <si>
    <t>[351</t>
  </si>
  <si>
    <t>[352</t>
  </si>
  <si>
    <t>[353</t>
  </si>
  <si>
    <t>[354</t>
  </si>
  <si>
    <t>[355</t>
  </si>
  <si>
    <t>[356</t>
  </si>
  <si>
    <t>[357</t>
  </si>
  <si>
    <t>[358</t>
  </si>
  <si>
    <t>[359</t>
  </si>
  <si>
    <t>[360</t>
  </si>
  <si>
    <t>[361</t>
  </si>
  <si>
    <t>curtailment.smooth.cpr</t>
  </si>
  <si>
    <t>Modify 1</t>
  </si>
  <si>
    <t>Modify 2</t>
  </si>
  <si>
    <t>Modify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</si>
</sst>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Lucida Console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9" fontId="0" fillId="0" borderId="0" xfId="1" applyFont="1"/>
    <xf numFmtId="164" fontId="0" fillId="0" borderId="0" xfId="1" applyNumberFormat="1" applyFont="1"/>
    <xf numFmtId="11" fontId="0" fillId="0" borderId="0" xfId="0" applyNumberForma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2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cpr</c:v>
                </c:pt>
              </c:strCache>
            </c:strRef>
          </c:tx>
          <c:marker>
            <c:symbol val="none"/>
          </c:marker>
          <c:cat>
            <c:numRef>
              <c:f>Sheet1!$A$2:$A$156</c:f>
              <c:numCache>
                <c:formatCode>General</c:formatCode>
                <c:ptCount val="15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260</c:v>
                </c:pt>
                <c:pt idx="129">
                  <c:v>264</c:v>
                </c:pt>
                <c:pt idx="130">
                  <c:v>266</c:v>
                </c:pt>
                <c:pt idx="131">
                  <c:v>271</c:v>
                </c:pt>
                <c:pt idx="132">
                  <c:v>284</c:v>
                </c:pt>
                <c:pt idx="133">
                  <c:v>302</c:v>
                </c:pt>
                <c:pt idx="134">
                  <c:v>303</c:v>
                </c:pt>
                <c:pt idx="135">
                  <c:v>306</c:v>
                </c:pt>
                <c:pt idx="136">
                  <c:v>310</c:v>
                </c:pt>
                <c:pt idx="137">
                  <c:v>316</c:v>
                </c:pt>
                <c:pt idx="138">
                  <c:v>317</c:v>
                </c:pt>
                <c:pt idx="139">
                  <c:v>318</c:v>
                </c:pt>
                <c:pt idx="140">
                  <c:v>319</c:v>
                </c:pt>
                <c:pt idx="141">
                  <c:v>320</c:v>
                </c:pt>
                <c:pt idx="142">
                  <c:v>321</c:v>
                </c:pt>
                <c:pt idx="143">
                  <c:v>322</c:v>
                </c:pt>
                <c:pt idx="144">
                  <c:v>324</c:v>
                </c:pt>
                <c:pt idx="145">
                  <c:v>325</c:v>
                </c:pt>
                <c:pt idx="146">
                  <c:v>326</c:v>
                </c:pt>
                <c:pt idx="147">
                  <c:v>329</c:v>
                </c:pt>
                <c:pt idx="148">
                  <c:v>330</c:v>
                </c:pt>
                <c:pt idx="149">
                  <c:v>331</c:v>
                </c:pt>
                <c:pt idx="150">
                  <c:v>332</c:v>
                </c:pt>
                <c:pt idx="151">
                  <c:v>333</c:v>
                </c:pt>
                <c:pt idx="152">
                  <c:v>336</c:v>
                </c:pt>
                <c:pt idx="153">
                  <c:v>337</c:v>
                </c:pt>
              </c:numCache>
            </c:numRef>
          </c:cat>
          <c:val>
            <c:numRef>
              <c:f>Sheet1!$E$2:$E$156</c:f>
              <c:numCache>
                <c:formatCode>General</c:formatCode>
                <c:ptCount val="155"/>
                <c:pt idx="0">
                  <c:v>0.62959363705542559</c:v>
                </c:pt>
                <c:pt idx="1">
                  <c:v>1.777543720772623</c:v>
                </c:pt>
                <c:pt idx="2">
                  <c:v>2.202751794863389</c:v>
                </c:pt>
                <c:pt idx="3">
                  <c:v>2.6231326291491941</c:v>
                </c:pt>
                <c:pt idx="4">
                  <c:v>3.1307632262069118</c:v>
                </c:pt>
                <c:pt idx="5">
                  <c:v>3.3954720769867497</c:v>
                </c:pt>
                <c:pt idx="6">
                  <c:v>4.0593471013549269</c:v>
                </c:pt>
                <c:pt idx="7">
                  <c:v>4.1734592735695912</c:v>
                </c:pt>
                <c:pt idx="8">
                  <c:v>4.7320894105518647</c:v>
                </c:pt>
                <c:pt idx="9">
                  <c:v>4.9836366620732875</c:v>
                </c:pt>
                <c:pt idx="10">
                  <c:v>5.4209681370367635</c:v>
                </c:pt>
                <c:pt idx="11">
                  <c:v>5.835685059339724</c:v>
                </c:pt>
                <c:pt idx="12">
                  <c:v>6.115436751749936</c:v>
                </c:pt>
                <c:pt idx="13">
                  <c:v>6.4278880644927039</c:v>
                </c:pt>
                <c:pt idx="14">
                  <c:v>6.3651820028757244</c:v>
                </c:pt>
                <c:pt idx="15">
                  <c:v>6.3084472413200476</c:v>
                </c:pt>
                <c:pt idx="16">
                  <c:v>6.557161254074428</c:v>
                </c:pt>
                <c:pt idx="17">
                  <c:v>6.761500974807455</c:v>
                </c:pt>
                <c:pt idx="18">
                  <c:v>6.7566965520224453</c:v>
                </c:pt>
                <c:pt idx="19">
                  <c:v>6.8122625356677124</c:v>
                </c:pt>
                <c:pt idx="20">
                  <c:v>7.0442013387129077</c:v>
                </c:pt>
                <c:pt idx="21">
                  <c:v>7.1169887528934499</c:v>
                </c:pt>
                <c:pt idx="22">
                  <c:v>7.0768093472613147</c:v>
                </c:pt>
                <c:pt idx="23">
                  <c:v>7.1534304682994492</c:v>
                </c:pt>
                <c:pt idx="24">
                  <c:v>7.7829411865892872</c:v>
                </c:pt>
                <c:pt idx="25">
                  <c:v>7.7911149747014967</c:v>
                </c:pt>
                <c:pt idx="26">
                  <c:v>8.0638674808061079</c:v>
                </c:pt>
                <c:pt idx="27">
                  <c:v>8.2589638227201778</c:v>
                </c:pt>
                <c:pt idx="28">
                  <c:v>8.1152571845173433</c:v>
                </c:pt>
                <c:pt idx="29">
                  <c:v>8.2342865949025281</c:v>
                </c:pt>
                <c:pt idx="30">
                  <c:v>8.2586610534330696</c:v>
                </c:pt>
                <c:pt idx="31">
                  <c:v>8.3302591564870294</c:v>
                </c:pt>
                <c:pt idx="32">
                  <c:v>8.3812236309103838</c:v>
                </c:pt>
                <c:pt idx="33">
                  <c:v>8.1142099650758919</c:v>
                </c:pt>
                <c:pt idx="34">
                  <c:v>8.1548405260822303</c:v>
                </c:pt>
                <c:pt idx="35">
                  <c:v>8.1636459623322111</c:v>
                </c:pt>
                <c:pt idx="36">
                  <c:v>7.8748674808581276</c:v>
                </c:pt>
                <c:pt idx="37">
                  <c:v>7.5791547666089194</c:v>
                </c:pt>
                <c:pt idx="38">
                  <c:v>8.1036261780804359</c:v>
                </c:pt>
                <c:pt idx="39">
                  <c:v>7.9494367508590402</c:v>
                </c:pt>
                <c:pt idx="40">
                  <c:v>7.9944801641613994</c:v>
                </c:pt>
                <c:pt idx="41">
                  <c:v>7.9015070582091678</c:v>
                </c:pt>
                <c:pt idx="42">
                  <c:v>7.7036840364268162</c:v>
                </c:pt>
                <c:pt idx="43">
                  <c:v>7.703314218263535</c:v>
                </c:pt>
                <c:pt idx="44">
                  <c:v>7.7077355951147952</c:v>
                </c:pt>
                <c:pt idx="45">
                  <c:v>7.9677625391141422</c:v>
                </c:pt>
                <c:pt idx="46">
                  <c:v>7.7210885866874079</c:v>
                </c:pt>
                <c:pt idx="47">
                  <c:v>7.5219924257821535</c:v>
                </c:pt>
                <c:pt idx="48">
                  <c:v>7.8026895242376497</c:v>
                </c:pt>
                <c:pt idx="49">
                  <c:v>7.0557193639393052</c:v>
                </c:pt>
                <c:pt idx="50">
                  <c:v>6.7478366630827953</c:v>
                </c:pt>
                <c:pt idx="51">
                  <c:v>6.9644758204594259</c:v>
                </c:pt>
                <c:pt idx="52">
                  <c:v>6.8759360194912134</c:v>
                </c:pt>
                <c:pt idx="53">
                  <c:v>6.4636611394756844</c:v>
                </c:pt>
                <c:pt idx="54">
                  <c:v>6.7586743577293662</c:v>
                </c:pt>
                <c:pt idx="55">
                  <c:v>7.1068521611687192</c:v>
                </c:pt>
                <c:pt idx="56">
                  <c:v>7.5215509575770163</c:v>
                </c:pt>
                <c:pt idx="57">
                  <c:v>7.3651815740169324</c:v>
                </c:pt>
                <c:pt idx="58">
                  <c:v>7.4065151493310495</c:v>
                </c:pt>
                <c:pt idx="59">
                  <c:v>6.4033398567136635</c:v>
                </c:pt>
                <c:pt idx="60">
                  <c:v>6.4607167941383992</c:v>
                </c:pt>
                <c:pt idx="61">
                  <c:v>5.6085640668331216</c:v>
                </c:pt>
                <c:pt idx="62">
                  <c:v>6.3375593128416678</c:v>
                </c:pt>
                <c:pt idx="63">
                  <c:v>5.752618144351529</c:v>
                </c:pt>
                <c:pt idx="64">
                  <c:v>5.8586054412823607</c:v>
                </c:pt>
                <c:pt idx="65">
                  <c:v>6.5745278464249823</c:v>
                </c:pt>
                <c:pt idx="66">
                  <c:v>7.4089155133860052</c:v>
                </c:pt>
                <c:pt idx="67">
                  <c:v>8.4162291122626627</c:v>
                </c:pt>
                <c:pt idx="68">
                  <c:v>9.3893013778788337</c:v>
                </c:pt>
                <c:pt idx="69">
                  <c:v>8.8117060029284104</c:v>
                </c:pt>
                <c:pt idx="70">
                  <c:v>8.0839096086261506</c:v>
                </c:pt>
                <c:pt idx="71">
                  <c:v>8.392215413034732</c:v>
                </c:pt>
                <c:pt idx="72">
                  <c:v>8.1969032067911733</c:v>
                </c:pt>
                <c:pt idx="73">
                  <c:v>8.3393786676269954</c:v>
                </c:pt>
                <c:pt idx="74">
                  <c:v>7.8943237483370066</c:v>
                </c:pt>
                <c:pt idx="75">
                  <c:v>7.6204427863395434</c:v>
                </c:pt>
                <c:pt idx="76">
                  <c:v>8.7169146180506871</c:v>
                </c:pt>
                <c:pt idx="77">
                  <c:v>8.1839326005549662</c:v>
                </c:pt>
                <c:pt idx="78">
                  <c:v>9.3790935608845327</c:v>
                </c:pt>
                <c:pt idx="79">
                  <c:v>8.0523161409074682</c:v>
                </c:pt>
                <c:pt idx="80">
                  <c:v>8.6335073219488851</c:v>
                </c:pt>
                <c:pt idx="81">
                  <c:v>8.7856237546714571</c:v>
                </c:pt>
                <c:pt idx="82">
                  <c:v>8.4919188954136082</c:v>
                </c:pt>
                <c:pt idx="83">
                  <c:v>8.6540960974346053</c:v>
                </c:pt>
                <c:pt idx="84">
                  <c:v>8.4062676568600665</c:v>
                </c:pt>
                <c:pt idx="85">
                  <c:v>8.5560889999721894</c:v>
                </c:pt>
                <c:pt idx="86">
                  <c:v>8.8677474617753447</c:v>
                </c:pt>
                <c:pt idx="87">
                  <c:v>7.5763987345954913</c:v>
                </c:pt>
                <c:pt idx="88">
                  <c:v>8.6932591446993399</c:v>
                </c:pt>
                <c:pt idx="89">
                  <c:v>8.6100307732977726</c:v>
                </c:pt>
                <c:pt idx="90">
                  <c:v>10.337815171115061</c:v>
                </c:pt>
                <c:pt idx="91">
                  <c:v>11.745564308220214</c:v>
                </c:pt>
                <c:pt idx="92">
                  <c:v>8.4425010701914331</c:v>
                </c:pt>
                <c:pt idx="93">
                  <c:v>12.845350250434585</c:v>
                </c:pt>
                <c:pt idx="94">
                  <c:v>7.281373254055012</c:v>
                </c:pt>
                <c:pt idx="95">
                  <c:v>6.5309349305925801</c:v>
                </c:pt>
                <c:pt idx="96">
                  <c:v>9.3369648220840045</c:v>
                </c:pt>
                <c:pt idx="97">
                  <c:v>13.004349112777492</c:v>
                </c:pt>
                <c:pt idx="98">
                  <c:v>8.7854288383812253</c:v>
                </c:pt>
                <c:pt idx="99">
                  <c:v>12.84453006935995</c:v>
                </c:pt>
                <c:pt idx="100">
                  <c:v>10.683906789632625</c:v>
                </c:pt>
                <c:pt idx="101">
                  <c:v>10.752868631600364</c:v>
                </c:pt>
                <c:pt idx="102">
                  <c:v>11.439660077273651</c:v>
                </c:pt>
                <c:pt idx="103">
                  <c:v>10.737435320449995</c:v>
                </c:pt>
                <c:pt idx="104">
                  <c:v>8.472238468970783</c:v>
                </c:pt>
                <c:pt idx="105">
                  <c:v>11.002206471572052</c:v>
                </c:pt>
                <c:pt idx="106">
                  <c:v>2.4068321741530396</c:v>
                </c:pt>
                <c:pt idx="107">
                  <c:v>21.052093446330478</c:v>
                </c:pt>
                <c:pt idx="108">
                  <c:v>19.345982320030597</c:v>
                </c:pt>
                <c:pt idx="109">
                  <c:v>13.347916722882246</c:v>
                </c:pt>
                <c:pt idx="110">
                  <c:v>6.4994274469644342</c:v>
                </c:pt>
                <c:pt idx="111">
                  <c:v>13.632545589093903</c:v>
                </c:pt>
                <c:pt idx="112">
                  <c:v>12.378672004442159</c:v>
                </c:pt>
                <c:pt idx="113">
                  <c:v>6.9938967193913353</c:v>
                </c:pt>
                <c:pt idx="114">
                  <c:v>6.9325321212923008</c:v>
                </c:pt>
                <c:pt idx="115">
                  <c:v>11.147362201661226</c:v>
                </c:pt>
                <c:pt idx="116">
                  <c:v>11.752443927224398</c:v>
                </c:pt>
                <c:pt idx="117">
                  <c:v>3.7209498265943441</c:v>
                </c:pt>
                <c:pt idx="118">
                  <c:v>8.6997721640594818</c:v>
                </c:pt>
                <c:pt idx="119">
                  <c:v>13.043500698103838</c:v>
                </c:pt>
                <c:pt idx="120">
                  <c:v>11.605338058655768</c:v>
                </c:pt>
                <c:pt idx="121">
                  <c:v>5.1773494524116277</c:v>
                </c:pt>
                <c:pt idx="122">
                  <c:v>18.977827112480327</c:v>
                </c:pt>
                <c:pt idx="123">
                  <c:v>10.482105351092219</c:v>
                </c:pt>
                <c:pt idx="124">
                  <c:v>13.027121740933501</c:v>
                </c:pt>
                <c:pt idx="125">
                  <c:v>37.784756734050006</c:v>
                </c:pt>
                <c:pt idx="126">
                  <c:v>0.84632860724132009</c:v>
                </c:pt>
                <c:pt idx="127">
                  <c:v>9.8734112169782229</c:v>
                </c:pt>
                <c:pt idx="128">
                  <c:v>10.051551609928399</c:v>
                </c:pt>
                <c:pt idx="129">
                  <c:v>8.6282460742401756</c:v>
                </c:pt>
                <c:pt idx="130">
                  <c:v>8.2647441994675557</c:v>
                </c:pt>
                <c:pt idx="131">
                  <c:v>15.809556883446652</c:v>
                </c:pt>
                <c:pt idx="132">
                  <c:v>17.128190238474296</c:v>
                </c:pt>
                <c:pt idx="133">
                  <c:v>20.820350558620827</c:v>
                </c:pt>
                <c:pt idx="134">
                  <c:v>10.499443383464968</c:v>
                </c:pt>
                <c:pt idx="135">
                  <c:v>13.57817065400152</c:v>
                </c:pt>
                <c:pt idx="136">
                  <c:v>26.762109597859506</c:v>
                </c:pt>
                <c:pt idx="137">
                  <c:v>19.854008358822362</c:v>
                </c:pt>
                <c:pt idx="138">
                  <c:v>22.256279055821928</c:v>
                </c:pt>
                <c:pt idx="139">
                  <c:v>20.984576903930595</c:v>
                </c:pt>
                <c:pt idx="140">
                  <c:v>23.62983550755532</c:v>
                </c:pt>
                <c:pt idx="141">
                  <c:v>18.219854150759552</c:v>
                </c:pt>
                <c:pt idx="142">
                  <c:v>25.03601676304611</c:v>
                </c:pt>
                <c:pt idx="143">
                  <c:v>29.101195549606896</c:v>
                </c:pt>
                <c:pt idx="144">
                  <c:v>23.370848365718189</c:v>
                </c:pt>
                <c:pt idx="145">
                  <c:v>19.631643357053406</c:v>
                </c:pt>
                <c:pt idx="146">
                  <c:v>17.459848529771062</c:v>
                </c:pt>
                <c:pt idx="147">
                  <c:v>28.353977343057569</c:v>
                </c:pt>
                <c:pt idx="148">
                  <c:v>30.324404830505191</c:v>
                </c:pt>
                <c:pt idx="149">
                  <c:v>26.672328857601947</c:v>
                </c:pt>
                <c:pt idx="150">
                  <c:v>31.11325026235474</c:v>
                </c:pt>
                <c:pt idx="151">
                  <c:v>30.942977540658077</c:v>
                </c:pt>
                <c:pt idx="152">
                  <c:v>21.716946274926705</c:v>
                </c:pt>
                <c:pt idx="153">
                  <c:v>36.051761584549403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2513536"/>
        <c:axId val="362515072"/>
      </c:lineChart>
      <c:dateAx>
        <c:axId val="3625135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62515072"/>
        <c:crosses val="autoZero"/>
        <c:auto val="0"/>
        <c:lblOffset val="100"/>
        <c:baseTimeUnit val="days"/>
      </c:dateAx>
      <c:valAx>
        <c:axId val="3625150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6251353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cpr</c:v>
                </c:pt>
              </c:strCache>
            </c:strRef>
          </c:tx>
          <c:marker>
            <c:symbol val="none"/>
          </c:marker>
          <c:cat>
            <c:numRef>
              <c:f>Sheet1!$A$2:$A$156</c:f>
              <c:numCache>
                <c:formatCode>General</c:formatCode>
                <c:ptCount val="15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260</c:v>
                </c:pt>
                <c:pt idx="129">
                  <c:v>264</c:v>
                </c:pt>
                <c:pt idx="130">
                  <c:v>266</c:v>
                </c:pt>
                <c:pt idx="131">
                  <c:v>271</c:v>
                </c:pt>
                <c:pt idx="132">
                  <c:v>284</c:v>
                </c:pt>
                <c:pt idx="133">
                  <c:v>302</c:v>
                </c:pt>
                <c:pt idx="134">
                  <c:v>303</c:v>
                </c:pt>
                <c:pt idx="135">
                  <c:v>306</c:v>
                </c:pt>
                <c:pt idx="136">
                  <c:v>310</c:v>
                </c:pt>
                <c:pt idx="137">
                  <c:v>316</c:v>
                </c:pt>
                <c:pt idx="138">
                  <c:v>317</c:v>
                </c:pt>
                <c:pt idx="139">
                  <c:v>318</c:v>
                </c:pt>
                <c:pt idx="140">
                  <c:v>319</c:v>
                </c:pt>
                <c:pt idx="141">
                  <c:v>320</c:v>
                </c:pt>
                <c:pt idx="142">
                  <c:v>321</c:v>
                </c:pt>
                <c:pt idx="143">
                  <c:v>322</c:v>
                </c:pt>
                <c:pt idx="144">
                  <c:v>324</c:v>
                </c:pt>
                <c:pt idx="145">
                  <c:v>325</c:v>
                </c:pt>
                <c:pt idx="146">
                  <c:v>326</c:v>
                </c:pt>
                <c:pt idx="147">
                  <c:v>329</c:v>
                </c:pt>
                <c:pt idx="148">
                  <c:v>330</c:v>
                </c:pt>
                <c:pt idx="149">
                  <c:v>331</c:v>
                </c:pt>
                <c:pt idx="150">
                  <c:v>332</c:v>
                </c:pt>
                <c:pt idx="151">
                  <c:v>333</c:v>
                </c:pt>
                <c:pt idx="152">
                  <c:v>336</c:v>
                </c:pt>
                <c:pt idx="153">
                  <c:v>337</c:v>
                </c:pt>
              </c:numCache>
            </c:numRef>
          </c:cat>
          <c:val>
            <c:numRef>
              <c:f>Sheet1!$E$2:$E$156</c:f>
              <c:numCache>
                <c:formatCode>General</c:formatCode>
                <c:ptCount val="155"/>
                <c:pt idx="0">
                  <c:v>0.62959363705542559</c:v>
                </c:pt>
                <c:pt idx="1">
                  <c:v>1.777543720772623</c:v>
                </c:pt>
                <c:pt idx="2">
                  <c:v>2.202751794863389</c:v>
                </c:pt>
                <c:pt idx="3">
                  <c:v>2.6231326291491941</c:v>
                </c:pt>
                <c:pt idx="4">
                  <c:v>3.1307632262069118</c:v>
                </c:pt>
                <c:pt idx="5">
                  <c:v>3.3954720769867497</c:v>
                </c:pt>
                <c:pt idx="6">
                  <c:v>4.0593471013549269</c:v>
                </c:pt>
                <c:pt idx="7">
                  <c:v>4.1734592735695912</c:v>
                </c:pt>
                <c:pt idx="8">
                  <c:v>4.7320894105518647</c:v>
                </c:pt>
                <c:pt idx="9">
                  <c:v>4.9836366620732875</c:v>
                </c:pt>
                <c:pt idx="10">
                  <c:v>5.4209681370367635</c:v>
                </c:pt>
                <c:pt idx="11">
                  <c:v>5.835685059339724</c:v>
                </c:pt>
                <c:pt idx="12">
                  <c:v>6.115436751749936</c:v>
                </c:pt>
                <c:pt idx="13">
                  <c:v>6.4278880644927039</c:v>
                </c:pt>
                <c:pt idx="14">
                  <c:v>6.3651820028757244</c:v>
                </c:pt>
                <c:pt idx="15">
                  <c:v>6.3084472413200476</c:v>
                </c:pt>
                <c:pt idx="16">
                  <c:v>6.557161254074428</c:v>
                </c:pt>
                <c:pt idx="17">
                  <c:v>6.761500974807455</c:v>
                </c:pt>
                <c:pt idx="18">
                  <c:v>6.7566965520224453</c:v>
                </c:pt>
                <c:pt idx="19">
                  <c:v>6.8122625356677124</c:v>
                </c:pt>
                <c:pt idx="20">
                  <c:v>7.0442013387129077</c:v>
                </c:pt>
                <c:pt idx="21">
                  <c:v>7.1169887528934499</c:v>
                </c:pt>
                <c:pt idx="22">
                  <c:v>7.0768093472613147</c:v>
                </c:pt>
                <c:pt idx="23">
                  <c:v>7.1534304682994492</c:v>
                </c:pt>
                <c:pt idx="24">
                  <c:v>7.7829411865892872</c:v>
                </c:pt>
                <c:pt idx="25">
                  <c:v>7.7911149747014967</c:v>
                </c:pt>
                <c:pt idx="26">
                  <c:v>8.0638674808061079</c:v>
                </c:pt>
                <c:pt idx="27">
                  <c:v>8.2589638227201778</c:v>
                </c:pt>
                <c:pt idx="28">
                  <c:v>8.1152571845173433</c:v>
                </c:pt>
                <c:pt idx="29">
                  <c:v>8.2342865949025281</c:v>
                </c:pt>
                <c:pt idx="30">
                  <c:v>8.2586610534330696</c:v>
                </c:pt>
                <c:pt idx="31">
                  <c:v>8.3302591564870294</c:v>
                </c:pt>
                <c:pt idx="32">
                  <c:v>8.3812236309103838</c:v>
                </c:pt>
                <c:pt idx="33">
                  <c:v>8.1142099650758919</c:v>
                </c:pt>
                <c:pt idx="34">
                  <c:v>8.1548405260822303</c:v>
                </c:pt>
                <c:pt idx="35">
                  <c:v>8.1636459623322111</c:v>
                </c:pt>
                <c:pt idx="36">
                  <c:v>7.8748674808581276</c:v>
                </c:pt>
                <c:pt idx="37">
                  <c:v>7.5791547666089194</c:v>
                </c:pt>
                <c:pt idx="38">
                  <c:v>8.1036261780804359</c:v>
                </c:pt>
                <c:pt idx="39">
                  <c:v>7.9494367508590402</c:v>
                </c:pt>
                <c:pt idx="40">
                  <c:v>7.9944801641613994</c:v>
                </c:pt>
                <c:pt idx="41">
                  <c:v>7.9015070582091678</c:v>
                </c:pt>
                <c:pt idx="42">
                  <c:v>7.7036840364268162</c:v>
                </c:pt>
                <c:pt idx="43">
                  <c:v>7.703314218263535</c:v>
                </c:pt>
                <c:pt idx="44">
                  <c:v>7.7077355951147952</c:v>
                </c:pt>
                <c:pt idx="45">
                  <c:v>7.9677625391141422</c:v>
                </c:pt>
                <c:pt idx="46">
                  <c:v>7.7210885866874079</c:v>
                </c:pt>
                <c:pt idx="47">
                  <c:v>7.5219924257821535</c:v>
                </c:pt>
                <c:pt idx="48">
                  <c:v>7.8026895242376497</c:v>
                </c:pt>
                <c:pt idx="49">
                  <c:v>7.0557193639393052</c:v>
                </c:pt>
                <c:pt idx="50">
                  <c:v>6.7478366630827953</c:v>
                </c:pt>
                <c:pt idx="51">
                  <c:v>6.9644758204594259</c:v>
                </c:pt>
                <c:pt idx="52">
                  <c:v>6.8759360194912134</c:v>
                </c:pt>
                <c:pt idx="53">
                  <c:v>6.4636611394756844</c:v>
                </c:pt>
                <c:pt idx="54">
                  <c:v>6.7586743577293662</c:v>
                </c:pt>
                <c:pt idx="55">
                  <c:v>7.1068521611687192</c:v>
                </c:pt>
                <c:pt idx="56">
                  <c:v>7.5215509575770163</c:v>
                </c:pt>
                <c:pt idx="57">
                  <c:v>7.3651815740169324</c:v>
                </c:pt>
                <c:pt idx="58">
                  <c:v>7.4065151493310495</c:v>
                </c:pt>
                <c:pt idx="59">
                  <c:v>6.4033398567136635</c:v>
                </c:pt>
                <c:pt idx="60">
                  <c:v>6.4607167941383992</c:v>
                </c:pt>
                <c:pt idx="61">
                  <c:v>5.6085640668331216</c:v>
                </c:pt>
                <c:pt idx="62">
                  <c:v>6.3375593128416678</c:v>
                </c:pt>
                <c:pt idx="63">
                  <c:v>5.752618144351529</c:v>
                </c:pt>
                <c:pt idx="64">
                  <c:v>5.8586054412823607</c:v>
                </c:pt>
                <c:pt idx="65">
                  <c:v>6.5745278464249823</c:v>
                </c:pt>
                <c:pt idx="66">
                  <c:v>7.4089155133860052</c:v>
                </c:pt>
                <c:pt idx="67">
                  <c:v>8.4162291122626627</c:v>
                </c:pt>
                <c:pt idx="68">
                  <c:v>9.3893013778788337</c:v>
                </c:pt>
                <c:pt idx="69">
                  <c:v>8.8117060029284104</c:v>
                </c:pt>
                <c:pt idx="70">
                  <c:v>8.0839096086261506</c:v>
                </c:pt>
                <c:pt idx="71">
                  <c:v>8.392215413034732</c:v>
                </c:pt>
                <c:pt idx="72">
                  <c:v>8.1969032067911733</c:v>
                </c:pt>
                <c:pt idx="73">
                  <c:v>8.3393786676269954</c:v>
                </c:pt>
                <c:pt idx="74">
                  <c:v>7.8943237483370066</c:v>
                </c:pt>
                <c:pt idx="75">
                  <c:v>7.6204427863395434</c:v>
                </c:pt>
                <c:pt idx="76">
                  <c:v>8.7169146180506871</c:v>
                </c:pt>
                <c:pt idx="77">
                  <c:v>8.1839326005549662</c:v>
                </c:pt>
                <c:pt idx="78">
                  <c:v>9.3790935608845327</c:v>
                </c:pt>
                <c:pt idx="79">
                  <c:v>8.0523161409074682</c:v>
                </c:pt>
                <c:pt idx="80">
                  <c:v>8.6335073219488851</c:v>
                </c:pt>
                <c:pt idx="81">
                  <c:v>8.7856237546714571</c:v>
                </c:pt>
                <c:pt idx="82">
                  <c:v>8.4919188954136082</c:v>
                </c:pt>
                <c:pt idx="83">
                  <c:v>8.6540960974346053</c:v>
                </c:pt>
                <c:pt idx="84">
                  <c:v>8.4062676568600665</c:v>
                </c:pt>
                <c:pt idx="85">
                  <c:v>8.5560889999721894</c:v>
                </c:pt>
                <c:pt idx="86">
                  <c:v>8.8677474617753447</c:v>
                </c:pt>
                <c:pt idx="87">
                  <c:v>7.5763987345954913</c:v>
                </c:pt>
                <c:pt idx="88">
                  <c:v>8.6932591446993399</c:v>
                </c:pt>
                <c:pt idx="89">
                  <c:v>8.6100307732977726</c:v>
                </c:pt>
                <c:pt idx="90">
                  <c:v>10.337815171115061</c:v>
                </c:pt>
                <c:pt idx="91">
                  <c:v>11.745564308220214</c:v>
                </c:pt>
                <c:pt idx="92">
                  <c:v>8.4425010701914331</c:v>
                </c:pt>
                <c:pt idx="93">
                  <c:v>12.845350250434585</c:v>
                </c:pt>
                <c:pt idx="94">
                  <c:v>7.281373254055012</c:v>
                </c:pt>
                <c:pt idx="95">
                  <c:v>6.5309349305925801</c:v>
                </c:pt>
                <c:pt idx="96">
                  <c:v>9.3369648220840045</c:v>
                </c:pt>
                <c:pt idx="97">
                  <c:v>13.004349112777492</c:v>
                </c:pt>
                <c:pt idx="98">
                  <c:v>8.7854288383812253</c:v>
                </c:pt>
                <c:pt idx="99">
                  <c:v>12.84453006935995</c:v>
                </c:pt>
                <c:pt idx="100">
                  <c:v>10.683906789632625</c:v>
                </c:pt>
                <c:pt idx="101">
                  <c:v>10.752868631600364</c:v>
                </c:pt>
                <c:pt idx="102">
                  <c:v>11.439660077273651</c:v>
                </c:pt>
                <c:pt idx="103">
                  <c:v>10.737435320449995</c:v>
                </c:pt>
                <c:pt idx="104">
                  <c:v>8.472238468970783</c:v>
                </c:pt>
                <c:pt idx="105">
                  <c:v>11.002206471572052</c:v>
                </c:pt>
                <c:pt idx="106">
                  <c:v>2.4068321741530396</c:v>
                </c:pt>
                <c:pt idx="107">
                  <c:v>21.052093446330478</c:v>
                </c:pt>
                <c:pt idx="108">
                  <c:v>19.345982320030597</c:v>
                </c:pt>
                <c:pt idx="109">
                  <c:v>13.347916722882246</c:v>
                </c:pt>
                <c:pt idx="110">
                  <c:v>6.4994274469644342</c:v>
                </c:pt>
                <c:pt idx="111">
                  <c:v>13.632545589093903</c:v>
                </c:pt>
                <c:pt idx="112">
                  <c:v>12.378672004442159</c:v>
                </c:pt>
                <c:pt idx="113">
                  <c:v>6.9938967193913353</c:v>
                </c:pt>
                <c:pt idx="114">
                  <c:v>6.9325321212923008</c:v>
                </c:pt>
                <c:pt idx="115">
                  <c:v>11.147362201661226</c:v>
                </c:pt>
                <c:pt idx="116">
                  <c:v>11.752443927224398</c:v>
                </c:pt>
                <c:pt idx="117">
                  <c:v>3.7209498265943441</c:v>
                </c:pt>
                <c:pt idx="118">
                  <c:v>8.6997721640594818</c:v>
                </c:pt>
                <c:pt idx="119">
                  <c:v>13.043500698103838</c:v>
                </c:pt>
                <c:pt idx="120">
                  <c:v>11.605338058655768</c:v>
                </c:pt>
                <c:pt idx="121">
                  <c:v>5.1773494524116277</c:v>
                </c:pt>
                <c:pt idx="122">
                  <c:v>18.977827112480327</c:v>
                </c:pt>
                <c:pt idx="123">
                  <c:v>10.482105351092219</c:v>
                </c:pt>
                <c:pt idx="124">
                  <c:v>13.027121740933501</c:v>
                </c:pt>
                <c:pt idx="125">
                  <c:v>37.784756734050006</c:v>
                </c:pt>
                <c:pt idx="126">
                  <c:v>0.84632860724132009</c:v>
                </c:pt>
                <c:pt idx="127">
                  <c:v>9.8734112169782229</c:v>
                </c:pt>
                <c:pt idx="128">
                  <c:v>10.051551609928399</c:v>
                </c:pt>
                <c:pt idx="129">
                  <c:v>8.6282460742401756</c:v>
                </c:pt>
                <c:pt idx="130">
                  <c:v>8.2647441994675557</c:v>
                </c:pt>
                <c:pt idx="131">
                  <c:v>15.809556883446652</c:v>
                </c:pt>
                <c:pt idx="132">
                  <c:v>17.128190238474296</c:v>
                </c:pt>
                <c:pt idx="133">
                  <c:v>20.820350558620827</c:v>
                </c:pt>
                <c:pt idx="134">
                  <c:v>10.499443383464968</c:v>
                </c:pt>
                <c:pt idx="135">
                  <c:v>13.57817065400152</c:v>
                </c:pt>
                <c:pt idx="136">
                  <c:v>26.762109597859506</c:v>
                </c:pt>
                <c:pt idx="137">
                  <c:v>19.854008358822362</c:v>
                </c:pt>
                <c:pt idx="138">
                  <c:v>22.256279055821928</c:v>
                </c:pt>
                <c:pt idx="139">
                  <c:v>20.984576903930595</c:v>
                </c:pt>
                <c:pt idx="140">
                  <c:v>23.62983550755532</c:v>
                </c:pt>
                <c:pt idx="141">
                  <c:v>18.219854150759552</c:v>
                </c:pt>
                <c:pt idx="142">
                  <c:v>25.03601676304611</c:v>
                </c:pt>
                <c:pt idx="143">
                  <c:v>29.101195549606896</c:v>
                </c:pt>
                <c:pt idx="144">
                  <c:v>23.370848365718189</c:v>
                </c:pt>
                <c:pt idx="145">
                  <c:v>19.631643357053406</c:v>
                </c:pt>
                <c:pt idx="146">
                  <c:v>17.459848529771062</c:v>
                </c:pt>
                <c:pt idx="147">
                  <c:v>28.353977343057569</c:v>
                </c:pt>
                <c:pt idx="148">
                  <c:v>30.324404830505191</c:v>
                </c:pt>
                <c:pt idx="149">
                  <c:v>26.672328857601947</c:v>
                </c:pt>
                <c:pt idx="150">
                  <c:v>31.11325026235474</c:v>
                </c:pt>
                <c:pt idx="151">
                  <c:v>30.942977540658077</c:v>
                </c:pt>
                <c:pt idx="152">
                  <c:v>21.716946274926705</c:v>
                </c:pt>
                <c:pt idx="153">
                  <c:v>36.051761584549403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5467520"/>
        <c:axId val="405469056"/>
      </c:lineChart>
      <c:catAx>
        <c:axId val="4054675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05469056"/>
        <c:crosses val="autoZero"/>
        <c:auto val="1"/>
        <c:lblAlgn val="ctr"/>
        <c:lblOffset val="100"/>
        <c:noMultiLvlLbl val="0"/>
      </c:catAx>
      <c:valAx>
        <c:axId val="4054690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0546752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Sheet3!$C$1</c:f>
              <c:strCache>
                <c:ptCount val="1"/>
                <c:pt idx="0">
                  <c:v>loan_curtail</c:v>
                </c:pt>
              </c:strCache>
            </c:strRef>
          </c:tx>
          <c:marker>
            <c:symbol val="none"/>
          </c:marker>
          <c:cat>
            <c:numRef>
              <c:f>Sheet3!$B$2:$B$33</c:f>
              <c:numCache>
                <c:formatCode>General</c:formatCode>
                <c:ptCount val="32"/>
                <c:pt idx="0">
                  <c:v>0</c:v>
                </c:pt>
                <c:pt idx="1">
                  <c:v>6</c:v>
                </c:pt>
                <c:pt idx="2">
                  <c:v>12</c:v>
                </c:pt>
                <c:pt idx="3">
                  <c:v>24</c:v>
                </c:pt>
                <c:pt idx="4">
                  <c:v>36</c:v>
                </c:pt>
                <c:pt idx="5">
                  <c:v>48</c:v>
                </c:pt>
                <c:pt idx="6">
                  <c:v>60</c:v>
                </c:pt>
                <c:pt idx="7">
                  <c:v>72</c:v>
                </c:pt>
                <c:pt idx="8">
                  <c:v>84</c:v>
                </c:pt>
                <c:pt idx="9">
                  <c:v>96</c:v>
                </c:pt>
                <c:pt idx="10">
                  <c:v>108</c:v>
                </c:pt>
                <c:pt idx="11">
                  <c:v>120</c:v>
                </c:pt>
                <c:pt idx="12">
                  <c:v>132</c:v>
                </c:pt>
                <c:pt idx="13">
                  <c:v>144</c:v>
                </c:pt>
                <c:pt idx="14">
                  <c:v>156</c:v>
                </c:pt>
                <c:pt idx="15">
                  <c:v>168</c:v>
                </c:pt>
                <c:pt idx="16">
                  <c:v>180</c:v>
                </c:pt>
                <c:pt idx="17">
                  <c:v>192</c:v>
                </c:pt>
                <c:pt idx="18">
                  <c:v>204</c:v>
                </c:pt>
                <c:pt idx="19">
                  <c:v>216</c:v>
                </c:pt>
                <c:pt idx="20">
                  <c:v>228</c:v>
                </c:pt>
                <c:pt idx="21">
                  <c:v>240</c:v>
                </c:pt>
                <c:pt idx="22">
                  <c:v>252</c:v>
                </c:pt>
                <c:pt idx="23">
                  <c:v>264</c:v>
                </c:pt>
                <c:pt idx="24">
                  <c:v>276</c:v>
                </c:pt>
                <c:pt idx="25">
                  <c:v>288</c:v>
                </c:pt>
                <c:pt idx="26">
                  <c:v>300</c:v>
                </c:pt>
                <c:pt idx="27">
                  <c:v>312</c:v>
                </c:pt>
                <c:pt idx="28">
                  <c:v>324</c:v>
                </c:pt>
                <c:pt idx="29">
                  <c:v>336</c:v>
                </c:pt>
                <c:pt idx="30">
                  <c:v>348</c:v>
                </c:pt>
                <c:pt idx="31">
                  <c:v>360</c:v>
                </c:pt>
              </c:numCache>
            </c:numRef>
          </c:cat>
          <c:val>
            <c:numRef>
              <c:f>Sheet3!$C$2:$C$33</c:f>
              <c:numCache>
                <c:formatCode>General</c:formatCode>
                <c:ptCount val="32"/>
                <c:pt idx="0">
                  <c:v>0</c:v>
                </c:pt>
                <c:pt idx="1">
                  <c:v>6.0000000000000001E-3</c:v>
                </c:pt>
                <c:pt idx="2">
                  <c:v>6.0000000000000001E-3</c:v>
                </c:pt>
                <c:pt idx="3">
                  <c:v>5.1999999999999998E-3</c:v>
                </c:pt>
                <c:pt idx="4">
                  <c:v>5.1999999999999998E-3</c:v>
                </c:pt>
                <c:pt idx="5">
                  <c:v>5.1000000000000004E-3</c:v>
                </c:pt>
                <c:pt idx="6">
                  <c:v>5.0000000000000001E-3</c:v>
                </c:pt>
                <c:pt idx="7">
                  <c:v>4.8999999999999998E-3</c:v>
                </c:pt>
                <c:pt idx="8">
                  <c:v>4.4999999999999997E-3</c:v>
                </c:pt>
                <c:pt idx="9">
                  <c:v>4.7000000000000002E-3</c:v>
                </c:pt>
                <c:pt idx="10">
                  <c:v>4.7999999999999996E-3</c:v>
                </c:pt>
                <c:pt idx="11">
                  <c:v>5.3E-3</c:v>
                </c:pt>
                <c:pt idx="12">
                  <c:v>6.7999999999999996E-3</c:v>
                </c:pt>
                <c:pt idx="13">
                  <c:v>6.7000000000000002E-3</c:v>
                </c:pt>
                <c:pt idx="14">
                  <c:v>8.3000000000000001E-3</c:v>
                </c:pt>
                <c:pt idx="15">
                  <c:v>8.2000000000000007E-3</c:v>
                </c:pt>
                <c:pt idx="16">
                  <c:v>8.8999999999999999E-3</c:v>
                </c:pt>
                <c:pt idx="17">
                  <c:v>9.1000000000000004E-3</c:v>
                </c:pt>
                <c:pt idx="18">
                  <c:v>9.2999999999999992E-3</c:v>
                </c:pt>
                <c:pt idx="19">
                  <c:v>1.11E-2</c:v>
                </c:pt>
                <c:pt idx="20">
                  <c:v>1.11E-2</c:v>
                </c:pt>
                <c:pt idx="21">
                  <c:v>1.21E-2</c:v>
                </c:pt>
                <c:pt idx="22">
                  <c:v>1.55E-2</c:v>
                </c:pt>
                <c:pt idx="23">
                  <c:v>1.29E-2</c:v>
                </c:pt>
                <c:pt idx="24">
                  <c:v>1.06E-2</c:v>
                </c:pt>
                <c:pt idx="25">
                  <c:v>3.8E-3</c:v>
                </c:pt>
                <c:pt idx="26">
                  <c:v>5.1999999999999998E-3</c:v>
                </c:pt>
                <c:pt idx="27">
                  <c:v>8.3999999999999995E-3</c:v>
                </c:pt>
                <c:pt idx="28">
                  <c:v>5.0000000000000001E-3</c:v>
                </c:pt>
                <c:pt idx="29">
                  <c:v>8.0000000000000002E-3</c:v>
                </c:pt>
                <c:pt idx="30">
                  <c:v>4.3E-3</c:v>
                </c:pt>
                <c:pt idx="31">
                  <c:v>1.6E-2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6571392"/>
        <c:axId val="396574080"/>
      </c:lineChart>
      <c:catAx>
        <c:axId val="3965713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96574080"/>
        <c:crosses val="autoZero"/>
        <c:auto val="1"/>
        <c:lblAlgn val="ctr"/>
        <c:lblOffset val="100"/>
        <c:noMultiLvlLbl val="0"/>
      </c:catAx>
      <c:valAx>
        <c:axId val="3965740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9657139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Sheet3!$K$1</c:f>
              <c:strCache>
                <c:ptCount val="1"/>
                <c:pt idx="0">
                  <c:v>citi_curtail</c:v>
                </c:pt>
              </c:strCache>
            </c:strRef>
          </c:tx>
          <c:marker>
            <c:symbol val="none"/>
          </c:marker>
          <c:cat>
            <c:numRef>
              <c:f>Sheet3!$J$2:$J$35</c:f>
              <c:numCache>
                <c:formatCode>General</c:formatCode>
                <c:ptCount val="34"/>
                <c:pt idx="0">
                  <c:v>0</c:v>
                </c:pt>
                <c:pt idx="1">
                  <c:v>6</c:v>
                </c:pt>
                <c:pt idx="2">
                  <c:v>12</c:v>
                </c:pt>
                <c:pt idx="3">
                  <c:v>24</c:v>
                </c:pt>
                <c:pt idx="4">
                  <c:v>36</c:v>
                </c:pt>
                <c:pt idx="5">
                  <c:v>48</c:v>
                </c:pt>
                <c:pt idx="6">
                  <c:v>60</c:v>
                </c:pt>
                <c:pt idx="7">
                  <c:v>72</c:v>
                </c:pt>
                <c:pt idx="8">
                  <c:v>84</c:v>
                </c:pt>
                <c:pt idx="9">
                  <c:v>96</c:v>
                </c:pt>
                <c:pt idx="10">
                  <c:v>108</c:v>
                </c:pt>
                <c:pt idx="11">
                  <c:v>120</c:v>
                </c:pt>
                <c:pt idx="12">
                  <c:v>132</c:v>
                </c:pt>
                <c:pt idx="13">
                  <c:v>144</c:v>
                </c:pt>
                <c:pt idx="14">
                  <c:v>156</c:v>
                </c:pt>
                <c:pt idx="15">
                  <c:v>168</c:v>
                </c:pt>
                <c:pt idx="16">
                  <c:v>180</c:v>
                </c:pt>
                <c:pt idx="17">
                  <c:v>192</c:v>
                </c:pt>
                <c:pt idx="18">
                  <c:v>204</c:v>
                </c:pt>
                <c:pt idx="19">
                  <c:v>216</c:v>
                </c:pt>
                <c:pt idx="20">
                  <c:v>228</c:v>
                </c:pt>
                <c:pt idx="21">
                  <c:v>240</c:v>
                </c:pt>
                <c:pt idx="22">
                  <c:v>252</c:v>
                </c:pt>
                <c:pt idx="23">
                  <c:v>264</c:v>
                </c:pt>
                <c:pt idx="24">
                  <c:v>276</c:v>
                </c:pt>
                <c:pt idx="25">
                  <c:v>288</c:v>
                </c:pt>
                <c:pt idx="26">
                  <c:v>300</c:v>
                </c:pt>
                <c:pt idx="27">
                  <c:v>312</c:v>
                </c:pt>
                <c:pt idx="28">
                  <c:v>324</c:v>
                </c:pt>
                <c:pt idx="29">
                  <c:v>336</c:v>
                </c:pt>
                <c:pt idx="30">
                  <c:v>348</c:v>
                </c:pt>
                <c:pt idx="31">
                  <c:v>360</c:v>
                </c:pt>
              </c:numCache>
            </c:numRef>
          </c:cat>
          <c:val>
            <c:numRef>
              <c:f>Sheet3!$K$2:$K$35</c:f>
              <c:numCache>
                <c:formatCode>General</c:formatCode>
                <c:ptCount val="34"/>
                <c:pt idx="0">
                  <c:v>0</c:v>
                </c:pt>
                <c:pt idx="1">
                  <c:v>3.0000000000000001E-3</c:v>
                </c:pt>
                <c:pt idx="2">
                  <c:v>3.0000000000000001E-3</c:v>
                </c:pt>
                <c:pt idx="3">
                  <c:v>4.3800000000000002E-3</c:v>
                </c:pt>
                <c:pt idx="4">
                  <c:v>5.2199999999999998E-3</c:v>
                </c:pt>
                <c:pt idx="5">
                  <c:v>6.3E-3</c:v>
                </c:pt>
                <c:pt idx="6">
                  <c:v>3.7799999999999999E-3</c:v>
                </c:pt>
                <c:pt idx="7">
                  <c:v>3.4199999999999999E-3</c:v>
                </c:pt>
                <c:pt idx="8">
                  <c:v>2.64E-3</c:v>
                </c:pt>
                <c:pt idx="9">
                  <c:v>3.1800000000000001E-3</c:v>
                </c:pt>
                <c:pt idx="10">
                  <c:v>4.1999999999999997E-3</c:v>
                </c:pt>
                <c:pt idx="11">
                  <c:v>4.7999999999999996E-3</c:v>
                </c:pt>
                <c:pt idx="12">
                  <c:v>3.3E-3</c:v>
                </c:pt>
                <c:pt idx="13">
                  <c:v>3.8400000000000001E-3</c:v>
                </c:pt>
                <c:pt idx="14">
                  <c:v>3.8999999999999998E-3</c:v>
                </c:pt>
                <c:pt idx="15">
                  <c:v>1.44E-2</c:v>
                </c:pt>
                <c:pt idx="16">
                  <c:v>1.278E-2</c:v>
                </c:pt>
                <c:pt idx="17">
                  <c:v>7.92E-3</c:v>
                </c:pt>
                <c:pt idx="18">
                  <c:v>1.038E-2</c:v>
                </c:pt>
                <c:pt idx="19">
                  <c:v>1.1939999999999999E-2</c:v>
                </c:pt>
                <c:pt idx="20">
                  <c:v>1.17E-2</c:v>
                </c:pt>
                <c:pt idx="21">
                  <c:v>1.404E-2</c:v>
                </c:pt>
                <c:pt idx="22">
                  <c:v>1.5299999999999999E-2</c:v>
                </c:pt>
                <c:pt idx="23">
                  <c:v>1.626E-2</c:v>
                </c:pt>
                <c:pt idx="24">
                  <c:v>1.524E-2</c:v>
                </c:pt>
                <c:pt idx="25">
                  <c:v>1.5720000000000001E-2</c:v>
                </c:pt>
                <c:pt idx="26">
                  <c:v>1.302E-2</c:v>
                </c:pt>
                <c:pt idx="27">
                  <c:v>1.044E-2</c:v>
                </c:pt>
                <c:pt idx="28">
                  <c:v>1.2120000000000001E-2</c:v>
                </c:pt>
                <c:pt idx="29">
                  <c:v>6.012E-2</c:v>
                </c:pt>
                <c:pt idx="30">
                  <c:v>7.4999999999999997E-2</c:v>
                </c:pt>
                <c:pt idx="31">
                  <c:v>7.4999999999999997E-2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4284032"/>
        <c:axId val="393904896"/>
      </c:lineChart>
      <c:catAx>
        <c:axId val="4142840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93904896"/>
        <c:crosses val="autoZero"/>
        <c:auto val="1"/>
        <c:lblAlgn val="ctr"/>
        <c:lblOffset val="100"/>
        <c:noMultiLvlLbl val="0"/>
      </c:catAx>
      <c:valAx>
        <c:axId val="3939048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1428403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Sheet3!$C$1</c:f>
              <c:strCache>
                <c:ptCount val="1"/>
                <c:pt idx="0">
                  <c:v>loan_curtail</c:v>
                </c:pt>
              </c:strCache>
            </c:strRef>
          </c:tx>
          <c:marker>
            <c:symbol val="none"/>
          </c:marker>
          <c:cat>
            <c:numRef>
              <c:f>Sheet3!$B$2:$B$33</c:f>
              <c:numCache>
                <c:formatCode>General</c:formatCode>
                <c:ptCount val="32"/>
                <c:pt idx="0">
                  <c:v>0</c:v>
                </c:pt>
                <c:pt idx="1">
                  <c:v>6</c:v>
                </c:pt>
                <c:pt idx="2">
                  <c:v>12</c:v>
                </c:pt>
                <c:pt idx="3">
                  <c:v>24</c:v>
                </c:pt>
                <c:pt idx="4">
                  <c:v>36</c:v>
                </c:pt>
                <c:pt idx="5">
                  <c:v>48</c:v>
                </c:pt>
                <c:pt idx="6">
                  <c:v>60</c:v>
                </c:pt>
                <c:pt idx="7">
                  <c:v>72</c:v>
                </c:pt>
                <c:pt idx="8">
                  <c:v>84</c:v>
                </c:pt>
                <c:pt idx="9">
                  <c:v>96</c:v>
                </c:pt>
                <c:pt idx="10">
                  <c:v>108</c:v>
                </c:pt>
                <c:pt idx="11">
                  <c:v>120</c:v>
                </c:pt>
                <c:pt idx="12">
                  <c:v>132</c:v>
                </c:pt>
                <c:pt idx="13">
                  <c:v>144</c:v>
                </c:pt>
                <c:pt idx="14">
                  <c:v>156</c:v>
                </c:pt>
                <c:pt idx="15">
                  <c:v>168</c:v>
                </c:pt>
                <c:pt idx="16">
                  <c:v>180</c:v>
                </c:pt>
                <c:pt idx="17">
                  <c:v>192</c:v>
                </c:pt>
                <c:pt idx="18">
                  <c:v>204</c:v>
                </c:pt>
                <c:pt idx="19">
                  <c:v>216</c:v>
                </c:pt>
                <c:pt idx="20">
                  <c:v>228</c:v>
                </c:pt>
                <c:pt idx="21">
                  <c:v>240</c:v>
                </c:pt>
                <c:pt idx="22">
                  <c:v>252</c:v>
                </c:pt>
                <c:pt idx="23">
                  <c:v>264</c:v>
                </c:pt>
                <c:pt idx="24">
                  <c:v>276</c:v>
                </c:pt>
                <c:pt idx="25">
                  <c:v>288</c:v>
                </c:pt>
                <c:pt idx="26">
                  <c:v>300</c:v>
                </c:pt>
                <c:pt idx="27">
                  <c:v>312</c:v>
                </c:pt>
                <c:pt idx="28">
                  <c:v>324</c:v>
                </c:pt>
                <c:pt idx="29">
                  <c:v>336</c:v>
                </c:pt>
                <c:pt idx="30">
                  <c:v>348</c:v>
                </c:pt>
                <c:pt idx="31">
                  <c:v>360</c:v>
                </c:pt>
              </c:numCache>
            </c:numRef>
          </c:cat>
          <c:val>
            <c:numRef>
              <c:f>Sheet3!$C$2:$C$33</c:f>
              <c:numCache>
                <c:formatCode>General</c:formatCode>
                <c:ptCount val="32"/>
                <c:pt idx="0">
                  <c:v>0</c:v>
                </c:pt>
                <c:pt idx="1">
                  <c:v>6.0000000000000001E-3</c:v>
                </c:pt>
                <c:pt idx="2">
                  <c:v>6.0000000000000001E-3</c:v>
                </c:pt>
                <c:pt idx="3">
                  <c:v>5.1999999999999998E-3</c:v>
                </c:pt>
                <c:pt idx="4">
                  <c:v>5.1999999999999998E-3</c:v>
                </c:pt>
                <c:pt idx="5">
                  <c:v>5.1000000000000004E-3</c:v>
                </c:pt>
                <c:pt idx="6">
                  <c:v>5.0000000000000001E-3</c:v>
                </c:pt>
                <c:pt idx="7">
                  <c:v>4.8999999999999998E-3</c:v>
                </c:pt>
                <c:pt idx="8">
                  <c:v>4.4999999999999997E-3</c:v>
                </c:pt>
                <c:pt idx="9">
                  <c:v>4.7000000000000002E-3</c:v>
                </c:pt>
                <c:pt idx="10">
                  <c:v>4.7999999999999996E-3</c:v>
                </c:pt>
                <c:pt idx="11">
                  <c:v>5.3E-3</c:v>
                </c:pt>
                <c:pt idx="12">
                  <c:v>6.7999999999999996E-3</c:v>
                </c:pt>
                <c:pt idx="13">
                  <c:v>6.7000000000000002E-3</c:v>
                </c:pt>
                <c:pt idx="14">
                  <c:v>8.3000000000000001E-3</c:v>
                </c:pt>
                <c:pt idx="15">
                  <c:v>8.2000000000000007E-3</c:v>
                </c:pt>
                <c:pt idx="16">
                  <c:v>8.8999999999999999E-3</c:v>
                </c:pt>
                <c:pt idx="17">
                  <c:v>9.1000000000000004E-3</c:v>
                </c:pt>
                <c:pt idx="18">
                  <c:v>9.2999999999999992E-3</c:v>
                </c:pt>
                <c:pt idx="19">
                  <c:v>1.11E-2</c:v>
                </c:pt>
                <c:pt idx="20">
                  <c:v>1.11E-2</c:v>
                </c:pt>
                <c:pt idx="21">
                  <c:v>1.21E-2</c:v>
                </c:pt>
                <c:pt idx="22">
                  <c:v>1.55E-2</c:v>
                </c:pt>
                <c:pt idx="23">
                  <c:v>1.29E-2</c:v>
                </c:pt>
                <c:pt idx="24">
                  <c:v>1.06E-2</c:v>
                </c:pt>
                <c:pt idx="25">
                  <c:v>3.8E-3</c:v>
                </c:pt>
                <c:pt idx="26">
                  <c:v>5.1999999999999998E-3</c:v>
                </c:pt>
                <c:pt idx="27">
                  <c:v>8.3999999999999995E-3</c:v>
                </c:pt>
                <c:pt idx="28">
                  <c:v>5.0000000000000001E-3</c:v>
                </c:pt>
                <c:pt idx="29">
                  <c:v>8.0000000000000002E-3</c:v>
                </c:pt>
                <c:pt idx="30">
                  <c:v>4.3E-3</c:v>
                </c:pt>
                <c:pt idx="31">
                  <c:v>1.6E-2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Sheet3!$D$1</c:f>
              <c:strCache>
                <c:ptCount val="1"/>
                <c:pt idx="0">
                  <c:v>pool_cpr</c:v>
                </c:pt>
              </c:strCache>
            </c:strRef>
          </c:tx>
          <c:marker>
            <c:symbol val="none"/>
          </c:marker>
          <c:cat>
            <c:numRef>
              <c:f>Sheet3!$B$2:$B$33</c:f>
              <c:numCache>
                <c:formatCode>General</c:formatCode>
                <c:ptCount val="32"/>
                <c:pt idx="0">
                  <c:v>0</c:v>
                </c:pt>
                <c:pt idx="1">
                  <c:v>6</c:v>
                </c:pt>
                <c:pt idx="2">
                  <c:v>12</c:v>
                </c:pt>
                <c:pt idx="3">
                  <c:v>24</c:v>
                </c:pt>
                <c:pt idx="4">
                  <c:v>36</c:v>
                </c:pt>
                <c:pt idx="5">
                  <c:v>48</c:v>
                </c:pt>
                <c:pt idx="6">
                  <c:v>60</c:v>
                </c:pt>
                <c:pt idx="7">
                  <c:v>72</c:v>
                </c:pt>
                <c:pt idx="8">
                  <c:v>84</c:v>
                </c:pt>
                <c:pt idx="9">
                  <c:v>96</c:v>
                </c:pt>
                <c:pt idx="10">
                  <c:v>108</c:v>
                </c:pt>
                <c:pt idx="11">
                  <c:v>120</c:v>
                </c:pt>
                <c:pt idx="12">
                  <c:v>132</c:v>
                </c:pt>
                <c:pt idx="13">
                  <c:v>144</c:v>
                </c:pt>
                <c:pt idx="14">
                  <c:v>156</c:v>
                </c:pt>
                <c:pt idx="15">
                  <c:v>168</c:v>
                </c:pt>
                <c:pt idx="16">
                  <c:v>180</c:v>
                </c:pt>
                <c:pt idx="17">
                  <c:v>192</c:v>
                </c:pt>
                <c:pt idx="18">
                  <c:v>204</c:v>
                </c:pt>
                <c:pt idx="19">
                  <c:v>216</c:v>
                </c:pt>
                <c:pt idx="20">
                  <c:v>228</c:v>
                </c:pt>
                <c:pt idx="21">
                  <c:v>240</c:v>
                </c:pt>
                <c:pt idx="22">
                  <c:v>252</c:v>
                </c:pt>
                <c:pt idx="23">
                  <c:v>264</c:v>
                </c:pt>
                <c:pt idx="24">
                  <c:v>276</c:v>
                </c:pt>
                <c:pt idx="25">
                  <c:v>288</c:v>
                </c:pt>
                <c:pt idx="26">
                  <c:v>300</c:v>
                </c:pt>
                <c:pt idx="27">
                  <c:v>312</c:v>
                </c:pt>
                <c:pt idx="28">
                  <c:v>324</c:v>
                </c:pt>
                <c:pt idx="29">
                  <c:v>336</c:v>
                </c:pt>
                <c:pt idx="30">
                  <c:v>348</c:v>
                </c:pt>
                <c:pt idx="31">
                  <c:v>360</c:v>
                </c:pt>
              </c:numCache>
            </c:numRef>
          </c:cat>
          <c:val>
            <c:numRef>
              <c:f>Sheet3!$D$2:$D$33</c:f>
              <c:numCache>
                <c:formatCode>General</c:formatCode>
                <c:ptCount val="32"/>
                <c:pt idx="0">
                  <c:v>0</c:v>
                </c:pt>
                <c:pt idx="1">
                  <c:v>0.1103</c:v>
                </c:pt>
                <c:pt idx="2">
                  <c:v>0.1103</c:v>
                </c:pt>
                <c:pt idx="3">
                  <c:v>0.19400000000000001</c:v>
                </c:pt>
                <c:pt idx="4">
                  <c:v>0.2074</c:v>
                </c:pt>
                <c:pt idx="5">
                  <c:v>0.21659999999999999</c:v>
                </c:pt>
                <c:pt idx="6">
                  <c:v>0.2288</c:v>
                </c:pt>
                <c:pt idx="7">
                  <c:v>0.2341</c:v>
                </c:pt>
                <c:pt idx="8">
                  <c:v>0.24790000000000001</c:v>
                </c:pt>
                <c:pt idx="9">
                  <c:v>0.26219999999999999</c:v>
                </c:pt>
                <c:pt idx="10">
                  <c:v>0.26429999999999998</c:v>
                </c:pt>
                <c:pt idx="11">
                  <c:v>0.309</c:v>
                </c:pt>
                <c:pt idx="12">
                  <c:v>0.26879999999999998</c:v>
                </c:pt>
                <c:pt idx="13">
                  <c:v>0.22259999999999999</c:v>
                </c:pt>
                <c:pt idx="14">
                  <c:v>0.20169999999999999</c:v>
                </c:pt>
                <c:pt idx="15">
                  <c:v>0.18290000000000001</c:v>
                </c:pt>
                <c:pt idx="16">
                  <c:v>0.1817</c:v>
                </c:pt>
                <c:pt idx="17">
                  <c:v>0.17630000000000001</c:v>
                </c:pt>
                <c:pt idx="18">
                  <c:v>0.17</c:v>
                </c:pt>
                <c:pt idx="19">
                  <c:v>0.16350000000000001</c:v>
                </c:pt>
                <c:pt idx="20">
                  <c:v>0.15690000000000001</c:v>
                </c:pt>
                <c:pt idx="21">
                  <c:v>0.16009999999999999</c:v>
                </c:pt>
                <c:pt idx="22">
                  <c:v>0.1547</c:v>
                </c:pt>
                <c:pt idx="23">
                  <c:v>0.15559999999999999</c:v>
                </c:pt>
                <c:pt idx="24">
                  <c:v>0.16109999999999999</c:v>
                </c:pt>
                <c:pt idx="25">
                  <c:v>0.1658</c:v>
                </c:pt>
                <c:pt idx="26">
                  <c:v>0.1784</c:v>
                </c:pt>
                <c:pt idx="27">
                  <c:v>0.1888</c:v>
                </c:pt>
                <c:pt idx="28">
                  <c:v>0.19939999999999999</c:v>
                </c:pt>
                <c:pt idx="29">
                  <c:v>0.21060000000000001</c:v>
                </c:pt>
                <c:pt idx="30">
                  <c:v>0.2515</c:v>
                </c:pt>
                <c:pt idx="31">
                  <c:v>0.30780000000000002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1033728"/>
        <c:axId val="601080576"/>
      </c:lineChart>
      <c:catAx>
        <c:axId val="6010337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601080576"/>
        <c:crosses val="autoZero"/>
        <c:auto val="1"/>
        <c:lblAlgn val="ctr"/>
        <c:lblOffset val="100"/>
        <c:noMultiLvlLbl val="0"/>
      </c:catAx>
      <c:valAx>
        <c:axId val="60108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60103372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Sheet3!$C$1</c:f>
              <c:strCache>
                <c:ptCount val="1"/>
                <c:pt idx="0">
                  <c:v>loan_curtail</c:v>
                </c:pt>
              </c:strCache>
            </c:strRef>
          </c:tx>
          <c:marker>
            <c:symbol val="none"/>
          </c:marker>
          <c:cat>
            <c:numRef>
              <c:f>Sheet3!$B$2:$B$35</c:f>
              <c:numCache>
                <c:formatCode>General</c:formatCode>
                <c:ptCount val="34"/>
                <c:pt idx="0">
                  <c:v>0</c:v>
                </c:pt>
                <c:pt idx="1">
                  <c:v>6</c:v>
                </c:pt>
                <c:pt idx="2">
                  <c:v>12</c:v>
                </c:pt>
                <c:pt idx="3">
                  <c:v>24</c:v>
                </c:pt>
                <c:pt idx="4">
                  <c:v>36</c:v>
                </c:pt>
                <c:pt idx="5">
                  <c:v>48</c:v>
                </c:pt>
                <c:pt idx="6">
                  <c:v>60</c:v>
                </c:pt>
                <c:pt idx="7">
                  <c:v>72</c:v>
                </c:pt>
                <c:pt idx="8">
                  <c:v>84</c:v>
                </c:pt>
                <c:pt idx="9">
                  <c:v>96</c:v>
                </c:pt>
                <c:pt idx="10">
                  <c:v>108</c:v>
                </c:pt>
                <c:pt idx="11">
                  <c:v>120</c:v>
                </c:pt>
                <c:pt idx="12">
                  <c:v>132</c:v>
                </c:pt>
                <c:pt idx="13">
                  <c:v>144</c:v>
                </c:pt>
                <c:pt idx="14">
                  <c:v>156</c:v>
                </c:pt>
                <c:pt idx="15">
                  <c:v>168</c:v>
                </c:pt>
                <c:pt idx="16">
                  <c:v>180</c:v>
                </c:pt>
                <c:pt idx="17">
                  <c:v>192</c:v>
                </c:pt>
                <c:pt idx="18">
                  <c:v>204</c:v>
                </c:pt>
                <c:pt idx="19">
                  <c:v>216</c:v>
                </c:pt>
                <c:pt idx="20">
                  <c:v>228</c:v>
                </c:pt>
                <c:pt idx="21">
                  <c:v>240</c:v>
                </c:pt>
                <c:pt idx="22">
                  <c:v>252</c:v>
                </c:pt>
                <c:pt idx="23">
                  <c:v>264</c:v>
                </c:pt>
                <c:pt idx="24">
                  <c:v>276</c:v>
                </c:pt>
                <c:pt idx="25">
                  <c:v>288</c:v>
                </c:pt>
                <c:pt idx="26">
                  <c:v>300</c:v>
                </c:pt>
                <c:pt idx="27">
                  <c:v>312</c:v>
                </c:pt>
                <c:pt idx="28">
                  <c:v>324</c:v>
                </c:pt>
                <c:pt idx="29">
                  <c:v>336</c:v>
                </c:pt>
                <c:pt idx="30">
                  <c:v>348</c:v>
                </c:pt>
                <c:pt idx="31">
                  <c:v>360</c:v>
                </c:pt>
              </c:numCache>
            </c:numRef>
          </c:cat>
          <c:val>
            <c:numRef>
              <c:f>Sheet3!$C$2:$C$35</c:f>
              <c:numCache>
                <c:formatCode>General</c:formatCode>
                <c:ptCount val="34"/>
                <c:pt idx="0">
                  <c:v>0</c:v>
                </c:pt>
                <c:pt idx="1">
                  <c:v>6.0000000000000001E-3</c:v>
                </c:pt>
                <c:pt idx="2">
                  <c:v>6.0000000000000001E-3</c:v>
                </c:pt>
                <c:pt idx="3">
                  <c:v>5.1999999999999998E-3</c:v>
                </c:pt>
                <c:pt idx="4">
                  <c:v>5.1999999999999998E-3</c:v>
                </c:pt>
                <c:pt idx="5">
                  <c:v>5.1000000000000004E-3</c:v>
                </c:pt>
                <c:pt idx="6">
                  <c:v>5.0000000000000001E-3</c:v>
                </c:pt>
                <c:pt idx="7">
                  <c:v>4.8999999999999998E-3</c:v>
                </c:pt>
                <c:pt idx="8">
                  <c:v>4.4999999999999997E-3</c:v>
                </c:pt>
                <c:pt idx="9">
                  <c:v>4.7000000000000002E-3</c:v>
                </c:pt>
                <c:pt idx="10">
                  <c:v>4.7999999999999996E-3</c:v>
                </c:pt>
                <c:pt idx="11">
                  <c:v>5.3E-3</c:v>
                </c:pt>
                <c:pt idx="12">
                  <c:v>6.7999999999999996E-3</c:v>
                </c:pt>
                <c:pt idx="13">
                  <c:v>6.7000000000000002E-3</c:v>
                </c:pt>
                <c:pt idx="14">
                  <c:v>8.3000000000000001E-3</c:v>
                </c:pt>
                <c:pt idx="15">
                  <c:v>8.2000000000000007E-3</c:v>
                </c:pt>
                <c:pt idx="16">
                  <c:v>8.8999999999999999E-3</c:v>
                </c:pt>
                <c:pt idx="17">
                  <c:v>9.1000000000000004E-3</c:v>
                </c:pt>
                <c:pt idx="18">
                  <c:v>9.2999999999999992E-3</c:v>
                </c:pt>
                <c:pt idx="19">
                  <c:v>1.11E-2</c:v>
                </c:pt>
                <c:pt idx="20">
                  <c:v>1.11E-2</c:v>
                </c:pt>
                <c:pt idx="21">
                  <c:v>1.21E-2</c:v>
                </c:pt>
                <c:pt idx="22">
                  <c:v>1.55E-2</c:v>
                </c:pt>
                <c:pt idx="23">
                  <c:v>1.29E-2</c:v>
                </c:pt>
                <c:pt idx="24">
                  <c:v>1.06E-2</c:v>
                </c:pt>
                <c:pt idx="25">
                  <c:v>3.8E-3</c:v>
                </c:pt>
                <c:pt idx="26">
                  <c:v>5.1999999999999998E-3</c:v>
                </c:pt>
                <c:pt idx="27">
                  <c:v>8.3999999999999995E-3</c:v>
                </c:pt>
                <c:pt idx="28">
                  <c:v>5.0000000000000001E-3</c:v>
                </c:pt>
                <c:pt idx="29">
                  <c:v>8.0000000000000002E-3</c:v>
                </c:pt>
                <c:pt idx="30">
                  <c:v>4.3E-3</c:v>
                </c:pt>
                <c:pt idx="31">
                  <c:v>1.6E-2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Sheet3!$D$1</c:f>
              <c:strCache>
                <c:ptCount val="1"/>
                <c:pt idx="0">
                  <c:v>pool_cpr</c:v>
                </c:pt>
              </c:strCache>
            </c:strRef>
          </c:tx>
          <c:marker>
            <c:symbol val="none"/>
          </c:marker>
          <c:cat>
            <c:numRef>
              <c:f>Sheet3!$B$2:$B$35</c:f>
              <c:numCache>
                <c:formatCode>General</c:formatCode>
                <c:ptCount val="34"/>
                <c:pt idx="0">
                  <c:v>0</c:v>
                </c:pt>
                <c:pt idx="1">
                  <c:v>6</c:v>
                </c:pt>
                <c:pt idx="2">
                  <c:v>12</c:v>
                </c:pt>
                <c:pt idx="3">
                  <c:v>24</c:v>
                </c:pt>
                <c:pt idx="4">
                  <c:v>36</c:v>
                </c:pt>
                <c:pt idx="5">
                  <c:v>48</c:v>
                </c:pt>
                <c:pt idx="6">
                  <c:v>60</c:v>
                </c:pt>
                <c:pt idx="7">
                  <c:v>72</c:v>
                </c:pt>
                <c:pt idx="8">
                  <c:v>84</c:v>
                </c:pt>
                <c:pt idx="9">
                  <c:v>96</c:v>
                </c:pt>
                <c:pt idx="10">
                  <c:v>108</c:v>
                </c:pt>
                <c:pt idx="11">
                  <c:v>120</c:v>
                </c:pt>
                <c:pt idx="12">
                  <c:v>132</c:v>
                </c:pt>
                <c:pt idx="13">
                  <c:v>144</c:v>
                </c:pt>
                <c:pt idx="14">
                  <c:v>156</c:v>
                </c:pt>
                <c:pt idx="15">
                  <c:v>168</c:v>
                </c:pt>
                <c:pt idx="16">
                  <c:v>180</c:v>
                </c:pt>
                <c:pt idx="17">
                  <c:v>192</c:v>
                </c:pt>
                <c:pt idx="18">
                  <c:v>204</c:v>
                </c:pt>
                <c:pt idx="19">
                  <c:v>216</c:v>
                </c:pt>
                <c:pt idx="20">
                  <c:v>228</c:v>
                </c:pt>
                <c:pt idx="21">
                  <c:v>240</c:v>
                </c:pt>
                <c:pt idx="22">
                  <c:v>252</c:v>
                </c:pt>
                <c:pt idx="23">
                  <c:v>264</c:v>
                </c:pt>
                <c:pt idx="24">
                  <c:v>276</c:v>
                </c:pt>
                <c:pt idx="25">
                  <c:v>288</c:v>
                </c:pt>
                <c:pt idx="26">
                  <c:v>300</c:v>
                </c:pt>
                <c:pt idx="27">
                  <c:v>312</c:v>
                </c:pt>
                <c:pt idx="28">
                  <c:v>324</c:v>
                </c:pt>
                <c:pt idx="29">
                  <c:v>336</c:v>
                </c:pt>
                <c:pt idx="30">
                  <c:v>348</c:v>
                </c:pt>
                <c:pt idx="31">
                  <c:v>360</c:v>
                </c:pt>
              </c:numCache>
            </c:numRef>
          </c:cat>
          <c:val>
            <c:numRef>
              <c:f>Sheet3!$D$2:$D$35</c:f>
              <c:numCache>
                <c:formatCode>General</c:formatCode>
                <c:ptCount val="34"/>
                <c:pt idx="0">
                  <c:v>0</c:v>
                </c:pt>
                <c:pt idx="1">
                  <c:v>0.1103</c:v>
                </c:pt>
                <c:pt idx="2">
                  <c:v>0.1103</c:v>
                </c:pt>
                <c:pt idx="3">
                  <c:v>0.19400000000000001</c:v>
                </c:pt>
                <c:pt idx="4">
                  <c:v>0.2074</c:v>
                </c:pt>
                <c:pt idx="5">
                  <c:v>0.21659999999999999</c:v>
                </c:pt>
                <c:pt idx="6">
                  <c:v>0.2288</c:v>
                </c:pt>
                <c:pt idx="7">
                  <c:v>0.2341</c:v>
                </c:pt>
                <c:pt idx="8">
                  <c:v>0.24790000000000001</c:v>
                </c:pt>
                <c:pt idx="9">
                  <c:v>0.26219999999999999</c:v>
                </c:pt>
                <c:pt idx="10">
                  <c:v>0.26429999999999998</c:v>
                </c:pt>
                <c:pt idx="11">
                  <c:v>0.309</c:v>
                </c:pt>
                <c:pt idx="12">
                  <c:v>0.26879999999999998</c:v>
                </c:pt>
                <c:pt idx="13">
                  <c:v>0.22259999999999999</c:v>
                </c:pt>
                <c:pt idx="14">
                  <c:v>0.20169999999999999</c:v>
                </c:pt>
                <c:pt idx="15">
                  <c:v>0.18290000000000001</c:v>
                </c:pt>
                <c:pt idx="16">
                  <c:v>0.1817</c:v>
                </c:pt>
                <c:pt idx="17">
                  <c:v>0.17630000000000001</c:v>
                </c:pt>
                <c:pt idx="18">
                  <c:v>0.17</c:v>
                </c:pt>
                <c:pt idx="19">
                  <c:v>0.16350000000000001</c:v>
                </c:pt>
                <c:pt idx="20">
                  <c:v>0.15690000000000001</c:v>
                </c:pt>
                <c:pt idx="21">
                  <c:v>0.16009999999999999</c:v>
                </c:pt>
                <c:pt idx="22">
                  <c:v>0.1547</c:v>
                </c:pt>
                <c:pt idx="23">
                  <c:v>0.15559999999999999</c:v>
                </c:pt>
                <c:pt idx="24">
                  <c:v>0.16109999999999999</c:v>
                </c:pt>
                <c:pt idx="25">
                  <c:v>0.1658</c:v>
                </c:pt>
                <c:pt idx="26">
                  <c:v>0.1784</c:v>
                </c:pt>
                <c:pt idx="27">
                  <c:v>0.1888</c:v>
                </c:pt>
                <c:pt idx="28">
                  <c:v>0.19939999999999999</c:v>
                </c:pt>
                <c:pt idx="29">
                  <c:v>0.21060000000000001</c:v>
                </c:pt>
                <c:pt idx="30">
                  <c:v>0.2515</c:v>
                </c:pt>
                <c:pt idx="31">
                  <c:v>0.30780000000000002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Sheet3!$E$1</c:f>
              <c:strCache>
                <c:ptCount val="1"/>
                <c:pt idx="0">
                  <c:v>empirical</c:v>
                </c:pt>
              </c:strCache>
            </c:strRef>
          </c:tx>
          <c:marker>
            <c:symbol val="none"/>
          </c:marker>
          <c:cat>
            <c:numRef>
              <c:f>Sheet3!$B$2:$B$35</c:f>
              <c:numCache>
                <c:formatCode>General</c:formatCode>
                <c:ptCount val="34"/>
                <c:pt idx="0">
                  <c:v>0</c:v>
                </c:pt>
                <c:pt idx="1">
                  <c:v>6</c:v>
                </c:pt>
                <c:pt idx="2">
                  <c:v>12</c:v>
                </c:pt>
                <c:pt idx="3">
                  <c:v>24</c:v>
                </c:pt>
                <c:pt idx="4">
                  <c:v>36</c:v>
                </c:pt>
                <c:pt idx="5">
                  <c:v>48</c:v>
                </c:pt>
                <c:pt idx="6">
                  <c:v>60</c:v>
                </c:pt>
                <c:pt idx="7">
                  <c:v>72</c:v>
                </c:pt>
                <c:pt idx="8">
                  <c:v>84</c:v>
                </c:pt>
                <c:pt idx="9">
                  <c:v>96</c:v>
                </c:pt>
                <c:pt idx="10">
                  <c:v>108</c:v>
                </c:pt>
                <c:pt idx="11">
                  <c:v>120</c:v>
                </c:pt>
                <c:pt idx="12">
                  <c:v>132</c:v>
                </c:pt>
                <c:pt idx="13">
                  <c:v>144</c:v>
                </c:pt>
                <c:pt idx="14">
                  <c:v>156</c:v>
                </c:pt>
                <c:pt idx="15">
                  <c:v>168</c:v>
                </c:pt>
                <c:pt idx="16">
                  <c:v>180</c:v>
                </c:pt>
                <c:pt idx="17">
                  <c:v>192</c:v>
                </c:pt>
                <c:pt idx="18">
                  <c:v>204</c:v>
                </c:pt>
                <c:pt idx="19">
                  <c:v>216</c:v>
                </c:pt>
                <c:pt idx="20">
                  <c:v>228</c:v>
                </c:pt>
                <c:pt idx="21">
                  <c:v>240</c:v>
                </c:pt>
                <c:pt idx="22">
                  <c:v>252</c:v>
                </c:pt>
                <c:pt idx="23">
                  <c:v>264</c:v>
                </c:pt>
                <c:pt idx="24">
                  <c:v>276</c:v>
                </c:pt>
                <c:pt idx="25">
                  <c:v>288</c:v>
                </c:pt>
                <c:pt idx="26">
                  <c:v>300</c:v>
                </c:pt>
                <c:pt idx="27">
                  <c:v>312</c:v>
                </c:pt>
                <c:pt idx="28">
                  <c:v>324</c:v>
                </c:pt>
                <c:pt idx="29">
                  <c:v>336</c:v>
                </c:pt>
                <c:pt idx="30">
                  <c:v>348</c:v>
                </c:pt>
                <c:pt idx="31">
                  <c:v>360</c:v>
                </c:pt>
              </c:numCache>
            </c:numRef>
          </c:cat>
          <c:val>
            <c:numRef>
              <c:f>Sheet3!$E$2:$E$35</c:f>
            </c:numRef>
          </c:val>
          <c:smooth val="0"/>
        </c:ser>
        <c:ser>
          <c:idx val="3"/>
          <c:order val="3"/>
          <c:tx>
            <c:strRef>
              <c:f>Sheet3!$F$1</c:f>
              <c:strCache>
                <c:ptCount val="1"/>
                <c:pt idx="0">
                  <c:v>citi_curtail</c:v>
                </c:pt>
              </c:strCache>
            </c:strRef>
          </c:tx>
          <c:marker>
            <c:symbol val="none"/>
          </c:marker>
          <c:cat>
            <c:numRef>
              <c:f>Sheet3!$B$2:$B$35</c:f>
              <c:numCache>
                <c:formatCode>General</c:formatCode>
                <c:ptCount val="34"/>
                <c:pt idx="0">
                  <c:v>0</c:v>
                </c:pt>
                <c:pt idx="1">
                  <c:v>6</c:v>
                </c:pt>
                <c:pt idx="2">
                  <c:v>12</c:v>
                </c:pt>
                <c:pt idx="3">
                  <c:v>24</c:v>
                </c:pt>
                <c:pt idx="4">
                  <c:v>36</c:v>
                </c:pt>
                <c:pt idx="5">
                  <c:v>48</c:v>
                </c:pt>
                <c:pt idx="6">
                  <c:v>60</c:v>
                </c:pt>
                <c:pt idx="7">
                  <c:v>72</c:v>
                </c:pt>
                <c:pt idx="8">
                  <c:v>84</c:v>
                </c:pt>
                <c:pt idx="9">
                  <c:v>96</c:v>
                </c:pt>
                <c:pt idx="10">
                  <c:v>108</c:v>
                </c:pt>
                <c:pt idx="11">
                  <c:v>120</c:v>
                </c:pt>
                <c:pt idx="12">
                  <c:v>132</c:v>
                </c:pt>
                <c:pt idx="13">
                  <c:v>144</c:v>
                </c:pt>
                <c:pt idx="14">
                  <c:v>156</c:v>
                </c:pt>
                <c:pt idx="15">
                  <c:v>168</c:v>
                </c:pt>
                <c:pt idx="16">
                  <c:v>180</c:v>
                </c:pt>
                <c:pt idx="17">
                  <c:v>192</c:v>
                </c:pt>
                <c:pt idx="18">
                  <c:v>204</c:v>
                </c:pt>
                <c:pt idx="19">
                  <c:v>216</c:v>
                </c:pt>
                <c:pt idx="20">
                  <c:v>228</c:v>
                </c:pt>
                <c:pt idx="21">
                  <c:v>240</c:v>
                </c:pt>
                <c:pt idx="22">
                  <c:v>252</c:v>
                </c:pt>
                <c:pt idx="23">
                  <c:v>264</c:v>
                </c:pt>
                <c:pt idx="24">
                  <c:v>276</c:v>
                </c:pt>
                <c:pt idx="25">
                  <c:v>288</c:v>
                </c:pt>
                <c:pt idx="26">
                  <c:v>300</c:v>
                </c:pt>
                <c:pt idx="27">
                  <c:v>312</c:v>
                </c:pt>
                <c:pt idx="28">
                  <c:v>324</c:v>
                </c:pt>
                <c:pt idx="29">
                  <c:v>336</c:v>
                </c:pt>
                <c:pt idx="30">
                  <c:v>348</c:v>
                </c:pt>
                <c:pt idx="31">
                  <c:v>360</c:v>
                </c:pt>
              </c:numCache>
            </c:numRef>
          </c:cat>
          <c:val>
            <c:numRef>
              <c:f>Sheet3!$F$2:$F$35</c:f>
              <c:numCache>
                <c:formatCode>General</c:formatCode>
                <c:ptCount val="34"/>
                <c:pt idx="0">
                  <c:v>0</c:v>
                </c:pt>
                <c:pt idx="1">
                  <c:v>3.0000000000000001E-3</c:v>
                </c:pt>
                <c:pt idx="2">
                  <c:v>3.0000000000000001E-3</c:v>
                </c:pt>
                <c:pt idx="3">
                  <c:v>4.3800000000000002E-3</c:v>
                </c:pt>
                <c:pt idx="4">
                  <c:v>5.2199999999999998E-3</c:v>
                </c:pt>
                <c:pt idx="5">
                  <c:v>6.3E-3</c:v>
                </c:pt>
                <c:pt idx="6">
                  <c:v>3.7799999999999999E-3</c:v>
                </c:pt>
                <c:pt idx="7">
                  <c:v>3.4199999999999999E-3</c:v>
                </c:pt>
                <c:pt idx="8">
                  <c:v>2.64E-3</c:v>
                </c:pt>
                <c:pt idx="9">
                  <c:v>3.1800000000000001E-3</c:v>
                </c:pt>
                <c:pt idx="10">
                  <c:v>4.1999999999999997E-3</c:v>
                </c:pt>
                <c:pt idx="11">
                  <c:v>4.7999999999999996E-3</c:v>
                </c:pt>
                <c:pt idx="12">
                  <c:v>3.3E-3</c:v>
                </c:pt>
                <c:pt idx="13">
                  <c:v>3.8400000000000001E-3</c:v>
                </c:pt>
                <c:pt idx="14">
                  <c:v>3.8999999999999998E-3</c:v>
                </c:pt>
                <c:pt idx="15">
                  <c:v>1.44E-2</c:v>
                </c:pt>
                <c:pt idx="16">
                  <c:v>1.278E-2</c:v>
                </c:pt>
                <c:pt idx="17">
                  <c:v>7.92E-3</c:v>
                </c:pt>
                <c:pt idx="18">
                  <c:v>1.038E-2</c:v>
                </c:pt>
                <c:pt idx="19">
                  <c:v>1.1939999999999999E-2</c:v>
                </c:pt>
                <c:pt idx="20">
                  <c:v>1.17E-2</c:v>
                </c:pt>
                <c:pt idx="21">
                  <c:v>1.404E-2</c:v>
                </c:pt>
                <c:pt idx="22">
                  <c:v>1.5299999999999999E-2</c:v>
                </c:pt>
                <c:pt idx="23">
                  <c:v>1.626E-2</c:v>
                </c:pt>
                <c:pt idx="24">
                  <c:v>1.524E-2</c:v>
                </c:pt>
                <c:pt idx="25">
                  <c:v>1.5720000000000001E-2</c:v>
                </c:pt>
                <c:pt idx="26">
                  <c:v>1.302E-2</c:v>
                </c:pt>
                <c:pt idx="27">
                  <c:v>1.044E-2</c:v>
                </c:pt>
                <c:pt idx="28">
                  <c:v>1.2120000000000001E-2</c:v>
                </c:pt>
                <c:pt idx="29">
                  <c:v>6.012E-2</c:v>
                </c:pt>
                <c:pt idx="30">
                  <c:v>7.4999999999999997E-2</c:v>
                </c:pt>
                <c:pt idx="31">
                  <c:v>7.4999999999999997E-2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3869824"/>
        <c:axId val="614006784"/>
      </c:lineChart>
      <c:catAx>
        <c:axId val="6138698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614006784"/>
        <c:crosses val="autoZero"/>
        <c:auto val="1"/>
        <c:lblAlgn val="ctr"/>
        <c:lblOffset val="100"/>
        <c:noMultiLvlLbl val="0"/>
      </c:catAx>
      <c:valAx>
        <c:axId val="6140067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61386982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Sheet3!$T$1</c:f>
              <c:strCache>
                <c:ptCount val="1"/>
                <c:pt idx="0">
                  <c:v>cpr</c:v>
                </c:pt>
              </c:strCache>
            </c:strRef>
          </c:tx>
          <c:marker>
            <c:symbol val="none"/>
          </c:marker>
          <c:cat>
            <c:numRef>
              <c:f>Sheet3!$S$2:$S$35</c:f>
              <c:numCache>
                <c:formatCode>General</c:formatCode>
                <c:ptCount val="34"/>
                <c:pt idx="0">
                  <c:v>6.1</c:v>
                </c:pt>
                <c:pt idx="1">
                  <c:v>17.2</c:v>
                </c:pt>
                <c:pt idx="2">
                  <c:v>29.2</c:v>
                </c:pt>
                <c:pt idx="3">
                  <c:v>41.1</c:v>
                </c:pt>
                <c:pt idx="4">
                  <c:v>53.1</c:v>
                </c:pt>
                <c:pt idx="5">
                  <c:v>65.099999999999994</c:v>
                </c:pt>
                <c:pt idx="6">
                  <c:v>77.099999999999994</c:v>
                </c:pt>
                <c:pt idx="7">
                  <c:v>89</c:v>
                </c:pt>
                <c:pt idx="8">
                  <c:v>101.1</c:v>
                </c:pt>
                <c:pt idx="9">
                  <c:v>113</c:v>
                </c:pt>
                <c:pt idx="10">
                  <c:v>125.1</c:v>
                </c:pt>
                <c:pt idx="11">
                  <c:v>137</c:v>
                </c:pt>
                <c:pt idx="12">
                  <c:v>149</c:v>
                </c:pt>
                <c:pt idx="13">
                  <c:v>160.69999999999999</c:v>
                </c:pt>
                <c:pt idx="14">
                  <c:v>173</c:v>
                </c:pt>
                <c:pt idx="15">
                  <c:v>185.1</c:v>
                </c:pt>
                <c:pt idx="16">
                  <c:v>197.2</c:v>
                </c:pt>
                <c:pt idx="17">
                  <c:v>209.1</c:v>
                </c:pt>
                <c:pt idx="18">
                  <c:v>221</c:v>
                </c:pt>
                <c:pt idx="19">
                  <c:v>233.1</c:v>
                </c:pt>
                <c:pt idx="20">
                  <c:v>245.1</c:v>
                </c:pt>
                <c:pt idx="21">
                  <c:v>257.10000000000002</c:v>
                </c:pt>
                <c:pt idx="22">
                  <c:v>269</c:v>
                </c:pt>
                <c:pt idx="23">
                  <c:v>280.60000000000002</c:v>
                </c:pt>
                <c:pt idx="24">
                  <c:v>292.8</c:v>
                </c:pt>
                <c:pt idx="25">
                  <c:v>304.89999999999998</c:v>
                </c:pt>
                <c:pt idx="26">
                  <c:v>316.7</c:v>
                </c:pt>
                <c:pt idx="27">
                  <c:v>328.7</c:v>
                </c:pt>
                <c:pt idx="28">
                  <c:v>340.1</c:v>
                </c:pt>
                <c:pt idx="29">
                  <c:v>350.6</c:v>
                </c:pt>
                <c:pt idx="30">
                  <c:v>360.3</c:v>
                </c:pt>
              </c:numCache>
            </c:numRef>
          </c:cat>
          <c:val>
            <c:numRef>
              <c:f>Sheet3!$T$2:$T$35</c:f>
              <c:numCache>
                <c:formatCode>General</c:formatCode>
                <c:ptCount val="34"/>
                <c:pt idx="0">
                  <c:v>10.54</c:v>
                </c:pt>
                <c:pt idx="1">
                  <c:v>19.190000000000001</c:v>
                </c:pt>
                <c:pt idx="2">
                  <c:v>20.02</c:v>
                </c:pt>
                <c:pt idx="3">
                  <c:v>20.58</c:v>
                </c:pt>
                <c:pt idx="4">
                  <c:v>22.8</c:v>
                </c:pt>
                <c:pt idx="5">
                  <c:v>23.81</c:v>
                </c:pt>
                <c:pt idx="6">
                  <c:v>25.21</c:v>
                </c:pt>
                <c:pt idx="7">
                  <c:v>26.89</c:v>
                </c:pt>
                <c:pt idx="8">
                  <c:v>26.38</c:v>
                </c:pt>
                <c:pt idx="9">
                  <c:v>30.37</c:v>
                </c:pt>
                <c:pt idx="10">
                  <c:v>26.26</c:v>
                </c:pt>
                <c:pt idx="11">
                  <c:v>21.75</c:v>
                </c:pt>
                <c:pt idx="12">
                  <c:v>19.23</c:v>
                </c:pt>
                <c:pt idx="13">
                  <c:v>17.77</c:v>
                </c:pt>
                <c:pt idx="14">
                  <c:v>16.84</c:v>
                </c:pt>
                <c:pt idx="15">
                  <c:v>15.78</c:v>
                </c:pt>
                <c:pt idx="16">
                  <c:v>15.3</c:v>
                </c:pt>
                <c:pt idx="17">
                  <c:v>15.11</c:v>
                </c:pt>
                <c:pt idx="18">
                  <c:v>14.79</c:v>
                </c:pt>
                <c:pt idx="19">
                  <c:v>15.18</c:v>
                </c:pt>
                <c:pt idx="20">
                  <c:v>14.34</c:v>
                </c:pt>
                <c:pt idx="21">
                  <c:v>14.13</c:v>
                </c:pt>
                <c:pt idx="22">
                  <c:v>13.84</c:v>
                </c:pt>
                <c:pt idx="23">
                  <c:v>14.96</c:v>
                </c:pt>
                <c:pt idx="24">
                  <c:v>17.440000000000001</c:v>
                </c:pt>
                <c:pt idx="25">
                  <c:v>21.09</c:v>
                </c:pt>
                <c:pt idx="26">
                  <c:v>23.77</c:v>
                </c:pt>
                <c:pt idx="27">
                  <c:v>27.67</c:v>
                </c:pt>
                <c:pt idx="28">
                  <c:v>33.26</c:v>
                </c:pt>
                <c:pt idx="29">
                  <c:v>65.75</c:v>
                </c:pt>
                <c:pt idx="30">
                  <c:v>88.64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3413632"/>
        <c:axId val="613415168"/>
      </c:lineChart>
      <c:catAx>
        <c:axId val="6134136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613415168"/>
        <c:crosses val="autoZero"/>
        <c:auto val="1"/>
        <c:lblAlgn val="ctr"/>
        <c:lblOffset val="100"/>
        <c:noMultiLvlLbl val="0"/>
      </c:catAx>
      <c:valAx>
        <c:axId val="6134151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61341363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'model curve'!$D$1</c:f>
              <c:strCache>
                <c:ptCount val="1"/>
                <c:pt idx="0">
                  <c:v>Modify 1</c:v>
                </c:pt>
              </c:strCache>
            </c:strRef>
          </c:tx>
          <c:marker>
            <c:symbol val="none"/>
          </c:marker>
          <c:cat>
            <c:numRef>
              <c:f>'model curve'!$B$2:$B$362</c:f>
              <c:numCache>
                <c:formatCode>General</c:formatCode>
                <c:ptCount val="3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</c:numCache>
            </c:numRef>
          </c:cat>
          <c:val>
            <c:numRef>
              <c:f>'model curve'!$D$2:$D$362</c:f>
              <c:numCache>
                <c:formatCode>General</c:formatCode>
                <c:ptCount val="361"/>
                <c:pt idx="0">
                  <c:v>0</c:v>
                </c:pt>
                <c:pt idx="1">
                  <c:v>8.5579509999999998E-2</c:v>
                </c:pt>
                <c:pt idx="2">
                  <c:v>0.18360024999999999</c:v>
                </c:pt>
                <c:pt idx="3">
                  <c:v>0.28153283000000001</c:v>
                </c:pt>
                <c:pt idx="4">
                  <c:v>0.36689145000000001</c:v>
                </c:pt>
                <c:pt idx="5">
                  <c:v>0.42722660000000001</c:v>
                </c:pt>
                <c:pt idx="6">
                  <c:v>0.45010359</c:v>
                </c:pt>
                <c:pt idx="7">
                  <c:v>0.45010359</c:v>
                </c:pt>
                <c:pt idx="8">
                  <c:v>0.45010359</c:v>
                </c:pt>
                <c:pt idx="9">
                  <c:v>0.45010359</c:v>
                </c:pt>
                <c:pt idx="10">
                  <c:v>0.45010359</c:v>
                </c:pt>
                <c:pt idx="11">
                  <c:v>0.45010359</c:v>
                </c:pt>
                <c:pt idx="12">
                  <c:v>0.45010359</c:v>
                </c:pt>
                <c:pt idx="13">
                  <c:v>0.45024160000000002</c:v>
                </c:pt>
                <c:pt idx="14">
                  <c:v>0.45065012999999998</c:v>
                </c:pt>
                <c:pt idx="15">
                  <c:v>0.45132090000000002</c:v>
                </c:pt>
                <c:pt idx="16">
                  <c:v>0.45224564</c:v>
                </c:pt>
                <c:pt idx="17">
                  <c:v>0.45341608</c:v>
                </c:pt>
                <c:pt idx="18">
                  <c:v>0.45482393999999998</c:v>
                </c:pt>
                <c:pt idx="19">
                  <c:v>0.45646094999999998</c:v>
                </c:pt>
                <c:pt idx="20">
                  <c:v>0.45831882000000002</c:v>
                </c:pt>
                <c:pt idx="21">
                  <c:v>0.46038929000000001</c:v>
                </c:pt>
                <c:pt idx="22">
                  <c:v>0.46266406999999998</c:v>
                </c:pt>
                <c:pt idx="23">
                  <c:v>0.46513489000000002</c:v>
                </c:pt>
                <c:pt idx="24">
                  <c:v>0.46779345</c:v>
                </c:pt>
                <c:pt idx="25">
                  <c:v>0.47063149999999998</c:v>
                </c:pt>
                <c:pt idx="26">
                  <c:v>0.47364073000000001</c:v>
                </c:pt>
                <c:pt idx="27">
                  <c:v>0.47681288999999999</c:v>
                </c:pt>
                <c:pt idx="28">
                  <c:v>0.48013967000000002</c:v>
                </c:pt>
                <c:pt idx="29">
                  <c:v>0.48361282</c:v>
                </c:pt>
                <c:pt idx="30">
                  <c:v>0.48722404000000002</c:v>
                </c:pt>
                <c:pt idx="31">
                  <c:v>0.49096507</c:v>
                </c:pt>
                <c:pt idx="32">
                  <c:v>0.49482760999999997</c:v>
                </c:pt>
                <c:pt idx="33">
                  <c:v>0.49880340000000001</c:v>
                </c:pt>
                <c:pt idx="34">
                  <c:v>0.50288416999999996</c:v>
                </c:pt>
                <c:pt idx="35">
                  <c:v>0.50706163000000004</c:v>
                </c:pt>
                <c:pt idx="36">
                  <c:v>0.51132750000000005</c:v>
                </c:pt>
                <c:pt idx="37">
                  <c:v>0.51567353000000005</c:v>
                </c:pt>
                <c:pt idx="38">
                  <c:v>0.52009143999999996</c:v>
                </c:pt>
                <c:pt idx="39">
                  <c:v>0.52457295000000004</c:v>
                </c:pt>
                <c:pt idx="40">
                  <c:v>0.52910979999999996</c:v>
                </c:pt>
                <c:pt idx="41">
                  <c:v>0.53369370999999999</c:v>
                </c:pt>
                <c:pt idx="42">
                  <c:v>0.53831642999999996</c:v>
                </c:pt>
                <c:pt idx="43">
                  <c:v>0.54296968999999995</c:v>
                </c:pt>
                <c:pt idx="44">
                  <c:v>0.54764522000000004</c:v>
                </c:pt>
                <c:pt idx="45">
                  <c:v>0.55233476000000004</c:v>
                </c:pt>
                <c:pt idx="46">
                  <c:v>0.55703005000000005</c:v>
                </c:pt>
                <c:pt idx="47">
                  <c:v>0.56172283000000001</c:v>
                </c:pt>
                <c:pt idx="48">
                  <c:v>0.56640484000000002</c:v>
                </c:pt>
                <c:pt idx="49">
                  <c:v>0.57106783000000005</c:v>
                </c:pt>
                <c:pt idx="50">
                  <c:v>0.57570354000000001</c:v>
                </c:pt>
                <c:pt idx="51">
                  <c:v>0.58030371000000003</c:v>
                </c:pt>
                <c:pt idx="52">
                  <c:v>0.58486009000000005</c:v>
                </c:pt>
                <c:pt idx="53">
                  <c:v>0.58936443999999999</c:v>
                </c:pt>
                <c:pt idx="54">
                  <c:v>0.59380849999999996</c:v>
                </c:pt>
                <c:pt idx="55">
                  <c:v>0.59818402000000004</c:v>
                </c:pt>
                <c:pt idx="56">
                  <c:v>0.60248276000000001</c:v>
                </c:pt>
                <c:pt idx="57">
                  <c:v>0.60669645999999999</c:v>
                </c:pt>
                <c:pt idx="58">
                  <c:v>0.61081688999999995</c:v>
                </c:pt>
                <c:pt idx="59">
                  <c:v>0.61483580000000004</c:v>
                </c:pt>
                <c:pt idx="60">
                  <c:v>0.61874494999999996</c:v>
                </c:pt>
                <c:pt idx="61">
                  <c:v>0.62250848999999997</c:v>
                </c:pt>
                <c:pt idx="62">
                  <c:v>0.62610242000000005</c:v>
                </c:pt>
                <c:pt idx="63">
                  <c:v>0.62953630000000005</c:v>
                </c:pt>
                <c:pt idx="64">
                  <c:v>0.63281964000000002</c:v>
                </c:pt>
                <c:pt idx="65">
                  <c:v>0.63596196999999999</c:v>
                </c:pt>
                <c:pt idx="66">
                  <c:v>0.63897283000000005</c:v>
                </c:pt>
                <c:pt idx="67">
                  <c:v>0.64186175000000001</c:v>
                </c:pt>
                <c:pt idx="68">
                  <c:v>0.64463824000000003</c:v>
                </c:pt>
                <c:pt idx="69">
                  <c:v>0.64731183000000003</c:v>
                </c:pt>
                <c:pt idx="70">
                  <c:v>0.64989205000000005</c:v>
                </c:pt>
                <c:pt idx="71">
                  <c:v>0.65238841000000003</c:v>
                </c:pt>
                <c:pt idx="72">
                  <c:v>0.65481043999999999</c:v>
                </c:pt>
                <c:pt idx="73">
                  <c:v>0.65716766000000004</c:v>
                </c:pt>
                <c:pt idx="74">
                  <c:v>0.65946959000000005</c:v>
                </c:pt>
                <c:pt idx="75">
                  <c:v>0.66172573999999995</c:v>
                </c:pt>
                <c:pt idx="76">
                  <c:v>0.66394562000000001</c:v>
                </c:pt>
                <c:pt idx="77">
                  <c:v>0.66613876999999999</c:v>
                </c:pt>
                <c:pt idx="78">
                  <c:v>0.66831468999999999</c:v>
                </c:pt>
                <c:pt idx="79">
                  <c:v>0.67048289000000005</c:v>
                </c:pt>
                <c:pt idx="80">
                  <c:v>0.6726529</c:v>
                </c:pt>
                <c:pt idx="81">
                  <c:v>0.67483422000000004</c:v>
                </c:pt>
                <c:pt idx="82">
                  <c:v>0.67703636</c:v>
                </c:pt>
                <c:pt idx="83">
                  <c:v>0.67926883999999998</c:v>
                </c:pt>
                <c:pt idx="84">
                  <c:v>0.68154117000000003</c:v>
                </c:pt>
                <c:pt idx="85">
                  <c:v>0.68386285999999996</c:v>
                </c:pt>
                <c:pt idx="86">
                  <c:v>0.68624341</c:v>
                </c:pt>
                <c:pt idx="87">
                  <c:v>0.68869234000000001</c:v>
                </c:pt>
                <c:pt idx="88">
                  <c:v>0.69121915</c:v>
                </c:pt>
                <c:pt idx="89">
                  <c:v>0.69383335000000002</c:v>
                </c:pt>
                <c:pt idx="90">
                  <c:v>0.69654444000000004</c:v>
                </c:pt>
                <c:pt idx="91">
                  <c:v>0.69936193000000002</c:v>
                </c:pt>
                <c:pt idx="92">
                  <c:v>0.70229531000000001</c:v>
                </c:pt>
                <c:pt idx="93">
                  <c:v>0.70535409999999998</c:v>
                </c:pt>
                <c:pt idx="94">
                  <c:v>0.70854779000000001</c:v>
                </c:pt>
                <c:pt idx="95">
                  <c:v>0.71188587000000003</c:v>
                </c:pt>
                <c:pt idx="96">
                  <c:v>0.71537784999999998</c:v>
                </c:pt>
                <c:pt idx="97">
                  <c:v>0.71903320999999998</c:v>
                </c:pt>
                <c:pt idx="98">
                  <c:v>0.72286145999999996</c:v>
                </c:pt>
                <c:pt idx="99">
                  <c:v>0.72687206999999998</c:v>
                </c:pt>
                <c:pt idx="100">
                  <c:v>0.73107454999999999</c:v>
                </c:pt>
                <c:pt idx="101">
                  <c:v>0.73547837000000005</c:v>
                </c:pt>
                <c:pt idx="102">
                  <c:v>0.74009301999999999</c:v>
                </c:pt>
                <c:pt idx="103">
                  <c:v>0.74492796999999999</c:v>
                </c:pt>
                <c:pt idx="104">
                  <c:v>0.74999271000000001</c:v>
                </c:pt>
                <c:pt idx="105">
                  <c:v>0.75529670000000004</c:v>
                </c:pt>
                <c:pt idx="106">
                  <c:v>0.76084943000000005</c:v>
                </c:pt>
                <c:pt idx="107">
                  <c:v>0.76666034999999999</c:v>
                </c:pt>
                <c:pt idx="108">
                  <c:v>0.77273892</c:v>
                </c:pt>
                <c:pt idx="109">
                  <c:v>0.77909461999999996</c:v>
                </c:pt>
                <c:pt idx="110">
                  <c:v>0.78573687999999997</c:v>
                </c:pt>
                <c:pt idx="111">
                  <c:v>0.79267516999999998</c:v>
                </c:pt>
                <c:pt idx="112">
                  <c:v>0.79991891999999998</c:v>
                </c:pt>
                <c:pt idx="113">
                  <c:v>0.80747758000000003</c:v>
                </c:pt>
                <c:pt idx="114">
                  <c:v>0.81536058</c:v>
                </c:pt>
                <c:pt idx="115">
                  <c:v>0.82357736000000004</c:v>
                </c:pt>
                <c:pt idx="116">
                  <c:v>0.83213731999999996</c:v>
                </c:pt>
                <c:pt idx="117">
                  <c:v>0.84104990000000002</c:v>
                </c:pt>
                <c:pt idx="118">
                  <c:v>0.85032450000000004</c:v>
                </c:pt>
                <c:pt idx="119">
                  <c:v>0.85997051999999996</c:v>
                </c:pt>
                <c:pt idx="120">
                  <c:v>0.86999736000000005</c:v>
                </c:pt>
                <c:pt idx="121">
                  <c:v>0.88023647000000005</c:v>
                </c:pt>
                <c:pt idx="122">
                  <c:v>0.89051402999999996</c:v>
                </c:pt>
                <c:pt idx="123">
                  <c:v>0.90083162999999999</c:v>
                </c:pt>
                <c:pt idx="124">
                  <c:v>0.91119079999999997</c:v>
                </c:pt>
                <c:pt idx="125">
                  <c:v>0.92159312000000004</c:v>
                </c:pt>
                <c:pt idx="126">
                  <c:v>0.93204012000000003</c:v>
                </c:pt>
                <c:pt idx="127">
                  <c:v>0.94253337999999998</c:v>
                </c:pt>
                <c:pt idx="128">
                  <c:v>0.95307443999999997</c:v>
                </c:pt>
                <c:pt idx="129">
                  <c:v>0.96366485000000002</c:v>
                </c:pt>
                <c:pt idx="130">
                  <c:v>0.97430616999999997</c:v>
                </c:pt>
                <c:pt idx="131">
                  <c:v>0.98499994000000002</c:v>
                </c:pt>
                <c:pt idx="132">
                  <c:v>0.99574773000000005</c:v>
                </c:pt>
                <c:pt idx="133">
                  <c:v>1.0065510799999999</c:v>
                </c:pt>
                <c:pt idx="134">
                  <c:v>1.0174115399999999</c:v>
                </c:pt>
                <c:pt idx="135">
                  <c:v>1.02833066</c:v>
                </c:pt>
                <c:pt idx="136">
                  <c:v>1.03930999</c:v>
                </c:pt>
                <c:pt idx="137">
                  <c:v>1.0503510700000001</c:v>
                </c:pt>
                <c:pt idx="138">
                  <c:v>1.0614554599999999</c:v>
                </c:pt>
                <c:pt idx="139">
                  <c:v>1.07262469</c:v>
                </c:pt>
                <c:pt idx="140">
                  <c:v>1.0838603200000001</c:v>
                </c:pt>
                <c:pt idx="141">
                  <c:v>1.09516389</c:v>
                </c:pt>
                <c:pt idx="142">
                  <c:v>1.10653694</c:v>
                </c:pt>
                <c:pt idx="143">
                  <c:v>1.1179810100000001</c:v>
                </c:pt>
                <c:pt idx="144">
                  <c:v>1.12949765</c:v>
                </c:pt>
                <c:pt idx="145">
                  <c:v>1.1410883999999999</c:v>
                </c:pt>
                <c:pt idx="146">
                  <c:v>1.1527548000000001</c:v>
                </c:pt>
                <c:pt idx="147">
                  <c:v>1.1644983900000001</c:v>
                </c:pt>
                <c:pt idx="148">
                  <c:v>1.1763207099999999</c:v>
                </c:pt>
                <c:pt idx="149">
                  <c:v>1.18822329</c:v>
                </c:pt>
                <c:pt idx="150">
                  <c:v>1.2002076699999999</c:v>
                </c:pt>
                <c:pt idx="151">
                  <c:v>1.2122754</c:v>
                </c:pt>
                <c:pt idx="152">
                  <c:v>1.2244279899999999</c:v>
                </c:pt>
                <c:pt idx="153">
                  <c:v>1.236667</c:v>
                </c:pt>
                <c:pt idx="154">
                  <c:v>1.24899395</c:v>
                </c:pt>
                <c:pt idx="155">
                  <c:v>1.2614103699999999</c:v>
                </c:pt>
                <c:pt idx="156">
                  <c:v>1.2739178099999999</c:v>
                </c:pt>
                <c:pt idx="157">
                  <c:v>1.2865177699999999</c:v>
                </c:pt>
                <c:pt idx="158">
                  <c:v>1.2992118100000001</c:v>
                </c:pt>
                <c:pt idx="159">
                  <c:v>1.31200144</c:v>
                </c:pt>
                <c:pt idx="160">
                  <c:v>1.3248882</c:v>
                </c:pt>
                <c:pt idx="161">
                  <c:v>1.3378736</c:v>
                </c:pt>
                <c:pt idx="162">
                  <c:v>1.35095919</c:v>
                </c:pt>
                <c:pt idx="163">
                  <c:v>1.3641464700000001</c:v>
                </c:pt>
                <c:pt idx="164">
                  <c:v>1.37743697</c:v>
                </c:pt>
                <c:pt idx="165">
                  <c:v>1.39083223</c:v>
                </c:pt>
                <c:pt idx="166">
                  <c:v>1.4043337499999999</c:v>
                </c:pt>
                <c:pt idx="167">
                  <c:v>1.41794306</c:v>
                </c:pt>
                <c:pt idx="168">
                  <c:v>1.4316616799999999</c:v>
                </c:pt>
                <c:pt idx="169">
                  <c:v>1.44549113</c:v>
                </c:pt>
                <c:pt idx="170">
                  <c:v>1.45943292</c:v>
                </c:pt>
                <c:pt idx="171">
                  <c:v>1.47348857</c:v>
                </c:pt>
                <c:pt idx="172">
                  <c:v>1.48765959</c:v>
                </c:pt>
                <c:pt idx="173">
                  <c:v>1.5019475</c:v>
                </c:pt>
                <c:pt idx="174">
                  <c:v>1.51635381</c:v>
                </c:pt>
                <c:pt idx="175">
                  <c:v>1.5308800300000001</c:v>
                </c:pt>
                <c:pt idx="176">
                  <c:v>1.54552767</c:v>
                </c:pt>
                <c:pt idx="177">
                  <c:v>1.5602982400000001</c:v>
                </c:pt>
                <c:pt idx="178">
                  <c:v>1.5751932500000001</c:v>
                </c:pt>
                <c:pt idx="179">
                  <c:v>1.5902141999999999</c:v>
                </c:pt>
                <c:pt idx="180">
                  <c:v>1.6053626000000001</c:v>
                </c:pt>
                <c:pt idx="181">
                  <c:v>1.62063994</c:v>
                </c:pt>
                <c:pt idx="182">
                  <c:v>1.63604774</c:v>
                </c:pt>
                <c:pt idx="183">
                  <c:v>1.65158749</c:v>
                </c:pt>
                <c:pt idx="184">
                  <c:v>1.6672606999999999</c:v>
                </c:pt>
                <c:pt idx="185">
                  <c:v>1.6830688499999999</c:v>
                </c:pt>
                <c:pt idx="186">
                  <c:v>1.69901345</c:v>
                </c:pt>
                <c:pt idx="187">
                  <c:v>1.71509599</c:v>
                </c:pt>
                <c:pt idx="188">
                  <c:v>1.7313179700000001</c:v>
                </c:pt>
                <c:pt idx="189">
                  <c:v>1.7476808699999999</c:v>
                </c:pt>
                <c:pt idx="190">
                  <c:v>1.76418619</c:v>
                </c:pt>
                <c:pt idx="191">
                  <c:v>1.7808354200000001</c:v>
                </c:pt>
                <c:pt idx="192">
                  <c:v>1.79763004</c:v>
                </c:pt>
                <c:pt idx="193">
                  <c:v>1.81457154</c:v>
                </c:pt>
                <c:pt idx="194">
                  <c:v>1.8316614</c:v>
                </c:pt>
                <c:pt idx="195">
                  <c:v>1.8489011200000001</c:v>
                </c:pt>
                <c:pt idx="196">
                  <c:v>1.86629215</c:v>
                </c:pt>
                <c:pt idx="197">
                  <c:v>1.8838360000000001</c:v>
                </c:pt>
                <c:pt idx="198">
                  <c:v>1.9015341299999999</c:v>
                </c:pt>
                <c:pt idx="199">
                  <c:v>1.91938802</c:v>
                </c:pt>
                <c:pt idx="200">
                  <c:v>1.9373991500000001</c:v>
                </c:pt>
                <c:pt idx="201">
                  <c:v>1.95556898</c:v>
                </c:pt>
                <c:pt idx="202">
                  <c:v>1.9738990000000001</c:v>
                </c:pt>
                <c:pt idx="203">
                  <c:v>1.9923906600000001</c:v>
                </c:pt>
                <c:pt idx="204">
                  <c:v>2.0110454299999998</c:v>
                </c:pt>
                <c:pt idx="205">
                  <c:v>2.02986479</c:v>
                </c:pt>
                <c:pt idx="206">
                  <c:v>2.04885019</c:v>
                </c:pt>
                <c:pt idx="207">
                  <c:v>2.0680030899999999</c:v>
                </c:pt>
                <c:pt idx="208">
                  <c:v>2.0873249600000001</c:v>
                </c:pt>
                <c:pt idx="209">
                  <c:v>2.1068172500000002</c:v>
                </c:pt>
                <c:pt idx="210">
                  <c:v>2.1264814300000001</c:v>
                </c:pt>
                <c:pt idx="211">
                  <c:v>2.1463189300000001</c:v>
                </c:pt>
                <c:pt idx="212">
                  <c:v>2.16633122</c:v>
                </c:pt>
                <c:pt idx="213">
                  <c:v>2.18651975</c:v>
                </c:pt>
                <c:pt idx="214">
                  <c:v>2.2068859600000001</c:v>
                </c:pt>
                <c:pt idx="215">
                  <c:v>2.2274312900000002</c:v>
                </c:pt>
                <c:pt idx="216">
                  <c:v>2.2481572000000001</c:v>
                </c:pt>
                <c:pt idx="217">
                  <c:v>2.26906513</c:v>
                </c:pt>
                <c:pt idx="218">
                  <c:v>2.2901565000000002</c:v>
                </c:pt>
                <c:pt idx="219">
                  <c:v>2.3114327700000001</c:v>
                </c:pt>
                <c:pt idx="220">
                  <c:v>2.3328953600000002</c:v>
                </c:pt>
                <c:pt idx="221">
                  <c:v>2.35454572</c:v>
                </c:pt>
                <c:pt idx="222">
                  <c:v>2.3763852600000002</c:v>
                </c:pt>
                <c:pt idx="223">
                  <c:v>2.3984154200000001</c:v>
                </c:pt>
                <c:pt idx="224">
                  <c:v>2.4206376199999999</c:v>
                </c:pt>
                <c:pt idx="225">
                  <c:v>2.4430532899999999</c:v>
                </c:pt>
                <c:pt idx="226">
                  <c:v>2.4656638499999999</c:v>
                </c:pt>
                <c:pt idx="227">
                  <c:v>2.48847072</c:v>
                </c:pt>
                <c:pt idx="228">
                  <c:v>2.5114753099999998</c:v>
                </c:pt>
                <c:pt idx="229">
                  <c:v>2.5346790399999999</c:v>
                </c:pt>
                <c:pt idx="230">
                  <c:v>2.5580833200000002</c:v>
                </c:pt>
                <c:pt idx="231">
                  <c:v>2.58168956</c:v>
                </c:pt>
                <c:pt idx="232">
                  <c:v>2.6054991599999999</c:v>
                </c:pt>
                <c:pt idx="233">
                  <c:v>2.62951354</c:v>
                </c:pt>
                <c:pt idx="234">
                  <c:v>2.6537340899999999</c:v>
                </c:pt>
                <c:pt idx="235">
                  <c:v>2.67816221</c:v>
                </c:pt>
                <c:pt idx="236">
                  <c:v>2.7027992900000002</c:v>
                </c:pt>
                <c:pt idx="237">
                  <c:v>2.72764674</c:v>
                </c:pt>
                <c:pt idx="238">
                  <c:v>2.7527059299999999</c:v>
                </c:pt>
                <c:pt idx="239">
                  <c:v>2.7779782700000002</c:v>
                </c:pt>
                <c:pt idx="240">
                  <c:v>2.8034651300000002</c:v>
                </c:pt>
                <c:pt idx="241">
                  <c:v>2.8287927700000002</c:v>
                </c:pt>
                <c:pt idx="242">
                  <c:v>2.8536155299999999</c:v>
                </c:pt>
                <c:pt idx="243">
                  <c:v>2.8779768899999998</c:v>
                </c:pt>
                <c:pt idx="244">
                  <c:v>2.9019202800000001</c:v>
                </c:pt>
                <c:pt idx="245">
                  <c:v>2.9254890900000001</c:v>
                </c:pt>
                <c:pt idx="246">
                  <c:v>2.9487266600000002</c:v>
                </c:pt>
                <c:pt idx="247">
                  <c:v>2.9716762999999999</c:v>
                </c:pt>
                <c:pt idx="248">
                  <c:v>2.9943812699999999</c:v>
                </c:pt>
                <c:pt idx="249">
                  <c:v>3.0168848000000001</c:v>
                </c:pt>
                <c:pt idx="250">
                  <c:v>3.0392300699999999</c:v>
                </c:pt>
                <c:pt idx="251">
                  <c:v>3.0614602400000002</c:v>
                </c:pt>
                <c:pt idx="252">
                  <c:v>3.0836184200000001</c:v>
                </c:pt>
                <c:pt idx="253">
                  <c:v>3.1057476799999999</c:v>
                </c:pt>
                <c:pt idx="254">
                  <c:v>3.1278910600000001</c:v>
                </c:pt>
                <c:pt idx="255">
                  <c:v>3.1500915799999998</c:v>
                </c:pt>
                <c:pt idx="256">
                  <c:v>3.1723922</c:v>
                </c:pt>
                <c:pt idx="257">
                  <c:v>3.19483585</c:v>
                </c:pt>
                <c:pt idx="258">
                  <c:v>3.2174654299999998</c:v>
                </c:pt>
                <c:pt idx="259">
                  <c:v>3.2403237900000001</c:v>
                </c:pt>
                <c:pt idx="260">
                  <c:v>3.26345375</c:v>
                </c:pt>
                <c:pt idx="261">
                  <c:v>3.2868981000000002</c:v>
                </c:pt>
                <c:pt idx="262">
                  <c:v>3.3106995700000001</c:v>
                </c:pt>
                <c:pt idx="263">
                  <c:v>3.3349008499999999</c:v>
                </c:pt>
                <c:pt idx="264">
                  <c:v>3.3595446099999999</c:v>
                </c:pt>
                <c:pt idx="265">
                  <c:v>3.3846734399999998</c:v>
                </c:pt>
                <c:pt idx="266">
                  <c:v>3.4103299100000002</c:v>
                </c:pt>
                <c:pt idx="267">
                  <c:v>3.4365565199999999</c:v>
                </c:pt>
                <c:pt idx="268">
                  <c:v>3.4633957500000001</c:v>
                </c:pt>
                <c:pt idx="269">
                  <c:v>3.4908899899999999</c:v>
                </c:pt>
                <c:pt idx="270">
                  <c:v>3.5190815799999999</c:v>
                </c:pt>
                <c:pt idx="271">
                  <c:v>3.5480128299999998</c:v>
                </c:pt>
                <c:pt idx="272">
                  <c:v>3.57772596</c:v>
                </c:pt>
                <c:pt idx="273">
                  <c:v>3.6082631300000001</c:v>
                </c:pt>
                <c:pt idx="274">
                  <c:v>3.6396664300000001</c:v>
                </c:pt>
                <c:pt idx="275">
                  <c:v>3.67197789</c:v>
                </c:pt>
                <c:pt idx="276">
                  <c:v>3.7052394500000001</c:v>
                </c:pt>
                <c:pt idx="277">
                  <c:v>3.7394929700000001</c:v>
                </c:pt>
                <c:pt idx="278">
                  <c:v>3.7747802500000001</c:v>
                </c:pt>
                <c:pt idx="279">
                  <c:v>3.8111429800000001</c:v>
                </c:pt>
                <c:pt idx="280">
                  <c:v>3.84862276</c:v>
                </c:pt>
                <c:pt idx="281">
                  <c:v>3.8872610999999999</c:v>
                </c:pt>
                <c:pt idx="282">
                  <c:v>3.9270994199999998</c:v>
                </c:pt>
                <c:pt idx="283">
                  <c:v>3.9681790100000001</c:v>
                </c:pt>
                <c:pt idx="284">
                  <c:v>4.0105410700000004</c:v>
                </c:pt>
                <c:pt idx="285">
                  <c:v>4.0542266700000003</c:v>
                </c:pt>
                <c:pt idx="286">
                  <c:v>4.0992767700000003</c:v>
                </c:pt>
                <c:pt idx="287">
                  <c:v>4.1457322100000003</c:v>
                </c:pt>
                <c:pt idx="288">
                  <c:v>4.1936336900000004</c:v>
                </c:pt>
                <c:pt idx="289">
                  <c:v>4.2430217600000004</c:v>
                </c:pt>
                <c:pt idx="290">
                  <c:v>4.2939368499999997</c:v>
                </c:pt>
                <c:pt idx="291">
                  <c:v>4.3464192300000004</c:v>
                </c:pt>
                <c:pt idx="292">
                  <c:v>4.4005090200000003</c:v>
                </c:pt>
                <c:pt idx="293">
                  <c:v>4.45624617</c:v>
                </c:pt>
                <c:pt idx="294">
                  <c:v>4.5136704700000001</c:v>
                </c:pt>
                <c:pt idx="295">
                  <c:v>4.5728215199999998</c:v>
                </c:pt>
                <c:pt idx="296">
                  <c:v>4.6337387799999998</c:v>
                </c:pt>
                <c:pt idx="297">
                  <c:v>4.6964614600000001</c:v>
                </c:pt>
                <c:pt idx="298">
                  <c:v>4.7610286300000002</c:v>
                </c:pt>
                <c:pt idx="299">
                  <c:v>4.8274791300000004</c:v>
                </c:pt>
                <c:pt idx="300">
                  <c:v>4.8958516000000003</c:v>
                </c:pt>
                <c:pt idx="301">
                  <c:v>4.9628969600000001</c:v>
                </c:pt>
                <c:pt idx="302">
                  <c:v>5.0257168500000002</c:v>
                </c:pt>
                <c:pt idx="303">
                  <c:v>5.0848744200000002</c:v>
                </c:pt>
                <c:pt idx="304">
                  <c:v>5.1409311400000002</c:v>
                </c:pt>
                <c:pt idx="305">
                  <c:v>5.1944469399999997</c:v>
                </c:pt>
                <c:pt idx="306">
                  <c:v>5.2459803699999998</c:v>
                </c:pt>
                <c:pt idx="307">
                  <c:v>5.2960887799999998</c:v>
                </c:pt>
                <c:pt idx="308">
                  <c:v>5.34532834</c:v>
                </c:pt>
                <c:pt idx="309">
                  <c:v>5.3942541200000003</c:v>
                </c:pt>
                <c:pt idx="310">
                  <c:v>5.4434201499999997</c:v>
                </c:pt>
                <c:pt idx="311">
                  <c:v>5.4933794100000002</c:v>
                </c:pt>
                <c:pt idx="312">
                  <c:v>5.5446837499999999</c:v>
                </c:pt>
                <c:pt idx="313">
                  <c:v>5.5978839300000001</c:v>
                </c:pt>
                <c:pt idx="314">
                  <c:v>5.6535294599999997</c:v>
                </c:pt>
                <c:pt idx="315">
                  <c:v>5.7121684899999998</c:v>
                </c:pt>
                <c:pt idx="316">
                  <c:v>5.7743476899999999</c:v>
                </c:pt>
                <c:pt idx="317">
                  <c:v>5.8406120799999997</c:v>
                </c:pt>
                <c:pt idx="318">
                  <c:v>5.9115047799999996</c:v>
                </c:pt>
                <c:pt idx="319">
                  <c:v>5.9875668199999996</c:v>
                </c:pt>
                <c:pt idx="320">
                  <c:v>6.0693368799999998</c:v>
                </c:pt>
                <c:pt idx="321">
                  <c:v>6.1573509800000004</c:v>
                </c:pt>
                <c:pt idx="322">
                  <c:v>6.2521421500000001</c:v>
                </c:pt>
                <c:pt idx="323">
                  <c:v>6.35424013</c:v>
                </c:pt>
                <c:pt idx="324">
                  <c:v>6.4641709599999997</c:v>
                </c:pt>
                <c:pt idx="325">
                  <c:v>6.5824566100000004</c:v>
                </c:pt>
                <c:pt idx="326">
                  <c:v>6.7096145099999998</c:v>
                </c:pt>
                <c:pt idx="327">
                  <c:v>6.8461571599999997</c:v>
                </c:pt>
                <c:pt idx="328">
                  <c:v>6.99259159</c:v>
                </c:pt>
                <c:pt idx="329">
                  <c:v>7.1494188899999997</c:v>
                </c:pt>
                <c:pt idx="330">
                  <c:v>7.3171337100000002</c:v>
                </c:pt>
                <c:pt idx="331">
                  <c:v>7.49622367</c:v>
                </c:pt>
                <c:pt idx="332">
                  <c:v>7.6871687800000004</c:v>
                </c:pt>
                <c:pt idx="333">
                  <c:v>7.8904408999999998</c:v>
                </c:pt>
                <c:pt idx="334">
                  <c:v>8.1065030900000004</c:v>
                </c:pt>
                <c:pt idx="335">
                  <c:v>8.3358089799999995</c:v>
                </c:pt>
                <c:pt idx="336">
                  <c:v>8.5788021299999997</c:v>
                </c:pt>
                <c:pt idx="337">
                  <c:v>8.8452629500000004</c:v>
                </c:pt>
                <c:pt idx="338">
                  <c:v>9.1429151500000003</c:v>
                </c:pt>
                <c:pt idx="339">
                  <c:v>9.4691085499999996</c:v>
                </c:pt>
                <c:pt idx="340">
                  <c:v>9.8211980200000006</c:v>
                </c:pt>
                <c:pt idx="341">
                  <c:v>10.196550330000001</c:v>
                </c:pt>
                <c:pt idx="342">
                  <c:v>10.59255039</c:v>
                </c:pt>
                <c:pt idx="343">
                  <c:v>11.006606830000001</c:v>
                </c:pt>
                <c:pt idx="344">
                  <c:v>11.436156889999999</c:v>
                </c:pt>
                <c:pt idx="345">
                  <c:v>11.87867073</c:v>
                </c:pt>
                <c:pt idx="346">
                  <c:v>12.33165496</c:v>
                </c:pt>
                <c:pt idx="347">
                  <c:v>12.792655679999999</c:v>
                </c:pt>
                <c:pt idx="348">
                  <c:v>13.259260790000001</c:v>
                </c:pt>
                <c:pt idx="349">
                  <c:v>13.74068576</c:v>
                </c:pt>
                <c:pt idx="350">
                  <c:v>14.2450346</c:v>
                </c:pt>
                <c:pt idx="351">
                  <c:v>14.768306300000001</c:v>
                </c:pt>
                <c:pt idx="352">
                  <c:v>15.30656767</c:v>
                </c:pt>
                <c:pt idx="353">
                  <c:v>15.85596031</c:v>
                </c:pt>
                <c:pt idx="354">
                  <c:v>16.412705979999998</c:v>
                </c:pt>
                <c:pt idx="355">
                  <c:v>16.97311045</c:v>
                </c:pt>
                <c:pt idx="356">
                  <c:v>17.533565759999998</c:v>
                </c:pt>
                <c:pt idx="357">
                  <c:v>18.09055116</c:v>
                </c:pt>
                <c:pt idx="358">
                  <c:v>18.64063251</c:v>
                </c:pt>
                <c:pt idx="359">
                  <c:v>19.180460409999998</c:v>
                </c:pt>
                <c:pt idx="360">
                  <c:v>19.706767070000001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'model curve'!$C$1</c:f>
              <c:strCache>
                <c:ptCount val="1"/>
                <c:pt idx="0">
                  <c:v>old</c:v>
                </c:pt>
              </c:strCache>
            </c:strRef>
          </c:tx>
          <c:marker>
            <c:symbol val="none"/>
          </c:marker>
          <c:cat>
            <c:numRef>
              <c:f>'model curve'!$B$2:$B$362</c:f>
              <c:numCache>
                <c:formatCode>General</c:formatCode>
                <c:ptCount val="3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</c:numCache>
            </c:numRef>
          </c:cat>
          <c:val>
            <c:numRef>
              <c:f>'model curve'!$C$2:$C$362</c:f>
              <c:numCache>
                <c:formatCode>General</c:formatCode>
                <c:ptCount val="361"/>
                <c:pt idx="0">
                  <c:v>0</c:v>
                </c:pt>
                <c:pt idx="1">
                  <c:v>8.5579509999999998E-2</c:v>
                </c:pt>
                <c:pt idx="2">
                  <c:v>0.18360024999999999</c:v>
                </c:pt>
                <c:pt idx="3">
                  <c:v>0.28153283000000001</c:v>
                </c:pt>
                <c:pt idx="4">
                  <c:v>0.36689145000000001</c:v>
                </c:pt>
                <c:pt idx="5">
                  <c:v>0.42722660000000001</c:v>
                </c:pt>
                <c:pt idx="6">
                  <c:v>0.45010359</c:v>
                </c:pt>
                <c:pt idx="7">
                  <c:v>0.45010359</c:v>
                </c:pt>
                <c:pt idx="8">
                  <c:v>0.45010359</c:v>
                </c:pt>
                <c:pt idx="9">
                  <c:v>0.45010359</c:v>
                </c:pt>
                <c:pt idx="10">
                  <c:v>0.45010359</c:v>
                </c:pt>
                <c:pt idx="11">
                  <c:v>0.45010359</c:v>
                </c:pt>
                <c:pt idx="12">
                  <c:v>0.45010359</c:v>
                </c:pt>
                <c:pt idx="13">
                  <c:v>0.45024160000000002</c:v>
                </c:pt>
                <c:pt idx="14">
                  <c:v>0.45065012999999998</c:v>
                </c:pt>
                <c:pt idx="15">
                  <c:v>0.45132090000000002</c:v>
                </c:pt>
                <c:pt idx="16">
                  <c:v>0.45224564</c:v>
                </c:pt>
                <c:pt idx="17">
                  <c:v>0.45341608</c:v>
                </c:pt>
                <c:pt idx="18">
                  <c:v>0.45482393999999998</c:v>
                </c:pt>
                <c:pt idx="19">
                  <c:v>0.45646094999999998</c:v>
                </c:pt>
                <c:pt idx="20">
                  <c:v>0.45831882000000002</c:v>
                </c:pt>
                <c:pt idx="21">
                  <c:v>0.46038929000000001</c:v>
                </c:pt>
                <c:pt idx="22">
                  <c:v>0.46266406999999998</c:v>
                </c:pt>
                <c:pt idx="23">
                  <c:v>0.46513489000000002</c:v>
                </c:pt>
                <c:pt idx="24">
                  <c:v>0.46779345</c:v>
                </c:pt>
                <c:pt idx="25">
                  <c:v>0.47063149999999998</c:v>
                </c:pt>
                <c:pt idx="26">
                  <c:v>0.47364073000000001</c:v>
                </c:pt>
                <c:pt idx="27">
                  <c:v>0.47681288999999999</c:v>
                </c:pt>
                <c:pt idx="28">
                  <c:v>0.48013967000000002</c:v>
                </c:pt>
                <c:pt idx="29">
                  <c:v>0.48361282</c:v>
                </c:pt>
                <c:pt idx="30">
                  <c:v>0.48722404000000002</c:v>
                </c:pt>
                <c:pt idx="31">
                  <c:v>0.49096507</c:v>
                </c:pt>
                <c:pt idx="32">
                  <c:v>0.49482760999999997</c:v>
                </c:pt>
                <c:pt idx="33">
                  <c:v>0.49880340000000001</c:v>
                </c:pt>
                <c:pt idx="34">
                  <c:v>0.50288416999999996</c:v>
                </c:pt>
                <c:pt idx="35">
                  <c:v>0.50706163000000004</c:v>
                </c:pt>
                <c:pt idx="36">
                  <c:v>0.51132750000000005</c:v>
                </c:pt>
                <c:pt idx="37">
                  <c:v>0.51567353000000005</c:v>
                </c:pt>
                <c:pt idx="38">
                  <c:v>0.52009143999999996</c:v>
                </c:pt>
                <c:pt idx="39">
                  <c:v>0.52457295000000004</c:v>
                </c:pt>
                <c:pt idx="40">
                  <c:v>0.52910979999999996</c:v>
                </c:pt>
                <c:pt idx="41">
                  <c:v>0.53369370999999999</c:v>
                </c:pt>
                <c:pt idx="42">
                  <c:v>0.53831642999999996</c:v>
                </c:pt>
                <c:pt idx="43">
                  <c:v>0.54296968999999995</c:v>
                </c:pt>
                <c:pt idx="44">
                  <c:v>0.54764522000000004</c:v>
                </c:pt>
                <c:pt idx="45">
                  <c:v>0.55233476000000004</c:v>
                </c:pt>
                <c:pt idx="46">
                  <c:v>0.55703005000000005</c:v>
                </c:pt>
                <c:pt idx="47">
                  <c:v>0.56172283000000001</c:v>
                </c:pt>
                <c:pt idx="48">
                  <c:v>0.56640484000000002</c:v>
                </c:pt>
                <c:pt idx="49">
                  <c:v>0.57106783000000005</c:v>
                </c:pt>
                <c:pt idx="50">
                  <c:v>0.57570354000000001</c:v>
                </c:pt>
                <c:pt idx="51">
                  <c:v>0.58030371000000003</c:v>
                </c:pt>
                <c:pt idx="52">
                  <c:v>0.58486009000000005</c:v>
                </c:pt>
                <c:pt idx="53">
                  <c:v>0.58936443999999999</c:v>
                </c:pt>
                <c:pt idx="54">
                  <c:v>0.59380849999999996</c:v>
                </c:pt>
                <c:pt idx="55">
                  <c:v>0.59818402000000004</c:v>
                </c:pt>
                <c:pt idx="56">
                  <c:v>0.60248276000000001</c:v>
                </c:pt>
                <c:pt idx="57">
                  <c:v>0.60669645999999999</c:v>
                </c:pt>
                <c:pt idx="58">
                  <c:v>0.61081688999999995</c:v>
                </c:pt>
                <c:pt idx="59">
                  <c:v>0.61483580000000004</c:v>
                </c:pt>
                <c:pt idx="60">
                  <c:v>0.61874494999999996</c:v>
                </c:pt>
                <c:pt idx="61">
                  <c:v>0.62261266999999998</c:v>
                </c:pt>
                <c:pt idx="62">
                  <c:v>0.62651208000000003</c:v>
                </c:pt>
                <c:pt idx="63">
                  <c:v>0.63044210000000001</c:v>
                </c:pt>
                <c:pt idx="64">
                  <c:v>0.63440165999999998</c:v>
                </c:pt>
                <c:pt idx="65">
                  <c:v>0.63838965999999997</c:v>
                </c:pt>
                <c:pt idx="66">
                  <c:v>0.64240503000000004</c:v>
                </c:pt>
                <c:pt idx="67">
                  <c:v>0.64644668000000005</c:v>
                </c:pt>
                <c:pt idx="68">
                  <c:v>0.65051355</c:v>
                </c:pt>
                <c:pt idx="69">
                  <c:v>0.65460454999999995</c:v>
                </c:pt>
                <c:pt idx="70">
                  <c:v>0.65871860000000004</c:v>
                </c:pt>
                <c:pt idx="71">
                  <c:v>0.66285461000000001</c:v>
                </c:pt>
                <c:pt idx="72">
                  <c:v>0.66701151999999997</c:v>
                </c:pt>
                <c:pt idx="73">
                  <c:v>0.67118823999999999</c:v>
                </c:pt>
                <c:pt idx="74">
                  <c:v>0.67538368999999998</c:v>
                </c:pt>
                <c:pt idx="75">
                  <c:v>0.6795968</c:v>
                </c:pt>
                <c:pt idx="76">
                  <c:v>0.68382648000000001</c:v>
                </c:pt>
                <c:pt idx="77">
                  <c:v>0.68807165999999997</c:v>
                </c:pt>
                <c:pt idx="78">
                  <c:v>0.69233124999999995</c:v>
                </c:pt>
                <c:pt idx="79">
                  <c:v>0.69660418999999996</c:v>
                </c:pt>
                <c:pt idx="80">
                  <c:v>0.70088938999999995</c:v>
                </c:pt>
                <c:pt idx="81">
                  <c:v>0.70518577000000005</c:v>
                </c:pt>
                <c:pt idx="82">
                  <c:v>0.70949225999999999</c:v>
                </c:pt>
                <c:pt idx="83">
                  <c:v>0.71380778</c:v>
                </c:pt>
                <c:pt idx="84">
                  <c:v>0.71813125</c:v>
                </c:pt>
                <c:pt idx="85">
                  <c:v>0.72246158999999999</c:v>
                </c:pt>
                <c:pt idx="86">
                  <c:v>0.72679773999999997</c:v>
                </c:pt>
                <c:pt idx="87">
                  <c:v>0.73113859999999997</c:v>
                </c:pt>
                <c:pt idx="88">
                  <c:v>0.73548311</c:v>
                </c:pt>
                <c:pt idx="89">
                  <c:v>0.73983018</c:v>
                </c:pt>
                <c:pt idx="90">
                  <c:v>0.74417873999999995</c:v>
                </c:pt>
                <c:pt idx="91">
                  <c:v>0.74852772000000001</c:v>
                </c:pt>
                <c:pt idx="92">
                  <c:v>0.75287603999999997</c:v>
                </c:pt>
                <c:pt idx="93">
                  <c:v>0.75722261999999996</c:v>
                </c:pt>
                <c:pt idx="94">
                  <c:v>0.76156639000000004</c:v>
                </c:pt>
                <c:pt idx="95">
                  <c:v>0.76590627</c:v>
                </c:pt>
                <c:pt idx="96">
                  <c:v>0.77024119000000002</c:v>
                </c:pt>
                <c:pt idx="97">
                  <c:v>0.77457007</c:v>
                </c:pt>
                <c:pt idx="98">
                  <c:v>0.77889184</c:v>
                </c:pt>
                <c:pt idx="99">
                  <c:v>0.78320540999999999</c:v>
                </c:pt>
                <c:pt idx="100">
                  <c:v>0.78750973000000002</c:v>
                </c:pt>
                <c:pt idx="101">
                  <c:v>0.79180371000000005</c:v>
                </c:pt>
                <c:pt idx="102">
                  <c:v>0.79608626999999998</c:v>
                </c:pt>
                <c:pt idx="103">
                  <c:v>0.80035635000000005</c:v>
                </c:pt>
                <c:pt idx="104">
                  <c:v>0.80461287000000004</c:v>
                </c:pt>
                <c:pt idx="105">
                  <c:v>0.80885476000000001</c:v>
                </c:pt>
                <c:pt idx="106">
                  <c:v>0.81308093999999997</c:v>
                </c:pt>
                <c:pt idx="107">
                  <c:v>0.81729034</c:v>
                </c:pt>
                <c:pt idx="108">
                  <c:v>0.82148188</c:v>
                </c:pt>
                <c:pt idx="109">
                  <c:v>0.82565449999999996</c:v>
                </c:pt>
                <c:pt idx="110">
                  <c:v>0.82980712000000001</c:v>
                </c:pt>
                <c:pt idx="111">
                  <c:v>0.83393866999999999</c:v>
                </c:pt>
                <c:pt idx="112">
                  <c:v>0.83804807000000003</c:v>
                </c:pt>
                <c:pt idx="113">
                  <c:v>0.84213424999999997</c:v>
                </c:pt>
                <c:pt idx="114">
                  <c:v>0.84619613999999999</c:v>
                </c:pt>
                <c:pt idx="115">
                  <c:v>0.85023267000000002</c:v>
                </c:pt>
                <c:pt idx="116">
                  <c:v>0.85424277000000004</c:v>
                </c:pt>
                <c:pt idx="117">
                  <c:v>0.85822536000000005</c:v>
                </c:pt>
                <c:pt idx="118">
                  <c:v>0.86217937</c:v>
                </c:pt>
                <c:pt idx="119">
                  <c:v>0.86610372999999996</c:v>
                </c:pt>
                <c:pt idx="120">
                  <c:v>0.86999736000000005</c:v>
                </c:pt>
                <c:pt idx="121">
                  <c:v>0.87386388999999998</c:v>
                </c:pt>
                <c:pt idx="122">
                  <c:v>0.87770806000000001</c:v>
                </c:pt>
                <c:pt idx="123">
                  <c:v>0.88153049999999999</c:v>
                </c:pt>
                <c:pt idx="124">
                  <c:v>0.88533185000000003</c:v>
                </c:pt>
                <c:pt idx="125">
                  <c:v>0.88911275999999995</c:v>
                </c:pt>
                <c:pt idx="126">
                  <c:v>0.89287384999999997</c:v>
                </c:pt>
                <c:pt idx="127">
                  <c:v>0.89661575999999998</c:v>
                </c:pt>
                <c:pt idx="128">
                  <c:v>0.90033914000000004</c:v>
                </c:pt>
                <c:pt idx="129">
                  <c:v>0.90404461000000003</c:v>
                </c:pt>
                <c:pt idx="130">
                  <c:v>0.90773282</c:v>
                </c:pt>
                <c:pt idx="131">
                  <c:v>0.9114044</c:v>
                </c:pt>
                <c:pt idx="132">
                  <c:v>0.91505999000000005</c:v>
                </c:pt>
                <c:pt idx="133">
                  <c:v>0.91870021999999996</c:v>
                </c:pt>
                <c:pt idx="134">
                  <c:v>0.92232572999999995</c:v>
                </c:pt>
                <c:pt idx="135">
                  <c:v>0.92593716000000004</c:v>
                </c:pt>
                <c:pt idx="136">
                  <c:v>0.92953514000000004</c:v>
                </c:pt>
                <c:pt idx="137">
                  <c:v>0.93312030999999995</c:v>
                </c:pt>
                <c:pt idx="138">
                  <c:v>0.93669329999999995</c:v>
                </c:pt>
                <c:pt idx="139">
                  <c:v>0.94025475000000003</c:v>
                </c:pt>
                <c:pt idx="140">
                  <c:v>0.94380529999999996</c:v>
                </c:pt>
                <c:pt idx="141">
                  <c:v>0.94734558999999996</c:v>
                </c:pt>
                <c:pt idx="142">
                  <c:v>0.95087622999999999</c:v>
                </c:pt>
                <c:pt idx="143">
                  <c:v>0.95439788999999997</c:v>
                </c:pt>
                <c:pt idx="144">
                  <c:v>0.95791117999999997</c:v>
                </c:pt>
                <c:pt idx="145">
                  <c:v>0.96141673999999999</c:v>
                </c:pt>
                <c:pt idx="146">
                  <c:v>0.96491521000000002</c:v>
                </c:pt>
                <c:pt idx="147">
                  <c:v>0.96840722999999995</c:v>
                </c:pt>
                <c:pt idx="148">
                  <c:v>0.97189342999999995</c:v>
                </c:pt>
                <c:pt idx="149">
                  <c:v>0.97537443999999995</c:v>
                </c:pt>
                <c:pt idx="150">
                  <c:v>0.97885089999999997</c:v>
                </c:pt>
                <c:pt idx="151">
                  <c:v>0.98232344000000005</c:v>
                </c:pt>
                <c:pt idx="152">
                  <c:v>0.98579269999999997</c:v>
                </c:pt>
                <c:pt idx="153">
                  <c:v>0.98925932000000005</c:v>
                </c:pt>
                <c:pt idx="154">
                  <c:v>0.99272391999999998</c:v>
                </c:pt>
                <c:pt idx="155">
                  <c:v>0.99618715000000002</c:v>
                </c:pt>
                <c:pt idx="156">
                  <c:v>0.99964962999999996</c:v>
                </c:pt>
                <c:pt idx="157">
                  <c:v>1.0031120099999999</c:v>
                </c:pt>
                <c:pt idx="158">
                  <c:v>1.0065749100000001</c:v>
                </c:pt>
                <c:pt idx="159">
                  <c:v>1.0100389700000001</c:v>
                </c:pt>
                <c:pt idx="160">
                  <c:v>1.0135048200000001</c:v>
                </c:pt>
                <c:pt idx="161">
                  <c:v>1.0169731</c:v>
                </c:pt>
                <c:pt idx="162">
                  <c:v>1.0204444500000001</c:v>
                </c:pt>
                <c:pt idx="163">
                  <c:v>1.0239194899999999</c:v>
                </c:pt>
                <c:pt idx="164">
                  <c:v>1.02739885</c:v>
                </c:pt>
                <c:pt idx="165">
                  <c:v>1.0308831899999999</c:v>
                </c:pt>
                <c:pt idx="166">
                  <c:v>1.03437311</c:v>
                </c:pt>
                <c:pt idx="167">
                  <c:v>1.0378692700000001</c:v>
                </c:pt>
                <c:pt idx="168">
                  <c:v>1.04137229</c:v>
                </c:pt>
                <c:pt idx="169">
                  <c:v>1.0448828100000001</c:v>
                </c:pt>
                <c:pt idx="170">
                  <c:v>1.04840146</c:v>
                </c:pt>
                <c:pt idx="171">
                  <c:v>1.05192888</c:v>
                </c:pt>
                <c:pt idx="172">
                  <c:v>1.0554656899999999</c:v>
                </c:pt>
                <c:pt idx="173">
                  <c:v>1.05901253</c:v>
                </c:pt>
                <c:pt idx="174">
                  <c:v>1.0625700300000001</c:v>
                </c:pt>
                <c:pt idx="175">
                  <c:v>1.0661388300000001</c:v>
                </c:pt>
                <c:pt idx="176">
                  <c:v>1.0697195500000001</c:v>
                </c:pt>
                <c:pt idx="177">
                  <c:v>1.07331284</c:v>
                </c:pt>
                <c:pt idx="178">
                  <c:v>1.07691932</c:v>
                </c:pt>
                <c:pt idx="179">
                  <c:v>1.0805396199999999</c:v>
                </c:pt>
                <c:pt idx="180">
                  <c:v>1.08417439</c:v>
                </c:pt>
                <c:pt idx="181">
                  <c:v>1.0878028</c:v>
                </c:pt>
                <c:pt idx="182">
                  <c:v>1.09140466</c:v>
                </c:pt>
                <c:pt idx="183">
                  <c:v>1.09498148</c:v>
                </c:pt>
                <c:pt idx="184">
                  <c:v>1.0985347999999999</c:v>
                </c:pt>
                <c:pt idx="185">
                  <c:v>1.10206614</c:v>
                </c:pt>
                <c:pt idx="186">
                  <c:v>1.1055770300000001</c:v>
                </c:pt>
                <c:pt idx="187">
                  <c:v>1.1090690000000001</c:v>
                </c:pt>
                <c:pt idx="188">
                  <c:v>1.1125435699999999</c:v>
                </c:pt>
                <c:pt idx="189">
                  <c:v>1.1160022599999999</c:v>
                </c:pt>
                <c:pt idx="190">
                  <c:v>1.1194466199999999</c:v>
                </c:pt>
                <c:pt idx="191">
                  <c:v>1.12287815</c:v>
                </c:pt>
                <c:pt idx="192">
                  <c:v>1.1262983900000001</c:v>
                </c:pt>
                <c:pt idx="193">
                  <c:v>1.12970886</c:v>
                </c:pt>
                <c:pt idx="194">
                  <c:v>1.1331110900000001</c:v>
                </c:pt>
                <c:pt idx="195">
                  <c:v>1.1365065999999999</c:v>
                </c:pt>
                <c:pt idx="196">
                  <c:v>1.13989692</c:v>
                </c:pt>
                <c:pt idx="197">
                  <c:v>1.1432835800000001</c:v>
                </c:pt>
                <c:pt idx="198">
                  <c:v>1.1466680899999999</c:v>
                </c:pt>
                <c:pt idx="199">
                  <c:v>1.15005198</c:v>
                </c:pt>
                <c:pt idx="200">
                  <c:v>1.1534367699999999</c:v>
                </c:pt>
                <c:pt idx="201">
                  <c:v>1.1568240000000001</c:v>
                </c:pt>
                <c:pt idx="202">
                  <c:v>1.16021518</c:v>
                </c:pt>
                <c:pt idx="203">
                  <c:v>1.16361184</c:v>
                </c:pt>
                <c:pt idx="204">
                  <c:v>1.16701549</c:v>
                </c:pt>
                <c:pt idx="205">
                  <c:v>1.17042767</c:v>
                </c:pt>
                <c:pt idx="206">
                  <c:v>1.1738499</c:v>
                </c:pt>
                <c:pt idx="207">
                  <c:v>1.1772837</c:v>
                </c:pt>
                <c:pt idx="208">
                  <c:v>1.1807305800000001</c:v>
                </c:pt>
                <c:pt idx="209">
                  <c:v>1.18419209</c:v>
                </c:pt>
                <c:pt idx="210">
                  <c:v>1.1876697300000001</c:v>
                </c:pt>
                <c:pt idx="211">
                  <c:v>1.1911650300000001</c:v>
                </c:pt>
                <c:pt idx="212">
                  <c:v>1.1946795100000001</c:v>
                </c:pt>
                <c:pt idx="213">
                  <c:v>1.1982146899999999</c:v>
                </c:pt>
                <c:pt idx="214">
                  <c:v>1.20177209</c:v>
                </c:pt>
                <c:pt idx="215">
                  <c:v>1.20535324</c:v>
                </c:pt>
                <c:pt idx="216">
                  <c:v>1.2089596600000001</c:v>
                </c:pt>
                <c:pt idx="217">
                  <c:v>1.21259286</c:v>
                </c:pt>
                <c:pt idx="218">
                  <c:v>1.2162543699999999</c:v>
                </c:pt>
                <c:pt idx="219">
                  <c:v>1.21994571</c:v>
                </c:pt>
                <c:pt idx="220">
                  <c:v>1.2236683900000001</c:v>
                </c:pt>
                <c:pt idx="221">
                  <c:v>1.2274239499999999</c:v>
                </c:pt>
                <c:pt idx="222">
                  <c:v>1.2312138800000001</c:v>
                </c:pt>
                <c:pt idx="223">
                  <c:v>1.23503973</c:v>
                </c:pt>
                <c:pt idx="224">
                  <c:v>1.2389030000000001</c:v>
                </c:pt>
                <c:pt idx="225">
                  <c:v>1.2428052199999999</c:v>
                </c:pt>
                <c:pt idx="226">
                  <c:v>1.24674789</c:v>
                </c:pt>
                <c:pt idx="227">
                  <c:v>1.2507325499999999</c:v>
                </c:pt>
                <c:pt idx="228">
                  <c:v>1.25476071</c:v>
                </c:pt>
                <c:pt idx="229">
                  <c:v>1.2588338800000001</c:v>
                </c:pt>
                <c:pt idx="230">
                  <c:v>1.26295359</c:v>
                </c:pt>
                <c:pt idx="231">
                  <c:v>1.26712135</c:v>
                </c:pt>
                <c:pt idx="232">
                  <c:v>1.2713386799999999</c:v>
                </c:pt>
                <c:pt idx="233">
                  <c:v>1.2756071</c:v>
                </c:pt>
                <c:pt idx="234">
                  <c:v>1.27992811</c:v>
                </c:pt>
                <c:pt idx="235">
                  <c:v>1.2843032400000001</c:v>
                </c:pt>
                <c:pt idx="236">
                  <c:v>1.28873401</c:v>
                </c:pt>
                <c:pt idx="237">
                  <c:v>1.2932219199999999</c:v>
                </c:pt>
                <c:pt idx="238">
                  <c:v>1.2977685000000001</c:v>
                </c:pt>
                <c:pt idx="239">
                  <c:v>1.3023752500000001</c:v>
                </c:pt>
                <c:pt idx="240">
                  <c:v>1.3070436999999999</c:v>
                </c:pt>
                <c:pt idx="241">
                  <c:v>1.31159626</c:v>
                </c:pt>
                <c:pt idx="242">
                  <c:v>1.3158770500000001</c:v>
                </c:pt>
                <c:pt idx="243">
                  <c:v>1.3199200600000001</c:v>
                </c:pt>
                <c:pt idx="244">
                  <c:v>1.3237593000000001</c:v>
                </c:pt>
                <c:pt idx="245">
                  <c:v>1.32742877</c:v>
                </c:pt>
                <c:pt idx="246">
                  <c:v>1.3309624600000001</c:v>
                </c:pt>
                <c:pt idx="247">
                  <c:v>1.3343943599999999</c:v>
                </c:pt>
                <c:pt idx="248">
                  <c:v>1.33775844</c:v>
                </c:pt>
                <c:pt idx="249">
                  <c:v>1.3410886799999999</c:v>
                </c:pt>
                <c:pt idx="250">
                  <c:v>1.3444190600000001</c:v>
                </c:pt>
                <c:pt idx="251">
                  <c:v>1.3477835499999999</c:v>
                </c:pt>
                <c:pt idx="252">
                  <c:v>1.3512161</c:v>
                </c:pt>
                <c:pt idx="253">
                  <c:v>1.3547506899999999</c:v>
                </c:pt>
                <c:pt idx="254">
                  <c:v>1.3584212499999999</c:v>
                </c:pt>
                <c:pt idx="255">
                  <c:v>1.36226175</c:v>
                </c:pt>
                <c:pt idx="256">
                  <c:v>1.3663061299999999</c:v>
                </c:pt>
                <c:pt idx="257">
                  <c:v>1.3705883299999999</c:v>
                </c:pt>
                <c:pt idx="258">
                  <c:v>1.37514227</c:v>
                </c:pt>
                <c:pt idx="259">
                  <c:v>1.38000189</c:v>
                </c:pt>
                <c:pt idx="260">
                  <c:v>1.38520109</c:v>
                </c:pt>
                <c:pt idx="261">
                  <c:v>1.39077378</c:v>
                </c:pt>
                <c:pt idx="262">
                  <c:v>1.39675387</c:v>
                </c:pt>
                <c:pt idx="263">
                  <c:v>1.4031752200000001</c:v>
                </c:pt>
                <c:pt idx="264">
                  <c:v>1.4100717199999999</c:v>
                </c:pt>
                <c:pt idx="265">
                  <c:v>1.4174772099999999</c:v>
                </c:pt>
                <c:pt idx="266">
                  <c:v>1.42542554</c:v>
                </c:pt>
                <c:pt idx="267">
                  <c:v>1.43395052</c:v>
                </c:pt>
                <c:pt idx="268">
                  <c:v>1.4430859599999999</c:v>
                </c:pt>
                <c:pt idx="269">
                  <c:v>1.45286564</c:v>
                </c:pt>
                <c:pt idx="270">
                  <c:v>1.46332331</c:v>
                </c:pt>
                <c:pt idx="271">
                  <c:v>1.47449271</c:v>
                </c:pt>
                <c:pt idx="272">
                  <c:v>1.4864075299999999</c:v>
                </c:pt>
                <c:pt idx="273">
                  <c:v>1.49910144</c:v>
                </c:pt>
                <c:pt idx="274">
                  <c:v>1.5126081</c:v>
                </c:pt>
                <c:pt idx="275">
                  <c:v>1.5269611000000001</c:v>
                </c:pt>
                <c:pt idx="276">
                  <c:v>1.54219401</c:v>
                </c:pt>
                <c:pt idx="277">
                  <c:v>1.5583403600000001</c:v>
                </c:pt>
                <c:pt idx="278">
                  <c:v>1.57543364</c:v>
                </c:pt>
                <c:pt idx="279">
                  <c:v>1.5935072699999999</c:v>
                </c:pt>
                <c:pt idx="280">
                  <c:v>1.6125946499999999</c:v>
                </c:pt>
                <c:pt idx="281">
                  <c:v>1.63272912</c:v>
                </c:pt>
                <c:pt idx="282">
                  <c:v>1.6539439600000001</c:v>
                </c:pt>
                <c:pt idx="283">
                  <c:v>1.6762723900000001</c:v>
                </c:pt>
                <c:pt idx="284">
                  <c:v>1.69974756</c:v>
                </c:pt>
                <c:pt idx="285">
                  <c:v>1.72440259</c:v>
                </c:pt>
                <c:pt idx="286">
                  <c:v>1.75027048</c:v>
                </c:pt>
                <c:pt idx="287">
                  <c:v>1.77738419</c:v>
                </c:pt>
                <c:pt idx="288">
                  <c:v>1.8057766</c:v>
                </c:pt>
                <c:pt idx="289">
                  <c:v>1.8354805000000001</c:v>
                </c:pt>
                <c:pt idx="290">
                  <c:v>1.8665286000000001</c:v>
                </c:pt>
                <c:pt idx="291">
                  <c:v>1.89895353</c:v>
                </c:pt>
                <c:pt idx="292">
                  <c:v>1.9327878000000001</c:v>
                </c:pt>
                <c:pt idx="293">
                  <c:v>1.9680638500000001</c:v>
                </c:pt>
                <c:pt idx="294">
                  <c:v>2.0048140000000001</c:v>
                </c:pt>
                <c:pt idx="295">
                  <c:v>2.04307047</c:v>
                </c:pt>
                <c:pt idx="296">
                  <c:v>2.0828653899999998</c:v>
                </c:pt>
                <c:pt idx="297">
                  <c:v>2.1242307299999998</c:v>
                </c:pt>
                <c:pt idx="298">
                  <c:v>2.1671983699999999</c:v>
                </c:pt>
                <c:pt idx="299">
                  <c:v>2.2118000599999998</c:v>
                </c:pt>
                <c:pt idx="300">
                  <c:v>2.2580674100000002</c:v>
                </c:pt>
                <c:pt idx="301">
                  <c:v>2.3092098399999998</c:v>
                </c:pt>
                <c:pt idx="302">
                  <c:v>2.3683705900000001</c:v>
                </c:pt>
                <c:pt idx="303">
                  <c:v>2.4354807100000002</c:v>
                </c:pt>
                <c:pt idx="304">
                  <c:v>2.5104696099999999</c:v>
                </c:pt>
                <c:pt idx="305">
                  <c:v>2.5932650599999998</c:v>
                </c:pt>
                <c:pt idx="306">
                  <c:v>2.6837933299999999</c:v>
                </c:pt>
                <c:pt idx="307">
                  <c:v>2.7819791199999999</c:v>
                </c:pt>
                <c:pt idx="308">
                  <c:v>2.8877457</c:v>
                </c:pt>
                <c:pt idx="309">
                  <c:v>3.0010149199999998</c:v>
                </c:pt>
                <c:pt idx="310">
                  <c:v>3.12170726</c:v>
                </c:pt>
                <c:pt idx="311">
                  <c:v>3.2497418800000002</c:v>
                </c:pt>
                <c:pt idx="312">
                  <c:v>3.38503664</c:v>
                </c:pt>
                <c:pt idx="313">
                  <c:v>3.5275082200000001</c:v>
                </c:pt>
                <c:pt idx="314">
                  <c:v>3.6770720699999999</c:v>
                </c:pt>
                <c:pt idx="315">
                  <c:v>3.8336425300000001</c:v>
                </c:pt>
                <c:pt idx="316">
                  <c:v>3.9971328399999999</c:v>
                </c:pt>
                <c:pt idx="317">
                  <c:v>4.16745521</c:v>
                </c:pt>
                <c:pt idx="318">
                  <c:v>4.3445208500000003</c:v>
                </c:pt>
                <c:pt idx="319">
                  <c:v>4.5282400000000003</c:v>
                </c:pt>
                <c:pt idx="320">
                  <c:v>4.71852202</c:v>
                </c:pt>
                <c:pt idx="321">
                  <c:v>4.9152753999999996</c:v>
                </c:pt>
                <c:pt idx="322">
                  <c:v>5.1184078199999998</c:v>
                </c:pt>
                <c:pt idx="323">
                  <c:v>5.3278261899999997</c:v>
                </c:pt>
                <c:pt idx="324">
                  <c:v>5.5434366900000001</c:v>
                </c:pt>
                <c:pt idx="325">
                  <c:v>5.7651448299999997</c:v>
                </c:pt>
                <c:pt idx="326">
                  <c:v>5.9928554800000002</c:v>
                </c:pt>
                <c:pt idx="327">
                  <c:v>6.2264729000000001</c:v>
                </c:pt>
                <c:pt idx="328">
                  <c:v>6.4659008399999998</c:v>
                </c:pt>
                <c:pt idx="329">
                  <c:v>6.7110425100000004</c:v>
                </c:pt>
                <c:pt idx="330">
                  <c:v>6.9618006699999997</c:v>
                </c:pt>
                <c:pt idx="331">
                  <c:v>7.2180776399999997</c:v>
                </c:pt>
                <c:pt idx="332">
                  <c:v>7.4797753900000004</c:v>
                </c:pt>
                <c:pt idx="333">
                  <c:v>7.74679552</c:v>
                </c:pt>
                <c:pt idx="334">
                  <c:v>8.0190393600000007</c:v>
                </c:pt>
                <c:pt idx="335">
                  <c:v>8.2964079500000008</c:v>
                </c:pt>
                <c:pt idx="336">
                  <c:v>8.5788021299999997</c:v>
                </c:pt>
                <c:pt idx="337">
                  <c:v>8.8744991899999999</c:v>
                </c:pt>
                <c:pt idx="338">
                  <c:v>9.1910902100000005</c:v>
                </c:pt>
                <c:pt idx="339">
                  <c:v>9.5274455400000004</c:v>
                </c:pt>
                <c:pt idx="340">
                  <c:v>9.8824358100000005</c:v>
                </c:pt>
                <c:pt idx="341">
                  <c:v>10.254933940000001</c:v>
                </c:pt>
                <c:pt idx="342">
                  <c:v>10.643816989999999</c:v>
                </c:pt>
                <c:pt idx="343">
                  <c:v>11.047967959999999</c:v>
                </c:pt>
                <c:pt idx="344">
                  <c:v>11.46627745</c:v>
                </c:pt>
                <c:pt idx="345">
                  <c:v>11.89764516</c:v>
                </c:pt>
                <c:pt idx="346">
                  <c:v>12.34098135</c:v>
                </c:pt>
                <c:pt idx="347">
                  <c:v>12.79520816</c:v>
                </c:pt>
                <c:pt idx="348">
                  <c:v>13.259260790000001</c:v>
                </c:pt>
                <c:pt idx="349">
                  <c:v>13.74068576</c:v>
                </c:pt>
                <c:pt idx="350">
                  <c:v>14.2450346</c:v>
                </c:pt>
                <c:pt idx="351">
                  <c:v>14.768306300000001</c:v>
                </c:pt>
                <c:pt idx="352">
                  <c:v>15.30656767</c:v>
                </c:pt>
                <c:pt idx="353">
                  <c:v>15.85596031</c:v>
                </c:pt>
                <c:pt idx="354">
                  <c:v>16.412705979999998</c:v>
                </c:pt>
                <c:pt idx="355">
                  <c:v>16.97311045</c:v>
                </c:pt>
                <c:pt idx="356">
                  <c:v>17.533565759999998</c:v>
                </c:pt>
                <c:pt idx="357">
                  <c:v>18.09055116</c:v>
                </c:pt>
                <c:pt idx="358">
                  <c:v>18.64063251</c:v>
                </c:pt>
                <c:pt idx="359">
                  <c:v>19.180460409999998</c:v>
                </c:pt>
                <c:pt idx="360">
                  <c:v>19.706767070000001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1863168"/>
        <c:axId val="331864704"/>
      </c:lineChart>
      <c:catAx>
        <c:axId val="3318631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31864704"/>
        <c:crosses val="autoZero"/>
        <c:auto val="1"/>
        <c:lblAlgn val="ctr"/>
        <c:lblOffset val="100"/>
        <c:noMultiLvlLbl val="0"/>
      </c:catAx>
      <c:valAx>
        <c:axId val="33186470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CPR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33186316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'model curve'!$C$1</c:f>
              <c:strCache>
                <c:ptCount val="1"/>
                <c:pt idx="0">
                  <c:v>old</c:v>
                </c:pt>
              </c:strCache>
            </c:strRef>
          </c:tx>
          <c:spPr>
            <a:ln w="6350"/>
          </c:spPr>
          <c:marker>
            <c:symbol val="none"/>
          </c:marker>
          <c:cat>
            <c:numRef>
              <c:f>'model curve'!$B$2:$B$362</c:f>
              <c:numCache>
                <c:formatCode>General</c:formatCode>
                <c:ptCount val="3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</c:numCache>
            </c:numRef>
          </c:cat>
          <c:val>
            <c:numRef>
              <c:f>'model curve'!$C$2:$C$362</c:f>
              <c:numCache>
                <c:formatCode>General</c:formatCode>
                <c:ptCount val="361"/>
                <c:pt idx="0">
                  <c:v>0</c:v>
                </c:pt>
                <c:pt idx="1">
                  <c:v>8.5579509999999998E-2</c:v>
                </c:pt>
                <c:pt idx="2">
                  <c:v>0.18360024999999999</c:v>
                </c:pt>
                <c:pt idx="3">
                  <c:v>0.28153283000000001</c:v>
                </c:pt>
                <c:pt idx="4">
                  <c:v>0.36689145000000001</c:v>
                </c:pt>
                <c:pt idx="5">
                  <c:v>0.42722660000000001</c:v>
                </c:pt>
                <c:pt idx="6">
                  <c:v>0.45010359</c:v>
                </c:pt>
                <c:pt idx="7">
                  <c:v>0.45010359</c:v>
                </c:pt>
                <c:pt idx="8">
                  <c:v>0.45010359</c:v>
                </c:pt>
                <c:pt idx="9">
                  <c:v>0.45010359</c:v>
                </c:pt>
                <c:pt idx="10">
                  <c:v>0.45010359</c:v>
                </c:pt>
                <c:pt idx="11">
                  <c:v>0.45010359</c:v>
                </c:pt>
                <c:pt idx="12">
                  <c:v>0.45010359</c:v>
                </c:pt>
                <c:pt idx="13">
                  <c:v>0.45024160000000002</c:v>
                </c:pt>
                <c:pt idx="14">
                  <c:v>0.45065012999999998</c:v>
                </c:pt>
                <c:pt idx="15">
                  <c:v>0.45132090000000002</c:v>
                </c:pt>
                <c:pt idx="16">
                  <c:v>0.45224564</c:v>
                </c:pt>
                <c:pt idx="17">
                  <c:v>0.45341608</c:v>
                </c:pt>
                <c:pt idx="18">
                  <c:v>0.45482393999999998</c:v>
                </c:pt>
                <c:pt idx="19">
                  <c:v>0.45646094999999998</c:v>
                </c:pt>
                <c:pt idx="20">
                  <c:v>0.45831882000000002</c:v>
                </c:pt>
                <c:pt idx="21">
                  <c:v>0.46038929000000001</c:v>
                </c:pt>
                <c:pt idx="22">
                  <c:v>0.46266406999999998</c:v>
                </c:pt>
                <c:pt idx="23">
                  <c:v>0.46513489000000002</c:v>
                </c:pt>
                <c:pt idx="24">
                  <c:v>0.46779345</c:v>
                </c:pt>
                <c:pt idx="25">
                  <c:v>0.47063149999999998</c:v>
                </c:pt>
                <c:pt idx="26">
                  <c:v>0.47364073000000001</c:v>
                </c:pt>
                <c:pt idx="27">
                  <c:v>0.47681288999999999</c:v>
                </c:pt>
                <c:pt idx="28">
                  <c:v>0.48013967000000002</c:v>
                </c:pt>
                <c:pt idx="29">
                  <c:v>0.48361282</c:v>
                </c:pt>
                <c:pt idx="30">
                  <c:v>0.48722404000000002</c:v>
                </c:pt>
                <c:pt idx="31">
                  <c:v>0.49096507</c:v>
                </c:pt>
                <c:pt idx="32">
                  <c:v>0.49482760999999997</c:v>
                </c:pt>
                <c:pt idx="33">
                  <c:v>0.49880340000000001</c:v>
                </c:pt>
                <c:pt idx="34">
                  <c:v>0.50288416999999996</c:v>
                </c:pt>
                <c:pt idx="35">
                  <c:v>0.50706163000000004</c:v>
                </c:pt>
                <c:pt idx="36">
                  <c:v>0.51132750000000005</c:v>
                </c:pt>
                <c:pt idx="37">
                  <c:v>0.51567353000000005</c:v>
                </c:pt>
                <c:pt idx="38">
                  <c:v>0.52009143999999996</c:v>
                </c:pt>
                <c:pt idx="39">
                  <c:v>0.52457295000000004</c:v>
                </c:pt>
                <c:pt idx="40">
                  <c:v>0.52910979999999996</c:v>
                </c:pt>
                <c:pt idx="41">
                  <c:v>0.53369370999999999</c:v>
                </c:pt>
                <c:pt idx="42">
                  <c:v>0.53831642999999996</c:v>
                </c:pt>
                <c:pt idx="43">
                  <c:v>0.54296968999999995</c:v>
                </c:pt>
                <c:pt idx="44">
                  <c:v>0.54764522000000004</c:v>
                </c:pt>
                <c:pt idx="45">
                  <c:v>0.55233476000000004</c:v>
                </c:pt>
                <c:pt idx="46">
                  <c:v>0.55703005000000005</c:v>
                </c:pt>
                <c:pt idx="47">
                  <c:v>0.56172283000000001</c:v>
                </c:pt>
                <c:pt idx="48">
                  <c:v>0.56640484000000002</c:v>
                </c:pt>
                <c:pt idx="49">
                  <c:v>0.57106783000000005</c:v>
                </c:pt>
                <c:pt idx="50">
                  <c:v>0.57570354000000001</c:v>
                </c:pt>
                <c:pt idx="51">
                  <c:v>0.58030371000000003</c:v>
                </c:pt>
                <c:pt idx="52">
                  <c:v>0.58486009000000005</c:v>
                </c:pt>
                <c:pt idx="53">
                  <c:v>0.58936443999999999</c:v>
                </c:pt>
                <c:pt idx="54">
                  <c:v>0.59380849999999996</c:v>
                </c:pt>
                <c:pt idx="55">
                  <c:v>0.59818402000000004</c:v>
                </c:pt>
                <c:pt idx="56">
                  <c:v>0.60248276000000001</c:v>
                </c:pt>
                <c:pt idx="57">
                  <c:v>0.60669645999999999</c:v>
                </c:pt>
                <c:pt idx="58">
                  <c:v>0.61081688999999995</c:v>
                </c:pt>
                <c:pt idx="59">
                  <c:v>0.61483580000000004</c:v>
                </c:pt>
                <c:pt idx="60">
                  <c:v>0.61874494999999996</c:v>
                </c:pt>
                <c:pt idx="61">
                  <c:v>0.62261266999999998</c:v>
                </c:pt>
                <c:pt idx="62">
                  <c:v>0.62651208000000003</c:v>
                </c:pt>
                <c:pt idx="63">
                  <c:v>0.63044210000000001</c:v>
                </c:pt>
                <c:pt idx="64">
                  <c:v>0.63440165999999998</c:v>
                </c:pt>
                <c:pt idx="65">
                  <c:v>0.63838965999999997</c:v>
                </c:pt>
                <c:pt idx="66">
                  <c:v>0.64240503000000004</c:v>
                </c:pt>
                <c:pt idx="67">
                  <c:v>0.64644668000000005</c:v>
                </c:pt>
                <c:pt idx="68">
                  <c:v>0.65051355</c:v>
                </c:pt>
                <c:pt idx="69">
                  <c:v>0.65460454999999995</c:v>
                </c:pt>
                <c:pt idx="70">
                  <c:v>0.65871860000000004</c:v>
                </c:pt>
                <c:pt idx="71">
                  <c:v>0.66285461000000001</c:v>
                </c:pt>
                <c:pt idx="72">
                  <c:v>0.66701151999999997</c:v>
                </c:pt>
                <c:pt idx="73">
                  <c:v>0.67118823999999999</c:v>
                </c:pt>
                <c:pt idx="74">
                  <c:v>0.67538368999999998</c:v>
                </c:pt>
                <c:pt idx="75">
                  <c:v>0.6795968</c:v>
                </c:pt>
                <c:pt idx="76">
                  <c:v>0.68382648000000001</c:v>
                </c:pt>
                <c:pt idx="77">
                  <c:v>0.68807165999999997</c:v>
                </c:pt>
                <c:pt idx="78">
                  <c:v>0.69233124999999995</c:v>
                </c:pt>
                <c:pt idx="79">
                  <c:v>0.69660418999999996</c:v>
                </c:pt>
                <c:pt idx="80">
                  <c:v>0.70088938999999995</c:v>
                </c:pt>
                <c:pt idx="81">
                  <c:v>0.70518577000000005</c:v>
                </c:pt>
                <c:pt idx="82">
                  <c:v>0.70949225999999999</c:v>
                </c:pt>
                <c:pt idx="83">
                  <c:v>0.71380778</c:v>
                </c:pt>
                <c:pt idx="84">
                  <c:v>0.71813125</c:v>
                </c:pt>
                <c:pt idx="85">
                  <c:v>0.72246158999999999</c:v>
                </c:pt>
                <c:pt idx="86">
                  <c:v>0.72679773999999997</c:v>
                </c:pt>
                <c:pt idx="87">
                  <c:v>0.73113859999999997</c:v>
                </c:pt>
                <c:pt idx="88">
                  <c:v>0.73548311</c:v>
                </c:pt>
                <c:pt idx="89">
                  <c:v>0.73983018</c:v>
                </c:pt>
                <c:pt idx="90">
                  <c:v>0.74417873999999995</c:v>
                </c:pt>
                <c:pt idx="91">
                  <c:v>0.74852772000000001</c:v>
                </c:pt>
                <c:pt idx="92">
                  <c:v>0.75287603999999997</c:v>
                </c:pt>
                <c:pt idx="93">
                  <c:v>0.75722261999999996</c:v>
                </c:pt>
                <c:pt idx="94">
                  <c:v>0.76156639000000004</c:v>
                </c:pt>
                <c:pt idx="95">
                  <c:v>0.76590627</c:v>
                </c:pt>
                <c:pt idx="96">
                  <c:v>0.77024119000000002</c:v>
                </c:pt>
                <c:pt idx="97">
                  <c:v>0.77457007</c:v>
                </c:pt>
                <c:pt idx="98">
                  <c:v>0.77889184</c:v>
                </c:pt>
                <c:pt idx="99">
                  <c:v>0.78320540999999999</c:v>
                </c:pt>
                <c:pt idx="100">
                  <c:v>0.78750973000000002</c:v>
                </c:pt>
                <c:pt idx="101">
                  <c:v>0.79180371000000005</c:v>
                </c:pt>
                <c:pt idx="102">
                  <c:v>0.79608626999999998</c:v>
                </c:pt>
                <c:pt idx="103">
                  <c:v>0.80035635000000005</c:v>
                </c:pt>
                <c:pt idx="104">
                  <c:v>0.80461287000000004</c:v>
                </c:pt>
                <c:pt idx="105">
                  <c:v>0.80885476000000001</c:v>
                </c:pt>
                <c:pt idx="106">
                  <c:v>0.81308093999999997</c:v>
                </c:pt>
                <c:pt idx="107">
                  <c:v>0.81729034</c:v>
                </c:pt>
                <c:pt idx="108">
                  <c:v>0.82148188</c:v>
                </c:pt>
                <c:pt idx="109">
                  <c:v>0.82565449999999996</c:v>
                </c:pt>
                <c:pt idx="110">
                  <c:v>0.82980712000000001</c:v>
                </c:pt>
                <c:pt idx="111">
                  <c:v>0.83393866999999999</c:v>
                </c:pt>
                <c:pt idx="112">
                  <c:v>0.83804807000000003</c:v>
                </c:pt>
                <c:pt idx="113">
                  <c:v>0.84213424999999997</c:v>
                </c:pt>
                <c:pt idx="114">
                  <c:v>0.84619613999999999</c:v>
                </c:pt>
                <c:pt idx="115">
                  <c:v>0.85023267000000002</c:v>
                </c:pt>
                <c:pt idx="116">
                  <c:v>0.85424277000000004</c:v>
                </c:pt>
                <c:pt idx="117">
                  <c:v>0.85822536000000005</c:v>
                </c:pt>
                <c:pt idx="118">
                  <c:v>0.86217937</c:v>
                </c:pt>
                <c:pt idx="119">
                  <c:v>0.86610372999999996</c:v>
                </c:pt>
                <c:pt idx="120">
                  <c:v>0.86999736000000005</c:v>
                </c:pt>
                <c:pt idx="121">
                  <c:v>0.87386388999999998</c:v>
                </c:pt>
                <c:pt idx="122">
                  <c:v>0.87770806000000001</c:v>
                </c:pt>
                <c:pt idx="123">
                  <c:v>0.88153049999999999</c:v>
                </c:pt>
                <c:pt idx="124">
                  <c:v>0.88533185000000003</c:v>
                </c:pt>
                <c:pt idx="125">
                  <c:v>0.88911275999999995</c:v>
                </c:pt>
                <c:pt idx="126">
                  <c:v>0.89287384999999997</c:v>
                </c:pt>
                <c:pt idx="127">
                  <c:v>0.89661575999999998</c:v>
                </c:pt>
                <c:pt idx="128">
                  <c:v>0.90033914000000004</c:v>
                </c:pt>
                <c:pt idx="129">
                  <c:v>0.90404461000000003</c:v>
                </c:pt>
                <c:pt idx="130">
                  <c:v>0.90773282</c:v>
                </c:pt>
                <c:pt idx="131">
                  <c:v>0.9114044</c:v>
                </c:pt>
                <c:pt idx="132">
                  <c:v>0.91505999000000005</c:v>
                </c:pt>
                <c:pt idx="133">
                  <c:v>0.91870021999999996</c:v>
                </c:pt>
                <c:pt idx="134">
                  <c:v>0.92232572999999995</c:v>
                </c:pt>
                <c:pt idx="135">
                  <c:v>0.92593716000000004</c:v>
                </c:pt>
                <c:pt idx="136">
                  <c:v>0.92953514000000004</c:v>
                </c:pt>
                <c:pt idx="137">
                  <c:v>0.93312030999999995</c:v>
                </c:pt>
                <c:pt idx="138">
                  <c:v>0.93669329999999995</c:v>
                </c:pt>
                <c:pt idx="139">
                  <c:v>0.94025475000000003</c:v>
                </c:pt>
                <c:pt idx="140">
                  <c:v>0.94380529999999996</c:v>
                </c:pt>
                <c:pt idx="141">
                  <c:v>0.94734558999999996</c:v>
                </c:pt>
                <c:pt idx="142">
                  <c:v>0.95087622999999999</c:v>
                </c:pt>
                <c:pt idx="143">
                  <c:v>0.95439788999999997</c:v>
                </c:pt>
                <c:pt idx="144">
                  <c:v>0.95791117999999997</c:v>
                </c:pt>
                <c:pt idx="145">
                  <c:v>0.96141673999999999</c:v>
                </c:pt>
                <c:pt idx="146">
                  <c:v>0.96491521000000002</c:v>
                </c:pt>
                <c:pt idx="147">
                  <c:v>0.96840722999999995</c:v>
                </c:pt>
                <c:pt idx="148">
                  <c:v>0.97189342999999995</c:v>
                </c:pt>
                <c:pt idx="149">
                  <c:v>0.97537443999999995</c:v>
                </c:pt>
                <c:pt idx="150">
                  <c:v>0.97885089999999997</c:v>
                </c:pt>
                <c:pt idx="151">
                  <c:v>0.98232344000000005</c:v>
                </c:pt>
                <c:pt idx="152">
                  <c:v>0.98579269999999997</c:v>
                </c:pt>
                <c:pt idx="153">
                  <c:v>0.98925932000000005</c:v>
                </c:pt>
                <c:pt idx="154">
                  <c:v>0.99272391999999998</c:v>
                </c:pt>
                <c:pt idx="155">
                  <c:v>0.99618715000000002</c:v>
                </c:pt>
                <c:pt idx="156">
                  <c:v>0.99964962999999996</c:v>
                </c:pt>
                <c:pt idx="157">
                  <c:v>1.0031120099999999</c:v>
                </c:pt>
                <c:pt idx="158">
                  <c:v>1.0065749100000001</c:v>
                </c:pt>
                <c:pt idx="159">
                  <c:v>1.0100389700000001</c:v>
                </c:pt>
                <c:pt idx="160">
                  <c:v>1.0135048200000001</c:v>
                </c:pt>
                <c:pt idx="161">
                  <c:v>1.0169731</c:v>
                </c:pt>
                <c:pt idx="162">
                  <c:v>1.0204444500000001</c:v>
                </c:pt>
                <c:pt idx="163">
                  <c:v>1.0239194899999999</c:v>
                </c:pt>
                <c:pt idx="164">
                  <c:v>1.02739885</c:v>
                </c:pt>
                <c:pt idx="165">
                  <c:v>1.0308831899999999</c:v>
                </c:pt>
                <c:pt idx="166">
                  <c:v>1.03437311</c:v>
                </c:pt>
                <c:pt idx="167">
                  <c:v>1.0378692700000001</c:v>
                </c:pt>
                <c:pt idx="168">
                  <c:v>1.04137229</c:v>
                </c:pt>
                <c:pt idx="169">
                  <c:v>1.0448828100000001</c:v>
                </c:pt>
                <c:pt idx="170">
                  <c:v>1.04840146</c:v>
                </c:pt>
                <c:pt idx="171">
                  <c:v>1.05192888</c:v>
                </c:pt>
                <c:pt idx="172">
                  <c:v>1.0554656899999999</c:v>
                </c:pt>
                <c:pt idx="173">
                  <c:v>1.05901253</c:v>
                </c:pt>
                <c:pt idx="174">
                  <c:v>1.0625700300000001</c:v>
                </c:pt>
                <c:pt idx="175">
                  <c:v>1.0661388300000001</c:v>
                </c:pt>
                <c:pt idx="176">
                  <c:v>1.0697195500000001</c:v>
                </c:pt>
                <c:pt idx="177">
                  <c:v>1.07331284</c:v>
                </c:pt>
                <c:pt idx="178">
                  <c:v>1.07691932</c:v>
                </c:pt>
                <c:pt idx="179">
                  <c:v>1.0805396199999999</c:v>
                </c:pt>
                <c:pt idx="180">
                  <c:v>1.08417439</c:v>
                </c:pt>
                <c:pt idx="181">
                  <c:v>1.0878028</c:v>
                </c:pt>
                <c:pt idx="182">
                  <c:v>1.09140466</c:v>
                </c:pt>
                <c:pt idx="183">
                  <c:v>1.09498148</c:v>
                </c:pt>
                <c:pt idx="184">
                  <c:v>1.0985347999999999</c:v>
                </c:pt>
                <c:pt idx="185">
                  <c:v>1.10206614</c:v>
                </c:pt>
                <c:pt idx="186">
                  <c:v>1.1055770300000001</c:v>
                </c:pt>
                <c:pt idx="187">
                  <c:v>1.1090690000000001</c:v>
                </c:pt>
                <c:pt idx="188">
                  <c:v>1.1125435699999999</c:v>
                </c:pt>
                <c:pt idx="189">
                  <c:v>1.1160022599999999</c:v>
                </c:pt>
                <c:pt idx="190">
                  <c:v>1.1194466199999999</c:v>
                </c:pt>
                <c:pt idx="191">
                  <c:v>1.12287815</c:v>
                </c:pt>
                <c:pt idx="192">
                  <c:v>1.1262983900000001</c:v>
                </c:pt>
                <c:pt idx="193">
                  <c:v>1.12970886</c:v>
                </c:pt>
                <c:pt idx="194">
                  <c:v>1.1331110900000001</c:v>
                </c:pt>
                <c:pt idx="195">
                  <c:v>1.1365065999999999</c:v>
                </c:pt>
                <c:pt idx="196">
                  <c:v>1.13989692</c:v>
                </c:pt>
                <c:pt idx="197">
                  <c:v>1.1432835800000001</c:v>
                </c:pt>
                <c:pt idx="198">
                  <c:v>1.1466680899999999</c:v>
                </c:pt>
                <c:pt idx="199">
                  <c:v>1.15005198</c:v>
                </c:pt>
                <c:pt idx="200">
                  <c:v>1.1534367699999999</c:v>
                </c:pt>
                <c:pt idx="201">
                  <c:v>1.1568240000000001</c:v>
                </c:pt>
                <c:pt idx="202">
                  <c:v>1.16021518</c:v>
                </c:pt>
                <c:pt idx="203">
                  <c:v>1.16361184</c:v>
                </c:pt>
                <c:pt idx="204">
                  <c:v>1.16701549</c:v>
                </c:pt>
                <c:pt idx="205">
                  <c:v>1.17042767</c:v>
                </c:pt>
                <c:pt idx="206">
                  <c:v>1.1738499</c:v>
                </c:pt>
                <c:pt idx="207">
                  <c:v>1.1772837</c:v>
                </c:pt>
                <c:pt idx="208">
                  <c:v>1.1807305800000001</c:v>
                </c:pt>
                <c:pt idx="209">
                  <c:v>1.18419209</c:v>
                </c:pt>
                <c:pt idx="210">
                  <c:v>1.1876697300000001</c:v>
                </c:pt>
                <c:pt idx="211">
                  <c:v>1.1911650300000001</c:v>
                </c:pt>
                <c:pt idx="212">
                  <c:v>1.1946795100000001</c:v>
                </c:pt>
                <c:pt idx="213">
                  <c:v>1.1982146899999999</c:v>
                </c:pt>
                <c:pt idx="214">
                  <c:v>1.20177209</c:v>
                </c:pt>
                <c:pt idx="215">
                  <c:v>1.20535324</c:v>
                </c:pt>
                <c:pt idx="216">
                  <c:v>1.2089596600000001</c:v>
                </c:pt>
                <c:pt idx="217">
                  <c:v>1.21259286</c:v>
                </c:pt>
                <c:pt idx="218">
                  <c:v>1.2162543699999999</c:v>
                </c:pt>
                <c:pt idx="219">
                  <c:v>1.21994571</c:v>
                </c:pt>
                <c:pt idx="220">
                  <c:v>1.2236683900000001</c:v>
                </c:pt>
                <c:pt idx="221">
                  <c:v>1.2274239499999999</c:v>
                </c:pt>
                <c:pt idx="222">
                  <c:v>1.2312138800000001</c:v>
                </c:pt>
                <c:pt idx="223">
                  <c:v>1.23503973</c:v>
                </c:pt>
                <c:pt idx="224">
                  <c:v>1.2389030000000001</c:v>
                </c:pt>
                <c:pt idx="225">
                  <c:v>1.2428052199999999</c:v>
                </c:pt>
                <c:pt idx="226">
                  <c:v>1.24674789</c:v>
                </c:pt>
                <c:pt idx="227">
                  <c:v>1.2507325499999999</c:v>
                </c:pt>
                <c:pt idx="228">
                  <c:v>1.25476071</c:v>
                </c:pt>
                <c:pt idx="229">
                  <c:v>1.2588338800000001</c:v>
                </c:pt>
                <c:pt idx="230">
                  <c:v>1.26295359</c:v>
                </c:pt>
                <c:pt idx="231">
                  <c:v>1.26712135</c:v>
                </c:pt>
                <c:pt idx="232">
                  <c:v>1.2713386799999999</c:v>
                </c:pt>
                <c:pt idx="233">
                  <c:v>1.2756071</c:v>
                </c:pt>
                <c:pt idx="234">
                  <c:v>1.27992811</c:v>
                </c:pt>
                <c:pt idx="235">
                  <c:v>1.2843032400000001</c:v>
                </c:pt>
                <c:pt idx="236">
                  <c:v>1.28873401</c:v>
                </c:pt>
                <c:pt idx="237">
                  <c:v>1.2932219199999999</c:v>
                </c:pt>
                <c:pt idx="238">
                  <c:v>1.2977685000000001</c:v>
                </c:pt>
                <c:pt idx="239">
                  <c:v>1.3023752500000001</c:v>
                </c:pt>
                <c:pt idx="240">
                  <c:v>1.3070436999999999</c:v>
                </c:pt>
                <c:pt idx="241">
                  <c:v>1.31159626</c:v>
                </c:pt>
                <c:pt idx="242">
                  <c:v>1.3158770500000001</c:v>
                </c:pt>
                <c:pt idx="243">
                  <c:v>1.3199200600000001</c:v>
                </c:pt>
                <c:pt idx="244">
                  <c:v>1.3237593000000001</c:v>
                </c:pt>
                <c:pt idx="245">
                  <c:v>1.32742877</c:v>
                </c:pt>
                <c:pt idx="246">
                  <c:v>1.3309624600000001</c:v>
                </c:pt>
                <c:pt idx="247">
                  <c:v>1.3343943599999999</c:v>
                </c:pt>
                <c:pt idx="248">
                  <c:v>1.33775844</c:v>
                </c:pt>
                <c:pt idx="249">
                  <c:v>1.3410886799999999</c:v>
                </c:pt>
                <c:pt idx="250">
                  <c:v>1.3444190600000001</c:v>
                </c:pt>
                <c:pt idx="251">
                  <c:v>1.3477835499999999</c:v>
                </c:pt>
                <c:pt idx="252">
                  <c:v>1.3512161</c:v>
                </c:pt>
                <c:pt idx="253">
                  <c:v>1.3547506899999999</c:v>
                </c:pt>
                <c:pt idx="254">
                  <c:v>1.3584212499999999</c:v>
                </c:pt>
                <c:pt idx="255">
                  <c:v>1.36226175</c:v>
                </c:pt>
                <c:pt idx="256">
                  <c:v>1.3663061299999999</c:v>
                </c:pt>
                <c:pt idx="257">
                  <c:v>1.3705883299999999</c:v>
                </c:pt>
                <c:pt idx="258">
                  <c:v>1.37514227</c:v>
                </c:pt>
                <c:pt idx="259">
                  <c:v>1.38000189</c:v>
                </c:pt>
                <c:pt idx="260">
                  <c:v>1.38520109</c:v>
                </c:pt>
                <c:pt idx="261">
                  <c:v>1.39077378</c:v>
                </c:pt>
                <c:pt idx="262">
                  <c:v>1.39675387</c:v>
                </c:pt>
                <c:pt idx="263">
                  <c:v>1.4031752200000001</c:v>
                </c:pt>
                <c:pt idx="264">
                  <c:v>1.4100717199999999</c:v>
                </c:pt>
                <c:pt idx="265">
                  <c:v>1.4174772099999999</c:v>
                </c:pt>
                <c:pt idx="266">
                  <c:v>1.42542554</c:v>
                </c:pt>
                <c:pt idx="267">
                  <c:v>1.43395052</c:v>
                </c:pt>
                <c:pt idx="268">
                  <c:v>1.4430859599999999</c:v>
                </c:pt>
                <c:pt idx="269">
                  <c:v>1.45286564</c:v>
                </c:pt>
                <c:pt idx="270">
                  <c:v>1.46332331</c:v>
                </c:pt>
                <c:pt idx="271">
                  <c:v>1.47449271</c:v>
                </c:pt>
                <c:pt idx="272">
                  <c:v>1.4864075299999999</c:v>
                </c:pt>
                <c:pt idx="273">
                  <c:v>1.49910144</c:v>
                </c:pt>
                <c:pt idx="274">
                  <c:v>1.5126081</c:v>
                </c:pt>
                <c:pt idx="275">
                  <c:v>1.5269611000000001</c:v>
                </c:pt>
                <c:pt idx="276">
                  <c:v>1.54219401</c:v>
                </c:pt>
                <c:pt idx="277">
                  <c:v>1.5583403600000001</c:v>
                </c:pt>
                <c:pt idx="278">
                  <c:v>1.57543364</c:v>
                </c:pt>
                <c:pt idx="279">
                  <c:v>1.5935072699999999</c:v>
                </c:pt>
                <c:pt idx="280">
                  <c:v>1.6125946499999999</c:v>
                </c:pt>
                <c:pt idx="281">
                  <c:v>1.63272912</c:v>
                </c:pt>
                <c:pt idx="282">
                  <c:v>1.6539439600000001</c:v>
                </c:pt>
                <c:pt idx="283">
                  <c:v>1.6762723900000001</c:v>
                </c:pt>
                <c:pt idx="284">
                  <c:v>1.69974756</c:v>
                </c:pt>
                <c:pt idx="285">
                  <c:v>1.72440259</c:v>
                </c:pt>
                <c:pt idx="286">
                  <c:v>1.75027048</c:v>
                </c:pt>
                <c:pt idx="287">
                  <c:v>1.77738419</c:v>
                </c:pt>
                <c:pt idx="288">
                  <c:v>1.8057766</c:v>
                </c:pt>
                <c:pt idx="289">
                  <c:v>1.8354805000000001</c:v>
                </c:pt>
                <c:pt idx="290">
                  <c:v>1.8665286000000001</c:v>
                </c:pt>
                <c:pt idx="291">
                  <c:v>1.89895353</c:v>
                </c:pt>
                <c:pt idx="292">
                  <c:v>1.9327878000000001</c:v>
                </c:pt>
                <c:pt idx="293">
                  <c:v>1.9680638500000001</c:v>
                </c:pt>
                <c:pt idx="294">
                  <c:v>2.0048140000000001</c:v>
                </c:pt>
                <c:pt idx="295">
                  <c:v>2.04307047</c:v>
                </c:pt>
                <c:pt idx="296">
                  <c:v>2.0828653899999998</c:v>
                </c:pt>
                <c:pt idx="297">
                  <c:v>2.1242307299999998</c:v>
                </c:pt>
                <c:pt idx="298">
                  <c:v>2.1671983699999999</c:v>
                </c:pt>
                <c:pt idx="299">
                  <c:v>2.2118000599999998</c:v>
                </c:pt>
                <c:pt idx="300">
                  <c:v>2.2580674100000002</c:v>
                </c:pt>
                <c:pt idx="301">
                  <c:v>2.3092098399999998</c:v>
                </c:pt>
                <c:pt idx="302">
                  <c:v>2.3683705900000001</c:v>
                </c:pt>
                <c:pt idx="303">
                  <c:v>2.4354807100000002</c:v>
                </c:pt>
                <c:pt idx="304">
                  <c:v>2.5104696099999999</c:v>
                </c:pt>
                <c:pt idx="305">
                  <c:v>2.5932650599999998</c:v>
                </c:pt>
                <c:pt idx="306">
                  <c:v>2.6837933299999999</c:v>
                </c:pt>
                <c:pt idx="307">
                  <c:v>2.7819791199999999</c:v>
                </c:pt>
                <c:pt idx="308">
                  <c:v>2.8877457</c:v>
                </c:pt>
                <c:pt idx="309">
                  <c:v>3.0010149199999998</c:v>
                </c:pt>
                <c:pt idx="310">
                  <c:v>3.12170726</c:v>
                </c:pt>
                <c:pt idx="311">
                  <c:v>3.2497418800000002</c:v>
                </c:pt>
                <c:pt idx="312">
                  <c:v>3.38503664</c:v>
                </c:pt>
                <c:pt idx="313">
                  <c:v>3.5275082200000001</c:v>
                </c:pt>
                <c:pt idx="314">
                  <c:v>3.6770720699999999</c:v>
                </c:pt>
                <c:pt idx="315">
                  <c:v>3.8336425300000001</c:v>
                </c:pt>
                <c:pt idx="316">
                  <c:v>3.9971328399999999</c:v>
                </c:pt>
                <c:pt idx="317">
                  <c:v>4.16745521</c:v>
                </c:pt>
                <c:pt idx="318">
                  <c:v>4.3445208500000003</c:v>
                </c:pt>
                <c:pt idx="319">
                  <c:v>4.5282400000000003</c:v>
                </c:pt>
                <c:pt idx="320">
                  <c:v>4.71852202</c:v>
                </c:pt>
                <c:pt idx="321">
                  <c:v>4.9152753999999996</c:v>
                </c:pt>
                <c:pt idx="322">
                  <c:v>5.1184078199999998</c:v>
                </c:pt>
                <c:pt idx="323">
                  <c:v>5.3278261899999997</c:v>
                </c:pt>
                <c:pt idx="324">
                  <c:v>5.5434366900000001</c:v>
                </c:pt>
                <c:pt idx="325">
                  <c:v>5.7651448299999997</c:v>
                </c:pt>
                <c:pt idx="326">
                  <c:v>5.9928554800000002</c:v>
                </c:pt>
                <c:pt idx="327">
                  <c:v>6.2264729000000001</c:v>
                </c:pt>
                <c:pt idx="328">
                  <c:v>6.4659008399999998</c:v>
                </c:pt>
                <c:pt idx="329">
                  <c:v>6.7110425100000004</c:v>
                </c:pt>
                <c:pt idx="330">
                  <c:v>6.9618006699999997</c:v>
                </c:pt>
                <c:pt idx="331">
                  <c:v>7.2180776399999997</c:v>
                </c:pt>
                <c:pt idx="332">
                  <c:v>7.4797753900000004</c:v>
                </c:pt>
                <c:pt idx="333">
                  <c:v>7.74679552</c:v>
                </c:pt>
                <c:pt idx="334">
                  <c:v>8.0190393600000007</c:v>
                </c:pt>
                <c:pt idx="335">
                  <c:v>8.2964079500000008</c:v>
                </c:pt>
                <c:pt idx="336">
                  <c:v>8.5788021299999997</c:v>
                </c:pt>
                <c:pt idx="337">
                  <c:v>8.8744991899999999</c:v>
                </c:pt>
                <c:pt idx="338">
                  <c:v>9.1910902100000005</c:v>
                </c:pt>
                <c:pt idx="339">
                  <c:v>9.5274455400000004</c:v>
                </c:pt>
                <c:pt idx="340">
                  <c:v>9.8824358100000005</c:v>
                </c:pt>
                <c:pt idx="341">
                  <c:v>10.254933940000001</c:v>
                </c:pt>
                <c:pt idx="342">
                  <c:v>10.643816989999999</c:v>
                </c:pt>
                <c:pt idx="343">
                  <c:v>11.047967959999999</c:v>
                </c:pt>
                <c:pt idx="344">
                  <c:v>11.46627745</c:v>
                </c:pt>
                <c:pt idx="345">
                  <c:v>11.89764516</c:v>
                </c:pt>
                <c:pt idx="346">
                  <c:v>12.34098135</c:v>
                </c:pt>
                <c:pt idx="347">
                  <c:v>12.79520816</c:v>
                </c:pt>
                <c:pt idx="348">
                  <c:v>13.259260790000001</c:v>
                </c:pt>
                <c:pt idx="349">
                  <c:v>13.74068576</c:v>
                </c:pt>
                <c:pt idx="350">
                  <c:v>14.2450346</c:v>
                </c:pt>
                <c:pt idx="351">
                  <c:v>14.768306300000001</c:v>
                </c:pt>
                <c:pt idx="352">
                  <c:v>15.30656767</c:v>
                </c:pt>
                <c:pt idx="353">
                  <c:v>15.85596031</c:v>
                </c:pt>
                <c:pt idx="354">
                  <c:v>16.412705979999998</c:v>
                </c:pt>
                <c:pt idx="355">
                  <c:v>16.97311045</c:v>
                </c:pt>
                <c:pt idx="356">
                  <c:v>17.533565759999998</c:v>
                </c:pt>
                <c:pt idx="357">
                  <c:v>18.09055116</c:v>
                </c:pt>
                <c:pt idx="358">
                  <c:v>18.64063251</c:v>
                </c:pt>
                <c:pt idx="359">
                  <c:v>19.180460409999998</c:v>
                </c:pt>
                <c:pt idx="360">
                  <c:v>19.706767070000001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'model curve'!$D$1</c:f>
              <c:strCache>
                <c:ptCount val="1"/>
                <c:pt idx="0">
                  <c:v>Modify 1</c:v>
                </c:pt>
              </c:strCache>
            </c:strRef>
          </c:tx>
          <c:spPr>
            <a:ln w="6350"/>
          </c:spPr>
          <c:marker>
            <c:symbol val="none"/>
          </c:marker>
          <c:cat>
            <c:numRef>
              <c:f>'model curve'!$B$2:$B$362</c:f>
              <c:numCache>
                <c:formatCode>General</c:formatCode>
                <c:ptCount val="3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</c:numCache>
            </c:numRef>
          </c:cat>
          <c:val>
            <c:numRef>
              <c:f>'model curve'!$D$2:$D$362</c:f>
              <c:numCache>
                <c:formatCode>General</c:formatCode>
                <c:ptCount val="361"/>
                <c:pt idx="0">
                  <c:v>0</c:v>
                </c:pt>
                <c:pt idx="1">
                  <c:v>8.5579509999999998E-2</c:v>
                </c:pt>
                <c:pt idx="2">
                  <c:v>0.18360024999999999</c:v>
                </c:pt>
                <c:pt idx="3">
                  <c:v>0.28153283000000001</c:v>
                </c:pt>
                <c:pt idx="4">
                  <c:v>0.36689145000000001</c:v>
                </c:pt>
                <c:pt idx="5">
                  <c:v>0.42722660000000001</c:v>
                </c:pt>
                <c:pt idx="6">
                  <c:v>0.45010359</c:v>
                </c:pt>
                <c:pt idx="7">
                  <c:v>0.45010359</c:v>
                </c:pt>
                <c:pt idx="8">
                  <c:v>0.45010359</c:v>
                </c:pt>
                <c:pt idx="9">
                  <c:v>0.45010359</c:v>
                </c:pt>
                <c:pt idx="10">
                  <c:v>0.45010359</c:v>
                </c:pt>
                <c:pt idx="11">
                  <c:v>0.45010359</c:v>
                </c:pt>
                <c:pt idx="12">
                  <c:v>0.45010359</c:v>
                </c:pt>
                <c:pt idx="13">
                  <c:v>0.45024160000000002</c:v>
                </c:pt>
                <c:pt idx="14">
                  <c:v>0.45065012999999998</c:v>
                </c:pt>
                <c:pt idx="15">
                  <c:v>0.45132090000000002</c:v>
                </c:pt>
                <c:pt idx="16">
                  <c:v>0.45224564</c:v>
                </c:pt>
                <c:pt idx="17">
                  <c:v>0.45341608</c:v>
                </c:pt>
                <c:pt idx="18">
                  <c:v>0.45482393999999998</c:v>
                </c:pt>
                <c:pt idx="19">
                  <c:v>0.45646094999999998</c:v>
                </c:pt>
                <c:pt idx="20">
                  <c:v>0.45831882000000002</c:v>
                </c:pt>
                <c:pt idx="21">
                  <c:v>0.46038929000000001</c:v>
                </c:pt>
                <c:pt idx="22">
                  <c:v>0.46266406999999998</c:v>
                </c:pt>
                <c:pt idx="23">
                  <c:v>0.46513489000000002</c:v>
                </c:pt>
                <c:pt idx="24">
                  <c:v>0.46779345</c:v>
                </c:pt>
                <c:pt idx="25">
                  <c:v>0.47063149999999998</c:v>
                </c:pt>
                <c:pt idx="26">
                  <c:v>0.47364073000000001</c:v>
                </c:pt>
                <c:pt idx="27">
                  <c:v>0.47681288999999999</c:v>
                </c:pt>
                <c:pt idx="28">
                  <c:v>0.48013967000000002</c:v>
                </c:pt>
                <c:pt idx="29">
                  <c:v>0.48361282</c:v>
                </c:pt>
                <c:pt idx="30">
                  <c:v>0.48722404000000002</c:v>
                </c:pt>
                <c:pt idx="31">
                  <c:v>0.49096507</c:v>
                </c:pt>
                <c:pt idx="32">
                  <c:v>0.49482760999999997</c:v>
                </c:pt>
                <c:pt idx="33">
                  <c:v>0.49880340000000001</c:v>
                </c:pt>
                <c:pt idx="34">
                  <c:v>0.50288416999999996</c:v>
                </c:pt>
                <c:pt idx="35">
                  <c:v>0.50706163000000004</c:v>
                </c:pt>
                <c:pt idx="36">
                  <c:v>0.51132750000000005</c:v>
                </c:pt>
                <c:pt idx="37">
                  <c:v>0.51567353000000005</c:v>
                </c:pt>
                <c:pt idx="38">
                  <c:v>0.52009143999999996</c:v>
                </c:pt>
                <c:pt idx="39">
                  <c:v>0.52457295000000004</c:v>
                </c:pt>
                <c:pt idx="40">
                  <c:v>0.52910979999999996</c:v>
                </c:pt>
                <c:pt idx="41">
                  <c:v>0.53369370999999999</c:v>
                </c:pt>
                <c:pt idx="42">
                  <c:v>0.53831642999999996</c:v>
                </c:pt>
                <c:pt idx="43">
                  <c:v>0.54296968999999995</c:v>
                </c:pt>
                <c:pt idx="44">
                  <c:v>0.54764522000000004</c:v>
                </c:pt>
                <c:pt idx="45">
                  <c:v>0.55233476000000004</c:v>
                </c:pt>
                <c:pt idx="46">
                  <c:v>0.55703005000000005</c:v>
                </c:pt>
                <c:pt idx="47">
                  <c:v>0.56172283000000001</c:v>
                </c:pt>
                <c:pt idx="48">
                  <c:v>0.56640484000000002</c:v>
                </c:pt>
                <c:pt idx="49">
                  <c:v>0.57106783000000005</c:v>
                </c:pt>
                <c:pt idx="50">
                  <c:v>0.57570354000000001</c:v>
                </c:pt>
                <c:pt idx="51">
                  <c:v>0.58030371000000003</c:v>
                </c:pt>
                <c:pt idx="52">
                  <c:v>0.58486009000000005</c:v>
                </c:pt>
                <c:pt idx="53">
                  <c:v>0.58936443999999999</c:v>
                </c:pt>
                <c:pt idx="54">
                  <c:v>0.59380849999999996</c:v>
                </c:pt>
                <c:pt idx="55">
                  <c:v>0.59818402000000004</c:v>
                </c:pt>
                <c:pt idx="56">
                  <c:v>0.60248276000000001</c:v>
                </c:pt>
                <c:pt idx="57">
                  <c:v>0.60669645999999999</c:v>
                </c:pt>
                <c:pt idx="58">
                  <c:v>0.61081688999999995</c:v>
                </c:pt>
                <c:pt idx="59">
                  <c:v>0.61483580000000004</c:v>
                </c:pt>
                <c:pt idx="60">
                  <c:v>0.61874494999999996</c:v>
                </c:pt>
                <c:pt idx="61">
                  <c:v>0.62250848999999997</c:v>
                </c:pt>
                <c:pt idx="62">
                  <c:v>0.62610242000000005</c:v>
                </c:pt>
                <c:pt idx="63">
                  <c:v>0.62953630000000005</c:v>
                </c:pt>
                <c:pt idx="64">
                  <c:v>0.63281964000000002</c:v>
                </c:pt>
                <c:pt idx="65">
                  <c:v>0.63596196999999999</c:v>
                </c:pt>
                <c:pt idx="66">
                  <c:v>0.63897283000000005</c:v>
                </c:pt>
                <c:pt idx="67">
                  <c:v>0.64186175000000001</c:v>
                </c:pt>
                <c:pt idx="68">
                  <c:v>0.64463824000000003</c:v>
                </c:pt>
                <c:pt idx="69">
                  <c:v>0.64731183000000003</c:v>
                </c:pt>
                <c:pt idx="70">
                  <c:v>0.64989205000000005</c:v>
                </c:pt>
                <c:pt idx="71">
                  <c:v>0.65238841000000003</c:v>
                </c:pt>
                <c:pt idx="72">
                  <c:v>0.65481043999999999</c:v>
                </c:pt>
                <c:pt idx="73">
                  <c:v>0.65716766000000004</c:v>
                </c:pt>
                <c:pt idx="74">
                  <c:v>0.65946959000000005</c:v>
                </c:pt>
                <c:pt idx="75">
                  <c:v>0.66172573999999995</c:v>
                </c:pt>
                <c:pt idx="76">
                  <c:v>0.66394562000000001</c:v>
                </c:pt>
                <c:pt idx="77">
                  <c:v>0.66613876999999999</c:v>
                </c:pt>
                <c:pt idx="78">
                  <c:v>0.66831468999999999</c:v>
                </c:pt>
                <c:pt idx="79">
                  <c:v>0.67048289000000005</c:v>
                </c:pt>
                <c:pt idx="80">
                  <c:v>0.6726529</c:v>
                </c:pt>
                <c:pt idx="81">
                  <c:v>0.67483422000000004</c:v>
                </c:pt>
                <c:pt idx="82">
                  <c:v>0.67703636</c:v>
                </c:pt>
                <c:pt idx="83">
                  <c:v>0.67926883999999998</c:v>
                </c:pt>
                <c:pt idx="84">
                  <c:v>0.68154117000000003</c:v>
                </c:pt>
                <c:pt idx="85">
                  <c:v>0.68386285999999996</c:v>
                </c:pt>
                <c:pt idx="86">
                  <c:v>0.68624341</c:v>
                </c:pt>
                <c:pt idx="87">
                  <c:v>0.68869234000000001</c:v>
                </c:pt>
                <c:pt idx="88">
                  <c:v>0.69121915</c:v>
                </c:pt>
                <c:pt idx="89">
                  <c:v>0.69383335000000002</c:v>
                </c:pt>
                <c:pt idx="90">
                  <c:v>0.69654444000000004</c:v>
                </c:pt>
                <c:pt idx="91">
                  <c:v>0.69936193000000002</c:v>
                </c:pt>
                <c:pt idx="92">
                  <c:v>0.70229531000000001</c:v>
                </c:pt>
                <c:pt idx="93">
                  <c:v>0.70535409999999998</c:v>
                </c:pt>
                <c:pt idx="94">
                  <c:v>0.70854779000000001</c:v>
                </c:pt>
                <c:pt idx="95">
                  <c:v>0.71188587000000003</c:v>
                </c:pt>
                <c:pt idx="96">
                  <c:v>0.71537784999999998</c:v>
                </c:pt>
                <c:pt idx="97">
                  <c:v>0.71903320999999998</c:v>
                </c:pt>
                <c:pt idx="98">
                  <c:v>0.72286145999999996</c:v>
                </c:pt>
                <c:pt idx="99">
                  <c:v>0.72687206999999998</c:v>
                </c:pt>
                <c:pt idx="100">
                  <c:v>0.73107454999999999</c:v>
                </c:pt>
                <c:pt idx="101">
                  <c:v>0.73547837000000005</c:v>
                </c:pt>
                <c:pt idx="102">
                  <c:v>0.74009301999999999</c:v>
                </c:pt>
                <c:pt idx="103">
                  <c:v>0.74492796999999999</c:v>
                </c:pt>
                <c:pt idx="104">
                  <c:v>0.74999271000000001</c:v>
                </c:pt>
                <c:pt idx="105">
                  <c:v>0.75529670000000004</c:v>
                </c:pt>
                <c:pt idx="106">
                  <c:v>0.76084943000000005</c:v>
                </c:pt>
                <c:pt idx="107">
                  <c:v>0.76666034999999999</c:v>
                </c:pt>
                <c:pt idx="108">
                  <c:v>0.77273892</c:v>
                </c:pt>
                <c:pt idx="109">
                  <c:v>0.77909461999999996</c:v>
                </c:pt>
                <c:pt idx="110">
                  <c:v>0.78573687999999997</c:v>
                </c:pt>
                <c:pt idx="111">
                  <c:v>0.79267516999999998</c:v>
                </c:pt>
                <c:pt idx="112">
                  <c:v>0.79991891999999998</c:v>
                </c:pt>
                <c:pt idx="113">
                  <c:v>0.80747758000000003</c:v>
                </c:pt>
                <c:pt idx="114">
                  <c:v>0.81536058</c:v>
                </c:pt>
                <c:pt idx="115">
                  <c:v>0.82357736000000004</c:v>
                </c:pt>
                <c:pt idx="116">
                  <c:v>0.83213731999999996</c:v>
                </c:pt>
                <c:pt idx="117">
                  <c:v>0.84104990000000002</c:v>
                </c:pt>
                <c:pt idx="118">
                  <c:v>0.85032450000000004</c:v>
                </c:pt>
                <c:pt idx="119">
                  <c:v>0.85997051999999996</c:v>
                </c:pt>
                <c:pt idx="120">
                  <c:v>0.86999736000000005</c:v>
                </c:pt>
                <c:pt idx="121">
                  <c:v>0.88023647000000005</c:v>
                </c:pt>
                <c:pt idx="122">
                  <c:v>0.89051402999999996</c:v>
                </c:pt>
                <c:pt idx="123">
                  <c:v>0.90083162999999999</c:v>
                </c:pt>
                <c:pt idx="124">
                  <c:v>0.91119079999999997</c:v>
                </c:pt>
                <c:pt idx="125">
                  <c:v>0.92159312000000004</c:v>
                </c:pt>
                <c:pt idx="126">
                  <c:v>0.93204012000000003</c:v>
                </c:pt>
                <c:pt idx="127">
                  <c:v>0.94253337999999998</c:v>
                </c:pt>
                <c:pt idx="128">
                  <c:v>0.95307443999999997</c:v>
                </c:pt>
                <c:pt idx="129">
                  <c:v>0.96366485000000002</c:v>
                </c:pt>
                <c:pt idx="130">
                  <c:v>0.97430616999999997</c:v>
                </c:pt>
                <c:pt idx="131">
                  <c:v>0.98499994000000002</c:v>
                </c:pt>
                <c:pt idx="132">
                  <c:v>0.99574773000000005</c:v>
                </c:pt>
                <c:pt idx="133">
                  <c:v>1.0065510799999999</c:v>
                </c:pt>
                <c:pt idx="134">
                  <c:v>1.0174115399999999</c:v>
                </c:pt>
                <c:pt idx="135">
                  <c:v>1.02833066</c:v>
                </c:pt>
                <c:pt idx="136">
                  <c:v>1.03930999</c:v>
                </c:pt>
                <c:pt idx="137">
                  <c:v>1.0503510700000001</c:v>
                </c:pt>
                <c:pt idx="138">
                  <c:v>1.0614554599999999</c:v>
                </c:pt>
                <c:pt idx="139">
                  <c:v>1.07262469</c:v>
                </c:pt>
                <c:pt idx="140">
                  <c:v>1.0838603200000001</c:v>
                </c:pt>
                <c:pt idx="141">
                  <c:v>1.09516389</c:v>
                </c:pt>
                <c:pt idx="142">
                  <c:v>1.10653694</c:v>
                </c:pt>
                <c:pt idx="143">
                  <c:v>1.1179810100000001</c:v>
                </c:pt>
                <c:pt idx="144">
                  <c:v>1.12949765</c:v>
                </c:pt>
                <c:pt idx="145">
                  <c:v>1.1410883999999999</c:v>
                </c:pt>
                <c:pt idx="146">
                  <c:v>1.1527548000000001</c:v>
                </c:pt>
                <c:pt idx="147">
                  <c:v>1.1644983900000001</c:v>
                </c:pt>
                <c:pt idx="148">
                  <c:v>1.1763207099999999</c:v>
                </c:pt>
                <c:pt idx="149">
                  <c:v>1.18822329</c:v>
                </c:pt>
                <c:pt idx="150">
                  <c:v>1.2002076699999999</c:v>
                </c:pt>
                <c:pt idx="151">
                  <c:v>1.2122754</c:v>
                </c:pt>
                <c:pt idx="152">
                  <c:v>1.2244279899999999</c:v>
                </c:pt>
                <c:pt idx="153">
                  <c:v>1.236667</c:v>
                </c:pt>
                <c:pt idx="154">
                  <c:v>1.24899395</c:v>
                </c:pt>
                <c:pt idx="155">
                  <c:v>1.2614103699999999</c:v>
                </c:pt>
                <c:pt idx="156">
                  <c:v>1.2739178099999999</c:v>
                </c:pt>
                <c:pt idx="157">
                  <c:v>1.2865177699999999</c:v>
                </c:pt>
                <c:pt idx="158">
                  <c:v>1.2992118100000001</c:v>
                </c:pt>
                <c:pt idx="159">
                  <c:v>1.31200144</c:v>
                </c:pt>
                <c:pt idx="160">
                  <c:v>1.3248882</c:v>
                </c:pt>
                <c:pt idx="161">
                  <c:v>1.3378736</c:v>
                </c:pt>
                <c:pt idx="162">
                  <c:v>1.35095919</c:v>
                </c:pt>
                <c:pt idx="163">
                  <c:v>1.3641464700000001</c:v>
                </c:pt>
                <c:pt idx="164">
                  <c:v>1.37743697</c:v>
                </c:pt>
                <c:pt idx="165">
                  <c:v>1.39083223</c:v>
                </c:pt>
                <c:pt idx="166">
                  <c:v>1.4043337499999999</c:v>
                </c:pt>
                <c:pt idx="167">
                  <c:v>1.41794306</c:v>
                </c:pt>
                <c:pt idx="168">
                  <c:v>1.4316616799999999</c:v>
                </c:pt>
                <c:pt idx="169">
                  <c:v>1.44549113</c:v>
                </c:pt>
                <c:pt idx="170">
                  <c:v>1.45943292</c:v>
                </c:pt>
                <c:pt idx="171">
                  <c:v>1.47348857</c:v>
                </c:pt>
                <c:pt idx="172">
                  <c:v>1.48765959</c:v>
                </c:pt>
                <c:pt idx="173">
                  <c:v>1.5019475</c:v>
                </c:pt>
                <c:pt idx="174">
                  <c:v>1.51635381</c:v>
                </c:pt>
                <c:pt idx="175">
                  <c:v>1.5308800300000001</c:v>
                </c:pt>
                <c:pt idx="176">
                  <c:v>1.54552767</c:v>
                </c:pt>
                <c:pt idx="177">
                  <c:v>1.5602982400000001</c:v>
                </c:pt>
                <c:pt idx="178">
                  <c:v>1.5751932500000001</c:v>
                </c:pt>
                <c:pt idx="179">
                  <c:v>1.5902141999999999</c:v>
                </c:pt>
                <c:pt idx="180">
                  <c:v>1.6053626000000001</c:v>
                </c:pt>
                <c:pt idx="181">
                  <c:v>1.62063994</c:v>
                </c:pt>
                <c:pt idx="182">
                  <c:v>1.63604774</c:v>
                </c:pt>
                <c:pt idx="183">
                  <c:v>1.65158749</c:v>
                </c:pt>
                <c:pt idx="184">
                  <c:v>1.6672606999999999</c:v>
                </c:pt>
                <c:pt idx="185">
                  <c:v>1.6830688499999999</c:v>
                </c:pt>
                <c:pt idx="186">
                  <c:v>1.69901345</c:v>
                </c:pt>
                <c:pt idx="187">
                  <c:v>1.71509599</c:v>
                </c:pt>
                <c:pt idx="188">
                  <c:v>1.7313179700000001</c:v>
                </c:pt>
                <c:pt idx="189">
                  <c:v>1.7476808699999999</c:v>
                </c:pt>
                <c:pt idx="190">
                  <c:v>1.76418619</c:v>
                </c:pt>
                <c:pt idx="191">
                  <c:v>1.7808354200000001</c:v>
                </c:pt>
                <c:pt idx="192">
                  <c:v>1.79763004</c:v>
                </c:pt>
                <c:pt idx="193">
                  <c:v>1.81457154</c:v>
                </c:pt>
                <c:pt idx="194">
                  <c:v>1.8316614</c:v>
                </c:pt>
                <c:pt idx="195">
                  <c:v>1.8489011200000001</c:v>
                </c:pt>
                <c:pt idx="196">
                  <c:v>1.86629215</c:v>
                </c:pt>
                <c:pt idx="197">
                  <c:v>1.8838360000000001</c:v>
                </c:pt>
                <c:pt idx="198">
                  <c:v>1.9015341299999999</c:v>
                </c:pt>
                <c:pt idx="199">
                  <c:v>1.91938802</c:v>
                </c:pt>
                <c:pt idx="200">
                  <c:v>1.9373991500000001</c:v>
                </c:pt>
                <c:pt idx="201">
                  <c:v>1.95556898</c:v>
                </c:pt>
                <c:pt idx="202">
                  <c:v>1.9738990000000001</c:v>
                </c:pt>
                <c:pt idx="203">
                  <c:v>1.9923906600000001</c:v>
                </c:pt>
                <c:pt idx="204">
                  <c:v>2.0110454299999998</c:v>
                </c:pt>
                <c:pt idx="205">
                  <c:v>2.02986479</c:v>
                </c:pt>
                <c:pt idx="206">
                  <c:v>2.04885019</c:v>
                </c:pt>
                <c:pt idx="207">
                  <c:v>2.0680030899999999</c:v>
                </c:pt>
                <c:pt idx="208">
                  <c:v>2.0873249600000001</c:v>
                </c:pt>
                <c:pt idx="209">
                  <c:v>2.1068172500000002</c:v>
                </c:pt>
                <c:pt idx="210">
                  <c:v>2.1264814300000001</c:v>
                </c:pt>
                <c:pt idx="211">
                  <c:v>2.1463189300000001</c:v>
                </c:pt>
                <c:pt idx="212">
                  <c:v>2.16633122</c:v>
                </c:pt>
                <c:pt idx="213">
                  <c:v>2.18651975</c:v>
                </c:pt>
                <c:pt idx="214">
                  <c:v>2.2068859600000001</c:v>
                </c:pt>
                <c:pt idx="215">
                  <c:v>2.2274312900000002</c:v>
                </c:pt>
                <c:pt idx="216">
                  <c:v>2.2481572000000001</c:v>
                </c:pt>
                <c:pt idx="217">
                  <c:v>2.26906513</c:v>
                </c:pt>
                <c:pt idx="218">
                  <c:v>2.2901565000000002</c:v>
                </c:pt>
                <c:pt idx="219">
                  <c:v>2.3114327700000001</c:v>
                </c:pt>
                <c:pt idx="220">
                  <c:v>2.3328953600000002</c:v>
                </c:pt>
                <c:pt idx="221">
                  <c:v>2.35454572</c:v>
                </c:pt>
                <c:pt idx="222">
                  <c:v>2.3763852600000002</c:v>
                </c:pt>
                <c:pt idx="223">
                  <c:v>2.3984154200000001</c:v>
                </c:pt>
                <c:pt idx="224">
                  <c:v>2.4206376199999999</c:v>
                </c:pt>
                <c:pt idx="225">
                  <c:v>2.4430532899999999</c:v>
                </c:pt>
                <c:pt idx="226">
                  <c:v>2.4656638499999999</c:v>
                </c:pt>
                <c:pt idx="227">
                  <c:v>2.48847072</c:v>
                </c:pt>
                <c:pt idx="228">
                  <c:v>2.5114753099999998</c:v>
                </c:pt>
                <c:pt idx="229">
                  <c:v>2.5346790399999999</c:v>
                </c:pt>
                <c:pt idx="230">
                  <c:v>2.5580833200000002</c:v>
                </c:pt>
                <c:pt idx="231">
                  <c:v>2.58168956</c:v>
                </c:pt>
                <c:pt idx="232">
                  <c:v>2.6054991599999999</c:v>
                </c:pt>
                <c:pt idx="233">
                  <c:v>2.62951354</c:v>
                </c:pt>
                <c:pt idx="234">
                  <c:v>2.6537340899999999</c:v>
                </c:pt>
                <c:pt idx="235">
                  <c:v>2.67816221</c:v>
                </c:pt>
                <c:pt idx="236">
                  <c:v>2.7027992900000002</c:v>
                </c:pt>
                <c:pt idx="237">
                  <c:v>2.72764674</c:v>
                </c:pt>
                <c:pt idx="238">
                  <c:v>2.7527059299999999</c:v>
                </c:pt>
                <c:pt idx="239">
                  <c:v>2.7779782700000002</c:v>
                </c:pt>
                <c:pt idx="240">
                  <c:v>2.8034651300000002</c:v>
                </c:pt>
                <c:pt idx="241">
                  <c:v>2.8287927700000002</c:v>
                </c:pt>
                <c:pt idx="242">
                  <c:v>2.8536155299999999</c:v>
                </c:pt>
                <c:pt idx="243">
                  <c:v>2.8779768899999998</c:v>
                </c:pt>
                <c:pt idx="244">
                  <c:v>2.9019202800000001</c:v>
                </c:pt>
                <c:pt idx="245">
                  <c:v>2.9254890900000001</c:v>
                </c:pt>
                <c:pt idx="246">
                  <c:v>2.9487266600000002</c:v>
                </c:pt>
                <c:pt idx="247">
                  <c:v>2.9716762999999999</c:v>
                </c:pt>
                <c:pt idx="248">
                  <c:v>2.9943812699999999</c:v>
                </c:pt>
                <c:pt idx="249">
                  <c:v>3.0168848000000001</c:v>
                </c:pt>
                <c:pt idx="250">
                  <c:v>3.0392300699999999</c:v>
                </c:pt>
                <c:pt idx="251">
                  <c:v>3.0614602400000002</c:v>
                </c:pt>
                <c:pt idx="252">
                  <c:v>3.0836184200000001</c:v>
                </c:pt>
                <c:pt idx="253">
                  <c:v>3.1057476799999999</c:v>
                </c:pt>
                <c:pt idx="254">
                  <c:v>3.1278910600000001</c:v>
                </c:pt>
                <c:pt idx="255">
                  <c:v>3.1500915799999998</c:v>
                </c:pt>
                <c:pt idx="256">
                  <c:v>3.1723922</c:v>
                </c:pt>
                <c:pt idx="257">
                  <c:v>3.19483585</c:v>
                </c:pt>
                <c:pt idx="258">
                  <c:v>3.2174654299999998</c:v>
                </c:pt>
                <c:pt idx="259">
                  <c:v>3.2403237900000001</c:v>
                </c:pt>
                <c:pt idx="260">
                  <c:v>3.26345375</c:v>
                </c:pt>
                <c:pt idx="261">
                  <c:v>3.2868981000000002</c:v>
                </c:pt>
                <c:pt idx="262">
                  <c:v>3.3106995700000001</c:v>
                </c:pt>
                <c:pt idx="263">
                  <c:v>3.3349008499999999</c:v>
                </c:pt>
                <c:pt idx="264">
                  <c:v>3.3595446099999999</c:v>
                </c:pt>
                <c:pt idx="265">
                  <c:v>3.3846734399999998</c:v>
                </c:pt>
                <c:pt idx="266">
                  <c:v>3.4103299100000002</c:v>
                </c:pt>
                <c:pt idx="267">
                  <c:v>3.4365565199999999</c:v>
                </c:pt>
                <c:pt idx="268">
                  <c:v>3.4633957500000001</c:v>
                </c:pt>
                <c:pt idx="269">
                  <c:v>3.4908899899999999</c:v>
                </c:pt>
                <c:pt idx="270">
                  <c:v>3.5190815799999999</c:v>
                </c:pt>
                <c:pt idx="271">
                  <c:v>3.5480128299999998</c:v>
                </c:pt>
                <c:pt idx="272">
                  <c:v>3.57772596</c:v>
                </c:pt>
                <c:pt idx="273">
                  <c:v>3.6082631300000001</c:v>
                </c:pt>
                <c:pt idx="274">
                  <c:v>3.6396664300000001</c:v>
                </c:pt>
                <c:pt idx="275">
                  <c:v>3.67197789</c:v>
                </c:pt>
                <c:pt idx="276">
                  <c:v>3.7052394500000001</c:v>
                </c:pt>
                <c:pt idx="277">
                  <c:v>3.7394929700000001</c:v>
                </c:pt>
                <c:pt idx="278">
                  <c:v>3.7747802500000001</c:v>
                </c:pt>
                <c:pt idx="279">
                  <c:v>3.8111429800000001</c:v>
                </c:pt>
                <c:pt idx="280">
                  <c:v>3.84862276</c:v>
                </c:pt>
                <c:pt idx="281">
                  <c:v>3.8872610999999999</c:v>
                </c:pt>
                <c:pt idx="282">
                  <c:v>3.9270994199999998</c:v>
                </c:pt>
                <c:pt idx="283">
                  <c:v>3.9681790100000001</c:v>
                </c:pt>
                <c:pt idx="284">
                  <c:v>4.0105410700000004</c:v>
                </c:pt>
                <c:pt idx="285">
                  <c:v>4.0542266700000003</c:v>
                </c:pt>
                <c:pt idx="286">
                  <c:v>4.0992767700000003</c:v>
                </c:pt>
                <c:pt idx="287">
                  <c:v>4.1457322100000003</c:v>
                </c:pt>
                <c:pt idx="288">
                  <c:v>4.1936336900000004</c:v>
                </c:pt>
                <c:pt idx="289">
                  <c:v>4.2430217600000004</c:v>
                </c:pt>
                <c:pt idx="290">
                  <c:v>4.2939368499999997</c:v>
                </c:pt>
                <c:pt idx="291">
                  <c:v>4.3464192300000004</c:v>
                </c:pt>
                <c:pt idx="292">
                  <c:v>4.4005090200000003</c:v>
                </c:pt>
                <c:pt idx="293">
                  <c:v>4.45624617</c:v>
                </c:pt>
                <c:pt idx="294">
                  <c:v>4.5136704700000001</c:v>
                </c:pt>
                <c:pt idx="295">
                  <c:v>4.5728215199999998</c:v>
                </c:pt>
                <c:pt idx="296">
                  <c:v>4.6337387799999998</c:v>
                </c:pt>
                <c:pt idx="297">
                  <c:v>4.6964614600000001</c:v>
                </c:pt>
                <c:pt idx="298">
                  <c:v>4.7610286300000002</c:v>
                </c:pt>
                <c:pt idx="299">
                  <c:v>4.8274791300000004</c:v>
                </c:pt>
                <c:pt idx="300">
                  <c:v>4.8958516000000003</c:v>
                </c:pt>
                <c:pt idx="301">
                  <c:v>4.9628969600000001</c:v>
                </c:pt>
                <c:pt idx="302">
                  <c:v>5.0257168500000002</c:v>
                </c:pt>
                <c:pt idx="303">
                  <c:v>5.0848744200000002</c:v>
                </c:pt>
                <c:pt idx="304">
                  <c:v>5.1409311400000002</c:v>
                </c:pt>
                <c:pt idx="305">
                  <c:v>5.1944469399999997</c:v>
                </c:pt>
                <c:pt idx="306">
                  <c:v>5.2459803699999998</c:v>
                </c:pt>
                <c:pt idx="307">
                  <c:v>5.2960887799999998</c:v>
                </c:pt>
                <c:pt idx="308">
                  <c:v>5.34532834</c:v>
                </c:pt>
                <c:pt idx="309">
                  <c:v>5.3942541200000003</c:v>
                </c:pt>
                <c:pt idx="310">
                  <c:v>5.4434201499999997</c:v>
                </c:pt>
                <c:pt idx="311">
                  <c:v>5.4933794100000002</c:v>
                </c:pt>
                <c:pt idx="312">
                  <c:v>5.5446837499999999</c:v>
                </c:pt>
                <c:pt idx="313">
                  <c:v>5.5978839300000001</c:v>
                </c:pt>
                <c:pt idx="314">
                  <c:v>5.6535294599999997</c:v>
                </c:pt>
                <c:pt idx="315">
                  <c:v>5.7121684899999998</c:v>
                </c:pt>
                <c:pt idx="316">
                  <c:v>5.7743476899999999</c:v>
                </c:pt>
                <c:pt idx="317">
                  <c:v>5.8406120799999997</c:v>
                </c:pt>
                <c:pt idx="318">
                  <c:v>5.9115047799999996</c:v>
                </c:pt>
                <c:pt idx="319">
                  <c:v>5.9875668199999996</c:v>
                </c:pt>
                <c:pt idx="320">
                  <c:v>6.0693368799999998</c:v>
                </c:pt>
                <c:pt idx="321">
                  <c:v>6.1573509800000004</c:v>
                </c:pt>
                <c:pt idx="322">
                  <c:v>6.2521421500000001</c:v>
                </c:pt>
                <c:pt idx="323">
                  <c:v>6.35424013</c:v>
                </c:pt>
                <c:pt idx="324">
                  <c:v>6.4641709599999997</c:v>
                </c:pt>
                <c:pt idx="325">
                  <c:v>6.5824566100000004</c:v>
                </c:pt>
                <c:pt idx="326">
                  <c:v>6.7096145099999998</c:v>
                </c:pt>
                <c:pt idx="327">
                  <c:v>6.8461571599999997</c:v>
                </c:pt>
                <c:pt idx="328">
                  <c:v>6.99259159</c:v>
                </c:pt>
                <c:pt idx="329">
                  <c:v>7.1494188899999997</c:v>
                </c:pt>
                <c:pt idx="330">
                  <c:v>7.3171337100000002</c:v>
                </c:pt>
                <c:pt idx="331">
                  <c:v>7.49622367</c:v>
                </c:pt>
                <c:pt idx="332">
                  <c:v>7.6871687800000004</c:v>
                </c:pt>
                <c:pt idx="333">
                  <c:v>7.8904408999999998</c:v>
                </c:pt>
                <c:pt idx="334">
                  <c:v>8.1065030900000004</c:v>
                </c:pt>
                <c:pt idx="335">
                  <c:v>8.3358089799999995</c:v>
                </c:pt>
                <c:pt idx="336">
                  <c:v>8.5788021299999997</c:v>
                </c:pt>
                <c:pt idx="337">
                  <c:v>8.8452629500000004</c:v>
                </c:pt>
                <c:pt idx="338">
                  <c:v>9.1429151500000003</c:v>
                </c:pt>
                <c:pt idx="339">
                  <c:v>9.4691085499999996</c:v>
                </c:pt>
                <c:pt idx="340">
                  <c:v>9.8211980200000006</c:v>
                </c:pt>
                <c:pt idx="341">
                  <c:v>10.196550330000001</c:v>
                </c:pt>
                <c:pt idx="342">
                  <c:v>10.59255039</c:v>
                </c:pt>
                <c:pt idx="343">
                  <c:v>11.006606830000001</c:v>
                </c:pt>
                <c:pt idx="344">
                  <c:v>11.436156889999999</c:v>
                </c:pt>
                <c:pt idx="345">
                  <c:v>11.87867073</c:v>
                </c:pt>
                <c:pt idx="346">
                  <c:v>12.33165496</c:v>
                </c:pt>
                <c:pt idx="347">
                  <c:v>12.792655679999999</c:v>
                </c:pt>
                <c:pt idx="348">
                  <c:v>13.259260790000001</c:v>
                </c:pt>
                <c:pt idx="349">
                  <c:v>13.74068576</c:v>
                </c:pt>
                <c:pt idx="350">
                  <c:v>14.2450346</c:v>
                </c:pt>
                <c:pt idx="351">
                  <c:v>14.768306300000001</c:v>
                </c:pt>
                <c:pt idx="352">
                  <c:v>15.30656767</c:v>
                </c:pt>
                <c:pt idx="353">
                  <c:v>15.85596031</c:v>
                </c:pt>
                <c:pt idx="354">
                  <c:v>16.412705979999998</c:v>
                </c:pt>
                <c:pt idx="355">
                  <c:v>16.97311045</c:v>
                </c:pt>
                <c:pt idx="356">
                  <c:v>17.533565759999998</c:v>
                </c:pt>
                <c:pt idx="357">
                  <c:v>18.09055116</c:v>
                </c:pt>
                <c:pt idx="358">
                  <c:v>18.64063251</c:v>
                </c:pt>
                <c:pt idx="359">
                  <c:v>19.180460409999998</c:v>
                </c:pt>
                <c:pt idx="360">
                  <c:v>19.706767070000001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'model curve'!$E$1</c:f>
              <c:strCache>
                <c:ptCount val="1"/>
                <c:pt idx="0">
                  <c:v>Modify 2</c:v>
                </c:pt>
              </c:strCache>
            </c:strRef>
          </c:tx>
          <c:spPr>
            <a:ln w="6350"/>
          </c:spPr>
          <c:marker>
            <c:symbol val="none"/>
          </c:marker>
          <c:cat>
            <c:numRef>
              <c:f>'model curve'!$B$2:$B$362</c:f>
              <c:numCache>
                <c:formatCode>General</c:formatCode>
                <c:ptCount val="3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</c:numCache>
            </c:numRef>
          </c:cat>
          <c:val>
            <c:numRef>
              <c:f>'model curve'!$E$2:$E$362</c:f>
              <c:numCache>
                <c:formatCode>General</c:formatCode>
                <c:ptCount val="361"/>
                <c:pt idx="0">
                  <c:v>0</c:v>
                </c:pt>
                <c:pt idx="1">
                  <c:v>8.5579509999999998E-2</c:v>
                </c:pt>
                <c:pt idx="2">
                  <c:v>0.18360024999999999</c:v>
                </c:pt>
                <c:pt idx="3">
                  <c:v>0.28153283000000001</c:v>
                </c:pt>
                <c:pt idx="4">
                  <c:v>0.36689145000000001</c:v>
                </c:pt>
                <c:pt idx="5">
                  <c:v>0.42722660000000001</c:v>
                </c:pt>
                <c:pt idx="6">
                  <c:v>0.45010359</c:v>
                </c:pt>
                <c:pt idx="7">
                  <c:v>0.45010359</c:v>
                </c:pt>
                <c:pt idx="8">
                  <c:v>0.45010359</c:v>
                </c:pt>
                <c:pt idx="9">
                  <c:v>0.45010359</c:v>
                </c:pt>
                <c:pt idx="10">
                  <c:v>0.45010359</c:v>
                </c:pt>
                <c:pt idx="11">
                  <c:v>0.45010359</c:v>
                </c:pt>
                <c:pt idx="12">
                  <c:v>0.45010359</c:v>
                </c:pt>
                <c:pt idx="13">
                  <c:v>0.45030313999999999</c:v>
                </c:pt>
                <c:pt idx="14">
                  <c:v>0.45089105000000002</c:v>
                </c:pt>
                <c:pt idx="15">
                  <c:v>0.45185119000000001</c:v>
                </c:pt>
                <c:pt idx="16">
                  <c:v>0.45316741999999999</c:v>
                </c:pt>
                <c:pt idx="17">
                  <c:v>0.45482359999999999</c:v>
                </c:pt>
                <c:pt idx="18">
                  <c:v>0.45680359999999998</c:v>
                </c:pt>
                <c:pt idx="19">
                  <c:v>0.45909127999999999</c:v>
                </c:pt>
                <c:pt idx="20">
                  <c:v>0.46167049999999998</c:v>
                </c:pt>
                <c:pt idx="21">
                  <c:v>0.46452512000000001</c:v>
                </c:pt>
                <c:pt idx="22">
                  <c:v>0.46763898999999998</c:v>
                </c:pt>
                <c:pt idx="23">
                  <c:v>0.47099595999999999</c:v>
                </c:pt>
                <c:pt idx="24">
                  <c:v>0.47457990999999999</c:v>
                </c:pt>
                <c:pt idx="25">
                  <c:v>0.47837467</c:v>
                </c:pt>
                <c:pt idx="26">
                  <c:v>0.48236413</c:v>
                </c:pt>
                <c:pt idx="27">
                  <c:v>0.48653213000000001</c:v>
                </c:pt>
                <c:pt idx="28">
                  <c:v>0.49086253000000002</c:v>
                </c:pt>
                <c:pt idx="29">
                  <c:v>0.49533920999999997</c:v>
                </c:pt>
                <c:pt idx="30">
                  <c:v>0.49994601999999999</c:v>
                </c:pt>
                <c:pt idx="31">
                  <c:v>0.50466683000000001</c:v>
                </c:pt>
                <c:pt idx="32">
                  <c:v>0.50948552000000003</c:v>
                </c:pt>
                <c:pt idx="33">
                  <c:v>0.51438594999999998</c:v>
                </c:pt>
                <c:pt idx="34">
                  <c:v>0.51935200999999998</c:v>
                </c:pt>
                <c:pt idx="35">
                  <c:v>0.52436757000000001</c:v>
                </c:pt>
                <c:pt idx="36">
                  <c:v>0.52941651000000001</c:v>
                </c:pt>
                <c:pt idx="37">
                  <c:v>0.53448271999999997</c:v>
                </c:pt>
                <c:pt idx="38">
                  <c:v>0.53955008000000004</c:v>
                </c:pt>
                <c:pt idx="39">
                  <c:v>0.54460249000000005</c:v>
                </c:pt>
                <c:pt idx="40">
                  <c:v>0.54962383000000004</c:v>
                </c:pt>
                <c:pt idx="41">
                  <c:v>0.55459800999999997</c:v>
                </c:pt>
                <c:pt idx="42">
                  <c:v>0.55950891000000003</c:v>
                </c:pt>
                <c:pt idx="43">
                  <c:v>0.56434046000000004</c:v>
                </c:pt>
                <c:pt idx="44">
                  <c:v>0.56907653999999996</c:v>
                </c:pt>
                <c:pt idx="45">
                  <c:v>0.57370107000000004</c:v>
                </c:pt>
                <c:pt idx="46">
                  <c:v>0.57819794999999996</c:v>
                </c:pt>
                <c:pt idx="47">
                  <c:v>0.58255109999999999</c:v>
                </c:pt>
                <c:pt idx="48">
                  <c:v>0.58674444000000003</c:v>
                </c:pt>
                <c:pt idx="49">
                  <c:v>0.59076187000000002</c:v>
                </c:pt>
                <c:pt idx="50">
                  <c:v>0.59458732000000003</c:v>
                </c:pt>
                <c:pt idx="51">
                  <c:v>0.59820470000000003</c:v>
                </c:pt>
                <c:pt idx="52">
                  <c:v>0.60159792999999995</c:v>
                </c:pt>
                <c:pt idx="53">
                  <c:v>0.60475093999999996</c:v>
                </c:pt>
                <c:pt idx="54">
                  <c:v>0.60764764000000004</c:v>
                </c:pt>
                <c:pt idx="55">
                  <c:v>0.61027195999999995</c:v>
                </c:pt>
                <c:pt idx="56">
                  <c:v>0.61260780999999997</c:v>
                </c:pt>
                <c:pt idx="57">
                  <c:v>0.61463911999999998</c:v>
                </c:pt>
                <c:pt idx="58">
                  <c:v>0.61634979999999995</c:v>
                </c:pt>
                <c:pt idx="59">
                  <c:v>0.61772377000000001</c:v>
                </c:pt>
                <c:pt idx="60">
                  <c:v>0.61874494999999996</c:v>
                </c:pt>
                <c:pt idx="61">
                  <c:v>0.6195349</c:v>
                </c:pt>
                <c:pt idx="62">
                  <c:v>0.62024822999999996</c:v>
                </c:pt>
                <c:pt idx="63">
                  <c:v>0.62091834999999995</c:v>
                </c:pt>
                <c:pt idx="64">
                  <c:v>0.62157872000000003</c:v>
                </c:pt>
                <c:pt idx="65">
                  <c:v>0.62226274000000004</c:v>
                </c:pt>
                <c:pt idx="66">
                  <c:v>0.62300385999999996</c:v>
                </c:pt>
                <c:pt idx="67">
                  <c:v>0.62383551000000004</c:v>
                </c:pt>
                <c:pt idx="68">
                  <c:v>0.62479110999999998</c:v>
                </c:pt>
                <c:pt idx="69">
                  <c:v>0.62590407999999997</c:v>
                </c:pt>
                <c:pt idx="70">
                  <c:v>0.62720785999999995</c:v>
                </c:pt>
                <c:pt idx="71">
                  <c:v>0.62873586999999997</c:v>
                </c:pt>
                <c:pt idx="72">
                  <c:v>0.63052151000000001</c:v>
                </c:pt>
                <c:pt idx="73">
                  <c:v>0.63259821999999999</c:v>
                </c:pt>
                <c:pt idx="74">
                  <c:v>0.63499939000000005</c:v>
                </c:pt>
                <c:pt idx="75">
                  <c:v>0.63775842999999999</c:v>
                </c:pt>
                <c:pt idx="76">
                  <c:v>0.64090875000000003</c:v>
                </c:pt>
                <c:pt idx="77">
                  <c:v>0.64448371999999998</c:v>
                </c:pt>
                <c:pt idx="78">
                  <c:v>0.64851674000000004</c:v>
                </c:pt>
                <c:pt idx="79">
                  <c:v>0.65304116000000001</c:v>
                </c:pt>
                <c:pt idx="80">
                  <c:v>0.65809035000000005</c:v>
                </c:pt>
                <c:pt idx="81">
                  <c:v>0.66369765999999997</c:v>
                </c:pt>
                <c:pt idx="82">
                  <c:v>0.66989641</c:v>
                </c:pt>
                <c:pt idx="83">
                  <c:v>0.67671990999999998</c:v>
                </c:pt>
                <c:pt idx="84">
                  <c:v>0.68420146000000004</c:v>
                </c:pt>
                <c:pt idx="85">
                  <c:v>0.69237433000000004</c:v>
                </c:pt>
                <c:pt idx="86">
                  <c:v>0.70127178000000001</c:v>
                </c:pt>
                <c:pt idx="87">
                  <c:v>0.71092701999999997</c:v>
                </c:pt>
                <c:pt idx="88">
                  <c:v>0.72137324999999997</c:v>
                </c:pt>
                <c:pt idx="89">
                  <c:v>0.73264364000000004</c:v>
                </c:pt>
                <c:pt idx="90">
                  <c:v>0.74477132999999995</c:v>
                </c:pt>
                <c:pt idx="91">
                  <c:v>0.76173601000000002</c:v>
                </c:pt>
                <c:pt idx="92">
                  <c:v>0.78731229000000003</c:v>
                </c:pt>
                <c:pt idx="93">
                  <c:v>0.82122426999999998</c:v>
                </c:pt>
                <c:pt idx="94">
                  <c:v>0.86319442000000002</c:v>
                </c:pt>
                <c:pt idx="95">
                  <c:v>0.91294379999999997</c:v>
                </c:pt>
                <c:pt idx="96">
                  <c:v>0.97019222999999999</c:v>
                </c:pt>
                <c:pt idx="97">
                  <c:v>1.0346584999999999</c:v>
                </c:pt>
                <c:pt idx="98">
                  <c:v>1.10606059</c:v>
                </c:pt>
                <c:pt idx="99">
                  <c:v>1.18411578</c:v>
                </c:pt>
                <c:pt idx="100">
                  <c:v>1.26854088</c:v>
                </c:pt>
                <c:pt idx="101">
                  <c:v>1.35905239</c:v>
                </c:pt>
                <c:pt idx="102">
                  <c:v>1.4553666199999999</c:v>
                </c:pt>
                <c:pt idx="103">
                  <c:v>1.5571998899999999</c:v>
                </c:pt>
                <c:pt idx="104">
                  <c:v>1.6642686600000001</c:v>
                </c:pt>
                <c:pt idx="105">
                  <c:v>1.7762896500000001</c:v>
                </c:pt>
                <c:pt idx="106">
                  <c:v>1.89297998</c:v>
                </c:pt>
                <c:pt idx="107">
                  <c:v>2.01405732</c:v>
                </c:pt>
                <c:pt idx="108">
                  <c:v>2.1392399700000002</c:v>
                </c:pt>
                <c:pt idx="109">
                  <c:v>2.2682469699999999</c:v>
                </c:pt>
                <c:pt idx="110">
                  <c:v>2.4007982399999999</c:v>
                </c:pt>
                <c:pt idx="111">
                  <c:v>2.5366146399999998</c:v>
                </c:pt>
                <c:pt idx="112">
                  <c:v>2.6754180600000002</c:v>
                </c:pt>
                <c:pt idx="113">
                  <c:v>2.8169315199999998</c:v>
                </c:pt>
                <c:pt idx="114">
                  <c:v>2.9608791999999999</c:v>
                </c:pt>
                <c:pt idx="115">
                  <c:v>3.1069865800000001</c:v>
                </c:pt>
                <c:pt idx="116">
                  <c:v>3.2549804299999998</c:v>
                </c:pt>
                <c:pt idx="117">
                  <c:v>3.40458887</c:v>
                </c:pt>
                <c:pt idx="118">
                  <c:v>3.5555414700000001</c:v>
                </c:pt>
                <c:pt idx="119">
                  <c:v>3.7075692199999999</c:v>
                </c:pt>
                <c:pt idx="120">
                  <c:v>3.8604045999999999</c:v>
                </c:pt>
                <c:pt idx="121">
                  <c:v>4.0137815999999997</c:v>
                </c:pt>
                <c:pt idx="122">
                  <c:v>4.1674357300000002</c:v>
                </c:pt>
                <c:pt idx="123">
                  <c:v>4.32110401</c:v>
                </c:pt>
                <c:pt idx="124">
                  <c:v>4.4745250399999996</c:v>
                </c:pt>
                <c:pt idx="125">
                  <c:v>4.6274389100000004</c:v>
                </c:pt>
                <c:pt idx="126">
                  <c:v>4.7795872800000003</c:v>
                </c:pt>
                <c:pt idx="127">
                  <c:v>4.93071328</c:v>
                </c:pt>
                <c:pt idx="128">
                  <c:v>5.0805615599999996</c:v>
                </c:pt>
                <c:pt idx="129">
                  <c:v>5.2288782100000004</c:v>
                </c:pt>
                <c:pt idx="130">
                  <c:v>5.3754107600000003</c:v>
                </c:pt>
                <c:pt idx="131">
                  <c:v>5.5199081200000002</c:v>
                </c:pt>
                <c:pt idx="132">
                  <c:v>5.6621205300000002</c:v>
                </c:pt>
                <c:pt idx="133">
                  <c:v>5.8017995300000003</c:v>
                </c:pt>
                <c:pt idx="134">
                  <c:v>5.9386978900000003</c:v>
                </c:pt>
                <c:pt idx="135">
                  <c:v>6.0725695200000001</c:v>
                </c:pt>
                <c:pt idx="136">
                  <c:v>6.2031694399999999</c:v>
                </c:pt>
                <c:pt idx="137">
                  <c:v>6.3302536900000002</c:v>
                </c:pt>
                <c:pt idx="138">
                  <c:v>6.4535792199999999</c:v>
                </c:pt>
                <c:pt idx="139">
                  <c:v>6.5729038400000004</c:v>
                </c:pt>
                <c:pt idx="140">
                  <c:v>6.6879861099999998</c:v>
                </c:pt>
                <c:pt idx="141">
                  <c:v>6.7985852199999997</c:v>
                </c:pt>
                <c:pt idx="142">
                  <c:v>6.9044609100000001</c:v>
                </c:pt>
                <c:pt idx="143">
                  <c:v>7.0053733600000001</c:v>
                </c:pt>
                <c:pt idx="144">
                  <c:v>7.1010830599999997</c:v>
                </c:pt>
                <c:pt idx="145">
                  <c:v>7.1913506700000003</c:v>
                </c:pt>
                <c:pt idx="146">
                  <c:v>7.2759369200000004</c:v>
                </c:pt>
                <c:pt idx="147">
                  <c:v>7.3546024599999997</c:v>
                </c:pt>
                <c:pt idx="148">
                  <c:v>7.4271077200000004</c:v>
                </c:pt>
                <c:pt idx="149">
                  <c:v>7.4932127800000004</c:v>
                </c:pt>
                <c:pt idx="150">
                  <c:v>7.5526771699999999</c:v>
                </c:pt>
                <c:pt idx="151">
                  <c:v>7.60525976</c:v>
                </c:pt>
                <c:pt idx="152">
                  <c:v>7.6507185599999996</c:v>
                </c:pt>
                <c:pt idx="153">
                  <c:v>7.6888105900000001</c:v>
                </c:pt>
                <c:pt idx="154">
                  <c:v>7.7192916299999998</c:v>
                </c:pt>
                <c:pt idx="155">
                  <c:v>7.74191611</c:v>
                </c:pt>
                <c:pt idx="156">
                  <c:v>7.7603470200000002</c:v>
                </c:pt>
                <c:pt idx="157">
                  <c:v>7.7784168999999999</c:v>
                </c:pt>
                <c:pt idx="158">
                  <c:v>7.7961333499999999</c:v>
                </c:pt>
                <c:pt idx="159">
                  <c:v>7.8135039800000001</c:v>
                </c:pt>
                <c:pt idx="160">
                  <c:v>7.83053636</c:v>
                </c:pt>
                <c:pt idx="161">
                  <c:v>7.8472380800000003</c:v>
                </c:pt>
                <c:pt idx="162">
                  <c:v>7.8636166999999997</c:v>
                </c:pt>
                <c:pt idx="163">
                  <c:v>7.87967979</c:v>
                </c:pt>
                <c:pt idx="164">
                  <c:v>7.8954348899999998</c:v>
                </c:pt>
                <c:pt idx="165">
                  <c:v>7.9108895600000002</c:v>
                </c:pt>
                <c:pt idx="166">
                  <c:v>7.92605133</c:v>
                </c:pt>
                <c:pt idx="167">
                  <c:v>7.9409277300000003</c:v>
                </c:pt>
                <c:pt idx="168">
                  <c:v>7.9555262899999999</c:v>
                </c:pt>
                <c:pt idx="169">
                  <c:v>7.9698545300000001</c:v>
                </c:pt>
                <c:pt idx="170">
                  <c:v>7.9839199599999997</c:v>
                </c:pt>
                <c:pt idx="171">
                  <c:v>7.9977300800000002</c:v>
                </c:pt>
                <c:pt idx="172">
                  <c:v>8.0112924000000003</c:v>
                </c:pt>
                <c:pt idx="173">
                  <c:v>8.0246144000000008</c:v>
                </c:pt>
                <c:pt idx="174">
                  <c:v>8.0377035699999997</c:v>
                </c:pt>
                <c:pt idx="175">
                  <c:v>8.0505674099999993</c:v>
                </c:pt>
                <c:pt idx="176">
                  <c:v>8.0632133699999997</c:v>
                </c:pt>
                <c:pt idx="177">
                  <c:v>8.0756489499999997</c:v>
                </c:pt>
                <c:pt idx="178">
                  <c:v>8.0878815900000003</c:v>
                </c:pt>
                <c:pt idx="179">
                  <c:v>8.0999187700000004</c:v>
                </c:pt>
                <c:pt idx="180">
                  <c:v>8.11176794</c:v>
                </c:pt>
                <c:pt idx="181">
                  <c:v>8.1234365499999992</c:v>
                </c:pt>
                <c:pt idx="182">
                  <c:v>8.1349320600000006</c:v>
                </c:pt>
                <c:pt idx="183">
                  <c:v>8.1462619000000007</c:v>
                </c:pt>
                <c:pt idx="184">
                  <c:v>8.1574335199999997</c:v>
                </c:pt>
                <c:pt idx="185">
                  <c:v>8.1684543499999993</c:v>
                </c:pt>
                <c:pt idx="186">
                  <c:v>8.1793318199999998</c:v>
                </c:pt>
                <c:pt idx="187">
                  <c:v>8.1900733700000004</c:v>
                </c:pt>
                <c:pt idx="188">
                  <c:v>8.2006864000000004</c:v>
                </c:pt>
                <c:pt idx="189">
                  <c:v>8.2111783500000008</c:v>
                </c:pt>
                <c:pt idx="190">
                  <c:v>8.2215566399999993</c:v>
                </c:pt>
                <c:pt idx="191">
                  <c:v>8.2318286700000005</c:v>
                </c:pt>
                <c:pt idx="192">
                  <c:v>8.2420018499999994</c:v>
                </c:pt>
                <c:pt idx="193">
                  <c:v>8.2520836000000006</c:v>
                </c:pt>
                <c:pt idx="194">
                  <c:v>8.2620813099999992</c:v>
                </c:pt>
                <c:pt idx="195">
                  <c:v>8.2720023900000008</c:v>
                </c:pt>
                <c:pt idx="196">
                  <c:v>8.2818542300000004</c:v>
                </c:pt>
                <c:pt idx="197">
                  <c:v>8.2916442299999993</c:v>
                </c:pt>
                <c:pt idx="198">
                  <c:v>8.3013797700000005</c:v>
                </c:pt>
                <c:pt idx="199">
                  <c:v>8.3110682499999999</c:v>
                </c:pt>
                <c:pt idx="200">
                  <c:v>8.3207170599999998</c:v>
                </c:pt>
                <c:pt idx="201">
                  <c:v>8.3303335599999997</c:v>
                </c:pt>
                <c:pt idx="202">
                  <c:v>8.3399251499999991</c:v>
                </c:pt>
                <c:pt idx="203">
                  <c:v>8.3494992000000003</c:v>
                </c:pt>
                <c:pt idx="204">
                  <c:v>8.3590630899999994</c:v>
                </c:pt>
                <c:pt idx="205">
                  <c:v>8.3686241799999994</c:v>
                </c:pt>
                <c:pt idx="206">
                  <c:v>8.3781898399999992</c:v>
                </c:pt>
                <c:pt idx="207">
                  <c:v>8.3877674399999993</c:v>
                </c:pt>
                <c:pt idx="208">
                  <c:v>8.3973643399999993</c:v>
                </c:pt>
                <c:pt idx="209">
                  <c:v>8.4069879000000007</c:v>
                </c:pt>
                <c:pt idx="210">
                  <c:v>8.4166454700000006</c:v>
                </c:pt>
                <c:pt idx="211">
                  <c:v>8.4263444199999995</c:v>
                </c:pt>
                <c:pt idx="212">
                  <c:v>8.4360920900000007</c:v>
                </c:pt>
                <c:pt idx="213">
                  <c:v>8.4458958299999995</c:v>
                </c:pt>
                <c:pt idx="214">
                  <c:v>8.4557629799999994</c:v>
                </c:pt>
                <c:pt idx="215">
                  <c:v>8.4657008900000008</c:v>
                </c:pt>
                <c:pt idx="216">
                  <c:v>8.4757169000000001</c:v>
                </c:pt>
                <c:pt idx="217">
                  <c:v>8.4858183399999998</c:v>
                </c:pt>
                <c:pt idx="218">
                  <c:v>8.4960125400000006</c:v>
                </c:pt>
                <c:pt idx="219">
                  <c:v>8.5063068400000006</c:v>
                </c:pt>
                <c:pt idx="220">
                  <c:v>8.5167085500000006</c:v>
                </c:pt>
                <c:pt idx="221">
                  <c:v>8.5272250100000004</c:v>
                </c:pt>
                <c:pt idx="222">
                  <c:v>8.5378635299999992</c:v>
                </c:pt>
                <c:pt idx="223">
                  <c:v>8.5486314300000004</c:v>
                </c:pt>
                <c:pt idx="224">
                  <c:v>8.5595360199999995</c:v>
                </c:pt>
                <c:pt idx="225">
                  <c:v>8.5705846000000001</c:v>
                </c:pt>
                <c:pt idx="226">
                  <c:v>8.5817844900000004</c:v>
                </c:pt>
                <c:pt idx="227">
                  <c:v>8.5931429799999997</c:v>
                </c:pt>
                <c:pt idx="228">
                  <c:v>8.6046673699999996</c:v>
                </c:pt>
                <c:pt idx="229">
                  <c:v>8.6163649499999995</c:v>
                </c:pt>
                <c:pt idx="230">
                  <c:v>8.6282430100000003</c:v>
                </c:pt>
                <c:pt idx="231">
                  <c:v>8.6403088300000004</c:v>
                </c:pt>
                <c:pt idx="232">
                  <c:v>8.65256969</c:v>
                </c:pt>
                <c:pt idx="233">
                  <c:v>8.6650328600000002</c:v>
                </c:pt>
                <c:pt idx="234">
                  <c:v>8.6777056199999993</c:v>
                </c:pt>
                <c:pt idx="235">
                  <c:v>8.6905952299999996</c:v>
                </c:pt>
                <c:pt idx="236">
                  <c:v>8.7037089400000003</c:v>
                </c:pt>
                <c:pt idx="237">
                  <c:v>8.7170540200000008</c:v>
                </c:pt>
                <c:pt idx="238">
                  <c:v>8.7306377000000008</c:v>
                </c:pt>
                <c:pt idx="239">
                  <c:v>8.7444672299999997</c:v>
                </c:pt>
                <c:pt idx="240">
                  <c:v>8.7585498499999996</c:v>
                </c:pt>
                <c:pt idx="241">
                  <c:v>8.7728927900000002</c:v>
                </c:pt>
                <c:pt idx="242">
                  <c:v>8.7875032700000002</c:v>
                </c:pt>
                <c:pt idx="243">
                  <c:v>8.8023885100000001</c:v>
                </c:pt>
                <c:pt idx="244">
                  <c:v>8.8175557199999997</c:v>
                </c:pt>
                <c:pt idx="245">
                  <c:v>8.8330120999999995</c:v>
                </c:pt>
                <c:pt idx="246">
                  <c:v>8.8487648599999993</c:v>
                </c:pt>
                <c:pt idx="247">
                  <c:v>8.8648211799999999</c:v>
                </c:pt>
                <c:pt idx="248">
                  <c:v>8.8811882400000002</c:v>
                </c:pt>
                <c:pt idx="249">
                  <c:v>8.8978732199999993</c:v>
                </c:pt>
                <c:pt idx="250">
                  <c:v>8.9148832900000006</c:v>
                </c:pt>
                <c:pt idx="251">
                  <c:v>8.9322256000000007</c:v>
                </c:pt>
                <c:pt idx="252">
                  <c:v>8.9499073100000004</c:v>
                </c:pt>
                <c:pt idx="253">
                  <c:v>8.9679355600000008</c:v>
                </c:pt>
                <c:pt idx="254">
                  <c:v>8.9863174699999995</c:v>
                </c:pt>
                <c:pt idx="255">
                  <c:v>9.0050601799999992</c:v>
                </c:pt>
                <c:pt idx="256">
                  <c:v>9.0241708000000003</c:v>
                </c:pt>
                <c:pt idx="257">
                  <c:v>9.0436564199999996</c:v>
                </c:pt>
                <c:pt idx="258">
                  <c:v>9.0635241600000001</c:v>
                </c:pt>
                <c:pt idx="259">
                  <c:v>9.0837810799999996</c:v>
                </c:pt>
                <c:pt idx="260">
                  <c:v>9.1044342700000005</c:v>
                </c:pt>
                <c:pt idx="261">
                  <c:v>9.1254907900000006</c:v>
                </c:pt>
                <c:pt idx="262">
                  <c:v>9.1469576900000007</c:v>
                </c:pt>
                <c:pt idx="263">
                  <c:v>9.1688420100000005</c:v>
                </c:pt>
                <c:pt idx="264">
                  <c:v>9.1911507700000001</c:v>
                </c:pt>
                <c:pt idx="265">
                  <c:v>9.2138910099999993</c:v>
                </c:pt>
                <c:pt idx="266">
                  <c:v>9.2370697100000001</c:v>
                </c:pt>
                <c:pt idx="267">
                  <c:v>9.2606938700000008</c:v>
                </c:pt>
                <c:pt idx="268">
                  <c:v>9.2847704800000006</c:v>
                </c:pt>
                <c:pt idx="269">
                  <c:v>9.3093064999999999</c:v>
                </c:pt>
                <c:pt idx="270">
                  <c:v>9.3343088699999992</c:v>
                </c:pt>
                <c:pt idx="271">
                  <c:v>9.3597845399999997</c:v>
                </c:pt>
                <c:pt idx="272">
                  <c:v>9.3857404399999993</c:v>
                </c:pt>
                <c:pt idx="273">
                  <c:v>9.4121834599999996</c:v>
                </c:pt>
                <c:pt idx="274">
                  <c:v>9.4391205100000004</c:v>
                </c:pt>
                <c:pt idx="275">
                  <c:v>9.4665584700000007</c:v>
                </c:pt>
                <c:pt idx="276">
                  <c:v>9.4945041900000007</c:v>
                </c:pt>
                <c:pt idx="277">
                  <c:v>9.5229645299999994</c:v>
                </c:pt>
                <c:pt idx="278">
                  <c:v>9.5519463200000008</c:v>
                </c:pt>
                <c:pt idx="279">
                  <c:v>9.5814563699999997</c:v>
                </c:pt>
                <c:pt idx="280">
                  <c:v>9.6115014799999994</c:v>
                </c:pt>
                <c:pt idx="281">
                  <c:v>9.6420884200000003</c:v>
                </c:pt>
                <c:pt idx="282">
                  <c:v>9.6732239700000004</c:v>
                </c:pt>
                <c:pt idx="283">
                  <c:v>9.7049148600000006</c:v>
                </c:pt>
                <c:pt idx="284">
                  <c:v>9.7371678100000008</c:v>
                </c:pt>
                <c:pt idx="285">
                  <c:v>9.7699895399999992</c:v>
                </c:pt>
                <c:pt idx="286">
                  <c:v>9.8033867400000005</c:v>
                </c:pt>
                <c:pt idx="287">
                  <c:v>9.83736605</c:v>
                </c:pt>
                <c:pt idx="288">
                  <c:v>9.8719341400000005</c:v>
                </c:pt>
                <c:pt idx="289">
                  <c:v>9.9070976300000009</c:v>
                </c:pt>
                <c:pt idx="290">
                  <c:v>9.9428631200000002</c:v>
                </c:pt>
                <c:pt idx="291">
                  <c:v>9.9792371899999992</c:v>
                </c:pt>
                <c:pt idx="292">
                  <c:v>10.01622641</c:v>
                </c:pt>
                <c:pt idx="293">
                  <c:v>10.05383731</c:v>
                </c:pt>
                <c:pt idx="294">
                  <c:v>10.092076410000001</c:v>
                </c:pt>
                <c:pt idx="295">
                  <c:v>10.13095019</c:v>
                </c:pt>
                <c:pt idx="296">
                  <c:v>10.170465139999999</c:v>
                </c:pt>
                <c:pt idx="297">
                  <c:v>10.210627690000001</c:v>
                </c:pt>
                <c:pt idx="298">
                  <c:v>10.25144426</c:v>
                </c:pt>
                <c:pt idx="299">
                  <c:v>10.29292124</c:v>
                </c:pt>
                <c:pt idx="300">
                  <c:v>10.335065009999999</c:v>
                </c:pt>
                <c:pt idx="301">
                  <c:v>10.3778819</c:v>
                </c:pt>
                <c:pt idx="302">
                  <c:v>10.421378239999999</c:v>
                </c:pt>
                <c:pt idx="303">
                  <c:v>10.465560310000001</c:v>
                </c:pt>
                <c:pt idx="304">
                  <c:v>10.51043437</c:v>
                </c:pt>
                <c:pt idx="305">
                  <c:v>10.55600666</c:v>
                </c:pt>
                <c:pt idx="306">
                  <c:v>10.602283379999999</c:v>
                </c:pt>
                <c:pt idx="307">
                  <c:v>10.649270700000001</c:v>
                </c:pt>
                <c:pt idx="308">
                  <c:v>10.696974790000001</c:v>
                </c:pt>
                <c:pt idx="309">
                  <c:v>10.74540174</c:v>
                </c:pt>
                <c:pt idx="310">
                  <c:v>10.794557660000001</c:v>
                </c:pt>
                <c:pt idx="311">
                  <c:v>10.844448590000001</c:v>
                </c:pt>
                <c:pt idx="312">
                  <c:v>10.89508056</c:v>
                </c:pt>
                <c:pt idx="313">
                  <c:v>10.946459559999999</c:v>
                </c:pt>
                <c:pt idx="314">
                  <c:v>10.99859155</c:v>
                </c:pt>
                <c:pt idx="315">
                  <c:v>11.051482460000001</c:v>
                </c:pt>
                <c:pt idx="316">
                  <c:v>11.10513819</c:v>
                </c:pt>
                <c:pt idx="317">
                  <c:v>11.15956459</c:v>
                </c:pt>
                <c:pt idx="318">
                  <c:v>11.214767480000001</c:v>
                </c:pt>
                <c:pt idx="319">
                  <c:v>11.27075267</c:v>
                </c:pt>
                <c:pt idx="320">
                  <c:v>11.32752589</c:v>
                </c:pt>
                <c:pt idx="321">
                  <c:v>11.385092889999999</c:v>
                </c:pt>
                <c:pt idx="322">
                  <c:v>11.443459320000001</c:v>
                </c:pt>
                <c:pt idx="323">
                  <c:v>11.502630849999999</c:v>
                </c:pt>
                <c:pt idx="324">
                  <c:v>11.562613069999999</c:v>
                </c:pt>
                <c:pt idx="325">
                  <c:v>11.623411559999999</c:v>
                </c:pt>
                <c:pt idx="326">
                  <c:v>11.68503185</c:v>
                </c:pt>
                <c:pt idx="327">
                  <c:v>11.747479419999999</c:v>
                </c:pt>
                <c:pt idx="328">
                  <c:v>11.81075974</c:v>
                </c:pt>
                <c:pt idx="329">
                  <c:v>11.87487821</c:v>
                </c:pt>
                <c:pt idx="330">
                  <c:v>11.939840200000001</c:v>
                </c:pt>
                <c:pt idx="331">
                  <c:v>12.00565104</c:v>
                </c:pt>
                <c:pt idx="332">
                  <c:v>12.072316020000001</c:v>
                </c:pt>
                <c:pt idx="333">
                  <c:v>12.139840380000001</c:v>
                </c:pt>
                <c:pt idx="334">
                  <c:v>12.208229319999999</c:v>
                </c:pt>
                <c:pt idx="335">
                  <c:v>12.277488010000001</c:v>
                </c:pt>
                <c:pt idx="336">
                  <c:v>12.34762154</c:v>
                </c:pt>
                <c:pt idx="337">
                  <c:v>12.418635</c:v>
                </c:pt>
                <c:pt idx="338">
                  <c:v>12.4905334</c:v>
                </c:pt>
                <c:pt idx="339">
                  <c:v>12.563321719999999</c:v>
                </c:pt>
                <c:pt idx="340">
                  <c:v>12.637004900000001</c:v>
                </c:pt>
                <c:pt idx="341">
                  <c:v>12.711587809999999</c:v>
                </c:pt>
                <c:pt idx="342">
                  <c:v>12.787075290000001</c:v>
                </c:pt>
                <c:pt idx="343">
                  <c:v>12.863472120000001</c:v>
                </c:pt>
                <c:pt idx="344">
                  <c:v>12.940783059999999</c:v>
                </c:pt>
                <c:pt idx="345">
                  <c:v>13.019012780000001</c:v>
                </c:pt>
                <c:pt idx="346">
                  <c:v>13.09816592</c:v>
                </c:pt>
                <c:pt idx="347">
                  <c:v>13.17824708</c:v>
                </c:pt>
                <c:pt idx="348">
                  <c:v>13.259260790000001</c:v>
                </c:pt>
                <c:pt idx="349">
                  <c:v>13.41648509</c:v>
                </c:pt>
                <c:pt idx="350">
                  <c:v>13.7114387</c:v>
                </c:pt>
                <c:pt idx="351">
                  <c:v>14.123218850000001</c:v>
                </c:pt>
                <c:pt idx="352">
                  <c:v>14.630778230000001</c:v>
                </c:pt>
                <c:pt idx="353">
                  <c:v>15.213155009999999</c:v>
                </c:pt>
                <c:pt idx="354">
                  <c:v>15.849657840000001</c:v>
                </c:pt>
                <c:pt idx="355">
                  <c:v>16.5200058</c:v>
                </c:pt>
                <c:pt idx="356">
                  <c:v>17.204423760000001</c:v>
                </c:pt>
                <c:pt idx="357">
                  <c:v>17.88369454</c:v>
                </c:pt>
                <c:pt idx="358">
                  <c:v>18.539169489999999</c:v>
                </c:pt>
                <c:pt idx="359">
                  <c:v>19.152739319999998</c:v>
                </c:pt>
                <c:pt idx="360">
                  <c:v>19.706767070000001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'model curve'!$F$1</c:f>
              <c:strCache>
                <c:ptCount val="1"/>
                <c:pt idx="0">
                  <c:v>Modify 3</c:v>
                </c:pt>
              </c:strCache>
            </c:strRef>
          </c:tx>
          <c:spPr>
            <a:ln w="38100"/>
          </c:spPr>
          <c:marker>
            <c:symbol val="none"/>
          </c:marker>
          <c:cat>
            <c:numRef>
              <c:f>'model curve'!$B$2:$B$362</c:f>
              <c:numCache>
                <c:formatCode>General</c:formatCode>
                <c:ptCount val="3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</c:numCache>
            </c:numRef>
          </c:cat>
          <c:val>
            <c:numRef>
              <c:f>'model curve'!$F$2:$F$362</c:f>
              <c:numCache>
                <c:formatCode>General</c:formatCode>
                <c:ptCount val="361"/>
                <c:pt idx="0">
                  <c:v>0</c:v>
                </c:pt>
                <c:pt idx="1">
                  <c:v>8.5436330000000005E-2</c:v>
                </c:pt>
                <c:pt idx="2">
                  <c:v>0.18337554</c:v>
                </c:pt>
                <c:pt idx="3">
                  <c:v>0.28131474000000001</c:v>
                </c:pt>
                <c:pt idx="4">
                  <c:v>0.36675107000000001</c:v>
                </c:pt>
                <c:pt idx="5">
                  <c:v>0.42718165000000002</c:v>
                </c:pt>
                <c:pt idx="6">
                  <c:v>0.45010359</c:v>
                </c:pt>
                <c:pt idx="7">
                  <c:v>0.45010359</c:v>
                </c:pt>
                <c:pt idx="8">
                  <c:v>0.45010359</c:v>
                </c:pt>
                <c:pt idx="9">
                  <c:v>0.45010359</c:v>
                </c:pt>
                <c:pt idx="10">
                  <c:v>0.45010359</c:v>
                </c:pt>
                <c:pt idx="11">
                  <c:v>0.45010359</c:v>
                </c:pt>
                <c:pt idx="12">
                  <c:v>0.45010359</c:v>
                </c:pt>
                <c:pt idx="13">
                  <c:v>0.45028372</c:v>
                </c:pt>
                <c:pt idx="14">
                  <c:v>0.45081502000000001</c:v>
                </c:pt>
                <c:pt idx="15">
                  <c:v>0.45168383000000001</c:v>
                </c:pt>
                <c:pt idx="16">
                  <c:v>0.45287650000000002</c:v>
                </c:pt>
                <c:pt idx="17">
                  <c:v>0.45437938</c:v>
                </c:pt>
                <c:pt idx="18">
                  <c:v>0.45617881999999998</c:v>
                </c:pt>
                <c:pt idx="19">
                  <c:v>0.45826117</c:v>
                </c:pt>
                <c:pt idx="20">
                  <c:v>0.46061276000000001</c:v>
                </c:pt>
                <c:pt idx="21">
                  <c:v>0.46321996999999998</c:v>
                </c:pt>
                <c:pt idx="22">
                  <c:v>0.46606912</c:v>
                </c:pt>
                <c:pt idx="23">
                  <c:v>0.46914656999999998</c:v>
                </c:pt>
                <c:pt idx="24">
                  <c:v>0.47243868</c:v>
                </c:pt>
                <c:pt idx="25">
                  <c:v>0.47593176999999998</c:v>
                </c:pt>
                <c:pt idx="26">
                  <c:v>0.47961221999999998</c:v>
                </c:pt>
                <c:pt idx="27">
                  <c:v>0.48346634999999999</c:v>
                </c:pt>
                <c:pt idx="28">
                  <c:v>0.48748053000000002</c:v>
                </c:pt>
                <c:pt idx="29">
                  <c:v>0.4916411</c:v>
                </c:pt>
                <c:pt idx="30">
                  <c:v>0.49593440999999999</c:v>
                </c:pt>
                <c:pt idx="31">
                  <c:v>0.50034679999999998</c:v>
                </c:pt>
                <c:pt idx="32">
                  <c:v>0.50486463000000004</c:v>
                </c:pt>
                <c:pt idx="33">
                  <c:v>0.50947423999999997</c:v>
                </c:pt>
                <c:pt idx="34">
                  <c:v>0.51416198999999996</c:v>
                </c:pt>
                <c:pt idx="35">
                  <c:v>0.51891421000000004</c:v>
                </c:pt>
                <c:pt idx="36">
                  <c:v>0.52371725999999996</c:v>
                </c:pt>
                <c:pt idx="37">
                  <c:v>0.52855748999999996</c:v>
                </c:pt>
                <c:pt idx="38">
                  <c:v>0.53342124999999996</c:v>
                </c:pt>
                <c:pt idx="39">
                  <c:v>0.53829488000000003</c:v>
                </c:pt>
                <c:pt idx="40">
                  <c:v>0.54316472999999998</c:v>
                </c:pt>
                <c:pt idx="41">
                  <c:v>0.54801714999999995</c:v>
                </c:pt>
                <c:pt idx="42">
                  <c:v>0.55283850000000001</c:v>
                </c:pt>
                <c:pt idx="43">
                  <c:v>0.55761510000000003</c:v>
                </c:pt>
                <c:pt idx="44">
                  <c:v>0.56233332999999996</c:v>
                </c:pt>
                <c:pt idx="45">
                  <c:v>0.56697951999999996</c:v>
                </c:pt>
                <c:pt idx="46">
                  <c:v>0.57154002000000004</c:v>
                </c:pt>
                <c:pt idx="47">
                  <c:v>0.57600118</c:v>
                </c:pt>
                <c:pt idx="48">
                  <c:v>0.58034934999999999</c:v>
                </c:pt>
                <c:pt idx="49">
                  <c:v>0.58457088000000001</c:v>
                </c:pt>
                <c:pt idx="50">
                  <c:v>0.58865212</c:v>
                </c:pt>
                <c:pt idx="51">
                  <c:v>0.59257941000000003</c:v>
                </c:pt>
                <c:pt idx="52">
                  <c:v>0.59633910000000001</c:v>
                </c:pt>
                <c:pt idx="53">
                  <c:v>0.59991753999999997</c:v>
                </c:pt>
                <c:pt idx="54">
                  <c:v>0.60330108999999998</c:v>
                </c:pt>
                <c:pt idx="55">
                  <c:v>0.60647607999999997</c:v>
                </c:pt>
                <c:pt idx="56">
                  <c:v>0.60942887000000001</c:v>
                </c:pt>
                <c:pt idx="57">
                  <c:v>0.61214579999999996</c:v>
                </c:pt>
                <c:pt idx="58">
                  <c:v>0.61461321999999996</c:v>
                </c:pt>
                <c:pt idx="59">
                  <c:v>0.61681748999999997</c:v>
                </c:pt>
                <c:pt idx="60">
                  <c:v>0.61874494999999996</c:v>
                </c:pt>
                <c:pt idx="61">
                  <c:v>0.62042122</c:v>
                </c:pt>
                <c:pt idx="62">
                  <c:v>0.62190709</c:v>
                </c:pt>
                <c:pt idx="63">
                  <c:v>0.62324159999999995</c:v>
                </c:pt>
                <c:pt idx="64">
                  <c:v>0.62446380000000001</c:v>
                </c:pt>
                <c:pt idx="65">
                  <c:v>0.62561277000000004</c:v>
                </c:pt>
                <c:pt idx="66">
                  <c:v>0.62672753999999997</c:v>
                </c:pt>
                <c:pt idx="67">
                  <c:v>0.62784719</c:v>
                </c:pt>
                <c:pt idx="68">
                  <c:v>0.62901074999999995</c:v>
                </c:pt>
                <c:pt idx="69">
                  <c:v>0.63025730000000002</c:v>
                </c:pt>
                <c:pt idx="70">
                  <c:v>0.63162587999999997</c:v>
                </c:pt>
                <c:pt idx="71">
                  <c:v>0.63315555999999995</c:v>
                </c:pt>
                <c:pt idx="72">
                  <c:v>0.63488538000000005</c:v>
                </c:pt>
                <c:pt idx="73">
                  <c:v>0.63685440999999998</c:v>
                </c:pt>
                <c:pt idx="74">
                  <c:v>0.63910169999999999</c:v>
                </c:pt>
                <c:pt idx="75">
                  <c:v>0.64166630000000002</c:v>
                </c:pt>
                <c:pt idx="76">
                  <c:v>0.64458727000000005</c:v>
                </c:pt>
                <c:pt idx="77">
                  <c:v>0.64790367999999998</c:v>
                </c:pt>
                <c:pt idx="78">
                  <c:v>0.65165455999999999</c:v>
                </c:pt>
                <c:pt idx="79">
                  <c:v>0.65587899000000005</c:v>
                </c:pt>
                <c:pt idx="80">
                  <c:v>0.66061601000000003</c:v>
                </c:pt>
                <c:pt idx="81">
                  <c:v>0.66590468999999997</c:v>
                </c:pt>
                <c:pt idx="82">
                  <c:v>0.67178406999999996</c:v>
                </c:pt>
                <c:pt idx="83">
                  <c:v>0.67829320999999998</c:v>
                </c:pt>
                <c:pt idx="84">
                  <c:v>0.68547117999999996</c:v>
                </c:pt>
                <c:pt idx="85">
                  <c:v>0.69335701999999999</c:v>
                </c:pt>
                <c:pt idx="86">
                  <c:v>0.70198978999999995</c:v>
                </c:pt>
                <c:pt idx="87">
                  <c:v>0.71140855999999997</c:v>
                </c:pt>
                <c:pt idx="88">
                  <c:v>0.72165235999999999</c:v>
                </c:pt>
                <c:pt idx="89">
                  <c:v>0.73276026999999999</c:v>
                </c:pt>
                <c:pt idx="90">
                  <c:v>0.74477132999999995</c:v>
                </c:pt>
                <c:pt idx="91">
                  <c:v>0.75772488999999998</c:v>
                </c:pt>
                <c:pt idx="92">
                  <c:v>0.77162810000000004</c:v>
                </c:pt>
                <c:pt idx="93">
                  <c:v>0.78647173999999997</c:v>
                </c:pt>
                <c:pt idx="94">
                  <c:v>0.80224660999999997</c:v>
                </c:pt>
                <c:pt idx="95">
                  <c:v>0.81894347000000001</c:v>
                </c:pt>
                <c:pt idx="96">
                  <c:v>0.83655312999999998</c:v>
                </c:pt>
                <c:pt idx="97">
                  <c:v>0.85506634000000004</c:v>
                </c:pt>
                <c:pt idx="98">
                  <c:v>0.87447390999999997</c:v>
                </c:pt>
                <c:pt idx="99">
                  <c:v>0.89476661000000002</c:v>
                </c:pt>
                <c:pt idx="100">
                  <c:v>0.91593522999999999</c:v>
                </c:pt>
                <c:pt idx="101">
                  <c:v>0.93797054000000002</c:v>
                </c:pt>
                <c:pt idx="102">
                  <c:v>0.96086333999999995</c:v>
                </c:pt>
                <c:pt idx="103">
                  <c:v>0.98460440000000005</c:v>
                </c:pt>
                <c:pt idx="104">
                  <c:v>1.0091844999999999</c:v>
                </c:pt>
                <c:pt idx="105">
                  <c:v>1.03459444</c:v>
                </c:pt>
                <c:pt idx="106">
                  <c:v>1.06082499</c:v>
                </c:pt>
                <c:pt idx="107">
                  <c:v>1.0878669299999999</c:v>
                </c:pt>
                <c:pt idx="108">
                  <c:v>1.11571105</c:v>
                </c:pt>
                <c:pt idx="109">
                  <c:v>1.14434813</c:v>
                </c:pt>
                <c:pt idx="110">
                  <c:v>1.1737689600000001</c:v>
                </c:pt>
                <c:pt idx="111">
                  <c:v>1.2039643099999999</c:v>
                </c:pt>
                <c:pt idx="112">
                  <c:v>1.2349249600000001</c:v>
                </c:pt>
                <c:pt idx="113">
                  <c:v>1.26664172</c:v>
                </c:pt>
                <c:pt idx="114">
                  <c:v>1.2991053400000001</c:v>
                </c:pt>
                <c:pt idx="115">
                  <c:v>1.33230662</c:v>
                </c:pt>
                <c:pt idx="116">
                  <c:v>1.3662363500000001</c:v>
                </c:pt>
                <c:pt idx="117">
                  <c:v>1.4008852899999999</c:v>
                </c:pt>
                <c:pt idx="118">
                  <c:v>1.4362442399999999</c:v>
                </c:pt>
                <c:pt idx="119">
                  <c:v>1.47230398</c:v>
                </c:pt>
                <c:pt idx="120">
                  <c:v>1.50905529</c:v>
                </c:pt>
                <c:pt idx="121">
                  <c:v>1.5464889500000001</c:v>
                </c:pt>
                <c:pt idx="122">
                  <c:v>1.5845957500000001</c:v>
                </c:pt>
                <c:pt idx="123">
                  <c:v>1.6233664699999999</c:v>
                </c:pt>
                <c:pt idx="124">
                  <c:v>1.6627919</c:v>
                </c:pt>
                <c:pt idx="125">
                  <c:v>1.7028627999999999</c:v>
                </c:pt>
                <c:pt idx="126">
                  <c:v>1.74356998</c:v>
                </c:pt>
                <c:pt idx="127">
                  <c:v>1.7849042100000001</c:v>
                </c:pt>
                <c:pt idx="128">
                  <c:v>1.82685626</c:v>
                </c:pt>
                <c:pt idx="129">
                  <c:v>1.86941694</c:v>
                </c:pt>
                <c:pt idx="130">
                  <c:v>1.9125770099999999</c:v>
                </c:pt>
                <c:pt idx="131">
                  <c:v>1.9563272700000001</c:v>
                </c:pt>
                <c:pt idx="132">
                  <c:v>2.0006584900000002</c:v>
                </c:pt>
                <c:pt idx="133">
                  <c:v>2.0455614600000001</c:v>
                </c:pt>
                <c:pt idx="134">
                  <c:v>2.0910269600000002</c:v>
                </c:pt>
                <c:pt idx="135">
                  <c:v>2.1370457699999998</c:v>
                </c:pt>
                <c:pt idx="136">
                  <c:v>2.1836086699999999</c:v>
                </c:pt>
                <c:pt idx="137">
                  <c:v>2.2307064599999999</c:v>
                </c:pt>
                <c:pt idx="138">
                  <c:v>2.2783299000000001</c:v>
                </c:pt>
                <c:pt idx="139">
                  <c:v>2.32646979</c:v>
                </c:pt>
                <c:pt idx="140">
                  <c:v>2.37511691</c:v>
                </c:pt>
                <c:pt idx="141">
                  <c:v>2.4242620399999999</c:v>
                </c:pt>
                <c:pt idx="142">
                  <c:v>2.4738959500000002</c:v>
                </c:pt>
                <c:pt idx="143">
                  <c:v>2.5240094499999999</c:v>
                </c:pt>
                <c:pt idx="144">
                  <c:v>2.5745933000000001</c:v>
                </c:pt>
                <c:pt idx="145">
                  <c:v>2.6256382899999999</c:v>
                </c:pt>
                <c:pt idx="146">
                  <c:v>2.6771352099999999</c:v>
                </c:pt>
                <c:pt idx="147">
                  <c:v>2.7290748300000001</c:v>
                </c:pt>
                <c:pt idx="148">
                  <c:v>2.7814479400000001</c:v>
                </c:pt>
                <c:pt idx="149">
                  <c:v>2.83424532</c:v>
                </c:pt>
                <c:pt idx="150">
                  <c:v>2.8874577600000002</c:v>
                </c:pt>
                <c:pt idx="151">
                  <c:v>2.9410760300000001</c:v>
                </c:pt>
                <c:pt idx="152">
                  <c:v>2.9950909299999999</c:v>
                </c:pt>
                <c:pt idx="153">
                  <c:v>3.04949322</c:v>
                </c:pt>
                <c:pt idx="154">
                  <c:v>3.1042737100000002</c:v>
                </c:pt>
                <c:pt idx="155">
                  <c:v>3.1594231599999998</c:v>
                </c:pt>
                <c:pt idx="156">
                  <c:v>3.2149323600000002</c:v>
                </c:pt>
                <c:pt idx="157">
                  <c:v>3.2707921</c:v>
                </c:pt>
                <c:pt idx="158">
                  <c:v>3.3269931499999998</c:v>
                </c:pt>
                <c:pt idx="159">
                  <c:v>3.3835263100000001</c:v>
                </c:pt>
                <c:pt idx="160">
                  <c:v>3.4403823400000002</c:v>
                </c:pt>
                <c:pt idx="161">
                  <c:v>3.49755204</c:v>
                </c:pt>
                <c:pt idx="162">
                  <c:v>3.55502619</c:v>
                </c:pt>
                <c:pt idx="163">
                  <c:v>3.6127955699999998</c:v>
                </c:pt>
                <c:pt idx="164">
                  <c:v>3.6708509600000001</c:v>
                </c:pt>
                <c:pt idx="165">
                  <c:v>3.7291831499999999</c:v>
                </c:pt>
                <c:pt idx="166">
                  <c:v>3.7877829200000002</c:v>
                </c:pt>
                <c:pt idx="167">
                  <c:v>3.8466410500000001</c:v>
                </c:pt>
                <c:pt idx="168">
                  <c:v>3.9057483199999998</c:v>
                </c:pt>
                <c:pt idx="169">
                  <c:v>3.9650955300000001</c:v>
                </c:pt>
                <c:pt idx="170">
                  <c:v>4.0246734399999999</c:v>
                </c:pt>
                <c:pt idx="171">
                  <c:v>4.0844728400000001</c:v>
                </c:pt>
                <c:pt idx="172">
                  <c:v>4.1444845199999998</c:v>
                </c:pt>
                <c:pt idx="173">
                  <c:v>4.2046992599999999</c:v>
                </c:pt>
                <c:pt idx="174">
                  <c:v>4.2651078399999998</c:v>
                </c:pt>
                <c:pt idx="175">
                  <c:v>4.3257010500000002</c:v>
                </c:pt>
                <c:pt idx="176">
                  <c:v>4.3864696600000004</c:v>
                </c:pt>
                <c:pt idx="177">
                  <c:v>4.4474044599999996</c:v>
                </c:pt>
                <c:pt idx="178">
                  <c:v>4.5084962400000004</c:v>
                </c:pt>
                <c:pt idx="179">
                  <c:v>4.5697357700000003</c:v>
                </c:pt>
                <c:pt idx="180">
                  <c:v>4.6311138300000003</c:v>
                </c:pt>
                <c:pt idx="181">
                  <c:v>4.6926212200000004</c:v>
                </c:pt>
                <c:pt idx="182">
                  <c:v>4.7542487099999997</c:v>
                </c:pt>
                <c:pt idx="183">
                  <c:v>4.8159870900000001</c:v>
                </c:pt>
                <c:pt idx="184">
                  <c:v>4.87782714</c:v>
                </c:pt>
                <c:pt idx="185">
                  <c:v>4.9397596400000001</c:v>
                </c:pt>
                <c:pt idx="186">
                  <c:v>5.0017753699999998</c:v>
                </c:pt>
                <c:pt idx="187">
                  <c:v>5.06386512</c:v>
                </c:pt>
                <c:pt idx="188">
                  <c:v>5.1260196699999998</c:v>
                </c:pt>
                <c:pt idx="189">
                  <c:v>5.1882298000000002</c:v>
                </c:pt>
                <c:pt idx="190">
                  <c:v>5.2504863100000003</c:v>
                </c:pt>
                <c:pt idx="191">
                  <c:v>5.3127799500000004</c:v>
                </c:pt>
                <c:pt idx="192">
                  <c:v>5.3751015300000002</c:v>
                </c:pt>
                <c:pt idx="193">
                  <c:v>5.43744183</c:v>
                </c:pt>
                <c:pt idx="194">
                  <c:v>5.4997916199999999</c:v>
                </c:pt>
                <c:pt idx="195">
                  <c:v>5.5621416899999998</c:v>
                </c:pt>
                <c:pt idx="196">
                  <c:v>5.6244828199999999</c:v>
                </c:pt>
                <c:pt idx="197">
                  <c:v>5.6868058000000001</c:v>
                </c:pt>
                <c:pt idx="198">
                  <c:v>5.7491014099999997</c:v>
                </c:pt>
                <c:pt idx="199">
                  <c:v>5.8113604299999997</c:v>
                </c:pt>
                <c:pt idx="200">
                  <c:v>5.87357364</c:v>
                </c:pt>
                <c:pt idx="201">
                  <c:v>5.93573182</c:v>
                </c:pt>
                <c:pt idx="202">
                  <c:v>5.9978257700000004</c:v>
                </c:pt>
                <c:pt idx="203">
                  <c:v>6.0598462599999996</c:v>
                </c:pt>
                <c:pt idx="204">
                  <c:v>6.1217840700000004</c:v>
                </c:pt>
                <c:pt idx="205">
                  <c:v>6.18362999</c:v>
                </c:pt>
                <c:pt idx="206">
                  <c:v>6.2453748100000004</c:v>
                </c:pt>
                <c:pt idx="207">
                  <c:v>6.3070092899999999</c:v>
                </c:pt>
                <c:pt idx="208">
                  <c:v>6.3685242300000002</c:v>
                </c:pt>
                <c:pt idx="209">
                  <c:v>6.4299104099999997</c:v>
                </c:pt>
                <c:pt idx="210">
                  <c:v>6.4911586100000003</c:v>
                </c:pt>
                <c:pt idx="211">
                  <c:v>6.5522596200000001</c:v>
                </c:pt>
                <c:pt idx="212">
                  <c:v>6.6132042100000001</c:v>
                </c:pt>
                <c:pt idx="213">
                  <c:v>6.6739831699999996</c:v>
                </c:pt>
                <c:pt idx="214">
                  <c:v>6.7345872800000004</c:v>
                </c:pt>
                <c:pt idx="215">
                  <c:v>6.7950073299999998</c:v>
                </c:pt>
                <c:pt idx="216">
                  <c:v>6.8552340999999997</c:v>
                </c:pt>
                <c:pt idx="217">
                  <c:v>6.9152583700000001</c:v>
                </c:pt>
                <c:pt idx="218">
                  <c:v>6.9750709200000003</c:v>
                </c:pt>
                <c:pt idx="219">
                  <c:v>7.0346625400000002</c:v>
                </c:pt>
                <c:pt idx="220">
                  <c:v>7.09402401</c:v>
                </c:pt>
                <c:pt idx="221">
                  <c:v>7.1531461099999998</c:v>
                </c:pt>
                <c:pt idx="222">
                  <c:v>7.2120196200000004</c:v>
                </c:pt>
                <c:pt idx="223">
                  <c:v>7.2706353300000002</c:v>
                </c:pt>
                <c:pt idx="224">
                  <c:v>7.32898403</c:v>
                </c:pt>
                <c:pt idx="225">
                  <c:v>7.38705648</c:v>
                </c:pt>
                <c:pt idx="226">
                  <c:v>7.4448434800000003</c:v>
                </c:pt>
                <c:pt idx="227">
                  <c:v>7.5023358099999999</c:v>
                </c:pt>
                <c:pt idx="228">
                  <c:v>7.5595242599999999</c:v>
                </c:pt>
                <c:pt idx="229">
                  <c:v>7.6163995900000003</c:v>
                </c:pt>
                <c:pt idx="230">
                  <c:v>7.6729526100000003</c:v>
                </c:pt>
                <c:pt idx="231">
                  <c:v>7.7291740799999999</c:v>
                </c:pt>
                <c:pt idx="232">
                  <c:v>7.7850548000000002</c:v>
                </c:pt>
                <c:pt idx="233">
                  <c:v>7.8405855400000002</c:v>
                </c:pt>
                <c:pt idx="234">
                  <c:v>7.89575709</c:v>
                </c:pt>
                <c:pt idx="235">
                  <c:v>7.9505602299999998</c:v>
                </c:pt>
                <c:pt idx="236">
                  <c:v>8.0049857400000004</c:v>
                </c:pt>
                <c:pt idx="237">
                  <c:v>8.0590244099999992</c:v>
                </c:pt>
                <c:pt idx="238">
                  <c:v>8.11266702</c:v>
                </c:pt>
                <c:pt idx="239">
                  <c:v>8.1659043499999999</c:v>
                </c:pt>
                <c:pt idx="240">
                  <c:v>8.2187271899999992</c:v>
                </c:pt>
                <c:pt idx="241">
                  <c:v>8.2711263200000005</c:v>
                </c:pt>
                <c:pt idx="242">
                  <c:v>8.3230925100000004</c:v>
                </c:pt>
                <c:pt idx="243">
                  <c:v>8.3746165599999998</c:v>
                </c:pt>
                <c:pt idx="244">
                  <c:v>8.4256892400000005</c:v>
                </c:pt>
                <c:pt idx="245">
                  <c:v>8.47630135</c:v>
                </c:pt>
                <c:pt idx="246">
                  <c:v>8.5264436499999992</c:v>
                </c:pt>
                <c:pt idx="247">
                  <c:v>8.5761069400000007</c:v>
                </c:pt>
                <c:pt idx="248">
                  <c:v>8.6252820000000003</c:v>
                </c:pt>
                <c:pt idx="249">
                  <c:v>8.6739595999999999</c:v>
                </c:pt>
                <c:pt idx="250">
                  <c:v>8.7221305400000002</c:v>
                </c:pt>
                <c:pt idx="251">
                  <c:v>8.7697856000000005</c:v>
                </c:pt>
                <c:pt idx="252">
                  <c:v>8.8169155499999992</c:v>
                </c:pt>
                <c:pt idx="253">
                  <c:v>8.8635111799999997</c:v>
                </c:pt>
                <c:pt idx="254">
                  <c:v>8.9095632800000004</c:v>
                </c:pt>
                <c:pt idx="255">
                  <c:v>8.9550626300000005</c:v>
                </c:pt>
                <c:pt idx="256">
                  <c:v>9</c:v>
                </c:pt>
                <c:pt idx="257">
                  <c:v>9.0437993599999995</c:v>
                </c:pt>
                <c:pt idx="258">
                  <c:v>9.0859390599999994</c:v>
                </c:pt>
                <c:pt idx="259">
                  <c:v>9.1264914899999994</c:v>
                </c:pt>
                <c:pt idx="260">
                  <c:v>9.1655290199999992</c:v>
                </c:pt>
                <c:pt idx="261">
                  <c:v>9.2031240400000005</c:v>
                </c:pt>
                <c:pt idx="262">
                  <c:v>9.2393489100000004</c:v>
                </c:pt>
                <c:pt idx="263">
                  <c:v>9.2742760299999993</c:v>
                </c:pt>
                <c:pt idx="264">
                  <c:v>9.3079777799999999</c:v>
                </c:pt>
                <c:pt idx="265">
                  <c:v>9.34052653</c:v>
                </c:pt>
                <c:pt idx="266">
                  <c:v>9.3719946600000004</c:v>
                </c:pt>
                <c:pt idx="267">
                  <c:v>9.4024545499999999</c:v>
                </c:pt>
                <c:pt idx="268">
                  <c:v>9.4319785899999999</c:v>
                </c:pt>
                <c:pt idx="269">
                  <c:v>9.4606391500000004</c:v>
                </c:pt>
                <c:pt idx="270">
                  <c:v>9.4885086199999993</c:v>
                </c:pt>
                <c:pt idx="271">
                  <c:v>9.5156593699999998</c:v>
                </c:pt>
                <c:pt idx="272">
                  <c:v>9.5421637799999992</c:v>
                </c:pt>
                <c:pt idx="273">
                  <c:v>9.5680942400000006</c:v>
                </c:pt>
                <c:pt idx="274">
                  <c:v>9.5935231200000004</c:v>
                </c:pt>
                <c:pt idx="275">
                  <c:v>9.61852281</c:v>
                </c:pt>
                <c:pt idx="276">
                  <c:v>9.6431656799999992</c:v>
                </c:pt>
                <c:pt idx="277">
                  <c:v>9.6675241199999995</c:v>
                </c:pt>
                <c:pt idx="278">
                  <c:v>9.6916705000000007</c:v>
                </c:pt>
                <c:pt idx="279">
                  <c:v>9.7156772</c:v>
                </c:pt>
                <c:pt idx="280">
                  <c:v>9.7396166100000006</c:v>
                </c:pt>
                <c:pt idx="281">
                  <c:v>9.7635611000000004</c:v>
                </c:pt>
                <c:pt idx="282">
                  <c:v>9.7875830599999993</c:v>
                </c:pt>
                <c:pt idx="283">
                  <c:v>9.8117548600000006</c:v>
                </c:pt>
                <c:pt idx="284">
                  <c:v>9.8361488900000005</c:v>
                </c:pt>
                <c:pt idx="285">
                  <c:v>9.8608375200000005</c:v>
                </c:pt>
                <c:pt idx="286">
                  <c:v>9.8858931400000003</c:v>
                </c:pt>
                <c:pt idx="287">
                  <c:v>9.9113881199999998</c:v>
                </c:pt>
                <c:pt idx="288">
                  <c:v>9.9373948500000004</c:v>
                </c:pt>
                <c:pt idx="289">
                  <c:v>9.9639857000000003</c:v>
                </c:pt>
                <c:pt idx="290">
                  <c:v>9.9912330499999999</c:v>
                </c:pt>
                <c:pt idx="291">
                  <c:v>10.0192093</c:v>
                </c:pt>
                <c:pt idx="292">
                  <c:v>10.0479868</c:v>
                </c:pt>
                <c:pt idx="293">
                  <c:v>10.07763795</c:v>
                </c:pt>
                <c:pt idx="294">
                  <c:v>10.108235130000001</c:v>
                </c:pt>
                <c:pt idx="295">
                  <c:v>10.139850709999999</c:v>
                </c:pt>
                <c:pt idx="296">
                  <c:v>10.172557080000001</c:v>
                </c:pt>
                <c:pt idx="297">
                  <c:v>10.20642662</c:v>
                </c:pt>
                <c:pt idx="298">
                  <c:v>10.241531699999999</c:v>
                </c:pt>
                <c:pt idx="299">
                  <c:v>10.277944700000001</c:v>
                </c:pt>
                <c:pt idx="300">
                  <c:v>10.31573801</c:v>
                </c:pt>
                <c:pt idx="301">
                  <c:v>10.354984010000001</c:v>
                </c:pt>
                <c:pt idx="302">
                  <c:v>10.39575507</c:v>
                </c:pt>
                <c:pt idx="303">
                  <c:v>10.438123579999999</c:v>
                </c:pt>
                <c:pt idx="304">
                  <c:v>10.48216191</c:v>
                </c:pt>
                <c:pt idx="305">
                  <c:v>10.527942449999999</c:v>
                </c:pt>
                <c:pt idx="306">
                  <c:v>10.575537580000001</c:v>
                </c:pt>
                <c:pt idx="307">
                  <c:v>10.62501967</c:v>
                </c:pt>
                <c:pt idx="308">
                  <c:v>10.67646111</c:v>
                </c:pt>
                <c:pt idx="309">
                  <c:v>10.729934269999999</c:v>
                </c:pt>
                <c:pt idx="310">
                  <c:v>10.78551154</c:v>
                </c:pt>
                <c:pt idx="311">
                  <c:v>10.843265300000001</c:v>
                </c:pt>
                <c:pt idx="312">
                  <c:v>10.903267919999999</c:v>
                </c:pt>
                <c:pt idx="313">
                  <c:v>10.96559179</c:v>
                </c:pt>
                <c:pt idx="314">
                  <c:v>11.03030929</c:v>
                </c:pt>
                <c:pt idx="315">
                  <c:v>11.09749279</c:v>
                </c:pt>
                <c:pt idx="316">
                  <c:v>11.167214680000001</c:v>
                </c:pt>
                <c:pt idx="317">
                  <c:v>11.23954734</c:v>
                </c:pt>
                <c:pt idx="318">
                  <c:v>11.314563140000001</c:v>
                </c:pt>
                <c:pt idx="319">
                  <c:v>11.39233447</c:v>
                </c:pt>
                <c:pt idx="320">
                  <c:v>11.47293371</c:v>
                </c:pt>
                <c:pt idx="321">
                  <c:v>11.55643323</c:v>
                </c:pt>
                <c:pt idx="322">
                  <c:v>11.64290542</c:v>
                </c:pt>
                <c:pt idx="323">
                  <c:v>11.732422659999999</c:v>
                </c:pt>
                <c:pt idx="324">
                  <c:v>11.825057320000001</c:v>
                </c:pt>
                <c:pt idx="325">
                  <c:v>11.9208818</c:v>
                </c:pt>
                <c:pt idx="326">
                  <c:v>12.019968459999999</c:v>
                </c:pt>
                <c:pt idx="327">
                  <c:v>12.12238968</c:v>
                </c:pt>
                <c:pt idx="328">
                  <c:v>12.228217860000001</c:v>
                </c:pt>
                <c:pt idx="329">
                  <c:v>12.337525360000001</c:v>
                </c:pt>
                <c:pt idx="330">
                  <c:v>12.450384570000001</c:v>
                </c:pt>
                <c:pt idx="331">
                  <c:v>12.56686786</c:v>
                </c:pt>
                <c:pt idx="332">
                  <c:v>12.68704763</c:v>
                </c:pt>
                <c:pt idx="333">
                  <c:v>12.81099624</c:v>
                </c:pt>
                <c:pt idx="334">
                  <c:v>12.93878608</c:v>
                </c:pt>
                <c:pt idx="335">
                  <c:v>13.07048953</c:v>
                </c:pt>
                <c:pt idx="336">
                  <c:v>13.206178960000001</c:v>
                </c:pt>
                <c:pt idx="337">
                  <c:v>13.345926759999999</c:v>
                </c:pt>
                <c:pt idx="338">
                  <c:v>13.489805309999999</c:v>
                </c:pt>
                <c:pt idx="339">
                  <c:v>13.63788699</c:v>
                </c:pt>
                <c:pt idx="340">
                  <c:v>13.79024418</c:v>
                </c:pt>
                <c:pt idx="341">
                  <c:v>13.946949249999999</c:v>
                </c:pt>
                <c:pt idx="342">
                  <c:v>14.1080746</c:v>
                </c:pt>
                <c:pt idx="343">
                  <c:v>14.27369259</c:v>
                </c:pt>
                <c:pt idx="344">
                  <c:v>14.443875609999999</c:v>
                </c:pt>
                <c:pt idx="345">
                  <c:v>14.61869604</c:v>
                </c:pt>
                <c:pt idx="346">
                  <c:v>14.798226250000001</c:v>
                </c:pt>
                <c:pt idx="347">
                  <c:v>14.98253864</c:v>
                </c:pt>
                <c:pt idx="348">
                  <c:v>15.17170557</c:v>
                </c:pt>
                <c:pt idx="349">
                  <c:v>15.36579944</c:v>
                </c:pt>
                <c:pt idx="350">
                  <c:v>15.564892609999999</c:v>
                </c:pt>
                <c:pt idx="351">
                  <c:v>15.76905747</c:v>
                </c:pt>
                <c:pt idx="352">
                  <c:v>15.978366400000001</c:v>
                </c:pt>
                <c:pt idx="353">
                  <c:v>16.192891769999999</c:v>
                </c:pt>
                <c:pt idx="354">
                  <c:v>16.412705979999998</c:v>
                </c:pt>
                <c:pt idx="355">
                  <c:v>16.734960999999998</c:v>
                </c:pt>
                <c:pt idx="356">
                  <c:v>17.220479739999998</c:v>
                </c:pt>
                <c:pt idx="357">
                  <c:v>17.814840950000001</c:v>
                </c:pt>
                <c:pt idx="358">
                  <c:v>18.463623399999999</c:v>
                </c:pt>
                <c:pt idx="359">
                  <c:v>19.112405849999998</c:v>
                </c:pt>
                <c:pt idx="360">
                  <c:v>19.706767070000001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7083648"/>
        <c:axId val="617149184"/>
      </c:lineChart>
      <c:catAx>
        <c:axId val="6170836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617149184"/>
        <c:crosses val="autoZero"/>
        <c:auto val="1"/>
        <c:lblAlgn val="ctr"/>
        <c:lblOffset val="100"/>
        <c:noMultiLvlLbl val="0"/>
      </c:catAx>
      <c:valAx>
        <c:axId val="6171491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61708364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'total smm'!$E$1</c:f>
              <c:strCache>
                <c:ptCount val="1"/>
                <c:pt idx="0">
                  <c:v>cpr new</c:v>
                </c:pt>
              </c:strCache>
            </c:strRef>
          </c:tx>
          <c:marker>
            <c:symbol val="none"/>
          </c:marker>
          <c:cat>
            <c:numRef>
              <c:f>'total smm'!$A$2:$A$362</c:f>
              <c:numCache>
                <c:formatCode>General</c:formatCode>
                <c:ptCount val="36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</c:numCache>
            </c:numRef>
          </c:cat>
          <c:val>
            <c:numRef>
              <c:f>'total smm'!$E$2:$E$362</c:f>
              <c:numCache>
                <c:formatCode>General</c:formatCode>
                <c:ptCount val="361"/>
                <c:pt idx="0">
                  <c:v>1.9651590677712716</c:v>
                </c:pt>
                <c:pt idx="1">
                  <c:v>3.7530836624472763</c:v>
                </c:pt>
                <c:pt idx="2">
                  <c:v>5.1698355754643206</c:v>
                </c:pt>
                <c:pt idx="3">
                  <c:v>7.5640466958396324</c:v>
                </c:pt>
                <c:pt idx="4">
                  <c:v>10.18252664267667</c:v>
                </c:pt>
                <c:pt idx="5">
                  <c:v>11.594899719036601</c:v>
                </c:pt>
                <c:pt idx="6">
                  <c:v>12.680995822683494</c:v>
                </c:pt>
                <c:pt idx="7">
                  <c:v>13.491676452415646</c:v>
                </c:pt>
                <c:pt idx="8">
                  <c:v>13.825285483734184</c:v>
                </c:pt>
                <c:pt idx="9">
                  <c:v>14.465971335093563</c:v>
                </c:pt>
                <c:pt idx="10">
                  <c:v>15.539136393113074</c:v>
                </c:pt>
                <c:pt idx="11">
                  <c:v>16.15810505997818</c:v>
                </c:pt>
                <c:pt idx="12">
                  <c:v>17.027936086628404</c:v>
                </c:pt>
                <c:pt idx="13">
                  <c:v>17.374694747006515</c:v>
                </c:pt>
                <c:pt idx="14">
                  <c:v>17.91630638183608</c:v>
                </c:pt>
                <c:pt idx="15">
                  <c:v>18.391688958267626</c:v>
                </c:pt>
                <c:pt idx="16">
                  <c:v>18.862435391166755</c:v>
                </c:pt>
                <c:pt idx="17">
                  <c:v>19.336735110629732</c:v>
                </c:pt>
                <c:pt idx="18">
                  <c:v>19.798509245053275</c:v>
                </c:pt>
                <c:pt idx="19">
                  <c:v>19.983713247815849</c:v>
                </c:pt>
                <c:pt idx="20">
                  <c:v>19.546761864569952</c:v>
                </c:pt>
                <c:pt idx="21">
                  <c:v>19.29729258723173</c:v>
                </c:pt>
                <c:pt idx="22">
                  <c:v>19.236323948642742</c:v>
                </c:pt>
                <c:pt idx="23">
                  <c:v>19.396733706641413</c:v>
                </c:pt>
                <c:pt idx="24">
                  <c:v>19.225808299795276</c:v>
                </c:pt>
                <c:pt idx="25">
                  <c:v>18.998006510875452</c:v>
                </c:pt>
                <c:pt idx="26">
                  <c:v>19.126701313302952</c:v>
                </c:pt>
                <c:pt idx="27">
                  <c:v>19.143687600913683</c:v>
                </c:pt>
                <c:pt idx="28">
                  <c:v>19.278752315560187</c:v>
                </c:pt>
                <c:pt idx="29">
                  <c:v>19.567736319812067</c:v>
                </c:pt>
                <c:pt idx="30">
                  <c:v>19.79649692290948</c:v>
                </c:pt>
                <c:pt idx="31">
                  <c:v>19.685549013719349</c:v>
                </c:pt>
                <c:pt idx="32">
                  <c:v>20.100182199258686</c:v>
                </c:pt>
                <c:pt idx="33">
                  <c:v>19.571618003053871</c:v>
                </c:pt>
                <c:pt idx="34">
                  <c:v>19.606999674504333</c:v>
                </c:pt>
                <c:pt idx="35">
                  <c:v>19.851052220341714</c:v>
                </c:pt>
                <c:pt idx="36">
                  <c:v>19.71135630184714</c:v>
                </c:pt>
                <c:pt idx="37">
                  <c:v>19.518625788628629</c:v>
                </c:pt>
                <c:pt idx="38">
                  <c:v>19.556675522709654</c:v>
                </c:pt>
                <c:pt idx="39">
                  <c:v>19.6480110281944</c:v>
                </c:pt>
                <c:pt idx="40">
                  <c:v>20.190881284449979</c:v>
                </c:pt>
                <c:pt idx="41">
                  <c:v>20.40295049783456</c:v>
                </c:pt>
                <c:pt idx="42">
                  <c:v>20.925936256191402</c:v>
                </c:pt>
                <c:pt idx="43">
                  <c:v>21.14051685877407</c:v>
                </c:pt>
                <c:pt idx="44">
                  <c:v>21.361589808268768</c:v>
                </c:pt>
                <c:pt idx="45">
                  <c:v>21.618055718504138</c:v>
                </c:pt>
                <c:pt idx="46">
                  <c:v>21.883233394984558</c:v>
                </c:pt>
                <c:pt idx="47">
                  <c:v>21.864505717169546</c:v>
                </c:pt>
                <c:pt idx="48">
                  <c:v>22.277398797466386</c:v>
                </c:pt>
                <c:pt idx="49">
                  <c:v>22.137420437164291</c:v>
                </c:pt>
                <c:pt idx="50">
                  <c:v>22.336783478457821</c:v>
                </c:pt>
                <c:pt idx="51">
                  <c:v>22.582978474735039</c:v>
                </c:pt>
                <c:pt idx="52">
                  <c:v>22.893992125298958</c:v>
                </c:pt>
                <c:pt idx="53">
                  <c:v>23.091460344705496</c:v>
                </c:pt>
                <c:pt idx="54">
                  <c:v>23.142717288006509</c:v>
                </c:pt>
                <c:pt idx="55">
                  <c:v>23.40174752493056</c:v>
                </c:pt>
                <c:pt idx="56">
                  <c:v>23.74689432206436</c:v>
                </c:pt>
                <c:pt idx="57">
                  <c:v>23.951338328904004</c:v>
                </c:pt>
                <c:pt idx="58">
                  <c:v>23.643828354233797</c:v>
                </c:pt>
                <c:pt idx="59">
                  <c:v>24.216974158089688</c:v>
                </c:pt>
                <c:pt idx="60">
                  <c:v>24.656306124086459</c:v>
                </c:pt>
                <c:pt idx="61">
                  <c:v>24.492406370293484</c:v>
                </c:pt>
                <c:pt idx="62">
                  <c:v>24.016209585804127</c:v>
                </c:pt>
                <c:pt idx="63">
                  <c:v>24.181318748897272</c:v>
                </c:pt>
                <c:pt idx="64">
                  <c:v>24.043891724884382</c:v>
                </c:pt>
                <c:pt idx="65">
                  <c:v>23.944580254365956</c:v>
                </c:pt>
                <c:pt idx="66">
                  <c:v>24.138713789382482</c:v>
                </c:pt>
                <c:pt idx="67">
                  <c:v>23.763751961332769</c:v>
                </c:pt>
                <c:pt idx="68">
                  <c:v>24.145233150009915</c:v>
                </c:pt>
                <c:pt idx="69">
                  <c:v>24.711102082353886</c:v>
                </c:pt>
                <c:pt idx="70">
                  <c:v>24.924914326207404</c:v>
                </c:pt>
                <c:pt idx="71">
                  <c:v>25.538165548024928</c:v>
                </c:pt>
                <c:pt idx="72">
                  <c:v>25.586220066146836</c:v>
                </c:pt>
                <c:pt idx="73">
                  <c:v>25.715651503078018</c:v>
                </c:pt>
                <c:pt idx="74">
                  <c:v>25.627673844334996</c:v>
                </c:pt>
                <c:pt idx="75">
                  <c:v>25.549571861276242</c:v>
                </c:pt>
                <c:pt idx="76">
                  <c:v>25.985996118037836</c:v>
                </c:pt>
                <c:pt idx="77">
                  <c:v>25.518306734235207</c:v>
                </c:pt>
                <c:pt idx="78">
                  <c:v>26.001516783961332</c:v>
                </c:pt>
                <c:pt idx="79">
                  <c:v>25.844433612013429</c:v>
                </c:pt>
                <c:pt idx="80">
                  <c:v>25.426119091056155</c:v>
                </c:pt>
                <c:pt idx="81">
                  <c:v>25.38785753240057</c:v>
                </c:pt>
                <c:pt idx="82">
                  <c:v>25.086820067799721</c:v>
                </c:pt>
                <c:pt idx="83">
                  <c:v>25.885706320435919</c:v>
                </c:pt>
                <c:pt idx="84">
                  <c:v>25.905434005124206</c:v>
                </c:pt>
                <c:pt idx="85">
                  <c:v>26.911013482788626</c:v>
                </c:pt>
                <c:pt idx="86">
                  <c:v>27.461561243209943</c:v>
                </c:pt>
                <c:pt idx="87">
                  <c:v>28.133962146634872</c:v>
                </c:pt>
                <c:pt idx="88">
                  <c:v>28.064453113170551</c:v>
                </c:pt>
                <c:pt idx="89">
                  <c:v>27.662059265784244</c:v>
                </c:pt>
                <c:pt idx="90">
                  <c:v>27.113270283528646</c:v>
                </c:pt>
                <c:pt idx="91">
                  <c:v>27.037135022544778</c:v>
                </c:pt>
                <c:pt idx="92">
                  <c:v>26.365653033599646</c:v>
                </c:pt>
                <c:pt idx="93">
                  <c:v>26.002900347935977</c:v>
                </c:pt>
                <c:pt idx="94">
                  <c:v>25.875603747828436</c:v>
                </c:pt>
                <c:pt idx="95">
                  <c:v>26.045175873004432</c:v>
                </c:pt>
                <c:pt idx="96">
                  <c:v>25.910492187241029</c:v>
                </c:pt>
                <c:pt idx="97">
                  <c:v>25.5121559080563</c:v>
                </c:pt>
                <c:pt idx="98">
                  <c:v>25.525521281621756</c:v>
                </c:pt>
                <c:pt idx="99">
                  <c:v>26.054821843064101</c:v>
                </c:pt>
                <c:pt idx="100">
                  <c:v>26.393772883942045</c:v>
                </c:pt>
                <c:pt idx="101">
                  <c:v>25.900230910192167</c:v>
                </c:pt>
                <c:pt idx="102">
                  <c:v>26.110942345022547</c:v>
                </c:pt>
                <c:pt idx="103">
                  <c:v>26.438430161117811</c:v>
                </c:pt>
                <c:pt idx="104">
                  <c:v>26.980317570157275</c:v>
                </c:pt>
                <c:pt idx="105">
                  <c:v>27.507985555937829</c:v>
                </c:pt>
                <c:pt idx="106">
                  <c:v>28.27270076670121</c:v>
                </c:pt>
                <c:pt idx="107">
                  <c:v>28.68268052491122</c:v>
                </c:pt>
                <c:pt idx="108">
                  <c:v>29.745525366891002</c:v>
                </c:pt>
                <c:pt idx="109">
                  <c:v>30.146599075785552</c:v>
                </c:pt>
                <c:pt idx="110">
                  <c:v>30.104658395501048</c:v>
                </c:pt>
                <c:pt idx="111">
                  <c:v>30.445713310678002</c:v>
                </c:pt>
                <c:pt idx="112">
                  <c:v>31.162018393340894</c:v>
                </c:pt>
                <c:pt idx="113">
                  <c:v>30.661530467366184</c:v>
                </c:pt>
                <c:pt idx="114">
                  <c:v>30.139634402876723</c:v>
                </c:pt>
                <c:pt idx="115">
                  <c:v>30.235848692122381</c:v>
                </c:pt>
                <c:pt idx="116">
                  <c:v>30.351529755612649</c:v>
                </c:pt>
                <c:pt idx="117">
                  <c:v>30.048615109639076</c:v>
                </c:pt>
                <c:pt idx="118">
                  <c:v>30.380010891113894</c:v>
                </c:pt>
                <c:pt idx="119">
                  <c:v>29.90245558651695</c:v>
                </c:pt>
                <c:pt idx="120">
                  <c:v>29.304735210992337</c:v>
                </c:pt>
                <c:pt idx="121">
                  <c:v>27.918364342690715</c:v>
                </c:pt>
                <c:pt idx="122">
                  <c:v>27.437950612628036</c:v>
                </c:pt>
                <c:pt idx="123">
                  <c:v>26.362972643145476</c:v>
                </c:pt>
                <c:pt idx="124">
                  <c:v>26.135567767734859</c:v>
                </c:pt>
                <c:pt idx="125">
                  <c:v>25.653648945090989</c:v>
                </c:pt>
                <c:pt idx="126">
                  <c:v>24.896839562641283</c:v>
                </c:pt>
                <c:pt idx="127">
                  <c:v>24.530510921037084</c:v>
                </c:pt>
                <c:pt idx="128">
                  <c:v>24.26458183572614</c:v>
                </c:pt>
                <c:pt idx="129">
                  <c:v>23.448640940480146</c:v>
                </c:pt>
                <c:pt idx="130">
                  <c:v>23.115815050634314</c:v>
                </c:pt>
                <c:pt idx="131">
                  <c:v>23.489126256269856</c:v>
                </c:pt>
                <c:pt idx="132">
                  <c:v>23.269012370719601</c:v>
                </c:pt>
                <c:pt idx="133">
                  <c:v>22.425061049527962</c:v>
                </c:pt>
                <c:pt idx="134">
                  <c:v>21.478830100887457</c:v>
                </c:pt>
                <c:pt idx="135">
                  <c:v>21.982265197892993</c:v>
                </c:pt>
                <c:pt idx="136">
                  <c:v>22.05060116551395</c:v>
                </c:pt>
                <c:pt idx="137">
                  <c:v>21.435192440922979</c:v>
                </c:pt>
                <c:pt idx="138">
                  <c:v>20.805863170472616</c:v>
                </c:pt>
                <c:pt idx="139">
                  <c:v>20.885278802811534</c:v>
                </c:pt>
                <c:pt idx="140">
                  <c:v>21.096947614415473</c:v>
                </c:pt>
                <c:pt idx="141">
                  <c:v>20.496648947973306</c:v>
                </c:pt>
                <c:pt idx="142">
                  <c:v>20.554860214027727</c:v>
                </c:pt>
                <c:pt idx="143">
                  <c:v>20.5797608161974</c:v>
                </c:pt>
                <c:pt idx="144">
                  <c:v>20.183543311639717</c:v>
                </c:pt>
                <c:pt idx="145">
                  <c:v>20.842597348232228</c:v>
                </c:pt>
                <c:pt idx="146">
                  <c:v>19.265422032235747</c:v>
                </c:pt>
                <c:pt idx="147">
                  <c:v>19.476242859764948</c:v>
                </c:pt>
                <c:pt idx="148">
                  <c:v>19.25025321398288</c:v>
                </c:pt>
                <c:pt idx="149">
                  <c:v>17.989653895541124</c:v>
                </c:pt>
                <c:pt idx="150">
                  <c:v>19.035827354800738</c:v>
                </c:pt>
                <c:pt idx="151">
                  <c:v>17.948021215015299</c:v>
                </c:pt>
                <c:pt idx="152">
                  <c:v>17.987557545910661</c:v>
                </c:pt>
                <c:pt idx="153">
                  <c:v>17.816180863245446</c:v>
                </c:pt>
                <c:pt idx="154">
                  <c:v>18.463993661438472</c:v>
                </c:pt>
                <c:pt idx="155">
                  <c:v>17.820826462775543</c:v>
                </c:pt>
                <c:pt idx="156">
                  <c:v>18.947439707873048</c:v>
                </c:pt>
                <c:pt idx="157">
                  <c:v>18.5774335758076</c:v>
                </c:pt>
                <c:pt idx="158">
                  <c:v>17.928839886589653</c:v>
                </c:pt>
                <c:pt idx="159">
                  <c:v>18.45903205268349</c:v>
                </c:pt>
                <c:pt idx="160">
                  <c:v>16.978049801613516</c:v>
                </c:pt>
                <c:pt idx="161">
                  <c:v>17.450218599530665</c:v>
                </c:pt>
                <c:pt idx="162">
                  <c:v>17.810740039948712</c:v>
                </c:pt>
                <c:pt idx="163">
                  <c:v>17.145187541401086</c:v>
                </c:pt>
                <c:pt idx="164">
                  <c:v>17.761333713057393</c:v>
                </c:pt>
                <c:pt idx="165">
                  <c:v>17.752577741127716</c:v>
                </c:pt>
                <c:pt idx="166">
                  <c:v>16.46350608358409</c:v>
                </c:pt>
                <c:pt idx="167">
                  <c:v>17.50305684268848</c:v>
                </c:pt>
                <c:pt idx="168">
                  <c:v>18.201462943484479</c:v>
                </c:pt>
                <c:pt idx="169">
                  <c:v>16.7471493155556</c:v>
                </c:pt>
                <c:pt idx="170">
                  <c:v>16.678741482201463</c:v>
                </c:pt>
                <c:pt idx="171">
                  <c:v>16.90907930815959</c:v>
                </c:pt>
                <c:pt idx="172">
                  <c:v>17.164140874420298</c:v>
                </c:pt>
                <c:pt idx="173">
                  <c:v>16.713652006160551</c:v>
                </c:pt>
                <c:pt idx="174">
                  <c:v>17.453691245893353</c:v>
                </c:pt>
                <c:pt idx="175">
                  <c:v>15.774408742526813</c:v>
                </c:pt>
                <c:pt idx="176">
                  <c:v>15.892690647643493</c:v>
                </c:pt>
                <c:pt idx="177">
                  <c:v>16.087883473337062</c:v>
                </c:pt>
                <c:pt idx="178">
                  <c:v>16.049417682857815</c:v>
                </c:pt>
                <c:pt idx="179">
                  <c:v>16.418295617973065</c:v>
                </c:pt>
                <c:pt idx="180">
                  <c:v>16.01480127890791</c:v>
                </c:pt>
                <c:pt idx="181">
                  <c:v>16.17745005771506</c:v>
                </c:pt>
                <c:pt idx="182">
                  <c:v>15.372099367301873</c:v>
                </c:pt>
                <c:pt idx="183">
                  <c:v>16.432592297330263</c:v>
                </c:pt>
                <c:pt idx="184">
                  <c:v>16.146782456196917</c:v>
                </c:pt>
                <c:pt idx="185">
                  <c:v>17.164220197251023</c:v>
                </c:pt>
                <c:pt idx="186">
                  <c:v>15.869412666606497</c:v>
                </c:pt>
                <c:pt idx="187">
                  <c:v>15.453832516665322</c:v>
                </c:pt>
                <c:pt idx="188">
                  <c:v>15.446483643228781</c:v>
                </c:pt>
                <c:pt idx="189">
                  <c:v>15.428807331747961</c:v>
                </c:pt>
                <c:pt idx="190">
                  <c:v>15.756100351456526</c:v>
                </c:pt>
                <c:pt idx="191">
                  <c:v>15.403791707109772</c:v>
                </c:pt>
                <c:pt idx="192">
                  <c:v>15.671028671483089</c:v>
                </c:pt>
                <c:pt idx="193">
                  <c:v>15.915404539589439</c:v>
                </c:pt>
                <c:pt idx="194">
                  <c:v>14.82411674698082</c:v>
                </c:pt>
                <c:pt idx="195">
                  <c:v>15.316203547299246</c:v>
                </c:pt>
                <c:pt idx="196">
                  <c:v>14.320711712972345</c:v>
                </c:pt>
                <c:pt idx="197">
                  <c:v>15.542138348653767</c:v>
                </c:pt>
                <c:pt idx="198">
                  <c:v>14.515745433474269</c:v>
                </c:pt>
                <c:pt idx="199">
                  <c:v>15.519496021901402</c:v>
                </c:pt>
                <c:pt idx="200">
                  <c:v>15.159302419525901</c:v>
                </c:pt>
                <c:pt idx="201">
                  <c:v>16.352980184735046</c:v>
                </c:pt>
                <c:pt idx="202">
                  <c:v>16.042359711154575</c:v>
                </c:pt>
                <c:pt idx="203">
                  <c:v>14.954993067465539</c:v>
                </c:pt>
                <c:pt idx="204">
                  <c:v>16.105712575005516</c:v>
                </c:pt>
                <c:pt idx="205">
                  <c:v>14.555106905558258</c:v>
                </c:pt>
                <c:pt idx="206">
                  <c:v>14.360091722498714</c:v>
                </c:pt>
                <c:pt idx="207">
                  <c:v>14.427247284298106</c:v>
                </c:pt>
                <c:pt idx="208">
                  <c:v>15.837102269223557</c:v>
                </c:pt>
                <c:pt idx="209">
                  <c:v>14.709033000224503</c:v>
                </c:pt>
                <c:pt idx="210">
                  <c:v>15.913919266461306</c:v>
                </c:pt>
                <c:pt idx="211">
                  <c:v>14.8591734910973</c:v>
                </c:pt>
                <c:pt idx="212">
                  <c:v>13.799201529741634</c:v>
                </c:pt>
                <c:pt idx="213">
                  <c:v>15.534201109576051</c:v>
                </c:pt>
                <c:pt idx="214">
                  <c:v>14.544535795885771</c:v>
                </c:pt>
                <c:pt idx="215">
                  <c:v>15.274270762215181</c:v>
                </c:pt>
                <c:pt idx="216">
                  <c:v>15.644647393675726</c:v>
                </c:pt>
                <c:pt idx="217">
                  <c:v>15.475469200485993</c:v>
                </c:pt>
                <c:pt idx="218">
                  <c:v>16.182214756361212</c:v>
                </c:pt>
                <c:pt idx="219">
                  <c:v>15.536297978323754</c:v>
                </c:pt>
                <c:pt idx="220">
                  <c:v>16.046907604576376</c:v>
                </c:pt>
                <c:pt idx="221">
                  <c:v>14.822467215999124</c:v>
                </c:pt>
                <c:pt idx="222">
                  <c:v>16.372252520560682</c:v>
                </c:pt>
                <c:pt idx="223">
                  <c:v>12.955787606674196</c:v>
                </c:pt>
                <c:pt idx="224">
                  <c:v>15.752912077729164</c:v>
                </c:pt>
                <c:pt idx="225">
                  <c:v>13.456831075071996</c:v>
                </c:pt>
                <c:pt idx="226">
                  <c:v>15.819136174661097</c:v>
                </c:pt>
                <c:pt idx="227">
                  <c:v>14.570346947192336</c:v>
                </c:pt>
                <c:pt idx="228">
                  <c:v>16.093586712341335</c:v>
                </c:pt>
                <c:pt idx="229">
                  <c:v>15.914910665762571</c:v>
                </c:pt>
                <c:pt idx="230">
                  <c:v>16.597020547513686</c:v>
                </c:pt>
                <c:pt idx="231">
                  <c:v>14.822979880365239</c:v>
                </c:pt>
                <c:pt idx="232">
                  <c:v>15.044345700993089</c:v>
                </c:pt>
                <c:pt idx="233">
                  <c:v>15.650178538887882</c:v>
                </c:pt>
                <c:pt idx="234">
                  <c:v>15.388835807486389</c:v>
                </c:pt>
                <c:pt idx="235">
                  <c:v>15.746789948074136</c:v>
                </c:pt>
                <c:pt idx="236">
                  <c:v>13.847814778684386</c:v>
                </c:pt>
                <c:pt idx="237">
                  <c:v>13.664849449991323</c:v>
                </c:pt>
                <c:pt idx="238">
                  <c:v>16.576107853502553</c:v>
                </c:pt>
                <c:pt idx="239">
                  <c:v>15.542566107052957</c:v>
                </c:pt>
                <c:pt idx="240">
                  <c:v>12.532253532320169</c:v>
                </c:pt>
                <c:pt idx="241">
                  <c:v>15.58767254340523</c:v>
                </c:pt>
                <c:pt idx="242">
                  <c:v>15.661565602448169</c:v>
                </c:pt>
                <c:pt idx="243">
                  <c:v>13.422542070048749</c:v>
                </c:pt>
                <c:pt idx="244">
                  <c:v>15.054490560549894</c:v>
                </c:pt>
                <c:pt idx="245">
                  <c:v>13.62516278419551</c:v>
                </c:pt>
                <c:pt idx="246">
                  <c:v>18.981897644997282</c:v>
                </c:pt>
                <c:pt idx="247">
                  <c:v>16.289075893608228</c:v>
                </c:pt>
                <c:pt idx="248">
                  <c:v>15.031475726257938</c:v>
                </c:pt>
                <c:pt idx="249">
                  <c:v>13.80117201027381</c:v>
                </c:pt>
                <c:pt idx="250">
                  <c:v>15.239984071112255</c:v>
                </c:pt>
                <c:pt idx="251">
                  <c:v>16.08055387472811</c:v>
                </c:pt>
                <c:pt idx="252">
                  <c:v>15.368813378714341</c:v>
                </c:pt>
                <c:pt idx="253">
                  <c:v>14.782517857310562</c:v>
                </c:pt>
                <c:pt idx="254">
                  <c:v>16.520473474079399</c:v>
                </c:pt>
                <c:pt idx="255">
                  <c:v>15.522356139488746</c:v>
                </c:pt>
                <c:pt idx="256">
                  <c:v>13.865876599589122</c:v>
                </c:pt>
                <c:pt idx="257">
                  <c:v>14.704008347770126</c:v>
                </c:pt>
                <c:pt idx="258">
                  <c:v>16.075098406212518</c:v>
                </c:pt>
                <c:pt idx="259">
                  <c:v>16.40745756528954</c:v>
                </c:pt>
                <c:pt idx="260">
                  <c:v>12.713727459010538</c:v>
                </c:pt>
                <c:pt idx="261">
                  <c:v>12.928025616649219</c:v>
                </c:pt>
                <c:pt idx="262">
                  <c:v>13.94568523079317</c:v>
                </c:pt>
                <c:pt idx="263">
                  <c:v>13.623646836422697</c:v>
                </c:pt>
                <c:pt idx="264">
                  <c:v>14.56699671423346</c:v>
                </c:pt>
                <c:pt idx="265">
                  <c:v>13.562825773487075</c:v>
                </c:pt>
                <c:pt idx="266">
                  <c:v>15.260290828902656</c:v>
                </c:pt>
                <c:pt idx="267">
                  <c:v>16.609650828162714</c:v>
                </c:pt>
                <c:pt idx="268">
                  <c:v>13.903939464455206</c:v>
                </c:pt>
                <c:pt idx="269">
                  <c:v>12.231997552701513</c:v>
                </c:pt>
                <c:pt idx="270">
                  <c:v>14.440763487801734</c:v>
                </c:pt>
                <c:pt idx="271">
                  <c:v>12.13490906944925</c:v>
                </c:pt>
                <c:pt idx="272">
                  <c:v>13.986975089404464</c:v>
                </c:pt>
                <c:pt idx="273">
                  <c:v>16.234833310732554</c:v>
                </c:pt>
                <c:pt idx="274">
                  <c:v>13.202513089042611</c:v>
                </c:pt>
                <c:pt idx="275">
                  <c:v>12.006712086466765</c:v>
                </c:pt>
                <c:pt idx="276">
                  <c:v>15.709961036241438</c:v>
                </c:pt>
                <c:pt idx="277">
                  <c:v>15.632532023893386</c:v>
                </c:pt>
                <c:pt idx="278">
                  <c:v>18.396745578513752</c:v>
                </c:pt>
                <c:pt idx="279">
                  <c:v>18.017899942802408</c:v>
                </c:pt>
                <c:pt idx="280">
                  <c:v>13.389380789562189</c:v>
                </c:pt>
                <c:pt idx="281">
                  <c:v>15.7968852157497</c:v>
                </c:pt>
                <c:pt idx="282">
                  <c:v>19.772832969790166</c:v>
                </c:pt>
                <c:pt idx="283">
                  <c:v>18.055016182145465</c:v>
                </c:pt>
                <c:pt idx="284">
                  <c:v>17.390488152322114</c:v>
                </c:pt>
                <c:pt idx="285">
                  <c:v>14.310595288570138</c:v>
                </c:pt>
                <c:pt idx="286">
                  <c:v>14.809459330567588</c:v>
                </c:pt>
                <c:pt idx="287">
                  <c:v>17.590201737829435</c:v>
                </c:pt>
                <c:pt idx="288">
                  <c:v>18.726634912178909</c:v>
                </c:pt>
                <c:pt idx="289">
                  <c:v>17.717268452690405</c:v>
                </c:pt>
                <c:pt idx="290">
                  <c:v>17.914621056777914</c:v>
                </c:pt>
                <c:pt idx="291">
                  <c:v>23.002822659976264</c:v>
                </c:pt>
                <c:pt idx="292">
                  <c:v>19.887321543681391</c:v>
                </c:pt>
                <c:pt idx="293">
                  <c:v>15.608030277270746</c:v>
                </c:pt>
                <c:pt idx="294">
                  <c:v>17.621090303815802</c:v>
                </c:pt>
                <c:pt idx="295">
                  <c:v>23.908757664530565</c:v>
                </c:pt>
                <c:pt idx="296">
                  <c:v>20.109853430979861</c:v>
                </c:pt>
                <c:pt idx="297">
                  <c:v>17.366781615394832</c:v>
                </c:pt>
                <c:pt idx="298">
                  <c:v>14.713779874307376</c:v>
                </c:pt>
                <c:pt idx="299">
                  <c:v>20.805304933076652</c:v>
                </c:pt>
                <c:pt idx="300">
                  <c:v>25.992450490551246</c:v>
                </c:pt>
                <c:pt idx="301">
                  <c:v>27.481572586588289</c:v>
                </c:pt>
                <c:pt idx="302">
                  <c:v>23.4960934206781</c:v>
                </c:pt>
                <c:pt idx="303">
                  <c:v>22.780832033500698</c:v>
                </c:pt>
                <c:pt idx="304">
                  <c:v>17.249402292780726</c:v>
                </c:pt>
                <c:pt idx="305">
                  <c:v>20.507355603848097</c:v>
                </c:pt>
                <c:pt idx="306">
                  <c:v>28.836045784196319</c:v>
                </c:pt>
                <c:pt idx="307">
                  <c:v>21.083024549895178</c:v>
                </c:pt>
                <c:pt idx="308">
                  <c:v>23.934679232771362</c:v>
                </c:pt>
                <c:pt idx="309">
                  <c:v>21.399526334774777</c:v>
                </c:pt>
                <c:pt idx="310">
                  <c:v>22.186866685557316</c:v>
                </c:pt>
                <c:pt idx="311">
                  <c:v>21.837930449908004</c:v>
                </c:pt>
                <c:pt idx="312">
                  <c:v>29.96408327204313</c:v>
                </c:pt>
                <c:pt idx="313">
                  <c:v>20.53240650037106</c:v>
                </c:pt>
                <c:pt idx="314">
                  <c:v>24.318473887581927</c:v>
                </c:pt>
                <c:pt idx="315">
                  <c:v>22.113653903455223</c:v>
                </c:pt>
                <c:pt idx="316">
                  <c:v>16.722262670994859</c:v>
                </c:pt>
                <c:pt idx="317">
                  <c:v>26.023386848147357</c:v>
                </c:pt>
                <c:pt idx="318">
                  <c:v>28.899843528759096</c:v>
                </c:pt>
                <c:pt idx="319">
                  <c:v>10.474560018180924</c:v>
                </c:pt>
                <c:pt idx="320">
                  <c:v>19.548581731456938</c:v>
                </c:pt>
                <c:pt idx="321">
                  <c:v>19.015573202981308</c:v>
                </c:pt>
                <c:pt idx="322">
                  <c:v>17.216209779615156</c:v>
                </c:pt>
                <c:pt idx="323">
                  <c:v>32.202314579263188</c:v>
                </c:pt>
                <c:pt idx="324">
                  <c:v>26.147679530543865</c:v>
                </c:pt>
                <c:pt idx="325">
                  <c:v>23.265524169336615</c:v>
                </c:pt>
                <c:pt idx="326">
                  <c:v>14.432664778807213</c:v>
                </c:pt>
                <c:pt idx="327">
                  <c:v>25.056225920425625</c:v>
                </c:pt>
                <c:pt idx="328">
                  <c:v>37.602721988060885</c:v>
                </c:pt>
                <c:pt idx="329">
                  <c:v>30.623185732949811</c:v>
                </c:pt>
                <c:pt idx="330">
                  <c:v>61.873491461848218</c:v>
                </c:pt>
                <c:pt idx="331">
                  <c:v>24.020525431106154</c:v>
                </c:pt>
                <c:pt idx="332">
                  <c:v>24.727301649388366</c:v>
                </c:pt>
                <c:pt idx="333">
                  <c:v>27.467155519066555</c:v>
                </c:pt>
                <c:pt idx="334">
                  <c:v>27.035807186169368</c:v>
                </c:pt>
                <c:pt idx="335">
                  <c:v>29.072810400956783</c:v>
                </c:pt>
                <c:pt idx="336">
                  <c:v>29.218374719569653</c:v>
                </c:pt>
                <c:pt idx="337">
                  <c:v>17.462612882329054</c:v>
                </c:pt>
                <c:pt idx="338">
                  <c:v>37.745601538686188</c:v>
                </c:pt>
                <c:pt idx="339">
                  <c:v>22.806089043394952</c:v>
                </c:pt>
                <c:pt idx="340">
                  <c:v>28.529468150666148</c:v>
                </c:pt>
                <c:pt idx="341">
                  <c:v>33.225906336893516</c:v>
                </c:pt>
                <c:pt idx="342">
                  <c:v>31.716811255291677</c:v>
                </c:pt>
                <c:pt idx="343">
                  <c:v>17.08186392054888</c:v>
                </c:pt>
                <c:pt idx="344">
                  <c:v>33.069640001851852</c:v>
                </c:pt>
                <c:pt idx="345">
                  <c:v>32.889891786327595</c:v>
                </c:pt>
                <c:pt idx="346">
                  <c:v>32.143883883951894</c:v>
                </c:pt>
                <c:pt idx="347">
                  <c:v>61.703762608024817</c:v>
                </c:pt>
                <c:pt idx="348">
                  <c:v>43.220609209284774</c:v>
                </c:pt>
                <c:pt idx="349">
                  <c:v>48.410888216424411</c:v>
                </c:pt>
                <c:pt idx="350">
                  <c:v>34.863104966593937</c:v>
                </c:pt>
                <c:pt idx="351">
                  <c:v>99.283344058479912</c:v>
                </c:pt>
                <c:pt idx="352">
                  <c:v>40.348113326704194</c:v>
                </c:pt>
                <c:pt idx="353">
                  <c:v>77.185372874718226</c:v>
                </c:pt>
                <c:pt idx="354">
                  <c:v>81.902159204068298</c:v>
                </c:pt>
                <c:pt idx="355">
                  <c:v>75.256173388613519</c:v>
                </c:pt>
                <c:pt idx="356">
                  <c:v>99.913769845170549</c:v>
                </c:pt>
                <c:pt idx="357">
                  <c:v>50.985974247805466</c:v>
                </c:pt>
                <c:pt idx="358">
                  <c:v>62.80790724690749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'total smm'!$F$1</c:f>
              <c:strCache>
                <c:ptCount val="1"/>
                <c:pt idx="0">
                  <c:v>cpr old</c:v>
                </c:pt>
              </c:strCache>
            </c:strRef>
          </c:tx>
          <c:marker>
            <c:symbol val="none"/>
          </c:marker>
          <c:cat>
            <c:numRef>
              <c:f>'total smm'!$A$2:$A$362</c:f>
              <c:numCache>
                <c:formatCode>General</c:formatCode>
                <c:ptCount val="36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</c:numCache>
            </c:numRef>
          </c:cat>
          <c:val>
            <c:numRef>
              <c:f>'total smm'!$F$2:$F$362</c:f>
              <c:numCache>
                <c:formatCode>General</c:formatCode>
                <c:ptCount val="36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11.03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11.03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19.400000000000002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20.74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21.66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22.88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23.41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24.79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26.22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26.43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30.9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26.88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22.259999999999998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20.169999999999998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18.29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18.170000000000002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17.630000000000003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17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16.350000000000001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15.690000000000001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16.009999999999998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15.47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15.559999999999999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16.11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16.580000000000002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17.84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18.88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19.939999999999998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21.060000000000002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25.15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30.78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8506880"/>
        <c:axId val="598510976"/>
      </c:lineChart>
      <c:catAx>
        <c:axId val="5985068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98510976"/>
        <c:crosses val="autoZero"/>
        <c:auto val="1"/>
        <c:lblAlgn val="ctr"/>
        <c:lblOffset val="100"/>
        <c:noMultiLvlLbl val="0"/>
      </c:catAx>
      <c:valAx>
        <c:axId val="5985109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9850688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[Curtailment Model Update.xlsx]total smm!PivotTable10</c:name>
    <c:fmtId val="0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'total smm'!$Z$3</c:f>
              <c:strCache>
                <c:ptCount val="1"/>
                <c:pt idx="0">
                  <c:v>Total</c:v>
                </c:pt>
              </c:strCache>
            </c:strRef>
          </c:tx>
          <c:marker>
            <c:symbol val="none"/>
          </c:marker>
          <c:cat>
            <c:strRef>
              <c:f>'total smm'!$Y$4:$Y$363</c:f>
              <c:strCache>
                <c:ptCount val="35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</c:strCache>
            </c:strRef>
          </c:cat>
          <c:val>
            <c:numRef>
              <c:f>'total smm'!$Z$4:$Z$363</c:f>
              <c:numCache>
                <c:formatCode>General</c:formatCode>
                <c:ptCount val="359"/>
                <c:pt idx="0">
                  <c:v>1.9651590677712716</c:v>
                </c:pt>
                <c:pt idx="1">
                  <c:v>3.8130202043245354</c:v>
                </c:pt>
                <c:pt idx="2">
                  <c:v>5.2368916395914571</c:v>
                </c:pt>
                <c:pt idx="3">
                  <c:v>7.6435036731343775</c:v>
                </c:pt>
                <c:pt idx="4">
                  <c:v>10.247854855906358</c:v>
                </c:pt>
                <c:pt idx="5">
                  <c:v>11.590554256077045</c:v>
                </c:pt>
                <c:pt idx="6">
                  <c:v>12.610817194464108</c:v>
                </c:pt>
                <c:pt idx="7">
                  <c:v>13.475697357132466</c:v>
                </c:pt>
                <c:pt idx="8">
                  <c:v>13.79222659578061</c:v>
                </c:pt>
                <c:pt idx="9">
                  <c:v>14.465669832615113</c:v>
                </c:pt>
                <c:pt idx="10">
                  <c:v>15.603703570882399</c:v>
                </c:pt>
                <c:pt idx="11">
                  <c:v>16.283899290342685</c:v>
                </c:pt>
                <c:pt idx="12">
                  <c:v>17.172065265052606</c:v>
                </c:pt>
                <c:pt idx="13">
                  <c:v>17.52711077511989</c:v>
                </c:pt>
                <c:pt idx="14">
                  <c:v>18.101255750626887</c:v>
                </c:pt>
                <c:pt idx="15">
                  <c:v>18.596162458712417</c:v>
                </c:pt>
                <c:pt idx="16">
                  <c:v>19.070411155952925</c:v>
                </c:pt>
                <c:pt idx="17">
                  <c:v>19.55224016379432</c:v>
                </c:pt>
                <c:pt idx="18">
                  <c:v>20.034865343645279</c:v>
                </c:pt>
                <c:pt idx="19">
                  <c:v>20.241571423618442</c:v>
                </c:pt>
                <c:pt idx="20">
                  <c:v>19.793282191516305</c:v>
                </c:pt>
                <c:pt idx="21">
                  <c:v>19.546914131947858</c:v>
                </c:pt>
                <c:pt idx="22">
                  <c:v>19.491952865206873</c:v>
                </c:pt>
                <c:pt idx="23">
                  <c:v>19.646226436431601</c:v>
                </c:pt>
                <c:pt idx="24">
                  <c:v>19.459957737296996</c:v>
                </c:pt>
                <c:pt idx="25">
                  <c:v>19.241805537715607</c:v>
                </c:pt>
                <c:pt idx="26">
                  <c:v>19.386140553174702</c:v>
                </c:pt>
                <c:pt idx="27">
                  <c:v>19.401789277064829</c:v>
                </c:pt>
                <c:pt idx="28">
                  <c:v>19.52306693948378</c:v>
                </c:pt>
                <c:pt idx="29">
                  <c:v>19.84509409084292</c:v>
                </c:pt>
                <c:pt idx="30">
                  <c:v>20.077985985291424</c:v>
                </c:pt>
                <c:pt idx="31">
                  <c:v>19.986143799445834</c:v>
                </c:pt>
                <c:pt idx="32">
                  <c:v>20.393061127909018</c:v>
                </c:pt>
                <c:pt idx="33">
                  <c:v>19.860389127735623</c:v>
                </c:pt>
                <c:pt idx="34">
                  <c:v>19.889533083076106</c:v>
                </c:pt>
                <c:pt idx="35">
                  <c:v>20.094961228298423</c:v>
                </c:pt>
                <c:pt idx="36">
                  <c:v>19.974087154815233</c:v>
                </c:pt>
                <c:pt idx="37">
                  <c:v>19.759814753737281</c:v>
                </c:pt>
                <c:pt idx="38">
                  <c:v>19.776029757378055</c:v>
                </c:pt>
                <c:pt idx="39">
                  <c:v>19.90543485947509</c:v>
                </c:pt>
                <c:pt idx="40">
                  <c:v>20.438880186596332</c:v>
                </c:pt>
                <c:pt idx="41">
                  <c:v>20.637981601200206</c:v>
                </c:pt>
                <c:pt idx="42">
                  <c:v>21.158892421456265</c:v>
                </c:pt>
                <c:pt idx="43">
                  <c:v>21.337326924893883</c:v>
                </c:pt>
                <c:pt idx="44">
                  <c:v>21.554352762783623</c:v>
                </c:pt>
                <c:pt idx="45">
                  <c:v>21.813304905745401</c:v>
                </c:pt>
                <c:pt idx="46">
                  <c:v>22.029074173546004</c:v>
                </c:pt>
                <c:pt idx="47">
                  <c:v>21.982883130544938</c:v>
                </c:pt>
                <c:pt idx="48">
                  <c:v>22.372844701081096</c:v>
                </c:pt>
                <c:pt idx="49">
                  <c:v>22.253820614062381</c:v>
                </c:pt>
                <c:pt idx="50">
                  <c:v>22.37456017859687</c:v>
                </c:pt>
                <c:pt idx="51">
                  <c:v>22.665121742344454</c:v>
                </c:pt>
                <c:pt idx="52">
                  <c:v>22.933316243910074</c:v>
                </c:pt>
                <c:pt idx="53">
                  <c:v>23.116231131545895</c:v>
                </c:pt>
                <c:pt idx="54">
                  <c:v>23.181122168055911</c:v>
                </c:pt>
                <c:pt idx="55">
                  <c:v>23.399325504641986</c:v>
                </c:pt>
                <c:pt idx="56">
                  <c:v>23.795505401047123</c:v>
                </c:pt>
                <c:pt idx="57">
                  <c:v>23.982672459590614</c:v>
                </c:pt>
                <c:pt idx="58">
                  <c:v>23.660702039485471</c:v>
                </c:pt>
                <c:pt idx="59">
                  <c:v>24.250249307117677</c:v>
                </c:pt>
                <c:pt idx="60">
                  <c:v>24.682443972372859</c:v>
                </c:pt>
                <c:pt idx="61">
                  <c:v>24.501197059761282</c:v>
                </c:pt>
                <c:pt idx="62">
                  <c:v>24.029644754779667</c:v>
                </c:pt>
                <c:pt idx="63">
                  <c:v>24.181776943538104</c:v>
                </c:pt>
                <c:pt idx="64">
                  <c:v>24.059198154200523</c:v>
                </c:pt>
                <c:pt idx="65">
                  <c:v>23.93647601062716</c:v>
                </c:pt>
                <c:pt idx="66">
                  <c:v>24.145015385622127</c:v>
                </c:pt>
                <c:pt idx="67">
                  <c:v>23.758615562142658</c:v>
                </c:pt>
                <c:pt idx="68">
                  <c:v>24.132036229747868</c:v>
                </c:pt>
                <c:pt idx="69">
                  <c:v>24.696680258061988</c:v>
                </c:pt>
                <c:pt idx="70">
                  <c:v>24.915631372258495</c:v>
                </c:pt>
                <c:pt idx="71">
                  <c:v>25.542905387840587</c:v>
                </c:pt>
                <c:pt idx="72">
                  <c:v>25.581835860690695</c:v>
                </c:pt>
                <c:pt idx="73">
                  <c:v>25.703855535164365</c:v>
                </c:pt>
                <c:pt idx="74">
                  <c:v>25.64122437346348</c:v>
                </c:pt>
                <c:pt idx="75">
                  <c:v>25.555403831642</c:v>
                </c:pt>
                <c:pt idx="76">
                  <c:v>25.992641428383202</c:v>
                </c:pt>
                <c:pt idx="77">
                  <c:v>25.518627954118234</c:v>
                </c:pt>
                <c:pt idx="78">
                  <c:v>25.990479072139074</c:v>
                </c:pt>
                <c:pt idx="79">
                  <c:v>25.844099137998221</c:v>
                </c:pt>
                <c:pt idx="80">
                  <c:v>25.41878229425053</c:v>
                </c:pt>
                <c:pt idx="81">
                  <c:v>25.388986864593409</c:v>
                </c:pt>
                <c:pt idx="82">
                  <c:v>25.085298971568115</c:v>
                </c:pt>
                <c:pt idx="83">
                  <c:v>25.882451879725</c:v>
                </c:pt>
                <c:pt idx="84">
                  <c:v>25.901617532312173</c:v>
                </c:pt>
                <c:pt idx="85">
                  <c:v>26.911901182087561</c:v>
                </c:pt>
                <c:pt idx="86">
                  <c:v>27.462494916285962</c:v>
                </c:pt>
                <c:pt idx="87">
                  <c:v>28.134939275700045</c:v>
                </c:pt>
                <c:pt idx="88">
                  <c:v>28.065481258164915</c:v>
                </c:pt>
                <c:pt idx="89">
                  <c:v>27.663116178667259</c:v>
                </c:pt>
                <c:pt idx="90">
                  <c:v>27.114350920712049</c:v>
                </c:pt>
                <c:pt idx="91">
                  <c:v>27.038259591685389</c:v>
                </c:pt>
                <c:pt idx="92">
                  <c:v>26.36678169634914</c:v>
                </c:pt>
                <c:pt idx="93">
                  <c:v>26.004058131633478</c:v>
                </c:pt>
                <c:pt idx="94">
                  <c:v>25.876793539198939</c:v>
                </c:pt>
                <c:pt idx="95">
                  <c:v>26.046392994131939</c:v>
                </c:pt>
                <c:pt idx="96">
                  <c:v>25.911734579933466</c:v>
                </c:pt>
                <c:pt idx="97">
                  <c:v>25.512883869557601</c:v>
                </c:pt>
                <c:pt idx="98">
                  <c:v>25.526230622949207</c:v>
                </c:pt>
                <c:pt idx="99">
                  <c:v>26.053625187607597</c:v>
                </c:pt>
                <c:pt idx="100">
                  <c:v>26.394128477585554</c:v>
                </c:pt>
                <c:pt idx="101">
                  <c:v>25.900591846459776</c:v>
                </c:pt>
                <c:pt idx="102">
                  <c:v>26.111315462833385</c:v>
                </c:pt>
                <c:pt idx="103">
                  <c:v>26.43881946547214</c:v>
                </c:pt>
                <c:pt idx="104">
                  <c:v>26.980728479624304</c:v>
                </c:pt>
                <c:pt idx="105">
                  <c:v>27.508415519656115</c:v>
                </c:pt>
                <c:pt idx="106">
                  <c:v>28.273156573772141</c:v>
                </c:pt>
                <c:pt idx="107">
                  <c:v>28.683161172309603</c:v>
                </c:pt>
                <c:pt idx="108">
                  <c:v>29.746028300398397</c:v>
                </c:pt>
                <c:pt idx="109">
                  <c:v>30.147122602000621</c:v>
                </c:pt>
                <c:pt idx="110">
                  <c:v>30.105201629387512</c:v>
                </c:pt>
                <c:pt idx="111">
                  <c:v>30.446272065262924</c:v>
                </c:pt>
                <c:pt idx="112">
                  <c:v>31.162615236363045</c:v>
                </c:pt>
                <c:pt idx="113">
                  <c:v>30.658329358121716</c:v>
                </c:pt>
                <c:pt idx="114">
                  <c:v>30.141336348629178</c:v>
                </c:pt>
                <c:pt idx="115">
                  <c:v>30.237621099727019</c:v>
                </c:pt>
                <c:pt idx="116">
                  <c:v>30.353378589389322</c:v>
                </c:pt>
                <c:pt idx="117">
                  <c:v>30.049384636960607</c:v>
                </c:pt>
                <c:pt idx="118">
                  <c:v>30.379817292293431</c:v>
                </c:pt>
                <c:pt idx="119">
                  <c:v>29.904397485260926</c:v>
                </c:pt>
                <c:pt idx="120">
                  <c:v>29.305978270135803</c:v>
                </c:pt>
                <c:pt idx="121">
                  <c:v>27.920321929898218</c:v>
                </c:pt>
                <c:pt idx="122">
                  <c:v>27.43768954784256</c:v>
                </c:pt>
                <c:pt idx="123">
                  <c:v>26.364911037545014</c:v>
                </c:pt>
                <c:pt idx="124">
                  <c:v>26.137552138285656</c:v>
                </c:pt>
                <c:pt idx="125">
                  <c:v>25.655657311608504</c:v>
                </c:pt>
                <c:pt idx="126">
                  <c:v>24.898850070528788</c:v>
                </c:pt>
                <c:pt idx="127">
                  <c:v>24.532660534888294</c:v>
                </c:pt>
                <c:pt idx="128">
                  <c:v>24.266677667240643</c:v>
                </c:pt>
                <c:pt idx="129">
                  <c:v>23.444139929205367</c:v>
                </c:pt>
                <c:pt idx="130">
                  <c:v>23.112942311966655</c:v>
                </c:pt>
                <c:pt idx="131">
                  <c:v>23.491109191035562</c:v>
                </c:pt>
                <c:pt idx="132">
                  <c:v>23.271046628008683</c:v>
                </c:pt>
                <c:pt idx="133">
                  <c:v>22.42651266348815</c:v>
                </c:pt>
                <c:pt idx="134">
                  <c:v>21.480226057482287</c:v>
                </c:pt>
                <c:pt idx="135">
                  <c:v>21.981639875887961</c:v>
                </c:pt>
                <c:pt idx="136">
                  <c:v>22.052147851584149</c:v>
                </c:pt>
                <c:pt idx="137">
                  <c:v>21.436734207189357</c:v>
                </c:pt>
                <c:pt idx="138">
                  <c:v>20.807430260934122</c:v>
                </c:pt>
                <c:pt idx="139">
                  <c:v>20.886853274168928</c:v>
                </c:pt>
                <c:pt idx="140">
                  <c:v>21.098637706598044</c:v>
                </c:pt>
                <c:pt idx="141">
                  <c:v>20.498329532189217</c:v>
                </c:pt>
                <c:pt idx="142">
                  <c:v>20.556625578927324</c:v>
                </c:pt>
                <c:pt idx="143">
                  <c:v>20.579001667706741</c:v>
                </c:pt>
                <c:pt idx="144">
                  <c:v>20.185337009825833</c:v>
                </c:pt>
                <c:pt idx="145">
                  <c:v>20.844492841001493</c:v>
                </c:pt>
                <c:pt idx="146">
                  <c:v>19.267233778044879</c:v>
                </c:pt>
                <c:pt idx="147">
                  <c:v>19.475496573080299</c:v>
                </c:pt>
                <c:pt idx="148">
                  <c:v>19.25025321398288</c:v>
                </c:pt>
                <c:pt idx="149">
                  <c:v>17.989653895541124</c:v>
                </c:pt>
                <c:pt idx="150">
                  <c:v>19.035827354800738</c:v>
                </c:pt>
                <c:pt idx="151">
                  <c:v>17.948021215015299</c:v>
                </c:pt>
                <c:pt idx="152">
                  <c:v>17.987557545910661</c:v>
                </c:pt>
                <c:pt idx="153">
                  <c:v>17.816180863245446</c:v>
                </c:pt>
                <c:pt idx="154">
                  <c:v>18.463993661438472</c:v>
                </c:pt>
                <c:pt idx="155">
                  <c:v>17.820826462775543</c:v>
                </c:pt>
                <c:pt idx="156">
                  <c:v>18.947439707873048</c:v>
                </c:pt>
                <c:pt idx="157">
                  <c:v>18.5774335758076</c:v>
                </c:pt>
                <c:pt idx="158">
                  <c:v>17.928839886589653</c:v>
                </c:pt>
                <c:pt idx="159">
                  <c:v>18.459295070647897</c:v>
                </c:pt>
                <c:pt idx="160">
                  <c:v>16.978049801613516</c:v>
                </c:pt>
                <c:pt idx="161">
                  <c:v>17.450218599530665</c:v>
                </c:pt>
                <c:pt idx="162">
                  <c:v>17.810740039948712</c:v>
                </c:pt>
                <c:pt idx="163">
                  <c:v>17.145187541401086</c:v>
                </c:pt>
                <c:pt idx="164">
                  <c:v>17.761333713057393</c:v>
                </c:pt>
                <c:pt idx="165">
                  <c:v>17.752577741127716</c:v>
                </c:pt>
                <c:pt idx="166">
                  <c:v>16.46350608358409</c:v>
                </c:pt>
                <c:pt idx="167">
                  <c:v>17.50305684268848</c:v>
                </c:pt>
                <c:pt idx="168">
                  <c:v>18.201462943484479</c:v>
                </c:pt>
                <c:pt idx="169">
                  <c:v>16.7471493155556</c:v>
                </c:pt>
                <c:pt idx="170">
                  <c:v>16.678741482201463</c:v>
                </c:pt>
                <c:pt idx="171">
                  <c:v>16.90907930815959</c:v>
                </c:pt>
                <c:pt idx="172">
                  <c:v>17.164140874420298</c:v>
                </c:pt>
                <c:pt idx="173">
                  <c:v>16.713652006160551</c:v>
                </c:pt>
                <c:pt idx="174">
                  <c:v>17.453691245893353</c:v>
                </c:pt>
                <c:pt idx="175">
                  <c:v>15.774408742526813</c:v>
                </c:pt>
                <c:pt idx="176">
                  <c:v>15.892690647643493</c:v>
                </c:pt>
                <c:pt idx="177">
                  <c:v>16.087883473337062</c:v>
                </c:pt>
                <c:pt idx="178">
                  <c:v>16.049417682857815</c:v>
                </c:pt>
                <c:pt idx="179">
                  <c:v>16.418295617973065</c:v>
                </c:pt>
                <c:pt idx="180">
                  <c:v>16.01480127890791</c:v>
                </c:pt>
                <c:pt idx="181">
                  <c:v>16.17745005771506</c:v>
                </c:pt>
                <c:pt idx="182">
                  <c:v>15.374289407146623</c:v>
                </c:pt>
                <c:pt idx="183">
                  <c:v>16.432592297330263</c:v>
                </c:pt>
                <c:pt idx="184">
                  <c:v>16.147462697558268</c:v>
                </c:pt>
                <c:pt idx="185">
                  <c:v>17.164220197251023</c:v>
                </c:pt>
                <c:pt idx="186">
                  <c:v>15.869412666606497</c:v>
                </c:pt>
                <c:pt idx="187">
                  <c:v>15.453832516665322</c:v>
                </c:pt>
                <c:pt idx="188">
                  <c:v>15.446483643228781</c:v>
                </c:pt>
                <c:pt idx="189">
                  <c:v>15.428807331747961</c:v>
                </c:pt>
                <c:pt idx="190">
                  <c:v>15.756100351456526</c:v>
                </c:pt>
                <c:pt idx="191">
                  <c:v>15.403791707109772</c:v>
                </c:pt>
                <c:pt idx="192">
                  <c:v>15.671028671483089</c:v>
                </c:pt>
                <c:pt idx="193">
                  <c:v>15.915404539589439</c:v>
                </c:pt>
                <c:pt idx="194">
                  <c:v>14.82411674698082</c:v>
                </c:pt>
                <c:pt idx="195">
                  <c:v>15.316203547299246</c:v>
                </c:pt>
                <c:pt idx="196">
                  <c:v>14.320711712972345</c:v>
                </c:pt>
                <c:pt idx="197">
                  <c:v>15.542138348653767</c:v>
                </c:pt>
                <c:pt idx="198">
                  <c:v>14.515745433474269</c:v>
                </c:pt>
                <c:pt idx="199">
                  <c:v>15.519496021901402</c:v>
                </c:pt>
                <c:pt idx="200">
                  <c:v>15.159302419525901</c:v>
                </c:pt>
                <c:pt idx="201">
                  <c:v>16.352980184735046</c:v>
                </c:pt>
                <c:pt idx="202">
                  <c:v>16.042359711154575</c:v>
                </c:pt>
                <c:pt idx="203">
                  <c:v>14.954993067465539</c:v>
                </c:pt>
                <c:pt idx="204">
                  <c:v>16.105712575005516</c:v>
                </c:pt>
                <c:pt idx="205">
                  <c:v>14.555106905558258</c:v>
                </c:pt>
                <c:pt idx="206">
                  <c:v>14.360091722498714</c:v>
                </c:pt>
                <c:pt idx="207">
                  <c:v>14.427247284298106</c:v>
                </c:pt>
                <c:pt idx="208">
                  <c:v>15.837102269223557</c:v>
                </c:pt>
                <c:pt idx="209">
                  <c:v>14.709033000224503</c:v>
                </c:pt>
                <c:pt idx="210">
                  <c:v>15.913919266461306</c:v>
                </c:pt>
                <c:pt idx="211">
                  <c:v>14.8591734910973</c:v>
                </c:pt>
                <c:pt idx="212">
                  <c:v>13.799201529741634</c:v>
                </c:pt>
                <c:pt idx="213">
                  <c:v>15.534201109576051</c:v>
                </c:pt>
                <c:pt idx="214">
                  <c:v>14.544535795885771</c:v>
                </c:pt>
                <c:pt idx="215">
                  <c:v>15.274270762215181</c:v>
                </c:pt>
                <c:pt idx="216">
                  <c:v>15.644647393675726</c:v>
                </c:pt>
                <c:pt idx="217">
                  <c:v>15.475469200485993</c:v>
                </c:pt>
                <c:pt idx="218">
                  <c:v>16.182214756361212</c:v>
                </c:pt>
                <c:pt idx="219">
                  <c:v>15.541298483455623</c:v>
                </c:pt>
                <c:pt idx="220">
                  <c:v>16.046907604576376</c:v>
                </c:pt>
                <c:pt idx="221">
                  <c:v>14.822467215999124</c:v>
                </c:pt>
                <c:pt idx="222">
                  <c:v>16.372252520560682</c:v>
                </c:pt>
                <c:pt idx="223">
                  <c:v>12.955787606674196</c:v>
                </c:pt>
                <c:pt idx="224">
                  <c:v>15.752912077729164</c:v>
                </c:pt>
                <c:pt idx="225">
                  <c:v>13.456831075071996</c:v>
                </c:pt>
                <c:pt idx="226">
                  <c:v>15.819136174661097</c:v>
                </c:pt>
                <c:pt idx="227">
                  <c:v>14.570346947192336</c:v>
                </c:pt>
                <c:pt idx="228">
                  <c:v>16.093586712341335</c:v>
                </c:pt>
                <c:pt idx="229">
                  <c:v>15.914910665762571</c:v>
                </c:pt>
                <c:pt idx="230">
                  <c:v>16.597020547513686</c:v>
                </c:pt>
                <c:pt idx="231">
                  <c:v>14.822979880365239</c:v>
                </c:pt>
                <c:pt idx="232">
                  <c:v>15.044345700993089</c:v>
                </c:pt>
                <c:pt idx="233">
                  <c:v>15.650178538887882</c:v>
                </c:pt>
                <c:pt idx="234">
                  <c:v>15.388835807486389</c:v>
                </c:pt>
                <c:pt idx="235">
                  <c:v>15.746789948074136</c:v>
                </c:pt>
                <c:pt idx="236">
                  <c:v>13.847814778684386</c:v>
                </c:pt>
                <c:pt idx="237">
                  <c:v>13.664849449991323</c:v>
                </c:pt>
                <c:pt idx="238">
                  <c:v>16.576107853502553</c:v>
                </c:pt>
                <c:pt idx="239">
                  <c:v>15.542566107052957</c:v>
                </c:pt>
                <c:pt idx="240">
                  <c:v>12.532253532320169</c:v>
                </c:pt>
                <c:pt idx="241">
                  <c:v>15.58767254340523</c:v>
                </c:pt>
                <c:pt idx="242">
                  <c:v>15.661565602448169</c:v>
                </c:pt>
                <c:pt idx="243">
                  <c:v>13.422542070048749</c:v>
                </c:pt>
                <c:pt idx="244">
                  <c:v>15.054490560549894</c:v>
                </c:pt>
                <c:pt idx="245">
                  <c:v>13.62516278419551</c:v>
                </c:pt>
                <c:pt idx="246">
                  <c:v>18.981897644997282</c:v>
                </c:pt>
                <c:pt idx="247">
                  <c:v>16.289075893608228</c:v>
                </c:pt>
                <c:pt idx="248">
                  <c:v>15.031475726257938</c:v>
                </c:pt>
                <c:pt idx="249">
                  <c:v>13.80117201027381</c:v>
                </c:pt>
                <c:pt idx="250">
                  <c:v>15.239984071112255</c:v>
                </c:pt>
                <c:pt idx="251">
                  <c:v>16.08055387472811</c:v>
                </c:pt>
                <c:pt idx="252">
                  <c:v>15.368813378714341</c:v>
                </c:pt>
                <c:pt idx="253">
                  <c:v>14.782517857310562</c:v>
                </c:pt>
                <c:pt idx="254">
                  <c:v>16.520473474079399</c:v>
                </c:pt>
                <c:pt idx="255">
                  <c:v>15.522356139488746</c:v>
                </c:pt>
                <c:pt idx="256">
                  <c:v>13.865876599589122</c:v>
                </c:pt>
                <c:pt idx="257">
                  <c:v>14.704008347770126</c:v>
                </c:pt>
                <c:pt idx="258">
                  <c:v>16.075098406212518</c:v>
                </c:pt>
                <c:pt idx="259">
                  <c:v>16.40745756528954</c:v>
                </c:pt>
                <c:pt idx="260">
                  <c:v>12.713727459010538</c:v>
                </c:pt>
                <c:pt idx="261">
                  <c:v>12.928025616649219</c:v>
                </c:pt>
                <c:pt idx="262">
                  <c:v>13.94568523079317</c:v>
                </c:pt>
                <c:pt idx="263">
                  <c:v>13.623646836422697</c:v>
                </c:pt>
                <c:pt idx="264">
                  <c:v>14.56699671423346</c:v>
                </c:pt>
                <c:pt idx="265">
                  <c:v>13.562825773487075</c:v>
                </c:pt>
                <c:pt idx="266">
                  <c:v>15.260290828902656</c:v>
                </c:pt>
                <c:pt idx="267">
                  <c:v>16.609650828162714</c:v>
                </c:pt>
                <c:pt idx="268">
                  <c:v>13.903939464455206</c:v>
                </c:pt>
                <c:pt idx="269">
                  <c:v>12.231997552701513</c:v>
                </c:pt>
                <c:pt idx="270">
                  <c:v>14.440763487801734</c:v>
                </c:pt>
                <c:pt idx="271">
                  <c:v>12.13490906944925</c:v>
                </c:pt>
                <c:pt idx="272">
                  <c:v>13.986975089404464</c:v>
                </c:pt>
                <c:pt idx="273">
                  <c:v>16.234833310732554</c:v>
                </c:pt>
                <c:pt idx="274">
                  <c:v>13.202513089042611</c:v>
                </c:pt>
                <c:pt idx="275">
                  <c:v>12.006712086466765</c:v>
                </c:pt>
                <c:pt idx="276">
                  <c:v>15.709961036241438</c:v>
                </c:pt>
                <c:pt idx="277">
                  <c:v>15.632532023893386</c:v>
                </c:pt>
                <c:pt idx="278">
                  <c:v>18.396745578513752</c:v>
                </c:pt>
                <c:pt idx="279">
                  <c:v>18.017899942802408</c:v>
                </c:pt>
                <c:pt idx="280">
                  <c:v>13.389380789562189</c:v>
                </c:pt>
                <c:pt idx="281">
                  <c:v>15.7968852157497</c:v>
                </c:pt>
                <c:pt idx="282">
                  <c:v>19.772832969790166</c:v>
                </c:pt>
                <c:pt idx="283">
                  <c:v>18.055016182145465</c:v>
                </c:pt>
                <c:pt idx="284">
                  <c:v>17.390488152322114</c:v>
                </c:pt>
                <c:pt idx="285">
                  <c:v>14.310595288570138</c:v>
                </c:pt>
                <c:pt idx="286">
                  <c:v>14.809459330567588</c:v>
                </c:pt>
                <c:pt idx="287">
                  <c:v>17.590201737829435</c:v>
                </c:pt>
                <c:pt idx="288">
                  <c:v>18.726634912178909</c:v>
                </c:pt>
                <c:pt idx="289">
                  <c:v>17.717268452690405</c:v>
                </c:pt>
                <c:pt idx="290">
                  <c:v>17.914621056777914</c:v>
                </c:pt>
                <c:pt idx="291">
                  <c:v>23.002822659976264</c:v>
                </c:pt>
                <c:pt idx="292">
                  <c:v>19.887321543681391</c:v>
                </c:pt>
                <c:pt idx="293">
                  <c:v>15.608030277270746</c:v>
                </c:pt>
                <c:pt idx="294">
                  <c:v>17.621090303815802</c:v>
                </c:pt>
                <c:pt idx="295">
                  <c:v>23.908757664530565</c:v>
                </c:pt>
                <c:pt idx="296">
                  <c:v>20.109853430979861</c:v>
                </c:pt>
                <c:pt idx="297">
                  <c:v>17.366781615394832</c:v>
                </c:pt>
                <c:pt idx="298">
                  <c:v>14.713779874307376</c:v>
                </c:pt>
                <c:pt idx="299">
                  <c:v>20.805304933076652</c:v>
                </c:pt>
                <c:pt idx="300">
                  <c:v>25.992450490551246</c:v>
                </c:pt>
                <c:pt idx="301">
                  <c:v>27.481572586588289</c:v>
                </c:pt>
                <c:pt idx="302">
                  <c:v>23.4960934206781</c:v>
                </c:pt>
                <c:pt idx="303">
                  <c:v>22.780832033500698</c:v>
                </c:pt>
                <c:pt idx="304">
                  <c:v>17.249402292780726</c:v>
                </c:pt>
                <c:pt idx="305">
                  <c:v>20.507355603848097</c:v>
                </c:pt>
                <c:pt idx="306">
                  <c:v>28.836045784196319</c:v>
                </c:pt>
                <c:pt idx="307">
                  <c:v>21.083024549895178</c:v>
                </c:pt>
                <c:pt idx="308">
                  <c:v>23.934679232771362</c:v>
                </c:pt>
                <c:pt idx="309">
                  <c:v>21.399526334774777</c:v>
                </c:pt>
                <c:pt idx="310">
                  <c:v>22.186866685557316</c:v>
                </c:pt>
                <c:pt idx="311">
                  <c:v>21.837930449908004</c:v>
                </c:pt>
                <c:pt idx="312">
                  <c:v>29.96408327204313</c:v>
                </c:pt>
                <c:pt idx="313">
                  <c:v>20.53240650037106</c:v>
                </c:pt>
                <c:pt idx="314">
                  <c:v>24.318473887581927</c:v>
                </c:pt>
                <c:pt idx="315">
                  <c:v>22.113653903455223</c:v>
                </c:pt>
                <c:pt idx="316">
                  <c:v>16.722262670994859</c:v>
                </c:pt>
                <c:pt idx="317">
                  <c:v>26.023386848147357</c:v>
                </c:pt>
                <c:pt idx="318">
                  <c:v>28.899843528759096</c:v>
                </c:pt>
                <c:pt idx="319">
                  <c:v>10.474560018180924</c:v>
                </c:pt>
                <c:pt idx="320">
                  <c:v>19.548581731456938</c:v>
                </c:pt>
                <c:pt idx="321">
                  <c:v>19.015573202981308</c:v>
                </c:pt>
                <c:pt idx="322">
                  <c:v>17.216209779615156</c:v>
                </c:pt>
                <c:pt idx="323">
                  <c:v>32.202314579263188</c:v>
                </c:pt>
                <c:pt idx="324">
                  <c:v>26.147679530543865</c:v>
                </c:pt>
                <c:pt idx="325">
                  <c:v>23.265524169336615</c:v>
                </c:pt>
                <c:pt idx="326">
                  <c:v>14.432664778807213</c:v>
                </c:pt>
                <c:pt idx="327">
                  <c:v>25.056225920425625</c:v>
                </c:pt>
                <c:pt idx="328">
                  <c:v>37.602721988060885</c:v>
                </c:pt>
                <c:pt idx="329">
                  <c:v>30.623185732949811</c:v>
                </c:pt>
                <c:pt idx="330">
                  <c:v>61.873491461848218</c:v>
                </c:pt>
                <c:pt idx="331">
                  <c:v>24.020525431106154</c:v>
                </c:pt>
                <c:pt idx="332">
                  <c:v>24.727301649388366</c:v>
                </c:pt>
                <c:pt idx="333">
                  <c:v>27.467155519066555</c:v>
                </c:pt>
                <c:pt idx="334">
                  <c:v>27.035807186169368</c:v>
                </c:pt>
                <c:pt idx="335">
                  <c:v>29.072810400956783</c:v>
                </c:pt>
                <c:pt idx="336">
                  <c:v>29.218374719569653</c:v>
                </c:pt>
                <c:pt idx="337">
                  <c:v>17.462612882329054</c:v>
                </c:pt>
                <c:pt idx="338">
                  <c:v>37.745601538686188</c:v>
                </c:pt>
                <c:pt idx="339">
                  <c:v>22.806089043394952</c:v>
                </c:pt>
                <c:pt idx="340">
                  <c:v>28.529468150666148</c:v>
                </c:pt>
                <c:pt idx="341">
                  <c:v>33.225906336893516</c:v>
                </c:pt>
                <c:pt idx="342">
                  <c:v>31.716811255291677</c:v>
                </c:pt>
                <c:pt idx="343">
                  <c:v>17.08186392054888</c:v>
                </c:pt>
                <c:pt idx="344">
                  <c:v>33.069640001851852</c:v>
                </c:pt>
                <c:pt idx="345">
                  <c:v>32.889891786327595</c:v>
                </c:pt>
                <c:pt idx="346">
                  <c:v>32.143883883951894</c:v>
                </c:pt>
                <c:pt idx="347">
                  <c:v>61.703762608024817</c:v>
                </c:pt>
                <c:pt idx="348">
                  <c:v>43.220609209284774</c:v>
                </c:pt>
                <c:pt idx="349">
                  <c:v>48.410888216424411</c:v>
                </c:pt>
                <c:pt idx="350">
                  <c:v>34.863104966593937</c:v>
                </c:pt>
                <c:pt idx="351">
                  <c:v>99.283344058479912</c:v>
                </c:pt>
                <c:pt idx="352">
                  <c:v>40.348113326704194</c:v>
                </c:pt>
                <c:pt idx="353">
                  <c:v>77.185372874718226</c:v>
                </c:pt>
                <c:pt idx="354">
                  <c:v>81.902159204068298</c:v>
                </c:pt>
                <c:pt idx="355">
                  <c:v>75.256173388613519</c:v>
                </c:pt>
                <c:pt idx="356">
                  <c:v>99.913769845170549</c:v>
                </c:pt>
                <c:pt idx="357">
                  <c:v>50.985974247805466</c:v>
                </c:pt>
                <c:pt idx="358">
                  <c:v>62.80790724690749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2463616"/>
        <c:axId val="532465152"/>
      </c:lineChart>
      <c:catAx>
        <c:axId val="532463616"/>
        <c:scaling>
          <c:orientation val="minMax"/>
        </c:scaling>
        <c:delete val="0"/>
        <c:axPos val="b"/>
        <c:majorTickMark val="out"/>
        <c:minorTickMark val="none"/>
        <c:tickLblPos val="nextTo"/>
        <c:crossAx val="532465152"/>
        <c:crosses val="autoZero"/>
        <c:auto val="1"/>
        <c:lblAlgn val="ctr"/>
        <c:lblOffset val="100"/>
        <c:noMultiLvlLbl val="0"/>
      </c:catAx>
      <c:valAx>
        <c:axId val="5324651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3246361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Sheet7!$E$1</c:f>
              <c:strCache>
                <c:ptCount val="1"/>
                <c:pt idx="0">
                  <c:v>cpr</c:v>
                </c:pt>
              </c:strCache>
            </c:strRef>
          </c:tx>
          <c:marker>
            <c:symbol val="none"/>
          </c:marker>
          <c:cat>
            <c:numRef>
              <c:f>Sheet7!$D$2:$D$32</c:f>
              <c:numCache>
                <c:formatCode>General</c:formatCode>
                <c:ptCount val="31"/>
                <c:pt idx="0">
                  <c:v>6.1</c:v>
                </c:pt>
                <c:pt idx="1">
                  <c:v>17.2</c:v>
                </c:pt>
                <c:pt idx="2">
                  <c:v>29.2</c:v>
                </c:pt>
                <c:pt idx="3">
                  <c:v>41.1</c:v>
                </c:pt>
                <c:pt idx="4">
                  <c:v>53.1</c:v>
                </c:pt>
                <c:pt idx="5">
                  <c:v>65.099999999999994</c:v>
                </c:pt>
                <c:pt idx="6">
                  <c:v>77.099999999999994</c:v>
                </c:pt>
                <c:pt idx="7">
                  <c:v>89</c:v>
                </c:pt>
                <c:pt idx="8">
                  <c:v>101.1</c:v>
                </c:pt>
                <c:pt idx="9">
                  <c:v>113</c:v>
                </c:pt>
                <c:pt idx="10">
                  <c:v>125.1</c:v>
                </c:pt>
                <c:pt idx="11">
                  <c:v>137</c:v>
                </c:pt>
                <c:pt idx="12">
                  <c:v>149</c:v>
                </c:pt>
                <c:pt idx="13">
                  <c:v>160.69999999999999</c:v>
                </c:pt>
                <c:pt idx="14">
                  <c:v>173</c:v>
                </c:pt>
                <c:pt idx="15">
                  <c:v>185.1</c:v>
                </c:pt>
                <c:pt idx="16">
                  <c:v>197.3</c:v>
                </c:pt>
                <c:pt idx="17">
                  <c:v>209.2</c:v>
                </c:pt>
                <c:pt idx="18">
                  <c:v>221.2</c:v>
                </c:pt>
                <c:pt idx="19">
                  <c:v>233.3</c:v>
                </c:pt>
                <c:pt idx="20">
                  <c:v>245.2</c:v>
                </c:pt>
                <c:pt idx="21">
                  <c:v>257.2</c:v>
                </c:pt>
                <c:pt idx="22">
                  <c:v>269.2</c:v>
                </c:pt>
                <c:pt idx="23">
                  <c:v>281.10000000000002</c:v>
                </c:pt>
                <c:pt idx="24">
                  <c:v>293.10000000000002</c:v>
                </c:pt>
                <c:pt idx="25">
                  <c:v>305.10000000000002</c:v>
                </c:pt>
                <c:pt idx="26">
                  <c:v>317</c:v>
                </c:pt>
                <c:pt idx="27">
                  <c:v>328.9</c:v>
                </c:pt>
                <c:pt idx="28">
                  <c:v>340.7</c:v>
                </c:pt>
                <c:pt idx="29">
                  <c:v>352.4</c:v>
                </c:pt>
                <c:pt idx="30">
                  <c:v>364.5</c:v>
                </c:pt>
              </c:numCache>
            </c:numRef>
          </c:cat>
          <c:val>
            <c:numRef>
              <c:f>Sheet7!$E$2:$E$32</c:f>
              <c:numCache>
                <c:formatCode>General</c:formatCode>
                <c:ptCount val="31"/>
                <c:pt idx="0">
                  <c:v>10.78</c:v>
                </c:pt>
                <c:pt idx="1">
                  <c:v>19.22</c:v>
                </c:pt>
                <c:pt idx="2">
                  <c:v>20.02</c:v>
                </c:pt>
                <c:pt idx="3">
                  <c:v>20.3</c:v>
                </c:pt>
                <c:pt idx="4">
                  <c:v>22.23</c:v>
                </c:pt>
                <c:pt idx="5">
                  <c:v>23</c:v>
                </c:pt>
                <c:pt idx="6">
                  <c:v>24.39</c:v>
                </c:pt>
                <c:pt idx="7">
                  <c:v>26.08</c:v>
                </c:pt>
                <c:pt idx="8">
                  <c:v>26.21</c:v>
                </c:pt>
                <c:pt idx="9">
                  <c:v>30.06</c:v>
                </c:pt>
                <c:pt idx="10">
                  <c:v>25.89</c:v>
                </c:pt>
                <c:pt idx="11">
                  <c:v>21.53</c:v>
                </c:pt>
                <c:pt idx="12">
                  <c:v>19.39</c:v>
                </c:pt>
                <c:pt idx="13">
                  <c:v>18.100000000000001</c:v>
                </c:pt>
                <c:pt idx="14">
                  <c:v>17.64</c:v>
                </c:pt>
                <c:pt idx="15">
                  <c:v>17.27</c:v>
                </c:pt>
                <c:pt idx="16">
                  <c:v>16.66</c:v>
                </c:pt>
                <c:pt idx="17">
                  <c:v>15.93</c:v>
                </c:pt>
                <c:pt idx="18">
                  <c:v>15.44</c:v>
                </c:pt>
                <c:pt idx="19">
                  <c:v>15.69</c:v>
                </c:pt>
                <c:pt idx="20">
                  <c:v>15.16</c:v>
                </c:pt>
                <c:pt idx="21">
                  <c:v>15.22</c:v>
                </c:pt>
                <c:pt idx="22">
                  <c:v>15.34</c:v>
                </c:pt>
                <c:pt idx="23">
                  <c:v>16.09</c:v>
                </c:pt>
                <c:pt idx="24">
                  <c:v>17.52</c:v>
                </c:pt>
                <c:pt idx="25">
                  <c:v>18.68</c:v>
                </c:pt>
                <c:pt idx="26">
                  <c:v>19.78</c:v>
                </c:pt>
                <c:pt idx="27">
                  <c:v>20.96</c:v>
                </c:pt>
                <c:pt idx="28">
                  <c:v>24.95</c:v>
                </c:pt>
                <c:pt idx="29">
                  <c:v>30.78</c:v>
                </c:pt>
                <c:pt idx="30">
                  <c:v>31.36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4912640"/>
        <c:axId val="624914432"/>
      </c:lineChart>
      <c:catAx>
        <c:axId val="62491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624914432"/>
        <c:crosses val="autoZero"/>
        <c:auto val="1"/>
        <c:lblAlgn val="ctr"/>
        <c:lblOffset val="100"/>
        <c:noMultiLvlLbl val="0"/>
      </c:catAx>
      <c:valAx>
        <c:axId val="6249144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62491264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Sheet7!$AC$1</c:f>
              <c:strCache>
                <c:ptCount val="1"/>
                <c:pt idx="0">
                  <c:v>cpr</c:v>
                </c:pt>
              </c:strCache>
            </c:strRef>
          </c:tx>
          <c:marker>
            <c:symbol val="none"/>
          </c:marker>
          <c:cat>
            <c:numRef>
              <c:f>Sheet7!$AB$2:$AB$32</c:f>
              <c:numCache>
                <c:formatCode>General</c:formatCode>
                <c:ptCount val="31"/>
                <c:pt idx="0">
                  <c:v>6.1</c:v>
                </c:pt>
                <c:pt idx="1">
                  <c:v>17.2</c:v>
                </c:pt>
                <c:pt idx="2">
                  <c:v>29.2</c:v>
                </c:pt>
                <c:pt idx="3">
                  <c:v>41.1</c:v>
                </c:pt>
                <c:pt idx="4">
                  <c:v>53.1</c:v>
                </c:pt>
                <c:pt idx="5">
                  <c:v>65.2</c:v>
                </c:pt>
                <c:pt idx="6">
                  <c:v>77.099999999999994</c:v>
                </c:pt>
                <c:pt idx="7">
                  <c:v>89</c:v>
                </c:pt>
                <c:pt idx="8">
                  <c:v>101.1</c:v>
                </c:pt>
                <c:pt idx="9">
                  <c:v>113</c:v>
                </c:pt>
                <c:pt idx="10">
                  <c:v>125.1</c:v>
                </c:pt>
                <c:pt idx="11">
                  <c:v>137</c:v>
                </c:pt>
                <c:pt idx="12">
                  <c:v>149</c:v>
                </c:pt>
                <c:pt idx="13">
                  <c:v>160.6</c:v>
                </c:pt>
                <c:pt idx="14">
                  <c:v>173</c:v>
                </c:pt>
                <c:pt idx="15">
                  <c:v>185.2</c:v>
                </c:pt>
                <c:pt idx="16">
                  <c:v>197.3</c:v>
                </c:pt>
                <c:pt idx="17">
                  <c:v>209.2</c:v>
                </c:pt>
                <c:pt idx="18">
                  <c:v>221.2</c:v>
                </c:pt>
                <c:pt idx="19">
                  <c:v>233.3</c:v>
                </c:pt>
                <c:pt idx="20">
                  <c:v>245.3</c:v>
                </c:pt>
                <c:pt idx="21">
                  <c:v>257.3</c:v>
                </c:pt>
                <c:pt idx="22">
                  <c:v>269.2</c:v>
                </c:pt>
                <c:pt idx="23">
                  <c:v>281.2</c:v>
                </c:pt>
                <c:pt idx="24">
                  <c:v>293.10000000000002</c:v>
                </c:pt>
                <c:pt idx="25">
                  <c:v>305.10000000000002</c:v>
                </c:pt>
                <c:pt idx="26">
                  <c:v>317</c:v>
                </c:pt>
                <c:pt idx="27">
                  <c:v>328.9</c:v>
                </c:pt>
                <c:pt idx="28">
                  <c:v>340.7</c:v>
                </c:pt>
                <c:pt idx="29">
                  <c:v>352.4</c:v>
                </c:pt>
                <c:pt idx="30">
                  <c:v>364.5</c:v>
                </c:pt>
              </c:numCache>
            </c:numRef>
          </c:cat>
          <c:val>
            <c:numRef>
              <c:f>Sheet7!$AC$2:$AC$32</c:f>
              <c:numCache>
                <c:formatCode>General</c:formatCode>
                <c:ptCount val="31"/>
                <c:pt idx="0">
                  <c:v>10.94</c:v>
                </c:pt>
                <c:pt idx="1">
                  <c:v>19.239999999999998</c:v>
                </c:pt>
                <c:pt idx="2">
                  <c:v>20.02</c:v>
                </c:pt>
                <c:pt idx="3">
                  <c:v>20.11</c:v>
                </c:pt>
                <c:pt idx="4">
                  <c:v>21.85</c:v>
                </c:pt>
                <c:pt idx="5">
                  <c:v>22.46</c:v>
                </c:pt>
                <c:pt idx="6">
                  <c:v>23.86</c:v>
                </c:pt>
                <c:pt idx="7">
                  <c:v>25.58</c:v>
                </c:pt>
                <c:pt idx="8">
                  <c:v>26.11</c:v>
                </c:pt>
                <c:pt idx="9">
                  <c:v>29.88</c:v>
                </c:pt>
                <c:pt idx="10">
                  <c:v>25.67</c:v>
                </c:pt>
                <c:pt idx="11">
                  <c:v>21.4</c:v>
                </c:pt>
                <c:pt idx="12">
                  <c:v>19.48</c:v>
                </c:pt>
                <c:pt idx="13">
                  <c:v>18.28</c:v>
                </c:pt>
                <c:pt idx="14">
                  <c:v>18.14</c:v>
                </c:pt>
                <c:pt idx="15">
                  <c:v>18.16</c:v>
                </c:pt>
                <c:pt idx="16">
                  <c:v>17.43</c:v>
                </c:pt>
                <c:pt idx="17">
                  <c:v>16.34</c:v>
                </c:pt>
                <c:pt idx="18">
                  <c:v>15.71</c:v>
                </c:pt>
                <c:pt idx="19">
                  <c:v>15.86</c:v>
                </c:pt>
                <c:pt idx="20">
                  <c:v>15.4</c:v>
                </c:pt>
                <c:pt idx="21">
                  <c:v>15.5</c:v>
                </c:pt>
                <c:pt idx="22">
                  <c:v>15.67</c:v>
                </c:pt>
                <c:pt idx="23">
                  <c:v>16.239999999999998</c:v>
                </c:pt>
                <c:pt idx="24">
                  <c:v>17.53</c:v>
                </c:pt>
                <c:pt idx="25">
                  <c:v>18.53</c:v>
                </c:pt>
                <c:pt idx="26">
                  <c:v>19.59</c:v>
                </c:pt>
                <c:pt idx="27">
                  <c:v>20.71</c:v>
                </c:pt>
                <c:pt idx="28">
                  <c:v>24.73</c:v>
                </c:pt>
                <c:pt idx="29">
                  <c:v>30.33</c:v>
                </c:pt>
                <c:pt idx="30">
                  <c:v>31.36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5140480"/>
        <c:axId val="625142016"/>
      </c:lineChart>
      <c:catAx>
        <c:axId val="6251404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625142016"/>
        <c:crosses val="autoZero"/>
        <c:auto val="1"/>
        <c:lblAlgn val="ctr"/>
        <c:lblOffset val="100"/>
        <c:noMultiLvlLbl val="0"/>
      </c:catAx>
      <c:valAx>
        <c:axId val="6251420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62514048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Sheet7!$AQ$1</c:f>
              <c:strCache>
                <c:ptCount val="1"/>
                <c:pt idx="0">
                  <c:v>FHL CPR</c:v>
                </c:pt>
              </c:strCache>
            </c:strRef>
          </c:tx>
          <c:marker>
            <c:symbol val="none"/>
          </c:marker>
          <c:cat>
            <c:numRef>
              <c:f>Sheet7!$AP$2:$AP$32</c:f>
              <c:numCache>
                <c:formatCode>General</c:formatCode>
                <c:ptCount val="31"/>
                <c:pt idx="0">
                  <c:v>0</c:v>
                </c:pt>
                <c:pt idx="1">
                  <c:v>12</c:v>
                </c:pt>
                <c:pt idx="2">
                  <c:v>24</c:v>
                </c:pt>
                <c:pt idx="3">
                  <c:v>36</c:v>
                </c:pt>
                <c:pt idx="4">
                  <c:v>48</c:v>
                </c:pt>
                <c:pt idx="5">
                  <c:v>60</c:v>
                </c:pt>
                <c:pt idx="6">
                  <c:v>72</c:v>
                </c:pt>
                <c:pt idx="7">
                  <c:v>84</c:v>
                </c:pt>
                <c:pt idx="8">
                  <c:v>96</c:v>
                </c:pt>
                <c:pt idx="9">
                  <c:v>108</c:v>
                </c:pt>
                <c:pt idx="10">
                  <c:v>120</c:v>
                </c:pt>
                <c:pt idx="11">
                  <c:v>132</c:v>
                </c:pt>
                <c:pt idx="12">
                  <c:v>144</c:v>
                </c:pt>
                <c:pt idx="13">
                  <c:v>156</c:v>
                </c:pt>
                <c:pt idx="14">
                  <c:v>168</c:v>
                </c:pt>
                <c:pt idx="15">
                  <c:v>180</c:v>
                </c:pt>
                <c:pt idx="16">
                  <c:v>192</c:v>
                </c:pt>
                <c:pt idx="17">
                  <c:v>204</c:v>
                </c:pt>
                <c:pt idx="18">
                  <c:v>216</c:v>
                </c:pt>
                <c:pt idx="19">
                  <c:v>228</c:v>
                </c:pt>
                <c:pt idx="20">
                  <c:v>240</c:v>
                </c:pt>
                <c:pt idx="21">
                  <c:v>252</c:v>
                </c:pt>
                <c:pt idx="22">
                  <c:v>264</c:v>
                </c:pt>
                <c:pt idx="23">
                  <c:v>276</c:v>
                </c:pt>
                <c:pt idx="24">
                  <c:v>288</c:v>
                </c:pt>
                <c:pt idx="25">
                  <c:v>300</c:v>
                </c:pt>
                <c:pt idx="26">
                  <c:v>312</c:v>
                </c:pt>
                <c:pt idx="27">
                  <c:v>324</c:v>
                </c:pt>
                <c:pt idx="28">
                  <c:v>336</c:v>
                </c:pt>
                <c:pt idx="29">
                  <c:v>348</c:v>
                </c:pt>
                <c:pt idx="30">
                  <c:v>360</c:v>
                </c:pt>
              </c:numCache>
            </c:numRef>
          </c:cat>
          <c:val>
            <c:numRef>
              <c:f>Sheet7!$AQ$2:$AQ$32</c:f>
              <c:numCache>
                <c:formatCode>General</c:formatCode>
                <c:ptCount val="31"/>
                <c:pt idx="0">
                  <c:v>10.54</c:v>
                </c:pt>
                <c:pt idx="1">
                  <c:v>19.190000000000001</c:v>
                </c:pt>
                <c:pt idx="2">
                  <c:v>20.02</c:v>
                </c:pt>
                <c:pt idx="3">
                  <c:v>20.58</c:v>
                </c:pt>
                <c:pt idx="4">
                  <c:v>22.8</c:v>
                </c:pt>
                <c:pt idx="5">
                  <c:v>23.81</c:v>
                </c:pt>
                <c:pt idx="6">
                  <c:v>25.21</c:v>
                </c:pt>
                <c:pt idx="7">
                  <c:v>26.89</c:v>
                </c:pt>
                <c:pt idx="8">
                  <c:v>26.38</c:v>
                </c:pt>
                <c:pt idx="9">
                  <c:v>30.37</c:v>
                </c:pt>
                <c:pt idx="10">
                  <c:v>26.26</c:v>
                </c:pt>
                <c:pt idx="11">
                  <c:v>21.75</c:v>
                </c:pt>
                <c:pt idx="12">
                  <c:v>19.23</c:v>
                </c:pt>
                <c:pt idx="13">
                  <c:v>17.77</c:v>
                </c:pt>
                <c:pt idx="14">
                  <c:v>16.84</c:v>
                </c:pt>
                <c:pt idx="15">
                  <c:v>15.78</c:v>
                </c:pt>
                <c:pt idx="16">
                  <c:v>15.3</c:v>
                </c:pt>
                <c:pt idx="17">
                  <c:v>15.11</c:v>
                </c:pt>
                <c:pt idx="18">
                  <c:v>14.79</c:v>
                </c:pt>
                <c:pt idx="19">
                  <c:v>15.18</c:v>
                </c:pt>
                <c:pt idx="20">
                  <c:v>14.34</c:v>
                </c:pt>
                <c:pt idx="21">
                  <c:v>14.13</c:v>
                </c:pt>
                <c:pt idx="22">
                  <c:v>13.84</c:v>
                </c:pt>
                <c:pt idx="23">
                  <c:v>14.96</c:v>
                </c:pt>
                <c:pt idx="24">
                  <c:v>17.440000000000001</c:v>
                </c:pt>
                <c:pt idx="25">
                  <c:v>21.09</c:v>
                </c:pt>
                <c:pt idx="26">
                  <c:v>23.77</c:v>
                </c:pt>
                <c:pt idx="27">
                  <c:v>27.67</c:v>
                </c:pt>
                <c:pt idx="28">
                  <c:v>33.26</c:v>
                </c:pt>
                <c:pt idx="29">
                  <c:v>65.75</c:v>
                </c:pt>
                <c:pt idx="30">
                  <c:v>88.64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Sheet7!$AR$1</c:f>
              <c:strCache>
                <c:ptCount val="1"/>
                <c:pt idx="0">
                  <c:v>FNMA CPR</c:v>
                </c:pt>
              </c:strCache>
            </c:strRef>
          </c:tx>
          <c:marker>
            <c:symbol val="none"/>
          </c:marker>
          <c:cat>
            <c:numRef>
              <c:f>Sheet7!$AP$2:$AP$32</c:f>
              <c:numCache>
                <c:formatCode>General</c:formatCode>
                <c:ptCount val="31"/>
                <c:pt idx="0">
                  <c:v>0</c:v>
                </c:pt>
                <c:pt idx="1">
                  <c:v>12</c:v>
                </c:pt>
                <c:pt idx="2">
                  <c:v>24</c:v>
                </c:pt>
                <c:pt idx="3">
                  <c:v>36</c:v>
                </c:pt>
                <c:pt idx="4">
                  <c:v>48</c:v>
                </c:pt>
                <c:pt idx="5">
                  <c:v>60</c:v>
                </c:pt>
                <c:pt idx="6">
                  <c:v>72</c:v>
                </c:pt>
                <c:pt idx="7">
                  <c:v>84</c:v>
                </c:pt>
                <c:pt idx="8">
                  <c:v>96</c:v>
                </c:pt>
                <c:pt idx="9">
                  <c:v>108</c:v>
                </c:pt>
                <c:pt idx="10">
                  <c:v>120</c:v>
                </c:pt>
                <c:pt idx="11">
                  <c:v>132</c:v>
                </c:pt>
                <c:pt idx="12">
                  <c:v>144</c:v>
                </c:pt>
                <c:pt idx="13">
                  <c:v>156</c:v>
                </c:pt>
                <c:pt idx="14">
                  <c:v>168</c:v>
                </c:pt>
                <c:pt idx="15">
                  <c:v>180</c:v>
                </c:pt>
                <c:pt idx="16">
                  <c:v>192</c:v>
                </c:pt>
                <c:pt idx="17">
                  <c:v>204</c:v>
                </c:pt>
                <c:pt idx="18">
                  <c:v>216</c:v>
                </c:pt>
                <c:pt idx="19">
                  <c:v>228</c:v>
                </c:pt>
                <c:pt idx="20">
                  <c:v>240</c:v>
                </c:pt>
                <c:pt idx="21">
                  <c:v>252</c:v>
                </c:pt>
                <c:pt idx="22">
                  <c:v>264</c:v>
                </c:pt>
                <c:pt idx="23">
                  <c:v>276</c:v>
                </c:pt>
                <c:pt idx="24">
                  <c:v>288</c:v>
                </c:pt>
                <c:pt idx="25">
                  <c:v>300</c:v>
                </c:pt>
                <c:pt idx="26">
                  <c:v>312</c:v>
                </c:pt>
                <c:pt idx="27">
                  <c:v>324</c:v>
                </c:pt>
                <c:pt idx="28">
                  <c:v>336</c:v>
                </c:pt>
                <c:pt idx="29">
                  <c:v>348</c:v>
                </c:pt>
                <c:pt idx="30">
                  <c:v>360</c:v>
                </c:pt>
              </c:numCache>
            </c:numRef>
          </c:cat>
          <c:val>
            <c:numRef>
              <c:f>Sheet7!$AR$2:$AR$32</c:f>
              <c:numCache>
                <c:formatCode>General</c:formatCode>
                <c:ptCount val="31"/>
                <c:pt idx="0">
                  <c:v>10.94</c:v>
                </c:pt>
                <c:pt idx="1">
                  <c:v>19.239999999999998</c:v>
                </c:pt>
                <c:pt idx="2">
                  <c:v>20.02</c:v>
                </c:pt>
                <c:pt idx="3">
                  <c:v>20.11</c:v>
                </c:pt>
                <c:pt idx="4">
                  <c:v>21.85</c:v>
                </c:pt>
                <c:pt idx="5">
                  <c:v>22.46</c:v>
                </c:pt>
                <c:pt idx="6">
                  <c:v>23.86</c:v>
                </c:pt>
                <c:pt idx="7">
                  <c:v>25.58</c:v>
                </c:pt>
                <c:pt idx="8">
                  <c:v>26.11</c:v>
                </c:pt>
                <c:pt idx="9">
                  <c:v>29.88</c:v>
                </c:pt>
                <c:pt idx="10">
                  <c:v>25.67</c:v>
                </c:pt>
                <c:pt idx="11">
                  <c:v>21.4</c:v>
                </c:pt>
                <c:pt idx="12">
                  <c:v>19.48</c:v>
                </c:pt>
                <c:pt idx="13">
                  <c:v>18.28</c:v>
                </c:pt>
                <c:pt idx="14">
                  <c:v>18.14</c:v>
                </c:pt>
                <c:pt idx="15">
                  <c:v>18.16</c:v>
                </c:pt>
                <c:pt idx="16">
                  <c:v>17.43</c:v>
                </c:pt>
                <c:pt idx="17">
                  <c:v>16.34</c:v>
                </c:pt>
                <c:pt idx="18">
                  <c:v>15.71</c:v>
                </c:pt>
                <c:pt idx="19">
                  <c:v>15.86</c:v>
                </c:pt>
                <c:pt idx="20">
                  <c:v>15.4</c:v>
                </c:pt>
                <c:pt idx="21">
                  <c:v>15.5</c:v>
                </c:pt>
                <c:pt idx="22">
                  <c:v>15.67</c:v>
                </c:pt>
                <c:pt idx="23">
                  <c:v>16.239999999999998</c:v>
                </c:pt>
                <c:pt idx="24">
                  <c:v>17.53</c:v>
                </c:pt>
                <c:pt idx="25">
                  <c:v>18.53</c:v>
                </c:pt>
                <c:pt idx="26">
                  <c:v>19.59</c:v>
                </c:pt>
                <c:pt idx="27">
                  <c:v>20.71</c:v>
                </c:pt>
                <c:pt idx="28">
                  <c:v>24.73</c:v>
                </c:pt>
                <c:pt idx="29">
                  <c:v>30.33</c:v>
                </c:pt>
                <c:pt idx="30">
                  <c:v>31.36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6922112"/>
        <c:axId val="616927232"/>
      </c:lineChart>
      <c:catAx>
        <c:axId val="6169221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616927232"/>
        <c:crosses val="autoZero"/>
        <c:auto val="1"/>
        <c:lblAlgn val="ctr"/>
        <c:lblOffset val="100"/>
        <c:noMultiLvlLbl val="0"/>
      </c:catAx>
      <c:valAx>
        <c:axId val="6169272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61692211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FNMA Balance</a:t>
            </a:r>
            <a:r>
              <a:rPr lang="en-US" baseline="0"/>
              <a:t> as Total %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Sheet7!$AS$1</c:f>
              <c:strCache>
                <c:ptCount val="1"/>
                <c:pt idx="0">
                  <c:v>FNMA bal%</c:v>
                </c:pt>
              </c:strCache>
            </c:strRef>
          </c:tx>
          <c:marker>
            <c:symbol val="none"/>
          </c:marker>
          <c:cat>
            <c:numRef>
              <c:f>Sheet7!$AP$2:$AP$32</c:f>
              <c:numCache>
                <c:formatCode>General</c:formatCode>
                <c:ptCount val="31"/>
                <c:pt idx="0">
                  <c:v>0</c:v>
                </c:pt>
                <c:pt idx="1">
                  <c:v>12</c:v>
                </c:pt>
                <c:pt idx="2">
                  <c:v>24</c:v>
                </c:pt>
                <c:pt idx="3">
                  <c:v>36</c:v>
                </c:pt>
                <c:pt idx="4">
                  <c:v>48</c:v>
                </c:pt>
                <c:pt idx="5">
                  <c:v>60</c:v>
                </c:pt>
                <c:pt idx="6">
                  <c:v>72</c:v>
                </c:pt>
                <c:pt idx="7">
                  <c:v>84</c:v>
                </c:pt>
                <c:pt idx="8">
                  <c:v>96</c:v>
                </c:pt>
                <c:pt idx="9">
                  <c:v>108</c:v>
                </c:pt>
                <c:pt idx="10">
                  <c:v>120</c:v>
                </c:pt>
                <c:pt idx="11">
                  <c:v>132</c:v>
                </c:pt>
                <c:pt idx="12">
                  <c:v>144</c:v>
                </c:pt>
                <c:pt idx="13">
                  <c:v>156</c:v>
                </c:pt>
                <c:pt idx="14">
                  <c:v>168</c:v>
                </c:pt>
                <c:pt idx="15">
                  <c:v>180</c:v>
                </c:pt>
                <c:pt idx="16">
                  <c:v>192</c:v>
                </c:pt>
                <c:pt idx="17">
                  <c:v>204</c:v>
                </c:pt>
                <c:pt idx="18">
                  <c:v>216</c:v>
                </c:pt>
                <c:pt idx="19">
                  <c:v>228</c:v>
                </c:pt>
                <c:pt idx="20">
                  <c:v>240</c:v>
                </c:pt>
                <c:pt idx="21">
                  <c:v>252</c:v>
                </c:pt>
                <c:pt idx="22">
                  <c:v>264</c:v>
                </c:pt>
                <c:pt idx="23">
                  <c:v>276</c:v>
                </c:pt>
                <c:pt idx="24">
                  <c:v>288</c:v>
                </c:pt>
                <c:pt idx="25">
                  <c:v>300</c:v>
                </c:pt>
                <c:pt idx="26">
                  <c:v>312</c:v>
                </c:pt>
                <c:pt idx="27">
                  <c:v>324</c:v>
                </c:pt>
                <c:pt idx="28">
                  <c:v>336</c:v>
                </c:pt>
                <c:pt idx="29">
                  <c:v>348</c:v>
                </c:pt>
                <c:pt idx="30">
                  <c:v>360</c:v>
                </c:pt>
              </c:numCache>
            </c:numRef>
          </c:cat>
          <c:val>
            <c:numRef>
              <c:f>Sheet7!$AS$2:$AS$32</c:f>
              <c:numCache>
                <c:formatCode>0%</c:formatCode>
                <c:ptCount val="31"/>
                <c:pt idx="0">
                  <c:v>0.60211034969158417</c:v>
                </c:pt>
                <c:pt idx="1">
                  <c:v>0.6016056708550982</c:v>
                </c:pt>
                <c:pt idx="2">
                  <c:v>0.6006634666616415</c:v>
                </c:pt>
                <c:pt idx="3">
                  <c:v>0.60125676716029386</c:v>
                </c:pt>
                <c:pt idx="4">
                  <c:v>0.59844671809128969</c:v>
                </c:pt>
                <c:pt idx="5">
                  <c:v>0.59913964174320533</c:v>
                </c:pt>
                <c:pt idx="6">
                  <c:v>0.60744753762002024</c:v>
                </c:pt>
                <c:pt idx="7">
                  <c:v>0.6197674459602277</c:v>
                </c:pt>
                <c:pt idx="8">
                  <c:v>0.62639393685640044</c:v>
                </c:pt>
                <c:pt idx="9">
                  <c:v>0.62845621760825487</c:v>
                </c:pt>
                <c:pt idx="10">
                  <c:v>0.63323227725045539</c:v>
                </c:pt>
                <c:pt idx="11">
                  <c:v>0.63958738515881286</c:v>
                </c:pt>
                <c:pt idx="12">
                  <c:v>0.64689996132757432</c:v>
                </c:pt>
                <c:pt idx="13">
                  <c:v>0.63741652644345059</c:v>
                </c:pt>
                <c:pt idx="14">
                  <c:v>0.6180830562601809</c:v>
                </c:pt>
                <c:pt idx="15">
                  <c:v>0.62424650557696337</c:v>
                </c:pt>
                <c:pt idx="16">
                  <c:v>0.63592085125212938</c:v>
                </c:pt>
                <c:pt idx="17">
                  <c:v>0.66242154992174207</c:v>
                </c:pt>
                <c:pt idx="18">
                  <c:v>0.71214838172506523</c:v>
                </c:pt>
                <c:pt idx="19">
                  <c:v>0.74629006554731447</c:v>
                </c:pt>
                <c:pt idx="20">
                  <c:v>0.77117690948121387</c:v>
                </c:pt>
                <c:pt idx="21">
                  <c:v>0.79781219101110323</c:v>
                </c:pt>
                <c:pt idx="22">
                  <c:v>0.81717581045082754</c:v>
                </c:pt>
                <c:pt idx="23">
                  <c:v>0.88507534070470717</c:v>
                </c:pt>
                <c:pt idx="24">
                  <c:v>0.92552476559964747</c:v>
                </c:pt>
                <c:pt idx="25">
                  <c:v>0.94223412330056733</c:v>
                </c:pt>
                <c:pt idx="26">
                  <c:v>0.95449434516337162</c:v>
                </c:pt>
                <c:pt idx="27">
                  <c:v>0.96536112316850231</c:v>
                </c:pt>
                <c:pt idx="28">
                  <c:v>0.97552487141799682</c:v>
                </c:pt>
                <c:pt idx="29">
                  <c:v>0.99052119002102723</c:v>
                </c:pt>
                <c:pt idx="30">
                  <c:v>0.99997021646685369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5040384"/>
        <c:axId val="625074944"/>
      </c:lineChart>
      <c:catAx>
        <c:axId val="625040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625074944"/>
        <c:crosses val="autoZero"/>
        <c:auto val="1"/>
        <c:lblAlgn val="ctr"/>
        <c:lblOffset val="100"/>
        <c:noMultiLvlLbl val="0"/>
      </c:catAx>
      <c:valAx>
        <c:axId val="625074944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62504038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Sheet8!$B$1</c:f>
              <c:strCache>
                <c:ptCount val="1"/>
                <c:pt idx="0">
                  <c:v>y_vals.act</c:v>
                </c:pt>
              </c:strCache>
            </c:strRef>
          </c:tx>
          <c:marker>
            <c:symbol val="none"/>
          </c:marker>
          <c:cat>
            <c:numRef>
              <c:f>Sheet8!$A$2:$A$73</c:f>
              <c:numCache>
                <c:formatCode>General</c:formatCode>
                <c:ptCount val="72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  <c:pt idx="61">
                  <c:v>305</c:v>
                </c:pt>
                <c:pt idx="62">
                  <c:v>310</c:v>
                </c:pt>
                <c:pt idx="63">
                  <c:v>315</c:v>
                </c:pt>
                <c:pt idx="64">
                  <c:v>320</c:v>
                </c:pt>
                <c:pt idx="65">
                  <c:v>325</c:v>
                </c:pt>
                <c:pt idx="66">
                  <c:v>330</c:v>
                </c:pt>
                <c:pt idx="67">
                  <c:v>335</c:v>
                </c:pt>
                <c:pt idx="68">
                  <c:v>340</c:v>
                </c:pt>
                <c:pt idx="69">
                  <c:v>345</c:v>
                </c:pt>
                <c:pt idx="70">
                  <c:v>350</c:v>
                </c:pt>
                <c:pt idx="71">
                  <c:v>355</c:v>
                </c:pt>
              </c:numCache>
            </c:numRef>
          </c:cat>
          <c:val>
            <c:numRef>
              <c:f>Sheet8!$B$2:$B$73</c:f>
              <c:numCache>
                <c:formatCode>General</c:formatCode>
                <c:ptCount val="72"/>
                <c:pt idx="0">
                  <c:v>1.80572</c:v>
                </c:pt>
                <c:pt idx="1">
                  <c:v>3.654468</c:v>
                </c:pt>
                <c:pt idx="2">
                  <c:v>5.3457860000000004</c:v>
                </c:pt>
                <c:pt idx="3">
                  <c:v>5.5376919999999998</c:v>
                </c:pt>
                <c:pt idx="4">
                  <c:v>6.084098</c:v>
                </c:pt>
                <c:pt idx="5">
                  <c:v>6.9080370000000002</c:v>
                </c:pt>
                <c:pt idx="6">
                  <c:v>6.9403810000000004</c:v>
                </c:pt>
                <c:pt idx="7">
                  <c:v>6.6858560000000002</c:v>
                </c:pt>
                <c:pt idx="8">
                  <c:v>6.3845419999999997</c:v>
                </c:pt>
                <c:pt idx="9">
                  <c:v>6.5127439999999996</c:v>
                </c:pt>
                <c:pt idx="10">
                  <c:v>5.8758410000000003</c:v>
                </c:pt>
                <c:pt idx="11">
                  <c:v>6.1407930000000004</c:v>
                </c:pt>
                <c:pt idx="12">
                  <c:v>4.7383059999999997</c:v>
                </c:pt>
                <c:pt idx="13">
                  <c:v>7.9827760000000003</c:v>
                </c:pt>
                <c:pt idx="14">
                  <c:v>7.4612550000000004</c:v>
                </c:pt>
                <c:pt idx="15">
                  <c:v>6.3103319999999998</c:v>
                </c:pt>
                <c:pt idx="16">
                  <c:v>6.742966</c:v>
                </c:pt>
                <c:pt idx="17">
                  <c:v>6.6595909999999998</c:v>
                </c:pt>
                <c:pt idx="18">
                  <c:v>7.624536</c:v>
                </c:pt>
                <c:pt idx="19">
                  <c:v>9.9150010000000002</c:v>
                </c:pt>
                <c:pt idx="20">
                  <c:v>9.1843859999999999</c:v>
                </c:pt>
                <c:pt idx="21">
                  <c:v>11.033194999999999</c:v>
                </c:pt>
                <c:pt idx="22">
                  <c:v>10.593724</c:v>
                </c:pt>
                <c:pt idx="23">
                  <c:v>9.0783570000000005</c:v>
                </c:pt>
                <c:pt idx="24">
                  <c:v>10.138147</c:v>
                </c:pt>
                <c:pt idx="25">
                  <c:v>8.8923469999999991</c:v>
                </c:pt>
                <c:pt idx="26">
                  <c:v>13.060048</c:v>
                </c:pt>
                <c:pt idx="27">
                  <c:v>9.4492589999999996</c:v>
                </c:pt>
                <c:pt idx="28">
                  <c:v>12.256629999999999</c:v>
                </c:pt>
                <c:pt idx="29">
                  <c:v>8.1745070000000002</c:v>
                </c:pt>
                <c:pt idx="30">
                  <c:v>8.1021730000000005</c:v>
                </c:pt>
                <c:pt idx="31">
                  <c:v>12.789210000000001</c:v>
                </c:pt>
                <c:pt idx="32">
                  <c:v>9.0876870000000007</c:v>
                </c:pt>
                <c:pt idx="33">
                  <c:v>11.79851</c:v>
                </c:pt>
                <c:pt idx="34">
                  <c:v>8.6703709999999994</c:v>
                </c:pt>
                <c:pt idx="35">
                  <c:v>8.9434959999999997</c:v>
                </c:pt>
                <c:pt idx="36">
                  <c:v>7.9248640000000004</c:v>
                </c:pt>
                <c:pt idx="37">
                  <c:v>17.083347</c:v>
                </c:pt>
                <c:pt idx="38">
                  <c:v>20.167719000000002</c:v>
                </c:pt>
                <c:pt idx="39">
                  <c:v>13.201314</c:v>
                </c:pt>
                <c:pt idx="40">
                  <c:v>8.6483799999999995</c:v>
                </c:pt>
                <c:pt idx="41">
                  <c:v>6.6314310000000001</c:v>
                </c:pt>
                <c:pt idx="42">
                  <c:v>7.7683390000000001</c:v>
                </c:pt>
                <c:pt idx="43">
                  <c:v>6.8897529999999998</c:v>
                </c:pt>
                <c:pt idx="44">
                  <c:v>16.381305999999999</c:v>
                </c:pt>
                <c:pt idx="45">
                  <c:v>9.6337480000000006</c:v>
                </c:pt>
                <c:pt idx="46">
                  <c:v>11.997413999999999</c:v>
                </c:pt>
                <c:pt idx="47">
                  <c:v>9.8975679999999997</c:v>
                </c:pt>
                <c:pt idx="48">
                  <c:v>6.8160569999999998</c:v>
                </c:pt>
                <c:pt idx="49">
                  <c:v>12.552166</c:v>
                </c:pt>
                <c:pt idx="50">
                  <c:v>8.2429640000000006</c:v>
                </c:pt>
                <c:pt idx="51">
                  <c:v>8.0213900000000002</c:v>
                </c:pt>
                <c:pt idx="52">
                  <c:v>8.5117309999999993</c:v>
                </c:pt>
                <c:pt idx="53">
                  <c:v>7.8853790000000004</c:v>
                </c:pt>
                <c:pt idx="54">
                  <c:v>7.7174759999999996</c:v>
                </c:pt>
                <c:pt idx="55">
                  <c:v>8.85914</c:v>
                </c:pt>
                <c:pt idx="56">
                  <c:v>8.3621470000000002</c:v>
                </c:pt>
                <c:pt idx="57">
                  <c:v>9.5688849999999999</c:v>
                </c:pt>
                <c:pt idx="58">
                  <c:v>11.013441</c:v>
                </c:pt>
                <c:pt idx="59">
                  <c:v>11.681203999999999</c:v>
                </c:pt>
                <c:pt idx="60">
                  <c:v>18.786518999999998</c:v>
                </c:pt>
                <c:pt idx="61">
                  <c:v>17.011664</c:v>
                </c:pt>
                <c:pt idx="62">
                  <c:v>13.848523999999999</c:v>
                </c:pt>
                <c:pt idx="63">
                  <c:v>14.952593</c:v>
                </c:pt>
                <c:pt idx="64">
                  <c:v>15.838704</c:v>
                </c:pt>
                <c:pt idx="65">
                  <c:v>14.253698</c:v>
                </c:pt>
                <c:pt idx="66">
                  <c:v>15.494948000000001</c:v>
                </c:pt>
                <c:pt idx="67">
                  <c:v>27.893409999999999</c:v>
                </c:pt>
                <c:pt idx="68">
                  <c:v>34.070945000000002</c:v>
                </c:pt>
                <c:pt idx="69">
                  <c:v>19.398257999999998</c:v>
                </c:pt>
                <c:pt idx="70">
                  <c:v>50.290315999999997</c:v>
                </c:pt>
                <c:pt idx="71">
                  <c:v>90.792085999999998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Sheet8!$C$1</c:f>
              <c:strCache>
                <c:ptCount val="1"/>
                <c:pt idx="0">
                  <c:v>y_vals.mdl</c:v>
                </c:pt>
              </c:strCache>
            </c:strRef>
          </c:tx>
          <c:marker>
            <c:symbol val="none"/>
          </c:marker>
          <c:cat>
            <c:numRef>
              <c:f>Sheet8!$A$2:$A$73</c:f>
              <c:numCache>
                <c:formatCode>General</c:formatCode>
                <c:ptCount val="72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  <c:pt idx="61">
                  <c:v>305</c:v>
                </c:pt>
                <c:pt idx="62">
                  <c:v>310</c:v>
                </c:pt>
                <c:pt idx="63">
                  <c:v>315</c:v>
                </c:pt>
                <c:pt idx="64">
                  <c:v>320</c:v>
                </c:pt>
                <c:pt idx="65">
                  <c:v>325</c:v>
                </c:pt>
                <c:pt idx="66">
                  <c:v>330</c:v>
                </c:pt>
                <c:pt idx="67">
                  <c:v>335</c:v>
                </c:pt>
                <c:pt idx="68">
                  <c:v>340</c:v>
                </c:pt>
                <c:pt idx="69">
                  <c:v>345</c:v>
                </c:pt>
                <c:pt idx="70">
                  <c:v>350</c:v>
                </c:pt>
                <c:pt idx="71">
                  <c:v>355</c:v>
                </c:pt>
              </c:numCache>
            </c:numRef>
          </c:cat>
          <c:val>
            <c:numRef>
              <c:f>Sheet8!$C$2:$C$73</c:f>
              <c:numCache>
                <c:formatCode>General</c:formatCode>
                <c:ptCount val="72"/>
                <c:pt idx="0">
                  <c:v>1.628071</c:v>
                </c:pt>
                <c:pt idx="1">
                  <c:v>3.2085680000000001</c:v>
                </c:pt>
                <c:pt idx="2">
                  <c:v>5.0577079999999999</c:v>
                </c:pt>
                <c:pt idx="3">
                  <c:v>5.5394249999999996</c:v>
                </c:pt>
                <c:pt idx="4">
                  <c:v>6.187201</c:v>
                </c:pt>
                <c:pt idx="5">
                  <c:v>6.8162029999999998</c:v>
                </c:pt>
                <c:pt idx="6">
                  <c:v>7.3855079999999997</c:v>
                </c:pt>
                <c:pt idx="7">
                  <c:v>7.5696380000000003</c:v>
                </c:pt>
                <c:pt idx="8">
                  <c:v>7.9000250000000003</c:v>
                </c:pt>
                <c:pt idx="9">
                  <c:v>8.1817159999999998</c:v>
                </c:pt>
                <c:pt idx="10">
                  <c:v>8.2027219999999996</c:v>
                </c:pt>
                <c:pt idx="11">
                  <c:v>8.8124710000000004</c:v>
                </c:pt>
                <c:pt idx="12">
                  <c:v>7.3303770000000004</c:v>
                </c:pt>
                <c:pt idx="13">
                  <c:v>8.0890540000000009</c:v>
                </c:pt>
                <c:pt idx="14">
                  <c:v>6.4280720000000002</c:v>
                </c:pt>
                <c:pt idx="15">
                  <c:v>7.0136630000000002</c:v>
                </c:pt>
                <c:pt idx="16">
                  <c:v>7.349475</c:v>
                </c:pt>
                <c:pt idx="17">
                  <c:v>8.1276449999999993</c:v>
                </c:pt>
                <c:pt idx="18">
                  <c:v>8.9097279999999994</c:v>
                </c:pt>
                <c:pt idx="19">
                  <c:v>6.7091719999999997</c:v>
                </c:pt>
                <c:pt idx="20">
                  <c:v>9.0163609999999998</c:v>
                </c:pt>
                <c:pt idx="21">
                  <c:v>7.0496429999999997</c:v>
                </c:pt>
                <c:pt idx="22">
                  <c:v>6.8526230000000004</c:v>
                </c:pt>
                <c:pt idx="23">
                  <c:v>7.0252140000000001</c:v>
                </c:pt>
                <c:pt idx="24">
                  <c:v>6.9960789999999999</c:v>
                </c:pt>
                <c:pt idx="25">
                  <c:v>6.3815840000000001</c:v>
                </c:pt>
                <c:pt idx="26">
                  <c:v>7.1076100000000002</c:v>
                </c:pt>
                <c:pt idx="27">
                  <c:v>7.3024950000000004</c:v>
                </c:pt>
                <c:pt idx="28">
                  <c:v>7.5463680000000002</c:v>
                </c:pt>
                <c:pt idx="29">
                  <c:v>7.7295720000000001</c:v>
                </c:pt>
                <c:pt idx="30">
                  <c:v>8.1223259999999993</c:v>
                </c:pt>
                <c:pt idx="31">
                  <c:v>8.1496049999999993</c:v>
                </c:pt>
                <c:pt idx="32">
                  <c:v>5.9512929999999997</c:v>
                </c:pt>
                <c:pt idx="33">
                  <c:v>5.6878859999999998</c:v>
                </c:pt>
                <c:pt idx="34">
                  <c:v>4.9993600000000002</c:v>
                </c:pt>
                <c:pt idx="35">
                  <c:v>4.5818570000000003</c:v>
                </c:pt>
                <c:pt idx="36">
                  <c:v>4.2352939999999997</c:v>
                </c:pt>
                <c:pt idx="37">
                  <c:v>3.9196569999999999</c:v>
                </c:pt>
                <c:pt idx="38">
                  <c:v>4.830349</c:v>
                </c:pt>
                <c:pt idx="39">
                  <c:v>5.0070779999999999</c:v>
                </c:pt>
                <c:pt idx="40">
                  <c:v>5.8641360000000002</c:v>
                </c:pt>
                <c:pt idx="41">
                  <c:v>3.989366</c:v>
                </c:pt>
                <c:pt idx="42">
                  <c:v>4.1308259999999999</c:v>
                </c:pt>
                <c:pt idx="43">
                  <c:v>3.897173</c:v>
                </c:pt>
                <c:pt idx="44">
                  <c:v>4.7997459999999998</c:v>
                </c:pt>
                <c:pt idx="45">
                  <c:v>4.4120530000000002</c:v>
                </c:pt>
                <c:pt idx="46">
                  <c:v>4.8609470000000004</c:v>
                </c:pt>
                <c:pt idx="47">
                  <c:v>4.4573</c:v>
                </c:pt>
                <c:pt idx="48">
                  <c:v>4.843693</c:v>
                </c:pt>
                <c:pt idx="49">
                  <c:v>4.5820270000000001</c:v>
                </c:pt>
                <c:pt idx="50">
                  <c:v>4.2548199999999996</c:v>
                </c:pt>
                <c:pt idx="51">
                  <c:v>4.452636</c:v>
                </c:pt>
                <c:pt idx="52">
                  <c:v>4.1505989999999997</c:v>
                </c:pt>
                <c:pt idx="53">
                  <c:v>3.6895799999999999</c:v>
                </c:pt>
                <c:pt idx="54">
                  <c:v>4.3453059999999999</c:v>
                </c:pt>
                <c:pt idx="55">
                  <c:v>5.0394829999999997</c:v>
                </c:pt>
                <c:pt idx="56">
                  <c:v>4.756742</c:v>
                </c:pt>
                <c:pt idx="57">
                  <c:v>4.5708580000000003</c:v>
                </c:pt>
                <c:pt idx="58">
                  <c:v>4.520848</c:v>
                </c:pt>
                <c:pt idx="59">
                  <c:v>5.0604959999999997</c:v>
                </c:pt>
                <c:pt idx="60">
                  <c:v>4.8467359999999999</c:v>
                </c:pt>
                <c:pt idx="61">
                  <c:v>6.0736230000000004</c:v>
                </c:pt>
                <c:pt idx="62">
                  <c:v>6.7510289999999999</c:v>
                </c:pt>
                <c:pt idx="63">
                  <c:v>5.5125650000000004</c:v>
                </c:pt>
                <c:pt idx="64">
                  <c:v>5.4744809999999999</c:v>
                </c:pt>
                <c:pt idx="65">
                  <c:v>4.3537379999999999</c:v>
                </c:pt>
                <c:pt idx="66">
                  <c:v>4.684285</c:v>
                </c:pt>
                <c:pt idx="67">
                  <c:v>4.5085499999999996</c:v>
                </c:pt>
                <c:pt idx="68">
                  <c:v>4.6124150000000004</c:v>
                </c:pt>
                <c:pt idx="69">
                  <c:v>4.4505749999999997</c:v>
                </c:pt>
                <c:pt idx="70">
                  <c:v>4.2343580000000003</c:v>
                </c:pt>
                <c:pt idx="71">
                  <c:v>4.8118299999999996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5738496"/>
        <c:axId val="601209472"/>
      </c:lineChart>
      <c:catAx>
        <c:axId val="5857384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601209472"/>
        <c:crosses val="autoZero"/>
        <c:auto val="1"/>
        <c:lblAlgn val="ctr"/>
        <c:lblOffset val="100"/>
        <c:noMultiLvlLbl val="0"/>
      </c:catAx>
      <c:valAx>
        <c:axId val="6012094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8573849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Sheet8!$D$1</c:f>
              <c:strCache>
                <c:ptCount val="1"/>
                <c:pt idx="0">
                  <c:v>Diff</c:v>
                </c:pt>
              </c:strCache>
            </c:strRef>
          </c:tx>
          <c:marker>
            <c:symbol val="none"/>
          </c:marker>
          <c:cat>
            <c:numRef>
              <c:f>Sheet8!$A$2:$A$59</c:f>
              <c:numCache>
                <c:formatCode>General</c:formatCode>
                <c:ptCount val="58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</c:numCache>
            </c:numRef>
          </c:cat>
          <c:val>
            <c:numRef>
              <c:f>Sheet8!$D$2:$D$59</c:f>
              <c:numCache>
                <c:formatCode>General</c:formatCode>
                <c:ptCount val="58"/>
                <c:pt idx="0">
                  <c:v>0.17764899999999995</c:v>
                </c:pt>
                <c:pt idx="1">
                  <c:v>0.44589999999999996</c:v>
                </c:pt>
                <c:pt idx="2">
                  <c:v>0.2880780000000005</c:v>
                </c:pt>
                <c:pt idx="3">
                  <c:v>-1.7329999999997625E-3</c:v>
                </c:pt>
                <c:pt idx="4">
                  <c:v>-0.10310299999999994</c:v>
                </c:pt>
                <c:pt idx="5">
                  <c:v>9.1834000000000415E-2</c:v>
                </c:pt>
                <c:pt idx="6">
                  <c:v>-0.44512699999999938</c:v>
                </c:pt>
                <c:pt idx="7">
                  <c:v>-0.88378200000000007</c:v>
                </c:pt>
                <c:pt idx="8">
                  <c:v>-1.5154830000000006</c:v>
                </c:pt>
                <c:pt idx="9">
                  <c:v>-1.6689720000000001</c:v>
                </c:pt>
                <c:pt idx="10">
                  <c:v>-2.3268809999999993</c:v>
                </c:pt>
                <c:pt idx="11">
                  <c:v>-2.671678</c:v>
                </c:pt>
                <c:pt idx="12">
                  <c:v>-2.5920710000000007</c:v>
                </c:pt>
                <c:pt idx="13">
                  <c:v>-0.10627800000000054</c:v>
                </c:pt>
                <c:pt idx="14">
                  <c:v>1.0331830000000002</c:v>
                </c:pt>
                <c:pt idx="15">
                  <c:v>-0.70333100000000037</c:v>
                </c:pt>
                <c:pt idx="16">
                  <c:v>-0.60650899999999996</c:v>
                </c:pt>
                <c:pt idx="17">
                  <c:v>-1.4680539999999995</c:v>
                </c:pt>
                <c:pt idx="18">
                  <c:v>-1.2851919999999994</c:v>
                </c:pt>
                <c:pt idx="19">
                  <c:v>3.2058290000000005</c:v>
                </c:pt>
                <c:pt idx="20">
                  <c:v>0.16802500000000009</c:v>
                </c:pt>
                <c:pt idx="21">
                  <c:v>3.9835519999999995</c:v>
                </c:pt>
                <c:pt idx="22">
                  <c:v>3.7411009999999996</c:v>
                </c:pt>
                <c:pt idx="23">
                  <c:v>2.0531430000000004</c:v>
                </c:pt>
                <c:pt idx="24">
                  <c:v>3.1420680000000001</c:v>
                </c:pt>
                <c:pt idx="25">
                  <c:v>2.510762999999999</c:v>
                </c:pt>
                <c:pt idx="26">
                  <c:v>5.9524379999999999</c:v>
                </c:pt>
                <c:pt idx="27">
                  <c:v>2.1467639999999992</c:v>
                </c:pt>
                <c:pt idx="28">
                  <c:v>4.7102619999999993</c:v>
                </c:pt>
                <c:pt idx="29">
                  <c:v>0.44493500000000008</c:v>
                </c:pt>
                <c:pt idx="30">
                  <c:v>-2.0152999999998755E-2</c:v>
                </c:pt>
                <c:pt idx="31">
                  <c:v>4.6396050000000013</c:v>
                </c:pt>
                <c:pt idx="32">
                  <c:v>3.136394000000001</c:v>
                </c:pt>
                <c:pt idx="33">
                  <c:v>6.1106240000000005</c:v>
                </c:pt>
                <c:pt idx="34">
                  <c:v>3.6710109999999991</c:v>
                </c:pt>
                <c:pt idx="35">
                  <c:v>4.3616389999999994</c:v>
                </c:pt>
                <c:pt idx="36">
                  <c:v>3.6895700000000007</c:v>
                </c:pt>
                <c:pt idx="39">
                  <c:v>8.1942360000000001</c:v>
                </c:pt>
                <c:pt idx="40">
                  <c:v>2.7842439999999993</c:v>
                </c:pt>
                <c:pt idx="41">
                  <c:v>2.6420650000000001</c:v>
                </c:pt>
                <c:pt idx="42">
                  <c:v>3.6375130000000002</c:v>
                </c:pt>
                <c:pt idx="43">
                  <c:v>2.9925799999999998</c:v>
                </c:pt>
                <c:pt idx="44">
                  <c:v>11.58156</c:v>
                </c:pt>
                <c:pt idx="45">
                  <c:v>5.2216950000000004</c:v>
                </c:pt>
                <c:pt idx="46">
                  <c:v>7.1364669999999988</c:v>
                </c:pt>
                <c:pt idx="47">
                  <c:v>5.4402679999999997</c:v>
                </c:pt>
                <c:pt idx="48">
                  <c:v>1.9723639999999998</c:v>
                </c:pt>
                <c:pt idx="49">
                  <c:v>7.9701389999999996</c:v>
                </c:pt>
                <c:pt idx="50">
                  <c:v>3.988144000000001</c:v>
                </c:pt>
                <c:pt idx="51">
                  <c:v>3.5687540000000002</c:v>
                </c:pt>
                <c:pt idx="52">
                  <c:v>4.3611319999999996</c:v>
                </c:pt>
                <c:pt idx="53">
                  <c:v>4.1957990000000009</c:v>
                </c:pt>
                <c:pt idx="54">
                  <c:v>3.3721699999999997</c:v>
                </c:pt>
                <c:pt idx="55">
                  <c:v>3.8196570000000003</c:v>
                </c:pt>
                <c:pt idx="56">
                  <c:v>3.6054050000000002</c:v>
                </c:pt>
                <c:pt idx="57">
                  <c:v>4.9980269999999996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2574592"/>
        <c:axId val="492576128"/>
      </c:lineChart>
      <c:catAx>
        <c:axId val="4925745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92576128"/>
        <c:crosses val="autoZero"/>
        <c:auto val="1"/>
        <c:lblAlgn val="ctr"/>
        <c:lblOffset val="100"/>
        <c:noMultiLvlLbl val="0"/>
      </c:catAx>
      <c:valAx>
        <c:axId val="4925761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9257459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Sheet8!$AB$1</c:f>
              <c:strCache>
                <c:ptCount val="1"/>
                <c:pt idx="0">
                  <c:v>curtailment.smooth.cpr</c:v>
                </c:pt>
              </c:strCache>
            </c:strRef>
          </c:tx>
          <c:marker>
            <c:symbol val="none"/>
          </c:marker>
          <c:cat>
            <c:strRef>
              <c:f>Sheet8!$X$2:$X$362</c:f>
              <c:strCache>
                <c:ptCount val="361"/>
                <c:pt idx="99">
                  <c:v>[100</c:v>
                </c:pt>
                <c:pt idx="100">
                  <c:v>[101</c:v>
                </c:pt>
                <c:pt idx="101">
                  <c:v>[102</c:v>
                </c:pt>
                <c:pt idx="102">
                  <c:v>[103</c:v>
                </c:pt>
                <c:pt idx="103">
                  <c:v>[104</c:v>
                </c:pt>
                <c:pt idx="104">
                  <c:v>[105</c:v>
                </c:pt>
                <c:pt idx="105">
                  <c:v>[106</c:v>
                </c:pt>
                <c:pt idx="106">
                  <c:v>[107</c:v>
                </c:pt>
                <c:pt idx="107">
                  <c:v>[108</c:v>
                </c:pt>
                <c:pt idx="108">
                  <c:v>[109</c:v>
                </c:pt>
                <c:pt idx="109">
                  <c:v>[110</c:v>
                </c:pt>
                <c:pt idx="110">
                  <c:v>[111</c:v>
                </c:pt>
                <c:pt idx="111">
                  <c:v>[112</c:v>
                </c:pt>
                <c:pt idx="112">
                  <c:v>[113</c:v>
                </c:pt>
                <c:pt idx="113">
                  <c:v>[114</c:v>
                </c:pt>
                <c:pt idx="114">
                  <c:v>[115</c:v>
                </c:pt>
                <c:pt idx="115">
                  <c:v>[116</c:v>
                </c:pt>
                <c:pt idx="116">
                  <c:v>[117</c:v>
                </c:pt>
                <c:pt idx="117">
                  <c:v>[118</c:v>
                </c:pt>
                <c:pt idx="118">
                  <c:v>[119</c:v>
                </c:pt>
                <c:pt idx="119">
                  <c:v>[120</c:v>
                </c:pt>
                <c:pt idx="120">
                  <c:v>[121</c:v>
                </c:pt>
                <c:pt idx="121">
                  <c:v>[122</c:v>
                </c:pt>
                <c:pt idx="122">
                  <c:v>[123</c:v>
                </c:pt>
                <c:pt idx="123">
                  <c:v>[124</c:v>
                </c:pt>
                <c:pt idx="124">
                  <c:v>[125</c:v>
                </c:pt>
                <c:pt idx="125">
                  <c:v>[126</c:v>
                </c:pt>
                <c:pt idx="126">
                  <c:v>[127</c:v>
                </c:pt>
                <c:pt idx="127">
                  <c:v>[128</c:v>
                </c:pt>
                <c:pt idx="128">
                  <c:v>[129</c:v>
                </c:pt>
                <c:pt idx="129">
                  <c:v>[130</c:v>
                </c:pt>
                <c:pt idx="130">
                  <c:v>[131</c:v>
                </c:pt>
                <c:pt idx="131">
                  <c:v>[132</c:v>
                </c:pt>
                <c:pt idx="132">
                  <c:v>[133</c:v>
                </c:pt>
                <c:pt idx="133">
                  <c:v>[134</c:v>
                </c:pt>
                <c:pt idx="134">
                  <c:v>[135</c:v>
                </c:pt>
                <c:pt idx="135">
                  <c:v>[136</c:v>
                </c:pt>
                <c:pt idx="136">
                  <c:v>[137</c:v>
                </c:pt>
                <c:pt idx="137">
                  <c:v>[138</c:v>
                </c:pt>
                <c:pt idx="138">
                  <c:v>[139</c:v>
                </c:pt>
                <c:pt idx="139">
                  <c:v>[140</c:v>
                </c:pt>
                <c:pt idx="140">
                  <c:v>[141</c:v>
                </c:pt>
                <c:pt idx="141">
                  <c:v>[142</c:v>
                </c:pt>
                <c:pt idx="142">
                  <c:v>[143</c:v>
                </c:pt>
                <c:pt idx="143">
                  <c:v>[144</c:v>
                </c:pt>
                <c:pt idx="144">
                  <c:v>[145</c:v>
                </c:pt>
                <c:pt idx="145">
                  <c:v>[146</c:v>
                </c:pt>
                <c:pt idx="146">
                  <c:v>[147</c:v>
                </c:pt>
                <c:pt idx="147">
                  <c:v>[148</c:v>
                </c:pt>
                <c:pt idx="148">
                  <c:v>[149</c:v>
                </c:pt>
                <c:pt idx="149">
                  <c:v>[150</c:v>
                </c:pt>
                <c:pt idx="150">
                  <c:v>[151</c:v>
                </c:pt>
                <c:pt idx="151">
                  <c:v>[152</c:v>
                </c:pt>
                <c:pt idx="152">
                  <c:v>[153</c:v>
                </c:pt>
                <c:pt idx="153">
                  <c:v>[154</c:v>
                </c:pt>
                <c:pt idx="154">
                  <c:v>[155</c:v>
                </c:pt>
                <c:pt idx="155">
                  <c:v>[156</c:v>
                </c:pt>
                <c:pt idx="156">
                  <c:v>[157</c:v>
                </c:pt>
                <c:pt idx="157">
                  <c:v>[158</c:v>
                </c:pt>
                <c:pt idx="158">
                  <c:v>[159</c:v>
                </c:pt>
                <c:pt idx="159">
                  <c:v>[160</c:v>
                </c:pt>
                <c:pt idx="160">
                  <c:v>[161</c:v>
                </c:pt>
                <c:pt idx="161">
                  <c:v>[162</c:v>
                </c:pt>
                <c:pt idx="162">
                  <c:v>[163</c:v>
                </c:pt>
                <c:pt idx="163">
                  <c:v>[164</c:v>
                </c:pt>
                <c:pt idx="164">
                  <c:v>[165</c:v>
                </c:pt>
                <c:pt idx="165">
                  <c:v>[166</c:v>
                </c:pt>
                <c:pt idx="166">
                  <c:v>[167</c:v>
                </c:pt>
                <c:pt idx="167">
                  <c:v>[168</c:v>
                </c:pt>
                <c:pt idx="168">
                  <c:v>[169</c:v>
                </c:pt>
                <c:pt idx="169">
                  <c:v>[170</c:v>
                </c:pt>
                <c:pt idx="170">
                  <c:v>[171</c:v>
                </c:pt>
                <c:pt idx="171">
                  <c:v>[172</c:v>
                </c:pt>
                <c:pt idx="172">
                  <c:v>[173</c:v>
                </c:pt>
                <c:pt idx="173">
                  <c:v>[174</c:v>
                </c:pt>
                <c:pt idx="174">
                  <c:v>[175</c:v>
                </c:pt>
                <c:pt idx="175">
                  <c:v>[176</c:v>
                </c:pt>
                <c:pt idx="176">
                  <c:v>[177</c:v>
                </c:pt>
                <c:pt idx="177">
                  <c:v>[178</c:v>
                </c:pt>
                <c:pt idx="178">
                  <c:v>[179</c:v>
                </c:pt>
                <c:pt idx="179">
                  <c:v>[180</c:v>
                </c:pt>
                <c:pt idx="180">
                  <c:v>[181</c:v>
                </c:pt>
                <c:pt idx="181">
                  <c:v>[182</c:v>
                </c:pt>
                <c:pt idx="182">
                  <c:v>[183</c:v>
                </c:pt>
                <c:pt idx="183">
                  <c:v>[184</c:v>
                </c:pt>
                <c:pt idx="184">
                  <c:v>[185</c:v>
                </c:pt>
                <c:pt idx="185">
                  <c:v>[186</c:v>
                </c:pt>
                <c:pt idx="186">
                  <c:v>[187</c:v>
                </c:pt>
                <c:pt idx="187">
                  <c:v>[188</c:v>
                </c:pt>
                <c:pt idx="188">
                  <c:v>[189</c:v>
                </c:pt>
                <c:pt idx="189">
                  <c:v>[190</c:v>
                </c:pt>
                <c:pt idx="190">
                  <c:v>[191</c:v>
                </c:pt>
                <c:pt idx="191">
                  <c:v>[192</c:v>
                </c:pt>
                <c:pt idx="192">
                  <c:v>[193</c:v>
                </c:pt>
                <c:pt idx="193">
                  <c:v>[194</c:v>
                </c:pt>
                <c:pt idx="194">
                  <c:v>[195</c:v>
                </c:pt>
                <c:pt idx="195">
                  <c:v>[196</c:v>
                </c:pt>
                <c:pt idx="196">
                  <c:v>[197</c:v>
                </c:pt>
                <c:pt idx="197">
                  <c:v>[198</c:v>
                </c:pt>
                <c:pt idx="198">
                  <c:v>[199</c:v>
                </c:pt>
                <c:pt idx="199">
                  <c:v>[200</c:v>
                </c:pt>
                <c:pt idx="200">
                  <c:v>[201</c:v>
                </c:pt>
                <c:pt idx="201">
                  <c:v>[202</c:v>
                </c:pt>
                <c:pt idx="202">
                  <c:v>[203</c:v>
                </c:pt>
                <c:pt idx="203">
                  <c:v>[204</c:v>
                </c:pt>
                <c:pt idx="204">
                  <c:v>[205</c:v>
                </c:pt>
                <c:pt idx="205">
                  <c:v>[206</c:v>
                </c:pt>
                <c:pt idx="206">
                  <c:v>[207</c:v>
                </c:pt>
                <c:pt idx="207">
                  <c:v>[208</c:v>
                </c:pt>
                <c:pt idx="208">
                  <c:v>[209</c:v>
                </c:pt>
                <c:pt idx="209">
                  <c:v>[210</c:v>
                </c:pt>
                <c:pt idx="210">
                  <c:v>[211</c:v>
                </c:pt>
                <c:pt idx="211">
                  <c:v>[212</c:v>
                </c:pt>
                <c:pt idx="212">
                  <c:v>[213</c:v>
                </c:pt>
                <c:pt idx="213">
                  <c:v>[214</c:v>
                </c:pt>
                <c:pt idx="214">
                  <c:v>[215</c:v>
                </c:pt>
                <c:pt idx="215">
                  <c:v>[216</c:v>
                </c:pt>
                <c:pt idx="216">
                  <c:v>[217</c:v>
                </c:pt>
                <c:pt idx="217">
                  <c:v>[218</c:v>
                </c:pt>
                <c:pt idx="218">
                  <c:v>[219</c:v>
                </c:pt>
                <c:pt idx="219">
                  <c:v>[220</c:v>
                </c:pt>
                <c:pt idx="220">
                  <c:v>[221</c:v>
                </c:pt>
                <c:pt idx="221">
                  <c:v>[222</c:v>
                </c:pt>
                <c:pt idx="222">
                  <c:v>[223</c:v>
                </c:pt>
                <c:pt idx="223">
                  <c:v>[224</c:v>
                </c:pt>
                <c:pt idx="224">
                  <c:v>[225</c:v>
                </c:pt>
                <c:pt idx="225">
                  <c:v>[226</c:v>
                </c:pt>
                <c:pt idx="226">
                  <c:v>[227</c:v>
                </c:pt>
                <c:pt idx="227">
                  <c:v>[228</c:v>
                </c:pt>
                <c:pt idx="228">
                  <c:v>[229</c:v>
                </c:pt>
                <c:pt idx="229">
                  <c:v>[230</c:v>
                </c:pt>
                <c:pt idx="230">
                  <c:v>[231</c:v>
                </c:pt>
                <c:pt idx="231">
                  <c:v>[232</c:v>
                </c:pt>
                <c:pt idx="232">
                  <c:v>[233</c:v>
                </c:pt>
                <c:pt idx="233">
                  <c:v>[234</c:v>
                </c:pt>
                <c:pt idx="234">
                  <c:v>[235</c:v>
                </c:pt>
                <c:pt idx="235">
                  <c:v>[236</c:v>
                </c:pt>
                <c:pt idx="236">
                  <c:v>[237</c:v>
                </c:pt>
                <c:pt idx="237">
                  <c:v>[238</c:v>
                </c:pt>
                <c:pt idx="238">
                  <c:v>[239</c:v>
                </c:pt>
                <c:pt idx="239">
                  <c:v>[240</c:v>
                </c:pt>
                <c:pt idx="240">
                  <c:v>[241</c:v>
                </c:pt>
                <c:pt idx="241">
                  <c:v>[242</c:v>
                </c:pt>
                <c:pt idx="242">
                  <c:v>[243</c:v>
                </c:pt>
                <c:pt idx="243">
                  <c:v>[244</c:v>
                </c:pt>
                <c:pt idx="244">
                  <c:v>[245</c:v>
                </c:pt>
                <c:pt idx="245">
                  <c:v>[246</c:v>
                </c:pt>
                <c:pt idx="246">
                  <c:v>[247</c:v>
                </c:pt>
                <c:pt idx="247">
                  <c:v>[248</c:v>
                </c:pt>
                <c:pt idx="248">
                  <c:v>[249</c:v>
                </c:pt>
                <c:pt idx="249">
                  <c:v>[250</c:v>
                </c:pt>
                <c:pt idx="250">
                  <c:v>[251</c:v>
                </c:pt>
                <c:pt idx="251">
                  <c:v>[252</c:v>
                </c:pt>
                <c:pt idx="252">
                  <c:v>[253</c:v>
                </c:pt>
                <c:pt idx="253">
                  <c:v>[254</c:v>
                </c:pt>
                <c:pt idx="254">
                  <c:v>[255</c:v>
                </c:pt>
                <c:pt idx="255">
                  <c:v>[256</c:v>
                </c:pt>
                <c:pt idx="256">
                  <c:v>[257</c:v>
                </c:pt>
                <c:pt idx="257">
                  <c:v>[258</c:v>
                </c:pt>
                <c:pt idx="258">
                  <c:v>[259</c:v>
                </c:pt>
                <c:pt idx="259">
                  <c:v>[260</c:v>
                </c:pt>
                <c:pt idx="260">
                  <c:v>[261</c:v>
                </c:pt>
                <c:pt idx="261">
                  <c:v>[262</c:v>
                </c:pt>
                <c:pt idx="262">
                  <c:v>[263</c:v>
                </c:pt>
                <c:pt idx="263">
                  <c:v>[264</c:v>
                </c:pt>
                <c:pt idx="264">
                  <c:v>[265</c:v>
                </c:pt>
                <c:pt idx="265">
                  <c:v>[266</c:v>
                </c:pt>
                <c:pt idx="266">
                  <c:v>[267</c:v>
                </c:pt>
                <c:pt idx="267">
                  <c:v>[268</c:v>
                </c:pt>
                <c:pt idx="268">
                  <c:v>[269</c:v>
                </c:pt>
                <c:pt idx="269">
                  <c:v>[270</c:v>
                </c:pt>
                <c:pt idx="270">
                  <c:v>[271</c:v>
                </c:pt>
                <c:pt idx="271">
                  <c:v>[272</c:v>
                </c:pt>
                <c:pt idx="272">
                  <c:v>[273</c:v>
                </c:pt>
                <c:pt idx="273">
                  <c:v>[274</c:v>
                </c:pt>
                <c:pt idx="274">
                  <c:v>[275</c:v>
                </c:pt>
                <c:pt idx="275">
                  <c:v>[276</c:v>
                </c:pt>
                <c:pt idx="276">
                  <c:v>[277</c:v>
                </c:pt>
                <c:pt idx="277">
                  <c:v>[278</c:v>
                </c:pt>
                <c:pt idx="278">
                  <c:v>[279</c:v>
                </c:pt>
                <c:pt idx="279">
                  <c:v>[280</c:v>
                </c:pt>
                <c:pt idx="280">
                  <c:v>[281</c:v>
                </c:pt>
                <c:pt idx="281">
                  <c:v>[282</c:v>
                </c:pt>
                <c:pt idx="282">
                  <c:v>[283</c:v>
                </c:pt>
                <c:pt idx="283">
                  <c:v>[284</c:v>
                </c:pt>
                <c:pt idx="284">
                  <c:v>[285</c:v>
                </c:pt>
                <c:pt idx="285">
                  <c:v>[286</c:v>
                </c:pt>
                <c:pt idx="286">
                  <c:v>[287</c:v>
                </c:pt>
                <c:pt idx="287">
                  <c:v>[288</c:v>
                </c:pt>
                <c:pt idx="288">
                  <c:v>[289</c:v>
                </c:pt>
                <c:pt idx="289">
                  <c:v>[290</c:v>
                </c:pt>
                <c:pt idx="290">
                  <c:v>[291</c:v>
                </c:pt>
                <c:pt idx="291">
                  <c:v>[292</c:v>
                </c:pt>
                <c:pt idx="292">
                  <c:v>[293</c:v>
                </c:pt>
                <c:pt idx="293">
                  <c:v>[294</c:v>
                </c:pt>
                <c:pt idx="294">
                  <c:v>[295</c:v>
                </c:pt>
                <c:pt idx="295">
                  <c:v>[296</c:v>
                </c:pt>
                <c:pt idx="296">
                  <c:v>[297</c:v>
                </c:pt>
                <c:pt idx="297">
                  <c:v>[298</c:v>
                </c:pt>
                <c:pt idx="298">
                  <c:v>[299</c:v>
                </c:pt>
                <c:pt idx="299">
                  <c:v>[300</c:v>
                </c:pt>
                <c:pt idx="300">
                  <c:v>[301</c:v>
                </c:pt>
                <c:pt idx="301">
                  <c:v>[302</c:v>
                </c:pt>
                <c:pt idx="302">
                  <c:v>[303</c:v>
                </c:pt>
                <c:pt idx="303">
                  <c:v>[304</c:v>
                </c:pt>
                <c:pt idx="304">
                  <c:v>[305</c:v>
                </c:pt>
                <c:pt idx="305">
                  <c:v>[306</c:v>
                </c:pt>
                <c:pt idx="306">
                  <c:v>[307</c:v>
                </c:pt>
                <c:pt idx="307">
                  <c:v>[308</c:v>
                </c:pt>
                <c:pt idx="308">
                  <c:v>[309</c:v>
                </c:pt>
                <c:pt idx="309">
                  <c:v>[310</c:v>
                </c:pt>
                <c:pt idx="310">
                  <c:v>[311</c:v>
                </c:pt>
                <c:pt idx="311">
                  <c:v>[312</c:v>
                </c:pt>
                <c:pt idx="312">
                  <c:v>[313</c:v>
                </c:pt>
                <c:pt idx="313">
                  <c:v>[314</c:v>
                </c:pt>
                <c:pt idx="314">
                  <c:v>[315</c:v>
                </c:pt>
                <c:pt idx="315">
                  <c:v>[316</c:v>
                </c:pt>
                <c:pt idx="316">
                  <c:v>[317</c:v>
                </c:pt>
                <c:pt idx="317">
                  <c:v>[318</c:v>
                </c:pt>
                <c:pt idx="318">
                  <c:v>[319</c:v>
                </c:pt>
                <c:pt idx="319">
                  <c:v>[320</c:v>
                </c:pt>
                <c:pt idx="320">
                  <c:v>[321</c:v>
                </c:pt>
                <c:pt idx="321">
                  <c:v>[322</c:v>
                </c:pt>
                <c:pt idx="322">
                  <c:v>[323</c:v>
                </c:pt>
                <c:pt idx="323">
                  <c:v>[324</c:v>
                </c:pt>
                <c:pt idx="324">
                  <c:v>[325</c:v>
                </c:pt>
                <c:pt idx="325">
                  <c:v>[326</c:v>
                </c:pt>
                <c:pt idx="326">
                  <c:v>[327</c:v>
                </c:pt>
                <c:pt idx="327">
                  <c:v>[328</c:v>
                </c:pt>
                <c:pt idx="328">
                  <c:v>[329</c:v>
                </c:pt>
                <c:pt idx="329">
                  <c:v>[330</c:v>
                </c:pt>
                <c:pt idx="330">
                  <c:v>[331</c:v>
                </c:pt>
                <c:pt idx="331">
                  <c:v>[332</c:v>
                </c:pt>
                <c:pt idx="332">
                  <c:v>[333</c:v>
                </c:pt>
                <c:pt idx="333">
                  <c:v>[334</c:v>
                </c:pt>
                <c:pt idx="334">
                  <c:v>[335</c:v>
                </c:pt>
                <c:pt idx="335">
                  <c:v>[336</c:v>
                </c:pt>
                <c:pt idx="336">
                  <c:v>[337</c:v>
                </c:pt>
                <c:pt idx="337">
                  <c:v>[338</c:v>
                </c:pt>
                <c:pt idx="338">
                  <c:v>[339</c:v>
                </c:pt>
                <c:pt idx="339">
                  <c:v>[340</c:v>
                </c:pt>
                <c:pt idx="340">
                  <c:v>[341</c:v>
                </c:pt>
                <c:pt idx="341">
                  <c:v>[342</c:v>
                </c:pt>
                <c:pt idx="342">
                  <c:v>[343</c:v>
                </c:pt>
                <c:pt idx="343">
                  <c:v>[344</c:v>
                </c:pt>
                <c:pt idx="344">
                  <c:v>[345</c:v>
                </c:pt>
                <c:pt idx="345">
                  <c:v>[346</c:v>
                </c:pt>
                <c:pt idx="346">
                  <c:v>[347</c:v>
                </c:pt>
                <c:pt idx="347">
                  <c:v>[348</c:v>
                </c:pt>
                <c:pt idx="348">
                  <c:v>[349</c:v>
                </c:pt>
                <c:pt idx="349">
                  <c:v>[350</c:v>
                </c:pt>
                <c:pt idx="350">
                  <c:v>[351</c:v>
                </c:pt>
                <c:pt idx="351">
                  <c:v>[352</c:v>
                </c:pt>
                <c:pt idx="352">
                  <c:v>[353</c:v>
                </c:pt>
                <c:pt idx="353">
                  <c:v>[354</c:v>
                </c:pt>
                <c:pt idx="354">
                  <c:v>[355</c:v>
                </c:pt>
                <c:pt idx="355">
                  <c:v>[356</c:v>
                </c:pt>
                <c:pt idx="356">
                  <c:v>[357</c:v>
                </c:pt>
                <c:pt idx="357">
                  <c:v>[358</c:v>
                </c:pt>
                <c:pt idx="358">
                  <c:v>[359</c:v>
                </c:pt>
                <c:pt idx="359">
                  <c:v>[360</c:v>
                </c:pt>
                <c:pt idx="360">
                  <c:v>[361</c:v>
                </c:pt>
              </c:strCache>
            </c:strRef>
          </c:cat>
          <c:val>
            <c:numRef>
              <c:f>Sheet8!$Z$2:$Z$362</c:f>
              <c:numCache>
                <c:formatCode>0.00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4200448"/>
        <c:axId val="614201984"/>
      </c:lineChart>
      <c:catAx>
        <c:axId val="6142004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614201984"/>
        <c:crosses val="autoZero"/>
        <c:auto val="1"/>
        <c:lblAlgn val="ctr"/>
        <c:lblOffset val="100"/>
        <c:noMultiLvlLbl val="0"/>
      </c:catAx>
      <c:valAx>
        <c:axId val="614201984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61420044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8.xml"/><Relationship Id="rId5" Type="http://schemas.openxmlformats.org/officeDocument/2006/relationships/chart" Target="../charts/chart9.xml"/><Relationship Id="rId4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4" Type="http://schemas.openxmlformats.org/officeDocument/2006/relationships/chart" Target="../charts/chart15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85724</xdr:colOff>
      <xdr:row>2</xdr:row>
      <xdr:rowOff>14287</xdr:rowOff>
    </xdr:from>
    <xdr:to>
      <xdr:col>23</xdr:col>
      <xdr:colOff>323849</xdr:colOff>
      <xdr:row>23</xdr:row>
      <xdr:rowOff>142875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5</xdr:row>
      <xdr:rowOff>0</xdr:rowOff>
    </xdr:from>
    <xdr:to>
      <xdr:col>23</xdr:col>
      <xdr:colOff>238125</xdr:colOff>
      <xdr:row>26</xdr:row>
      <xdr:rowOff>128588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447675</xdr:colOff>
      <xdr:row>24</xdr:row>
      <xdr:rowOff>23812</xdr:rowOff>
    </xdr:from>
    <xdr:to>
      <xdr:col>31</xdr:col>
      <xdr:colOff>142875</xdr:colOff>
      <xdr:row>38</xdr:row>
      <xdr:rowOff>100012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495300</xdr:colOff>
      <xdr:row>8</xdr:row>
      <xdr:rowOff>14287</xdr:rowOff>
    </xdr:from>
    <xdr:to>
      <xdr:col>31</xdr:col>
      <xdr:colOff>190500</xdr:colOff>
      <xdr:row>22</xdr:row>
      <xdr:rowOff>90487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476250</xdr:colOff>
      <xdr:row>40</xdr:row>
      <xdr:rowOff>4762</xdr:rowOff>
    </xdr:from>
    <xdr:to>
      <xdr:col>31</xdr:col>
      <xdr:colOff>171450</xdr:colOff>
      <xdr:row>54</xdr:row>
      <xdr:rowOff>80962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31</xdr:col>
      <xdr:colOff>438150</xdr:colOff>
      <xdr:row>24</xdr:row>
      <xdr:rowOff>4762</xdr:rowOff>
    </xdr:from>
    <xdr:to>
      <xdr:col>39</xdr:col>
      <xdr:colOff>133350</xdr:colOff>
      <xdr:row>38</xdr:row>
      <xdr:rowOff>80962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31</xdr:col>
      <xdr:colOff>390525</xdr:colOff>
      <xdr:row>41</xdr:row>
      <xdr:rowOff>4762</xdr:rowOff>
    </xdr:from>
    <xdr:to>
      <xdr:col>39</xdr:col>
      <xdr:colOff>85725</xdr:colOff>
      <xdr:row>55</xdr:row>
      <xdr:rowOff>80962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247650</xdr:colOff>
      <xdr:row>7</xdr:row>
      <xdr:rowOff>100012</xdr:rowOff>
    </xdr:from>
    <xdr:to>
      <xdr:col>15</xdr:col>
      <xdr:colOff>552450</xdr:colOff>
      <xdr:row>21</xdr:row>
      <xdr:rowOff>176212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504825</xdr:colOff>
      <xdr:row>25</xdr:row>
      <xdr:rowOff>9525</xdr:rowOff>
    </xdr:from>
    <xdr:to>
      <xdr:col>19</xdr:col>
      <xdr:colOff>0</xdr:colOff>
      <xdr:row>47</xdr:row>
      <xdr:rowOff>117412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20025" y="4772025"/>
          <a:ext cx="3762375" cy="4298887"/>
        </a:xfrm>
        <a:prstGeom prst="rect">
          <a:avLst/>
        </a:prstGeom>
      </xdr:spPr>
    </xdr:pic>
    <xdr:clientData/>
  </xdr:twoCellAnchor>
  <xdr:twoCellAnchor editAs="oneCell">
    <xdr:from>
      <xdr:col>19</xdr:col>
      <xdr:colOff>28576</xdr:colOff>
      <xdr:row>24</xdr:row>
      <xdr:rowOff>161925</xdr:rowOff>
    </xdr:from>
    <xdr:to>
      <xdr:col>25</xdr:col>
      <xdr:colOff>213990</xdr:colOff>
      <xdr:row>47</xdr:row>
      <xdr:rowOff>171450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610976" y="4733925"/>
          <a:ext cx="3843014" cy="4391025"/>
        </a:xfrm>
        <a:prstGeom prst="rect">
          <a:avLst/>
        </a:prstGeom>
      </xdr:spPr>
    </xdr:pic>
    <xdr:clientData/>
  </xdr:twoCellAnchor>
  <xdr:twoCellAnchor editAs="oneCell">
    <xdr:from>
      <xdr:col>6</xdr:col>
      <xdr:colOff>314325</xdr:colOff>
      <xdr:row>25</xdr:row>
      <xdr:rowOff>73711</xdr:rowOff>
    </xdr:from>
    <xdr:to>
      <xdr:col>12</xdr:col>
      <xdr:colOff>476250</xdr:colOff>
      <xdr:row>48</xdr:row>
      <xdr:rowOff>56397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971925" y="4836211"/>
          <a:ext cx="3819525" cy="4364186"/>
        </a:xfrm>
        <a:prstGeom prst="rect">
          <a:avLst/>
        </a:prstGeom>
      </xdr:spPr>
    </xdr:pic>
    <xdr:clientData/>
  </xdr:twoCellAnchor>
  <xdr:twoCellAnchor>
    <xdr:from>
      <xdr:col>16</xdr:col>
      <xdr:colOff>561975</xdr:colOff>
      <xdr:row>7</xdr:row>
      <xdr:rowOff>61912</xdr:rowOff>
    </xdr:from>
    <xdr:to>
      <xdr:col>24</xdr:col>
      <xdr:colOff>257175</xdr:colOff>
      <xdr:row>21</xdr:row>
      <xdr:rowOff>138112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561975</xdr:colOff>
      <xdr:row>12</xdr:row>
      <xdr:rowOff>80962</xdr:rowOff>
    </xdr:from>
    <xdr:to>
      <xdr:col>15</xdr:col>
      <xdr:colOff>257175</xdr:colOff>
      <xdr:row>26</xdr:row>
      <xdr:rowOff>157162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200025</xdr:colOff>
      <xdr:row>30</xdr:row>
      <xdr:rowOff>138112</xdr:rowOff>
    </xdr:from>
    <xdr:to>
      <xdr:col>15</xdr:col>
      <xdr:colOff>504825</xdr:colOff>
      <xdr:row>45</xdr:row>
      <xdr:rowOff>23812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381000</xdr:colOff>
      <xdr:row>6</xdr:row>
      <xdr:rowOff>71436</xdr:rowOff>
    </xdr:from>
    <xdr:to>
      <xdr:col>14</xdr:col>
      <xdr:colOff>600075</xdr:colOff>
      <xdr:row>25</xdr:row>
      <xdr:rowOff>180975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285750</xdr:colOff>
      <xdr:row>27</xdr:row>
      <xdr:rowOff>176212</xdr:rowOff>
    </xdr:from>
    <xdr:to>
      <xdr:col>14</xdr:col>
      <xdr:colOff>485775</xdr:colOff>
      <xdr:row>48</xdr:row>
      <xdr:rowOff>133350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504825</xdr:colOff>
      <xdr:row>44</xdr:row>
      <xdr:rowOff>138112</xdr:rowOff>
    </xdr:from>
    <xdr:to>
      <xdr:col>30</xdr:col>
      <xdr:colOff>200025</xdr:colOff>
      <xdr:row>59</xdr:row>
      <xdr:rowOff>23812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31</xdr:col>
      <xdr:colOff>304800</xdr:colOff>
      <xdr:row>44</xdr:row>
      <xdr:rowOff>109537</xdr:rowOff>
    </xdr:from>
    <xdr:to>
      <xdr:col>39</xdr:col>
      <xdr:colOff>0</xdr:colOff>
      <xdr:row>58</xdr:row>
      <xdr:rowOff>185737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447675</xdr:colOff>
      <xdr:row>11</xdr:row>
      <xdr:rowOff>100012</xdr:rowOff>
    </xdr:from>
    <xdr:to>
      <xdr:col>21</xdr:col>
      <xdr:colOff>142875</xdr:colOff>
      <xdr:row>25</xdr:row>
      <xdr:rowOff>176212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514350</xdr:colOff>
      <xdr:row>27</xdr:row>
      <xdr:rowOff>185737</xdr:rowOff>
    </xdr:from>
    <xdr:to>
      <xdr:col>21</xdr:col>
      <xdr:colOff>209550</xdr:colOff>
      <xdr:row>42</xdr:row>
      <xdr:rowOff>71437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533400</xdr:colOff>
      <xdr:row>11</xdr:row>
      <xdr:rowOff>138112</xdr:rowOff>
    </xdr:from>
    <xdr:to>
      <xdr:col>13</xdr:col>
      <xdr:colOff>228600</xdr:colOff>
      <xdr:row>26</xdr:row>
      <xdr:rowOff>23812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ien Chen" refreshedDate="42689.701017939813" createdVersion="4" refreshedVersion="4" minRefreshableVersion="3" recordCount="562">
  <cacheSource type="worksheet">
    <worksheetSource ref="R1:W1048576" sheet="total smm"/>
  </cacheSource>
  <cacheFields count="6">
    <cacheField name="wala" numFmtId="0">
      <sharedItems containsString="0" containsBlank="1" containsNumber="1" containsInteger="1" minValue="1" maxValue="359" count="36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m/>
      </sharedItems>
    </cacheField>
    <cacheField name="marketTicker" numFmtId="0">
      <sharedItems containsBlank="1" count="5">
        <s v="FGLMC"/>
        <s v="FGT6"/>
        <s v="FGU6"/>
        <s v="FGU9"/>
        <m/>
      </sharedItems>
    </cacheField>
    <cacheField name="count(1)" numFmtId="0">
      <sharedItems containsString="0" containsBlank="1" containsNumber="1" containsInteger="1" minValue="12" maxValue="41800"/>
    </cacheField>
    <cacheField name="sum(p.bal)" numFmtId="0">
      <sharedItems containsString="0" containsBlank="1" containsNumber="1" minValue="10431.66" maxValue="757530186576.48999"/>
    </cacheField>
    <cacheField name="smm" numFmtId="0">
      <sharedItems containsString="0" containsBlank="1" containsNumber="1" minValue="3.32580286232863E-4" maxValue="0.44455857835050799"/>
    </cacheField>
    <cacheField name="cpr new" numFmtId="0">
      <sharedItems containsString="0" containsBlank="1" containsNumber="1" minValue="0.39836712851025746" maxValue="99.91376984517054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62">
  <r>
    <x v="0"/>
    <x v="0"/>
    <n v="508"/>
    <n v="7242944429.9099998"/>
    <n v="1.65257056426873E-3"/>
    <n v="1.9651590677712716"/>
  </r>
  <r>
    <x v="1"/>
    <x v="0"/>
    <n v="19751"/>
    <n v="402637472397.59998"/>
    <n v="3.2344397793946798E-3"/>
    <n v="3.8130202043245354"/>
  </r>
  <r>
    <x v="1"/>
    <x v="1"/>
    <n v="137"/>
    <n v="5328834872.9499998"/>
    <n v="3.4873049056462898E-3"/>
    <n v="4.1054270794191545"/>
  </r>
  <r>
    <x v="1"/>
    <x v="2"/>
    <n v="439"/>
    <n v="5294020046.8999996"/>
    <n v="3.32580286232863E-4"/>
    <n v="0.39836712851025746"/>
  </r>
  <r>
    <x v="1"/>
    <x v="3"/>
    <n v="254"/>
    <n v="2905825560.0799999"/>
    <n v="6.4679896487277301E-4"/>
    <n v="0.77340359937462244"/>
  </r>
  <r>
    <x v="2"/>
    <x v="0"/>
    <n v="34621"/>
    <n v="735993589388.02002"/>
    <n v="4.4724689878608802E-3"/>
    <n v="5.2368916395914571"/>
  </r>
  <r>
    <x v="2"/>
    <x v="1"/>
    <n v="242"/>
    <n v="9272483497.8899994"/>
    <n v="4.37912996214388E-3"/>
    <n v="5.1302186423993756"/>
  </r>
  <r>
    <x v="2"/>
    <x v="2"/>
    <n v="669"/>
    <n v="7486226575.6000004"/>
    <n v="8.8539732728948903E-4"/>
    <n v="1.0573181046901969"/>
  </r>
  <r>
    <x v="2"/>
    <x v="3"/>
    <n v="383"/>
    <n v="4054401666.4000001"/>
    <n v="3.5487525015209201E-4"/>
    <n v="0.42502010209095609"/>
  </r>
  <r>
    <x v="3"/>
    <x v="0"/>
    <n v="36834"/>
    <n v="757530186576.48999"/>
    <n v="6.60427338876094E-3"/>
    <n v="7.6435036731343775"/>
  </r>
  <r>
    <x v="3"/>
    <x v="1"/>
    <n v="273"/>
    <n v="10046544264.26"/>
    <n v="8.2373740139522998E-3"/>
    <n v="9.4490820141989289"/>
  </r>
  <r>
    <x v="3"/>
    <x v="2"/>
    <n v="695"/>
    <n v="7519635783.5900002"/>
    <n v="6.3188835674432195E-4"/>
    <n v="0.75563630374863022"/>
  </r>
  <r>
    <x v="3"/>
    <x v="3"/>
    <n v="410"/>
    <n v="4451227681.3900003"/>
    <n v="5.3969369928654495E-4"/>
    <n v="0.6457135159566918"/>
  </r>
  <r>
    <x v="4"/>
    <x v="0"/>
    <n v="37462"/>
    <n v="754525887563.77002"/>
    <n v="8.9693876819327608E-3"/>
    <n v="10.247854855906358"/>
  </r>
  <r>
    <x v="4"/>
    <x v="1"/>
    <n v="276"/>
    <n v="9961745274.7700005"/>
    <n v="1.3779827691288001E-2"/>
    <n v="15.338379502098686"/>
  </r>
  <r>
    <x v="4"/>
    <x v="2"/>
    <n v="699"/>
    <n v="7514474997.3599997"/>
    <n v="1.2853807582795199E-3"/>
    <n v="1.5315989523486229"/>
  </r>
  <r>
    <x v="4"/>
    <x v="3"/>
    <n v="412"/>
    <n v="4505666266.8500004"/>
    <n v="7.9278698429259802E-4"/>
    <n v="0.94720714974692033"/>
  </r>
  <r>
    <x v="5"/>
    <x v="0"/>
    <n v="37713"/>
    <n v="748524709170.54004"/>
    <n v="1.02134324989855E-2"/>
    <n v="11.590554256077045"/>
  </r>
  <r>
    <x v="5"/>
    <x v="1"/>
    <n v="273"/>
    <n v="9560488311.3400002"/>
    <n v="2.1408464505535699E-2"/>
    <n v="22.871042884464355"/>
  </r>
  <r>
    <x v="5"/>
    <x v="2"/>
    <n v="698"/>
    <n v="7528662061.2700005"/>
    <n v="1.6461405898420499E-3"/>
    <n v="1.9575819398309102"/>
  </r>
  <r>
    <x v="5"/>
    <x v="3"/>
    <n v="413"/>
    <n v="4490933131.7200003"/>
    <n v="1.43851858333332E-3"/>
    <n v="1.7126299619176777"/>
  </r>
  <r>
    <x v="6"/>
    <x v="0"/>
    <n v="38105"/>
    <n v="745862568681.93005"/>
    <n v="1.11703660578618E-2"/>
    <n v="12.610817194464108"/>
  </r>
  <r>
    <x v="6"/>
    <x v="1"/>
    <n v="272"/>
    <n v="9336273819.7999992"/>
    <n v="2.80393909226236E-2"/>
    <n v="28.914016880606376"/>
  </r>
  <r>
    <x v="6"/>
    <x v="2"/>
    <n v="692"/>
    <n v="7512836104.1599998"/>
    <n v="2.5224210463421302E-3"/>
    <n v="2.9852631292811016"/>
  </r>
  <r>
    <x v="6"/>
    <x v="3"/>
    <n v="413"/>
    <n v="4480647214.0500002"/>
    <n v="1.8555606983062501E-3"/>
    <n v="2.2040883121586252"/>
  </r>
  <r>
    <x v="7"/>
    <x v="0"/>
    <n v="38391"/>
    <n v="735259462464.06006"/>
    <n v="1.1989616171704E-2"/>
    <n v="13.475697357132466"/>
  </r>
  <r>
    <x v="7"/>
    <x v="1"/>
    <n v="271"/>
    <n v="9059265115.5799999"/>
    <n v="2.6470933781559802E-2"/>
    <n v="27.525192415036482"/>
  </r>
  <r>
    <x v="7"/>
    <x v="2"/>
    <n v="690"/>
    <n v="7574118309.04"/>
    <n v="1.7655203886653801E-3"/>
    <n v="2.0981724472187824"/>
  </r>
  <r>
    <x v="7"/>
    <x v="3"/>
    <n v="411"/>
    <n v="4470059109.6700001"/>
    <n v="2.5378612520441301E-3"/>
    <n v="3.0032821805867305"/>
  </r>
  <r>
    <x v="8"/>
    <x v="0"/>
    <n v="38688"/>
    <n v="720415166960.51001"/>
    <n v="1.22913230885338E-2"/>
    <n v="13.79222659578061"/>
  </r>
  <r>
    <x v="8"/>
    <x v="1"/>
    <n v="270"/>
    <n v="8775257893.1399994"/>
    <n v="2.7720222049030199E-2"/>
    <n v="28.633394953373838"/>
  </r>
  <r>
    <x v="8"/>
    <x v="2"/>
    <n v="685"/>
    <n v="7537543715.9399996"/>
    <n v="3.2625910623543999E-3"/>
    <n v="3.8456140228140812"/>
  </r>
  <r>
    <x v="8"/>
    <x v="3"/>
    <n v="407"/>
    <n v="4435506438.3100004"/>
    <n v="2.38488985765732E-3"/>
    <n v="2.8246258361996013"/>
  </r>
  <r>
    <x v="9"/>
    <x v="0"/>
    <n v="38850"/>
    <n v="712526846837.01001"/>
    <n v="1.29366238159817E-2"/>
    <n v="14.465669832615113"/>
  </r>
  <r>
    <x v="9"/>
    <x v="1"/>
    <n v="268"/>
    <n v="8527666414.79"/>
    <n v="2.7207867664566301E-2"/>
    <n v="28.180794915766171"/>
  </r>
  <r>
    <x v="9"/>
    <x v="2"/>
    <n v="682"/>
    <n v="7455879887.5600004"/>
    <n v="2.8838802462289401E-3"/>
    <n v="3.4062898967748056"/>
  </r>
  <r>
    <x v="9"/>
    <x v="3"/>
    <n v="404"/>
    <n v="4445607037.7600002"/>
    <n v="2.4687976475325701E-3"/>
    <n v="2.9226596363898238"/>
  </r>
  <r>
    <x v="10"/>
    <x v="0"/>
    <n v="39084"/>
    <n v="703420172428.04004"/>
    <n v="1.4037760937833399E-2"/>
    <n v="15.603703570882399"/>
  </r>
  <r>
    <x v="10"/>
    <x v="1"/>
    <n v="266"/>
    <n v="8227544116.3299999"/>
    <n v="2.4564020965467798E-2"/>
    <n v="25.803187825531037"/>
  </r>
  <r>
    <x v="10"/>
    <x v="2"/>
    <n v="678"/>
    <n v="7449528723.6599998"/>
    <n v="3.0239726266080998E-3"/>
    <n v="3.5690182775687362"/>
  </r>
  <r>
    <x v="10"/>
    <x v="3"/>
    <n v="406"/>
    <n v="4405024806.2299995"/>
    <n v="2.6824503754061899E-3"/>
    <n v="3.1718719713803245"/>
  </r>
  <r>
    <x v="11"/>
    <x v="0"/>
    <n v="39218"/>
    <n v="696710782560.81995"/>
    <n v="1.47024203064082E-2"/>
    <n v="16.283899290342685"/>
  </r>
  <r>
    <x v="11"/>
    <x v="1"/>
    <n v="263"/>
    <n v="7960430135.0900002"/>
    <n v="2.0974623446695699E-2"/>
    <n v="22.459715970541382"/>
  </r>
  <r>
    <x v="11"/>
    <x v="2"/>
    <n v="679"/>
    <n v="7416300833.3400002"/>
    <n v="3.3252581530026702E-3"/>
    <n v="3.9181342151454635"/>
  </r>
  <r>
    <x v="11"/>
    <x v="3"/>
    <n v="399"/>
    <n v="4350550800.3900003"/>
    <n v="2.3166574183569998E-3"/>
    <n v="2.7448394629911665"/>
  </r>
  <r>
    <x v="12"/>
    <x v="0"/>
    <n v="39451"/>
    <n v="683446542729.19995"/>
    <n v="1.55777916761886E-2"/>
    <n v="17.172065265052606"/>
  </r>
  <r>
    <x v="12"/>
    <x v="1"/>
    <n v="262"/>
    <n v="7741219294.6300001"/>
    <n v="2.1069180101105901E-2"/>
    <n v="22.549536600474173"/>
  </r>
  <r>
    <x v="12"/>
    <x v="2"/>
    <n v="676"/>
    <n v="7372287082.1700001"/>
    <n v="3.8051455318447E-3"/>
    <n v="4.4718141435918675"/>
  </r>
  <r>
    <x v="12"/>
    <x v="3"/>
    <n v="401"/>
    <n v="4351605982.1999998"/>
    <n v="2.7137564697574199E-3"/>
    <n v="3.2083392396712873"/>
  </r>
  <r>
    <x v="13"/>
    <x v="0"/>
    <n v="39565"/>
    <n v="670576040526.70996"/>
    <n v="1.59301317936076E-2"/>
    <n v="17.52711077511989"/>
  </r>
  <r>
    <x v="13"/>
    <x v="1"/>
    <n v="260"/>
    <n v="7540671737.2600002"/>
    <n v="2.06232028574093E-2"/>
    <n v="22.125059319780839"/>
  </r>
  <r>
    <x v="13"/>
    <x v="2"/>
    <n v="666"/>
    <n v="7261517101.4399996"/>
    <n v="3.9708170844626103E-3"/>
    <n v="4.6622809171854236"/>
  </r>
  <r>
    <x v="13"/>
    <x v="3"/>
    <n v="395"/>
    <n v="4249774827.3699999"/>
    <n v="3.46528110056761E-3"/>
    <n v="4.0799917371810546"/>
  </r>
  <r>
    <x v="14"/>
    <x v="0"/>
    <n v="39879"/>
    <n v="662554049653.87"/>
    <n v="1.65028549439812E-2"/>
    <n v="18.101255750626887"/>
  </r>
  <r>
    <x v="14"/>
    <x v="1"/>
    <n v="257"/>
    <n v="7218678872.8800001"/>
    <n v="1.9350350542311701E-2"/>
    <n v="20.901813013825198"/>
  </r>
  <r>
    <x v="14"/>
    <x v="2"/>
    <n v="670"/>
    <n v="7298645295.1999998"/>
    <n v="4.3731656098390604E-3"/>
    <n v="5.1233985108434794"/>
  </r>
  <r>
    <x v="14"/>
    <x v="3"/>
    <n v="391"/>
    <n v="4293187646.2199998"/>
    <n v="2.99219795310247E-3"/>
    <n v="3.532131531629501"/>
  </r>
  <r>
    <x v="15"/>
    <x v="0"/>
    <n v="39932"/>
    <n v="652692337773.17004"/>
    <n v="1.6999497345225201E-2"/>
    <n v="18.596162458712417"/>
  </r>
  <r>
    <x v="15"/>
    <x v="1"/>
    <n v="256"/>
    <n v="6951229430.0699997"/>
    <n v="1.89588673136897E-2"/>
    <n v="20.522060342778147"/>
  </r>
  <r>
    <x v="15"/>
    <x v="2"/>
    <n v="665"/>
    <n v="7142064284.0299997"/>
    <n v="4.0165176438223997E-3"/>
    <n v="4.7147599548478913"/>
  </r>
  <r>
    <x v="15"/>
    <x v="3"/>
    <n v="383"/>
    <n v="4326600128.4899998"/>
    <n v="3.4033112785945199E-3"/>
    <n v="4.0083894639457052"/>
  </r>
  <r>
    <x v="16"/>
    <x v="0"/>
    <n v="40015"/>
    <n v="630270624743.16003"/>
    <n v="1.7478013043009499E-2"/>
    <n v="19.070411155952925"/>
  </r>
  <r>
    <x v="16"/>
    <x v="1"/>
    <n v="251"/>
    <n v="6733646470.8999996"/>
    <n v="1.9367919957149801E-2"/>
    <n v="20.918816908284409"/>
  </r>
  <r>
    <x v="16"/>
    <x v="2"/>
    <n v="664"/>
    <n v="7158134616.3800001"/>
    <n v="4.8644054478300296E-3"/>
    <n v="5.6836192113919655"/>
  </r>
  <r>
    <x v="16"/>
    <x v="3"/>
    <n v="377"/>
    <n v="4221234059.1900001"/>
    <n v="3.5716398127811498E-3"/>
    <n v="4.2027684981333469"/>
  </r>
  <r>
    <x v="17"/>
    <x v="0"/>
    <n v="40067"/>
    <n v="622138847488.94995"/>
    <n v="1.7966816908319898E-2"/>
    <n v="19.55224016379432"/>
  </r>
  <r>
    <x v="17"/>
    <x v="1"/>
    <n v="248"/>
    <n v="6310016368.9899998"/>
    <n v="1.9228562535459199E-2"/>
    <n v="20.783852925887068"/>
  </r>
  <r>
    <x v="17"/>
    <x v="2"/>
    <n v="662"/>
    <n v="7168711199.6300001"/>
    <n v="5.8216278246352596E-3"/>
    <n v="6.7665548074672399"/>
  </r>
  <r>
    <x v="17"/>
    <x v="3"/>
    <n v="376"/>
    <n v="4202443599.5900002"/>
    <n v="3.4542201412447299E-3"/>
    <n v="4.0672150774950344"/>
  </r>
  <r>
    <x v="18"/>
    <x v="0"/>
    <n v="40187"/>
    <n v="604910740643.67004"/>
    <n v="1.8459126210576798E-2"/>
    <n v="20.034865343645279"/>
  </r>
  <r>
    <x v="18"/>
    <x v="1"/>
    <n v="240"/>
    <n v="5869724081.2399998"/>
    <n v="1.9011702833651899E-2"/>
    <n v="20.573410050554251"/>
  </r>
  <r>
    <x v="18"/>
    <x v="2"/>
    <n v="657"/>
    <n v="7040765221.6599998"/>
    <n v="5.4470026617878999E-3"/>
    <n v="6.3440945230124228"/>
  </r>
  <r>
    <x v="18"/>
    <x v="3"/>
    <n v="369"/>
    <n v="4168803129.3600001"/>
    <n v="3.6346786131119901E-3"/>
    <n v="4.2754702631066959"/>
  </r>
  <r>
    <x v="19"/>
    <x v="0"/>
    <n v="40426"/>
    <n v="593964563974.72998"/>
    <n v="1.8670813511845099E-2"/>
    <n v="20.241571423618442"/>
  </r>
  <r>
    <x v="19"/>
    <x v="1"/>
    <n v="239"/>
    <n v="5658017100.8400002"/>
    <n v="1.7495621055776001E-2"/>
    <n v="19.087813744013772"/>
  </r>
  <r>
    <x v="19"/>
    <x v="2"/>
    <n v="649"/>
    <n v="6979507109.1499996"/>
    <n v="5.1646753039295097E-3"/>
    <n v="6.0245586478334996"/>
  </r>
  <r>
    <x v="19"/>
    <x v="3"/>
    <n v="367"/>
    <n v="4135707568.3299999"/>
    <n v="4.0865965260687004E-3"/>
    <n v="4.7951817658598568"/>
  </r>
  <r>
    <x v="20"/>
    <x v="0"/>
    <n v="40635"/>
    <n v="582442768241.41003"/>
    <n v="1.8212356131111902E-2"/>
    <n v="19.793282191516305"/>
  </r>
  <r>
    <x v="20"/>
    <x v="1"/>
    <n v="235"/>
    <n v="5417361775.8000002"/>
    <n v="1.7931098662003899E-2"/>
    <n v="19.517120848002399"/>
  </r>
  <r>
    <x v="20"/>
    <x v="2"/>
    <n v="646"/>
    <n v="6956581157.71"/>
    <n v="5.4126217435763301E-3"/>
    <n v="6.3052357996864039"/>
  </r>
  <r>
    <x v="20"/>
    <x v="3"/>
    <n v="363"/>
    <n v="4115284623.6900001"/>
    <n v="3.6731719034954601E-3"/>
    <n v="4.319839160967609"/>
  </r>
  <r>
    <x v="21"/>
    <x v="0"/>
    <n v="40864"/>
    <n v="572148734813.25"/>
    <n v="1.7961399126109501E-2"/>
    <n v="19.546914131947858"/>
  </r>
  <r>
    <x v="21"/>
    <x v="1"/>
    <n v="227"/>
    <n v="5117497086.6400003"/>
    <n v="1.5298125985118601E-2"/>
    <n v="16.889255393013126"/>
  </r>
  <r>
    <x v="21"/>
    <x v="2"/>
    <n v="638"/>
    <n v="6809334717.6899996"/>
    <n v="6.2205872087303599E-3"/>
    <n v="7.2145352293887965"/>
  </r>
  <r>
    <x v="21"/>
    <x v="3"/>
    <n v="359"/>
    <n v="4082880327.6199999"/>
    <n v="4.3549979427226103E-3"/>
    <n v="5.1026213346367815"/>
  </r>
  <r>
    <x v="22"/>
    <x v="0"/>
    <n v="41112"/>
    <n v="561758842107.10999"/>
    <n v="1.79055102473985E-2"/>
    <n v="19.491952865206873"/>
  </r>
  <r>
    <x v="22"/>
    <x v="1"/>
    <n v="226"/>
    <n v="4996325578.1499996"/>
    <n v="1.49250231558465E-2"/>
    <n v="16.5105796873275"/>
  </r>
  <r>
    <x v="22"/>
    <x v="2"/>
    <n v="636"/>
    <n v="6737562549.1800003"/>
    <n v="6.05492368006578E-3"/>
    <n v="7.0287563544853437"/>
  </r>
  <r>
    <x v="22"/>
    <x v="3"/>
    <n v="357"/>
    <n v="4056053633.75"/>
    <n v="4.3136201235777103E-3"/>
    <n v="5.0552846528062689"/>
  </r>
  <r>
    <x v="23"/>
    <x v="0"/>
    <n v="41269"/>
    <n v="548210307102.15997"/>
    <n v="1.80624763957546E-2"/>
    <n v="19.646226436431601"/>
  </r>
  <r>
    <x v="23"/>
    <x v="1"/>
    <n v="224"/>
    <n v="4834371786.6599998"/>
    <n v="1.5299469519619101E-2"/>
    <n v="16.890616145757718"/>
  </r>
  <r>
    <x v="23"/>
    <x v="2"/>
    <n v="631"/>
    <n v="6703951735.4300003"/>
    <n v="6.6682469866813599E-3"/>
    <n v="7.7148502868625073"/>
  </r>
  <r>
    <x v="23"/>
    <x v="3"/>
    <n v="356"/>
    <n v="4028481077.6900001"/>
    <n v="4.8336883052802499E-3"/>
    <n v="5.6486777827949641"/>
  </r>
  <r>
    <x v="24"/>
    <x v="0"/>
    <n v="41290"/>
    <n v="537387748849.21002"/>
    <n v="1.7872991224071901E-2"/>
    <n v="19.459957737296996"/>
  </r>
  <r>
    <x v="24"/>
    <x v="1"/>
    <n v="223"/>
    <n v="4723433634.3800001"/>
    <n v="1.7113698630981299E-2"/>
    <n v="18.709576257291527"/>
  </r>
  <r>
    <x v="24"/>
    <x v="2"/>
    <n v="629"/>
    <n v="6671962131.8900003"/>
    <n v="6.6276187430304202E-3"/>
    <n v="7.6695454577888516"/>
  </r>
  <r>
    <x v="24"/>
    <x v="3"/>
    <n v="352"/>
    <n v="3928445603.3000002"/>
    <n v="4.4523700034519997E-3"/>
    <n v="5.2139307025707353"/>
  </r>
  <r>
    <x v="25"/>
    <x v="0"/>
    <n v="41382"/>
    <n v="522936413414.85999"/>
    <n v="1.7651582059102999E-2"/>
    <n v="19.241805537715607"/>
  </r>
  <r>
    <x v="25"/>
    <x v="1"/>
    <n v="216"/>
    <n v="4491782216.2399998"/>
    <n v="1.50066811756047E-2"/>
    <n v="16.593592332519378"/>
  </r>
  <r>
    <x v="25"/>
    <x v="2"/>
    <n v="623"/>
    <n v="6543238074.0900002"/>
    <n v="6.8234935633657802E-3"/>
    <n v="7.887779155746566"/>
  </r>
  <r>
    <x v="25"/>
    <x v="3"/>
    <n v="349"/>
    <n v="3966331875.1199999"/>
    <n v="5.0386245664721298E-3"/>
    <n v="5.8815729873482496"/>
  </r>
  <r>
    <x v="26"/>
    <x v="0"/>
    <n v="41495"/>
    <n v="512364660010.42999"/>
    <n v="1.77980104945357E-2"/>
    <n v="19.386140553174702"/>
  </r>
  <r>
    <x v="26"/>
    <x v="1"/>
    <n v="211"/>
    <n v="4331683424.0200005"/>
    <n v="1.29338542005782E-2"/>
    <n v="14.46278976399913"/>
  </r>
  <r>
    <x v="26"/>
    <x v="2"/>
    <n v="617"/>
    <n v="6523482640.3599997"/>
    <n v="7.3806503397880899E-3"/>
    <n v="8.5059520220190699"/>
  </r>
  <r>
    <x v="26"/>
    <x v="3"/>
    <n v="347"/>
    <n v="3938802267.9400001"/>
    <n v="5.1974214197497703E-3"/>
    <n v="6.0616716078068738"/>
  </r>
  <r>
    <x v="27"/>
    <x v="0"/>
    <n v="41474"/>
    <n v="500651322052.87"/>
    <n v="1.7813900623440401E-2"/>
    <n v="19.401789277064829"/>
  </r>
  <r>
    <x v="27"/>
    <x v="1"/>
    <n v="210"/>
    <n v="4209201156.1500001"/>
    <n v="1.4027679094088299E-2"/>
    <n v="15.593347172710569"/>
  </r>
  <r>
    <x v="27"/>
    <x v="2"/>
    <n v="607"/>
    <n v="6419156365.7299995"/>
    <n v="7.0542300298239401E-3"/>
    <n v="8.1442473099028856"/>
  </r>
  <r>
    <x v="27"/>
    <x v="3"/>
    <n v="347"/>
    <n v="3974875255.0500002"/>
    <n v="5.27292091085922E-3"/>
    <n v="6.1471881086443307"/>
  </r>
  <r>
    <x v="28"/>
    <x v="0"/>
    <n v="41710"/>
    <n v="490518521864.12"/>
    <n v="1.7937145154266199E-2"/>
    <n v="19.52306693948378"/>
  </r>
  <r>
    <x v="28"/>
    <x v="1"/>
    <n v="208"/>
    <n v="4135652439.8699999"/>
    <n v="1.41855406532889E-2"/>
    <n v="15.755374097450648"/>
  </r>
  <r>
    <x v="28"/>
    <x v="2"/>
    <n v="602"/>
    <n v="6293825286.79"/>
    <n v="8.5014667296008997E-3"/>
    <n v="9.738008150626154"/>
  </r>
  <r>
    <x v="28"/>
    <x v="3"/>
    <n v="338"/>
    <n v="3849777109.4499998"/>
    <n v="4.86102389143924E-3"/>
    <n v="5.6797731973680428"/>
  </r>
  <r>
    <x v="29"/>
    <x v="0"/>
    <n v="41661"/>
    <n v="481174741357.63"/>
    <n v="1.8265223013657302E-2"/>
    <n v="19.84509409084292"/>
  </r>
  <r>
    <x v="29"/>
    <x v="1"/>
    <n v="204"/>
    <n v="3971512948.1100001"/>
    <n v="1.3502765802336201E-2"/>
    <n v="15.052527074568644"/>
  </r>
  <r>
    <x v="29"/>
    <x v="2"/>
    <n v="596"/>
    <n v="6244877245.7399998"/>
    <n v="7.8274468659239697E-3"/>
    <n v="8.9989285702583466"/>
  </r>
  <r>
    <x v="29"/>
    <x v="3"/>
    <n v="336"/>
    <n v="3813889207.2600002"/>
    <n v="3.6165238706127398E-3"/>
    <n v="4.2545378401753879"/>
  </r>
  <r>
    <x v="30"/>
    <x v="0"/>
    <n v="41681"/>
    <n v="468246047676.97998"/>
    <n v="1.85032445386655E-2"/>
    <n v="20.077985985291424"/>
  </r>
  <r>
    <x v="30"/>
    <x v="1"/>
    <n v="203"/>
    <n v="3890209754.9499998"/>
    <n v="1.3383345803235001E-2"/>
    <n v="14.929045523776752"/>
  </r>
  <r>
    <x v="30"/>
    <x v="2"/>
    <n v="590"/>
    <n v="6158029730.3199997"/>
    <n v="7.4644064116848102E-3"/>
    <n v="8.5985509830111226"/>
  </r>
  <r>
    <x v="30"/>
    <x v="3"/>
    <n v="331"/>
    <n v="3782877743.4099998"/>
    <n v="5.0862578370410401E-3"/>
    <n v="5.935629215097304"/>
  </r>
  <r>
    <x v="31"/>
    <x v="0"/>
    <n v="41800"/>
    <n v="459133739958.35999"/>
    <n v="1.8409303624503999E-2"/>
    <n v="19.986143799445834"/>
  </r>
  <r>
    <x v="31"/>
    <x v="1"/>
    <n v="201"/>
    <n v="3816442392.1599998"/>
    <n v="1.03332699743713E-2"/>
    <n v="11.718917838785003"/>
  </r>
  <r>
    <x v="31"/>
    <x v="2"/>
    <n v="585"/>
    <n v="6075624321.0799999"/>
    <n v="7.6923449602980401E-3"/>
    <n v="8.8501202218655877"/>
  </r>
  <r>
    <x v="31"/>
    <x v="3"/>
    <n v="328"/>
    <n v="3736433791.2199998"/>
    <n v="5.2691511117649598E-3"/>
    <n v="6.142919838955585"/>
  </r>
  <r>
    <x v="32"/>
    <x v="0"/>
    <n v="41697"/>
    <n v="450826501580.84003"/>
    <n v="1.8826273404447799E-2"/>
    <n v="20.393061127909018"/>
  </r>
  <r>
    <x v="32"/>
    <x v="1"/>
    <n v="197"/>
    <n v="3704769124.2800002"/>
    <n v="1.1261652198287699E-2"/>
    <n v="12.707578517380647"/>
  </r>
  <r>
    <x v="32"/>
    <x v="2"/>
    <n v="581"/>
    <n v="6010322003.6199999"/>
    <n v="9.0145959853066109E-3"/>
    <n v="10.296973714062718"/>
  </r>
  <r>
    <x v="32"/>
    <x v="3"/>
    <n v="319"/>
    <n v="3693015092.3499999"/>
    <n v="4.6324368606968803E-3"/>
    <n v="5.4194561075262211"/>
  </r>
  <r>
    <x v="33"/>
    <x v="0"/>
    <n v="41680"/>
    <n v="438958988686.90997"/>
    <n v="1.8280835473545799E-2"/>
    <n v="19.860389127735623"/>
  </r>
  <r>
    <x v="33"/>
    <x v="1"/>
    <n v="197"/>
    <n v="3649500192.5500002"/>
    <n v="9.1762163719653796E-3"/>
    <n v="10.472372951227616"/>
  </r>
  <r>
    <x v="33"/>
    <x v="2"/>
    <n v="566"/>
    <n v="5870536561.4899998"/>
    <n v="8.9249985046510206E-3"/>
    <n v="10.199601991336548"/>
  </r>
  <r>
    <x v="33"/>
    <x v="3"/>
    <n v="312"/>
    <n v="3652962800.0100002"/>
    <n v="5.9858236297760502E-3"/>
    <n v="6.951165250859126"/>
  </r>
  <r>
    <x v="34"/>
    <x v="0"/>
    <n v="41778"/>
    <n v="431220345916.46002"/>
    <n v="1.8310591825395801E-2"/>
    <n v="19.889533083076106"/>
  </r>
  <r>
    <x v="34"/>
    <x v="1"/>
    <n v="196"/>
    <n v="3591526018.4200001"/>
    <n v="1.1311006235446701E-2"/>
    <n v="12.759851811021438"/>
  </r>
  <r>
    <x v="34"/>
    <x v="2"/>
    <n v="558"/>
    <n v="5782519412.8299999"/>
    <n v="7.8442025302882298E-3"/>
    <n v="9.0173686101817747"/>
  </r>
  <r>
    <x v="34"/>
    <x v="3"/>
    <n v="306"/>
    <n v="3617932736.3899999"/>
    <n v="6.6201037434862903E-3"/>
    <n v="7.6611631970206489"/>
  </r>
  <r>
    <x v="35"/>
    <x v="0"/>
    <n v="41668"/>
    <n v="418818046121.47998"/>
    <n v="1.8520618525361798E-2"/>
    <n v="20.094961228298423"/>
  </r>
  <r>
    <x v="35"/>
    <x v="1"/>
    <n v="195"/>
    <n v="3541227767.79"/>
    <n v="1.3267594450609699E-2"/>
    <n v="14.809200380268717"/>
  </r>
  <r>
    <x v="35"/>
    <x v="2"/>
    <n v="542"/>
    <n v="5673871358.9300003"/>
    <n v="9.3259217172462303E-3"/>
    <n v="10.634560808068471"/>
  </r>
  <r>
    <x v="35"/>
    <x v="3"/>
    <n v="299"/>
    <n v="3552289924.8600001"/>
    <n v="8.1530431043646406E-3"/>
    <n v="9.3566427951853761"/>
  </r>
  <r>
    <x v="36"/>
    <x v="0"/>
    <n v="41539"/>
    <n v="409829124204.90997"/>
    <n v="1.8396978808210201E-2"/>
    <n v="19.974087154815233"/>
  </r>
  <r>
    <x v="36"/>
    <x v="1"/>
    <n v="194"/>
    <n v="3490697081.9099998"/>
    <n v="1.1924452876137101E-2"/>
    <n v="13.407192962919524"/>
  </r>
  <r>
    <x v="36"/>
    <x v="2"/>
    <n v="526"/>
    <n v="5542353221.4399996"/>
    <n v="9.6439342336594094E-3"/>
    <n v="10.978196001647621"/>
  </r>
  <r>
    <x v="36"/>
    <x v="3"/>
    <n v="287"/>
    <n v="3484303723.79"/>
    <n v="6.3006367348970999E-3"/>
    <n v="7.3041826024192069"/>
  </r>
  <r>
    <x v="37"/>
    <x v="0"/>
    <n v="41523"/>
    <n v="399989330867.19"/>
    <n v="1.81782238752165E-2"/>
    <n v="19.759814753737281"/>
  </r>
  <r>
    <x v="37"/>
    <x v="1"/>
    <n v="191"/>
    <n v="3390059629.25"/>
    <n v="1.2155553361049801E-2"/>
    <n v="13.649918333424738"/>
  </r>
  <r>
    <x v="37"/>
    <x v="2"/>
    <n v="507"/>
    <n v="5324787060.3999996"/>
    <n v="9.8238363317695396E-3"/>
    <n v="11.172056195702817"/>
  </r>
  <r>
    <x v="37"/>
    <x v="3"/>
    <n v="276"/>
    <n v="3434643535.21"/>
    <n v="7.6045950936752199E-3"/>
    <n v="8.7533484470136322"/>
  </r>
  <r>
    <x v="38"/>
    <x v="0"/>
    <n v="41564"/>
    <n v="390535855030.15997"/>
    <n v="1.8194759353828902E-2"/>
    <n v="19.776029757378055"/>
  </r>
  <r>
    <x v="38"/>
    <x v="1"/>
    <n v="192"/>
    <n v="3365477840.6500001"/>
    <n v="1.33905524825994E-2"/>
    <n v="14.936501969520355"/>
  </r>
  <r>
    <x v="38"/>
    <x v="2"/>
    <n v="494"/>
    <n v="5238969582.7299995"/>
    <n v="1.05640234581224E-2"/>
    <n v="11.965607715778503"/>
  </r>
  <r>
    <x v="38"/>
    <x v="3"/>
    <n v="267"/>
    <n v="3294462638.1999998"/>
    <n v="7.9440657530835297E-3"/>
    <n v="9.1271996348543993"/>
  </r>
  <r>
    <x v="39"/>
    <x v="0"/>
    <n v="41729"/>
    <n v="382996837972.92999"/>
    <n v="1.83268319274172E-2"/>
    <n v="19.90543485947509"/>
  </r>
  <r>
    <x v="39"/>
    <x v="1"/>
    <n v="187"/>
    <n v="3251989599.1599998"/>
    <n v="9.5791191537736003E-3"/>
    <n v="10.908257123168742"/>
  </r>
  <r>
    <x v="39"/>
    <x v="2"/>
    <n v="472"/>
    <n v="5090202792.6899996"/>
    <n v="9.6722165761112602E-3"/>
    <n v="11.008698361129232"/>
  </r>
  <r>
    <x v="39"/>
    <x v="3"/>
    <n v="247"/>
    <n v="3228331392.3000002"/>
    <n v="8.6971582728412999E-3"/>
    <n v="9.9515557801085013"/>
  </r>
  <r>
    <x v="40"/>
    <x v="0"/>
    <n v="41720"/>
    <n v="370105039134.79999"/>
    <n v="1.88733466884334E-2"/>
    <n v="20.438880186596332"/>
  </r>
  <r>
    <x v="40"/>
    <x v="1"/>
    <n v="184"/>
    <n v="3146404652.2199998"/>
    <n v="1.16005039679922E-2"/>
    <n v="13.065895773361969"/>
  </r>
  <r>
    <x v="40"/>
    <x v="2"/>
    <n v="462"/>
    <n v="4913859258.04"/>
    <n v="1.0632964836262601E-2"/>
    <n v="12.039187659890693"/>
  </r>
  <r>
    <x v="40"/>
    <x v="3"/>
    <n v="235"/>
    <n v="3164026998.4400001"/>
    <n v="8.2319602798032396E-3"/>
    <n v="9.4431503531085319"/>
  </r>
  <r>
    <x v="41"/>
    <x v="0"/>
    <n v="41570"/>
    <n v="357068562135.07001"/>
    <n v="1.9078187234033199E-2"/>
    <n v="20.637981601200206"/>
  </r>
  <r>
    <x v="41"/>
    <x v="1"/>
    <n v="175"/>
    <n v="2877795226.54"/>
    <n v="1.31882256535E-2"/>
    <n v="14.726935117777185"/>
  </r>
  <r>
    <x v="41"/>
    <x v="2"/>
    <n v="438"/>
    <n v="4713379171.6099997"/>
    <n v="1.17586957100807E-2"/>
    <n v="13.232712833785421"/>
  </r>
  <r>
    <x v="41"/>
    <x v="3"/>
    <n v="219"/>
    <n v="3029671255.21"/>
    <n v="6.7199403996422999E-3"/>
    <n v="7.772464502572296"/>
  </r>
  <r>
    <x v="42"/>
    <x v="0"/>
    <n v="41394"/>
    <n v="347388356722.85999"/>
    <n v="1.9616350274691899E-2"/>
    <n v="21.158892421456265"/>
  </r>
  <r>
    <x v="42"/>
    <x v="1"/>
    <n v="167"/>
    <n v="2781700546.27"/>
    <n v="1.33109651050984E-2"/>
    <n v="14.854123048026501"/>
  </r>
  <r>
    <x v="42"/>
    <x v="2"/>
    <n v="417"/>
    <n v="4509960792.9099998"/>
    <n v="1.17386399729483E-2"/>
    <n v="13.211579823301467"/>
  </r>
  <r>
    <x v="42"/>
    <x v="3"/>
    <n v="206"/>
    <n v="2803833532.5700002"/>
    <n v="7.8068384865704697E-3"/>
    <n v="8.9762438202519839"/>
  </r>
  <r>
    <x v="43"/>
    <x v="0"/>
    <n v="41421"/>
    <n v="341395996834.17999"/>
    <n v="1.9801444064974801E-2"/>
    <n v="21.337326924893883"/>
  </r>
  <r>
    <x v="43"/>
    <x v="1"/>
    <n v="167"/>
    <n v="2697675497.8299999"/>
    <n v="1.2804330926209801E-2"/>
    <n v="14.328001727855233"/>
  </r>
  <r>
    <x v="43"/>
    <x v="2"/>
    <n v="404"/>
    <n v="4370231386.4300003"/>
    <n v="1.3581061418276299E-2"/>
    <n v="15.133396380038844"/>
  </r>
  <r>
    <x v="43"/>
    <x v="3"/>
    <n v="184"/>
    <n v="2524518976.7399998"/>
    <n v="9.6656589052674293E-3"/>
    <n v="11.001626800445729"/>
  </r>
  <r>
    <x v="44"/>
    <x v="0"/>
    <n v="41287"/>
    <n v="331458671362.57001"/>
    <n v="2.0027088874295901E-2"/>
    <n v="21.554352762783623"/>
  </r>
  <r>
    <x v="44"/>
    <x v="1"/>
    <n v="158"/>
    <n v="2465837878.52"/>
    <n v="1.7463156001232098E-2"/>
    <n v="19.055724775779336"/>
  </r>
  <r>
    <x v="44"/>
    <x v="2"/>
    <n v="386"/>
    <n v="4053653628.2399998"/>
    <n v="1.09139444206612E-2"/>
    <n v="12.338489614770154"/>
  </r>
  <r>
    <x v="44"/>
    <x v="3"/>
    <n v="170"/>
    <n v="2442058990.4499998"/>
    <n v="9.8011537564518109E-3"/>
    <n v="11.147635081885298"/>
  </r>
  <r>
    <x v="45"/>
    <x v="0"/>
    <n v="41355"/>
    <n v="321654492281.75"/>
    <n v="2.02970750027715E-2"/>
    <n v="21.813304905745401"/>
  </r>
  <r>
    <x v="45"/>
    <x v="1"/>
    <n v="155"/>
    <n v="2384614532.3600001"/>
    <n v="1.4808760911247601E-2"/>
    <n v="16.39225808531155"/>
  </r>
  <r>
    <x v="45"/>
    <x v="2"/>
    <n v="365"/>
    <n v="3863507409.5"/>
    <n v="1.29311924025504E-2"/>
    <n v="14.46002172878147"/>
  </r>
  <r>
    <x v="45"/>
    <x v="3"/>
    <n v="156"/>
    <n v="2262463345.6799998"/>
    <n v="8.9418896456039208E-3"/>
    <n v="10.217966159557523"/>
  </r>
  <r>
    <x v="46"/>
    <x v="0"/>
    <n v="41326"/>
    <n v="312449808096.21002"/>
    <n v="2.05226649947171E-2"/>
    <n v="22.029074173546004"/>
  </r>
  <r>
    <x v="46"/>
    <x v="1"/>
    <n v="147"/>
    <n v="2132422287.1199999"/>
    <n v="1.93773074712832E-2"/>
    <n v="20.927900885691631"/>
  </r>
  <r>
    <x v="46"/>
    <x v="2"/>
    <n v="340"/>
    <n v="3497293843.0599999"/>
    <n v="1.31107474557286E-2"/>
    <n v="14.64655921686926"/>
  </r>
  <r>
    <x v="46"/>
    <x v="3"/>
    <n v="133"/>
    <n v="2133183454.48"/>
    <n v="1.09212320109617E-2"/>
    <n v="12.346239985303853"/>
  </r>
  <r>
    <x v="47"/>
    <x v="0"/>
    <n v="41287"/>
    <n v="303375958276.83002"/>
    <n v="2.0474323471542401E-2"/>
    <n v="21.982883130544938"/>
  </r>
  <r>
    <x v="47"/>
    <x v="1"/>
    <n v="136"/>
    <n v="1601393432.9000001"/>
    <n v="2.0720491344945701E-2"/>
    <n v="22.217839102498417"/>
  </r>
  <r>
    <x v="47"/>
    <x v="2"/>
    <n v="318"/>
    <n v="3230473114.3000002"/>
    <n v="1.3151049784732E-2"/>
    <n v="14.688377525188933"/>
  </r>
  <r>
    <x v="47"/>
    <x v="3"/>
    <n v="118"/>
    <n v="1865523377.6199999"/>
    <n v="1.23725627313633E-2"/>
    <n v="13.877275819615454"/>
  </r>
  <r>
    <x v="48"/>
    <x v="0"/>
    <n v="41154"/>
    <n v="292179350375.09003"/>
    <n v="2.0883267130139199E-2"/>
    <n v="22.372844701081096"/>
  </r>
  <r>
    <x v="48"/>
    <x v="1"/>
    <n v="130"/>
    <n v="1310099137.9400001"/>
    <n v="2.32907553882724E-2"/>
    <n v="24.632591850798814"/>
  </r>
  <r>
    <x v="48"/>
    <x v="2"/>
    <n v="300"/>
    <n v="2984656217.3800001"/>
    <n v="1.4229636501019801E-2"/>
    <n v="15.800582496050964"/>
  </r>
  <r>
    <x v="48"/>
    <x v="3"/>
    <n v="100"/>
    <n v="1705515144.71"/>
    <n v="1.31481111701298E-2"/>
    <n v="14.685329008974946"/>
  </r>
  <r>
    <x v="49"/>
    <x v="0"/>
    <n v="40798"/>
    <n v="282999317593.26001"/>
    <n v="2.0758250034903E-2"/>
    <n v="22.253820614062381"/>
  </r>
  <r>
    <x v="49"/>
    <x v="1"/>
    <n v="123"/>
    <n v="953158955.03999996"/>
    <n v="1.3001125757572E-2"/>
    <n v="14.532718997078952"/>
  </r>
  <r>
    <x v="49"/>
    <x v="2"/>
    <n v="282"/>
    <n v="2821244439.6100001"/>
    <n v="1.4560432278073399E-2"/>
    <n v="16.139015834813939"/>
  </r>
  <r>
    <x v="49"/>
    <x v="3"/>
    <n v="85"/>
    <n v="1474039502.9400001"/>
    <n v="1.37616466399005E-2"/>
    <n v="15.319648674316477"/>
  </r>
  <r>
    <x v="50"/>
    <x v="0"/>
    <n v="40554"/>
    <n v="271778896303.64999"/>
    <n v="2.0885070268215299E-2"/>
    <n v="22.37456017859687"/>
  </r>
  <r>
    <x v="50"/>
    <x v="1"/>
    <n v="118"/>
    <n v="875225623.78999996"/>
    <n v="2.9273721081667901E-2"/>
    <n v="29.989780237165331"/>
  </r>
  <r>
    <x v="50"/>
    <x v="2"/>
    <n v="264"/>
    <n v="2611340013.02"/>
    <n v="1.6354799912362699E-2"/>
    <n v="17.953185377936641"/>
  </r>
  <r>
    <x v="50"/>
    <x v="3"/>
    <n v="64"/>
    <n v="1199579583.5599999"/>
    <n v="1.5477201185871399E-2"/>
    <n v="17.070445616137942"/>
  </r>
  <r>
    <x v="51"/>
    <x v="0"/>
    <n v="40428"/>
    <n v="265475488842.95999"/>
    <n v="2.1191007784784201E-2"/>
    <n v="22.665121742344454"/>
  </r>
  <r>
    <x v="51"/>
    <x v="1"/>
    <n v="112"/>
    <n v="682725779.72000003"/>
    <n v="1.7485048758777599E-2"/>
    <n v="19.077365200749853"/>
  </r>
  <r>
    <x v="51"/>
    <x v="2"/>
    <n v="249"/>
    <n v="2492631244.9699998"/>
    <n v="1.48974689670925E-2"/>
    <n v="16.482551316907802"/>
  </r>
  <r>
    <x v="51"/>
    <x v="3"/>
    <n v="45"/>
    <n v="920368814.71000004"/>
    <n v="1.56210838252035E-2"/>
    <n v="17.215765198790745"/>
  </r>
  <r>
    <x v="52"/>
    <x v="0"/>
    <n v="40303"/>
    <n v="256434047280.97"/>
    <n v="2.1474331191212899E-2"/>
    <n v="22.933316243910074"/>
  </r>
  <r>
    <x v="52"/>
    <x v="1"/>
    <n v="110"/>
    <n v="679815196.36000001"/>
    <n v="2.6324423848899599E-2"/>
    <n v="27.394200054966333"/>
  </r>
  <r>
    <x v="52"/>
    <x v="2"/>
    <n v="229"/>
    <n v="2305463653.8200002"/>
    <n v="1.73669096758584E-2"/>
    <n v="18.960524831851789"/>
  </r>
  <r>
    <x v="52"/>
    <x v="3"/>
    <n v="29"/>
    <n v="593969174.14999998"/>
    <n v="1.36558775082014E-2"/>
    <n v="15.210605839805236"/>
  </r>
  <r>
    <x v="53"/>
    <x v="0"/>
    <n v="40170"/>
    <n v="251191390407.91"/>
    <n v="2.1668083221247501E-2"/>
    <n v="23.116231131545895"/>
  </r>
  <r>
    <x v="53"/>
    <x v="1"/>
    <n v="107"/>
    <n v="610446388.07000005"/>
    <n v="2.40687786516906E-2"/>
    <n v="25.349874422413134"/>
  </r>
  <r>
    <x v="53"/>
    <x v="2"/>
    <n v="215"/>
    <n v="2187937645.6599998"/>
    <n v="1.8330873729086001E-2"/>
    <n v="19.909392009698834"/>
  </r>
  <r>
    <x v="53"/>
    <x v="3"/>
    <n v="18"/>
    <n v="393852608.19999999"/>
    <n v="1.9523138018341501E-2"/>
    <n v="21.068893347645556"/>
  </r>
  <r>
    <x v="54"/>
    <x v="0"/>
    <n v="40125"/>
    <n v="244065179958.20999"/>
    <n v="2.1736920403279202E-2"/>
    <n v="23.181122168055911"/>
  </r>
  <r>
    <x v="54"/>
    <x v="1"/>
    <n v="99"/>
    <n v="538995095.47000003"/>
    <n v="2.0321315470975002E-2"/>
    <n v="21.836516319945421"/>
  </r>
  <r>
    <x v="54"/>
    <x v="2"/>
    <n v="203"/>
    <n v="2056123264.9400001"/>
    <n v="1.86612536332545E-2"/>
    <n v="20.232247069355747"/>
  </r>
  <r>
    <x v="55"/>
    <x v="0"/>
    <n v="40028"/>
    <n v="242028198202.97"/>
    <n v="2.19687847157931E-2"/>
    <n v="23.399325504641986"/>
  </r>
  <r>
    <x v="55"/>
    <x v="1"/>
    <n v="89"/>
    <n v="455985924.69"/>
    <n v="3.9859590309975199E-2"/>
    <n v="38.62139973412124"/>
  </r>
  <r>
    <x v="55"/>
    <x v="2"/>
    <n v="179"/>
    <n v="1794714439.73"/>
    <n v="1.74748501903834E-2"/>
    <n v="19.06728483941653"/>
  </r>
  <r>
    <x v="56"/>
    <x v="0"/>
    <n v="39716"/>
    <n v="230800281751.12"/>
    <n v="2.2391320015554699E-2"/>
    <n v="23.795505401047123"/>
  </r>
  <r>
    <x v="56"/>
    <x v="1"/>
    <n v="81"/>
    <n v="386928057.89999998"/>
    <n v="2.3568458970548399E-2"/>
    <n v="24.889336840173502"/>
  </r>
  <r>
    <x v="56"/>
    <x v="2"/>
    <n v="166"/>
    <n v="1672482117.6700001"/>
    <n v="1.4885557951984501E-2"/>
    <n v="16.470432654514433"/>
  </r>
  <r>
    <x v="57"/>
    <x v="0"/>
    <n v="39555"/>
    <n v="223917145243.63"/>
    <n v="2.25916389574282E-2"/>
    <n v="23.982672459590614"/>
  </r>
  <r>
    <x v="57"/>
    <x v="1"/>
    <n v="77"/>
    <n v="352817993.47000003"/>
    <n v="2.4013748101376398E-2"/>
    <n v="25.299346536710608"/>
  </r>
  <r>
    <x v="57"/>
    <x v="2"/>
    <n v="157"/>
    <n v="1583773101.47"/>
    <n v="1.7487959358696001E-2"/>
    <n v="19.080241854094016"/>
  </r>
  <r>
    <x v="58"/>
    <x v="0"/>
    <n v="39518"/>
    <n v="215016901686.89001"/>
    <n v="2.2247323468922699E-2"/>
    <n v="23.660702039485471"/>
  </r>
  <r>
    <x v="58"/>
    <x v="1"/>
    <n v="73"/>
    <n v="250115570.13999999"/>
    <n v="3.5367779722996998E-2"/>
    <n v="35.085582017508777"/>
  </r>
  <r>
    <x v="58"/>
    <x v="2"/>
    <n v="148"/>
    <n v="1473166726.51"/>
    <n v="1.7370286697467499E-2"/>
    <n v="18.963866875452862"/>
  </r>
  <r>
    <x v="59"/>
    <x v="0"/>
    <n v="39346"/>
    <n v="208930169078.17001"/>
    <n v="2.2878804549894501E-2"/>
    <n v="24.250249307117677"/>
  </r>
  <r>
    <x v="59"/>
    <x v="1"/>
    <n v="67"/>
    <n v="207799575.59"/>
    <n v="2.82217870793945E-2"/>
    <n v="29.073929981331638"/>
  </r>
  <r>
    <x v="59"/>
    <x v="2"/>
    <n v="139"/>
    <n v="1266305407.8499999"/>
    <n v="1.60599983683418E-2"/>
    <n v="17.657622253161776"/>
  </r>
  <r>
    <x v="60"/>
    <x v="0"/>
    <n v="39303"/>
    <n v="200789657735.82001"/>
    <n v="2.3344609121759199E-2"/>
    <n v="24.682443972372859"/>
  </r>
  <r>
    <x v="60"/>
    <x v="1"/>
    <n v="62"/>
    <n v="153195484.80000001"/>
    <n v="4.9043558416034597E-2"/>
    <n v="45.30753529636393"/>
  </r>
  <r>
    <x v="60"/>
    <x v="2"/>
    <n v="132"/>
    <n v="1224420065.9000001"/>
    <n v="1.5466458053172399E-2"/>
    <n v="17.059585816687751"/>
  </r>
  <r>
    <x v="61"/>
    <x v="0"/>
    <n v="39151"/>
    <n v="198548676069.48001"/>
    <n v="2.3148969880285499E-2"/>
    <n v="24.501197059761282"/>
  </r>
  <r>
    <x v="61"/>
    <x v="1"/>
    <n v="53"/>
    <n v="138168901.81"/>
    <n v="3.6922597229466801E-2"/>
    <n v="36.330078473500983"/>
  </r>
  <r>
    <x v="61"/>
    <x v="2"/>
    <n v="127"/>
    <n v="1079918192.8800001"/>
    <n v="1.9633487735802899E-2"/>
    <n v="21.175428884773375"/>
  </r>
  <r>
    <x v="62"/>
    <x v="0"/>
    <n v="38929"/>
    <n v="192772095797.70001"/>
    <n v="2.26419828759622E-2"/>
    <n v="24.029644754779667"/>
  </r>
  <r>
    <x v="62"/>
    <x v="1"/>
    <n v="55"/>
    <n v="168824049.13"/>
    <n v="3.0739982158181699E-2"/>
    <n v="31.248277956695592"/>
  </r>
  <r>
    <x v="62"/>
    <x v="2"/>
    <n v="122"/>
    <n v="1023517682.49"/>
    <n v="1.8576885471506099E-2"/>
    <n v="20.149914131933365"/>
  </r>
  <r>
    <x v="63"/>
    <x v="0"/>
    <n v="38786"/>
    <n v="187126221174.10001"/>
    <n v="2.2805231046318399E-2"/>
    <n v="24.181776943538104"/>
  </r>
  <r>
    <x v="63"/>
    <x v="1"/>
    <n v="49"/>
    <n v="129804372.47"/>
    <n v="3.26473147864293E-2"/>
    <n v="32.85431661110163"/>
  </r>
  <r>
    <x v="63"/>
    <x v="2"/>
    <n v="113"/>
    <n v="897164154.78999996"/>
    <n v="2.1278040829880201E-2"/>
    <n v="22.747598295357186"/>
  </r>
  <r>
    <x v="64"/>
    <x v="0"/>
    <n v="38638"/>
    <n v="181087477432.09"/>
    <n v="2.2673672213893201E-2"/>
    <n v="24.059198154200523"/>
  </r>
  <r>
    <x v="64"/>
    <x v="1"/>
    <n v="40"/>
    <n v="100648344.72"/>
    <n v="1.09824067357201E-2"/>
    <n v="12.411274695603868"/>
  </r>
  <r>
    <x v="64"/>
    <x v="2"/>
    <n v="110"/>
    <n v="870409433.19000006"/>
    <n v="2.05923303361654E-2"/>
    <n v="22.095596347359969"/>
  </r>
  <r>
    <x v="65"/>
    <x v="0"/>
    <n v="38466"/>
    <n v="176411870007.72"/>
    <n v="2.25421543802026E-2"/>
    <n v="23.93647601062716"/>
  </r>
  <r>
    <x v="65"/>
    <x v="1"/>
    <n v="36"/>
    <n v="99072238"/>
    <n v="3.1693712611858799E-2"/>
    <n v="32.055701075540078"/>
  </r>
  <r>
    <x v="65"/>
    <x v="2"/>
    <n v="104"/>
    <n v="844526061.33000004"/>
    <n v="2.32912351350173E-2"/>
    <n v="24.633036083363457"/>
  </r>
  <r>
    <x v="66"/>
    <x v="0"/>
    <n v="38292"/>
    <n v="171861604390.06"/>
    <n v="2.27657559044128E-2"/>
    <n v="24.145015385622127"/>
  </r>
  <r>
    <x v="66"/>
    <x v="1"/>
    <n v="30"/>
    <n v="87853012.930000007"/>
    <n v="3.3324385669698302E-2"/>
    <n v="33.416111104154652"/>
  </r>
  <r>
    <x v="66"/>
    <x v="2"/>
    <n v="99"/>
    <n v="808717345.22000003"/>
    <n v="2.0173607642996999E-2"/>
    <n v="21.694980888123162"/>
  </r>
  <r>
    <x v="67"/>
    <x v="0"/>
    <n v="38314"/>
    <n v="167726227667.16"/>
    <n v="2.2351891208749801E-2"/>
    <n v="23.758615562142658"/>
  </r>
  <r>
    <x v="67"/>
    <x v="1"/>
    <n v="24"/>
    <n v="68493812.230000004"/>
    <n v="3.2558118721048197E-2"/>
    <n v="32.779983817011249"/>
  </r>
  <r>
    <x v="67"/>
    <x v="2"/>
    <n v="84"/>
    <n v="613517552.95000005"/>
    <n v="2.27191293237985E-2"/>
    <n v="24.101572943428618"/>
  </r>
  <r>
    <x v="68"/>
    <x v="0"/>
    <n v="38137"/>
    <n v="163253367907.23001"/>
    <n v="2.2751822870369399E-2"/>
    <n v="24.132036229747868"/>
  </r>
  <r>
    <x v="68"/>
    <x v="1"/>
    <n v="19"/>
    <n v="55452829.630000003"/>
    <n v="5.9187637371229597E-2"/>
    <n v="51.912058486832869"/>
  </r>
  <r>
    <x v="68"/>
    <x v="2"/>
    <n v="75"/>
    <n v="572204901.32000005"/>
    <n v="2.3278215044517402E-2"/>
    <n v="24.62097897882558"/>
  </r>
  <r>
    <x v="69"/>
    <x v="0"/>
    <n v="38052"/>
    <n v="159738828812.70999"/>
    <n v="2.3359994146822501E-2"/>
    <n v="24.696680258061988"/>
  </r>
  <r>
    <x v="69"/>
    <x v="1"/>
    <n v="15"/>
    <n v="50146960.840000004"/>
    <n v="4.76556398342496E-2"/>
    <n v="44.341926410025977"/>
  </r>
  <r>
    <x v="69"/>
    <x v="2"/>
    <n v="68"/>
    <n v="403186644.77999997"/>
    <n v="2.65316351179237E-2"/>
    <n v="27.579401080706766"/>
  </r>
  <r>
    <x v="70"/>
    <x v="0"/>
    <n v="37859"/>
    <n v="151623489375.45999"/>
    <n v="2.3596949078679E-2"/>
    <n v="24.915631372258495"/>
  </r>
  <r>
    <x v="70"/>
    <x v="2"/>
    <n v="62"/>
    <n v="353359111.75"/>
    <n v="2.5772129077227399E-2"/>
    <n v="26.898447965549632"/>
  </r>
  <r>
    <x v="71"/>
    <x v="0"/>
    <n v="37679"/>
    <n v="150523984774.91"/>
    <n v="2.4279325944473702E-2"/>
    <n v="25.542905387840587"/>
  </r>
  <r>
    <x v="71"/>
    <x v="2"/>
    <n v="54"/>
    <n v="276796547.75"/>
    <n v="2.0429271395744599E-2"/>
    <n v="21.939812623066778"/>
  </r>
  <r>
    <x v="72"/>
    <x v="0"/>
    <n v="37497"/>
    <n v="142627337577.48999"/>
    <n v="2.4321849733240801E-2"/>
    <n v="25.581835860690695"/>
  </r>
  <r>
    <x v="72"/>
    <x v="2"/>
    <n v="52"/>
    <n v="268912947.47000003"/>
    <n v="2.3451146661724501E-2"/>
    <n v="24.780976184747427"/>
  </r>
  <r>
    <x v="73"/>
    <x v="0"/>
    <n v="37319"/>
    <n v="137144402599.91"/>
    <n v="2.4455264173249201E-2"/>
    <n v="25.703855535164365"/>
  </r>
  <r>
    <x v="73"/>
    <x v="2"/>
    <n v="43"/>
    <n v="216231882.22"/>
    <n v="3.3276738336129298E-2"/>
    <n v="33.376717476121797"/>
  </r>
  <r>
    <x v="74"/>
    <x v="0"/>
    <n v="37144"/>
    <n v="133305433659.09"/>
    <n v="2.4386759154014899E-2"/>
    <n v="25.64122437346348"/>
  </r>
  <r>
    <x v="74"/>
    <x v="2"/>
    <n v="34"/>
    <n v="161181646.47999999"/>
    <n v="1.2949027365864001E-2"/>
    <n v="14.4785669498809"/>
  </r>
  <r>
    <x v="75"/>
    <x v="0"/>
    <n v="37027"/>
    <n v="129169715490.71001"/>
    <n v="2.4292975783588099E-2"/>
    <n v="25.555403831642"/>
  </r>
  <r>
    <x v="75"/>
    <x v="2"/>
    <n v="32"/>
    <n v="152848696.62"/>
    <n v="1.97740184613086E-2"/>
    <n v="21.310911419913726"/>
  </r>
  <r>
    <x v="76"/>
    <x v="0"/>
    <n v="37076"/>
    <n v="123773165756.58"/>
    <n v="2.47718201965841E-2"/>
    <n v="25.992641428383202"/>
  </r>
  <r>
    <x v="76"/>
    <x v="2"/>
    <n v="32"/>
    <n v="149404031.69999999"/>
    <n v="1.9625632215149701E-2"/>
    <n v="21.167849245996518"/>
  </r>
  <r>
    <x v="77"/>
    <x v="0"/>
    <n v="36941"/>
    <n v="122770370116.63"/>
    <n v="2.4252817999606401E-2"/>
    <n v="25.518627954118234"/>
  </r>
  <r>
    <x v="77"/>
    <x v="2"/>
    <n v="26"/>
    <n v="139379889.09"/>
    <n v="2.4893491175036701E-2"/>
    <n v="26.103364703219366"/>
  </r>
  <r>
    <x v="78"/>
    <x v="0"/>
    <n v="36782"/>
    <n v="117414613300.07001"/>
    <n v="2.4769445700154401E-2"/>
    <n v="25.990479072139074"/>
  </r>
  <r>
    <x v="78"/>
    <x v="2"/>
    <n v="23"/>
    <n v="80489859.209999993"/>
    <n v="3.8754212343836199E-2"/>
    <n v="37.768051951614432"/>
  </r>
  <r>
    <x v="79"/>
    <x v="0"/>
    <n v="36694"/>
    <n v="113812665748.34"/>
    <n v="2.4608852692567601E-2"/>
    <n v="25.844099137998221"/>
  </r>
  <r>
    <x v="79"/>
    <x v="2"/>
    <n v="14"/>
    <n v="38498105.009999998"/>
    <n v="2.88963559188333E-2"/>
    <n v="29.662487415676964"/>
  </r>
  <r>
    <x v="80"/>
    <x v="0"/>
    <n v="36466"/>
    <n v="111135641400.53999"/>
    <n v="2.4143882133281499E-2"/>
    <n v="25.41878229425053"/>
  </r>
  <r>
    <x v="80"/>
    <x v="2"/>
    <n v="12"/>
    <n v="35867567.789999999"/>
    <n v="5.2309962671129299E-2"/>
    <n v="47.519763790378065"/>
  </r>
  <r>
    <x v="81"/>
    <x v="0"/>
    <n v="36345"/>
    <n v="107276862834.87"/>
    <n v="2.41113999496744E-2"/>
    <n v="25.388986864593409"/>
  </r>
  <r>
    <x v="82"/>
    <x v="0"/>
    <n v="36061"/>
    <n v="103281170196.71001"/>
    <n v="2.3781004017668E-2"/>
    <n v="25.085298971568115"/>
  </r>
  <r>
    <x v="83"/>
    <x v="0"/>
    <n v="35938"/>
    <n v="100083769764.63"/>
    <n v="2.4650901262851799E-2"/>
    <n v="25.882451879725"/>
  </r>
  <r>
    <x v="84"/>
    <x v="0"/>
    <n v="35779"/>
    <n v="96085768997.789993"/>
    <n v="2.4671921271267602E-2"/>
    <n v="25.901617532312173"/>
  </r>
  <r>
    <x v="85"/>
    <x v="0"/>
    <n v="35588"/>
    <n v="93064172235.75"/>
    <n v="2.5787071309178101E-2"/>
    <n v="26.911901182087561"/>
  </r>
  <r>
    <x v="86"/>
    <x v="0"/>
    <n v="35409"/>
    <n v="89818275441.369995"/>
    <n v="2.6400778772721401E-2"/>
    <n v="27.462494916285962"/>
  </r>
  <r>
    <x v="87"/>
    <x v="0"/>
    <n v="35181"/>
    <n v="86741879971.050003"/>
    <n v="2.7156123198415299E-2"/>
    <n v="28.134939275700045"/>
  </r>
  <r>
    <x v="88"/>
    <x v="0"/>
    <n v="34903"/>
    <n v="82740128417.820007"/>
    <n v="2.7077802927349199E-2"/>
    <n v="28.065481258164915"/>
  </r>
  <r>
    <x v="89"/>
    <x v="0"/>
    <n v="34643"/>
    <n v="79330979537.770004"/>
    <n v="2.6625458801251198E-2"/>
    <n v="27.663116178667259"/>
  </r>
  <r>
    <x v="90"/>
    <x v="0"/>
    <n v="34453"/>
    <n v="76052454737.740005"/>
    <n v="2.6012233355073699E-2"/>
    <n v="27.114350920712049"/>
  </r>
  <r>
    <x v="91"/>
    <x v="0"/>
    <n v="34161"/>
    <n v="73010158224.610001"/>
    <n v="2.59275383726052E-2"/>
    <n v="27.038259591685389"/>
  </r>
  <r>
    <x v="92"/>
    <x v="0"/>
    <n v="34066"/>
    <n v="70566537926.75"/>
    <n v="2.51836264437241E-2"/>
    <n v="26.36678169634914"/>
  </r>
  <r>
    <x v="93"/>
    <x v="0"/>
    <n v="33784"/>
    <n v="68145209811.099998"/>
    <n v="2.47843580016519E-2"/>
    <n v="26.004058131633478"/>
  </r>
  <r>
    <x v="94"/>
    <x v="0"/>
    <n v="33635"/>
    <n v="66191223923.970001"/>
    <n v="2.46446964072152E-2"/>
    <n v="25.876793539198939"/>
  </r>
  <r>
    <x v="95"/>
    <x v="0"/>
    <n v="33459"/>
    <n v="64193163988.5"/>
    <n v="2.4830865563517601E-2"/>
    <n v="26.046392994131939"/>
  </r>
  <r>
    <x v="96"/>
    <x v="0"/>
    <n v="33312"/>
    <n v="62738153616.400002"/>
    <n v="2.4683019194771099E-2"/>
    <n v="25.911734579933466"/>
  </r>
  <r>
    <x v="97"/>
    <x v="0"/>
    <n v="33041"/>
    <n v="60935704280.110001"/>
    <n v="2.4246547330773301E-2"/>
    <n v="25.512883869557601"/>
  </r>
  <r>
    <x v="98"/>
    <x v="0"/>
    <n v="32863"/>
    <n v="59367660800.239998"/>
    <n v="2.4261118318604901E-2"/>
    <n v="25.526230622949207"/>
  </r>
  <r>
    <x v="99"/>
    <x v="0"/>
    <n v="32651"/>
    <n v="57490663371.93"/>
    <n v="2.4838813032511901E-2"/>
    <n v="26.053625187607597"/>
  </r>
  <r>
    <x v="100"/>
    <x v="0"/>
    <n v="32399"/>
    <n v="56060203561.18"/>
    <n v="2.5213801489691899E-2"/>
    <n v="26.394128477585554"/>
  </r>
  <r>
    <x v="101"/>
    <x v="0"/>
    <n v="32116"/>
    <n v="54200831044.169998"/>
    <n v="2.4670796219869999E-2"/>
    <n v="25.900591846459776"/>
  </r>
  <r>
    <x v="102"/>
    <x v="0"/>
    <n v="31921"/>
    <n v="52683087691.790001"/>
    <n v="2.4902234491251399E-2"/>
    <n v="26.111315462833385"/>
  </r>
  <r>
    <x v="103"/>
    <x v="0"/>
    <n v="31566"/>
    <n v="50968430571.290001"/>
    <n v="2.52631366460013E-2"/>
    <n v="26.43881946547214"/>
  </r>
  <r>
    <x v="104"/>
    <x v="0"/>
    <n v="31233"/>
    <n v="49042930960.129997"/>
    <n v="2.5863555947109901E-2"/>
    <n v="26.980728479624304"/>
  </r>
  <r>
    <x v="105"/>
    <x v="0"/>
    <n v="30909"/>
    <n v="47532428610.830002"/>
    <n v="2.64521559201874E-2"/>
    <n v="27.508415519656115"/>
  </r>
  <r>
    <x v="106"/>
    <x v="0"/>
    <n v="30621"/>
    <n v="45730878914.800003"/>
    <n v="2.7312182493776201E-2"/>
    <n v="28.273156573772141"/>
  </r>
  <r>
    <x v="107"/>
    <x v="0"/>
    <n v="30326"/>
    <n v="43812817479.699997"/>
    <n v="2.7776740267007501E-2"/>
    <n v="28.683161172309603"/>
  </r>
  <r>
    <x v="108"/>
    <x v="0"/>
    <n v="30017"/>
    <n v="43062184161.25"/>
    <n v="2.8992524439133801E-2"/>
    <n v="29.746028300398397"/>
  </r>
  <r>
    <x v="109"/>
    <x v="0"/>
    <n v="29780"/>
    <n v="41673852912.010002"/>
    <n v="2.9455711087184502E-2"/>
    <n v="30.147122602000621"/>
  </r>
  <r>
    <x v="110"/>
    <x v="0"/>
    <n v="29500"/>
    <n v="40083223008.470001"/>
    <n v="2.9407186512873201E-2"/>
    <n v="30.105201629387512"/>
  </r>
  <r>
    <x v="111"/>
    <x v="0"/>
    <n v="29187"/>
    <n v="39193234910.639999"/>
    <n v="2.9802761041022099E-2"/>
    <n v="30.446272065262924"/>
  </r>
  <r>
    <x v="112"/>
    <x v="0"/>
    <n v="28848"/>
    <n v="37337878995.169998"/>
    <n v="3.06394003479948E-2"/>
    <n v="31.162615236363045"/>
  </r>
  <r>
    <x v="113"/>
    <x v="0"/>
    <n v="28525"/>
    <n v="35830398204.120003"/>
    <n v="3.0049603135302302E-2"/>
    <n v="30.658329358121716"/>
  </r>
  <r>
    <x v="114"/>
    <x v="0"/>
    <n v="28150"/>
    <n v="34387212993.269997"/>
    <n v="2.9449011766442601E-2"/>
    <n v="30.141336348629178"/>
  </r>
  <r>
    <x v="115"/>
    <x v="0"/>
    <n v="27890"/>
    <n v="33072619725.18"/>
    <n v="2.9560556443981301E-2"/>
    <n v="30.237621099727019"/>
  </r>
  <r>
    <x v="116"/>
    <x v="0"/>
    <n v="27584"/>
    <n v="31782749400.830002"/>
    <n v="2.96948470166504E-2"/>
    <n v="30.353378589389322"/>
  </r>
  <r>
    <x v="117"/>
    <x v="0"/>
    <n v="27268"/>
    <n v="30579966062.849998"/>
    <n v="2.9342618340618899E-2"/>
    <n v="30.049384636960607"/>
  </r>
  <r>
    <x v="118"/>
    <x v="0"/>
    <n v="26947"/>
    <n v="29470922836.060001"/>
    <n v="2.9725547326386E-2"/>
    <n v="30.379817292293431"/>
  </r>
  <r>
    <x v="119"/>
    <x v="0"/>
    <n v="26651"/>
    <n v="28360171206.630001"/>
    <n v="2.9175120015586101E-2"/>
    <n v="29.904397485260926"/>
  </r>
  <r>
    <x v="120"/>
    <x v="0"/>
    <n v="26338"/>
    <n v="27210019017.950001"/>
    <n v="2.8487131827445999E-2"/>
    <n v="29.305978270135803"/>
  </r>
  <r>
    <x v="121"/>
    <x v="0"/>
    <n v="26077"/>
    <n v="26136607545.860001"/>
    <n v="2.69143460751167E-2"/>
    <n v="27.920321929898218"/>
  </r>
  <r>
    <x v="122"/>
    <x v="0"/>
    <n v="25779"/>
    <n v="25592312991.540001"/>
    <n v="2.6373038292142999E-2"/>
    <n v="27.43768954784256"/>
  </r>
  <r>
    <x v="123"/>
    <x v="0"/>
    <n v="25477"/>
    <n v="24378897730.349998"/>
    <n v="2.5181562692651999E-2"/>
    <n v="26.364911037545014"/>
  </r>
  <r>
    <x v="124"/>
    <x v="0"/>
    <n v="25195"/>
    <n v="23572543491.400002"/>
    <n v="2.4931092640411399E-2"/>
    <n v="26.137552138285656"/>
  </r>
  <r>
    <x v="125"/>
    <x v="0"/>
    <n v="24884"/>
    <n v="22848116370.169998"/>
    <n v="2.4402540992657502E-2"/>
    <n v="25.655657311608504"/>
  </r>
  <r>
    <x v="126"/>
    <x v="0"/>
    <n v="24613"/>
    <n v="22113575029.540001"/>
    <n v="2.3578765493687402E-2"/>
    <n v="24.898850070528788"/>
  </r>
  <r>
    <x v="127"/>
    <x v="0"/>
    <n v="24358"/>
    <n v="21325859250.389999"/>
    <n v="2.3182900882128599E-2"/>
    <n v="24.532660534888294"/>
  </r>
  <r>
    <x v="128"/>
    <x v="0"/>
    <n v="24060"/>
    <n v="20740863146.82"/>
    <n v="2.28964658783752E-2"/>
    <n v="24.266677667240643"/>
  </r>
  <r>
    <x v="129"/>
    <x v="0"/>
    <n v="23821"/>
    <n v="20004150119.540001"/>
    <n v="2.20164797518679E-2"/>
    <n v="23.444139929205367"/>
  </r>
  <r>
    <x v="130"/>
    <x v="0"/>
    <n v="23407"/>
    <n v="19274403153.740002"/>
    <n v="2.1664595820581001E-2"/>
    <n v="23.112942311966655"/>
  </r>
  <r>
    <x v="131"/>
    <x v="0"/>
    <n v="23108"/>
    <n v="18753447416.939999"/>
    <n v="2.2066495611813699E-2"/>
    <n v="23.491109191035562"/>
  </r>
  <r>
    <x v="132"/>
    <x v="0"/>
    <n v="22701"/>
    <n v="18077610623.709999"/>
    <n v="2.18324015044867E-2"/>
    <n v="23.271046628008683"/>
  </r>
  <r>
    <x v="133"/>
    <x v="0"/>
    <n v="22418"/>
    <n v="17822028872.990002"/>
    <n v="2.09396948259482E-2"/>
    <n v="22.42651266348815"/>
  </r>
  <r>
    <x v="134"/>
    <x v="0"/>
    <n v="22078"/>
    <n v="17558891187.150002"/>
    <n v="1.9949954022046901E-2"/>
    <n v="21.480226057482287"/>
  </r>
  <r>
    <x v="135"/>
    <x v="0"/>
    <n v="21745"/>
    <n v="16426144644.77"/>
    <n v="2.0473022698270602E-2"/>
    <n v="21.981639875887961"/>
  </r>
  <r>
    <x v="136"/>
    <x v="0"/>
    <n v="21409"/>
    <n v="15724233301.860001"/>
    <n v="2.0546822728663601E-2"/>
    <n v="22.052147851584149"/>
  </r>
  <r>
    <x v="137"/>
    <x v="0"/>
    <n v="21107"/>
    <n v="15304133970.059999"/>
    <n v="1.9904728288248099E-2"/>
    <n v="21.436734207189357"/>
  </r>
  <r>
    <x v="138"/>
    <x v="0"/>
    <n v="20803"/>
    <n v="14761449588.41"/>
    <n v="1.9252891678674201E-2"/>
    <n v="20.807430260934122"/>
  </r>
  <r>
    <x v="139"/>
    <x v="0"/>
    <n v="20479"/>
    <n v="14690303907.9"/>
    <n v="1.93348961300117E-2"/>
    <n v="20.886853274168928"/>
  </r>
  <r>
    <x v="140"/>
    <x v="0"/>
    <n v="20191"/>
    <n v="13678352715.870001"/>
    <n v="1.9553933538710402E-2"/>
    <n v="21.098637706598044"/>
  </r>
  <r>
    <x v="141"/>
    <x v="0"/>
    <n v="19876"/>
    <n v="13285238357.49"/>
    <n v="1.89344604195699E-2"/>
    <n v="20.498329532189217"/>
  </r>
  <r>
    <x v="142"/>
    <x v="0"/>
    <n v="19577"/>
    <n v="12719434110.049999"/>
    <n v="1.8994429256767701E-2"/>
    <n v="20.556625578927324"/>
  </r>
  <r>
    <x v="143"/>
    <x v="0"/>
    <n v="19265"/>
    <n v="12307333384.790001"/>
    <n v="1.9017458135489499E-2"/>
    <n v="20.579001667706741"/>
  </r>
  <r>
    <x v="144"/>
    <x v="0"/>
    <n v="18995"/>
    <n v="11879768208.040001"/>
    <n v="1.8613174204863601E-2"/>
    <n v="20.185337009825833"/>
  </r>
  <r>
    <x v="145"/>
    <x v="0"/>
    <n v="18698"/>
    <n v="11519511841.549999"/>
    <n v="1.9291149495075099E-2"/>
    <n v="20.844492841001493"/>
  </r>
  <r>
    <x v="146"/>
    <x v="0"/>
    <n v="18415"/>
    <n v="11194628582.75"/>
    <n v="1.7677361689938401E-2"/>
    <n v="19.267233778044879"/>
  </r>
  <r>
    <x v="147"/>
    <x v="0"/>
    <n v="18227"/>
    <n v="10845003578.58"/>
    <n v="1.7888783016938099E-2"/>
    <n v="19.475496573080299"/>
  </r>
  <r>
    <x v="148"/>
    <x v="0"/>
    <n v="17996"/>
    <n v="10481187992.26"/>
    <n v="1.7660145647564601E-2"/>
    <n v="19.25025321398288"/>
  </r>
  <r>
    <x v="149"/>
    <x v="0"/>
    <n v="17713"/>
    <n v="10463160802.76"/>
    <n v="1.6391241904319499E-2"/>
    <n v="17.989653895541124"/>
  </r>
  <r>
    <x v="150"/>
    <x v="0"/>
    <n v="17438"/>
    <n v="9504050421.2900009"/>
    <n v="1.74430313054737E-2"/>
    <n v="19.035827354800738"/>
  </r>
  <r>
    <x v="151"/>
    <x v="0"/>
    <n v="17120"/>
    <n v="9142901164.2299995"/>
    <n v="1.6349640705838601E-2"/>
    <n v="17.948021215015299"/>
  </r>
  <r>
    <x v="152"/>
    <x v="0"/>
    <n v="16902"/>
    <n v="8873009164.4099998"/>
    <n v="1.6389146677114701E-2"/>
    <n v="17.987557545910661"/>
  </r>
  <r>
    <x v="153"/>
    <x v="0"/>
    <n v="16647"/>
    <n v="8492279302.3999996"/>
    <n v="1.6218027587531401E-2"/>
    <n v="17.816180863245446"/>
  </r>
  <r>
    <x v="154"/>
    <x v="0"/>
    <n v="16480"/>
    <n v="7915281233.3699999"/>
    <n v="1.6866594712622598E-2"/>
    <n v="18.463993661438472"/>
  </r>
  <r>
    <x v="155"/>
    <x v="0"/>
    <n v="16233"/>
    <n v="7873587446.96"/>
    <n v="1.6222661889360401E-2"/>
    <n v="17.820826462775543"/>
  </r>
  <r>
    <x v="156"/>
    <x v="0"/>
    <n v="16011"/>
    <n v="7620827158.5600004"/>
    <n v="1.7353688830571399E-2"/>
    <n v="18.947439707873048"/>
  </r>
  <r>
    <x v="157"/>
    <x v="0"/>
    <n v="15745"/>
    <n v="7231971178.3000002"/>
    <n v="1.6980652451303702E-2"/>
    <n v="18.5774335758076"/>
  </r>
  <r>
    <x v="158"/>
    <x v="0"/>
    <n v="15480"/>
    <n v="6853441148.1599998"/>
    <n v="1.6330480392663799E-2"/>
    <n v="17.928839886589653"/>
  </r>
  <r>
    <x v="159"/>
    <x v="0"/>
    <n v="15180"/>
    <n v="6112426743.4399996"/>
    <n v="1.6861873669970901E-2"/>
    <n v="18.459295070647897"/>
  </r>
  <r>
    <x v="160"/>
    <x v="0"/>
    <n v="14895"/>
    <n v="5958246023.2399998"/>
    <n v="1.5385839137851E-2"/>
    <n v="16.978049801613516"/>
  </r>
  <r>
    <x v="161"/>
    <x v="0"/>
    <n v="14643"/>
    <n v="5623876583.8999996"/>
    <n v="1.5853707731733901E-2"/>
    <n v="17.450218599530665"/>
  </r>
  <r>
    <x v="162"/>
    <x v="0"/>
    <n v="14444"/>
    <n v="5281058457.9300003"/>
    <n v="1.6212600301151101E-2"/>
    <n v="17.810740039948712"/>
  </r>
  <r>
    <x v="163"/>
    <x v="0"/>
    <n v="14205"/>
    <n v="4709928047.96"/>
    <n v="1.5551175159134E-2"/>
    <n v="17.145187541401086"/>
  </r>
  <r>
    <x v="164"/>
    <x v="0"/>
    <n v="14012"/>
    <n v="4796001969.1800003"/>
    <n v="1.6163331966683001E-2"/>
    <n v="17.761333713057393"/>
  </r>
  <r>
    <x v="165"/>
    <x v="0"/>
    <n v="13835"/>
    <n v="4646834875.25"/>
    <n v="1.61546032807224E-2"/>
    <n v="17.752577741127716"/>
  </r>
  <r>
    <x v="166"/>
    <x v="0"/>
    <n v="13595"/>
    <n v="4445190182.21"/>
    <n v="1.4878750775844199E-2"/>
    <n v="16.46350608358409"/>
  </r>
  <r>
    <x v="167"/>
    <x v="0"/>
    <n v="13383"/>
    <n v="4337158183.5100002"/>
    <n v="1.5906217281924401E-2"/>
    <n v="17.50305684268848"/>
  </r>
  <r>
    <x v="168"/>
    <x v="0"/>
    <n v="13094"/>
    <n v="4117623426.0300002"/>
    <n v="1.6603191036236802E-2"/>
    <n v="18.201462943484479"/>
  </r>
  <r>
    <x v="169"/>
    <x v="0"/>
    <n v="12887"/>
    <n v="3682052052.5599999"/>
    <n v="1.51579289308268E-2"/>
    <n v="16.7471493155556"/>
  </r>
  <r>
    <x v="170"/>
    <x v="0"/>
    <n v="12639"/>
    <n v="3794719735.77"/>
    <n v="1.50905182729217E-2"/>
    <n v="16.678741482201463"/>
  </r>
  <r>
    <x v="171"/>
    <x v="0"/>
    <n v="12470"/>
    <n v="3681978035.3699999"/>
    <n v="1.53177010521761E-2"/>
    <n v="16.90907930815959"/>
  </r>
  <r>
    <x v="172"/>
    <x v="0"/>
    <n v="12287"/>
    <n v="3559586949.46"/>
    <n v="1.55699434744722E-2"/>
    <n v="17.164140874420298"/>
  </r>
  <r>
    <x v="173"/>
    <x v="0"/>
    <n v="12101"/>
    <n v="3468838344.9099998"/>
    <n v="1.51249135674505E-2"/>
    <n v="16.713652006160551"/>
  </r>
  <r>
    <x v="174"/>
    <x v="0"/>
    <n v="11903"/>
    <n v="3386391285.21"/>
    <n v="1.5857157829642601E-2"/>
    <n v="17.453691245893353"/>
  </r>
  <r>
    <x v="175"/>
    <x v="0"/>
    <n v="11717"/>
    <n v="3291679182.71"/>
    <n v="1.4204104223025199E-2"/>
    <n v="15.774408742526813"/>
  </r>
  <r>
    <x v="176"/>
    <x v="0"/>
    <n v="11518"/>
    <n v="2985714051.2800002"/>
    <n v="1.4319545122138001E-2"/>
    <n v="15.892690647643493"/>
  </r>
  <r>
    <x v="177"/>
    <x v="0"/>
    <n v="11356"/>
    <n v="3313284493.1999998"/>
    <n v="1.4510375452025E-2"/>
    <n v="16.087883473337062"/>
  </r>
  <r>
    <x v="178"/>
    <x v="0"/>
    <n v="11152"/>
    <n v="2842120140.6999998"/>
    <n v="1.4472737189494499E-2"/>
    <n v="16.049417682857815"/>
  </r>
  <r>
    <x v="179"/>
    <x v="0"/>
    <n v="10942"/>
    <n v="3086645402.1799998"/>
    <n v="1.4834332318346501E-2"/>
    <n v="16.418295617973065"/>
  </r>
  <r>
    <x v="180"/>
    <x v="0"/>
    <n v="10742"/>
    <n v="2820317075.0900002"/>
    <n v="1.4438879012551101E-2"/>
    <n v="16.01480127890791"/>
  </r>
  <r>
    <x v="181"/>
    <x v="0"/>
    <n v="10606"/>
    <n v="2737639042.71"/>
    <n v="1.45980764843145E-2"/>
    <n v="16.17745005771506"/>
  </r>
  <r>
    <x v="182"/>
    <x v="0"/>
    <n v="10416"/>
    <n v="2647904397.75"/>
    <n v="1.38146939026993E-2"/>
    <n v="15.374289407146623"/>
  </r>
  <r>
    <x v="183"/>
    <x v="0"/>
    <n v="10266"/>
    <n v="2613718835.7199998"/>
    <n v="1.4848376163322999E-2"/>
    <n v="16.432592297330263"/>
  </r>
  <r>
    <x v="184"/>
    <x v="0"/>
    <n v="10076"/>
    <n v="2358388964.5100002"/>
    <n v="1.45687041591655E-2"/>
    <n v="16.147462697558268"/>
  </r>
  <r>
    <x v="185"/>
    <x v="0"/>
    <n v="9880"/>
    <n v="2416372364.8600001"/>
    <n v="1.5570022031244799E-2"/>
    <n v="17.164220197251023"/>
  </r>
  <r>
    <x v="186"/>
    <x v="0"/>
    <n v="9720"/>
    <n v="2384809992.54"/>
    <n v="1.4296814496739699E-2"/>
    <n v="15.869412666606497"/>
  </r>
  <r>
    <x v="187"/>
    <x v="0"/>
    <n v="9567"/>
    <n v="2367134768.46"/>
    <n v="1.38919734707856E-2"/>
    <n v="15.453832516665322"/>
  </r>
  <r>
    <x v="188"/>
    <x v="0"/>
    <n v="9408"/>
    <n v="2261479302.4499998"/>
    <n v="1.3884830929015299E-2"/>
    <n v="15.446483643228781"/>
  </r>
  <r>
    <x v="189"/>
    <x v="0"/>
    <n v="9302"/>
    <n v="2194825320.98"/>
    <n v="1.3867653239184E-2"/>
    <n v="15.428807331747961"/>
  </r>
  <r>
    <x v="190"/>
    <x v="0"/>
    <n v="9190"/>
    <n v="2173853874.9499998"/>
    <n v="1.4186248863180999E-2"/>
    <n v="15.756100351456526"/>
  </r>
  <r>
    <x v="191"/>
    <x v="0"/>
    <n v="9036"/>
    <n v="2098632266.23"/>
    <n v="1.38433488906878E-2"/>
    <n v="15.403791707109772"/>
  </r>
  <r>
    <x v="192"/>
    <x v="0"/>
    <n v="8919"/>
    <n v="2058399085.1400001"/>
    <n v="1.4103328871759401E-2"/>
    <n v="15.671028671483089"/>
  </r>
  <r>
    <x v="193"/>
    <x v="0"/>
    <n v="8837"/>
    <n v="2009592531.0999999"/>
    <n v="1.4341730481918301E-2"/>
    <n v="15.915404539589439"/>
  </r>
  <r>
    <x v="194"/>
    <x v="0"/>
    <n v="8703"/>
    <n v="1955025773.3099999"/>
    <n v="1.3281993153072E-2"/>
    <n v="14.82411674698082"/>
  </r>
  <r>
    <x v="195"/>
    <x v="0"/>
    <n v="8627"/>
    <n v="1938271725"/>
    <n v="1.3758303033632501E-2"/>
    <n v="15.316203547299246"/>
  </r>
  <r>
    <x v="196"/>
    <x v="0"/>
    <n v="8523"/>
    <n v="1886585683.4000001"/>
    <n v="1.27973309820371E-2"/>
    <n v="14.320711712972345"/>
  </r>
  <r>
    <x v="197"/>
    <x v="0"/>
    <n v="8408"/>
    <n v="1841811679.2"/>
    <n v="1.39778445064956E-2"/>
    <n v="15.542138348653767"/>
  </r>
  <r>
    <x v="198"/>
    <x v="0"/>
    <n v="8326"/>
    <n v="1967870807.74"/>
    <n v="1.29847926422788E-2"/>
    <n v="14.515745433474269"/>
  </r>
  <r>
    <x v="199"/>
    <x v="0"/>
    <n v="8212"/>
    <n v="1777989474.4100001"/>
    <n v="1.395581863803E-2"/>
    <n v="15.519496021901402"/>
  </r>
  <r>
    <x v="200"/>
    <x v="0"/>
    <n v="8160"/>
    <n v="1761208661.6700001"/>
    <n v="1.36061574541379E-2"/>
    <n v="15.159302419525901"/>
  </r>
  <r>
    <x v="201"/>
    <x v="0"/>
    <n v="8092"/>
    <n v="1618622062.6900001"/>
    <n v="1.47701999746857E-2"/>
    <n v="16.352980184735046"/>
  </r>
  <r>
    <x v="202"/>
    <x v="0"/>
    <n v="7999"/>
    <n v="1588061053.1800001"/>
    <n v="1.4465832774892899E-2"/>
    <n v="16.042359711154575"/>
  </r>
  <r>
    <x v="203"/>
    <x v="0"/>
    <n v="7921"/>
    <n v="1524106706.3"/>
    <n v="1.34084266885815E-2"/>
    <n v="14.954993067465539"/>
  </r>
  <r>
    <x v="204"/>
    <x v="0"/>
    <n v="7807"/>
    <n v="1483081573.22"/>
    <n v="1.45278263545673E-2"/>
    <n v="16.105712575005516"/>
  </r>
  <r>
    <x v="205"/>
    <x v="0"/>
    <n v="7718"/>
    <n v="1467173817.52"/>
    <n v="1.30226734710919E-2"/>
    <n v="14.555106905558258"/>
  </r>
  <r>
    <x v="206"/>
    <x v="0"/>
    <n v="7593"/>
    <n v="1414502407.3199999"/>
    <n v="1.28351505485756E-2"/>
    <n v="14.360091722498714"/>
  </r>
  <r>
    <x v="207"/>
    <x v="0"/>
    <n v="7455"/>
    <n v="1385638416.24"/>
    <n v="1.2899681841829399E-2"/>
    <n v="14.427247284298106"/>
  </r>
  <r>
    <x v="208"/>
    <x v="0"/>
    <n v="7349"/>
    <n v="1362998466.3800001"/>
    <n v="1.4265273395040299E-2"/>
    <n v="15.837102269223557"/>
  </r>
  <r>
    <x v="209"/>
    <x v="0"/>
    <n v="7218"/>
    <n v="1317632623.6800001"/>
    <n v="1.31709631482559E-2"/>
    <n v="14.709033000224503"/>
  </r>
  <r>
    <x v="210"/>
    <x v="0"/>
    <n v="7049"/>
    <n v="1282022286.5799999"/>
    <n v="1.43402796019236E-2"/>
    <n v="15.913919266461306"/>
  </r>
  <r>
    <x v="211"/>
    <x v="0"/>
    <n v="6871"/>
    <n v="1221153968.0799999"/>
    <n v="1.33158423742209E-2"/>
    <n v="14.8591734910973"/>
  </r>
  <r>
    <x v="212"/>
    <x v="0"/>
    <n v="6657"/>
    <n v="1160849800.51"/>
    <n v="1.22979828304648E-2"/>
    <n v="13.799201529741634"/>
  </r>
  <r>
    <x v="213"/>
    <x v="0"/>
    <n v="6493"/>
    <n v="1138603738.45"/>
    <n v="1.39701227500038E-2"/>
    <n v="15.534201109576051"/>
  </r>
  <r>
    <x v="214"/>
    <x v="0"/>
    <n v="6294"/>
    <n v="1060022468.79"/>
    <n v="1.30124984393543E-2"/>
    <n v="14.544535795885771"/>
  </r>
  <r>
    <x v="215"/>
    <x v="0"/>
    <n v="6145"/>
    <n v="1048165370.78"/>
    <n v="1.3717615912830401E-2"/>
    <n v="15.274270762215181"/>
  </r>
  <r>
    <x v="216"/>
    <x v="0"/>
    <n v="5933"/>
    <n v="947023087.90999997"/>
    <n v="1.4077630422575999E-2"/>
    <n v="15.644647393675726"/>
  </r>
  <r>
    <x v="217"/>
    <x v="0"/>
    <n v="5761"/>
    <n v="910362094.26999998"/>
    <n v="1.39130059741295E-2"/>
    <n v="15.475469200485993"/>
  </r>
  <r>
    <x v="218"/>
    <x v="0"/>
    <n v="5634"/>
    <n v="888972450.5"/>
    <n v="1.46027443467023E-2"/>
    <n v="16.182214756361212"/>
  </r>
  <r>
    <x v="219"/>
    <x v="0"/>
    <n v="5508"/>
    <n v="882412976.88999999"/>
    <n v="1.39770274107447E-2"/>
    <n v="15.541298483455623"/>
  </r>
  <r>
    <x v="220"/>
    <x v="0"/>
    <n v="5369"/>
    <n v="829997601.38999999"/>
    <n v="1.44702816608863E-2"/>
    <n v="16.046907604576376"/>
  </r>
  <r>
    <x v="221"/>
    <x v="0"/>
    <n v="5226"/>
    <n v="772069987.30999994"/>
    <n v="1.32804007544831E-2"/>
    <n v="14.822467215999124"/>
  </r>
  <r>
    <x v="222"/>
    <x v="0"/>
    <n v="5115"/>
    <n v="762573767.78999996"/>
    <n v="1.47891184460331E-2"/>
    <n v="16.372252520560682"/>
  </r>
  <r>
    <x v="223"/>
    <x v="0"/>
    <n v="4961"/>
    <n v="695028506.92999995"/>
    <n v="1.14962413477119E-2"/>
    <n v="12.955787606674196"/>
  </r>
  <r>
    <x v="224"/>
    <x v="0"/>
    <n v="4850"/>
    <n v="686979761.11000001"/>
    <n v="1.41831398452204E-2"/>
    <n v="15.752912077729164"/>
  </r>
  <r>
    <x v="225"/>
    <x v="0"/>
    <n v="4764"/>
    <n v="663371798.12"/>
    <n v="1.1971665319148001E-2"/>
    <n v="13.456831075071996"/>
  </r>
  <r>
    <x v="226"/>
    <x v="0"/>
    <n v="4683"/>
    <n v="674169097.75999999"/>
    <n v="1.42477398665038E-2"/>
    <n v="15.819136174661097"/>
  </r>
  <r>
    <x v="227"/>
    <x v="0"/>
    <n v="4602"/>
    <n v="607541832.10000002"/>
    <n v="1.30373445305847E-2"/>
    <n v="14.570346947192336"/>
  </r>
  <r>
    <x v="228"/>
    <x v="0"/>
    <n v="4522"/>
    <n v="614160850.36000001"/>
    <n v="1.45159573415379E-2"/>
    <n v="16.093586712341335"/>
  </r>
  <r>
    <x v="229"/>
    <x v="0"/>
    <n v="4452"/>
    <n v="603347554.52999997"/>
    <n v="1.43412480416763E-2"/>
    <n v="15.914910665762571"/>
  </r>
  <r>
    <x v="230"/>
    <x v="0"/>
    <n v="4330"/>
    <n v="577654607.38999999"/>
    <n v="1.5010055049561899E-2"/>
    <n v="16.597020547513686"/>
  </r>
  <r>
    <x v="231"/>
    <x v="0"/>
    <n v="4282"/>
    <n v="561874475.52999997"/>
    <n v="1.3280895659415599E-2"/>
    <n v="14.822979880365239"/>
  </r>
  <r>
    <x v="232"/>
    <x v="0"/>
    <n v="4209"/>
    <n v="561560352.85000002"/>
    <n v="1.34948486096306E-2"/>
    <n v="15.044345700993089"/>
  </r>
  <r>
    <x v="233"/>
    <x v="0"/>
    <n v="4151"/>
    <n v="544211005.41999996"/>
    <n v="1.4083017794290199E-2"/>
    <n v="15.650178538887882"/>
  </r>
  <r>
    <x v="234"/>
    <x v="0"/>
    <n v="4112"/>
    <n v="546700756.12"/>
    <n v="1.38288213828687E-2"/>
    <n v="15.388835807486389"/>
  </r>
  <r>
    <x v="235"/>
    <x v="0"/>
    <n v="4028"/>
    <n v="525033915.33999997"/>
    <n v="1.4177170205025199E-2"/>
    <n v="15.746789948074136"/>
  </r>
  <r>
    <x v="236"/>
    <x v="0"/>
    <n v="3972"/>
    <n v="494969816.56"/>
    <n v="1.23444130069907E-2"/>
    <n v="13.847814778684386"/>
  </r>
  <r>
    <x v="237"/>
    <x v="0"/>
    <n v="3906"/>
    <n v="515617361.31"/>
    <n v="1.2169788813375401E-2"/>
    <n v="13.664849449991323"/>
  </r>
  <r>
    <x v="238"/>
    <x v="0"/>
    <n v="3825"/>
    <n v="478980228.92000002"/>
    <n v="1.4989475822310701E-2"/>
    <n v="16.576107853502553"/>
  </r>
  <r>
    <x v="239"/>
    <x v="0"/>
    <n v="3740"/>
    <n v="492681189.27999997"/>
    <n v="1.3978260670869999E-2"/>
    <n v="15.542566107052957"/>
  </r>
  <r>
    <x v="240"/>
    <x v="0"/>
    <n v="3678"/>
    <n v="454151263.98000002"/>
    <n v="1.1096316002944501E-2"/>
    <n v="12.532253532320169"/>
  </r>
  <r>
    <x v="241"/>
    <x v="0"/>
    <n v="3624"/>
    <n v="458826399.22000003"/>
    <n v="1.40221553835319E-2"/>
    <n v="15.58767254340523"/>
  </r>
  <r>
    <x v="242"/>
    <x v="0"/>
    <n v="3570"/>
    <n v="452392312.44999999"/>
    <n v="1.40941098885483E-2"/>
    <n v="15.661565602448169"/>
  </r>
  <r>
    <x v="243"/>
    <x v="0"/>
    <n v="3493"/>
    <n v="425704271.25"/>
    <n v="1.19390492671958E-2"/>
    <n v="13.422542070048749"/>
  </r>
  <r>
    <x v="244"/>
    <x v="0"/>
    <n v="3421"/>
    <n v="420190341.13999999"/>
    <n v="1.35046659903227E-2"/>
    <n v="15.054490560549894"/>
  </r>
  <r>
    <x v="245"/>
    <x v="0"/>
    <n v="3336"/>
    <n v="403815338.50999999"/>
    <n v="1.2131956182913701E-2"/>
    <n v="13.62516278419551"/>
  </r>
  <r>
    <x v="246"/>
    <x v="0"/>
    <n v="3283"/>
    <n v="400268395.19999999"/>
    <n v="1.7388508380733799E-2"/>
    <n v="18.981897644997282"/>
  </r>
  <r>
    <x v="247"/>
    <x v="0"/>
    <n v="3208"/>
    <n v="379590774.61000001"/>
    <n v="1.47074976244559E-2"/>
    <n v="16.289075893608228"/>
  </r>
  <r>
    <x v="248"/>
    <x v="0"/>
    <n v="3122"/>
    <n v="362310000.31"/>
    <n v="1.34823956275221E-2"/>
    <n v="15.031475726257938"/>
  </r>
  <r>
    <x v="249"/>
    <x v="0"/>
    <n v="3054"/>
    <n v="355581150.32999998"/>
    <n v="1.22998643559479E-2"/>
    <n v="13.80117201027381"/>
  </r>
  <r>
    <x v="250"/>
    <x v="0"/>
    <n v="2991"/>
    <n v="357422053.31999999"/>
    <n v="1.36843614642426E-2"/>
    <n v="15.239984071112255"/>
  </r>
  <r>
    <x v="251"/>
    <x v="0"/>
    <n v="2915"/>
    <n v="338876636.73000002"/>
    <n v="1.4503202318080799E-2"/>
    <n v="16.08055387472811"/>
  </r>
  <r>
    <x v="252"/>
    <x v="0"/>
    <n v="2832"/>
    <n v="308341971.62"/>
    <n v="1.38093761545243E-2"/>
    <n v="15.368813378714341"/>
  </r>
  <r>
    <x v="253"/>
    <x v="0"/>
    <n v="2774"/>
    <n v="312124911.57999998"/>
    <n v="1.32418436933171E-2"/>
    <n v="14.782517857310562"/>
  </r>
  <r>
    <x v="254"/>
    <x v="0"/>
    <n v="2702"/>
    <n v="290175410.88"/>
    <n v="1.4934751585220099E-2"/>
    <n v="16.520473474079399"/>
  </r>
  <r>
    <x v="255"/>
    <x v="0"/>
    <n v="2608"/>
    <n v="294774380.23000002"/>
    <n v="1.3958600587645901E-2"/>
    <n v="15.522356139488746"/>
  </r>
  <r>
    <x v="256"/>
    <x v="0"/>
    <n v="2541"/>
    <n v="284436060.94"/>
    <n v="1.23616698459995E-2"/>
    <n v="13.865876599589122"/>
  </r>
  <r>
    <x v="257"/>
    <x v="0"/>
    <n v="2510"/>
    <n v="277017398.76999998"/>
    <n v="1.3166118615049601E-2"/>
    <n v="14.704008347770126"/>
  </r>
  <r>
    <x v="258"/>
    <x v="0"/>
    <n v="2469"/>
    <n v="298421868.24000001"/>
    <n v="1.44978636800417E-2"/>
    <n v="16.075098406212518"/>
  </r>
  <r>
    <x v="259"/>
    <x v="0"/>
    <n v="2420"/>
    <n v="269877561.58999997"/>
    <n v="1.4823687402127301E-2"/>
    <n v="16.40745756528954"/>
  </r>
  <r>
    <x v="260"/>
    <x v="0"/>
    <n v="2401"/>
    <n v="267050868.49000001"/>
    <n v="1.1267456339680499E-2"/>
    <n v="12.713727459010538"/>
  </r>
  <r>
    <x v="261"/>
    <x v="0"/>
    <n v="2357"/>
    <n v="252942106.43000001"/>
    <n v="1.1469972302056399E-2"/>
    <n v="12.928025616649219"/>
  </r>
  <r>
    <x v="262"/>
    <x v="0"/>
    <n v="2314"/>
    <n v="249981129.75999999"/>
    <n v="1.24379612870696E-2"/>
    <n v="13.94568523079317"/>
  </r>
  <r>
    <x v="263"/>
    <x v="0"/>
    <n v="2287"/>
    <n v="235683560.38999999"/>
    <n v="1.21305113713973E-2"/>
    <n v="13.623646836422697"/>
  </r>
  <r>
    <x v="264"/>
    <x v="0"/>
    <n v="2252"/>
    <n v="223454294.49000001"/>
    <n v="1.30341191717969E-2"/>
    <n v="14.56699671423346"/>
  </r>
  <r>
    <x v="265"/>
    <x v="0"/>
    <n v="2227"/>
    <n v="228139667.02000001"/>
    <n v="1.2072563518649E-2"/>
    <n v="13.562825773487075"/>
  </r>
  <r>
    <x v="266"/>
    <x v="0"/>
    <n v="2179"/>
    <n v="213670717.97"/>
    <n v="1.37040553731858E-2"/>
    <n v="15.260290828902656"/>
  </r>
  <r>
    <x v="267"/>
    <x v="0"/>
    <n v="2137"/>
    <n v="207210646.97"/>
    <n v="1.50224862231814E-2"/>
    <n v="16.609650828162714"/>
  </r>
  <r>
    <x v="268"/>
    <x v="0"/>
    <n v="2089"/>
    <n v="202401006.50999999"/>
    <n v="1.2398047182938E-2"/>
    <n v="13.903939464455206"/>
  </r>
  <r>
    <x v="269"/>
    <x v="0"/>
    <n v="2051"/>
    <n v="201166393.02000001"/>
    <n v="1.08138708419242E-2"/>
    <n v="12.231997552701513"/>
  </r>
  <r>
    <x v="270"/>
    <x v="0"/>
    <n v="1991"/>
    <n v="196068110.75"/>
    <n v="1.29126754781587E-2"/>
    <n v="14.440763487801734"/>
  </r>
  <r>
    <x v="271"/>
    <x v="0"/>
    <n v="1894"/>
    <n v="180337874.19"/>
    <n v="1.07227310182577E-2"/>
    <n v="12.13490906944925"/>
  </r>
  <r>
    <x v="272"/>
    <x v="0"/>
    <n v="1799"/>
    <n v="177472287.16"/>
    <n v="1.24774569504306E-2"/>
    <n v="13.986975089404464"/>
  </r>
  <r>
    <x v="273"/>
    <x v="0"/>
    <n v="1711"/>
    <n v="164467847.72999999"/>
    <n v="1.4654309679493599E-2"/>
    <n v="16.234833310732554"/>
  </r>
  <r>
    <x v="274"/>
    <x v="0"/>
    <n v="1580"/>
    <n v="155017753.84"/>
    <n v="1.1730036795526999E-2"/>
    <n v="13.202513089042611"/>
  </r>
  <r>
    <x v="275"/>
    <x v="0"/>
    <n v="1420"/>
    <n v="132719032.02"/>
    <n v="1.0602530046447799E-2"/>
    <n v="12.006712086466765"/>
  </r>
  <r>
    <x v="276"/>
    <x v="0"/>
    <n v="1251"/>
    <n v="116162686.7"/>
    <n v="1.41412670130109E-2"/>
    <n v="15.709961036241438"/>
  </r>
  <r>
    <x v="277"/>
    <x v="0"/>
    <n v="1153"/>
    <n v="103793931.52"/>
    <n v="1.4065831104282001E-2"/>
    <n v="15.632532023893386"/>
  </r>
  <r>
    <x v="278"/>
    <x v="0"/>
    <n v="1066"/>
    <n v="97311506.019999996"/>
    <n v="1.6799049034843801E-2"/>
    <n v="18.396745578513752"/>
  </r>
  <r>
    <x v="279"/>
    <x v="0"/>
    <n v="986"/>
    <n v="90959899.170000002"/>
    <n v="1.6419477616407899E-2"/>
    <n v="18.017899942802408"/>
  </r>
  <r>
    <x v="280"/>
    <x v="0"/>
    <n v="904"/>
    <n v="79966195"/>
    <n v="1.19075171797623E-2"/>
    <n v="13.389380789562189"/>
  </r>
  <r>
    <x v="281"/>
    <x v="0"/>
    <n v="836"/>
    <n v="77341804.640000001"/>
    <n v="1.42260293937258E-2"/>
    <n v="15.7968852157497"/>
  </r>
  <r>
    <x v="282"/>
    <x v="0"/>
    <n v="767"/>
    <n v="75551360.859999999"/>
    <n v="1.8191499142161699E-2"/>
    <n v="19.772832969790166"/>
  </r>
  <r>
    <x v="283"/>
    <x v="0"/>
    <n v="723"/>
    <n v="64273876.57"/>
    <n v="1.64565938360417E-2"/>
    <n v="18.055016182145465"/>
  </r>
  <r>
    <x v="284"/>
    <x v="0"/>
    <n v="686"/>
    <n v="61795527.350000001"/>
    <n v="1.57943859388117E-2"/>
    <n v="17.390488152322114"/>
  </r>
  <r>
    <x v="285"/>
    <x v="0"/>
    <n v="660"/>
    <n v="60775270.600000001"/>
    <n v="1.27876179960205E-2"/>
    <n v="14.310595288570138"/>
  </r>
  <r>
    <x v="286"/>
    <x v="0"/>
    <n v="611"/>
    <n v="55321250.840000004"/>
    <n v="1.32678443944695E-2"/>
    <n v="14.809459330567588"/>
  </r>
  <r>
    <x v="287"/>
    <x v="0"/>
    <n v="584"/>
    <n v="55647821.810000002"/>
    <n v="1.59928874611431E-2"/>
    <n v="17.590201737829435"/>
  </r>
  <r>
    <x v="288"/>
    <x v="0"/>
    <n v="538"/>
    <n v="45493656.93"/>
    <n v="1.7130888366954498E-2"/>
    <n v="18.726634912178909"/>
  </r>
  <r>
    <x v="289"/>
    <x v="0"/>
    <n v="511"/>
    <n v="43863240.899999999"/>
    <n v="1.6119412666829602E-2"/>
    <n v="17.717268452690405"/>
  </r>
  <r>
    <x v="290"/>
    <x v="0"/>
    <n v="491"/>
    <n v="40282955.020000003"/>
    <n v="1.6316279790235401E-2"/>
    <n v="17.914621056777914"/>
  </r>
  <r>
    <x v="291"/>
    <x v="0"/>
    <n v="464"/>
    <n v="40006966.5"/>
    <n v="2.1547905940678801E-2"/>
    <n v="23.002822659976264"/>
  </r>
  <r>
    <x v="292"/>
    <x v="0"/>
    <n v="442"/>
    <n v="35450532.350000001"/>
    <n v="1.8308333467433199E-2"/>
    <n v="19.887321543681391"/>
  </r>
  <r>
    <x v="293"/>
    <x v="0"/>
    <n v="417"/>
    <n v="32019240.719999999"/>
    <n v="1.40419732764671E-2"/>
    <n v="15.608030277270746"/>
  </r>
  <r>
    <x v="294"/>
    <x v="0"/>
    <n v="387"/>
    <n v="28208364.02"/>
    <n v="1.6023627931361299E-2"/>
    <n v="17.621090303815802"/>
  </r>
  <r>
    <x v="295"/>
    <x v="0"/>
    <n v="367"/>
    <n v="32540689.25"/>
    <n v="2.2512476345653901E-2"/>
    <n v="23.908757664530565"/>
  </r>
  <r>
    <x v="296"/>
    <x v="0"/>
    <n v="337"/>
    <n v="27824887.57"/>
    <n v="1.8535863328027001E-2"/>
    <n v="20.109853430979861"/>
  </r>
  <r>
    <x v="297"/>
    <x v="0"/>
    <n v="318"/>
    <n v="22891032.399999999"/>
    <n v="1.5770852492178099E-2"/>
    <n v="17.366781615394832"/>
  </r>
  <r>
    <x v="298"/>
    <x v="0"/>
    <n v="310"/>
    <n v="23029362.640000001"/>
    <n v="1.31755401009699E-2"/>
    <n v="14.713779874307376"/>
  </r>
  <r>
    <x v="299"/>
    <x v="0"/>
    <n v="291"/>
    <n v="19602030.030000001"/>
    <n v="1.9250698308430701E-2"/>
    <n v="20.805304933076652"/>
  </r>
  <r>
    <x v="300"/>
    <x v="0"/>
    <n v="286"/>
    <n v="19875854.809999999"/>
    <n v="2.4771610524039599E-2"/>
    <n v="25.992450490551246"/>
  </r>
  <r>
    <x v="301"/>
    <x v="0"/>
    <n v="272"/>
    <n v="21572215.030000001"/>
    <n v="2.6422119737740699E-2"/>
    <n v="27.481572586588289"/>
  </r>
  <r>
    <x v="302"/>
    <x v="0"/>
    <n v="267"/>
    <n v="20705523.629999999"/>
    <n v="2.2071804788578502E-2"/>
    <n v="23.4960934206781"/>
  </r>
  <r>
    <x v="303"/>
    <x v="0"/>
    <n v="272"/>
    <n v="24358139.579999998"/>
    <n v="2.1313134673496201E-2"/>
    <n v="22.780832033500698"/>
  </r>
  <r>
    <x v="304"/>
    <x v="0"/>
    <n v="258"/>
    <n v="19417605.260000002"/>
    <n v="1.5654421306091001E-2"/>
    <n v="17.249402292780726"/>
  </r>
  <r>
    <x v="305"/>
    <x v="0"/>
    <n v="228"/>
    <n v="16514628.720000001"/>
    <n v="1.8943742854172899E-2"/>
    <n v="20.507355603848097"/>
  </r>
  <r>
    <x v="306"/>
    <x v="0"/>
    <n v="231"/>
    <n v="16564941.609999999"/>
    <n v="2.7950593808288099E-2"/>
    <n v="28.836045784196319"/>
  </r>
  <r>
    <x v="307"/>
    <x v="0"/>
    <n v="226"/>
    <n v="15589648.65"/>
    <n v="1.9537767288592401E-2"/>
    <n v="21.083024549895178"/>
  </r>
  <r>
    <x v="308"/>
    <x v="0"/>
    <n v="224"/>
    <n v="15693539.869999999"/>
    <n v="2.2540230269598099E-2"/>
    <n v="23.934679232771362"/>
  </r>
  <r>
    <x v="309"/>
    <x v="0"/>
    <n v="218"/>
    <n v="13539825.18"/>
    <n v="1.98660552668324E-2"/>
    <n v="21.399526334774777"/>
  </r>
  <r>
    <x v="310"/>
    <x v="0"/>
    <n v="206"/>
    <n v="12702326.390000001"/>
    <n v="2.0688001976793002E-2"/>
    <n v="22.186866685557316"/>
  </r>
  <r>
    <x v="311"/>
    <x v="0"/>
    <n v="190"/>
    <n v="12075892.17"/>
    <n v="2.0322792508167101E-2"/>
    <n v="21.837930449908004"/>
  </r>
  <r>
    <x v="312"/>
    <x v="0"/>
    <n v="181"/>
    <n v="12054495.58"/>
    <n v="2.92440343159759E-2"/>
    <n v="29.96408327204313"/>
  </r>
  <r>
    <x v="313"/>
    <x v="0"/>
    <n v="167"/>
    <n v="10212210.789999999"/>
    <n v="1.8969510321307202E-2"/>
    <n v="20.53240650037106"/>
  </r>
  <r>
    <x v="314"/>
    <x v="0"/>
    <n v="164"/>
    <n v="11353501.199999999"/>
    <n v="2.2952172468288401E-2"/>
    <n v="24.318473887581927"/>
  </r>
  <r>
    <x v="315"/>
    <x v="0"/>
    <n v="176"/>
    <n v="9475607.5500000007"/>
    <n v="2.0611250520468201E-2"/>
    <n v="22.113653903455223"/>
  </r>
  <r>
    <x v="316"/>
    <x v="0"/>
    <n v="155"/>
    <n v="7108107.54"/>
    <n v="1.5133399182992601E-2"/>
    <n v="16.722262670994859"/>
  </r>
  <r>
    <x v="317"/>
    <x v="0"/>
    <n v="160"/>
    <n v="6962583.04"/>
    <n v="2.48055888098535E-2"/>
    <n v="26.023386848147357"/>
  </r>
  <r>
    <x v="318"/>
    <x v="0"/>
    <n v="163"/>
    <n v="8211817.9900000002"/>
    <n v="2.80232430123162E-2"/>
    <n v="28.899843528759096"/>
  </r>
  <r>
    <x v="319"/>
    <x v="0"/>
    <n v="154"/>
    <n v="6292079.8600000003"/>
    <n v="9.1782334608877594E-3"/>
    <n v="10.474560018180924"/>
  </r>
  <r>
    <x v="320"/>
    <x v="0"/>
    <n v="163"/>
    <n v="6839162.4299999997"/>
    <n v="1.79630954176285E-2"/>
    <n v="19.548581731456938"/>
  </r>
  <r>
    <x v="321"/>
    <x v="0"/>
    <n v="163"/>
    <n v="6113157.79"/>
    <n v="1.7422550459907201E-2"/>
    <n v="19.015573202981308"/>
  </r>
  <r>
    <x v="322"/>
    <x v="0"/>
    <n v="158"/>
    <n v="5884903.6399999997"/>
    <n v="1.56215243650684E-2"/>
    <n v="17.216209779615156"/>
  </r>
  <r>
    <x v="323"/>
    <x v="0"/>
    <n v="155"/>
    <n v="5760653.3899999997"/>
    <n v="3.1868006580975702E-2"/>
    <n v="32.202314579263188"/>
  </r>
  <r>
    <x v="324"/>
    <x v="0"/>
    <n v="154"/>
    <n v="5600121.3600000003"/>
    <n v="2.4942234438679999E-2"/>
    <n v="26.147679530543865"/>
  </r>
  <r>
    <x v="325"/>
    <x v="0"/>
    <n v="154"/>
    <n v="5762863.4900000002"/>
    <n v="2.18265348447374E-2"/>
    <n v="23.265524169336615"/>
  </r>
  <r>
    <x v="326"/>
    <x v="0"/>
    <n v="150"/>
    <n v="5078813.29"/>
    <n v="1.2904889657751099E-2"/>
    <n v="14.432664778807213"/>
  </r>
  <r>
    <x v="327"/>
    <x v="0"/>
    <n v="146"/>
    <n v="4740287.9800000004"/>
    <n v="2.3749438542328801E-2"/>
    <n v="25.056225920425625"/>
  </r>
  <r>
    <x v="328"/>
    <x v="0"/>
    <n v="144"/>
    <n v="4630135.21"/>
    <n v="3.8541661351351703E-2"/>
    <n v="37.602721988060885"/>
  </r>
  <r>
    <x v="329"/>
    <x v="0"/>
    <n v="135"/>
    <n v="4013362.42"/>
    <n v="3.0008646933485698E-2"/>
    <n v="30.623185732949811"/>
  </r>
  <r>
    <x v="330"/>
    <x v="0"/>
    <n v="151"/>
    <n v="4595999.46"/>
    <n v="7.7211331256092003E-2"/>
    <n v="61.873491461848218"/>
  </r>
  <r>
    <x v="331"/>
    <x v="0"/>
    <n v="141"/>
    <n v="4041122.24"/>
    <n v="2.2632206744918899E-2"/>
    <n v="24.020525431106154"/>
  </r>
  <r>
    <x v="332"/>
    <x v="0"/>
    <n v="126"/>
    <n v="3369055.67"/>
    <n v="2.3393095444302899E-2"/>
    <n v="24.727301649388366"/>
  </r>
  <r>
    <x v="333"/>
    <x v="0"/>
    <n v="123"/>
    <n v="2924975.56"/>
    <n v="2.6405991814881999E-2"/>
    <n v="27.467155519066555"/>
  </r>
  <r>
    <x v="334"/>
    <x v="0"/>
    <n v="119"/>
    <n v="2700678.4"/>
    <n v="2.59248100204304E-2"/>
    <n v="27.035807186169368"/>
  </r>
  <r>
    <x v="335"/>
    <x v="0"/>
    <n v="120"/>
    <n v="2680365.2200000002"/>
    <n v="2.8220508781273398E-2"/>
    <n v="29.072810400956783"/>
  </r>
  <r>
    <x v="336"/>
    <x v="0"/>
    <n v="117"/>
    <n v="2308156.48"/>
    <n v="2.8386864418455698E-2"/>
    <n v="29.218374719569653"/>
  </r>
  <r>
    <x v="337"/>
    <x v="0"/>
    <n v="109"/>
    <n v="2775121.9199999999"/>
    <n v="1.5866022146475599E-2"/>
    <n v="17.462612882329054"/>
  </r>
  <r>
    <x v="338"/>
    <x v="0"/>
    <n v="110"/>
    <n v="2105721.19"/>
    <n v="3.8725319363433798E-2"/>
    <n v="37.745601538686188"/>
  </r>
  <r>
    <x v="339"/>
    <x v="0"/>
    <n v="104"/>
    <n v="2005442.3"/>
    <n v="2.1339814588721799E-2"/>
    <n v="22.806089043394952"/>
  </r>
  <r>
    <x v="340"/>
    <x v="0"/>
    <n v="102"/>
    <n v="2064071.18"/>
    <n v="2.7602311450988799E-2"/>
    <n v="28.529468150666148"/>
  </r>
  <r>
    <x v="341"/>
    <x v="0"/>
    <n v="112"/>
    <n v="2730287.33"/>
    <n v="3.3094567793075402E-2"/>
    <n v="33.225906336893516"/>
  </r>
  <r>
    <x v="342"/>
    <x v="0"/>
    <n v="104"/>
    <n v="1963129.01"/>
    <n v="3.1292156529345902E-2"/>
    <n v="31.716811255291677"/>
  </r>
  <r>
    <x v="343"/>
    <x v="0"/>
    <n v="99"/>
    <n v="1363652.01"/>
    <n v="1.54884982143941E-2"/>
    <n v="17.08186392054888"/>
  </r>
  <r>
    <x v="344"/>
    <x v="0"/>
    <n v="97"/>
    <n v="1513885.2"/>
    <n v="3.2906205139748998E-2"/>
    <n v="33.069640001851852"/>
  </r>
  <r>
    <x v="345"/>
    <x v="0"/>
    <n v="96"/>
    <n v="1164061.67"/>
    <n v="3.26900354539119E-2"/>
    <n v="32.889891786327595"/>
  </r>
  <r>
    <x v="346"/>
    <x v="0"/>
    <n v="92"/>
    <n v="929073.06"/>
    <n v="3.1798502865221297E-2"/>
    <n v="32.143883883951894"/>
  </r>
  <r>
    <x v="347"/>
    <x v="0"/>
    <n v="92"/>
    <n v="1174671.99"/>
    <n v="7.6869694069022595E-2"/>
    <n v="61.703762608024817"/>
  </r>
  <r>
    <x v="348"/>
    <x v="0"/>
    <n v="89"/>
    <n v="817402.58"/>
    <n v="4.6071346506087602E-2"/>
    <n v="43.220609209284774"/>
  </r>
  <r>
    <x v="349"/>
    <x v="0"/>
    <n v="82"/>
    <n v="664915.34"/>
    <n v="5.3661510207329503E-2"/>
    <n v="48.410888216424411"/>
  </r>
  <r>
    <x v="350"/>
    <x v="0"/>
    <n v="78"/>
    <n v="498854.74"/>
    <n v="3.5092709659088298E-2"/>
    <n v="34.863104966593937"/>
  </r>
  <r>
    <x v="351"/>
    <x v="0"/>
    <n v="80"/>
    <n v="478253.37"/>
    <n v="0.33736267958063698"/>
    <n v="99.283344058479912"/>
  </r>
  <r>
    <x v="352"/>
    <x v="0"/>
    <n v="73"/>
    <n v="299911.88"/>
    <n v="4.2140049102823103E-2"/>
    <n v="40.348113326704194"/>
  </r>
  <r>
    <x v="353"/>
    <x v="0"/>
    <n v="73"/>
    <n v="213237.58"/>
    <n v="0.115866632574333"/>
    <n v="77.185372874718226"/>
  </r>
  <r>
    <x v="354"/>
    <x v="0"/>
    <n v="65"/>
    <n v="181090.39"/>
    <n v="0.13276746264641601"/>
    <n v="81.902159204068298"/>
  </r>
  <r>
    <x v="355"/>
    <x v="0"/>
    <n v="56"/>
    <n v="112118.33"/>
    <n v="0.10986562676905701"/>
    <n v="75.256173388613519"/>
  </r>
  <r>
    <x v="356"/>
    <x v="0"/>
    <n v="54"/>
    <n v="104825.74"/>
    <n v="0.44455857835050799"/>
    <n v="99.913769845170549"/>
  </r>
  <r>
    <x v="357"/>
    <x v="0"/>
    <n v="44"/>
    <n v="30677.599999999999"/>
    <n v="5.7690944748937302E-2"/>
    <n v="50.985974247805466"/>
  </r>
  <r>
    <x v="358"/>
    <x v="0"/>
    <n v="21"/>
    <n v="10431.66"/>
    <n v="7.9117504043460005E-2"/>
    <n v="62.80790724690749"/>
  </r>
  <r>
    <x v="359"/>
    <x v="4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0" cacheId="134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Y3:Z363" firstHeaderRow="1" firstDataRow="1" firstDataCol="1" rowPageCount="1" colPageCount="1"/>
  <pivotFields count="6">
    <pivotField axis="axisRow" showAll="0">
      <items count="3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t="default"/>
      </items>
    </pivotField>
    <pivotField axis="axisPage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dataField="1" showAll="0" defaultSubtotal="0"/>
  </pivotFields>
  <rowFields count="1">
    <field x="0"/>
  </rowFields>
  <rowItems count="36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 t="grand">
      <x/>
    </i>
  </rowItems>
  <colItems count="1">
    <i/>
  </colItems>
  <pageFields count="1">
    <pageField fld="1" item="0" hier="-1"/>
  </pageFields>
  <dataFields count="1">
    <dataField name="Sum of cpr new" fld="5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55"/>
  <sheetViews>
    <sheetView workbookViewId="0">
      <selection activeCell="L134" sqref="L134"/>
    </sheetView>
  </sheetViews>
  <sheetFormatPr defaultRowHeight="15" x14ac:dyDescent="0.25"/>
  <cols>
    <col min="6" max="6" width="9.140625" style="2"/>
    <col min="8" max="8" width="11.42578125" bestFit="1" customWidth="1"/>
    <col min="9" max="9" width="12" bestFit="1" customWidth="1"/>
  </cols>
  <sheetData>
    <row r="1" spans="1:9" x14ac:dyDescent="0.25">
      <c r="B1" t="s">
        <v>1</v>
      </c>
      <c r="C1" t="s">
        <v>2</v>
      </c>
      <c r="D1" t="s">
        <v>3</v>
      </c>
      <c r="E1" t="s">
        <v>4</v>
      </c>
    </row>
    <row r="2" spans="1:9" x14ac:dyDescent="0.25">
      <c r="A2">
        <v>1</v>
      </c>
      <c r="B2">
        <v>141</v>
      </c>
      <c r="C2">
        <v>1328247371.8</v>
      </c>
      <c r="D2">
        <v>5.261814646667E-4</v>
      </c>
      <c r="E2">
        <f>100*(1-(1-D2)^12)</f>
        <v>0.62959363705542559</v>
      </c>
      <c r="F2" s="2">
        <f>C2/$I$3</f>
        <v>1.8953919060316516E-4</v>
      </c>
      <c r="G2">
        <f>A3-A2</f>
        <v>1</v>
      </c>
      <c r="H2" t="s">
        <v>6</v>
      </c>
      <c r="I2">
        <f>SUM(B2:B155)</f>
        <v>530865</v>
      </c>
    </row>
    <row r="3" spans="1:9" x14ac:dyDescent="0.25">
      <c r="A3">
        <v>2</v>
      </c>
      <c r="B3">
        <v>5190</v>
      </c>
      <c r="C3">
        <v>99950932548.429993</v>
      </c>
      <c r="D3">
        <v>1.4934934400197E-3</v>
      </c>
      <c r="E3">
        <f t="shared" ref="E3:E66" si="0">100*(1-(1-D3)^12)</f>
        <v>1.777543720772623</v>
      </c>
      <c r="F3" s="2">
        <f>C3/$I$3+F2</f>
        <v>1.4452408636064829E-2</v>
      </c>
      <c r="G3">
        <f t="shared" ref="G3:G66" si="1">A4-A3</f>
        <v>1</v>
      </c>
      <c r="H3" t="s">
        <v>5</v>
      </c>
      <c r="I3">
        <f>SUM(C:C)</f>
        <v>7007771678106.0225</v>
      </c>
    </row>
    <row r="4" spans="1:9" x14ac:dyDescent="0.25">
      <c r="A4">
        <v>3</v>
      </c>
      <c r="B4">
        <v>9107</v>
      </c>
      <c r="C4">
        <v>185228555602.56</v>
      </c>
      <c r="D4">
        <v>1.8544239526358901E-3</v>
      </c>
      <c r="E4">
        <f t="shared" si="0"/>
        <v>2.202751794863389</v>
      </c>
      <c r="F4" s="2">
        <f t="shared" ref="F4:F67" si="2">C4/$I$3+F3</f>
        <v>4.0884285145577674E-2</v>
      </c>
      <c r="G4">
        <f t="shared" si="1"/>
        <v>1</v>
      </c>
    </row>
    <row r="5" spans="1:9" x14ac:dyDescent="0.25">
      <c r="A5">
        <v>4</v>
      </c>
      <c r="B5">
        <v>10252</v>
      </c>
      <c r="C5">
        <v>209175352395.51999</v>
      </c>
      <c r="D5">
        <v>2.21267382636017E-3</v>
      </c>
      <c r="E5">
        <f t="shared" si="0"/>
        <v>2.6231326291491941</v>
      </c>
      <c r="F5" s="2">
        <f t="shared" si="2"/>
        <v>7.0733338739751489E-2</v>
      </c>
      <c r="G5">
        <f t="shared" si="1"/>
        <v>1</v>
      </c>
    </row>
    <row r="6" spans="1:9" x14ac:dyDescent="0.25">
      <c r="A6">
        <v>5</v>
      </c>
      <c r="B6">
        <v>10676</v>
      </c>
      <c r="C6">
        <v>216907020949.14001</v>
      </c>
      <c r="D6">
        <v>2.6471726637305399E-3</v>
      </c>
      <c r="E6">
        <f t="shared" si="0"/>
        <v>3.1307632262069118</v>
      </c>
      <c r="F6" s="2">
        <f t="shared" si="2"/>
        <v>0.10168569148646128</v>
      </c>
      <c r="G6">
        <f t="shared" si="1"/>
        <v>1</v>
      </c>
    </row>
    <row r="7" spans="1:9" x14ac:dyDescent="0.25">
      <c r="A7">
        <v>6</v>
      </c>
      <c r="B7">
        <v>10821</v>
      </c>
      <c r="C7">
        <v>206087323514.39999</v>
      </c>
      <c r="D7">
        <v>2.8745748880431199E-3</v>
      </c>
      <c r="E7">
        <f t="shared" si="0"/>
        <v>3.3954720769867497</v>
      </c>
      <c r="F7" s="2">
        <f t="shared" si="2"/>
        <v>0.13109408733335606</v>
      </c>
      <c r="G7">
        <f t="shared" si="1"/>
        <v>1</v>
      </c>
    </row>
    <row r="8" spans="1:9" x14ac:dyDescent="0.25">
      <c r="A8">
        <v>7</v>
      </c>
      <c r="B8">
        <v>10748</v>
      </c>
      <c r="C8">
        <v>196074230449.88</v>
      </c>
      <c r="D8">
        <v>3.4474093798514201E-3</v>
      </c>
      <c r="E8">
        <f t="shared" si="0"/>
        <v>4.0593471013549269</v>
      </c>
      <c r="F8" s="2">
        <f t="shared" si="2"/>
        <v>0.15907362768602815</v>
      </c>
      <c r="G8">
        <f t="shared" si="1"/>
        <v>1</v>
      </c>
    </row>
    <row r="9" spans="1:9" x14ac:dyDescent="0.25">
      <c r="A9">
        <v>8</v>
      </c>
      <c r="B9">
        <v>10941</v>
      </c>
      <c r="C9">
        <v>190957207778.09</v>
      </c>
      <c r="D9">
        <v>3.5462385497553E-3</v>
      </c>
      <c r="E9">
        <f t="shared" si="0"/>
        <v>4.1734592735695912</v>
      </c>
      <c r="F9" s="2">
        <f t="shared" si="2"/>
        <v>0.18632297548865229</v>
      </c>
      <c r="G9">
        <f t="shared" si="1"/>
        <v>1</v>
      </c>
    </row>
    <row r="10" spans="1:9" x14ac:dyDescent="0.25">
      <c r="A10">
        <v>9</v>
      </c>
      <c r="B10">
        <v>11093</v>
      </c>
      <c r="C10">
        <v>183890936210.59</v>
      </c>
      <c r="D10">
        <v>4.0316138001310498E-3</v>
      </c>
      <c r="E10">
        <f t="shared" si="0"/>
        <v>4.7320894105518647</v>
      </c>
      <c r="F10" s="2">
        <f t="shared" si="2"/>
        <v>0.21256397543234479</v>
      </c>
      <c r="G10">
        <f t="shared" si="1"/>
        <v>1</v>
      </c>
    </row>
    <row r="11" spans="1:9" x14ac:dyDescent="0.25">
      <c r="A11">
        <v>10</v>
      </c>
      <c r="B11">
        <v>11237</v>
      </c>
      <c r="C11">
        <v>185850753455.54999</v>
      </c>
      <c r="D11">
        <v>4.2510273241336098E-3</v>
      </c>
      <c r="E11">
        <f t="shared" si="0"/>
        <v>4.9836366620732875</v>
      </c>
      <c r="F11" s="2">
        <f t="shared" si="2"/>
        <v>0.2390846387747583</v>
      </c>
      <c r="G11">
        <f t="shared" si="1"/>
        <v>1</v>
      </c>
    </row>
    <row r="12" spans="1:9" x14ac:dyDescent="0.25">
      <c r="A12">
        <v>11</v>
      </c>
      <c r="B12">
        <v>11458</v>
      </c>
      <c r="C12">
        <v>179233801045.23999</v>
      </c>
      <c r="D12">
        <v>4.6337629228509203E-3</v>
      </c>
      <c r="E12">
        <f t="shared" si="0"/>
        <v>5.4209681370367635</v>
      </c>
      <c r="F12" s="2">
        <f t="shared" si="2"/>
        <v>0.26466107152373181</v>
      </c>
      <c r="G12">
        <f t="shared" si="1"/>
        <v>1</v>
      </c>
    </row>
    <row r="13" spans="1:9" x14ac:dyDescent="0.25">
      <c r="A13">
        <v>12</v>
      </c>
      <c r="B13">
        <v>11727</v>
      </c>
      <c r="C13">
        <v>182459011487.45001</v>
      </c>
      <c r="D13">
        <v>4.9982087148552996E-3</v>
      </c>
      <c r="E13">
        <f t="shared" si="0"/>
        <v>5.835685059339724</v>
      </c>
      <c r="F13" s="2">
        <f t="shared" si="2"/>
        <v>0.29069773765220974</v>
      </c>
      <c r="G13">
        <f t="shared" si="1"/>
        <v>1</v>
      </c>
    </row>
    <row r="14" spans="1:9" x14ac:dyDescent="0.25">
      <c r="A14">
        <v>13</v>
      </c>
      <c r="B14">
        <v>11999</v>
      </c>
      <c r="C14">
        <v>181825448341.64001</v>
      </c>
      <c r="D14">
        <v>5.2448814044987703E-3</v>
      </c>
      <c r="E14">
        <f t="shared" si="0"/>
        <v>6.115436751749936</v>
      </c>
      <c r="F14" s="2">
        <f t="shared" si="2"/>
        <v>0.31664399513512786</v>
      </c>
      <c r="G14">
        <f t="shared" si="1"/>
        <v>1</v>
      </c>
    </row>
    <row r="15" spans="1:9" x14ac:dyDescent="0.25">
      <c r="A15">
        <v>14</v>
      </c>
      <c r="B15">
        <v>12324</v>
      </c>
      <c r="C15">
        <v>181807794124.98001</v>
      </c>
      <c r="D15">
        <v>5.52118494899343E-3</v>
      </c>
      <c r="E15">
        <f t="shared" si="0"/>
        <v>6.4278880644927039</v>
      </c>
      <c r="F15" s="2">
        <f t="shared" si="2"/>
        <v>0.34258773338404824</v>
      </c>
      <c r="G15">
        <f t="shared" si="1"/>
        <v>1</v>
      </c>
    </row>
    <row r="16" spans="1:9" x14ac:dyDescent="0.25">
      <c r="A16">
        <v>15</v>
      </c>
      <c r="B16">
        <v>12469</v>
      </c>
      <c r="C16">
        <v>184361900469.76001</v>
      </c>
      <c r="D16">
        <v>5.4656656430839496E-3</v>
      </c>
      <c r="E16">
        <f t="shared" si="0"/>
        <v>6.3651820028757244</v>
      </c>
      <c r="F16" s="2">
        <f t="shared" si="2"/>
        <v>0.36889593932142933</v>
      </c>
      <c r="G16">
        <f t="shared" si="1"/>
        <v>1</v>
      </c>
    </row>
    <row r="17" spans="1:7" x14ac:dyDescent="0.25">
      <c r="A17">
        <v>16</v>
      </c>
      <c r="B17">
        <v>12617</v>
      </c>
      <c r="C17">
        <v>181861062240.63</v>
      </c>
      <c r="D17">
        <v>5.4154626258112199E-3</v>
      </c>
      <c r="E17">
        <f t="shared" si="0"/>
        <v>6.3084472413200476</v>
      </c>
      <c r="F17" s="2">
        <f t="shared" si="2"/>
        <v>0.39484727886190096</v>
      </c>
      <c r="G17">
        <f t="shared" si="1"/>
        <v>1</v>
      </c>
    </row>
    <row r="18" spans="1:7" x14ac:dyDescent="0.25">
      <c r="A18">
        <v>17</v>
      </c>
      <c r="B18">
        <v>12695</v>
      </c>
      <c r="C18">
        <v>180753825529.56</v>
      </c>
      <c r="D18">
        <v>5.6357498212796396E-3</v>
      </c>
      <c r="E18">
        <f t="shared" si="0"/>
        <v>6.557161254074428</v>
      </c>
      <c r="F18" s="2">
        <f t="shared" si="2"/>
        <v>0.42064061714863177</v>
      </c>
      <c r="G18">
        <f t="shared" si="1"/>
        <v>1</v>
      </c>
    </row>
    <row r="19" spans="1:7" x14ac:dyDescent="0.25">
      <c r="A19">
        <v>18</v>
      </c>
      <c r="B19">
        <v>12784</v>
      </c>
      <c r="C19">
        <v>178347604141.12</v>
      </c>
      <c r="D19">
        <v>5.8171370485589503E-3</v>
      </c>
      <c r="E19">
        <f t="shared" si="0"/>
        <v>6.761500974807455</v>
      </c>
      <c r="F19" s="2">
        <f t="shared" si="2"/>
        <v>0.44609059073985496</v>
      </c>
      <c r="G19">
        <f t="shared" si="1"/>
        <v>1</v>
      </c>
    </row>
    <row r="20" spans="1:7" x14ac:dyDescent="0.25">
      <c r="A20">
        <v>19</v>
      </c>
      <c r="B20">
        <v>12610</v>
      </c>
      <c r="C20">
        <v>176829335988.59</v>
      </c>
      <c r="D20">
        <v>5.8128681020344804E-3</v>
      </c>
      <c r="E20">
        <f t="shared" si="0"/>
        <v>6.7566965520224453</v>
      </c>
      <c r="F20" s="2">
        <f t="shared" si="2"/>
        <v>0.471323909419607</v>
      </c>
      <c r="G20">
        <f t="shared" si="1"/>
        <v>1</v>
      </c>
    </row>
    <row r="21" spans="1:7" x14ac:dyDescent="0.25">
      <c r="A21">
        <v>20</v>
      </c>
      <c r="B21">
        <v>12752</v>
      </c>
      <c r="C21">
        <v>182222830679.39999</v>
      </c>
      <c r="D21">
        <v>5.8622533109895904E-3</v>
      </c>
      <c r="E21">
        <f t="shared" si="0"/>
        <v>6.8122625356677124</v>
      </c>
      <c r="F21" s="2">
        <f t="shared" si="2"/>
        <v>0.4973268728507228</v>
      </c>
      <c r="G21">
        <f t="shared" si="1"/>
        <v>1</v>
      </c>
    </row>
    <row r="22" spans="1:7" x14ac:dyDescent="0.25">
      <c r="A22">
        <v>21</v>
      </c>
      <c r="B22">
        <v>12811</v>
      </c>
      <c r="C22">
        <v>182969372426.10001</v>
      </c>
      <c r="D22">
        <v>6.0686847765344396E-3</v>
      </c>
      <c r="E22">
        <f t="shared" si="0"/>
        <v>7.0442013387129077</v>
      </c>
      <c r="F22" s="2">
        <f t="shared" si="2"/>
        <v>0.5234363668283506</v>
      </c>
      <c r="G22">
        <f t="shared" si="1"/>
        <v>1</v>
      </c>
    </row>
    <row r="23" spans="1:7" x14ac:dyDescent="0.25">
      <c r="A23">
        <v>22</v>
      </c>
      <c r="B23">
        <v>12495</v>
      </c>
      <c r="C23">
        <v>176029824746.59</v>
      </c>
      <c r="D23">
        <v>6.1335647772849597E-3</v>
      </c>
      <c r="E23">
        <f t="shared" si="0"/>
        <v>7.1169887528934499</v>
      </c>
      <c r="F23" s="2">
        <f t="shared" si="2"/>
        <v>0.54855559628277906</v>
      </c>
      <c r="G23">
        <f t="shared" si="1"/>
        <v>1</v>
      </c>
    </row>
    <row r="24" spans="1:7" x14ac:dyDescent="0.25">
      <c r="A24">
        <v>23</v>
      </c>
      <c r="B24">
        <v>12061</v>
      </c>
      <c r="C24">
        <v>161891324581.53</v>
      </c>
      <c r="D24">
        <v>6.0977445853576499E-3</v>
      </c>
      <c r="E24">
        <f t="shared" si="0"/>
        <v>7.0768093472613147</v>
      </c>
      <c r="F24" s="2">
        <f t="shared" si="2"/>
        <v>0.57165727995882087</v>
      </c>
      <c r="G24">
        <f t="shared" si="1"/>
        <v>1</v>
      </c>
    </row>
    <row r="25" spans="1:7" x14ac:dyDescent="0.25">
      <c r="A25">
        <v>24</v>
      </c>
      <c r="B25">
        <v>11569</v>
      </c>
      <c r="C25">
        <v>148285233334.62</v>
      </c>
      <c r="D25">
        <v>6.1660650804230902E-3</v>
      </c>
      <c r="E25">
        <f t="shared" si="0"/>
        <v>7.1534304682994492</v>
      </c>
      <c r="F25" s="2">
        <f t="shared" si="2"/>
        <v>0.59281739192392657</v>
      </c>
      <c r="G25">
        <f t="shared" si="1"/>
        <v>1</v>
      </c>
    </row>
    <row r="26" spans="1:7" x14ac:dyDescent="0.25">
      <c r="A26">
        <v>25</v>
      </c>
      <c r="B26">
        <v>11075</v>
      </c>
      <c r="C26">
        <v>134262659925.50999</v>
      </c>
      <c r="D26">
        <v>6.7293436137597301E-3</v>
      </c>
      <c r="E26">
        <f t="shared" si="0"/>
        <v>7.7829411865892872</v>
      </c>
      <c r="F26" s="2">
        <f t="shared" si="2"/>
        <v>0.61197650070953091</v>
      </c>
      <c r="G26">
        <f t="shared" si="1"/>
        <v>1</v>
      </c>
    </row>
    <row r="27" spans="1:7" x14ac:dyDescent="0.25">
      <c r="A27">
        <v>26</v>
      </c>
      <c r="B27">
        <v>10636</v>
      </c>
      <c r="C27">
        <v>130639219918.50999</v>
      </c>
      <c r="D27">
        <v>6.7366805730962901E-3</v>
      </c>
      <c r="E27">
        <f t="shared" si="0"/>
        <v>7.7911149747014967</v>
      </c>
      <c r="F27" s="2">
        <f t="shared" si="2"/>
        <v>0.63061854926922623</v>
      </c>
      <c r="G27">
        <f t="shared" si="1"/>
        <v>1</v>
      </c>
    </row>
    <row r="28" spans="1:7" x14ac:dyDescent="0.25">
      <c r="A28">
        <v>27</v>
      </c>
      <c r="B28">
        <v>10163</v>
      </c>
      <c r="C28">
        <v>124178840521.59</v>
      </c>
      <c r="D28">
        <v>6.98185131267737E-3</v>
      </c>
      <c r="E28">
        <f t="shared" si="0"/>
        <v>8.0638674808061079</v>
      </c>
      <c r="F28" s="2">
        <f t="shared" si="2"/>
        <v>0.64833871000299481</v>
      </c>
      <c r="G28">
        <f t="shared" si="1"/>
        <v>1</v>
      </c>
    </row>
    <row r="29" spans="1:7" x14ac:dyDescent="0.25">
      <c r="A29">
        <v>28</v>
      </c>
      <c r="B29">
        <v>9762</v>
      </c>
      <c r="C29">
        <v>123827499261.09</v>
      </c>
      <c r="D29">
        <v>7.1576281346556504E-3</v>
      </c>
      <c r="E29">
        <f t="shared" si="0"/>
        <v>8.2589638227201778</v>
      </c>
      <c r="F29" s="2">
        <f t="shared" si="2"/>
        <v>0.66600873479103939</v>
      </c>
      <c r="G29">
        <f t="shared" si="1"/>
        <v>1</v>
      </c>
    </row>
    <row r="30" spans="1:7" x14ac:dyDescent="0.25">
      <c r="A30">
        <v>29</v>
      </c>
      <c r="B30">
        <v>9507</v>
      </c>
      <c r="C30">
        <v>121936782892.97</v>
      </c>
      <c r="D30">
        <v>7.0281189276664296E-3</v>
      </c>
      <c r="E30">
        <f t="shared" si="0"/>
        <v>8.1152571845173433</v>
      </c>
      <c r="F30" s="2">
        <f t="shared" si="2"/>
        <v>0.68340895678656044</v>
      </c>
      <c r="G30">
        <f t="shared" si="1"/>
        <v>1</v>
      </c>
    </row>
    <row r="31" spans="1:7" x14ac:dyDescent="0.25">
      <c r="A31">
        <v>30</v>
      </c>
      <c r="B31">
        <v>9456</v>
      </c>
      <c r="C31">
        <v>119457119108.7</v>
      </c>
      <c r="D31">
        <v>7.1353756633210103E-3</v>
      </c>
      <c r="E31">
        <f t="shared" si="0"/>
        <v>8.2342865949025281</v>
      </c>
      <c r="F31" s="2">
        <f t="shared" si="2"/>
        <v>0.70045533395120363</v>
      </c>
      <c r="G31">
        <f t="shared" si="1"/>
        <v>1</v>
      </c>
    </row>
    <row r="32" spans="1:7" x14ac:dyDescent="0.25">
      <c r="A32">
        <v>31</v>
      </c>
      <c r="B32">
        <v>9128</v>
      </c>
      <c r="C32">
        <v>116046931507.81</v>
      </c>
      <c r="D32">
        <v>7.1573550818913E-3</v>
      </c>
      <c r="E32">
        <f t="shared" si="0"/>
        <v>8.2586610534330696</v>
      </c>
      <c r="F32" s="2">
        <f t="shared" si="2"/>
        <v>0.7170150817338502</v>
      </c>
      <c r="G32">
        <f t="shared" si="1"/>
        <v>1</v>
      </c>
    </row>
    <row r="33" spans="1:7" x14ac:dyDescent="0.25">
      <c r="A33">
        <v>32</v>
      </c>
      <c r="B33">
        <v>8897</v>
      </c>
      <c r="C33">
        <v>117021713984.82001</v>
      </c>
      <c r="D33">
        <v>7.2219489087532703E-3</v>
      </c>
      <c r="E33">
        <f t="shared" si="0"/>
        <v>8.3302591564870294</v>
      </c>
      <c r="F33" s="2">
        <f t="shared" si="2"/>
        <v>0.73371392972149574</v>
      </c>
      <c r="G33">
        <f t="shared" si="1"/>
        <v>1</v>
      </c>
    </row>
    <row r="34" spans="1:7" x14ac:dyDescent="0.25">
      <c r="A34">
        <v>33</v>
      </c>
      <c r="B34">
        <v>8435</v>
      </c>
      <c r="C34">
        <v>113118464115.59</v>
      </c>
      <c r="D34">
        <v>7.2679558284246297E-3</v>
      </c>
      <c r="E34">
        <f t="shared" si="0"/>
        <v>8.3812236309103838</v>
      </c>
      <c r="F34" s="2">
        <f t="shared" si="2"/>
        <v>0.74985578897598593</v>
      </c>
      <c r="G34">
        <f t="shared" si="1"/>
        <v>1</v>
      </c>
    </row>
    <row r="35" spans="1:7" x14ac:dyDescent="0.25">
      <c r="A35">
        <v>34</v>
      </c>
      <c r="B35">
        <v>7916</v>
      </c>
      <c r="C35">
        <v>108227627437.92999</v>
      </c>
      <c r="D35">
        <v>7.0271758494188496E-3</v>
      </c>
      <c r="E35">
        <f t="shared" si="0"/>
        <v>8.1142099650758919</v>
      </c>
      <c r="F35" s="2">
        <f t="shared" si="2"/>
        <v>0.76529973213070646</v>
      </c>
      <c r="G35">
        <f t="shared" si="1"/>
        <v>1</v>
      </c>
    </row>
    <row r="36" spans="1:7" x14ac:dyDescent="0.25">
      <c r="A36">
        <v>35</v>
      </c>
      <c r="B36">
        <v>7491</v>
      </c>
      <c r="C36">
        <v>94021431851.779999</v>
      </c>
      <c r="D36">
        <v>7.06377311314109E-3</v>
      </c>
      <c r="E36">
        <f t="shared" si="0"/>
        <v>8.1548405260822303</v>
      </c>
      <c r="F36" s="2">
        <f t="shared" si="2"/>
        <v>0.77871646945756967</v>
      </c>
      <c r="G36">
        <f t="shared" si="1"/>
        <v>1</v>
      </c>
    </row>
    <row r="37" spans="1:7" x14ac:dyDescent="0.25">
      <c r="A37">
        <v>36</v>
      </c>
      <c r="B37">
        <v>7243</v>
      </c>
      <c r="C37">
        <v>93176762585.119995</v>
      </c>
      <c r="D37">
        <v>7.07170641170554E-3</v>
      </c>
      <c r="E37">
        <f t="shared" si="0"/>
        <v>8.1636459623322111</v>
      </c>
      <c r="F37" s="2">
        <f t="shared" si="2"/>
        <v>0.79201267356710525</v>
      </c>
      <c r="G37">
        <f t="shared" si="1"/>
        <v>1</v>
      </c>
    </row>
    <row r="38" spans="1:7" x14ac:dyDescent="0.25">
      <c r="A38">
        <v>37</v>
      </c>
      <c r="B38">
        <v>6976</v>
      </c>
      <c r="C38">
        <v>87826067594.050003</v>
      </c>
      <c r="D38">
        <v>6.8118929054494098E-3</v>
      </c>
      <c r="E38">
        <f t="shared" si="0"/>
        <v>7.8748674808581276</v>
      </c>
      <c r="F38" s="2">
        <f t="shared" si="2"/>
        <v>0.80454534038734993</v>
      </c>
      <c r="G38">
        <f t="shared" si="1"/>
        <v>1</v>
      </c>
    </row>
    <row r="39" spans="1:7" x14ac:dyDescent="0.25">
      <c r="A39">
        <v>38</v>
      </c>
      <c r="B39">
        <v>6607</v>
      </c>
      <c r="C39">
        <v>82185817419.830002</v>
      </c>
      <c r="D39">
        <v>6.5466131926510199E-3</v>
      </c>
      <c r="E39">
        <f t="shared" si="0"/>
        <v>7.5791547666089194</v>
      </c>
      <c r="F39" s="2">
        <f t="shared" si="2"/>
        <v>0.81627315076630369</v>
      </c>
      <c r="G39">
        <f t="shared" si="1"/>
        <v>1</v>
      </c>
    </row>
    <row r="40" spans="1:7" x14ac:dyDescent="0.25">
      <c r="A40">
        <v>39</v>
      </c>
      <c r="B40">
        <v>6485</v>
      </c>
      <c r="C40">
        <v>80894598601.449997</v>
      </c>
      <c r="D40">
        <v>7.0176451246651197E-3</v>
      </c>
      <c r="E40">
        <f t="shared" si="0"/>
        <v>8.1036261780804359</v>
      </c>
      <c r="F40" s="2">
        <f t="shared" si="2"/>
        <v>0.82781670588157441</v>
      </c>
      <c r="G40">
        <f t="shared" si="1"/>
        <v>1</v>
      </c>
    </row>
    <row r="41" spans="1:7" x14ac:dyDescent="0.25">
      <c r="A41">
        <v>40</v>
      </c>
      <c r="B41">
        <v>6299</v>
      </c>
      <c r="C41">
        <v>79484980046.089996</v>
      </c>
      <c r="D41">
        <v>6.8789111739544001E-3</v>
      </c>
      <c r="E41">
        <f t="shared" si="0"/>
        <v>7.9494367508590402</v>
      </c>
      <c r="F41" s="2">
        <f t="shared" si="2"/>
        <v>0.83915911024306644</v>
      </c>
      <c r="G41">
        <f t="shared" si="1"/>
        <v>1</v>
      </c>
    </row>
    <row r="42" spans="1:7" x14ac:dyDescent="0.25">
      <c r="A42">
        <v>41</v>
      </c>
      <c r="B42">
        <v>6100</v>
      </c>
      <c r="C42">
        <v>76259214401.550003</v>
      </c>
      <c r="D42">
        <v>6.9194175344143996E-3</v>
      </c>
      <c r="E42">
        <f t="shared" si="0"/>
        <v>7.9944801641613994</v>
      </c>
      <c r="F42" s="2">
        <f t="shared" si="2"/>
        <v>0.85004120199839606</v>
      </c>
      <c r="G42">
        <f t="shared" si="1"/>
        <v>1</v>
      </c>
    </row>
    <row r="43" spans="1:7" x14ac:dyDescent="0.25">
      <c r="A43">
        <v>42</v>
      </c>
      <c r="B43">
        <v>5883</v>
      </c>
      <c r="C43">
        <v>69844318968.419998</v>
      </c>
      <c r="D43">
        <v>6.8358292063206497E-3</v>
      </c>
      <c r="E43">
        <f t="shared" si="0"/>
        <v>7.9015070582091678</v>
      </c>
      <c r="F43" s="2">
        <f t="shared" si="2"/>
        <v>0.86000789643089737</v>
      </c>
      <c r="G43">
        <f t="shared" si="1"/>
        <v>1</v>
      </c>
    </row>
    <row r="44" spans="1:7" x14ac:dyDescent="0.25">
      <c r="A44">
        <v>43</v>
      </c>
      <c r="B44">
        <v>5613</v>
      </c>
      <c r="C44">
        <v>65215355439.459999</v>
      </c>
      <c r="D44">
        <v>6.6582316735607399E-3</v>
      </c>
      <c r="E44">
        <f t="shared" si="0"/>
        <v>7.7036840364268162</v>
      </c>
      <c r="F44" s="2">
        <f t="shared" si="2"/>
        <v>0.86931404372493781</v>
      </c>
      <c r="G44">
        <f t="shared" si="1"/>
        <v>1</v>
      </c>
    </row>
    <row r="45" spans="1:7" x14ac:dyDescent="0.25">
      <c r="A45">
        <v>44</v>
      </c>
      <c r="B45">
        <v>5513</v>
      </c>
      <c r="C45">
        <v>60130066074.400002</v>
      </c>
      <c r="D45">
        <v>6.6578999926138801E-3</v>
      </c>
      <c r="E45">
        <f t="shared" si="0"/>
        <v>7.703314218263535</v>
      </c>
      <c r="F45" s="2">
        <f t="shared" si="2"/>
        <v>0.87789452677096236</v>
      </c>
      <c r="G45">
        <f t="shared" si="1"/>
        <v>1</v>
      </c>
    </row>
    <row r="46" spans="1:7" x14ac:dyDescent="0.25">
      <c r="A46">
        <v>45</v>
      </c>
      <c r="B46">
        <v>5273</v>
      </c>
      <c r="C46">
        <v>58942900404.029999</v>
      </c>
      <c r="D46">
        <v>6.6618654981296498E-3</v>
      </c>
      <c r="E46">
        <f t="shared" si="0"/>
        <v>7.7077355951147952</v>
      </c>
      <c r="F46" s="2">
        <f t="shared" si="2"/>
        <v>0.88630560280361648</v>
      </c>
      <c r="G46">
        <f t="shared" si="1"/>
        <v>1</v>
      </c>
    </row>
    <row r="47" spans="1:7" x14ac:dyDescent="0.25">
      <c r="A47">
        <v>46</v>
      </c>
      <c r="B47">
        <v>4985</v>
      </c>
      <c r="C47">
        <v>52278591496.989998</v>
      </c>
      <c r="D47">
        <v>6.8953888819853499E-3</v>
      </c>
      <c r="E47">
        <f t="shared" si="0"/>
        <v>7.9677625391141422</v>
      </c>
      <c r="F47" s="2">
        <f t="shared" si="2"/>
        <v>0.89376569053169141</v>
      </c>
      <c r="G47">
        <f t="shared" si="1"/>
        <v>1</v>
      </c>
    </row>
    <row r="48" spans="1:7" x14ac:dyDescent="0.25">
      <c r="A48">
        <v>47</v>
      </c>
      <c r="B48">
        <v>4767</v>
      </c>
      <c r="C48">
        <v>46048645016.650002</v>
      </c>
      <c r="D48">
        <v>6.6738427707967798E-3</v>
      </c>
      <c r="E48">
        <f t="shared" si="0"/>
        <v>7.7210885866874079</v>
      </c>
      <c r="F48" s="2">
        <f t="shared" si="2"/>
        <v>0.90033677291448611</v>
      </c>
      <c r="G48">
        <f t="shared" si="1"/>
        <v>1</v>
      </c>
    </row>
    <row r="49" spans="1:7" x14ac:dyDescent="0.25">
      <c r="A49">
        <v>48</v>
      </c>
      <c r="B49">
        <v>4471</v>
      </c>
      <c r="C49">
        <v>48045410541.440002</v>
      </c>
      <c r="D49">
        <v>6.4954234159251504E-3</v>
      </c>
      <c r="E49">
        <f t="shared" si="0"/>
        <v>7.5219924257821535</v>
      </c>
      <c r="F49" s="2">
        <f t="shared" si="2"/>
        <v>0.9071927911679839</v>
      </c>
      <c r="G49">
        <f t="shared" si="1"/>
        <v>1</v>
      </c>
    </row>
    <row r="50" spans="1:7" x14ac:dyDescent="0.25">
      <c r="A50">
        <v>49</v>
      </c>
      <c r="B50">
        <v>4122</v>
      </c>
      <c r="C50">
        <v>41410122962.040001</v>
      </c>
      <c r="D50">
        <v>6.7470711453362503E-3</v>
      </c>
      <c r="E50">
        <f t="shared" si="0"/>
        <v>7.8026895242376497</v>
      </c>
      <c r="F50" s="2">
        <f t="shared" si="2"/>
        <v>0.91310196242300856</v>
      </c>
      <c r="G50">
        <f t="shared" si="1"/>
        <v>1</v>
      </c>
    </row>
    <row r="51" spans="1:7" x14ac:dyDescent="0.25">
      <c r="A51">
        <v>50</v>
      </c>
      <c r="B51">
        <v>3594</v>
      </c>
      <c r="C51">
        <v>38147745625.059998</v>
      </c>
      <c r="D51">
        <v>6.0789484146775699E-3</v>
      </c>
      <c r="E51">
        <f t="shared" si="0"/>
        <v>7.0557193639393052</v>
      </c>
      <c r="F51" s="2">
        <f t="shared" si="2"/>
        <v>0.91854559663047608</v>
      </c>
      <c r="G51">
        <f t="shared" si="1"/>
        <v>1</v>
      </c>
    </row>
    <row r="52" spans="1:7" x14ac:dyDescent="0.25">
      <c r="A52">
        <v>51</v>
      </c>
      <c r="B52">
        <v>3210</v>
      </c>
      <c r="C52">
        <v>35794748817.279999</v>
      </c>
      <c r="D52">
        <v>5.8049962194946696E-3</v>
      </c>
      <c r="E52">
        <f t="shared" si="0"/>
        <v>6.7478366630827953</v>
      </c>
      <c r="F52" s="2">
        <f t="shared" si="2"/>
        <v>0.92365346122160019</v>
      </c>
      <c r="G52">
        <f t="shared" si="1"/>
        <v>1</v>
      </c>
    </row>
    <row r="53" spans="1:7" x14ac:dyDescent="0.25">
      <c r="A53">
        <v>52</v>
      </c>
      <c r="B53">
        <v>2919</v>
      </c>
      <c r="C53">
        <v>33451468387.73</v>
      </c>
      <c r="D53">
        <v>5.9976738251305301E-3</v>
      </c>
      <c r="E53">
        <f t="shared" si="0"/>
        <v>6.9644758204594259</v>
      </c>
      <c r="F53" s="2">
        <f t="shared" si="2"/>
        <v>0.92842694271105008</v>
      </c>
      <c r="G53">
        <f t="shared" si="1"/>
        <v>1</v>
      </c>
    </row>
    <row r="54" spans="1:7" x14ac:dyDescent="0.25">
      <c r="A54">
        <v>53</v>
      </c>
      <c r="B54">
        <v>2789</v>
      </c>
      <c r="C54">
        <v>35641960437.150002</v>
      </c>
      <c r="D54">
        <v>5.9188773975674402E-3</v>
      </c>
      <c r="E54">
        <f t="shared" si="0"/>
        <v>6.8759360194912134</v>
      </c>
      <c r="F54" s="2">
        <f t="shared" si="2"/>
        <v>0.93351300459695663</v>
      </c>
      <c r="G54">
        <f t="shared" si="1"/>
        <v>1</v>
      </c>
    </row>
    <row r="55" spans="1:7" x14ac:dyDescent="0.25">
      <c r="A55">
        <v>54</v>
      </c>
      <c r="B55">
        <v>2740</v>
      </c>
      <c r="C55">
        <v>34023838469.09</v>
      </c>
      <c r="D55">
        <v>5.5528733438817198E-3</v>
      </c>
      <c r="E55">
        <f t="shared" si="0"/>
        <v>6.4636611394756844</v>
      </c>
      <c r="F55" s="2">
        <f t="shared" si="2"/>
        <v>0.9383681625604201</v>
      </c>
      <c r="G55">
        <f t="shared" si="1"/>
        <v>1</v>
      </c>
    </row>
    <row r="56" spans="1:7" x14ac:dyDescent="0.25">
      <c r="A56">
        <v>55</v>
      </c>
      <c r="B56">
        <v>2667</v>
      </c>
      <c r="C56">
        <v>30202879362.02</v>
      </c>
      <c r="D56">
        <v>5.8146254472690399E-3</v>
      </c>
      <c r="E56">
        <f t="shared" si="0"/>
        <v>6.7586743577293662</v>
      </c>
      <c r="F56" s="2">
        <f t="shared" si="2"/>
        <v>0.94267807457658659</v>
      </c>
      <c r="G56">
        <f t="shared" si="1"/>
        <v>1</v>
      </c>
    </row>
    <row r="57" spans="1:7" x14ac:dyDescent="0.25">
      <c r="A57">
        <v>56</v>
      </c>
      <c r="B57">
        <v>2472</v>
      </c>
      <c r="C57">
        <v>30296543092.68</v>
      </c>
      <c r="D57">
        <v>6.1245266027507E-3</v>
      </c>
      <c r="E57">
        <f t="shared" si="0"/>
        <v>7.1068521611687192</v>
      </c>
      <c r="F57" s="2">
        <f t="shared" si="2"/>
        <v>0.94700135228658011</v>
      </c>
      <c r="G57">
        <f t="shared" si="1"/>
        <v>1</v>
      </c>
    </row>
    <row r="58" spans="1:7" x14ac:dyDescent="0.25">
      <c r="A58">
        <v>57</v>
      </c>
      <c r="B58">
        <v>2225</v>
      </c>
      <c r="C58">
        <v>27760662794.91</v>
      </c>
      <c r="D58">
        <v>6.4950281870719403E-3</v>
      </c>
      <c r="E58">
        <f t="shared" si="0"/>
        <v>7.5215509575770163</v>
      </c>
      <c r="F58" s="2">
        <f t="shared" si="2"/>
        <v>0.95096276314156569</v>
      </c>
      <c r="G58">
        <f t="shared" si="1"/>
        <v>1</v>
      </c>
    </row>
    <row r="59" spans="1:7" x14ac:dyDescent="0.25">
      <c r="A59">
        <v>58</v>
      </c>
      <c r="B59">
        <v>1834</v>
      </c>
      <c r="C59">
        <v>24315373881.759998</v>
      </c>
      <c r="D59">
        <v>6.3551456028349404E-3</v>
      </c>
      <c r="E59">
        <f t="shared" si="0"/>
        <v>7.3651815740169324</v>
      </c>
      <c r="F59" s="2">
        <f t="shared" si="2"/>
        <v>0.95443253570246789</v>
      </c>
      <c r="G59">
        <f t="shared" si="1"/>
        <v>1</v>
      </c>
    </row>
    <row r="60" spans="1:7" x14ac:dyDescent="0.25">
      <c r="A60">
        <v>59</v>
      </c>
      <c r="B60">
        <v>1498</v>
      </c>
      <c r="C60">
        <v>20639848562.790001</v>
      </c>
      <c r="D60">
        <v>6.3921001166647303E-3</v>
      </c>
      <c r="E60">
        <f t="shared" si="0"/>
        <v>7.4065151493310495</v>
      </c>
      <c r="F60" s="2">
        <f t="shared" si="2"/>
        <v>0.95737781553047285</v>
      </c>
      <c r="G60">
        <f t="shared" si="1"/>
        <v>1</v>
      </c>
    </row>
    <row r="61" spans="1:7" x14ac:dyDescent="0.25">
      <c r="A61">
        <v>60</v>
      </c>
      <c r="B61">
        <v>1271</v>
      </c>
      <c r="C61">
        <v>19526331661.52</v>
      </c>
      <c r="D61">
        <v>5.49944615564336E-3</v>
      </c>
      <c r="E61">
        <f t="shared" si="0"/>
        <v>6.4033398567136635</v>
      </c>
      <c r="F61" s="2">
        <f t="shared" si="2"/>
        <v>0.96016419792967755</v>
      </c>
      <c r="G61">
        <f t="shared" si="1"/>
        <v>1</v>
      </c>
    </row>
    <row r="62" spans="1:7" x14ac:dyDescent="0.25">
      <c r="A62">
        <v>61</v>
      </c>
      <c r="B62">
        <v>1104</v>
      </c>
      <c r="C62">
        <v>17230557734.880001</v>
      </c>
      <c r="D62">
        <v>5.5502647734645199E-3</v>
      </c>
      <c r="E62">
        <f t="shared" si="0"/>
        <v>6.4607167941383992</v>
      </c>
      <c r="F62" s="2">
        <f t="shared" si="2"/>
        <v>0.96262297634403604</v>
      </c>
      <c r="G62">
        <f t="shared" si="1"/>
        <v>1</v>
      </c>
    </row>
    <row r="63" spans="1:7" x14ac:dyDescent="0.25">
      <c r="A63">
        <v>62</v>
      </c>
      <c r="B63">
        <v>1016</v>
      </c>
      <c r="C63">
        <v>16855509831.629999</v>
      </c>
      <c r="D63">
        <v>4.7984370398543499E-3</v>
      </c>
      <c r="E63">
        <f t="shared" si="0"/>
        <v>5.6085640668331216</v>
      </c>
      <c r="F63" s="2">
        <f t="shared" si="2"/>
        <v>0.96502823590525877</v>
      </c>
      <c r="G63">
        <f t="shared" si="1"/>
        <v>1</v>
      </c>
    </row>
    <row r="64" spans="1:7" x14ac:dyDescent="0.25">
      <c r="A64">
        <v>63</v>
      </c>
      <c r="B64">
        <v>1011</v>
      </c>
      <c r="C64">
        <v>17455515306.82</v>
      </c>
      <c r="D64">
        <v>5.4412196085916898E-3</v>
      </c>
      <c r="E64">
        <f t="shared" si="0"/>
        <v>6.3375593128416678</v>
      </c>
      <c r="F64" s="2">
        <f t="shared" si="2"/>
        <v>0.96751911547562996</v>
      </c>
      <c r="G64">
        <f t="shared" si="1"/>
        <v>1</v>
      </c>
    </row>
    <row r="65" spans="1:7" x14ac:dyDescent="0.25">
      <c r="A65">
        <v>64</v>
      </c>
      <c r="B65">
        <v>1057</v>
      </c>
      <c r="C65">
        <v>17637302291.130001</v>
      </c>
      <c r="D65">
        <v>4.9250933221024603E-3</v>
      </c>
      <c r="E65">
        <f t="shared" si="0"/>
        <v>5.752618144351529</v>
      </c>
      <c r="F65" s="2">
        <f t="shared" si="2"/>
        <v>0.97003593581471625</v>
      </c>
      <c r="G65">
        <f t="shared" si="1"/>
        <v>1</v>
      </c>
    </row>
    <row r="66" spans="1:7" x14ac:dyDescent="0.25">
      <c r="A66">
        <v>65</v>
      </c>
      <c r="B66">
        <v>1065</v>
      </c>
      <c r="C66">
        <v>17874133060.189999</v>
      </c>
      <c r="D66">
        <v>5.0183936134258504E-3</v>
      </c>
      <c r="E66">
        <f t="shared" si="0"/>
        <v>5.8586054412823607</v>
      </c>
      <c r="F66" s="2">
        <f t="shared" si="2"/>
        <v>0.97258655159976437</v>
      </c>
      <c r="G66">
        <f t="shared" si="1"/>
        <v>1</v>
      </c>
    </row>
    <row r="67" spans="1:7" x14ac:dyDescent="0.25">
      <c r="A67">
        <v>66</v>
      </c>
      <c r="B67">
        <v>1102</v>
      </c>
      <c r="C67">
        <v>12574402636.700001</v>
      </c>
      <c r="D67">
        <v>5.6511515631170704E-3</v>
      </c>
      <c r="E67">
        <f t="shared" ref="E67:E130" si="3">100*(1-(1-D67)^12)</f>
        <v>6.5745278464249823</v>
      </c>
      <c r="F67" s="2">
        <f t="shared" si="2"/>
        <v>0.97438090267372779</v>
      </c>
      <c r="G67">
        <f t="shared" ref="G67:G130" si="4">A68-A67</f>
        <v>1</v>
      </c>
    </row>
    <row r="68" spans="1:7" x14ac:dyDescent="0.25">
      <c r="A68">
        <v>67</v>
      </c>
      <c r="B68">
        <v>1176</v>
      </c>
      <c r="C68">
        <v>10105368886.790001</v>
      </c>
      <c r="D68">
        <v>6.3942466401034998E-3</v>
      </c>
      <c r="E68">
        <f t="shared" si="3"/>
        <v>7.4089155133860052</v>
      </c>
      <c r="F68" s="2">
        <f t="shared" ref="F68:F131" si="5">C68/$I$3+F67</f>
        <v>0.97582292580903651</v>
      </c>
      <c r="G68">
        <f t="shared" si="4"/>
        <v>1</v>
      </c>
    </row>
    <row r="69" spans="1:7" x14ac:dyDescent="0.25">
      <c r="A69">
        <v>68</v>
      </c>
      <c r="B69">
        <v>1365</v>
      </c>
      <c r="C69">
        <v>8708036919.3400002</v>
      </c>
      <c r="D69">
        <v>7.2995697539859697E-3</v>
      </c>
      <c r="E69">
        <f t="shared" si="3"/>
        <v>8.4162291122626627</v>
      </c>
      <c r="F69" s="2">
        <f t="shared" si="5"/>
        <v>0.97706555147084939</v>
      </c>
      <c r="G69">
        <f t="shared" si="4"/>
        <v>1</v>
      </c>
    </row>
    <row r="70" spans="1:7" x14ac:dyDescent="0.25">
      <c r="A70">
        <v>69</v>
      </c>
      <c r="B70">
        <v>1605</v>
      </c>
      <c r="C70">
        <v>8776872862.3799992</v>
      </c>
      <c r="D70">
        <v>8.18282802852781E-3</v>
      </c>
      <c r="E70">
        <f t="shared" si="3"/>
        <v>9.3893013778788337</v>
      </c>
      <c r="F70" s="2">
        <f t="shared" si="5"/>
        <v>0.9783179999331475</v>
      </c>
      <c r="G70">
        <f t="shared" si="4"/>
        <v>1</v>
      </c>
    </row>
    <row r="71" spans="1:7" x14ac:dyDescent="0.25">
      <c r="A71">
        <v>70</v>
      </c>
      <c r="B71">
        <v>1783</v>
      </c>
      <c r="C71">
        <v>8208945726.04</v>
      </c>
      <c r="D71">
        <v>7.6575018329005902E-3</v>
      </c>
      <c r="E71">
        <f t="shared" si="3"/>
        <v>8.8117060029284104</v>
      </c>
      <c r="F71" s="2">
        <f t="shared" si="5"/>
        <v>0.9794894059239686</v>
      </c>
      <c r="G71">
        <f t="shared" si="4"/>
        <v>1</v>
      </c>
    </row>
    <row r="72" spans="1:7" x14ac:dyDescent="0.25">
      <c r="A72">
        <v>71</v>
      </c>
      <c r="B72">
        <v>1976</v>
      </c>
      <c r="C72">
        <v>8606588533.8299999</v>
      </c>
      <c r="D72">
        <v>6.9998929909611297E-3</v>
      </c>
      <c r="E72">
        <f t="shared" si="3"/>
        <v>8.0839096086261506</v>
      </c>
      <c r="F72" s="2">
        <f t="shared" si="5"/>
        <v>0.98071755503172553</v>
      </c>
      <c r="G72">
        <f t="shared" si="4"/>
        <v>1</v>
      </c>
    </row>
    <row r="73" spans="1:7" x14ac:dyDescent="0.25">
      <c r="A73">
        <v>72</v>
      </c>
      <c r="B73">
        <v>2050</v>
      </c>
      <c r="C73">
        <v>9039342485.0900002</v>
      </c>
      <c r="D73">
        <v>7.2778814634265202E-3</v>
      </c>
      <c r="E73">
        <f t="shared" si="3"/>
        <v>8.392215413034732</v>
      </c>
      <c r="F73" s="2">
        <f t="shared" si="5"/>
        <v>0.98200745757140606</v>
      </c>
      <c r="G73">
        <f t="shared" si="4"/>
        <v>1</v>
      </c>
    </row>
    <row r="74" spans="1:7" x14ac:dyDescent="0.25">
      <c r="A74">
        <v>73</v>
      </c>
      <c r="B74">
        <v>2143</v>
      </c>
      <c r="C74">
        <v>8777021318.3999996</v>
      </c>
      <c r="D74">
        <v>7.1016759714838899E-3</v>
      </c>
      <c r="E74">
        <f t="shared" si="3"/>
        <v>8.1969032067911733</v>
      </c>
      <c r="F74" s="2">
        <f t="shared" si="5"/>
        <v>0.98325992721818711</v>
      </c>
      <c r="G74">
        <f t="shared" si="4"/>
        <v>1</v>
      </c>
    </row>
    <row r="75" spans="1:7" x14ac:dyDescent="0.25">
      <c r="A75">
        <v>74</v>
      </c>
      <c r="B75">
        <v>2281</v>
      </c>
      <c r="C75">
        <v>8287893446.4499998</v>
      </c>
      <c r="D75">
        <v>7.2301795993914798E-3</v>
      </c>
      <c r="E75">
        <f t="shared" si="3"/>
        <v>8.3393786676269954</v>
      </c>
      <c r="F75" s="2">
        <f t="shared" si="5"/>
        <v>0.98444259894711106</v>
      </c>
      <c r="G75">
        <f t="shared" si="4"/>
        <v>1</v>
      </c>
    </row>
    <row r="76" spans="1:7" x14ac:dyDescent="0.25">
      <c r="A76">
        <v>75</v>
      </c>
      <c r="B76">
        <v>2406</v>
      </c>
      <c r="C76">
        <v>8752583576.7600002</v>
      </c>
      <c r="D76">
        <v>6.8293742047755299E-3</v>
      </c>
      <c r="E76">
        <f t="shared" si="3"/>
        <v>7.8943237483370066</v>
      </c>
      <c r="F76" s="2">
        <f t="shared" si="5"/>
        <v>0.98569158135960966</v>
      </c>
      <c r="G76">
        <f t="shared" si="4"/>
        <v>1</v>
      </c>
    </row>
    <row r="77" spans="1:7" x14ac:dyDescent="0.25">
      <c r="A77">
        <v>76</v>
      </c>
      <c r="B77">
        <v>2462</v>
      </c>
      <c r="C77">
        <v>8888688441.6499996</v>
      </c>
      <c r="D77">
        <v>6.5836053199270599E-3</v>
      </c>
      <c r="E77">
        <f t="shared" si="3"/>
        <v>7.6204427863395434</v>
      </c>
      <c r="F77" s="2">
        <f t="shared" si="5"/>
        <v>0.9869599857611715</v>
      </c>
      <c r="G77">
        <f t="shared" si="4"/>
        <v>1</v>
      </c>
    </row>
    <row r="78" spans="1:7" x14ac:dyDescent="0.25">
      <c r="A78">
        <v>77</v>
      </c>
      <c r="B78">
        <v>2482</v>
      </c>
      <c r="C78">
        <v>8908006887.6100006</v>
      </c>
      <c r="D78">
        <v>7.5715800473214103E-3</v>
      </c>
      <c r="E78">
        <f t="shared" si="3"/>
        <v>8.7169146180506871</v>
      </c>
      <c r="F78" s="2">
        <f t="shared" si="5"/>
        <v>0.98823114688011049</v>
      </c>
      <c r="G78">
        <f t="shared" si="4"/>
        <v>1</v>
      </c>
    </row>
    <row r="79" spans="1:7" x14ac:dyDescent="0.25">
      <c r="A79">
        <v>78</v>
      </c>
      <c r="B79">
        <v>2549</v>
      </c>
      <c r="C79">
        <v>8664475120.8099995</v>
      </c>
      <c r="D79">
        <v>7.08998640639794E-3</v>
      </c>
      <c r="E79">
        <f t="shared" si="3"/>
        <v>8.1839326005549662</v>
      </c>
      <c r="F79" s="2">
        <f t="shared" si="5"/>
        <v>0.98946755632933381</v>
      </c>
      <c r="G79">
        <f t="shared" si="4"/>
        <v>1</v>
      </c>
    </row>
    <row r="80" spans="1:7" x14ac:dyDescent="0.25">
      <c r="A80">
        <v>79</v>
      </c>
      <c r="B80">
        <v>2573</v>
      </c>
      <c r="C80">
        <v>8880213166.3099995</v>
      </c>
      <c r="D80">
        <v>8.1735173496026801E-3</v>
      </c>
      <c r="E80">
        <f t="shared" si="3"/>
        <v>9.3790935608845327</v>
      </c>
      <c r="F80" s="2">
        <f t="shared" si="5"/>
        <v>0.99073475132001165</v>
      </c>
      <c r="G80">
        <f t="shared" si="4"/>
        <v>1</v>
      </c>
    </row>
    <row r="81" spans="1:7" x14ac:dyDescent="0.25">
      <c r="A81">
        <v>80</v>
      </c>
      <c r="B81">
        <v>2604</v>
      </c>
      <c r="C81">
        <v>8800501728.7000008</v>
      </c>
      <c r="D81">
        <v>6.9714545755327796E-3</v>
      </c>
      <c r="E81">
        <f t="shared" si="3"/>
        <v>8.0523161409074682</v>
      </c>
      <c r="F81" s="2">
        <f t="shared" si="5"/>
        <v>0.99199057159112503</v>
      </c>
      <c r="G81">
        <f t="shared" si="4"/>
        <v>1</v>
      </c>
    </row>
    <row r="82" spans="1:7" x14ac:dyDescent="0.25">
      <c r="A82">
        <v>81</v>
      </c>
      <c r="B82">
        <v>2636</v>
      </c>
      <c r="C82">
        <v>8756952291.0699997</v>
      </c>
      <c r="D82">
        <v>7.4960447629688698E-3</v>
      </c>
      <c r="E82">
        <f t="shared" si="3"/>
        <v>8.6335073219488851</v>
      </c>
      <c r="F82" s="2">
        <f t="shared" si="5"/>
        <v>0.99324017741353343</v>
      </c>
      <c r="G82">
        <f t="shared" si="4"/>
        <v>1</v>
      </c>
    </row>
    <row r="83" spans="1:7" x14ac:dyDescent="0.25">
      <c r="A83">
        <v>82</v>
      </c>
      <c r="B83">
        <v>2614</v>
      </c>
      <c r="C83">
        <v>8478320871.7399998</v>
      </c>
      <c r="D83">
        <v>7.63385193059449E-3</v>
      </c>
      <c r="E83">
        <f t="shared" si="3"/>
        <v>8.7856237546714571</v>
      </c>
      <c r="F83" s="2">
        <f t="shared" si="5"/>
        <v>0.99445002289098072</v>
      </c>
      <c r="G83">
        <f t="shared" si="4"/>
        <v>1</v>
      </c>
    </row>
    <row r="84" spans="1:7" x14ac:dyDescent="0.25">
      <c r="A84">
        <v>83</v>
      </c>
      <c r="B84">
        <v>2498</v>
      </c>
      <c r="C84">
        <v>7468162316.0600004</v>
      </c>
      <c r="D84">
        <v>7.3679641102930597E-3</v>
      </c>
      <c r="E84">
        <f t="shared" si="3"/>
        <v>8.4919188954136082</v>
      </c>
      <c r="F84" s="2">
        <f t="shared" si="5"/>
        <v>0.9955157200425292</v>
      </c>
      <c r="G84">
        <f t="shared" si="4"/>
        <v>1</v>
      </c>
    </row>
    <row r="85" spans="1:7" x14ac:dyDescent="0.25">
      <c r="A85">
        <v>84</v>
      </c>
      <c r="B85">
        <v>2327</v>
      </c>
      <c r="C85">
        <v>6787529888.3400002</v>
      </c>
      <c r="D85">
        <v>7.5146844846360299E-3</v>
      </c>
      <c r="E85">
        <f t="shared" si="3"/>
        <v>8.6540960974346053</v>
      </c>
      <c r="F85" s="2">
        <f t="shared" si="5"/>
        <v>0.99648429182256393</v>
      </c>
      <c r="G85">
        <f t="shared" si="4"/>
        <v>1</v>
      </c>
    </row>
    <row r="86" spans="1:7" x14ac:dyDescent="0.25">
      <c r="A86">
        <v>85</v>
      </c>
      <c r="B86">
        <v>2106</v>
      </c>
      <c r="C86">
        <v>5929958063.8999996</v>
      </c>
      <c r="D86">
        <v>7.2905723009571103E-3</v>
      </c>
      <c r="E86">
        <f t="shared" si="3"/>
        <v>8.4062676568600665</v>
      </c>
      <c r="F86" s="2">
        <f t="shared" si="5"/>
        <v>0.99733048920688039</v>
      </c>
      <c r="G86">
        <f t="shared" si="4"/>
        <v>1</v>
      </c>
    </row>
    <row r="87" spans="1:7" x14ac:dyDescent="0.25">
      <c r="A87">
        <v>86</v>
      </c>
      <c r="B87">
        <v>1835</v>
      </c>
      <c r="C87">
        <v>4388464006.6400003</v>
      </c>
      <c r="D87">
        <v>7.4259897537389203E-3</v>
      </c>
      <c r="E87">
        <f t="shared" si="3"/>
        <v>8.5560889999721894</v>
      </c>
      <c r="F87" s="2">
        <f t="shared" si="5"/>
        <v>0.99795671737301062</v>
      </c>
      <c r="G87">
        <f t="shared" si="4"/>
        <v>1</v>
      </c>
    </row>
    <row r="88" spans="1:7" x14ac:dyDescent="0.25">
      <c r="A88">
        <v>87</v>
      </c>
      <c r="B88">
        <v>1503</v>
      </c>
      <c r="C88">
        <v>3270701752.9400001</v>
      </c>
      <c r="D88">
        <v>7.7083380291877003E-3</v>
      </c>
      <c r="E88">
        <f t="shared" si="3"/>
        <v>8.8677474617753447</v>
      </c>
      <c r="F88" s="2">
        <f t="shared" si="5"/>
        <v>0.99842344230401237</v>
      </c>
      <c r="G88">
        <f t="shared" si="4"/>
        <v>1</v>
      </c>
    </row>
    <row r="89" spans="1:7" x14ac:dyDescent="0.25">
      <c r="A89">
        <v>88</v>
      </c>
      <c r="B89">
        <v>1221</v>
      </c>
      <c r="C89">
        <v>2417559638.8099999</v>
      </c>
      <c r="D89">
        <v>6.5441444567383702E-3</v>
      </c>
      <c r="E89">
        <f t="shared" si="3"/>
        <v>7.5763987345954913</v>
      </c>
      <c r="F89" s="2">
        <f t="shared" si="5"/>
        <v>0.99876842495325635</v>
      </c>
      <c r="G89">
        <f t="shared" si="4"/>
        <v>1</v>
      </c>
    </row>
    <row r="90" spans="1:7" x14ac:dyDescent="0.25">
      <c r="A90">
        <v>89</v>
      </c>
      <c r="B90">
        <v>974</v>
      </c>
      <c r="C90">
        <v>1636529741.9100001</v>
      </c>
      <c r="D90">
        <v>7.5501507613314504E-3</v>
      </c>
      <c r="E90">
        <f t="shared" si="3"/>
        <v>8.6932591446993399</v>
      </c>
      <c r="F90" s="2">
        <f t="shared" si="5"/>
        <v>0.99900195564133842</v>
      </c>
      <c r="G90">
        <f t="shared" si="4"/>
        <v>1</v>
      </c>
    </row>
    <row r="91" spans="1:7" x14ac:dyDescent="0.25">
      <c r="A91">
        <v>90</v>
      </c>
      <c r="B91">
        <v>793</v>
      </c>
      <c r="C91">
        <v>1427991568.76</v>
      </c>
      <c r="D91">
        <v>7.47479533927545E-3</v>
      </c>
      <c r="E91">
        <f t="shared" si="3"/>
        <v>8.6100307732977726</v>
      </c>
      <c r="F91" s="2">
        <f t="shared" si="5"/>
        <v>0.99920572820048459</v>
      </c>
      <c r="G91">
        <f t="shared" si="4"/>
        <v>1</v>
      </c>
    </row>
    <row r="92" spans="1:7" x14ac:dyDescent="0.25">
      <c r="A92">
        <v>91</v>
      </c>
      <c r="B92">
        <v>668</v>
      </c>
      <c r="C92">
        <v>1028909906.9299999</v>
      </c>
      <c r="D92">
        <v>9.0522031670399201E-3</v>
      </c>
      <c r="E92">
        <f t="shared" si="3"/>
        <v>10.337815171115061</v>
      </c>
      <c r="F92" s="2">
        <f t="shared" si="5"/>
        <v>0.99935255232007525</v>
      </c>
      <c r="G92">
        <f t="shared" si="4"/>
        <v>1</v>
      </c>
    </row>
    <row r="93" spans="1:7" x14ac:dyDescent="0.25">
      <c r="A93">
        <v>92</v>
      </c>
      <c r="B93">
        <v>583</v>
      </c>
      <c r="C93">
        <v>811441431.13999999</v>
      </c>
      <c r="D93">
        <v>1.0358166562783299E-2</v>
      </c>
      <c r="E93">
        <f t="shared" si="3"/>
        <v>11.745564308220214</v>
      </c>
      <c r="F93" s="2">
        <f t="shared" si="5"/>
        <v>0.99946834396803597</v>
      </c>
      <c r="G93">
        <f t="shared" si="4"/>
        <v>1</v>
      </c>
    </row>
    <row r="94" spans="1:7" x14ac:dyDescent="0.25">
      <c r="A94">
        <v>93</v>
      </c>
      <c r="B94">
        <v>482</v>
      </c>
      <c r="C94">
        <v>720628272.5</v>
      </c>
      <c r="D94">
        <v>7.3233035928741402E-3</v>
      </c>
      <c r="E94">
        <f t="shared" si="3"/>
        <v>8.4425010701914331</v>
      </c>
      <c r="F94" s="2">
        <f t="shared" si="5"/>
        <v>0.99957117669512829</v>
      </c>
      <c r="G94">
        <f t="shared" si="4"/>
        <v>1</v>
      </c>
    </row>
    <row r="95" spans="1:7" x14ac:dyDescent="0.25">
      <c r="A95">
        <v>94</v>
      </c>
      <c r="B95">
        <v>380</v>
      </c>
      <c r="C95">
        <v>546221456.09000003</v>
      </c>
      <c r="D95">
        <v>1.13917883845153E-2</v>
      </c>
      <c r="E95">
        <f t="shared" si="3"/>
        <v>12.845350250434585</v>
      </c>
      <c r="F95" s="2">
        <f t="shared" si="5"/>
        <v>0.99964912179396714</v>
      </c>
      <c r="G95">
        <f t="shared" si="4"/>
        <v>1</v>
      </c>
    </row>
    <row r="96" spans="1:7" x14ac:dyDescent="0.25">
      <c r="A96">
        <v>95</v>
      </c>
      <c r="B96">
        <v>234</v>
      </c>
      <c r="C96">
        <v>288539715.25</v>
      </c>
      <c r="D96">
        <v>6.2802626772702399E-3</v>
      </c>
      <c r="E96">
        <f t="shared" si="3"/>
        <v>7.281373254055012</v>
      </c>
      <c r="F96" s="2">
        <f t="shared" si="5"/>
        <v>0.99969029604000481</v>
      </c>
      <c r="G96">
        <f t="shared" si="4"/>
        <v>1</v>
      </c>
    </row>
    <row r="97" spans="1:7" x14ac:dyDescent="0.25">
      <c r="A97">
        <v>96</v>
      </c>
      <c r="B97">
        <v>105</v>
      </c>
      <c r="C97">
        <v>145085364.40000001</v>
      </c>
      <c r="D97">
        <v>5.6124957079277202E-3</v>
      </c>
      <c r="E97">
        <f t="shared" si="3"/>
        <v>6.5309349305925801</v>
      </c>
      <c r="F97" s="2">
        <f t="shared" si="5"/>
        <v>0.99971099953479092</v>
      </c>
      <c r="G97">
        <f t="shared" si="4"/>
        <v>1</v>
      </c>
    </row>
    <row r="98" spans="1:7" x14ac:dyDescent="0.25">
      <c r="A98">
        <v>97</v>
      </c>
      <c r="B98">
        <v>82</v>
      </c>
      <c r="C98">
        <v>138050795.11000001</v>
      </c>
      <c r="D98">
        <v>8.1351013630516101E-3</v>
      </c>
      <c r="E98">
        <f t="shared" si="3"/>
        <v>9.3369648220840045</v>
      </c>
      <c r="F98" s="2">
        <f t="shared" si="5"/>
        <v>0.99973069920559232</v>
      </c>
      <c r="G98">
        <f t="shared" si="4"/>
        <v>1</v>
      </c>
    </row>
    <row r="99" spans="1:7" x14ac:dyDescent="0.25">
      <c r="A99">
        <v>98</v>
      </c>
      <c r="B99">
        <v>106</v>
      </c>
      <c r="C99">
        <v>170154050.33000001</v>
      </c>
      <c r="D99">
        <v>1.15422098550519E-2</v>
      </c>
      <c r="E99">
        <f t="shared" si="3"/>
        <v>13.004349112777492</v>
      </c>
      <c r="F99" s="2">
        <f t="shared" si="5"/>
        <v>0.99975497996959917</v>
      </c>
      <c r="G99">
        <f t="shared" si="4"/>
        <v>1</v>
      </c>
    </row>
    <row r="100" spans="1:7" x14ac:dyDescent="0.25">
      <c r="A100">
        <v>99</v>
      </c>
      <c r="B100">
        <v>104</v>
      </c>
      <c r="C100">
        <v>170836224.41999999</v>
      </c>
      <c r="D100">
        <v>7.6336752149032301E-3</v>
      </c>
      <c r="E100">
        <f t="shared" si="3"/>
        <v>8.7854288383812253</v>
      </c>
      <c r="F100" s="2">
        <f t="shared" si="5"/>
        <v>0.99977935807897078</v>
      </c>
      <c r="G100">
        <f t="shared" si="4"/>
        <v>1</v>
      </c>
    </row>
    <row r="101" spans="1:7" x14ac:dyDescent="0.25">
      <c r="A101">
        <v>100</v>
      </c>
      <c r="B101">
        <v>101</v>
      </c>
      <c r="C101">
        <v>115121341.95</v>
      </c>
      <c r="D101">
        <v>1.1391013101488301E-2</v>
      </c>
      <c r="E101">
        <f t="shared" si="3"/>
        <v>12.84453006935995</v>
      </c>
      <c r="F101" s="2">
        <f t="shared" si="5"/>
        <v>0.99979578574631467</v>
      </c>
      <c r="G101">
        <f t="shared" si="4"/>
        <v>1</v>
      </c>
    </row>
    <row r="102" spans="1:7" x14ac:dyDescent="0.25">
      <c r="A102">
        <v>101</v>
      </c>
      <c r="B102">
        <v>107</v>
      </c>
      <c r="C102">
        <v>124661279.05</v>
      </c>
      <c r="D102">
        <v>9.3715192862390204E-3</v>
      </c>
      <c r="E102">
        <f t="shared" si="3"/>
        <v>10.683906789632625</v>
      </c>
      <c r="F102" s="2">
        <f t="shared" si="5"/>
        <v>0.99981357475040555</v>
      </c>
      <c r="G102">
        <f t="shared" si="4"/>
        <v>1</v>
      </c>
    </row>
    <row r="103" spans="1:7" x14ac:dyDescent="0.25">
      <c r="A103">
        <v>102</v>
      </c>
      <c r="B103">
        <v>95</v>
      </c>
      <c r="C103">
        <v>130390847.19</v>
      </c>
      <c r="D103">
        <v>9.4352813605170904E-3</v>
      </c>
      <c r="E103">
        <f t="shared" si="3"/>
        <v>10.752868631600364</v>
      </c>
      <c r="F103" s="2">
        <f t="shared" si="5"/>
        <v>0.99983218135649654</v>
      </c>
      <c r="G103">
        <f t="shared" si="4"/>
        <v>1</v>
      </c>
    </row>
    <row r="104" spans="1:7" x14ac:dyDescent="0.25">
      <c r="A104">
        <v>103</v>
      </c>
      <c r="B104">
        <v>52</v>
      </c>
      <c r="C104">
        <v>61859637.539999999</v>
      </c>
      <c r="D104">
        <v>1.0072764719971801E-2</v>
      </c>
      <c r="E104">
        <f t="shared" si="3"/>
        <v>11.439660077273651</v>
      </c>
      <c r="F104" s="2">
        <f t="shared" si="5"/>
        <v>0.99984100864716485</v>
      </c>
      <c r="G104">
        <f t="shared" si="4"/>
        <v>1</v>
      </c>
    </row>
    <row r="105" spans="1:7" x14ac:dyDescent="0.25">
      <c r="A105">
        <v>104</v>
      </c>
      <c r="B105">
        <v>27</v>
      </c>
      <c r="C105">
        <v>27480291.710000001</v>
      </c>
      <c r="D105">
        <v>9.4210078093341296E-3</v>
      </c>
      <c r="E105">
        <f t="shared" si="3"/>
        <v>10.737435320449995</v>
      </c>
      <c r="F105" s="2">
        <f t="shared" si="5"/>
        <v>0.99984493004942687</v>
      </c>
      <c r="G105">
        <f t="shared" si="4"/>
        <v>1</v>
      </c>
    </row>
    <row r="106" spans="1:7" x14ac:dyDescent="0.25">
      <c r="A106">
        <v>105</v>
      </c>
      <c r="B106">
        <v>26</v>
      </c>
      <c r="C106">
        <v>34020397.539999999</v>
      </c>
      <c r="D106">
        <v>7.3501756117826901E-3</v>
      </c>
      <c r="E106">
        <f t="shared" si="3"/>
        <v>8.472238468970783</v>
      </c>
      <c r="F106" s="2">
        <f t="shared" si="5"/>
        <v>0.9998497847163742</v>
      </c>
      <c r="G106">
        <f t="shared" si="4"/>
        <v>1</v>
      </c>
    </row>
    <row r="107" spans="1:7" x14ac:dyDescent="0.25">
      <c r="A107">
        <v>106</v>
      </c>
      <c r="B107">
        <v>30</v>
      </c>
      <c r="C107">
        <v>34982816.950000003</v>
      </c>
      <c r="D107">
        <v>9.6661964337600298E-3</v>
      </c>
      <c r="E107">
        <f t="shared" si="3"/>
        <v>11.002206471572052</v>
      </c>
      <c r="F107" s="2">
        <f t="shared" si="5"/>
        <v>0.99985477671933276</v>
      </c>
      <c r="G107">
        <f t="shared" si="4"/>
        <v>1</v>
      </c>
    </row>
    <row r="108" spans="1:7" x14ac:dyDescent="0.25">
      <c r="A108">
        <v>107</v>
      </c>
      <c r="B108">
        <v>17</v>
      </c>
      <c r="C108">
        <v>46692562.619999997</v>
      </c>
      <c r="D108">
        <v>2.0281652213953801E-3</v>
      </c>
      <c r="E108">
        <f t="shared" si="3"/>
        <v>2.4068321741530396</v>
      </c>
      <c r="F108" s="2">
        <f t="shared" si="5"/>
        <v>0.99986143968792884</v>
      </c>
      <c r="G108">
        <f t="shared" si="4"/>
        <v>1</v>
      </c>
    </row>
    <row r="109" spans="1:7" x14ac:dyDescent="0.25">
      <c r="A109">
        <v>108</v>
      </c>
      <c r="B109">
        <v>11</v>
      </c>
      <c r="C109">
        <v>13350385.92</v>
      </c>
      <c r="D109">
        <v>1.95057491115702E-2</v>
      </c>
      <c r="E109">
        <f t="shared" si="3"/>
        <v>21.052093446330478</v>
      </c>
      <c r="F109" s="2">
        <f t="shared" si="5"/>
        <v>0.99986334477081873</v>
      </c>
      <c r="G109">
        <f t="shared" si="4"/>
        <v>1</v>
      </c>
    </row>
    <row r="110" spans="1:7" x14ac:dyDescent="0.25">
      <c r="A110">
        <v>109</v>
      </c>
      <c r="B110">
        <v>16</v>
      </c>
      <c r="C110">
        <v>47168061.409999996</v>
      </c>
      <c r="D110">
        <v>1.77572456952849E-2</v>
      </c>
      <c r="E110">
        <f t="shared" si="3"/>
        <v>19.345982320030597</v>
      </c>
      <c r="F110" s="2">
        <f t="shared" si="5"/>
        <v>0.9998700755924802</v>
      </c>
      <c r="G110">
        <f t="shared" si="4"/>
        <v>1</v>
      </c>
    </row>
    <row r="111" spans="1:7" x14ac:dyDescent="0.25">
      <c r="A111">
        <v>110</v>
      </c>
      <c r="B111">
        <v>18</v>
      </c>
      <c r="C111">
        <v>49743948.579999998</v>
      </c>
      <c r="D111">
        <v>1.1868105783213999E-2</v>
      </c>
      <c r="E111">
        <f t="shared" si="3"/>
        <v>13.347916722882246</v>
      </c>
      <c r="F111" s="2">
        <f t="shared" si="5"/>
        <v>0.99987717398992593</v>
      </c>
      <c r="G111">
        <f t="shared" si="4"/>
        <v>1</v>
      </c>
    </row>
    <row r="112" spans="1:7" x14ac:dyDescent="0.25">
      <c r="A112">
        <v>111</v>
      </c>
      <c r="B112">
        <v>15</v>
      </c>
      <c r="C112">
        <v>47303619.700000003</v>
      </c>
      <c r="D112">
        <v>5.5845668521267502E-3</v>
      </c>
      <c r="E112">
        <f t="shared" si="3"/>
        <v>6.4994274469644342</v>
      </c>
      <c r="F112" s="2">
        <f t="shared" si="5"/>
        <v>0.99988392415558103</v>
      </c>
      <c r="G112">
        <f t="shared" si="4"/>
        <v>1</v>
      </c>
    </row>
    <row r="113" spans="1:7" x14ac:dyDescent="0.25">
      <c r="A113">
        <v>112</v>
      </c>
      <c r="B113">
        <v>23</v>
      </c>
      <c r="C113">
        <v>55989283.68</v>
      </c>
      <c r="D113">
        <v>1.21389928799817E-2</v>
      </c>
      <c r="E113">
        <f t="shared" si="3"/>
        <v>13.632545589093903</v>
      </c>
      <c r="F113" s="2">
        <f t="shared" si="5"/>
        <v>0.99989191375430819</v>
      </c>
      <c r="G113">
        <f t="shared" si="4"/>
        <v>1</v>
      </c>
    </row>
    <row r="114" spans="1:7" x14ac:dyDescent="0.25">
      <c r="A114">
        <v>113</v>
      </c>
      <c r="B114">
        <v>24</v>
      </c>
      <c r="C114">
        <v>54859946.890000001</v>
      </c>
      <c r="D114">
        <v>1.0951733899584801E-2</v>
      </c>
      <c r="E114">
        <f t="shared" si="3"/>
        <v>12.378672004442159</v>
      </c>
      <c r="F114" s="2">
        <f t="shared" si="5"/>
        <v>0.99989974219812883</v>
      </c>
      <c r="G114">
        <f t="shared" si="4"/>
        <v>1</v>
      </c>
    </row>
    <row r="115" spans="1:7" x14ac:dyDescent="0.25">
      <c r="A115">
        <v>114</v>
      </c>
      <c r="B115">
        <v>18</v>
      </c>
      <c r="C115">
        <v>45872210.219999999</v>
      </c>
      <c r="D115">
        <v>6.0238723138113003E-3</v>
      </c>
      <c r="E115">
        <f t="shared" si="3"/>
        <v>6.9938967193913353</v>
      </c>
      <c r="F115" s="2">
        <f t="shared" si="5"/>
        <v>0.99990628810349325</v>
      </c>
      <c r="G115">
        <f t="shared" si="4"/>
        <v>1</v>
      </c>
    </row>
    <row r="116" spans="1:7" x14ac:dyDescent="0.25">
      <c r="A116">
        <v>115</v>
      </c>
      <c r="B116">
        <v>16</v>
      </c>
      <c r="C116">
        <v>51859518.450000003</v>
      </c>
      <c r="D116">
        <v>5.9692374510750901E-3</v>
      </c>
      <c r="E116">
        <f t="shared" si="3"/>
        <v>6.9325321212923008</v>
      </c>
      <c r="F116" s="2">
        <f t="shared" si="5"/>
        <v>0.9999136883900368</v>
      </c>
      <c r="G116">
        <f t="shared" si="4"/>
        <v>1</v>
      </c>
    </row>
    <row r="117" spans="1:7" x14ac:dyDescent="0.25">
      <c r="A117">
        <v>116</v>
      </c>
      <c r="B117">
        <v>16</v>
      </c>
      <c r="C117">
        <v>49283206.950000003</v>
      </c>
      <c r="D117">
        <v>9.8009003348508705E-3</v>
      </c>
      <c r="E117">
        <f t="shared" si="3"/>
        <v>11.147362201661226</v>
      </c>
      <c r="F117" s="2">
        <f t="shared" si="5"/>
        <v>0.99992072104024488</v>
      </c>
      <c r="G117">
        <f t="shared" si="4"/>
        <v>1</v>
      </c>
    </row>
    <row r="118" spans="1:7" x14ac:dyDescent="0.25">
      <c r="A118">
        <v>117</v>
      </c>
      <c r="B118">
        <v>21</v>
      </c>
      <c r="C118">
        <v>48283615.32</v>
      </c>
      <c r="D118">
        <v>1.03645955144584E-2</v>
      </c>
      <c r="E118">
        <f t="shared" si="3"/>
        <v>11.752443927224398</v>
      </c>
      <c r="F118" s="2">
        <f t="shared" si="5"/>
        <v>0.99992761105001371</v>
      </c>
      <c r="G118">
        <f t="shared" si="4"/>
        <v>1</v>
      </c>
    </row>
    <row r="119" spans="1:7" x14ac:dyDescent="0.25">
      <c r="A119">
        <v>118</v>
      </c>
      <c r="B119">
        <v>19</v>
      </c>
      <c r="C119">
        <v>48079677.649999999</v>
      </c>
      <c r="D119">
        <v>3.1549658005281902E-3</v>
      </c>
      <c r="E119">
        <f t="shared" si="3"/>
        <v>3.7209498265943441</v>
      </c>
      <c r="F119" s="2">
        <f t="shared" si="5"/>
        <v>0.99993447195813945</v>
      </c>
      <c r="G119">
        <f t="shared" si="4"/>
        <v>1</v>
      </c>
    </row>
    <row r="120" spans="1:7" x14ac:dyDescent="0.25">
      <c r="A120">
        <v>119</v>
      </c>
      <c r="B120">
        <v>18</v>
      </c>
      <c r="C120">
        <v>45486391.850000001</v>
      </c>
      <c r="D120">
        <v>7.5560503407387696E-3</v>
      </c>
      <c r="E120">
        <f t="shared" si="3"/>
        <v>8.6997721640594818</v>
      </c>
      <c r="F120" s="2">
        <f t="shared" si="5"/>
        <v>0.99994096280771894</v>
      </c>
      <c r="G120">
        <f t="shared" si="4"/>
        <v>1</v>
      </c>
    </row>
    <row r="121" spans="1:7" x14ac:dyDescent="0.25">
      <c r="A121">
        <v>120</v>
      </c>
      <c r="B121">
        <v>14</v>
      </c>
      <c r="C121">
        <v>37008600</v>
      </c>
      <c r="D121">
        <v>1.15792880250014E-2</v>
      </c>
      <c r="E121">
        <f t="shared" si="3"/>
        <v>13.043500698103838</v>
      </c>
      <c r="F121" s="2">
        <f t="shared" si="5"/>
        <v>0.99994624388731168</v>
      </c>
      <c r="G121">
        <f t="shared" si="4"/>
        <v>1</v>
      </c>
    </row>
    <row r="122" spans="1:7" x14ac:dyDescent="0.25">
      <c r="A122">
        <v>121</v>
      </c>
      <c r="B122">
        <v>18</v>
      </c>
      <c r="C122">
        <v>44933070.259999998</v>
      </c>
      <c r="D122">
        <v>1.02272262087516E-2</v>
      </c>
      <c r="E122">
        <f t="shared" si="3"/>
        <v>11.605338058655768</v>
      </c>
      <c r="F122" s="2">
        <f t="shared" si="5"/>
        <v>0.99995265577861236</v>
      </c>
      <c r="G122">
        <f t="shared" si="4"/>
        <v>1</v>
      </c>
    </row>
    <row r="123" spans="1:7" x14ac:dyDescent="0.25">
      <c r="A123">
        <v>122</v>
      </c>
      <c r="B123">
        <v>12</v>
      </c>
      <c r="C123">
        <v>35570394.490000002</v>
      </c>
      <c r="D123">
        <v>4.4203576194723803E-3</v>
      </c>
      <c r="E123">
        <f t="shared" si="3"/>
        <v>5.1773494524116277</v>
      </c>
      <c r="F123" s="2">
        <f t="shared" si="5"/>
        <v>0.99995773162812973</v>
      </c>
      <c r="G123">
        <f t="shared" si="4"/>
        <v>1</v>
      </c>
    </row>
    <row r="124" spans="1:7" x14ac:dyDescent="0.25">
      <c r="A124">
        <v>123</v>
      </c>
      <c r="B124">
        <v>19</v>
      </c>
      <c r="C124">
        <v>44937093.240000002</v>
      </c>
      <c r="D124">
        <v>1.7384394423677899E-2</v>
      </c>
      <c r="E124">
        <f t="shared" si="3"/>
        <v>18.977827112480327</v>
      </c>
      <c r="F124" s="2">
        <f t="shared" si="5"/>
        <v>0.99996414409350443</v>
      </c>
      <c r="G124">
        <f t="shared" si="4"/>
        <v>1</v>
      </c>
    </row>
    <row r="125" spans="1:7" x14ac:dyDescent="0.25">
      <c r="A125">
        <v>124</v>
      </c>
      <c r="B125">
        <v>18</v>
      </c>
      <c r="C125">
        <v>38981121.130000003</v>
      </c>
      <c r="D125">
        <v>9.1851927200796695E-3</v>
      </c>
      <c r="E125">
        <f t="shared" si="3"/>
        <v>10.482105351092219</v>
      </c>
      <c r="F125" s="2">
        <f t="shared" si="5"/>
        <v>0.99996970664932394</v>
      </c>
      <c r="G125">
        <f t="shared" si="4"/>
        <v>1</v>
      </c>
    </row>
    <row r="126" spans="1:7" x14ac:dyDescent="0.25">
      <c r="A126">
        <v>125</v>
      </c>
      <c r="B126">
        <v>16</v>
      </c>
      <c r="C126">
        <v>35998914.280000001</v>
      </c>
      <c r="D126">
        <v>1.15637746139176E-2</v>
      </c>
      <c r="E126">
        <f t="shared" si="3"/>
        <v>13.027121740933501</v>
      </c>
      <c r="F126" s="2">
        <f t="shared" si="5"/>
        <v>0.99997484364806388</v>
      </c>
      <c r="G126">
        <f t="shared" si="4"/>
        <v>1</v>
      </c>
    </row>
    <row r="127" spans="1:7" x14ac:dyDescent="0.25">
      <c r="A127">
        <v>126</v>
      </c>
      <c r="B127">
        <v>17</v>
      </c>
      <c r="C127">
        <v>15414887.140000001</v>
      </c>
      <c r="D127">
        <v>3.8775717077504303E-2</v>
      </c>
      <c r="E127">
        <f t="shared" si="3"/>
        <v>37.784756734050006</v>
      </c>
      <c r="F127" s="2">
        <f t="shared" si="5"/>
        <v>0.99997704333262094</v>
      </c>
      <c r="G127">
        <f t="shared" si="4"/>
        <v>1</v>
      </c>
    </row>
    <row r="128" spans="1:7" x14ac:dyDescent="0.25">
      <c r="A128">
        <v>127</v>
      </c>
      <c r="B128">
        <v>11</v>
      </c>
      <c r="C128">
        <v>6286588.9699999997</v>
      </c>
      <c r="D128">
        <v>7.0802448533548699E-4</v>
      </c>
      <c r="E128">
        <f t="shared" si="3"/>
        <v>0.84632860724132009</v>
      </c>
      <c r="F128" s="2">
        <f t="shared" si="5"/>
        <v>0.99997794042077659</v>
      </c>
      <c r="G128">
        <f t="shared" si="4"/>
        <v>1</v>
      </c>
    </row>
    <row r="129" spans="1:7" x14ac:dyDescent="0.25">
      <c r="A129">
        <v>128</v>
      </c>
      <c r="B129">
        <v>11</v>
      </c>
      <c r="C129">
        <v>11793572.949999999</v>
      </c>
      <c r="D129">
        <v>8.6254985734395204E-3</v>
      </c>
      <c r="E129">
        <f t="shared" si="3"/>
        <v>9.8734112169782229</v>
      </c>
      <c r="F129" s="2">
        <f t="shared" si="5"/>
        <v>0.99997962334845913</v>
      </c>
      <c r="G129">
        <f>A130-A129</f>
        <v>132</v>
      </c>
    </row>
    <row r="130" spans="1:7" x14ac:dyDescent="0.25">
      <c r="A130">
        <v>260</v>
      </c>
      <c r="B130">
        <v>11</v>
      </c>
      <c r="C130">
        <v>13132660.609999999</v>
      </c>
      <c r="D130">
        <v>8.7889390901848604E-3</v>
      </c>
      <c r="E130">
        <f t="shared" si="3"/>
        <v>10.051551609928399</v>
      </c>
      <c r="F130" s="2">
        <f t="shared" si="5"/>
        <v>0.99998149736222741</v>
      </c>
      <c r="G130">
        <f t="shared" si="4"/>
        <v>4</v>
      </c>
    </row>
    <row r="131" spans="1:7" x14ac:dyDescent="0.25">
      <c r="A131">
        <v>264</v>
      </c>
      <c r="B131">
        <v>15</v>
      </c>
      <c r="C131">
        <v>15244593.98</v>
      </c>
      <c r="D131">
        <v>7.4912821933851197E-3</v>
      </c>
      <c r="E131">
        <f t="shared" ref="E131:E156" si="6">100*(1-(1-D131)^12)</f>
        <v>8.6282460742401756</v>
      </c>
      <c r="F131" s="2">
        <f t="shared" si="5"/>
        <v>0.99998367274616973</v>
      </c>
      <c r="G131">
        <f t="shared" ref="G131:G155" si="7">A132-A131</f>
        <v>2</v>
      </c>
    </row>
    <row r="132" spans="1:7" x14ac:dyDescent="0.25">
      <c r="A132">
        <v>266</v>
      </c>
      <c r="B132">
        <v>11</v>
      </c>
      <c r="C132">
        <v>10467272.949999999</v>
      </c>
      <c r="D132">
        <v>7.1628413312609697E-3</v>
      </c>
      <c r="E132">
        <f t="shared" si="6"/>
        <v>8.2647441994675557</v>
      </c>
      <c r="F132" s="2">
        <f t="shared" ref="F132:F155" si="8">C132/$I$3+F131</f>
        <v>0.99998516641254909</v>
      </c>
      <c r="G132">
        <f t="shared" si="7"/>
        <v>5</v>
      </c>
    </row>
    <row r="133" spans="1:7" x14ac:dyDescent="0.25">
      <c r="A133">
        <v>271</v>
      </c>
      <c r="B133">
        <v>11</v>
      </c>
      <c r="C133">
        <v>9323972.6099999994</v>
      </c>
      <c r="D133">
        <v>1.4238392615957E-2</v>
      </c>
      <c r="E133">
        <f t="shared" si="6"/>
        <v>15.809556883446652</v>
      </c>
      <c r="F133" s="2">
        <f t="shared" si="8"/>
        <v>0.99998649693144126</v>
      </c>
      <c r="G133">
        <f t="shared" si="7"/>
        <v>13</v>
      </c>
    </row>
    <row r="134" spans="1:7" x14ac:dyDescent="0.25">
      <c r="A134">
        <v>284</v>
      </c>
      <c r="B134">
        <v>16</v>
      </c>
      <c r="C134">
        <v>13373879.17</v>
      </c>
      <c r="D134">
        <v>1.55343471265771E-2</v>
      </c>
      <c r="E134">
        <f t="shared" si="6"/>
        <v>17.128190238474296</v>
      </c>
      <c r="F134" s="2">
        <f t="shared" si="8"/>
        <v>0.99998840536678768</v>
      </c>
      <c r="G134">
        <f t="shared" si="7"/>
        <v>18</v>
      </c>
    </row>
    <row r="135" spans="1:7" x14ac:dyDescent="0.25">
      <c r="A135">
        <v>302</v>
      </c>
      <c r="B135">
        <v>13</v>
      </c>
      <c r="C135">
        <v>4467033.0199999996</v>
      </c>
      <c r="D135">
        <v>1.9266226780985302E-2</v>
      </c>
      <c r="E135">
        <f t="shared" si="6"/>
        <v>20.820350558620827</v>
      </c>
      <c r="F135" s="2">
        <f t="shared" si="8"/>
        <v>0.99998904280665091</v>
      </c>
      <c r="G135">
        <f t="shared" si="7"/>
        <v>1</v>
      </c>
    </row>
    <row r="136" spans="1:7" x14ac:dyDescent="0.25">
      <c r="A136">
        <v>303</v>
      </c>
      <c r="B136">
        <v>14</v>
      </c>
      <c r="C136">
        <v>5945793.8700000001</v>
      </c>
      <c r="D136">
        <v>9.2011860813684693E-3</v>
      </c>
      <c r="E136">
        <f t="shared" si="6"/>
        <v>10.499443383464968</v>
      </c>
      <c r="F136" s="2">
        <f t="shared" si="8"/>
        <v>0.99998989126378435</v>
      </c>
      <c r="G136">
        <f t="shared" si="7"/>
        <v>3</v>
      </c>
    </row>
    <row r="137" spans="1:7" x14ac:dyDescent="0.25">
      <c r="A137">
        <v>306</v>
      </c>
      <c r="B137">
        <v>12</v>
      </c>
      <c r="C137">
        <v>2443380.5699999998</v>
      </c>
      <c r="D137">
        <v>1.2087179974886101E-2</v>
      </c>
      <c r="E137">
        <f t="shared" si="6"/>
        <v>13.57817065400152</v>
      </c>
      <c r="F137" s="2">
        <f t="shared" si="8"/>
        <v>0.9999902399310473</v>
      </c>
      <c r="G137">
        <f t="shared" si="7"/>
        <v>4</v>
      </c>
    </row>
    <row r="138" spans="1:7" x14ac:dyDescent="0.25">
      <c r="A138">
        <v>310</v>
      </c>
      <c r="B138">
        <v>11</v>
      </c>
      <c r="C138">
        <v>2065588.63</v>
      </c>
      <c r="D138">
        <v>2.5620842695028699E-2</v>
      </c>
      <c r="E138">
        <f t="shared" si="6"/>
        <v>26.762109597859506</v>
      </c>
      <c r="F138" s="2">
        <f t="shared" si="8"/>
        <v>0.99999053468788657</v>
      </c>
      <c r="G138">
        <f t="shared" si="7"/>
        <v>6</v>
      </c>
    </row>
    <row r="139" spans="1:7" x14ac:dyDescent="0.25">
      <c r="A139">
        <v>316</v>
      </c>
      <c r="B139">
        <v>14</v>
      </c>
      <c r="C139">
        <v>4292554.49</v>
      </c>
      <c r="D139">
        <v>1.8274321950380101E-2</v>
      </c>
      <c r="E139">
        <f t="shared" si="6"/>
        <v>19.854008358822362</v>
      </c>
      <c r="F139" s="2">
        <f t="shared" si="8"/>
        <v>0.99999114722988813</v>
      </c>
      <c r="G139">
        <f t="shared" si="7"/>
        <v>1</v>
      </c>
    </row>
    <row r="140" spans="1:7" x14ac:dyDescent="0.25">
      <c r="A140">
        <v>317</v>
      </c>
      <c r="B140">
        <v>21</v>
      </c>
      <c r="C140">
        <v>5878069.75</v>
      </c>
      <c r="D140">
        <v>2.0760830487217299E-2</v>
      </c>
      <c r="E140">
        <f t="shared" si="6"/>
        <v>22.256279055821928</v>
      </c>
      <c r="F140" s="2">
        <f t="shared" si="8"/>
        <v>0.99999198602287687</v>
      </c>
      <c r="G140">
        <f t="shared" si="7"/>
        <v>1</v>
      </c>
    </row>
    <row r="141" spans="1:7" x14ac:dyDescent="0.25">
      <c r="A141">
        <v>318</v>
      </c>
      <c r="B141">
        <v>17</v>
      </c>
      <c r="C141">
        <v>4052467.03</v>
      </c>
      <c r="D141">
        <v>1.94358996262382E-2</v>
      </c>
      <c r="E141">
        <f t="shared" si="6"/>
        <v>20.984576903930595</v>
      </c>
      <c r="F141" s="2">
        <f t="shared" si="8"/>
        <v>0.99999256430470684</v>
      </c>
      <c r="G141">
        <f t="shared" si="7"/>
        <v>1</v>
      </c>
    </row>
    <row r="142" spans="1:7" x14ac:dyDescent="0.25">
      <c r="A142">
        <v>319</v>
      </c>
      <c r="B142">
        <v>23</v>
      </c>
      <c r="C142">
        <v>6966449.3600000003</v>
      </c>
      <c r="D142">
        <v>2.22143847296924E-2</v>
      </c>
      <c r="E142">
        <f t="shared" si="6"/>
        <v>23.62983550755532</v>
      </c>
      <c r="F142" s="2">
        <f t="shared" si="8"/>
        <v>0.99999355840806525</v>
      </c>
      <c r="G142">
        <f t="shared" si="7"/>
        <v>1</v>
      </c>
    </row>
    <row r="143" spans="1:7" x14ac:dyDescent="0.25">
      <c r="A143">
        <v>320</v>
      </c>
      <c r="B143">
        <v>17</v>
      </c>
      <c r="C143">
        <v>4630744.67</v>
      </c>
      <c r="D143">
        <v>1.6621618136937698E-2</v>
      </c>
      <c r="E143">
        <f t="shared" si="6"/>
        <v>18.219854150759552</v>
      </c>
      <c r="F143" s="2">
        <f t="shared" si="8"/>
        <v>0.99999421920937026</v>
      </c>
      <c r="G143">
        <f t="shared" si="7"/>
        <v>1</v>
      </c>
    </row>
    <row r="144" spans="1:7" x14ac:dyDescent="0.25">
      <c r="A144">
        <v>321</v>
      </c>
      <c r="B144">
        <v>20</v>
      </c>
      <c r="C144">
        <v>5351350.8899999997</v>
      </c>
      <c r="D144">
        <v>2.3727503472217599E-2</v>
      </c>
      <c r="E144">
        <f t="shared" si="6"/>
        <v>25.03601676304611</v>
      </c>
      <c r="F144" s="2">
        <f t="shared" si="8"/>
        <v>0.99999498284025545</v>
      </c>
      <c r="G144">
        <f t="shared" si="7"/>
        <v>1</v>
      </c>
    </row>
    <row r="145" spans="1:7" x14ac:dyDescent="0.25">
      <c r="A145">
        <v>322</v>
      </c>
      <c r="B145">
        <v>30</v>
      </c>
      <c r="C145">
        <v>7392691.9299999997</v>
      </c>
      <c r="D145">
        <v>2.82529236732133E-2</v>
      </c>
      <c r="E145">
        <f t="shared" si="6"/>
        <v>29.101195549606896</v>
      </c>
      <c r="F145" s="2">
        <f t="shared" si="8"/>
        <v>0.99999603776788004</v>
      </c>
      <c r="G145">
        <f t="shared" si="7"/>
        <v>2</v>
      </c>
    </row>
    <row r="146" spans="1:7" x14ac:dyDescent="0.25">
      <c r="A146">
        <v>324</v>
      </c>
      <c r="B146">
        <v>11</v>
      </c>
      <c r="C146">
        <v>4377210.67</v>
      </c>
      <c r="D146">
        <v>2.1938490393467801E-2</v>
      </c>
      <c r="E146">
        <f t="shared" si="6"/>
        <v>23.370848365718189</v>
      </c>
      <c r="F146" s="2">
        <f t="shared" si="8"/>
        <v>0.99999666239020957</v>
      </c>
      <c r="G146">
        <f t="shared" si="7"/>
        <v>1</v>
      </c>
    </row>
    <row r="147" spans="1:7" x14ac:dyDescent="0.25">
      <c r="A147">
        <v>325</v>
      </c>
      <c r="B147">
        <v>18</v>
      </c>
      <c r="C147">
        <v>5663228.75</v>
      </c>
      <c r="D147">
        <v>1.80476269771267E-2</v>
      </c>
      <c r="E147">
        <f t="shared" si="6"/>
        <v>19.631643357053406</v>
      </c>
      <c r="F147" s="2">
        <f t="shared" si="8"/>
        <v>0.99999747052566401</v>
      </c>
      <c r="G147">
        <f t="shared" si="7"/>
        <v>1</v>
      </c>
    </row>
    <row r="148" spans="1:7" x14ac:dyDescent="0.25">
      <c r="A148">
        <v>326</v>
      </c>
      <c r="B148">
        <v>11</v>
      </c>
      <c r="C148">
        <v>3088796.9</v>
      </c>
      <c r="D148">
        <v>1.5863275460383901E-2</v>
      </c>
      <c r="E148">
        <f t="shared" si="6"/>
        <v>17.459848529771062</v>
      </c>
      <c r="F148" s="2">
        <f t="shared" si="8"/>
        <v>0.99999791129300664</v>
      </c>
      <c r="G148">
        <f t="shared" si="7"/>
        <v>3</v>
      </c>
    </row>
    <row r="149" spans="1:7" x14ac:dyDescent="0.25">
      <c r="A149">
        <v>329</v>
      </c>
      <c r="B149">
        <v>16</v>
      </c>
      <c r="C149">
        <v>3061175.73</v>
      </c>
      <c r="D149">
        <v>2.7403563909873901E-2</v>
      </c>
      <c r="E149">
        <f t="shared" si="6"/>
        <v>28.353977343057569</v>
      </c>
      <c r="F149" s="2">
        <f t="shared" si="8"/>
        <v>0.99999834811884381</v>
      </c>
      <c r="G149">
        <f t="shared" si="7"/>
        <v>1</v>
      </c>
    </row>
    <row r="150" spans="1:7" x14ac:dyDescent="0.25">
      <c r="A150">
        <v>330</v>
      </c>
      <c r="B150">
        <v>11</v>
      </c>
      <c r="C150">
        <v>1879608.51</v>
      </c>
      <c r="D150">
        <v>2.9661215296051101E-2</v>
      </c>
      <c r="E150">
        <f t="shared" si="6"/>
        <v>30.324404830505191</v>
      </c>
      <c r="F150" s="2">
        <f t="shared" si="8"/>
        <v>0.99999861633655929</v>
      </c>
      <c r="G150">
        <f t="shared" si="7"/>
        <v>1</v>
      </c>
    </row>
    <row r="151" spans="1:7" x14ac:dyDescent="0.25">
      <c r="A151">
        <v>331</v>
      </c>
      <c r="B151">
        <v>22</v>
      </c>
      <c r="C151">
        <v>3578482.37</v>
      </c>
      <c r="D151">
        <v>2.5521359390058899E-2</v>
      </c>
      <c r="E151">
        <f t="shared" si="6"/>
        <v>26.672328857601947</v>
      </c>
      <c r="F151" s="2">
        <f t="shared" si="8"/>
        <v>0.99999912698138826</v>
      </c>
      <c r="G151">
        <f t="shared" si="7"/>
        <v>1</v>
      </c>
    </row>
    <row r="152" spans="1:7" x14ac:dyDescent="0.25">
      <c r="A152">
        <v>332</v>
      </c>
      <c r="B152">
        <v>15</v>
      </c>
      <c r="C152">
        <v>1834861.35</v>
      </c>
      <c r="D152">
        <v>3.0581490027984898E-2</v>
      </c>
      <c r="E152">
        <f t="shared" si="6"/>
        <v>31.11325026235474</v>
      </c>
      <c r="F152" s="2">
        <f t="shared" si="8"/>
        <v>0.99999938881374162</v>
      </c>
      <c r="G152">
        <f t="shared" si="7"/>
        <v>1</v>
      </c>
    </row>
    <row r="153" spans="1:7" x14ac:dyDescent="0.25">
      <c r="A153">
        <v>333</v>
      </c>
      <c r="B153">
        <v>12</v>
      </c>
      <c r="C153">
        <v>1458178.45</v>
      </c>
      <c r="D153">
        <v>3.03820336483096E-2</v>
      </c>
      <c r="E153">
        <f t="shared" si="6"/>
        <v>30.942977540658077</v>
      </c>
      <c r="F153" s="2">
        <f t="shared" si="8"/>
        <v>0.99999959689392992</v>
      </c>
      <c r="G153">
        <f t="shared" si="7"/>
        <v>3</v>
      </c>
    </row>
    <row r="154" spans="1:7" x14ac:dyDescent="0.25">
      <c r="A154">
        <v>336</v>
      </c>
      <c r="B154">
        <v>12</v>
      </c>
      <c r="C154">
        <v>1239354.81</v>
      </c>
      <c r="D154">
        <v>2.0196514894568401E-2</v>
      </c>
      <c r="E154">
        <f t="shared" si="6"/>
        <v>21.716946274926705</v>
      </c>
      <c r="F154" s="2">
        <f t="shared" si="8"/>
        <v>0.99999977374826632</v>
      </c>
      <c r="G154">
        <f t="shared" si="7"/>
        <v>1</v>
      </c>
    </row>
    <row r="155" spans="1:7" x14ac:dyDescent="0.25">
      <c r="A155">
        <v>337</v>
      </c>
      <c r="B155">
        <v>15</v>
      </c>
      <c r="C155">
        <v>1585520.49</v>
      </c>
      <c r="D155">
        <v>3.6572477451741997E-2</v>
      </c>
      <c r="E155">
        <f t="shared" si="6"/>
        <v>36.051761584549403</v>
      </c>
      <c r="F155" s="2">
        <f t="shared" si="8"/>
        <v>0.99999999999999978</v>
      </c>
      <c r="G155">
        <f t="shared" si="7"/>
        <v>-337</v>
      </c>
    </row>
  </sheetData>
  <pageMargins left="0.7" right="0.7" top="0.75" bottom="0.75" header="0.3" footer="0.3"/>
  <pageSetup scale="30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80"/>
  <sheetViews>
    <sheetView workbookViewId="0">
      <selection activeCell="A63" sqref="A63"/>
    </sheetView>
  </sheetViews>
  <sheetFormatPr defaultRowHeight="15" x14ac:dyDescent="0.25"/>
  <cols>
    <col min="3" max="3" width="9.140625" style="3"/>
    <col min="10" max="10" width="9.140625" style="3"/>
  </cols>
  <sheetData>
    <row r="1" spans="1:16" x14ac:dyDescent="0.25">
      <c r="B1" t="s">
        <v>1</v>
      </c>
      <c r="C1" s="3" t="s">
        <v>2</v>
      </c>
      <c r="D1" t="s">
        <v>3</v>
      </c>
      <c r="E1" t="s">
        <v>4</v>
      </c>
      <c r="F1" s="2"/>
      <c r="I1" t="s">
        <v>1</v>
      </c>
      <c r="J1" s="3" t="s">
        <v>2</v>
      </c>
      <c r="K1" t="s">
        <v>3</v>
      </c>
      <c r="L1" t="s">
        <v>4</v>
      </c>
      <c r="M1" s="2"/>
    </row>
    <row r="2" spans="1:16" x14ac:dyDescent="0.25">
      <c r="A2">
        <v>1</v>
      </c>
      <c r="B2">
        <v>141</v>
      </c>
      <c r="C2" s="3">
        <v>1328247371.8</v>
      </c>
      <c r="D2">
        <v>5.261814646667E-4</v>
      </c>
      <c r="E2">
        <v>0.62959363705542559</v>
      </c>
      <c r="F2" s="2">
        <v>1.8953919060316516E-4</v>
      </c>
      <c r="H2">
        <v>80</v>
      </c>
      <c r="I2">
        <v>2604</v>
      </c>
      <c r="J2" s="3">
        <v>8800501728.7000008</v>
      </c>
      <c r="K2">
        <v>6.9714545755327796E-3</v>
      </c>
      <c r="L2">
        <v>8.0523161409074682</v>
      </c>
      <c r="M2" s="2">
        <v>0.99199057159112503</v>
      </c>
      <c r="O2" t="s">
        <v>6</v>
      </c>
      <c r="P2">
        <v>530865</v>
      </c>
    </row>
    <row r="3" spans="1:16" x14ac:dyDescent="0.25">
      <c r="A3">
        <v>2</v>
      </c>
      <c r="B3">
        <v>5190</v>
      </c>
      <c r="C3" s="3">
        <v>99950932548.429993</v>
      </c>
      <c r="D3">
        <v>1.4934934400197E-3</v>
      </c>
      <c r="E3">
        <v>1.777543720772623</v>
      </c>
      <c r="F3" s="2">
        <v>1.4452408636064829E-2</v>
      </c>
      <c r="H3">
        <v>81</v>
      </c>
      <c r="I3">
        <v>2636</v>
      </c>
      <c r="J3" s="3">
        <v>8756952291.0699997</v>
      </c>
      <c r="K3">
        <v>7.4960447629688698E-3</v>
      </c>
      <c r="L3">
        <v>8.6335073219488851</v>
      </c>
      <c r="M3" s="2">
        <v>0.99324017741353343</v>
      </c>
      <c r="O3" t="s">
        <v>5</v>
      </c>
      <c r="P3">
        <v>7007771678106.0225</v>
      </c>
    </row>
    <row r="4" spans="1:16" x14ac:dyDescent="0.25">
      <c r="A4">
        <v>3</v>
      </c>
      <c r="B4">
        <v>9107</v>
      </c>
      <c r="C4" s="3">
        <v>185228555602.56</v>
      </c>
      <c r="D4">
        <v>1.8544239526358901E-3</v>
      </c>
      <c r="E4">
        <v>2.202751794863389</v>
      </c>
      <c r="F4" s="2">
        <v>4.0884285145577674E-2</v>
      </c>
      <c r="H4">
        <v>82</v>
      </c>
      <c r="I4">
        <v>2614</v>
      </c>
      <c r="J4" s="3">
        <v>8478320871.7399998</v>
      </c>
      <c r="K4">
        <v>7.63385193059449E-3</v>
      </c>
      <c r="L4">
        <v>8.7856237546714571</v>
      </c>
      <c r="M4" s="2">
        <v>0.99445002289098072</v>
      </c>
    </row>
    <row r="5" spans="1:16" x14ac:dyDescent="0.25">
      <c r="A5">
        <v>4</v>
      </c>
      <c r="B5">
        <v>10252</v>
      </c>
      <c r="C5" s="3">
        <v>209175352395.51999</v>
      </c>
      <c r="D5">
        <v>2.21267382636017E-3</v>
      </c>
      <c r="E5">
        <v>2.6231326291491941</v>
      </c>
      <c r="F5" s="2">
        <v>7.0733338739751489E-2</v>
      </c>
      <c r="H5">
        <v>83</v>
      </c>
      <c r="I5">
        <v>2498</v>
      </c>
      <c r="J5" s="3">
        <v>7468162316.0600004</v>
      </c>
      <c r="K5">
        <v>7.3679641102930597E-3</v>
      </c>
      <c r="L5">
        <v>8.4919188954136082</v>
      </c>
      <c r="M5" s="2">
        <v>0.9955157200425292</v>
      </c>
    </row>
    <row r="6" spans="1:16" x14ac:dyDescent="0.25">
      <c r="A6">
        <v>5</v>
      </c>
      <c r="B6">
        <v>10676</v>
      </c>
      <c r="C6" s="3">
        <v>216907020949.14001</v>
      </c>
      <c r="D6">
        <v>2.6471726637305399E-3</v>
      </c>
      <c r="E6">
        <v>3.1307632262069118</v>
      </c>
      <c r="F6" s="2">
        <v>0.10168569148646128</v>
      </c>
      <c r="H6">
        <v>84</v>
      </c>
      <c r="I6">
        <v>2327</v>
      </c>
      <c r="J6" s="3">
        <v>6787529888.3400002</v>
      </c>
      <c r="K6">
        <v>7.5146844846360299E-3</v>
      </c>
      <c r="L6">
        <v>8.6540960974346053</v>
      </c>
      <c r="M6" s="2">
        <v>0.99648429182256393</v>
      </c>
    </row>
    <row r="7" spans="1:16" x14ac:dyDescent="0.25">
      <c r="A7">
        <v>6</v>
      </c>
      <c r="B7">
        <v>10821</v>
      </c>
      <c r="C7" s="3">
        <v>206087323514.39999</v>
      </c>
      <c r="D7">
        <v>2.8745748880431199E-3</v>
      </c>
      <c r="E7">
        <v>3.3954720769867497</v>
      </c>
      <c r="F7" s="2">
        <v>0.13109408733335606</v>
      </c>
      <c r="H7">
        <v>85</v>
      </c>
      <c r="I7">
        <v>2106</v>
      </c>
      <c r="J7" s="3">
        <v>5929958063.8999996</v>
      </c>
      <c r="K7">
        <v>7.2905723009571103E-3</v>
      </c>
      <c r="L7">
        <v>8.4062676568600665</v>
      </c>
      <c r="M7" s="2">
        <v>0.99733048920688039</v>
      </c>
    </row>
    <row r="8" spans="1:16" x14ac:dyDescent="0.25">
      <c r="A8">
        <v>7</v>
      </c>
      <c r="B8">
        <v>10748</v>
      </c>
      <c r="C8" s="3">
        <v>196074230449.88</v>
      </c>
      <c r="D8">
        <v>3.4474093798514201E-3</v>
      </c>
      <c r="E8">
        <v>4.0593471013549269</v>
      </c>
      <c r="F8" s="2">
        <v>0.15907362768602815</v>
      </c>
      <c r="H8">
        <v>86</v>
      </c>
      <c r="I8">
        <v>1835</v>
      </c>
      <c r="J8" s="3">
        <v>4388464006.6400003</v>
      </c>
      <c r="K8">
        <v>7.4259897537389203E-3</v>
      </c>
      <c r="L8">
        <v>8.5560889999721894</v>
      </c>
      <c r="M8" s="2">
        <v>0.99795671737301062</v>
      </c>
    </row>
    <row r="9" spans="1:16" x14ac:dyDescent="0.25">
      <c r="A9">
        <v>8</v>
      </c>
      <c r="B9">
        <v>10941</v>
      </c>
      <c r="C9" s="3">
        <v>190957207778.09</v>
      </c>
      <c r="D9">
        <v>3.5462385497553E-3</v>
      </c>
      <c r="E9">
        <v>4.1734592735695912</v>
      </c>
      <c r="F9" s="2">
        <v>0.18632297548865229</v>
      </c>
      <c r="H9">
        <v>87</v>
      </c>
      <c r="I9">
        <v>1503</v>
      </c>
      <c r="J9" s="3">
        <v>3270701752.9400001</v>
      </c>
      <c r="K9">
        <v>7.7083380291877003E-3</v>
      </c>
      <c r="L9">
        <v>8.8677474617753447</v>
      </c>
      <c r="M9" s="2">
        <v>0.99842344230401237</v>
      </c>
    </row>
    <row r="10" spans="1:16" x14ac:dyDescent="0.25">
      <c r="A10">
        <v>9</v>
      </c>
      <c r="B10">
        <v>11093</v>
      </c>
      <c r="C10" s="3">
        <v>183890936210.59</v>
      </c>
      <c r="D10">
        <v>4.0316138001310498E-3</v>
      </c>
      <c r="E10">
        <v>4.7320894105518647</v>
      </c>
      <c r="F10" s="2">
        <v>0.21256397543234479</v>
      </c>
      <c r="H10">
        <v>88</v>
      </c>
      <c r="I10">
        <v>1221</v>
      </c>
      <c r="J10" s="3">
        <v>2417559638.8099999</v>
      </c>
      <c r="K10">
        <v>6.5441444567383702E-3</v>
      </c>
      <c r="L10">
        <v>7.5763987345954913</v>
      </c>
      <c r="M10" s="2">
        <v>0.99876842495325635</v>
      </c>
    </row>
    <row r="11" spans="1:16" x14ac:dyDescent="0.25">
      <c r="A11">
        <v>10</v>
      </c>
      <c r="B11">
        <v>11237</v>
      </c>
      <c r="C11" s="3">
        <v>185850753455.54999</v>
      </c>
      <c r="D11">
        <v>4.2510273241336098E-3</v>
      </c>
      <c r="E11">
        <v>4.9836366620732875</v>
      </c>
      <c r="F11" s="2">
        <v>0.2390846387747583</v>
      </c>
      <c r="H11">
        <v>89</v>
      </c>
      <c r="I11">
        <v>974</v>
      </c>
      <c r="J11" s="3">
        <v>1636529741.9100001</v>
      </c>
      <c r="K11">
        <v>7.5501507613314504E-3</v>
      </c>
      <c r="L11">
        <v>8.6932591446993399</v>
      </c>
      <c r="M11" s="2">
        <v>0.99900195564133842</v>
      </c>
    </row>
    <row r="12" spans="1:16" x14ac:dyDescent="0.25">
      <c r="A12">
        <v>11</v>
      </c>
      <c r="B12">
        <v>11458</v>
      </c>
      <c r="C12" s="3">
        <v>179233801045.23999</v>
      </c>
      <c r="D12">
        <v>4.6337629228509203E-3</v>
      </c>
      <c r="E12">
        <v>5.4209681370367635</v>
      </c>
      <c r="F12" s="2">
        <v>0.26466107152373181</v>
      </c>
      <c r="H12">
        <v>90</v>
      </c>
      <c r="I12">
        <v>793</v>
      </c>
      <c r="J12" s="3">
        <v>1427991568.76</v>
      </c>
      <c r="K12">
        <v>7.47479533927545E-3</v>
      </c>
      <c r="L12">
        <v>8.6100307732977726</v>
      </c>
      <c r="M12" s="2">
        <v>0.99920572820048459</v>
      </c>
    </row>
    <row r="13" spans="1:16" x14ac:dyDescent="0.25">
      <c r="A13">
        <v>12</v>
      </c>
      <c r="B13">
        <v>11727</v>
      </c>
      <c r="C13" s="3">
        <v>182459011487.45001</v>
      </c>
      <c r="D13">
        <v>4.9982087148552996E-3</v>
      </c>
      <c r="E13">
        <v>5.835685059339724</v>
      </c>
      <c r="F13" s="2">
        <v>0.29069773765220974</v>
      </c>
      <c r="H13">
        <v>91</v>
      </c>
      <c r="I13">
        <v>668</v>
      </c>
      <c r="J13" s="3">
        <v>1028909906.9299999</v>
      </c>
      <c r="K13">
        <v>9.0522031670399201E-3</v>
      </c>
      <c r="L13">
        <v>10.337815171115061</v>
      </c>
      <c r="M13" s="2">
        <v>0.99935255232007525</v>
      </c>
    </row>
    <row r="14" spans="1:16" x14ac:dyDescent="0.25">
      <c r="A14">
        <v>13</v>
      </c>
      <c r="B14">
        <v>11999</v>
      </c>
      <c r="C14" s="3">
        <v>181825448341.64001</v>
      </c>
      <c r="D14">
        <v>5.2448814044987703E-3</v>
      </c>
      <c r="E14">
        <v>6.115436751749936</v>
      </c>
      <c r="F14" s="2">
        <v>0.31664399513512786</v>
      </c>
      <c r="H14">
        <v>92</v>
      </c>
      <c r="I14">
        <v>583</v>
      </c>
      <c r="J14" s="3">
        <v>811441431.13999999</v>
      </c>
      <c r="K14">
        <v>1.0358166562783299E-2</v>
      </c>
      <c r="L14">
        <v>11.745564308220214</v>
      </c>
      <c r="M14" s="2">
        <v>0.99946834396803597</v>
      </c>
    </row>
    <row r="15" spans="1:16" x14ac:dyDescent="0.25">
      <c r="A15">
        <v>14</v>
      </c>
      <c r="B15">
        <v>12324</v>
      </c>
      <c r="C15" s="3">
        <v>181807794124.98001</v>
      </c>
      <c r="D15">
        <v>5.52118494899343E-3</v>
      </c>
      <c r="E15">
        <v>6.4278880644927039</v>
      </c>
      <c r="F15" s="2">
        <v>0.34258773338404824</v>
      </c>
      <c r="H15">
        <v>93</v>
      </c>
      <c r="I15">
        <v>482</v>
      </c>
      <c r="J15" s="3">
        <v>720628272.5</v>
      </c>
      <c r="K15">
        <v>7.3233035928741402E-3</v>
      </c>
      <c r="L15">
        <v>8.4425010701914331</v>
      </c>
      <c r="M15" s="2">
        <v>0.99957117669512829</v>
      </c>
    </row>
    <row r="16" spans="1:16" x14ac:dyDescent="0.25">
      <c r="A16">
        <v>15</v>
      </c>
      <c r="B16">
        <v>12469</v>
      </c>
      <c r="C16" s="3">
        <v>184361900469.76001</v>
      </c>
      <c r="D16">
        <v>5.4656656430839496E-3</v>
      </c>
      <c r="E16">
        <v>6.3651820028757244</v>
      </c>
      <c r="F16" s="2">
        <v>0.36889593932142933</v>
      </c>
      <c r="H16">
        <v>94</v>
      </c>
      <c r="I16">
        <v>380</v>
      </c>
      <c r="J16" s="3">
        <v>546221456.09000003</v>
      </c>
      <c r="K16">
        <v>1.13917883845153E-2</v>
      </c>
      <c r="L16">
        <v>12.845350250434585</v>
      </c>
      <c r="M16" s="2">
        <v>0.99964912179396714</v>
      </c>
    </row>
    <row r="17" spans="1:13" x14ac:dyDescent="0.25">
      <c r="A17">
        <v>16</v>
      </c>
      <c r="B17">
        <v>12617</v>
      </c>
      <c r="C17" s="3">
        <v>181861062240.63</v>
      </c>
      <c r="D17">
        <v>5.4154626258112199E-3</v>
      </c>
      <c r="E17">
        <v>6.3084472413200476</v>
      </c>
      <c r="F17" s="2">
        <v>0.39484727886190096</v>
      </c>
      <c r="H17">
        <v>95</v>
      </c>
      <c r="I17">
        <v>234</v>
      </c>
      <c r="J17" s="3">
        <v>288539715.25</v>
      </c>
      <c r="K17">
        <v>6.2802626772702399E-3</v>
      </c>
      <c r="L17">
        <v>7.281373254055012</v>
      </c>
      <c r="M17" s="2">
        <v>0.99969029604000481</v>
      </c>
    </row>
    <row r="18" spans="1:13" x14ac:dyDescent="0.25">
      <c r="A18">
        <v>17</v>
      </c>
      <c r="B18">
        <v>12695</v>
      </c>
      <c r="C18" s="3">
        <v>180753825529.56</v>
      </c>
      <c r="D18">
        <v>5.6357498212796396E-3</v>
      </c>
      <c r="E18">
        <v>6.557161254074428</v>
      </c>
      <c r="F18" s="2">
        <v>0.42064061714863177</v>
      </c>
      <c r="H18">
        <v>96</v>
      </c>
      <c r="I18">
        <v>105</v>
      </c>
      <c r="J18" s="3">
        <v>145085364.40000001</v>
      </c>
      <c r="K18">
        <v>5.6124957079277202E-3</v>
      </c>
      <c r="L18">
        <v>6.5309349305925801</v>
      </c>
      <c r="M18" s="2">
        <v>0.99971099953479092</v>
      </c>
    </row>
    <row r="19" spans="1:13" x14ac:dyDescent="0.25">
      <c r="A19">
        <v>18</v>
      </c>
      <c r="B19">
        <v>12784</v>
      </c>
      <c r="C19" s="3">
        <v>178347604141.12</v>
      </c>
      <c r="D19">
        <v>5.8171370485589503E-3</v>
      </c>
      <c r="E19">
        <v>6.761500974807455</v>
      </c>
      <c r="F19" s="2">
        <v>0.44609059073985496</v>
      </c>
      <c r="H19">
        <v>97</v>
      </c>
      <c r="I19">
        <v>82</v>
      </c>
      <c r="J19" s="3">
        <v>138050795.11000001</v>
      </c>
      <c r="K19">
        <v>8.1351013630516101E-3</v>
      </c>
      <c r="L19">
        <v>9.3369648220840045</v>
      </c>
      <c r="M19" s="2">
        <v>0.99973069920559232</v>
      </c>
    </row>
    <row r="20" spans="1:13" x14ac:dyDescent="0.25">
      <c r="A20">
        <v>19</v>
      </c>
      <c r="B20">
        <v>12610</v>
      </c>
      <c r="C20" s="3">
        <v>176829335988.59</v>
      </c>
      <c r="D20">
        <v>5.8128681020344804E-3</v>
      </c>
      <c r="E20">
        <v>6.7566965520224453</v>
      </c>
      <c r="F20" s="2">
        <v>0.471323909419607</v>
      </c>
      <c r="H20">
        <v>98</v>
      </c>
      <c r="I20">
        <v>106</v>
      </c>
      <c r="J20" s="3">
        <v>170154050.33000001</v>
      </c>
      <c r="K20">
        <v>1.15422098550519E-2</v>
      </c>
      <c r="L20">
        <v>13.004349112777492</v>
      </c>
      <c r="M20" s="2">
        <v>0.99975497996959917</v>
      </c>
    </row>
    <row r="21" spans="1:13" x14ac:dyDescent="0.25">
      <c r="A21">
        <v>20</v>
      </c>
      <c r="B21">
        <v>12752</v>
      </c>
      <c r="C21" s="3">
        <v>182222830679.39999</v>
      </c>
      <c r="D21">
        <v>5.8622533109895904E-3</v>
      </c>
      <c r="E21">
        <v>6.8122625356677124</v>
      </c>
      <c r="F21" s="2">
        <v>0.4973268728507228</v>
      </c>
      <c r="H21">
        <v>99</v>
      </c>
      <c r="I21">
        <v>104</v>
      </c>
      <c r="J21" s="3">
        <v>170836224.41999999</v>
      </c>
      <c r="K21">
        <v>7.6336752149032301E-3</v>
      </c>
      <c r="L21">
        <v>8.7854288383812253</v>
      </c>
      <c r="M21" s="2">
        <v>0.99977935807897078</v>
      </c>
    </row>
    <row r="22" spans="1:13" x14ac:dyDescent="0.25">
      <c r="A22">
        <v>21</v>
      </c>
      <c r="B22">
        <v>12811</v>
      </c>
      <c r="C22" s="3">
        <v>182969372426.10001</v>
      </c>
      <c r="D22">
        <v>6.0686847765344396E-3</v>
      </c>
      <c r="E22">
        <v>7.0442013387129077</v>
      </c>
      <c r="F22" s="2">
        <v>0.5234363668283506</v>
      </c>
      <c r="H22">
        <v>100</v>
      </c>
      <c r="I22">
        <v>101</v>
      </c>
      <c r="J22" s="3">
        <v>115121341.95</v>
      </c>
      <c r="K22">
        <v>1.1391013101488301E-2</v>
      </c>
      <c r="L22">
        <v>12.84453006935995</v>
      </c>
      <c r="M22" s="2">
        <v>0.99979578574631467</v>
      </c>
    </row>
    <row r="23" spans="1:13" x14ac:dyDescent="0.25">
      <c r="A23">
        <v>22</v>
      </c>
      <c r="B23">
        <v>12495</v>
      </c>
      <c r="C23" s="3">
        <v>176029824746.59</v>
      </c>
      <c r="D23">
        <v>6.1335647772849597E-3</v>
      </c>
      <c r="E23">
        <v>7.1169887528934499</v>
      </c>
      <c r="F23" s="2">
        <v>0.54855559628277906</v>
      </c>
      <c r="H23">
        <v>101</v>
      </c>
      <c r="I23">
        <v>107</v>
      </c>
      <c r="J23" s="3">
        <v>124661279.05</v>
      </c>
      <c r="K23">
        <v>9.3715192862390204E-3</v>
      </c>
      <c r="L23">
        <v>10.683906789632625</v>
      </c>
      <c r="M23" s="2">
        <v>0.99981357475040555</v>
      </c>
    </row>
    <row r="24" spans="1:13" x14ac:dyDescent="0.25">
      <c r="A24">
        <v>23</v>
      </c>
      <c r="B24">
        <v>12061</v>
      </c>
      <c r="C24" s="3">
        <v>161891324581.53</v>
      </c>
      <c r="D24">
        <v>6.0977445853576499E-3</v>
      </c>
      <c r="E24">
        <v>7.0768093472613147</v>
      </c>
      <c r="F24" s="2">
        <v>0.57165727995882087</v>
      </c>
      <c r="H24">
        <v>102</v>
      </c>
      <c r="I24">
        <v>95</v>
      </c>
      <c r="J24" s="3">
        <v>130390847.19</v>
      </c>
      <c r="K24">
        <v>9.4352813605170904E-3</v>
      </c>
      <c r="L24">
        <v>10.752868631600364</v>
      </c>
      <c r="M24" s="2">
        <v>0.99983218135649654</v>
      </c>
    </row>
    <row r="25" spans="1:13" x14ac:dyDescent="0.25">
      <c r="A25">
        <v>24</v>
      </c>
      <c r="B25">
        <v>11569</v>
      </c>
      <c r="C25" s="3">
        <v>148285233334.62</v>
      </c>
      <c r="D25">
        <v>6.1660650804230902E-3</v>
      </c>
      <c r="E25">
        <v>7.1534304682994492</v>
      </c>
      <c r="F25" s="2">
        <v>0.59281739192392657</v>
      </c>
      <c r="H25">
        <v>103</v>
      </c>
      <c r="I25">
        <v>52</v>
      </c>
      <c r="J25" s="3">
        <v>61859637.539999999</v>
      </c>
      <c r="K25">
        <v>1.0072764719971801E-2</v>
      </c>
      <c r="L25">
        <v>11.439660077273651</v>
      </c>
      <c r="M25" s="2">
        <v>0.99984100864716485</v>
      </c>
    </row>
    <row r="26" spans="1:13" x14ac:dyDescent="0.25">
      <c r="A26">
        <v>25</v>
      </c>
      <c r="B26">
        <v>11075</v>
      </c>
      <c r="C26" s="3">
        <v>134262659925.50999</v>
      </c>
      <c r="D26">
        <v>6.7293436137597301E-3</v>
      </c>
      <c r="E26">
        <v>7.7829411865892872</v>
      </c>
      <c r="F26" s="2">
        <v>0.61197650070953091</v>
      </c>
      <c r="H26">
        <v>104</v>
      </c>
      <c r="I26">
        <v>27</v>
      </c>
      <c r="J26" s="3">
        <v>27480291.710000001</v>
      </c>
      <c r="K26">
        <v>9.4210078093341296E-3</v>
      </c>
      <c r="L26">
        <v>10.737435320449995</v>
      </c>
      <c r="M26" s="2">
        <v>0.99984493004942687</v>
      </c>
    </row>
    <row r="27" spans="1:13" x14ac:dyDescent="0.25">
      <c r="A27">
        <v>26</v>
      </c>
      <c r="B27">
        <v>10636</v>
      </c>
      <c r="C27" s="3">
        <v>130639219918.50999</v>
      </c>
      <c r="D27">
        <v>6.7366805730962901E-3</v>
      </c>
      <c r="E27">
        <v>7.7911149747014967</v>
      </c>
      <c r="F27" s="2">
        <v>0.63061854926922623</v>
      </c>
      <c r="H27">
        <v>105</v>
      </c>
      <c r="I27">
        <v>26</v>
      </c>
      <c r="J27" s="3">
        <v>34020397.539999999</v>
      </c>
      <c r="K27">
        <v>7.3501756117826901E-3</v>
      </c>
      <c r="L27">
        <v>8.472238468970783</v>
      </c>
      <c r="M27" s="2">
        <v>0.9998497847163742</v>
      </c>
    </row>
    <row r="28" spans="1:13" x14ac:dyDescent="0.25">
      <c r="A28">
        <v>27</v>
      </c>
      <c r="B28">
        <v>10163</v>
      </c>
      <c r="C28" s="3">
        <v>124178840521.59</v>
      </c>
      <c r="D28">
        <v>6.98185131267737E-3</v>
      </c>
      <c r="E28">
        <v>8.0638674808061079</v>
      </c>
      <c r="F28" s="2">
        <v>0.64833871000299481</v>
      </c>
      <c r="H28">
        <v>106</v>
      </c>
      <c r="I28">
        <v>30</v>
      </c>
      <c r="J28" s="3">
        <v>34982816.950000003</v>
      </c>
      <c r="K28">
        <v>9.6661964337600298E-3</v>
      </c>
      <c r="L28">
        <v>11.002206471572052</v>
      </c>
      <c r="M28" s="2">
        <v>0.99985477671933276</v>
      </c>
    </row>
    <row r="29" spans="1:13" x14ac:dyDescent="0.25">
      <c r="A29">
        <v>28</v>
      </c>
      <c r="B29">
        <v>9762</v>
      </c>
      <c r="C29" s="3">
        <v>123827499261.09</v>
      </c>
      <c r="D29">
        <v>7.1576281346556504E-3</v>
      </c>
      <c r="E29">
        <v>8.2589638227201778</v>
      </c>
      <c r="F29" s="2">
        <v>0.66600873479103939</v>
      </c>
      <c r="H29">
        <v>107</v>
      </c>
      <c r="I29">
        <v>17</v>
      </c>
      <c r="J29" s="3">
        <v>46692562.619999997</v>
      </c>
      <c r="K29">
        <v>2.0281652213953801E-3</v>
      </c>
      <c r="L29">
        <v>2.4068321741530396</v>
      </c>
      <c r="M29" s="2">
        <v>0.99986143968792884</v>
      </c>
    </row>
    <row r="30" spans="1:13" x14ac:dyDescent="0.25">
      <c r="A30">
        <v>29</v>
      </c>
      <c r="B30">
        <v>9507</v>
      </c>
      <c r="C30" s="3">
        <v>121936782892.97</v>
      </c>
      <c r="D30">
        <v>7.0281189276664296E-3</v>
      </c>
      <c r="E30">
        <v>8.1152571845173433</v>
      </c>
      <c r="F30" s="2">
        <v>0.68340895678656044</v>
      </c>
      <c r="H30">
        <v>108</v>
      </c>
      <c r="I30">
        <v>11</v>
      </c>
      <c r="J30" s="3">
        <v>13350385.92</v>
      </c>
      <c r="K30">
        <v>1.95057491115702E-2</v>
      </c>
      <c r="L30">
        <v>21.052093446330478</v>
      </c>
      <c r="M30" s="2">
        <v>0.99986334477081873</v>
      </c>
    </row>
    <row r="31" spans="1:13" x14ac:dyDescent="0.25">
      <c r="A31">
        <v>30</v>
      </c>
      <c r="B31">
        <v>9456</v>
      </c>
      <c r="C31" s="3">
        <v>119457119108.7</v>
      </c>
      <c r="D31">
        <v>7.1353756633210103E-3</v>
      </c>
      <c r="E31">
        <v>8.2342865949025281</v>
      </c>
      <c r="F31" s="2">
        <v>0.70045533395120363</v>
      </c>
      <c r="H31">
        <v>109</v>
      </c>
      <c r="I31">
        <v>16</v>
      </c>
      <c r="J31" s="3">
        <v>47168061.409999996</v>
      </c>
      <c r="K31">
        <v>1.77572456952849E-2</v>
      </c>
      <c r="L31">
        <v>19.345982320030597</v>
      </c>
      <c r="M31" s="2">
        <v>0.9998700755924802</v>
      </c>
    </row>
    <row r="32" spans="1:13" x14ac:dyDescent="0.25">
      <c r="A32">
        <v>31</v>
      </c>
      <c r="B32">
        <v>9128</v>
      </c>
      <c r="C32" s="3">
        <v>116046931507.81</v>
      </c>
      <c r="D32">
        <v>7.1573550818913E-3</v>
      </c>
      <c r="E32">
        <v>8.2586610534330696</v>
      </c>
      <c r="F32" s="2">
        <v>0.7170150817338502</v>
      </c>
      <c r="H32">
        <v>110</v>
      </c>
      <c r="I32">
        <v>18</v>
      </c>
      <c r="J32" s="3">
        <v>49743948.579999998</v>
      </c>
      <c r="K32">
        <v>1.1868105783213999E-2</v>
      </c>
      <c r="L32">
        <v>13.347916722882246</v>
      </c>
      <c r="M32" s="2">
        <v>0.99987717398992593</v>
      </c>
    </row>
    <row r="33" spans="1:13" x14ac:dyDescent="0.25">
      <c r="A33">
        <v>32</v>
      </c>
      <c r="B33">
        <v>8897</v>
      </c>
      <c r="C33" s="3">
        <v>117021713984.82001</v>
      </c>
      <c r="D33">
        <v>7.2219489087532703E-3</v>
      </c>
      <c r="E33">
        <v>8.3302591564870294</v>
      </c>
      <c r="F33" s="2">
        <v>0.73371392972149574</v>
      </c>
      <c r="H33">
        <v>111</v>
      </c>
      <c r="I33">
        <v>15</v>
      </c>
      <c r="J33" s="3">
        <v>47303619.700000003</v>
      </c>
      <c r="K33">
        <v>5.5845668521267502E-3</v>
      </c>
      <c r="L33">
        <v>6.4994274469644342</v>
      </c>
      <c r="M33" s="2">
        <v>0.99988392415558103</v>
      </c>
    </row>
    <row r="34" spans="1:13" x14ac:dyDescent="0.25">
      <c r="A34">
        <v>33</v>
      </c>
      <c r="B34">
        <v>8435</v>
      </c>
      <c r="C34" s="3">
        <v>113118464115.59</v>
      </c>
      <c r="D34">
        <v>7.2679558284246297E-3</v>
      </c>
      <c r="E34">
        <v>8.3812236309103838</v>
      </c>
      <c r="F34" s="2">
        <v>0.74985578897598593</v>
      </c>
      <c r="H34">
        <v>112</v>
      </c>
      <c r="I34">
        <v>23</v>
      </c>
      <c r="J34" s="3">
        <v>55989283.68</v>
      </c>
      <c r="K34">
        <v>1.21389928799817E-2</v>
      </c>
      <c r="L34">
        <v>13.632545589093903</v>
      </c>
      <c r="M34" s="2">
        <v>0.99989191375430819</v>
      </c>
    </row>
    <row r="35" spans="1:13" x14ac:dyDescent="0.25">
      <c r="A35">
        <v>34</v>
      </c>
      <c r="B35">
        <v>7916</v>
      </c>
      <c r="C35" s="3">
        <v>108227627437.92999</v>
      </c>
      <c r="D35">
        <v>7.0271758494188496E-3</v>
      </c>
      <c r="E35">
        <v>8.1142099650758919</v>
      </c>
      <c r="F35" s="2">
        <v>0.76529973213070646</v>
      </c>
      <c r="H35">
        <v>113</v>
      </c>
      <c r="I35">
        <v>24</v>
      </c>
      <c r="J35" s="3">
        <v>54859946.890000001</v>
      </c>
      <c r="K35">
        <v>1.0951733899584801E-2</v>
      </c>
      <c r="L35">
        <v>12.378672004442159</v>
      </c>
      <c r="M35" s="2">
        <v>0.99989974219812883</v>
      </c>
    </row>
    <row r="36" spans="1:13" x14ac:dyDescent="0.25">
      <c r="A36">
        <v>35</v>
      </c>
      <c r="B36">
        <v>7491</v>
      </c>
      <c r="C36" s="3">
        <v>94021431851.779999</v>
      </c>
      <c r="D36">
        <v>7.06377311314109E-3</v>
      </c>
      <c r="E36">
        <v>8.1548405260822303</v>
      </c>
      <c r="F36" s="2">
        <v>0.77871646945756967</v>
      </c>
      <c r="H36">
        <v>114</v>
      </c>
      <c r="I36">
        <v>18</v>
      </c>
      <c r="J36" s="3">
        <v>45872210.219999999</v>
      </c>
      <c r="K36">
        <v>6.0238723138113003E-3</v>
      </c>
      <c r="L36">
        <v>6.9938967193913353</v>
      </c>
      <c r="M36" s="2">
        <v>0.99990628810349325</v>
      </c>
    </row>
    <row r="37" spans="1:13" x14ac:dyDescent="0.25">
      <c r="A37">
        <v>36</v>
      </c>
      <c r="B37">
        <v>7243</v>
      </c>
      <c r="C37" s="3">
        <v>93176762585.119995</v>
      </c>
      <c r="D37">
        <v>7.07170641170554E-3</v>
      </c>
      <c r="E37">
        <v>8.1636459623322111</v>
      </c>
      <c r="F37" s="2">
        <v>0.79201267356710525</v>
      </c>
      <c r="H37">
        <v>115</v>
      </c>
      <c r="I37">
        <v>16</v>
      </c>
      <c r="J37" s="3">
        <v>51859518.450000003</v>
      </c>
      <c r="K37">
        <v>5.9692374510750901E-3</v>
      </c>
      <c r="L37">
        <v>6.9325321212923008</v>
      </c>
      <c r="M37" s="2">
        <v>0.9999136883900368</v>
      </c>
    </row>
    <row r="38" spans="1:13" x14ac:dyDescent="0.25">
      <c r="A38">
        <v>37</v>
      </c>
      <c r="B38">
        <v>6976</v>
      </c>
      <c r="C38" s="3">
        <v>87826067594.050003</v>
      </c>
      <c r="D38">
        <v>6.8118929054494098E-3</v>
      </c>
      <c r="E38">
        <v>7.8748674808581276</v>
      </c>
      <c r="F38" s="2">
        <v>0.80454534038734993</v>
      </c>
      <c r="H38">
        <v>116</v>
      </c>
      <c r="I38">
        <v>16</v>
      </c>
      <c r="J38" s="3">
        <v>49283206.950000003</v>
      </c>
      <c r="K38">
        <v>9.8009003348508705E-3</v>
      </c>
      <c r="L38">
        <v>11.147362201661226</v>
      </c>
      <c r="M38" s="2">
        <v>0.99992072104024488</v>
      </c>
    </row>
    <row r="39" spans="1:13" x14ac:dyDescent="0.25">
      <c r="A39">
        <v>38</v>
      </c>
      <c r="B39">
        <v>6607</v>
      </c>
      <c r="C39" s="3">
        <v>82185817419.830002</v>
      </c>
      <c r="D39">
        <v>6.5466131926510199E-3</v>
      </c>
      <c r="E39">
        <v>7.5791547666089194</v>
      </c>
      <c r="F39" s="2">
        <v>0.81627315076630369</v>
      </c>
      <c r="H39">
        <v>117</v>
      </c>
      <c r="I39">
        <v>21</v>
      </c>
      <c r="J39" s="3">
        <v>48283615.32</v>
      </c>
      <c r="K39">
        <v>1.03645955144584E-2</v>
      </c>
      <c r="L39">
        <v>11.752443927224398</v>
      </c>
      <c r="M39" s="2">
        <v>0.99992761105001371</v>
      </c>
    </row>
    <row r="40" spans="1:13" x14ac:dyDescent="0.25">
      <c r="A40">
        <v>39</v>
      </c>
      <c r="B40">
        <v>6485</v>
      </c>
      <c r="C40" s="3">
        <v>80894598601.449997</v>
      </c>
      <c r="D40">
        <v>7.0176451246651197E-3</v>
      </c>
      <c r="E40">
        <v>8.1036261780804359</v>
      </c>
      <c r="F40" s="2">
        <v>0.82781670588157441</v>
      </c>
      <c r="H40">
        <v>118</v>
      </c>
      <c r="I40">
        <v>19</v>
      </c>
      <c r="J40" s="3">
        <v>48079677.649999999</v>
      </c>
      <c r="K40">
        <v>3.1549658005281902E-3</v>
      </c>
      <c r="L40">
        <v>3.7209498265943441</v>
      </c>
      <c r="M40" s="2">
        <v>0.99993447195813945</v>
      </c>
    </row>
    <row r="41" spans="1:13" x14ac:dyDescent="0.25">
      <c r="A41">
        <v>40</v>
      </c>
      <c r="B41">
        <v>6299</v>
      </c>
      <c r="C41" s="3">
        <v>79484980046.089996</v>
      </c>
      <c r="D41">
        <v>6.8789111739544001E-3</v>
      </c>
      <c r="E41">
        <v>7.9494367508590402</v>
      </c>
      <c r="F41" s="2">
        <v>0.83915911024306644</v>
      </c>
      <c r="H41">
        <v>119</v>
      </c>
      <c r="I41">
        <v>18</v>
      </c>
      <c r="J41" s="3">
        <v>45486391.850000001</v>
      </c>
      <c r="K41">
        <v>7.5560503407387696E-3</v>
      </c>
      <c r="L41">
        <v>8.6997721640594818</v>
      </c>
      <c r="M41" s="2">
        <v>0.99994096280771894</v>
      </c>
    </row>
    <row r="42" spans="1:13" x14ac:dyDescent="0.25">
      <c r="A42">
        <v>41</v>
      </c>
      <c r="B42">
        <v>6100</v>
      </c>
      <c r="C42" s="3">
        <v>76259214401.550003</v>
      </c>
      <c r="D42">
        <v>6.9194175344143996E-3</v>
      </c>
      <c r="E42">
        <v>7.9944801641613994</v>
      </c>
      <c r="F42" s="2">
        <v>0.85004120199839606</v>
      </c>
      <c r="H42">
        <v>120</v>
      </c>
      <c r="I42">
        <v>14</v>
      </c>
      <c r="J42" s="3">
        <v>37008600</v>
      </c>
      <c r="K42">
        <v>1.15792880250014E-2</v>
      </c>
      <c r="L42">
        <v>13.043500698103838</v>
      </c>
      <c r="M42" s="2">
        <v>0.99994624388731168</v>
      </c>
    </row>
    <row r="43" spans="1:13" x14ac:dyDescent="0.25">
      <c r="A43">
        <v>42</v>
      </c>
      <c r="B43">
        <v>5883</v>
      </c>
      <c r="C43" s="3">
        <v>69844318968.419998</v>
      </c>
      <c r="D43">
        <v>6.8358292063206497E-3</v>
      </c>
      <c r="E43">
        <v>7.9015070582091678</v>
      </c>
      <c r="F43" s="2">
        <v>0.86000789643089737</v>
      </c>
      <c r="H43">
        <v>121</v>
      </c>
      <c r="I43">
        <v>18</v>
      </c>
      <c r="J43" s="3">
        <v>44933070.259999998</v>
      </c>
      <c r="K43">
        <v>1.02272262087516E-2</v>
      </c>
      <c r="L43">
        <v>11.605338058655768</v>
      </c>
      <c r="M43" s="2">
        <v>0.99995265577861236</v>
      </c>
    </row>
    <row r="44" spans="1:13" x14ac:dyDescent="0.25">
      <c r="A44">
        <v>43</v>
      </c>
      <c r="B44">
        <v>5613</v>
      </c>
      <c r="C44" s="3">
        <v>65215355439.459999</v>
      </c>
      <c r="D44">
        <v>6.6582316735607399E-3</v>
      </c>
      <c r="E44">
        <v>7.7036840364268162</v>
      </c>
      <c r="F44" s="2">
        <v>0.86931404372493781</v>
      </c>
      <c r="H44">
        <v>122</v>
      </c>
      <c r="I44">
        <v>12</v>
      </c>
      <c r="J44" s="3">
        <v>35570394.490000002</v>
      </c>
      <c r="K44">
        <v>4.4203576194723803E-3</v>
      </c>
      <c r="L44">
        <v>5.1773494524116277</v>
      </c>
      <c r="M44" s="2">
        <v>0.99995773162812973</v>
      </c>
    </row>
    <row r="45" spans="1:13" x14ac:dyDescent="0.25">
      <c r="A45">
        <v>44</v>
      </c>
      <c r="B45">
        <v>5513</v>
      </c>
      <c r="C45" s="3">
        <v>60130066074.400002</v>
      </c>
      <c r="D45">
        <v>6.6578999926138801E-3</v>
      </c>
      <c r="E45">
        <v>7.703314218263535</v>
      </c>
      <c r="F45" s="2">
        <v>0.87789452677096236</v>
      </c>
      <c r="H45">
        <v>123</v>
      </c>
      <c r="I45">
        <v>19</v>
      </c>
      <c r="J45" s="3">
        <v>44937093.240000002</v>
      </c>
      <c r="K45">
        <v>1.7384394423677899E-2</v>
      </c>
      <c r="L45">
        <v>18.977827112480327</v>
      </c>
      <c r="M45" s="2">
        <v>0.99996414409350443</v>
      </c>
    </row>
    <row r="46" spans="1:13" x14ac:dyDescent="0.25">
      <c r="A46">
        <v>45</v>
      </c>
      <c r="B46">
        <v>5273</v>
      </c>
      <c r="C46" s="3">
        <v>58942900404.029999</v>
      </c>
      <c r="D46">
        <v>6.6618654981296498E-3</v>
      </c>
      <c r="E46">
        <v>7.7077355951147952</v>
      </c>
      <c r="F46" s="2">
        <v>0.88630560280361648</v>
      </c>
      <c r="H46">
        <v>124</v>
      </c>
      <c r="I46">
        <v>18</v>
      </c>
      <c r="J46" s="3">
        <v>38981121.130000003</v>
      </c>
      <c r="K46">
        <v>9.1851927200796695E-3</v>
      </c>
      <c r="L46">
        <v>10.482105351092219</v>
      </c>
      <c r="M46" s="2">
        <v>0.99996970664932394</v>
      </c>
    </row>
    <row r="47" spans="1:13" x14ac:dyDescent="0.25">
      <c r="A47">
        <v>46</v>
      </c>
      <c r="B47">
        <v>4985</v>
      </c>
      <c r="C47" s="3">
        <v>52278591496.989998</v>
      </c>
      <c r="D47">
        <v>6.8953888819853499E-3</v>
      </c>
      <c r="E47">
        <v>7.9677625391141422</v>
      </c>
      <c r="F47" s="2">
        <v>0.89376569053169141</v>
      </c>
      <c r="H47">
        <v>125</v>
      </c>
      <c r="I47">
        <v>16</v>
      </c>
      <c r="J47" s="3">
        <v>35998914.280000001</v>
      </c>
      <c r="K47">
        <v>1.15637746139176E-2</v>
      </c>
      <c r="L47">
        <v>13.027121740933501</v>
      </c>
      <c r="M47" s="2">
        <v>0.99997484364806388</v>
      </c>
    </row>
    <row r="48" spans="1:13" x14ac:dyDescent="0.25">
      <c r="A48">
        <v>47</v>
      </c>
      <c r="B48">
        <v>4767</v>
      </c>
      <c r="C48" s="3">
        <v>46048645016.650002</v>
      </c>
      <c r="D48">
        <v>6.6738427707967798E-3</v>
      </c>
      <c r="E48">
        <v>7.7210885866874079</v>
      </c>
      <c r="F48" s="2">
        <v>0.90033677291448611</v>
      </c>
      <c r="H48">
        <v>126</v>
      </c>
      <c r="I48">
        <v>17</v>
      </c>
      <c r="J48" s="3">
        <v>15414887.140000001</v>
      </c>
      <c r="K48">
        <v>3.8775717077504303E-2</v>
      </c>
      <c r="L48">
        <v>37.784756734050006</v>
      </c>
      <c r="M48" s="2">
        <v>0.99997704333262094</v>
      </c>
    </row>
    <row r="49" spans="1:13" x14ac:dyDescent="0.25">
      <c r="A49">
        <v>48</v>
      </c>
      <c r="B49">
        <v>4471</v>
      </c>
      <c r="C49" s="3">
        <v>48045410541.440002</v>
      </c>
      <c r="D49">
        <v>6.4954234159251504E-3</v>
      </c>
      <c r="E49">
        <v>7.5219924257821535</v>
      </c>
      <c r="F49" s="2">
        <v>0.9071927911679839</v>
      </c>
      <c r="H49">
        <v>127</v>
      </c>
      <c r="I49">
        <v>11</v>
      </c>
      <c r="J49" s="3">
        <v>6286588.9699999997</v>
      </c>
      <c r="K49">
        <v>7.0802448533548699E-4</v>
      </c>
      <c r="L49">
        <v>0.84632860724132009</v>
      </c>
      <c r="M49" s="2">
        <v>0.99997794042077659</v>
      </c>
    </row>
    <row r="50" spans="1:13" x14ac:dyDescent="0.25">
      <c r="A50">
        <v>49</v>
      </c>
      <c r="B50">
        <v>4122</v>
      </c>
      <c r="C50" s="3">
        <v>41410122962.040001</v>
      </c>
      <c r="D50">
        <v>6.7470711453362503E-3</v>
      </c>
      <c r="E50">
        <v>7.8026895242376497</v>
      </c>
      <c r="F50" s="2">
        <v>0.91310196242300856</v>
      </c>
      <c r="H50">
        <v>128</v>
      </c>
      <c r="I50">
        <v>11</v>
      </c>
      <c r="J50" s="3">
        <v>11793572.949999999</v>
      </c>
      <c r="K50">
        <v>8.6254985734395204E-3</v>
      </c>
      <c r="L50">
        <v>9.8734112169782229</v>
      </c>
      <c r="M50" s="2">
        <v>0.99997962334845913</v>
      </c>
    </row>
    <row r="51" spans="1:13" x14ac:dyDescent="0.25">
      <c r="A51">
        <v>50</v>
      </c>
      <c r="B51">
        <v>3594</v>
      </c>
      <c r="C51" s="3">
        <v>38147745625.059998</v>
      </c>
      <c r="D51">
        <v>6.0789484146775699E-3</v>
      </c>
      <c r="E51">
        <v>7.0557193639393052</v>
      </c>
      <c r="F51" s="2">
        <v>0.91854559663047608</v>
      </c>
      <c r="H51">
        <v>260</v>
      </c>
      <c r="I51">
        <v>11</v>
      </c>
      <c r="J51" s="3">
        <v>13132660.609999999</v>
      </c>
      <c r="K51">
        <v>8.7889390901848604E-3</v>
      </c>
      <c r="L51">
        <v>10.051551609928399</v>
      </c>
      <c r="M51" s="2">
        <v>0.99998149736222741</v>
      </c>
    </row>
    <row r="52" spans="1:13" x14ac:dyDescent="0.25">
      <c r="A52">
        <v>51</v>
      </c>
      <c r="B52">
        <v>3210</v>
      </c>
      <c r="C52" s="3">
        <v>35794748817.279999</v>
      </c>
      <c r="D52">
        <v>5.8049962194946696E-3</v>
      </c>
      <c r="E52">
        <v>6.7478366630827953</v>
      </c>
      <c r="F52" s="2">
        <v>0.92365346122160019</v>
      </c>
      <c r="H52">
        <v>264</v>
      </c>
      <c r="I52">
        <v>15</v>
      </c>
      <c r="J52" s="3">
        <v>15244593.98</v>
      </c>
      <c r="K52">
        <v>7.4912821933851197E-3</v>
      </c>
      <c r="L52">
        <v>8.6282460742401756</v>
      </c>
      <c r="M52" s="2">
        <v>0.99998367274616973</v>
      </c>
    </row>
    <row r="53" spans="1:13" x14ac:dyDescent="0.25">
      <c r="A53">
        <v>52</v>
      </c>
      <c r="B53">
        <v>2919</v>
      </c>
      <c r="C53" s="3">
        <v>33451468387.73</v>
      </c>
      <c r="D53">
        <v>5.9976738251305301E-3</v>
      </c>
      <c r="E53">
        <v>6.9644758204594259</v>
      </c>
      <c r="F53" s="2">
        <v>0.92842694271105008</v>
      </c>
      <c r="H53">
        <v>266</v>
      </c>
      <c r="I53">
        <v>11</v>
      </c>
      <c r="J53" s="3">
        <v>10467272.949999999</v>
      </c>
      <c r="K53">
        <v>7.1628413312609697E-3</v>
      </c>
      <c r="L53">
        <v>8.2647441994675557</v>
      </c>
      <c r="M53" s="2">
        <v>0.99998516641254909</v>
      </c>
    </row>
    <row r="54" spans="1:13" x14ac:dyDescent="0.25">
      <c r="A54">
        <v>53</v>
      </c>
      <c r="B54">
        <v>2789</v>
      </c>
      <c r="C54" s="3">
        <v>35641960437.150002</v>
      </c>
      <c r="D54">
        <v>5.9188773975674402E-3</v>
      </c>
      <c r="E54">
        <v>6.8759360194912134</v>
      </c>
      <c r="F54" s="2">
        <v>0.93351300459695663</v>
      </c>
      <c r="H54">
        <v>271</v>
      </c>
      <c r="I54">
        <v>11</v>
      </c>
      <c r="J54" s="3">
        <v>9323972.6099999994</v>
      </c>
      <c r="K54">
        <v>1.4238392615957E-2</v>
      </c>
      <c r="L54">
        <v>15.809556883446652</v>
      </c>
      <c r="M54" s="2">
        <v>0.99998649693144126</v>
      </c>
    </row>
    <row r="55" spans="1:13" x14ac:dyDescent="0.25">
      <c r="A55">
        <v>54</v>
      </c>
      <c r="B55">
        <v>2740</v>
      </c>
      <c r="C55" s="3">
        <v>34023838469.09</v>
      </c>
      <c r="D55">
        <v>5.5528733438817198E-3</v>
      </c>
      <c r="E55">
        <v>6.4636611394756844</v>
      </c>
      <c r="F55" s="2">
        <v>0.9383681625604201</v>
      </c>
      <c r="H55">
        <v>284</v>
      </c>
      <c r="I55">
        <v>16</v>
      </c>
      <c r="J55" s="3">
        <v>13373879.17</v>
      </c>
      <c r="K55">
        <v>1.55343471265771E-2</v>
      </c>
      <c r="L55">
        <v>17.128190238474296</v>
      </c>
      <c r="M55" s="2">
        <v>0.99998840536678768</v>
      </c>
    </row>
    <row r="56" spans="1:13" x14ac:dyDescent="0.25">
      <c r="A56">
        <v>55</v>
      </c>
      <c r="B56">
        <v>2667</v>
      </c>
      <c r="C56" s="3">
        <v>30202879362.02</v>
      </c>
      <c r="D56">
        <v>5.8146254472690399E-3</v>
      </c>
      <c r="E56">
        <v>6.7586743577293662</v>
      </c>
      <c r="F56" s="2">
        <v>0.94267807457658659</v>
      </c>
      <c r="H56">
        <v>302</v>
      </c>
      <c r="I56">
        <v>13</v>
      </c>
      <c r="J56" s="3">
        <v>4467033.0199999996</v>
      </c>
      <c r="K56">
        <v>1.9266226780985302E-2</v>
      </c>
      <c r="L56">
        <v>20.820350558620827</v>
      </c>
      <c r="M56" s="2">
        <v>0.99998904280665091</v>
      </c>
    </row>
    <row r="57" spans="1:13" x14ac:dyDescent="0.25">
      <c r="A57">
        <v>56</v>
      </c>
      <c r="B57">
        <v>2472</v>
      </c>
      <c r="C57" s="3">
        <v>30296543092.68</v>
      </c>
      <c r="D57">
        <v>6.1245266027507E-3</v>
      </c>
      <c r="E57">
        <v>7.1068521611687192</v>
      </c>
      <c r="F57" s="2">
        <v>0.94700135228658011</v>
      </c>
      <c r="H57">
        <v>303</v>
      </c>
      <c r="I57">
        <v>14</v>
      </c>
      <c r="J57" s="3">
        <v>5945793.8700000001</v>
      </c>
      <c r="K57">
        <v>9.2011860813684693E-3</v>
      </c>
      <c r="L57">
        <v>10.499443383464968</v>
      </c>
      <c r="M57" s="2">
        <v>0.99998989126378435</v>
      </c>
    </row>
    <row r="58" spans="1:13" x14ac:dyDescent="0.25">
      <c r="A58">
        <v>57</v>
      </c>
      <c r="B58">
        <v>2225</v>
      </c>
      <c r="C58" s="3">
        <v>27760662794.91</v>
      </c>
      <c r="D58">
        <v>6.4950281870719403E-3</v>
      </c>
      <c r="E58">
        <v>7.5215509575770163</v>
      </c>
      <c r="F58" s="2">
        <v>0.95096276314156569</v>
      </c>
      <c r="H58">
        <v>306</v>
      </c>
      <c r="I58">
        <v>12</v>
      </c>
      <c r="J58" s="3">
        <v>2443380.5699999998</v>
      </c>
      <c r="K58">
        <v>1.2087179974886101E-2</v>
      </c>
      <c r="L58">
        <v>13.57817065400152</v>
      </c>
      <c r="M58" s="2">
        <v>0.9999902399310473</v>
      </c>
    </row>
    <row r="59" spans="1:13" x14ac:dyDescent="0.25">
      <c r="A59">
        <v>58</v>
      </c>
      <c r="B59">
        <v>1834</v>
      </c>
      <c r="C59" s="3">
        <v>24315373881.759998</v>
      </c>
      <c r="D59">
        <v>6.3551456028349404E-3</v>
      </c>
      <c r="E59">
        <v>7.3651815740169324</v>
      </c>
      <c r="F59" s="2">
        <v>0.95443253570246789</v>
      </c>
      <c r="H59">
        <v>310</v>
      </c>
      <c r="I59">
        <v>11</v>
      </c>
      <c r="J59" s="3">
        <v>2065588.63</v>
      </c>
      <c r="K59">
        <v>2.5620842695028699E-2</v>
      </c>
      <c r="L59">
        <v>26.762109597859506</v>
      </c>
      <c r="M59" s="2">
        <v>0.99999053468788657</v>
      </c>
    </row>
    <row r="60" spans="1:13" x14ac:dyDescent="0.25">
      <c r="A60">
        <v>59</v>
      </c>
      <c r="B60">
        <v>1498</v>
      </c>
      <c r="C60" s="3">
        <v>20639848562.790001</v>
      </c>
      <c r="D60">
        <v>6.3921001166647303E-3</v>
      </c>
      <c r="E60">
        <v>7.4065151493310495</v>
      </c>
      <c r="F60" s="2">
        <v>0.95737781553047285</v>
      </c>
      <c r="H60">
        <v>316</v>
      </c>
      <c r="I60">
        <v>14</v>
      </c>
      <c r="J60" s="3">
        <v>4292554.49</v>
      </c>
      <c r="K60">
        <v>1.8274321950380101E-2</v>
      </c>
      <c r="L60">
        <v>19.854008358822362</v>
      </c>
      <c r="M60" s="2">
        <v>0.99999114722988813</v>
      </c>
    </row>
    <row r="61" spans="1:13" x14ac:dyDescent="0.25">
      <c r="A61">
        <v>60</v>
      </c>
      <c r="B61">
        <v>1271</v>
      </c>
      <c r="C61" s="3">
        <v>19526331661.52</v>
      </c>
      <c r="D61">
        <v>5.49944615564336E-3</v>
      </c>
      <c r="E61">
        <v>6.4033398567136635</v>
      </c>
      <c r="F61" s="2">
        <v>0.96016419792967755</v>
      </c>
      <c r="H61">
        <v>317</v>
      </c>
      <c r="I61">
        <v>21</v>
      </c>
      <c r="J61" s="3">
        <v>5878069.75</v>
      </c>
      <c r="K61">
        <v>2.0760830487217299E-2</v>
      </c>
      <c r="L61">
        <v>22.256279055821928</v>
      </c>
      <c r="M61" s="2">
        <v>0.99999198602287687</v>
      </c>
    </row>
    <row r="62" spans="1:13" x14ac:dyDescent="0.25">
      <c r="A62">
        <v>61</v>
      </c>
      <c r="B62">
        <v>1104</v>
      </c>
      <c r="C62" s="3">
        <v>17230557734.880001</v>
      </c>
      <c r="D62">
        <v>5.5502647734645199E-3</v>
      </c>
      <c r="E62">
        <v>6.4607167941383992</v>
      </c>
      <c r="F62" s="2">
        <v>0.96262297634403604</v>
      </c>
      <c r="H62">
        <v>318</v>
      </c>
      <c r="I62">
        <v>17</v>
      </c>
      <c r="J62" s="3">
        <v>4052467.03</v>
      </c>
      <c r="K62">
        <v>1.94358996262382E-2</v>
      </c>
      <c r="L62">
        <v>20.984576903930595</v>
      </c>
      <c r="M62" s="2">
        <v>0.99999256430470684</v>
      </c>
    </row>
    <row r="63" spans="1:13" x14ac:dyDescent="0.25">
      <c r="A63">
        <v>62</v>
      </c>
      <c r="B63">
        <v>1016</v>
      </c>
      <c r="C63" s="3">
        <v>16855509831.629999</v>
      </c>
      <c r="D63">
        <v>4.7984370398543499E-3</v>
      </c>
      <c r="E63">
        <v>5.6085640668331216</v>
      </c>
      <c r="F63" s="2">
        <v>0.96502823590525877</v>
      </c>
      <c r="H63">
        <v>319</v>
      </c>
      <c r="I63">
        <v>23</v>
      </c>
      <c r="J63" s="3">
        <v>6966449.3600000003</v>
      </c>
      <c r="K63">
        <v>2.22143847296924E-2</v>
      </c>
      <c r="L63">
        <v>23.62983550755532</v>
      </c>
      <c r="M63" s="2">
        <v>0.99999355840806525</v>
      </c>
    </row>
    <row r="64" spans="1:13" x14ac:dyDescent="0.25">
      <c r="A64">
        <v>63</v>
      </c>
      <c r="B64">
        <v>1011</v>
      </c>
      <c r="C64" s="3">
        <v>17455515306.82</v>
      </c>
      <c r="D64">
        <v>5.4412196085916898E-3</v>
      </c>
      <c r="E64">
        <v>6.3375593128416678</v>
      </c>
      <c r="F64" s="2">
        <v>0.96751911547562996</v>
      </c>
      <c r="H64">
        <v>320</v>
      </c>
      <c r="I64">
        <v>17</v>
      </c>
      <c r="J64" s="3">
        <v>4630744.67</v>
      </c>
      <c r="K64">
        <v>1.6621618136937698E-2</v>
      </c>
      <c r="L64">
        <v>18.219854150759552</v>
      </c>
      <c r="M64" s="2">
        <v>0.99999421920937026</v>
      </c>
    </row>
    <row r="65" spans="1:13" x14ac:dyDescent="0.25">
      <c r="A65">
        <v>64</v>
      </c>
      <c r="B65">
        <v>1057</v>
      </c>
      <c r="C65" s="3">
        <v>17637302291.130001</v>
      </c>
      <c r="D65">
        <v>4.9250933221024603E-3</v>
      </c>
      <c r="E65">
        <v>5.752618144351529</v>
      </c>
      <c r="F65" s="2">
        <v>0.97003593581471625</v>
      </c>
      <c r="H65">
        <v>321</v>
      </c>
      <c r="I65">
        <v>20</v>
      </c>
      <c r="J65" s="3">
        <v>5351350.8899999997</v>
      </c>
      <c r="K65">
        <v>2.3727503472217599E-2</v>
      </c>
      <c r="L65">
        <v>25.03601676304611</v>
      </c>
      <c r="M65" s="2">
        <v>0.99999498284025545</v>
      </c>
    </row>
    <row r="66" spans="1:13" x14ac:dyDescent="0.25">
      <c r="A66">
        <v>65</v>
      </c>
      <c r="B66">
        <v>1065</v>
      </c>
      <c r="C66" s="3">
        <v>17874133060.189999</v>
      </c>
      <c r="D66">
        <v>5.0183936134258504E-3</v>
      </c>
      <c r="E66">
        <v>5.8586054412823607</v>
      </c>
      <c r="F66" s="2">
        <v>0.97258655159976437</v>
      </c>
      <c r="H66">
        <v>322</v>
      </c>
      <c r="I66">
        <v>30</v>
      </c>
      <c r="J66" s="3">
        <v>7392691.9299999997</v>
      </c>
      <c r="K66">
        <v>2.82529236732133E-2</v>
      </c>
      <c r="L66">
        <v>29.101195549606896</v>
      </c>
      <c r="M66" s="2">
        <v>0.99999603776788004</v>
      </c>
    </row>
    <row r="67" spans="1:13" x14ac:dyDescent="0.25">
      <c r="A67">
        <v>66</v>
      </c>
      <c r="B67">
        <v>1102</v>
      </c>
      <c r="C67" s="3">
        <v>12574402636.700001</v>
      </c>
      <c r="D67">
        <v>5.6511515631170704E-3</v>
      </c>
      <c r="E67">
        <v>6.5745278464249823</v>
      </c>
      <c r="F67" s="2">
        <v>0.97438090267372779</v>
      </c>
      <c r="H67">
        <v>324</v>
      </c>
      <c r="I67">
        <v>11</v>
      </c>
      <c r="J67" s="3">
        <v>4377210.67</v>
      </c>
      <c r="K67">
        <v>2.1938490393467801E-2</v>
      </c>
      <c r="L67">
        <v>23.370848365718189</v>
      </c>
      <c r="M67" s="2">
        <v>0.99999666239020957</v>
      </c>
    </row>
    <row r="68" spans="1:13" x14ac:dyDescent="0.25">
      <c r="A68">
        <v>67</v>
      </c>
      <c r="B68">
        <v>1176</v>
      </c>
      <c r="C68" s="3">
        <v>10105368886.790001</v>
      </c>
      <c r="D68">
        <v>6.3942466401034998E-3</v>
      </c>
      <c r="E68">
        <v>7.4089155133860052</v>
      </c>
      <c r="F68" s="2">
        <v>0.97582292580903651</v>
      </c>
      <c r="H68">
        <v>325</v>
      </c>
      <c r="I68">
        <v>18</v>
      </c>
      <c r="J68" s="3">
        <v>5663228.75</v>
      </c>
      <c r="K68">
        <v>1.80476269771267E-2</v>
      </c>
      <c r="L68">
        <v>19.631643357053406</v>
      </c>
      <c r="M68" s="2">
        <v>0.99999747052566401</v>
      </c>
    </row>
    <row r="69" spans="1:13" x14ac:dyDescent="0.25">
      <c r="A69">
        <v>68</v>
      </c>
      <c r="B69">
        <v>1365</v>
      </c>
      <c r="C69" s="3">
        <v>8708036919.3400002</v>
      </c>
      <c r="D69">
        <v>7.2995697539859697E-3</v>
      </c>
      <c r="E69">
        <v>8.4162291122626627</v>
      </c>
      <c r="F69" s="2">
        <v>0.97706555147084939</v>
      </c>
      <c r="H69">
        <v>326</v>
      </c>
      <c r="I69">
        <v>11</v>
      </c>
      <c r="J69" s="3">
        <v>3088796.9</v>
      </c>
      <c r="K69">
        <v>1.5863275460383901E-2</v>
      </c>
      <c r="L69">
        <v>17.459848529771062</v>
      </c>
      <c r="M69" s="2">
        <v>0.99999791129300664</v>
      </c>
    </row>
    <row r="70" spans="1:13" x14ac:dyDescent="0.25">
      <c r="A70">
        <v>69</v>
      </c>
      <c r="B70">
        <v>1605</v>
      </c>
      <c r="C70" s="3">
        <v>8776872862.3799992</v>
      </c>
      <c r="D70">
        <v>8.18282802852781E-3</v>
      </c>
      <c r="E70">
        <v>9.3893013778788337</v>
      </c>
      <c r="F70" s="2">
        <v>0.9783179999331475</v>
      </c>
      <c r="H70">
        <v>329</v>
      </c>
      <c r="I70">
        <v>16</v>
      </c>
      <c r="J70" s="3">
        <v>3061175.73</v>
      </c>
      <c r="K70">
        <v>2.7403563909873901E-2</v>
      </c>
      <c r="L70">
        <v>28.353977343057569</v>
      </c>
      <c r="M70" s="2">
        <v>0.99999834811884381</v>
      </c>
    </row>
    <row r="71" spans="1:13" x14ac:dyDescent="0.25">
      <c r="A71">
        <v>70</v>
      </c>
      <c r="B71">
        <v>1783</v>
      </c>
      <c r="C71" s="3">
        <v>8208945726.04</v>
      </c>
      <c r="D71">
        <v>7.6575018329005902E-3</v>
      </c>
      <c r="E71">
        <v>8.8117060029284104</v>
      </c>
      <c r="F71" s="2">
        <v>0.9794894059239686</v>
      </c>
      <c r="H71">
        <v>330</v>
      </c>
      <c r="I71">
        <v>11</v>
      </c>
      <c r="J71" s="3">
        <v>1879608.51</v>
      </c>
      <c r="K71">
        <v>2.9661215296051101E-2</v>
      </c>
      <c r="L71">
        <v>30.324404830505191</v>
      </c>
      <c r="M71" s="2">
        <v>0.99999861633655929</v>
      </c>
    </row>
    <row r="72" spans="1:13" x14ac:dyDescent="0.25">
      <c r="A72">
        <v>71</v>
      </c>
      <c r="B72">
        <v>1976</v>
      </c>
      <c r="C72" s="3">
        <v>8606588533.8299999</v>
      </c>
      <c r="D72">
        <v>6.9998929909611297E-3</v>
      </c>
      <c r="E72">
        <v>8.0839096086261506</v>
      </c>
      <c r="F72" s="2">
        <v>0.98071755503172553</v>
      </c>
      <c r="H72">
        <v>331</v>
      </c>
      <c r="I72">
        <v>22</v>
      </c>
      <c r="J72" s="3">
        <v>3578482.37</v>
      </c>
      <c r="K72">
        <v>2.5521359390058899E-2</v>
      </c>
      <c r="L72">
        <v>26.672328857601947</v>
      </c>
      <c r="M72" s="2">
        <v>0.99999912698138826</v>
      </c>
    </row>
    <row r="73" spans="1:13" x14ac:dyDescent="0.25">
      <c r="A73">
        <v>72</v>
      </c>
      <c r="B73">
        <v>2050</v>
      </c>
      <c r="C73" s="3">
        <v>9039342485.0900002</v>
      </c>
      <c r="D73">
        <v>7.2778814634265202E-3</v>
      </c>
      <c r="E73">
        <v>8.392215413034732</v>
      </c>
      <c r="F73" s="2">
        <v>0.98200745757140606</v>
      </c>
      <c r="H73">
        <v>332</v>
      </c>
      <c r="I73">
        <v>15</v>
      </c>
      <c r="J73" s="3">
        <v>1834861.35</v>
      </c>
      <c r="K73">
        <v>3.0581490027984898E-2</v>
      </c>
      <c r="L73">
        <v>31.11325026235474</v>
      </c>
      <c r="M73" s="2">
        <v>0.99999938881374162</v>
      </c>
    </row>
    <row r="74" spans="1:13" x14ac:dyDescent="0.25">
      <c r="A74">
        <v>73</v>
      </c>
      <c r="B74">
        <v>2143</v>
      </c>
      <c r="C74" s="3">
        <v>8777021318.3999996</v>
      </c>
      <c r="D74">
        <v>7.1016759714838899E-3</v>
      </c>
      <c r="E74">
        <v>8.1969032067911733</v>
      </c>
      <c r="F74" s="2">
        <v>0.98325992721818711</v>
      </c>
      <c r="H74">
        <v>333</v>
      </c>
      <c r="I74">
        <v>12</v>
      </c>
      <c r="J74" s="3">
        <v>1458178.45</v>
      </c>
      <c r="K74">
        <v>3.03820336483096E-2</v>
      </c>
      <c r="L74">
        <v>30.942977540658077</v>
      </c>
      <c r="M74" s="2">
        <v>0.99999959689392992</v>
      </c>
    </row>
    <row r="75" spans="1:13" x14ac:dyDescent="0.25">
      <c r="A75">
        <v>74</v>
      </c>
      <c r="B75">
        <v>2281</v>
      </c>
      <c r="C75" s="3">
        <v>8287893446.4499998</v>
      </c>
      <c r="D75">
        <v>7.2301795993914798E-3</v>
      </c>
      <c r="E75">
        <v>8.3393786676269954</v>
      </c>
      <c r="F75" s="2">
        <v>0.98444259894711106</v>
      </c>
      <c r="H75">
        <v>336</v>
      </c>
      <c r="I75">
        <v>12</v>
      </c>
      <c r="J75" s="3">
        <v>1239354.81</v>
      </c>
      <c r="K75">
        <v>2.0196514894568401E-2</v>
      </c>
      <c r="L75">
        <v>21.716946274926705</v>
      </c>
      <c r="M75" s="2">
        <v>0.99999977374826632</v>
      </c>
    </row>
    <row r="76" spans="1:13" x14ac:dyDescent="0.25">
      <c r="A76">
        <v>75</v>
      </c>
      <c r="B76">
        <v>2406</v>
      </c>
      <c r="C76" s="3">
        <v>8752583576.7600002</v>
      </c>
      <c r="D76">
        <v>6.8293742047755299E-3</v>
      </c>
      <c r="E76">
        <v>7.8943237483370066</v>
      </c>
      <c r="F76" s="2">
        <v>0.98569158135960966</v>
      </c>
      <c r="H76">
        <v>337</v>
      </c>
      <c r="I76">
        <v>15</v>
      </c>
      <c r="J76" s="3">
        <v>1585520.49</v>
      </c>
      <c r="K76">
        <v>3.6572477451741997E-2</v>
      </c>
      <c r="L76">
        <v>36.051761584549403</v>
      </c>
      <c r="M76" s="2">
        <v>0.99999999999999978</v>
      </c>
    </row>
    <row r="77" spans="1:13" x14ac:dyDescent="0.25">
      <c r="A77">
        <v>76</v>
      </c>
      <c r="B77">
        <v>2462</v>
      </c>
      <c r="C77" s="3">
        <v>8888688441.6499996</v>
      </c>
      <c r="D77">
        <v>6.5836053199270599E-3</v>
      </c>
      <c r="E77">
        <v>7.6204427863395434</v>
      </c>
      <c r="F77" s="2">
        <v>0.9869599857611715</v>
      </c>
    </row>
    <row r="78" spans="1:13" x14ac:dyDescent="0.25">
      <c r="A78">
        <v>77</v>
      </c>
      <c r="B78">
        <v>2482</v>
      </c>
      <c r="C78" s="3">
        <v>8908006887.6100006</v>
      </c>
      <c r="D78">
        <v>7.5715800473214103E-3</v>
      </c>
      <c r="E78">
        <v>8.7169146180506871</v>
      </c>
      <c r="F78" s="2">
        <v>0.98823114688011049</v>
      </c>
    </row>
    <row r="79" spans="1:13" x14ac:dyDescent="0.25">
      <c r="A79">
        <v>78</v>
      </c>
      <c r="B79">
        <v>2549</v>
      </c>
      <c r="C79" s="3">
        <v>8664475120.8099995</v>
      </c>
      <c r="D79">
        <v>7.08998640639794E-3</v>
      </c>
      <c r="E79">
        <v>8.1839326005549662</v>
      </c>
      <c r="F79" s="2">
        <v>0.98946755632933381</v>
      </c>
    </row>
    <row r="80" spans="1:13" x14ac:dyDescent="0.25">
      <c r="A80">
        <v>79</v>
      </c>
      <c r="B80">
        <v>2573</v>
      </c>
      <c r="C80" s="3">
        <v>8880213166.3099995</v>
      </c>
      <c r="D80">
        <v>8.1735173496026801E-3</v>
      </c>
      <c r="E80">
        <v>9.3790935608845327</v>
      </c>
      <c r="F80" s="2">
        <v>0.99073475132001165</v>
      </c>
    </row>
  </sheetData>
  <pageMargins left="0.7" right="0.7" top="0.75" bottom="0.75" header="0.3" footer="0.3"/>
  <pageSetup scale="41"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5"/>
  <sheetViews>
    <sheetView topLeftCell="G1" workbookViewId="0">
      <selection activeCell="J2" sqref="J2"/>
    </sheetView>
  </sheetViews>
  <sheetFormatPr defaultRowHeight="15" x14ac:dyDescent="0.25"/>
  <cols>
    <col min="5" max="5" width="0" hidden="1" customWidth="1"/>
  </cols>
  <sheetData>
    <row r="1" spans="1:20" x14ac:dyDescent="0.25">
      <c r="A1" s="4"/>
      <c r="B1" t="s">
        <v>7</v>
      </c>
      <c r="C1" t="s">
        <v>8</v>
      </c>
      <c r="D1" t="s">
        <v>9</v>
      </c>
      <c r="E1" t="s">
        <v>15</v>
      </c>
      <c r="F1" t="s">
        <v>11</v>
      </c>
      <c r="G1" t="s">
        <v>15</v>
      </c>
      <c r="I1" s="5"/>
      <c r="K1" t="s">
        <v>11</v>
      </c>
      <c r="O1" t="s">
        <v>18</v>
      </c>
      <c r="P1" t="s">
        <v>24</v>
      </c>
      <c r="Q1" t="s">
        <v>25</v>
      </c>
      <c r="R1" t="s">
        <v>26</v>
      </c>
      <c r="S1" t="s">
        <v>7</v>
      </c>
      <c r="T1" t="s">
        <v>4</v>
      </c>
    </row>
    <row r="2" spans="1:20" x14ac:dyDescent="0.25">
      <c r="A2" s="4"/>
      <c r="B2">
        <v>0</v>
      </c>
      <c r="C2">
        <v>0</v>
      </c>
      <c r="D2">
        <v>0</v>
      </c>
      <c r="E2">
        <v>0</v>
      </c>
      <c r="F2">
        <v>0</v>
      </c>
      <c r="G2">
        <f>E2/100</f>
        <v>0</v>
      </c>
      <c r="I2" s="5">
        <v>1</v>
      </c>
      <c r="J2">
        <v>0</v>
      </c>
      <c r="K2">
        <v>0</v>
      </c>
      <c r="O2" t="s">
        <v>19</v>
      </c>
      <c r="P2">
        <v>1</v>
      </c>
      <c r="Q2">
        <v>5.7359999999999998</v>
      </c>
      <c r="R2">
        <v>45687396872383.398</v>
      </c>
      <c r="S2">
        <v>6.1</v>
      </c>
      <c r="T2">
        <v>10.54</v>
      </c>
    </row>
    <row r="3" spans="1:20" x14ac:dyDescent="0.25">
      <c r="A3" s="4"/>
      <c r="B3">
        <v>6</v>
      </c>
      <c r="C3">
        <v>6.0000000000000001E-3</v>
      </c>
      <c r="D3">
        <v>0.1103</v>
      </c>
      <c r="E3">
        <v>0.45010359999999999</v>
      </c>
      <c r="F3">
        <v>3.0000000000000001E-3</v>
      </c>
      <c r="G3">
        <f t="shared" ref="G3:G33" si="0">E3/100</f>
        <v>4.5010359999999999E-3</v>
      </c>
      <c r="I3" s="5">
        <v>2</v>
      </c>
      <c r="J3">
        <v>6</v>
      </c>
      <c r="K3">
        <v>3.0000000000000001E-3</v>
      </c>
      <c r="O3" t="s">
        <v>19</v>
      </c>
      <c r="P3">
        <v>2</v>
      </c>
      <c r="Q3">
        <v>5.8109999999999999</v>
      </c>
      <c r="R3">
        <v>43390261424821.5</v>
      </c>
      <c r="S3">
        <v>17.2</v>
      </c>
      <c r="T3">
        <v>19.190000000000001</v>
      </c>
    </row>
    <row r="4" spans="1:20" x14ac:dyDescent="0.25">
      <c r="A4" s="4"/>
      <c r="B4">
        <v>12</v>
      </c>
      <c r="C4">
        <v>6.0000000000000001E-3</v>
      </c>
      <c r="D4">
        <v>0.1103</v>
      </c>
      <c r="E4">
        <v>0.45010359999999999</v>
      </c>
      <c r="F4">
        <v>3.0000000000000001E-3</v>
      </c>
      <c r="G4">
        <f t="shared" si="0"/>
        <v>4.5010359999999999E-3</v>
      </c>
      <c r="I4" s="5">
        <v>3</v>
      </c>
      <c r="J4">
        <v>12</v>
      </c>
      <c r="K4">
        <v>3.0000000000000001E-3</v>
      </c>
      <c r="O4" t="s">
        <v>19</v>
      </c>
      <c r="P4">
        <v>3</v>
      </c>
      <c r="Q4">
        <v>5.85</v>
      </c>
      <c r="R4">
        <v>33399709236499.602</v>
      </c>
      <c r="S4">
        <v>29.2</v>
      </c>
      <c r="T4">
        <v>20.02</v>
      </c>
    </row>
    <row r="5" spans="1:20" x14ac:dyDescent="0.25">
      <c r="A5" s="4"/>
      <c r="B5">
        <v>24</v>
      </c>
      <c r="C5">
        <v>5.1999999999999998E-3</v>
      </c>
      <c r="D5">
        <v>0.19400000000000001</v>
      </c>
      <c r="E5">
        <v>0.47900769999999998</v>
      </c>
      <c r="F5">
        <v>4.3800000000000002E-3</v>
      </c>
      <c r="G5">
        <f t="shared" si="0"/>
        <v>4.7900770000000002E-3</v>
      </c>
      <c r="I5" s="5">
        <v>4</v>
      </c>
      <c r="J5">
        <v>24</v>
      </c>
      <c r="K5">
        <v>4.3800000000000002E-3</v>
      </c>
      <c r="O5" t="s">
        <v>19</v>
      </c>
      <c r="P5">
        <v>4</v>
      </c>
      <c r="Q5">
        <v>5.9050000000000002</v>
      </c>
      <c r="R5">
        <v>25103173259442.102</v>
      </c>
      <c r="S5">
        <v>41.1</v>
      </c>
      <c r="T5">
        <v>20.58</v>
      </c>
    </row>
    <row r="6" spans="1:20" x14ac:dyDescent="0.25">
      <c r="A6" s="4"/>
      <c r="B6">
        <v>36</v>
      </c>
      <c r="C6">
        <v>5.1999999999999998E-3</v>
      </c>
      <c r="D6">
        <v>0.2074</v>
      </c>
      <c r="E6">
        <v>0.52100000000000002</v>
      </c>
      <c r="F6">
        <v>5.2199999999999998E-3</v>
      </c>
      <c r="G6">
        <f t="shared" si="0"/>
        <v>5.2100000000000002E-3</v>
      </c>
      <c r="I6" s="5">
        <v>5</v>
      </c>
      <c r="J6">
        <v>36</v>
      </c>
      <c r="K6">
        <v>5.2199999999999998E-3</v>
      </c>
      <c r="O6" t="s">
        <v>19</v>
      </c>
      <c r="P6">
        <v>5</v>
      </c>
      <c r="Q6">
        <v>6.0940000000000003</v>
      </c>
      <c r="R6">
        <v>17614723731806.5</v>
      </c>
      <c r="S6">
        <v>53.1</v>
      </c>
      <c r="T6">
        <v>22.8</v>
      </c>
    </row>
    <row r="7" spans="1:20" x14ac:dyDescent="0.25">
      <c r="A7" s="4"/>
      <c r="B7">
        <v>48</v>
      </c>
      <c r="C7">
        <v>5.1000000000000004E-3</v>
      </c>
      <c r="D7">
        <v>0.21659999999999999</v>
      </c>
      <c r="E7">
        <v>0.57001659999999998</v>
      </c>
      <c r="F7">
        <v>6.3E-3</v>
      </c>
      <c r="G7">
        <f t="shared" si="0"/>
        <v>5.7001659999999996E-3</v>
      </c>
      <c r="I7" s="5">
        <v>6</v>
      </c>
      <c r="J7">
        <v>48</v>
      </c>
      <c r="K7">
        <v>6.3E-3</v>
      </c>
      <c r="O7" t="s">
        <v>19</v>
      </c>
      <c r="P7">
        <v>6</v>
      </c>
      <c r="Q7">
        <v>6.1749999999999998</v>
      </c>
      <c r="R7">
        <v>12496749967260.9</v>
      </c>
      <c r="S7">
        <v>65.099999999999994</v>
      </c>
      <c r="T7">
        <v>23.81</v>
      </c>
    </row>
    <row r="8" spans="1:20" x14ac:dyDescent="0.25">
      <c r="A8" s="4"/>
      <c r="B8">
        <v>60</v>
      </c>
      <c r="C8">
        <v>5.0000000000000001E-3</v>
      </c>
      <c r="D8">
        <v>0.2288</v>
      </c>
      <c r="E8">
        <v>0.43901709999999999</v>
      </c>
      <c r="F8">
        <v>3.7799999999999999E-3</v>
      </c>
      <c r="G8">
        <f t="shared" si="0"/>
        <v>4.390171E-3</v>
      </c>
      <c r="I8" s="5">
        <v>7</v>
      </c>
      <c r="J8">
        <v>60</v>
      </c>
      <c r="K8">
        <v>3.7799999999999999E-3</v>
      </c>
      <c r="O8" t="s">
        <v>19</v>
      </c>
      <c r="P8">
        <v>7</v>
      </c>
      <c r="Q8">
        <v>6.2649999999999997</v>
      </c>
      <c r="R8">
        <v>8626953375478.0996</v>
      </c>
      <c r="S8">
        <v>77.099999999999994</v>
      </c>
      <c r="T8">
        <v>25.21</v>
      </c>
    </row>
    <row r="9" spans="1:20" x14ac:dyDescent="0.25">
      <c r="A9" s="4"/>
      <c r="B9">
        <v>72</v>
      </c>
      <c r="C9">
        <v>4.8999999999999998E-3</v>
      </c>
      <c r="D9">
        <v>0.2341</v>
      </c>
      <c r="E9">
        <v>0.41602519999999998</v>
      </c>
      <c r="F9">
        <v>3.4199999999999999E-3</v>
      </c>
      <c r="G9">
        <f t="shared" si="0"/>
        <v>4.1602519999999997E-3</v>
      </c>
      <c r="I9" s="5">
        <v>8</v>
      </c>
      <c r="J9">
        <v>72</v>
      </c>
      <c r="K9">
        <v>3.4199999999999999E-3</v>
      </c>
      <c r="O9" t="s">
        <v>19</v>
      </c>
      <c r="P9">
        <v>8</v>
      </c>
      <c r="Q9">
        <v>6.3860000000000001</v>
      </c>
      <c r="R9">
        <v>5709091772962.21</v>
      </c>
      <c r="S9">
        <v>89</v>
      </c>
      <c r="T9">
        <v>26.89</v>
      </c>
    </row>
    <row r="10" spans="1:20" x14ac:dyDescent="0.25">
      <c r="A10" s="4"/>
      <c r="B10">
        <v>84</v>
      </c>
      <c r="C10">
        <v>4.4999999999999997E-3</v>
      </c>
      <c r="D10">
        <v>0.24790000000000001</v>
      </c>
      <c r="E10">
        <v>0.35703980000000002</v>
      </c>
      <c r="F10">
        <v>2.64E-3</v>
      </c>
      <c r="G10">
        <f t="shared" si="0"/>
        <v>3.5703980000000002E-3</v>
      </c>
      <c r="I10" s="5">
        <v>9</v>
      </c>
      <c r="J10">
        <v>84</v>
      </c>
      <c r="K10">
        <v>2.64E-3</v>
      </c>
      <c r="O10" t="s">
        <v>19</v>
      </c>
      <c r="P10">
        <v>9</v>
      </c>
      <c r="Q10">
        <v>6.4989999999999997</v>
      </c>
      <c r="R10">
        <v>3838302629905.1699</v>
      </c>
      <c r="S10">
        <v>101.1</v>
      </c>
      <c r="T10">
        <v>26.38</v>
      </c>
    </row>
    <row r="11" spans="1:20" x14ac:dyDescent="0.25">
      <c r="A11" s="4"/>
      <c r="B11">
        <v>96</v>
      </c>
      <c r="C11">
        <v>4.7000000000000002E-3</v>
      </c>
      <c r="D11">
        <v>0.26219999999999999</v>
      </c>
      <c r="E11">
        <v>0.3940266</v>
      </c>
      <c r="F11">
        <v>3.1800000000000001E-3</v>
      </c>
      <c r="G11">
        <f t="shared" si="0"/>
        <v>3.9402660000000004E-3</v>
      </c>
      <c r="I11" s="5">
        <v>10</v>
      </c>
      <c r="J11">
        <v>96</v>
      </c>
      <c r="K11">
        <v>3.1800000000000001E-3</v>
      </c>
      <c r="O11" t="s">
        <v>19</v>
      </c>
      <c r="P11">
        <v>10</v>
      </c>
      <c r="Q11">
        <v>6.52</v>
      </c>
      <c r="R11">
        <v>2558142169318.9102</v>
      </c>
      <c r="S11">
        <v>113</v>
      </c>
      <c r="T11">
        <v>30.37</v>
      </c>
    </row>
    <row r="12" spans="1:20" x14ac:dyDescent="0.25">
      <c r="A12" s="4"/>
      <c r="B12">
        <v>108</v>
      </c>
      <c r="C12">
        <v>4.7999999999999996E-3</v>
      </c>
      <c r="D12">
        <v>0.26429999999999998</v>
      </c>
      <c r="E12">
        <v>0.45000410000000002</v>
      </c>
      <c r="F12">
        <v>4.1999999999999997E-3</v>
      </c>
      <c r="G12">
        <f t="shared" si="0"/>
        <v>4.5000409999999998E-3</v>
      </c>
      <c r="I12" s="5">
        <v>11</v>
      </c>
      <c r="J12">
        <v>108</v>
      </c>
      <c r="K12">
        <v>4.1999999999999997E-3</v>
      </c>
      <c r="O12" t="s">
        <v>19</v>
      </c>
      <c r="P12">
        <v>11</v>
      </c>
      <c r="Q12">
        <v>6.4960000000000004</v>
      </c>
      <c r="R12">
        <v>1643173220792.8401</v>
      </c>
      <c r="S12">
        <v>125.1</v>
      </c>
      <c r="T12">
        <v>26.26</v>
      </c>
    </row>
    <row r="13" spans="1:20" x14ac:dyDescent="0.25">
      <c r="A13" s="4"/>
      <c r="B13">
        <v>120</v>
      </c>
      <c r="C13">
        <v>5.3E-3</v>
      </c>
      <c r="D13">
        <v>0.309</v>
      </c>
      <c r="E13">
        <v>0.50500290000000003</v>
      </c>
      <c r="F13">
        <v>4.7999999999999996E-3</v>
      </c>
      <c r="G13">
        <f t="shared" si="0"/>
        <v>5.0500290000000001E-3</v>
      </c>
      <c r="I13" s="5">
        <v>12</v>
      </c>
      <c r="J13">
        <v>120</v>
      </c>
      <c r="K13">
        <v>4.7999999999999996E-3</v>
      </c>
      <c r="O13" t="s">
        <v>19</v>
      </c>
      <c r="P13">
        <v>12</v>
      </c>
      <c r="Q13">
        <v>6.5179999999999998</v>
      </c>
      <c r="R13">
        <v>1080838974898.61</v>
      </c>
      <c r="S13">
        <v>137</v>
      </c>
      <c r="T13">
        <v>21.75</v>
      </c>
    </row>
    <row r="14" spans="1:20" x14ac:dyDescent="0.25">
      <c r="A14" s="4"/>
      <c r="B14">
        <v>132</v>
      </c>
      <c r="C14">
        <v>6.7999999999999996E-3</v>
      </c>
      <c r="D14">
        <v>0.26879999999999998</v>
      </c>
      <c r="E14">
        <v>0.50514110000000001</v>
      </c>
      <c r="F14">
        <v>3.3E-3</v>
      </c>
      <c r="G14">
        <f t="shared" si="0"/>
        <v>5.0514110000000004E-3</v>
      </c>
      <c r="I14" s="5">
        <v>13</v>
      </c>
      <c r="J14">
        <v>132</v>
      </c>
      <c r="K14">
        <v>3.3E-3</v>
      </c>
      <c r="O14" t="s">
        <v>19</v>
      </c>
      <c r="P14">
        <v>13</v>
      </c>
      <c r="Q14">
        <v>6.6289999999999996</v>
      </c>
      <c r="R14">
        <v>701898549101.43994</v>
      </c>
      <c r="S14">
        <v>149</v>
      </c>
      <c r="T14">
        <v>19.23</v>
      </c>
    </row>
    <row r="15" spans="1:20" x14ac:dyDescent="0.25">
      <c r="A15" s="4"/>
      <c r="B15">
        <v>144</v>
      </c>
      <c r="C15">
        <v>6.7000000000000002E-3</v>
      </c>
      <c r="D15">
        <v>0.22259999999999999</v>
      </c>
      <c r="E15">
        <v>0.52709419999999996</v>
      </c>
      <c r="F15">
        <v>3.8400000000000001E-3</v>
      </c>
      <c r="G15">
        <f t="shared" si="0"/>
        <v>5.2709419999999998E-3</v>
      </c>
      <c r="I15" s="5">
        <v>14</v>
      </c>
      <c r="J15">
        <v>144</v>
      </c>
      <c r="K15">
        <v>3.8400000000000001E-3</v>
      </c>
      <c r="O15" t="s">
        <v>19</v>
      </c>
      <c r="P15">
        <v>14</v>
      </c>
      <c r="Q15">
        <v>6.9729999999999999</v>
      </c>
      <c r="R15">
        <v>402935558621.57001</v>
      </c>
      <c r="S15">
        <v>160.69999999999999</v>
      </c>
      <c r="T15">
        <v>17.77</v>
      </c>
    </row>
    <row r="16" spans="1:20" x14ac:dyDescent="0.25">
      <c r="A16" s="4"/>
      <c r="B16">
        <v>156</v>
      </c>
      <c r="C16">
        <v>8.3000000000000001E-3</v>
      </c>
      <c r="D16">
        <v>0.20169999999999999</v>
      </c>
      <c r="E16">
        <v>0.61022319999999997</v>
      </c>
      <c r="F16">
        <v>3.8999999999999998E-3</v>
      </c>
      <c r="G16">
        <f t="shared" si="0"/>
        <v>6.102232E-3</v>
      </c>
      <c r="I16" s="5">
        <v>15</v>
      </c>
      <c r="J16">
        <v>156</v>
      </c>
      <c r="K16">
        <v>3.8999999999999998E-3</v>
      </c>
      <c r="O16" t="s">
        <v>19</v>
      </c>
      <c r="P16">
        <v>15</v>
      </c>
      <c r="Q16">
        <v>7.399</v>
      </c>
      <c r="R16">
        <v>228802525318.10999</v>
      </c>
      <c r="S16">
        <v>173</v>
      </c>
      <c r="T16">
        <v>16.84</v>
      </c>
    </row>
    <row r="17" spans="1:20" x14ac:dyDescent="0.25">
      <c r="A17" s="4"/>
      <c r="B17">
        <v>168</v>
      </c>
      <c r="C17">
        <v>8.2000000000000007E-3</v>
      </c>
      <c r="D17">
        <v>0.18290000000000001</v>
      </c>
      <c r="E17">
        <v>1.1304455</v>
      </c>
      <c r="F17">
        <v>1.44E-2</v>
      </c>
      <c r="G17">
        <f t="shared" si="0"/>
        <v>1.1304455E-2</v>
      </c>
      <c r="I17" s="5">
        <v>16</v>
      </c>
      <c r="J17">
        <v>168</v>
      </c>
      <c r="K17">
        <v>1.44E-2</v>
      </c>
      <c r="O17" t="s">
        <v>19</v>
      </c>
      <c r="P17">
        <v>16</v>
      </c>
      <c r="Q17">
        <v>7.5309999999999997</v>
      </c>
      <c r="R17">
        <v>156068156272.73001</v>
      </c>
      <c r="S17">
        <v>185.1</v>
      </c>
      <c r="T17">
        <v>15.78</v>
      </c>
    </row>
    <row r="18" spans="1:20" x14ac:dyDescent="0.25">
      <c r="A18" s="4"/>
      <c r="B18">
        <v>180</v>
      </c>
      <c r="C18">
        <v>8.8999999999999999E-3</v>
      </c>
      <c r="D18">
        <v>0.1817</v>
      </c>
      <c r="E18">
        <v>1.0841744</v>
      </c>
      <c r="F18">
        <v>1.278E-2</v>
      </c>
      <c r="G18">
        <f t="shared" si="0"/>
        <v>1.0841744E-2</v>
      </c>
      <c r="I18" s="5">
        <v>17</v>
      </c>
      <c r="J18">
        <v>180</v>
      </c>
      <c r="K18">
        <v>1.278E-2</v>
      </c>
      <c r="O18" t="s">
        <v>19</v>
      </c>
      <c r="P18">
        <v>17</v>
      </c>
      <c r="Q18">
        <v>7.5789999999999997</v>
      </c>
      <c r="R18">
        <v>118554528358.3</v>
      </c>
      <c r="S18">
        <v>197.2</v>
      </c>
      <c r="T18">
        <v>15.3</v>
      </c>
    </row>
    <row r="19" spans="1:20" x14ac:dyDescent="0.25">
      <c r="A19" s="4"/>
      <c r="B19">
        <v>192</v>
      </c>
      <c r="C19">
        <v>9.1000000000000004E-3</v>
      </c>
      <c r="D19">
        <v>0.17630000000000001</v>
      </c>
      <c r="E19">
        <v>0.85101610000000005</v>
      </c>
      <c r="F19">
        <v>7.92E-3</v>
      </c>
      <c r="G19">
        <f t="shared" si="0"/>
        <v>8.5101610000000005E-3</v>
      </c>
      <c r="I19" s="5">
        <v>18</v>
      </c>
      <c r="J19">
        <v>192</v>
      </c>
      <c r="K19">
        <v>7.92E-3</v>
      </c>
      <c r="O19" t="s">
        <v>19</v>
      </c>
      <c r="P19">
        <v>18</v>
      </c>
      <c r="Q19">
        <v>7.6219999999999999</v>
      </c>
      <c r="R19">
        <v>88879211956.779999</v>
      </c>
      <c r="S19">
        <v>209.1</v>
      </c>
      <c r="T19">
        <v>15.11</v>
      </c>
    </row>
    <row r="20" spans="1:20" x14ac:dyDescent="0.25">
      <c r="A20" s="4"/>
      <c r="B20">
        <v>204</v>
      </c>
      <c r="C20">
        <v>9.2999999999999992E-3</v>
      </c>
      <c r="D20">
        <v>0.17</v>
      </c>
      <c r="E20">
        <v>0.98401349999999999</v>
      </c>
      <c r="F20">
        <v>1.038E-2</v>
      </c>
      <c r="G20">
        <f t="shared" si="0"/>
        <v>9.8401349999999999E-3</v>
      </c>
      <c r="I20" s="5">
        <v>19</v>
      </c>
      <c r="J20">
        <v>204</v>
      </c>
      <c r="K20">
        <v>1.038E-2</v>
      </c>
      <c r="O20" t="s">
        <v>19</v>
      </c>
      <c r="P20">
        <v>19</v>
      </c>
      <c r="Q20">
        <v>7.8380000000000001</v>
      </c>
      <c r="R20">
        <v>56197563135.25</v>
      </c>
      <c r="S20">
        <v>221</v>
      </c>
      <c r="T20">
        <v>14.79</v>
      </c>
    </row>
    <row r="21" spans="1:20" x14ac:dyDescent="0.25">
      <c r="A21" s="4"/>
      <c r="B21">
        <v>216</v>
      </c>
      <c r="C21">
        <v>1.11E-2</v>
      </c>
      <c r="D21">
        <v>0.16350000000000001</v>
      </c>
      <c r="E21">
        <v>1.1520082</v>
      </c>
      <c r="F21">
        <v>1.1939999999999999E-2</v>
      </c>
      <c r="G21">
        <f t="shared" si="0"/>
        <v>1.1520082000000001E-2</v>
      </c>
      <c r="I21" s="5">
        <v>20</v>
      </c>
      <c r="J21">
        <v>216</v>
      </c>
      <c r="K21">
        <v>1.1939999999999999E-2</v>
      </c>
      <c r="O21" t="s">
        <v>19</v>
      </c>
      <c r="P21">
        <v>20</v>
      </c>
      <c r="Q21">
        <v>7.9390000000000001</v>
      </c>
      <c r="R21">
        <v>39040909362.739998</v>
      </c>
      <c r="S21">
        <v>233.1</v>
      </c>
      <c r="T21">
        <v>15.18</v>
      </c>
    </row>
    <row r="22" spans="1:20" x14ac:dyDescent="0.25">
      <c r="A22" s="4"/>
      <c r="B22">
        <v>228</v>
      </c>
      <c r="C22">
        <v>1.11E-2</v>
      </c>
      <c r="D22">
        <v>0.15690000000000001</v>
      </c>
      <c r="E22">
        <v>1.1400041999999999</v>
      </c>
      <c r="F22">
        <v>1.17E-2</v>
      </c>
      <c r="G22">
        <f t="shared" si="0"/>
        <v>1.1400041999999999E-2</v>
      </c>
      <c r="I22" s="5">
        <v>21</v>
      </c>
      <c r="J22">
        <v>228</v>
      </c>
      <c r="K22">
        <v>1.17E-2</v>
      </c>
      <c r="O22" t="s">
        <v>19</v>
      </c>
      <c r="P22">
        <v>21</v>
      </c>
      <c r="Q22">
        <v>7.9480000000000004</v>
      </c>
      <c r="R22">
        <v>29025915047.52</v>
      </c>
      <c r="S22">
        <v>245.1</v>
      </c>
      <c r="T22">
        <v>14.34</v>
      </c>
    </row>
    <row r="23" spans="1:20" x14ac:dyDescent="0.25">
      <c r="A23" s="4"/>
      <c r="B23">
        <v>240</v>
      </c>
      <c r="C23">
        <v>1.21E-2</v>
      </c>
      <c r="D23">
        <v>0.16009999999999999</v>
      </c>
      <c r="E23">
        <v>1.3070436999999999</v>
      </c>
      <c r="F23">
        <v>1.404E-2</v>
      </c>
      <c r="G23">
        <f t="shared" si="0"/>
        <v>1.3070436999999999E-2</v>
      </c>
      <c r="I23" s="5">
        <v>22</v>
      </c>
      <c r="J23">
        <v>240</v>
      </c>
      <c r="K23">
        <v>1.404E-2</v>
      </c>
      <c r="O23" t="s">
        <v>19</v>
      </c>
      <c r="P23">
        <v>22</v>
      </c>
      <c r="Q23">
        <v>7.952</v>
      </c>
      <c r="R23">
        <v>20554654624.560001</v>
      </c>
      <c r="S23">
        <v>257.10000000000002</v>
      </c>
      <c r="T23">
        <v>14.13</v>
      </c>
    </row>
    <row r="24" spans="1:20" x14ac:dyDescent="0.25">
      <c r="A24" s="4"/>
      <c r="B24">
        <v>252</v>
      </c>
      <c r="C24">
        <v>1.55E-2</v>
      </c>
      <c r="D24">
        <v>0.1547</v>
      </c>
      <c r="E24">
        <v>1.5400005000000001</v>
      </c>
      <c r="F24">
        <v>1.5299999999999999E-2</v>
      </c>
      <c r="G24">
        <f t="shared" si="0"/>
        <v>1.5400005000000001E-2</v>
      </c>
      <c r="I24" s="5">
        <v>23</v>
      </c>
      <c r="J24">
        <v>252</v>
      </c>
      <c r="K24">
        <v>1.5299999999999999E-2</v>
      </c>
      <c r="O24" t="s">
        <v>19</v>
      </c>
      <c r="P24">
        <v>23</v>
      </c>
      <c r="Q24">
        <v>7.9180000000000001</v>
      </c>
      <c r="R24">
        <v>14921926807.6</v>
      </c>
      <c r="S24">
        <v>269</v>
      </c>
      <c r="T24">
        <v>13.84</v>
      </c>
    </row>
    <row r="25" spans="1:20" x14ac:dyDescent="0.25">
      <c r="A25" s="4"/>
      <c r="B25">
        <v>264</v>
      </c>
      <c r="C25">
        <v>1.29E-2</v>
      </c>
      <c r="D25">
        <v>0.15559999999999999</v>
      </c>
      <c r="E25">
        <v>1.4581313</v>
      </c>
      <c r="F25">
        <v>1.626E-2</v>
      </c>
      <c r="G25">
        <f t="shared" si="0"/>
        <v>1.4581313E-2</v>
      </c>
      <c r="I25" s="5">
        <v>24</v>
      </c>
      <c r="J25">
        <v>264</v>
      </c>
      <c r="K25">
        <v>1.626E-2</v>
      </c>
      <c r="O25" t="s">
        <v>19</v>
      </c>
      <c r="P25">
        <v>24</v>
      </c>
      <c r="Q25">
        <v>8.3849999999999998</v>
      </c>
      <c r="R25">
        <v>6687575419.1300001</v>
      </c>
      <c r="S25">
        <v>280.60000000000002</v>
      </c>
      <c r="T25">
        <v>14.96</v>
      </c>
    </row>
    <row r="26" spans="1:20" x14ac:dyDescent="0.25">
      <c r="A26" s="4"/>
      <c r="B26">
        <v>276</v>
      </c>
      <c r="C26">
        <v>1.06E-2</v>
      </c>
      <c r="D26">
        <v>0.16109999999999999</v>
      </c>
      <c r="E26">
        <v>1.2922499000000001</v>
      </c>
      <c r="F26">
        <v>1.524E-2</v>
      </c>
      <c r="G26">
        <f t="shared" si="0"/>
        <v>1.2922499E-2</v>
      </c>
      <c r="I26" s="5">
        <v>25</v>
      </c>
      <c r="J26">
        <v>276</v>
      </c>
      <c r="K26">
        <v>1.524E-2</v>
      </c>
      <c r="O26" t="s">
        <v>19</v>
      </c>
      <c r="P26">
        <v>25</v>
      </c>
      <c r="Q26">
        <v>8.6639999999999997</v>
      </c>
      <c r="R26">
        <v>3063056857.8200002</v>
      </c>
      <c r="S26">
        <v>292.8</v>
      </c>
      <c r="T26">
        <v>17.440000000000001</v>
      </c>
    </row>
    <row r="27" spans="1:20" x14ac:dyDescent="0.25">
      <c r="A27" s="4"/>
      <c r="B27">
        <v>288</v>
      </c>
      <c r="C27">
        <v>3.8E-3</v>
      </c>
      <c r="D27">
        <v>0.1658</v>
      </c>
      <c r="E27">
        <v>0.97764410000000002</v>
      </c>
      <c r="F27">
        <v>1.5720000000000001E-2</v>
      </c>
      <c r="G27">
        <f t="shared" si="0"/>
        <v>9.7764410000000003E-3</v>
      </c>
      <c r="I27" s="5">
        <v>26</v>
      </c>
      <c r="J27">
        <v>288</v>
      </c>
      <c r="K27">
        <v>1.5720000000000001E-2</v>
      </c>
      <c r="O27" t="s">
        <v>19</v>
      </c>
      <c r="P27">
        <v>26</v>
      </c>
      <c r="Q27">
        <v>8.5470000000000006</v>
      </c>
      <c r="R27">
        <v>1617036376.8199999</v>
      </c>
      <c r="S27">
        <v>304.89999999999998</v>
      </c>
      <c r="T27">
        <v>21.09</v>
      </c>
    </row>
    <row r="28" spans="1:20" x14ac:dyDescent="0.25">
      <c r="A28" s="4"/>
      <c r="B28">
        <v>300</v>
      </c>
      <c r="C28">
        <v>5.1999999999999998E-3</v>
      </c>
      <c r="D28">
        <v>0.1784</v>
      </c>
      <c r="E28">
        <v>0.91170709999999999</v>
      </c>
      <c r="F28">
        <v>1.302E-2</v>
      </c>
      <c r="G28">
        <f t="shared" si="0"/>
        <v>9.1170709999999992E-3</v>
      </c>
      <c r="I28" s="5">
        <v>27</v>
      </c>
      <c r="J28">
        <v>300</v>
      </c>
      <c r="K28">
        <v>1.302E-2</v>
      </c>
      <c r="O28" t="s">
        <v>19</v>
      </c>
      <c r="P28">
        <v>27</v>
      </c>
      <c r="Q28">
        <v>8.3870000000000005</v>
      </c>
      <c r="R28">
        <v>858005369.00999999</v>
      </c>
      <c r="S28">
        <v>316.7</v>
      </c>
      <c r="T28">
        <v>23.77</v>
      </c>
    </row>
    <row r="29" spans="1:20" x14ac:dyDescent="0.25">
      <c r="A29" s="4"/>
      <c r="B29">
        <v>312</v>
      </c>
      <c r="C29">
        <v>8.3999999999999995E-3</v>
      </c>
      <c r="D29">
        <v>0.1888</v>
      </c>
      <c r="E29">
        <v>0.94204810000000005</v>
      </c>
      <c r="F29">
        <v>1.044E-2</v>
      </c>
      <c r="G29">
        <f t="shared" si="0"/>
        <v>9.4204810000000014E-3</v>
      </c>
      <c r="I29" s="5">
        <v>28</v>
      </c>
      <c r="J29">
        <v>312</v>
      </c>
      <c r="K29">
        <v>1.044E-2</v>
      </c>
      <c r="O29" t="s">
        <v>19</v>
      </c>
      <c r="P29">
        <v>28</v>
      </c>
      <c r="Q29">
        <v>8.3580000000000005</v>
      </c>
      <c r="R29">
        <v>412832501.49000001</v>
      </c>
      <c r="S29">
        <v>328.7</v>
      </c>
      <c r="T29">
        <v>27.67</v>
      </c>
    </row>
    <row r="30" spans="1:20" x14ac:dyDescent="0.25">
      <c r="A30" s="4"/>
      <c r="B30">
        <v>324</v>
      </c>
      <c r="C30">
        <v>5.0000000000000001E-3</v>
      </c>
      <c r="D30">
        <v>0.19939999999999999</v>
      </c>
      <c r="E30">
        <v>0.85658590000000001</v>
      </c>
      <c r="F30">
        <v>1.2120000000000001E-2</v>
      </c>
      <c r="G30">
        <f t="shared" si="0"/>
        <v>8.5658590000000003E-3</v>
      </c>
      <c r="I30" s="5">
        <v>29</v>
      </c>
      <c r="J30">
        <v>324</v>
      </c>
      <c r="K30">
        <v>1.2120000000000001E-2</v>
      </c>
      <c r="O30" t="s">
        <v>19</v>
      </c>
      <c r="P30">
        <v>29</v>
      </c>
      <c r="Q30">
        <v>8.4030000000000005</v>
      </c>
      <c r="R30">
        <v>155361987.38</v>
      </c>
      <c r="S30">
        <v>340.1</v>
      </c>
      <c r="T30">
        <v>33.26</v>
      </c>
    </row>
    <row r="31" spans="1:20" x14ac:dyDescent="0.25">
      <c r="A31" s="4"/>
      <c r="B31">
        <v>336</v>
      </c>
      <c r="C31">
        <v>8.0000000000000002E-3</v>
      </c>
      <c r="D31">
        <v>0.21060000000000001</v>
      </c>
      <c r="E31">
        <v>3.4382301000000002</v>
      </c>
      <c r="F31">
        <v>6.012E-2</v>
      </c>
      <c r="G31">
        <f t="shared" si="0"/>
        <v>3.4382301000000004E-2</v>
      </c>
      <c r="I31" s="5">
        <v>30</v>
      </c>
      <c r="J31">
        <v>336</v>
      </c>
      <c r="K31">
        <v>6.012E-2</v>
      </c>
      <c r="O31" t="s">
        <v>19</v>
      </c>
      <c r="P31">
        <v>30</v>
      </c>
      <c r="Q31">
        <v>8.6340000000000003</v>
      </c>
      <c r="R31">
        <v>24118892.41</v>
      </c>
      <c r="S31">
        <v>350.6</v>
      </c>
      <c r="T31">
        <v>65.75</v>
      </c>
    </row>
    <row r="32" spans="1:20" x14ac:dyDescent="0.25">
      <c r="A32" s="4"/>
      <c r="B32">
        <v>348</v>
      </c>
      <c r="C32">
        <v>4.3E-3</v>
      </c>
      <c r="D32">
        <v>0.2515</v>
      </c>
      <c r="E32">
        <v>4.0246597</v>
      </c>
      <c r="F32">
        <v>7.4999999999999997E-2</v>
      </c>
      <c r="G32">
        <f t="shared" si="0"/>
        <v>4.0246597000000002E-2</v>
      </c>
      <c r="I32" s="5">
        <v>31</v>
      </c>
      <c r="J32">
        <v>348</v>
      </c>
      <c r="K32">
        <v>7.4999999999999997E-2</v>
      </c>
      <c r="O32" t="s">
        <v>19</v>
      </c>
      <c r="P32">
        <v>31</v>
      </c>
      <c r="Q32">
        <v>9.2159999999999993</v>
      </c>
      <c r="R32">
        <v>27433.72</v>
      </c>
      <c r="S32">
        <v>360.3</v>
      </c>
      <c r="T32">
        <v>88.64</v>
      </c>
    </row>
    <row r="33" spans="1:11" x14ac:dyDescent="0.25">
      <c r="A33" s="4"/>
      <c r="B33">
        <v>360</v>
      </c>
      <c r="C33">
        <v>1.6E-2</v>
      </c>
      <c r="D33">
        <v>0.30780000000000002</v>
      </c>
      <c r="E33">
        <v>4.5917979999999998</v>
      </c>
      <c r="F33">
        <v>7.4999999999999997E-2</v>
      </c>
      <c r="G33">
        <f t="shared" si="0"/>
        <v>4.5917979999999997E-2</v>
      </c>
      <c r="I33" s="5">
        <v>32</v>
      </c>
      <c r="J33">
        <v>360</v>
      </c>
      <c r="K33">
        <v>7.4999999999999997E-2</v>
      </c>
    </row>
    <row r="34" spans="1:11" x14ac:dyDescent="0.25">
      <c r="I34" s="6"/>
    </row>
    <row r="35" spans="1:11" x14ac:dyDescent="0.25">
      <c r="I35" s="7" t="s">
        <v>10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62"/>
  <sheetViews>
    <sheetView workbookViewId="0">
      <selection activeCell="K58" sqref="K58"/>
    </sheetView>
  </sheetViews>
  <sheetFormatPr defaultRowHeight="15" x14ac:dyDescent="0.25"/>
  <sheetData>
    <row r="1" spans="1:32" x14ac:dyDescent="0.25">
      <c r="A1" s="4"/>
      <c r="C1" t="s">
        <v>12</v>
      </c>
      <c r="D1" t="s">
        <v>398</v>
      </c>
      <c r="E1" t="s">
        <v>399</v>
      </c>
      <c r="F1" t="s">
        <v>400</v>
      </c>
      <c r="AC1" t="s">
        <v>107</v>
      </c>
      <c r="AD1" t="s">
        <v>397</v>
      </c>
    </row>
    <row r="2" spans="1:32" x14ac:dyDescent="0.25">
      <c r="A2" s="4">
        <v>1</v>
      </c>
      <c r="B2">
        <v>0</v>
      </c>
      <c r="C2">
        <v>0</v>
      </c>
      <c r="D2">
        <v>0</v>
      </c>
      <c r="E2">
        <v>0</v>
      </c>
      <c r="F2">
        <v>0</v>
      </c>
      <c r="G2" s="3"/>
      <c r="AC2" t="s">
        <v>33</v>
      </c>
      <c r="AD2" t="s">
        <v>34</v>
      </c>
      <c r="AE2">
        <v>0</v>
      </c>
      <c r="AF2">
        <v>0</v>
      </c>
    </row>
    <row r="3" spans="1:32" x14ac:dyDescent="0.25">
      <c r="A3" s="4">
        <v>2</v>
      </c>
      <c r="B3">
        <v>1</v>
      </c>
      <c r="C3">
        <v>8.5579509999999998E-2</v>
      </c>
      <c r="D3">
        <v>8.5579509999999998E-2</v>
      </c>
      <c r="E3">
        <v>8.5579509999999998E-2</v>
      </c>
      <c r="F3">
        <v>8.5436330000000005E-2</v>
      </c>
      <c r="G3" s="3"/>
      <c r="AC3" t="s">
        <v>35</v>
      </c>
      <c r="AD3" t="s">
        <v>34</v>
      </c>
      <c r="AE3">
        <v>1</v>
      </c>
      <c r="AF3">
        <v>8.5436330000000005E-2</v>
      </c>
    </row>
    <row r="4" spans="1:32" x14ac:dyDescent="0.25">
      <c r="A4" s="4">
        <v>3</v>
      </c>
      <c r="B4">
        <v>2</v>
      </c>
      <c r="C4">
        <v>0.18360024999999999</v>
      </c>
      <c r="D4">
        <v>0.18360024999999999</v>
      </c>
      <c r="E4">
        <v>0.18360024999999999</v>
      </c>
      <c r="F4">
        <v>0.18337554</v>
      </c>
      <c r="G4" s="3"/>
      <c r="AC4" t="s">
        <v>36</v>
      </c>
      <c r="AD4" t="s">
        <v>34</v>
      </c>
      <c r="AE4">
        <v>2</v>
      </c>
      <c r="AF4">
        <v>0.18337554</v>
      </c>
    </row>
    <row r="5" spans="1:32" x14ac:dyDescent="0.25">
      <c r="A5" s="4">
        <v>4</v>
      </c>
      <c r="B5">
        <v>3</v>
      </c>
      <c r="C5">
        <v>0.28153283000000001</v>
      </c>
      <c r="D5">
        <v>0.28153283000000001</v>
      </c>
      <c r="E5">
        <v>0.28153283000000001</v>
      </c>
      <c r="F5">
        <v>0.28131474000000001</v>
      </c>
      <c r="G5" s="3"/>
      <c r="AC5" t="s">
        <v>37</v>
      </c>
      <c r="AD5" t="s">
        <v>34</v>
      </c>
      <c r="AE5">
        <v>3</v>
      </c>
      <c r="AF5">
        <v>0.28131474000000001</v>
      </c>
    </row>
    <row r="6" spans="1:32" x14ac:dyDescent="0.25">
      <c r="A6" s="4">
        <v>5</v>
      </c>
      <c r="B6">
        <v>4</v>
      </c>
      <c r="C6">
        <v>0.36689145000000001</v>
      </c>
      <c r="D6">
        <v>0.36689145000000001</v>
      </c>
      <c r="E6">
        <v>0.36689145000000001</v>
      </c>
      <c r="F6">
        <v>0.36675107000000001</v>
      </c>
      <c r="G6" s="3"/>
      <c r="AC6" t="s">
        <v>38</v>
      </c>
      <c r="AD6" t="s">
        <v>34</v>
      </c>
      <c r="AE6">
        <v>4</v>
      </c>
      <c r="AF6">
        <v>0.36675107000000001</v>
      </c>
    </row>
    <row r="7" spans="1:32" x14ac:dyDescent="0.25">
      <c r="A7" s="4">
        <v>6</v>
      </c>
      <c r="B7">
        <v>5</v>
      </c>
      <c r="C7">
        <v>0.42722660000000001</v>
      </c>
      <c r="D7">
        <v>0.42722660000000001</v>
      </c>
      <c r="E7">
        <v>0.42722660000000001</v>
      </c>
      <c r="F7">
        <v>0.42718165000000002</v>
      </c>
      <c r="G7" s="3"/>
      <c r="AC7" t="s">
        <v>39</v>
      </c>
      <c r="AD7" t="s">
        <v>34</v>
      </c>
      <c r="AE7">
        <v>5</v>
      </c>
      <c r="AF7">
        <v>0.42718165000000002</v>
      </c>
    </row>
    <row r="8" spans="1:32" x14ac:dyDescent="0.25">
      <c r="A8" s="4">
        <v>7</v>
      </c>
      <c r="B8">
        <v>6</v>
      </c>
      <c r="C8">
        <v>0.45010359</v>
      </c>
      <c r="D8">
        <v>0.45010359</v>
      </c>
      <c r="E8">
        <v>0.45010359</v>
      </c>
      <c r="F8">
        <v>0.45010359</v>
      </c>
      <c r="G8" s="3"/>
      <c r="AC8" t="s">
        <v>40</v>
      </c>
      <c r="AD8" t="s">
        <v>34</v>
      </c>
      <c r="AE8">
        <v>6</v>
      </c>
      <c r="AF8">
        <v>0.45010359</v>
      </c>
    </row>
    <row r="9" spans="1:32" x14ac:dyDescent="0.25">
      <c r="A9" s="4">
        <v>8</v>
      </c>
      <c r="B9">
        <v>7</v>
      </c>
      <c r="C9">
        <v>0.45010359</v>
      </c>
      <c r="D9">
        <v>0.45010359</v>
      </c>
      <c r="E9">
        <v>0.45010359</v>
      </c>
      <c r="F9">
        <v>0.45010359</v>
      </c>
      <c r="G9" s="3"/>
      <c r="AC9" t="s">
        <v>41</v>
      </c>
      <c r="AD9" t="s">
        <v>34</v>
      </c>
      <c r="AE9">
        <v>7</v>
      </c>
      <c r="AF9">
        <v>0.45010359</v>
      </c>
    </row>
    <row r="10" spans="1:32" x14ac:dyDescent="0.25">
      <c r="A10" s="4">
        <v>9</v>
      </c>
      <c r="B10">
        <v>8</v>
      </c>
      <c r="C10">
        <v>0.45010359</v>
      </c>
      <c r="D10">
        <v>0.45010359</v>
      </c>
      <c r="E10">
        <v>0.45010359</v>
      </c>
      <c r="F10">
        <v>0.45010359</v>
      </c>
      <c r="G10" s="3"/>
      <c r="AC10" t="s">
        <v>42</v>
      </c>
      <c r="AD10" t="s">
        <v>34</v>
      </c>
      <c r="AE10">
        <v>8</v>
      </c>
      <c r="AF10">
        <v>0.45010359</v>
      </c>
    </row>
    <row r="11" spans="1:32" x14ac:dyDescent="0.25">
      <c r="A11" s="4">
        <v>10</v>
      </c>
      <c r="B11">
        <v>9</v>
      </c>
      <c r="C11">
        <v>0.45010359</v>
      </c>
      <c r="D11">
        <v>0.45010359</v>
      </c>
      <c r="E11">
        <v>0.45010359</v>
      </c>
      <c r="F11">
        <v>0.45010359</v>
      </c>
      <c r="G11" s="3"/>
      <c r="AC11" t="s">
        <v>43</v>
      </c>
      <c r="AD11" t="s">
        <v>34</v>
      </c>
      <c r="AE11">
        <v>9</v>
      </c>
      <c r="AF11">
        <v>0.45010359</v>
      </c>
    </row>
    <row r="12" spans="1:32" x14ac:dyDescent="0.25">
      <c r="A12" s="4">
        <v>11</v>
      </c>
      <c r="B12">
        <v>10</v>
      </c>
      <c r="C12">
        <v>0.45010359</v>
      </c>
      <c r="D12">
        <v>0.45010359</v>
      </c>
      <c r="E12">
        <v>0.45010359</v>
      </c>
      <c r="F12">
        <v>0.45010359</v>
      </c>
      <c r="G12" s="3"/>
      <c r="AC12" t="s">
        <v>44</v>
      </c>
      <c r="AD12" t="s">
        <v>34</v>
      </c>
      <c r="AE12">
        <v>10</v>
      </c>
      <c r="AF12">
        <v>0.45010359</v>
      </c>
    </row>
    <row r="13" spans="1:32" x14ac:dyDescent="0.25">
      <c r="A13" s="4">
        <v>12</v>
      </c>
      <c r="B13">
        <v>11</v>
      </c>
      <c r="C13">
        <v>0.45010359</v>
      </c>
      <c r="D13">
        <v>0.45010359</v>
      </c>
      <c r="E13">
        <v>0.45010359</v>
      </c>
      <c r="F13">
        <v>0.45010359</v>
      </c>
      <c r="G13" s="3"/>
      <c r="AC13" t="s">
        <v>45</v>
      </c>
      <c r="AD13" t="s">
        <v>34</v>
      </c>
      <c r="AE13">
        <v>11</v>
      </c>
      <c r="AF13">
        <v>0.45010359</v>
      </c>
    </row>
    <row r="14" spans="1:32" x14ac:dyDescent="0.25">
      <c r="A14" s="4">
        <v>13</v>
      </c>
      <c r="B14">
        <v>12</v>
      </c>
      <c r="C14">
        <v>0.45010359</v>
      </c>
      <c r="D14">
        <v>0.45010359</v>
      </c>
      <c r="E14">
        <v>0.45010359</v>
      </c>
      <c r="F14">
        <v>0.45010359</v>
      </c>
      <c r="G14" s="3"/>
      <c r="AC14" t="s">
        <v>46</v>
      </c>
      <c r="AD14" t="s">
        <v>34</v>
      </c>
      <c r="AE14">
        <v>12</v>
      </c>
      <c r="AF14">
        <v>0.45010359</v>
      </c>
    </row>
    <row r="15" spans="1:32" x14ac:dyDescent="0.25">
      <c r="A15" s="4">
        <v>14</v>
      </c>
      <c r="B15">
        <v>13</v>
      </c>
      <c r="C15">
        <v>0.45024160000000002</v>
      </c>
      <c r="D15">
        <v>0.45024160000000002</v>
      </c>
      <c r="E15">
        <v>0.45030313999999999</v>
      </c>
      <c r="F15">
        <v>0.45028372</v>
      </c>
      <c r="G15" s="3"/>
      <c r="AC15" t="s">
        <v>47</v>
      </c>
      <c r="AD15" t="s">
        <v>34</v>
      </c>
      <c r="AE15">
        <v>13</v>
      </c>
      <c r="AF15">
        <v>0.45028372</v>
      </c>
    </row>
    <row r="16" spans="1:32" x14ac:dyDescent="0.25">
      <c r="A16" s="4">
        <v>15</v>
      </c>
      <c r="B16">
        <v>14</v>
      </c>
      <c r="C16">
        <v>0.45065012999999998</v>
      </c>
      <c r="D16">
        <v>0.45065012999999998</v>
      </c>
      <c r="E16">
        <v>0.45089105000000002</v>
      </c>
      <c r="F16">
        <v>0.45081502000000001</v>
      </c>
      <c r="G16" s="3"/>
      <c r="AC16" t="s">
        <v>48</v>
      </c>
      <c r="AD16" t="s">
        <v>34</v>
      </c>
      <c r="AE16">
        <v>14</v>
      </c>
      <c r="AF16">
        <v>0.45081502000000001</v>
      </c>
    </row>
    <row r="17" spans="1:32" x14ac:dyDescent="0.25">
      <c r="A17" s="4">
        <v>16</v>
      </c>
      <c r="B17">
        <v>15</v>
      </c>
      <c r="C17">
        <v>0.45132090000000002</v>
      </c>
      <c r="D17">
        <v>0.45132090000000002</v>
      </c>
      <c r="E17">
        <v>0.45185119000000001</v>
      </c>
      <c r="F17">
        <v>0.45168383000000001</v>
      </c>
      <c r="G17" s="3"/>
      <c r="AC17" t="s">
        <v>49</v>
      </c>
      <c r="AD17" t="s">
        <v>34</v>
      </c>
      <c r="AE17">
        <v>15</v>
      </c>
      <c r="AF17">
        <v>0.45168383000000001</v>
      </c>
    </row>
    <row r="18" spans="1:32" x14ac:dyDescent="0.25">
      <c r="A18" s="4">
        <v>17</v>
      </c>
      <c r="B18">
        <v>16</v>
      </c>
      <c r="C18">
        <v>0.45224564</v>
      </c>
      <c r="D18">
        <v>0.45224564</v>
      </c>
      <c r="E18">
        <v>0.45316741999999999</v>
      </c>
      <c r="F18">
        <v>0.45287650000000002</v>
      </c>
      <c r="G18" s="3"/>
      <c r="AC18" t="s">
        <v>50</v>
      </c>
      <c r="AD18" t="s">
        <v>34</v>
      </c>
      <c r="AE18">
        <v>16</v>
      </c>
      <c r="AF18">
        <v>0.45287650000000002</v>
      </c>
    </row>
    <row r="19" spans="1:32" x14ac:dyDescent="0.25">
      <c r="A19" s="4">
        <v>18</v>
      </c>
      <c r="B19">
        <v>17</v>
      </c>
      <c r="C19">
        <v>0.45341608</v>
      </c>
      <c r="D19">
        <v>0.45341608</v>
      </c>
      <c r="E19">
        <v>0.45482359999999999</v>
      </c>
      <c r="F19">
        <v>0.45437938</v>
      </c>
      <c r="G19" s="3"/>
      <c r="AC19" t="s">
        <v>51</v>
      </c>
      <c r="AD19" t="s">
        <v>34</v>
      </c>
      <c r="AE19">
        <v>17</v>
      </c>
      <c r="AF19">
        <v>0.45437938</v>
      </c>
    </row>
    <row r="20" spans="1:32" x14ac:dyDescent="0.25">
      <c r="A20" s="4">
        <v>19</v>
      </c>
      <c r="B20">
        <v>18</v>
      </c>
      <c r="C20">
        <v>0.45482393999999998</v>
      </c>
      <c r="D20">
        <v>0.45482393999999998</v>
      </c>
      <c r="E20">
        <v>0.45680359999999998</v>
      </c>
      <c r="F20">
        <v>0.45617881999999998</v>
      </c>
      <c r="G20" s="3"/>
      <c r="AC20" t="s">
        <v>52</v>
      </c>
      <c r="AD20" t="s">
        <v>34</v>
      </c>
      <c r="AE20">
        <v>18</v>
      </c>
      <c r="AF20">
        <v>0.45617881999999998</v>
      </c>
    </row>
    <row r="21" spans="1:32" x14ac:dyDescent="0.25">
      <c r="A21" s="4">
        <v>20</v>
      </c>
      <c r="B21">
        <v>19</v>
      </c>
      <c r="C21">
        <v>0.45646094999999998</v>
      </c>
      <c r="D21">
        <v>0.45646094999999998</v>
      </c>
      <c r="E21">
        <v>0.45909127999999999</v>
      </c>
      <c r="F21">
        <v>0.45826117</v>
      </c>
      <c r="G21" s="3"/>
      <c r="AC21" t="s">
        <v>53</v>
      </c>
      <c r="AD21" t="s">
        <v>34</v>
      </c>
      <c r="AE21">
        <v>19</v>
      </c>
      <c r="AF21">
        <v>0.45826117</v>
      </c>
    </row>
    <row r="22" spans="1:32" x14ac:dyDescent="0.25">
      <c r="A22" s="4">
        <v>21</v>
      </c>
      <c r="B22">
        <v>20</v>
      </c>
      <c r="C22">
        <v>0.45831882000000002</v>
      </c>
      <c r="D22">
        <v>0.45831882000000002</v>
      </c>
      <c r="E22">
        <v>0.46167049999999998</v>
      </c>
      <c r="F22">
        <v>0.46061276000000001</v>
      </c>
      <c r="G22" s="3"/>
      <c r="AC22" t="s">
        <v>54</v>
      </c>
      <c r="AD22" t="s">
        <v>34</v>
      </c>
      <c r="AE22">
        <v>20</v>
      </c>
      <c r="AF22">
        <v>0.46061276000000001</v>
      </c>
    </row>
    <row r="23" spans="1:32" x14ac:dyDescent="0.25">
      <c r="A23" s="4">
        <v>22</v>
      </c>
      <c r="B23">
        <v>21</v>
      </c>
      <c r="C23">
        <v>0.46038929000000001</v>
      </c>
      <c r="D23">
        <v>0.46038929000000001</v>
      </c>
      <c r="E23">
        <v>0.46452512000000001</v>
      </c>
      <c r="F23">
        <v>0.46321996999999998</v>
      </c>
      <c r="G23" s="3"/>
      <c r="AC23" t="s">
        <v>55</v>
      </c>
      <c r="AD23" t="s">
        <v>34</v>
      </c>
      <c r="AE23">
        <v>21</v>
      </c>
      <c r="AF23">
        <v>0.46321996999999998</v>
      </c>
    </row>
    <row r="24" spans="1:32" x14ac:dyDescent="0.25">
      <c r="A24" s="4">
        <v>23</v>
      </c>
      <c r="B24">
        <v>22</v>
      </c>
      <c r="C24">
        <v>0.46266406999999998</v>
      </c>
      <c r="D24">
        <v>0.46266406999999998</v>
      </c>
      <c r="E24">
        <v>0.46763898999999998</v>
      </c>
      <c r="F24">
        <v>0.46606912</v>
      </c>
      <c r="G24" s="3"/>
      <c r="AC24" t="s">
        <v>56</v>
      </c>
      <c r="AD24" t="s">
        <v>34</v>
      </c>
      <c r="AE24">
        <v>22</v>
      </c>
      <c r="AF24">
        <v>0.46606912</v>
      </c>
    </row>
    <row r="25" spans="1:32" x14ac:dyDescent="0.25">
      <c r="A25" s="4">
        <v>24</v>
      </c>
      <c r="B25">
        <v>23</v>
      </c>
      <c r="C25">
        <v>0.46513489000000002</v>
      </c>
      <c r="D25">
        <v>0.46513489000000002</v>
      </c>
      <c r="E25">
        <v>0.47099595999999999</v>
      </c>
      <c r="F25">
        <v>0.46914656999999998</v>
      </c>
      <c r="G25" s="3"/>
      <c r="AC25" t="s">
        <v>57</v>
      </c>
      <c r="AD25" t="s">
        <v>34</v>
      </c>
      <c r="AE25">
        <v>23</v>
      </c>
      <c r="AF25">
        <v>0.46914656999999998</v>
      </c>
    </row>
    <row r="26" spans="1:32" x14ac:dyDescent="0.25">
      <c r="A26" s="4">
        <v>25</v>
      </c>
      <c r="B26">
        <v>24</v>
      </c>
      <c r="C26">
        <v>0.46779345</v>
      </c>
      <c r="D26">
        <v>0.46779345</v>
      </c>
      <c r="E26">
        <v>0.47457990999999999</v>
      </c>
      <c r="F26">
        <v>0.47243868</v>
      </c>
      <c r="G26" s="3"/>
      <c r="AC26" t="s">
        <v>58</v>
      </c>
      <c r="AD26" t="s">
        <v>34</v>
      </c>
      <c r="AE26">
        <v>24</v>
      </c>
      <c r="AF26">
        <v>0.47243868</v>
      </c>
    </row>
    <row r="27" spans="1:32" x14ac:dyDescent="0.25">
      <c r="A27" s="4">
        <v>26</v>
      </c>
      <c r="B27">
        <v>25</v>
      </c>
      <c r="C27">
        <v>0.47063149999999998</v>
      </c>
      <c r="D27">
        <v>0.47063149999999998</v>
      </c>
      <c r="E27">
        <v>0.47837467</v>
      </c>
      <c r="F27">
        <v>0.47593176999999998</v>
      </c>
      <c r="G27" s="3"/>
      <c r="AC27" t="s">
        <v>59</v>
      </c>
      <c r="AD27" t="s">
        <v>34</v>
      </c>
      <c r="AE27">
        <v>25</v>
      </c>
      <c r="AF27">
        <v>0.47593176999999998</v>
      </c>
    </row>
    <row r="28" spans="1:32" x14ac:dyDescent="0.25">
      <c r="A28" s="4">
        <v>27</v>
      </c>
      <c r="B28">
        <v>26</v>
      </c>
      <c r="C28">
        <v>0.47364073000000001</v>
      </c>
      <c r="D28">
        <v>0.47364073000000001</v>
      </c>
      <c r="E28">
        <v>0.48236413</v>
      </c>
      <c r="F28">
        <v>0.47961221999999998</v>
      </c>
      <c r="G28" s="3"/>
      <c r="AC28" t="s">
        <v>60</v>
      </c>
      <c r="AD28" t="s">
        <v>34</v>
      </c>
      <c r="AE28">
        <v>26</v>
      </c>
      <c r="AF28">
        <v>0.47961221999999998</v>
      </c>
    </row>
    <row r="29" spans="1:32" x14ac:dyDescent="0.25">
      <c r="A29" s="4">
        <v>28</v>
      </c>
      <c r="B29">
        <v>27</v>
      </c>
      <c r="C29">
        <v>0.47681288999999999</v>
      </c>
      <c r="D29">
        <v>0.47681288999999999</v>
      </c>
      <c r="E29">
        <v>0.48653213000000001</v>
      </c>
      <c r="F29">
        <v>0.48346634999999999</v>
      </c>
      <c r="G29" s="3"/>
      <c r="AC29" t="s">
        <v>61</v>
      </c>
      <c r="AD29" t="s">
        <v>34</v>
      </c>
      <c r="AE29">
        <v>27</v>
      </c>
      <c r="AF29">
        <v>0.48346634999999999</v>
      </c>
    </row>
    <row r="30" spans="1:32" x14ac:dyDescent="0.25">
      <c r="A30" s="4">
        <v>29</v>
      </c>
      <c r="B30">
        <v>28</v>
      </c>
      <c r="C30">
        <v>0.48013967000000002</v>
      </c>
      <c r="D30">
        <v>0.48013967000000002</v>
      </c>
      <c r="E30">
        <v>0.49086253000000002</v>
      </c>
      <c r="F30">
        <v>0.48748053000000002</v>
      </c>
      <c r="G30" s="3"/>
      <c r="AC30" t="s">
        <v>62</v>
      </c>
      <c r="AD30" t="s">
        <v>34</v>
      </c>
      <c r="AE30">
        <v>28</v>
      </c>
      <c r="AF30">
        <v>0.48748053000000002</v>
      </c>
    </row>
    <row r="31" spans="1:32" x14ac:dyDescent="0.25">
      <c r="A31" s="4">
        <v>30</v>
      </c>
      <c r="B31">
        <v>29</v>
      </c>
      <c r="C31">
        <v>0.48361282</v>
      </c>
      <c r="D31">
        <v>0.48361282</v>
      </c>
      <c r="E31">
        <v>0.49533920999999997</v>
      </c>
      <c r="F31">
        <v>0.4916411</v>
      </c>
      <c r="G31" s="3"/>
      <c r="AC31" t="s">
        <v>63</v>
      </c>
      <c r="AD31" t="s">
        <v>34</v>
      </c>
      <c r="AE31">
        <v>29</v>
      </c>
      <c r="AF31">
        <v>0.4916411</v>
      </c>
    </row>
    <row r="32" spans="1:32" x14ac:dyDescent="0.25">
      <c r="A32" s="4">
        <v>31</v>
      </c>
      <c r="B32">
        <v>30</v>
      </c>
      <c r="C32">
        <v>0.48722404000000002</v>
      </c>
      <c r="D32">
        <v>0.48722404000000002</v>
      </c>
      <c r="E32">
        <v>0.49994601999999999</v>
      </c>
      <c r="F32">
        <v>0.49593440999999999</v>
      </c>
      <c r="G32" s="3"/>
      <c r="AC32" t="s">
        <v>64</v>
      </c>
      <c r="AD32" t="s">
        <v>34</v>
      </c>
      <c r="AE32">
        <v>30</v>
      </c>
      <c r="AF32">
        <v>0.49593440999999999</v>
      </c>
    </row>
    <row r="33" spans="1:32" x14ac:dyDescent="0.25">
      <c r="A33" s="4">
        <v>32</v>
      </c>
      <c r="B33">
        <v>31</v>
      </c>
      <c r="C33">
        <v>0.49096507</v>
      </c>
      <c r="D33">
        <v>0.49096507</v>
      </c>
      <c r="E33">
        <v>0.50466683000000001</v>
      </c>
      <c r="F33">
        <v>0.50034679999999998</v>
      </c>
      <c r="G33" s="3"/>
      <c r="AC33" t="s">
        <v>65</v>
      </c>
      <c r="AD33" t="s">
        <v>34</v>
      </c>
      <c r="AE33">
        <v>31</v>
      </c>
      <c r="AF33">
        <v>0.50034679999999998</v>
      </c>
    </row>
    <row r="34" spans="1:32" x14ac:dyDescent="0.25">
      <c r="A34" s="4">
        <v>33</v>
      </c>
      <c r="B34">
        <v>32</v>
      </c>
      <c r="C34">
        <v>0.49482760999999997</v>
      </c>
      <c r="D34">
        <v>0.49482760999999997</v>
      </c>
      <c r="E34">
        <v>0.50948552000000003</v>
      </c>
      <c r="F34">
        <v>0.50486463000000004</v>
      </c>
      <c r="G34" s="3"/>
      <c r="AC34" t="s">
        <v>66</v>
      </c>
      <c r="AD34" t="s">
        <v>34</v>
      </c>
      <c r="AE34">
        <v>32</v>
      </c>
      <c r="AF34">
        <v>0.50486463000000004</v>
      </c>
    </row>
    <row r="35" spans="1:32" x14ac:dyDescent="0.25">
      <c r="A35" s="4">
        <v>34</v>
      </c>
      <c r="B35">
        <v>33</v>
      </c>
      <c r="C35">
        <v>0.49880340000000001</v>
      </c>
      <c r="D35">
        <v>0.49880340000000001</v>
      </c>
      <c r="E35">
        <v>0.51438594999999998</v>
      </c>
      <c r="F35">
        <v>0.50947423999999997</v>
      </c>
      <c r="G35" s="3"/>
      <c r="AC35" t="s">
        <v>67</v>
      </c>
      <c r="AD35" t="s">
        <v>34</v>
      </c>
      <c r="AE35">
        <v>33</v>
      </c>
      <c r="AF35">
        <v>0.50947423999999997</v>
      </c>
    </row>
    <row r="36" spans="1:32" x14ac:dyDescent="0.25">
      <c r="A36" s="4">
        <v>35</v>
      </c>
      <c r="B36">
        <v>34</v>
      </c>
      <c r="C36">
        <v>0.50288416999999996</v>
      </c>
      <c r="D36">
        <v>0.50288416999999996</v>
      </c>
      <c r="E36">
        <v>0.51935200999999998</v>
      </c>
      <c r="F36">
        <v>0.51416198999999996</v>
      </c>
      <c r="G36" s="3"/>
      <c r="AC36" t="s">
        <v>68</v>
      </c>
      <c r="AD36" t="s">
        <v>34</v>
      </c>
      <c r="AE36">
        <v>34</v>
      </c>
      <c r="AF36">
        <v>0.51416198999999996</v>
      </c>
    </row>
    <row r="37" spans="1:32" x14ac:dyDescent="0.25">
      <c r="A37" s="4">
        <v>36</v>
      </c>
      <c r="B37">
        <v>35</v>
      </c>
      <c r="C37">
        <v>0.50706163000000004</v>
      </c>
      <c r="D37">
        <v>0.50706163000000004</v>
      </c>
      <c r="E37">
        <v>0.52436757000000001</v>
      </c>
      <c r="F37">
        <v>0.51891421000000004</v>
      </c>
      <c r="G37" s="3"/>
      <c r="AC37" t="s">
        <v>69</v>
      </c>
      <c r="AD37" t="s">
        <v>34</v>
      </c>
      <c r="AE37">
        <v>35</v>
      </c>
      <c r="AF37">
        <v>0.51891421000000004</v>
      </c>
    </row>
    <row r="38" spans="1:32" x14ac:dyDescent="0.25">
      <c r="A38" s="4">
        <v>37</v>
      </c>
      <c r="B38">
        <v>36</v>
      </c>
      <c r="C38">
        <v>0.51132750000000005</v>
      </c>
      <c r="D38">
        <v>0.51132750000000005</v>
      </c>
      <c r="E38">
        <v>0.52941651000000001</v>
      </c>
      <c r="F38">
        <v>0.52371725999999996</v>
      </c>
      <c r="G38" s="3"/>
      <c r="AC38" t="s">
        <v>70</v>
      </c>
      <c r="AD38" t="s">
        <v>34</v>
      </c>
      <c r="AE38">
        <v>36</v>
      </c>
      <c r="AF38">
        <v>0.52371725999999996</v>
      </c>
    </row>
    <row r="39" spans="1:32" x14ac:dyDescent="0.25">
      <c r="A39" s="4">
        <v>38</v>
      </c>
      <c r="B39">
        <v>37</v>
      </c>
      <c r="C39">
        <v>0.51567353000000005</v>
      </c>
      <c r="D39">
        <v>0.51567353000000005</v>
      </c>
      <c r="E39">
        <v>0.53448271999999997</v>
      </c>
      <c r="F39">
        <v>0.52855748999999996</v>
      </c>
      <c r="G39" s="3"/>
      <c r="AC39" t="s">
        <v>71</v>
      </c>
      <c r="AD39" t="s">
        <v>34</v>
      </c>
      <c r="AE39">
        <v>37</v>
      </c>
      <c r="AF39">
        <v>0.52855748999999996</v>
      </c>
    </row>
    <row r="40" spans="1:32" x14ac:dyDescent="0.25">
      <c r="A40" s="4">
        <v>39</v>
      </c>
      <c r="B40">
        <v>38</v>
      </c>
      <c r="C40">
        <v>0.52009143999999996</v>
      </c>
      <c r="D40">
        <v>0.52009143999999996</v>
      </c>
      <c r="E40">
        <v>0.53955008000000004</v>
      </c>
      <c r="F40">
        <v>0.53342124999999996</v>
      </c>
      <c r="G40" s="3"/>
      <c r="AC40" t="s">
        <v>72</v>
      </c>
      <c r="AD40" t="s">
        <v>34</v>
      </c>
      <c r="AE40">
        <v>38</v>
      </c>
      <c r="AF40">
        <v>0.53342124999999996</v>
      </c>
    </row>
    <row r="41" spans="1:32" x14ac:dyDescent="0.25">
      <c r="A41" s="4">
        <v>40</v>
      </c>
      <c r="B41">
        <v>39</v>
      </c>
      <c r="C41">
        <v>0.52457295000000004</v>
      </c>
      <c r="D41">
        <v>0.52457295000000004</v>
      </c>
      <c r="E41">
        <v>0.54460249000000005</v>
      </c>
      <c r="F41">
        <v>0.53829488000000003</v>
      </c>
      <c r="G41" s="3"/>
      <c r="AC41" t="s">
        <v>73</v>
      </c>
      <c r="AD41" t="s">
        <v>34</v>
      </c>
      <c r="AE41">
        <v>39</v>
      </c>
      <c r="AF41">
        <v>0.53829488000000003</v>
      </c>
    </row>
    <row r="42" spans="1:32" x14ac:dyDescent="0.25">
      <c r="A42" s="4">
        <v>41</v>
      </c>
      <c r="B42">
        <v>40</v>
      </c>
      <c r="C42">
        <v>0.52910979999999996</v>
      </c>
      <c r="D42">
        <v>0.52910979999999996</v>
      </c>
      <c r="E42">
        <v>0.54962383000000004</v>
      </c>
      <c r="F42">
        <v>0.54316472999999998</v>
      </c>
      <c r="G42" s="3"/>
      <c r="AC42" t="s">
        <v>74</v>
      </c>
      <c r="AD42" t="s">
        <v>34</v>
      </c>
      <c r="AE42">
        <v>40</v>
      </c>
      <c r="AF42">
        <v>0.54316472999999998</v>
      </c>
    </row>
    <row r="43" spans="1:32" x14ac:dyDescent="0.25">
      <c r="A43" s="4">
        <v>42</v>
      </c>
      <c r="B43">
        <v>41</v>
      </c>
      <c r="C43">
        <v>0.53369370999999999</v>
      </c>
      <c r="D43">
        <v>0.53369370999999999</v>
      </c>
      <c r="E43">
        <v>0.55459800999999997</v>
      </c>
      <c r="F43">
        <v>0.54801714999999995</v>
      </c>
      <c r="G43" s="3"/>
      <c r="AC43" t="s">
        <v>75</v>
      </c>
      <c r="AD43" t="s">
        <v>34</v>
      </c>
      <c r="AE43">
        <v>41</v>
      </c>
      <c r="AF43">
        <v>0.54801714999999995</v>
      </c>
    </row>
    <row r="44" spans="1:32" x14ac:dyDescent="0.25">
      <c r="A44" s="4">
        <v>43</v>
      </c>
      <c r="B44">
        <v>42</v>
      </c>
      <c r="C44">
        <v>0.53831642999999996</v>
      </c>
      <c r="D44">
        <v>0.53831642999999996</v>
      </c>
      <c r="E44">
        <v>0.55950891000000003</v>
      </c>
      <c r="F44">
        <v>0.55283850000000001</v>
      </c>
      <c r="G44" s="3"/>
      <c r="AC44" t="s">
        <v>76</v>
      </c>
      <c r="AD44" t="s">
        <v>34</v>
      </c>
      <c r="AE44">
        <v>42</v>
      </c>
      <c r="AF44">
        <v>0.55283850000000001</v>
      </c>
    </row>
    <row r="45" spans="1:32" x14ac:dyDescent="0.25">
      <c r="A45" s="4">
        <v>44</v>
      </c>
      <c r="B45">
        <v>43</v>
      </c>
      <c r="C45">
        <v>0.54296968999999995</v>
      </c>
      <c r="D45">
        <v>0.54296968999999995</v>
      </c>
      <c r="E45">
        <v>0.56434046000000004</v>
      </c>
      <c r="F45">
        <v>0.55761510000000003</v>
      </c>
      <c r="G45" s="3"/>
      <c r="AC45" t="s">
        <v>77</v>
      </c>
      <c r="AD45" t="s">
        <v>34</v>
      </c>
      <c r="AE45">
        <v>43</v>
      </c>
      <c r="AF45">
        <v>0.55761510000000003</v>
      </c>
    </row>
    <row r="46" spans="1:32" x14ac:dyDescent="0.25">
      <c r="A46" s="4">
        <v>45</v>
      </c>
      <c r="B46">
        <v>44</v>
      </c>
      <c r="C46">
        <v>0.54764522000000004</v>
      </c>
      <c r="D46">
        <v>0.54764522000000004</v>
      </c>
      <c r="E46">
        <v>0.56907653999999996</v>
      </c>
      <c r="F46">
        <v>0.56233332999999996</v>
      </c>
      <c r="G46" s="3"/>
      <c r="AC46" t="s">
        <v>78</v>
      </c>
      <c r="AD46" t="s">
        <v>34</v>
      </c>
      <c r="AE46">
        <v>44</v>
      </c>
      <c r="AF46">
        <v>0.56233332999999996</v>
      </c>
    </row>
    <row r="47" spans="1:32" x14ac:dyDescent="0.25">
      <c r="A47" s="4">
        <v>46</v>
      </c>
      <c r="B47">
        <v>45</v>
      </c>
      <c r="C47">
        <v>0.55233476000000004</v>
      </c>
      <c r="D47">
        <v>0.55233476000000004</v>
      </c>
      <c r="E47">
        <v>0.57370107000000004</v>
      </c>
      <c r="F47">
        <v>0.56697951999999996</v>
      </c>
      <c r="G47" s="3"/>
      <c r="AC47" t="s">
        <v>79</v>
      </c>
      <c r="AD47" t="s">
        <v>34</v>
      </c>
      <c r="AE47">
        <v>45</v>
      </c>
      <c r="AF47">
        <v>0.56697951999999996</v>
      </c>
    </row>
    <row r="48" spans="1:32" x14ac:dyDescent="0.25">
      <c r="A48" s="4">
        <v>47</v>
      </c>
      <c r="B48">
        <v>46</v>
      </c>
      <c r="C48">
        <v>0.55703005000000005</v>
      </c>
      <c r="D48">
        <v>0.55703005000000005</v>
      </c>
      <c r="E48">
        <v>0.57819794999999996</v>
      </c>
      <c r="F48">
        <v>0.57154002000000004</v>
      </c>
      <c r="G48" s="3"/>
      <c r="AC48" t="s">
        <v>80</v>
      </c>
      <c r="AD48" t="s">
        <v>34</v>
      </c>
      <c r="AE48">
        <v>46</v>
      </c>
      <c r="AF48">
        <v>0.57154002000000004</v>
      </c>
    </row>
    <row r="49" spans="1:32" x14ac:dyDescent="0.25">
      <c r="A49" s="4">
        <v>48</v>
      </c>
      <c r="B49">
        <v>47</v>
      </c>
      <c r="C49">
        <v>0.56172283000000001</v>
      </c>
      <c r="D49">
        <v>0.56172283000000001</v>
      </c>
      <c r="E49">
        <v>0.58255109999999999</v>
      </c>
      <c r="F49">
        <v>0.57600118</v>
      </c>
      <c r="G49" s="3"/>
      <c r="AC49" t="s">
        <v>81</v>
      </c>
      <c r="AD49" t="s">
        <v>34</v>
      </c>
      <c r="AE49">
        <v>47</v>
      </c>
      <c r="AF49">
        <v>0.57600118</v>
      </c>
    </row>
    <row r="50" spans="1:32" x14ac:dyDescent="0.25">
      <c r="A50" s="4">
        <v>49</v>
      </c>
      <c r="B50">
        <v>48</v>
      </c>
      <c r="C50">
        <v>0.56640484000000002</v>
      </c>
      <c r="D50">
        <v>0.56640484000000002</v>
      </c>
      <c r="E50">
        <v>0.58674444000000003</v>
      </c>
      <c r="F50">
        <v>0.58034934999999999</v>
      </c>
      <c r="G50" s="3"/>
      <c r="AC50" t="s">
        <v>82</v>
      </c>
      <c r="AD50" t="s">
        <v>34</v>
      </c>
      <c r="AE50">
        <v>48</v>
      </c>
      <c r="AF50">
        <v>0.58034934999999999</v>
      </c>
    </row>
    <row r="51" spans="1:32" x14ac:dyDescent="0.25">
      <c r="A51" s="4">
        <v>50</v>
      </c>
      <c r="B51">
        <v>49</v>
      </c>
      <c r="C51">
        <v>0.57106783000000005</v>
      </c>
      <c r="D51">
        <v>0.57106783000000005</v>
      </c>
      <c r="E51">
        <v>0.59076187000000002</v>
      </c>
      <c r="F51">
        <v>0.58457088000000001</v>
      </c>
      <c r="G51" s="3"/>
      <c r="AC51" t="s">
        <v>83</v>
      </c>
      <c r="AD51" t="s">
        <v>34</v>
      </c>
      <c r="AE51">
        <v>49</v>
      </c>
      <c r="AF51">
        <v>0.58457088000000001</v>
      </c>
    </row>
    <row r="52" spans="1:32" x14ac:dyDescent="0.25">
      <c r="A52" s="4">
        <v>51</v>
      </c>
      <c r="B52">
        <v>50</v>
      </c>
      <c r="C52">
        <v>0.57570354000000001</v>
      </c>
      <c r="D52">
        <v>0.57570354000000001</v>
      </c>
      <c r="E52">
        <v>0.59458732000000003</v>
      </c>
      <c r="F52">
        <v>0.58865212</v>
      </c>
      <c r="G52" s="3"/>
      <c r="AC52" t="s">
        <v>84</v>
      </c>
      <c r="AD52" t="s">
        <v>34</v>
      </c>
      <c r="AE52">
        <v>50</v>
      </c>
      <c r="AF52">
        <v>0.58865212</v>
      </c>
    </row>
    <row r="53" spans="1:32" x14ac:dyDescent="0.25">
      <c r="A53" s="4">
        <v>52</v>
      </c>
      <c r="B53">
        <v>51</v>
      </c>
      <c r="C53">
        <v>0.58030371000000003</v>
      </c>
      <c r="D53">
        <v>0.58030371000000003</v>
      </c>
      <c r="E53">
        <v>0.59820470000000003</v>
      </c>
      <c r="F53">
        <v>0.59257941000000003</v>
      </c>
      <c r="G53" s="3"/>
      <c r="L53">
        <v>256</v>
      </c>
      <c r="M53">
        <v>0.09</v>
      </c>
      <c r="N53">
        <f>1-(1-M53)^(1/12)</f>
        <v>7.8284203424832111E-3</v>
      </c>
      <c r="AC53" t="s">
        <v>85</v>
      </c>
      <c r="AD53" t="s">
        <v>34</v>
      </c>
      <c r="AE53">
        <v>51</v>
      </c>
      <c r="AF53">
        <v>0.59257941000000003</v>
      </c>
    </row>
    <row r="54" spans="1:32" x14ac:dyDescent="0.25">
      <c r="A54" s="4">
        <v>53</v>
      </c>
      <c r="B54">
        <v>52</v>
      </c>
      <c r="C54">
        <v>0.58486009000000005</v>
      </c>
      <c r="D54">
        <v>0.58486009000000005</v>
      </c>
      <c r="E54">
        <v>0.60159792999999995</v>
      </c>
      <c r="F54">
        <v>0.59633910000000001</v>
      </c>
      <c r="G54" s="3"/>
      <c r="L54">
        <v>354</v>
      </c>
      <c r="M54">
        <v>16.41</v>
      </c>
      <c r="AC54" t="s">
        <v>86</v>
      </c>
      <c r="AD54" t="s">
        <v>34</v>
      </c>
      <c r="AE54">
        <v>52</v>
      </c>
      <c r="AF54">
        <v>0.59633910000000001</v>
      </c>
    </row>
    <row r="55" spans="1:32" x14ac:dyDescent="0.25">
      <c r="A55" s="4">
        <v>54</v>
      </c>
      <c r="B55">
        <v>53</v>
      </c>
      <c r="C55">
        <v>0.58936443999999999</v>
      </c>
      <c r="D55">
        <v>0.58936443999999999</v>
      </c>
      <c r="E55">
        <v>0.60475093999999996</v>
      </c>
      <c r="F55">
        <v>0.59991753999999997</v>
      </c>
      <c r="G55" s="3"/>
      <c r="L55">
        <f>AVERAGE(L53:L54)</f>
        <v>305</v>
      </c>
      <c r="M55">
        <f>AVERAGE(M53:M54)</f>
        <v>8.25</v>
      </c>
      <c r="AC55" t="s">
        <v>87</v>
      </c>
      <c r="AD55" t="s">
        <v>34</v>
      </c>
      <c r="AE55">
        <v>53</v>
      </c>
      <c r="AF55">
        <v>0.59991753999999997</v>
      </c>
    </row>
    <row r="56" spans="1:32" x14ac:dyDescent="0.25">
      <c r="A56" s="4">
        <v>55</v>
      </c>
      <c r="B56">
        <v>54</v>
      </c>
      <c r="C56">
        <v>0.59380849999999996</v>
      </c>
      <c r="D56">
        <v>0.59380849999999996</v>
      </c>
      <c r="E56">
        <v>0.60764764000000004</v>
      </c>
      <c r="F56">
        <v>0.60330108999999998</v>
      </c>
      <c r="G56" s="3"/>
      <c r="AC56" t="s">
        <v>88</v>
      </c>
      <c r="AD56" t="s">
        <v>34</v>
      </c>
      <c r="AE56">
        <v>54</v>
      </c>
      <c r="AF56">
        <v>0.60330108999999998</v>
      </c>
    </row>
    <row r="57" spans="1:32" x14ac:dyDescent="0.25">
      <c r="A57" s="4">
        <v>56</v>
      </c>
      <c r="B57">
        <v>55</v>
      </c>
      <c r="C57">
        <v>0.59818402000000004</v>
      </c>
      <c r="D57">
        <v>0.59818402000000004</v>
      </c>
      <c r="E57">
        <v>0.61027195999999995</v>
      </c>
      <c r="F57">
        <v>0.60647607999999997</v>
      </c>
      <c r="G57" s="3"/>
      <c r="AC57" t="s">
        <v>89</v>
      </c>
      <c r="AD57" t="s">
        <v>34</v>
      </c>
      <c r="AE57">
        <v>55</v>
      </c>
      <c r="AF57">
        <v>0.60647607999999997</v>
      </c>
    </row>
    <row r="58" spans="1:32" x14ac:dyDescent="0.25">
      <c r="A58" s="4">
        <v>57</v>
      </c>
      <c r="B58">
        <v>56</v>
      </c>
      <c r="C58">
        <v>0.60248276000000001</v>
      </c>
      <c r="D58">
        <v>0.60248276000000001</v>
      </c>
      <c r="E58">
        <v>0.61260780999999997</v>
      </c>
      <c r="F58">
        <v>0.60942887000000001</v>
      </c>
      <c r="G58" s="3"/>
      <c r="AC58" t="s">
        <v>90</v>
      </c>
      <c r="AD58" t="s">
        <v>34</v>
      </c>
      <c r="AE58">
        <v>56</v>
      </c>
      <c r="AF58">
        <v>0.60942887000000001</v>
      </c>
    </row>
    <row r="59" spans="1:32" x14ac:dyDescent="0.25">
      <c r="A59" s="4">
        <v>58</v>
      </c>
      <c r="B59">
        <v>57</v>
      </c>
      <c r="C59">
        <v>0.60669645999999999</v>
      </c>
      <c r="D59">
        <v>0.60669645999999999</v>
      </c>
      <c r="E59">
        <v>0.61463911999999998</v>
      </c>
      <c r="F59">
        <v>0.61214579999999996</v>
      </c>
      <c r="G59" s="3"/>
      <c r="AC59" t="s">
        <v>91</v>
      </c>
      <c r="AD59" t="s">
        <v>34</v>
      </c>
      <c r="AE59">
        <v>57</v>
      </c>
      <c r="AF59">
        <v>0.61214579999999996</v>
      </c>
    </row>
    <row r="60" spans="1:32" x14ac:dyDescent="0.25">
      <c r="A60" s="4">
        <v>59</v>
      </c>
      <c r="B60">
        <v>58</v>
      </c>
      <c r="C60">
        <v>0.61081688999999995</v>
      </c>
      <c r="D60">
        <v>0.61081688999999995</v>
      </c>
      <c r="E60">
        <v>0.61634979999999995</v>
      </c>
      <c r="F60">
        <v>0.61461321999999996</v>
      </c>
      <c r="G60" s="3"/>
      <c r="AC60" t="s">
        <v>92</v>
      </c>
      <c r="AD60" t="s">
        <v>34</v>
      </c>
      <c r="AE60">
        <v>58</v>
      </c>
      <c r="AF60">
        <v>0.61461321999999996</v>
      </c>
    </row>
    <row r="61" spans="1:32" x14ac:dyDescent="0.25">
      <c r="A61" s="4">
        <v>60</v>
      </c>
      <c r="B61">
        <v>59</v>
      </c>
      <c r="C61">
        <v>0.61483580000000004</v>
      </c>
      <c r="D61">
        <v>0.61483580000000004</v>
      </c>
      <c r="E61">
        <v>0.61772377000000001</v>
      </c>
      <c r="F61">
        <v>0.61681748999999997</v>
      </c>
      <c r="G61" s="3"/>
      <c r="AC61" t="s">
        <v>93</v>
      </c>
      <c r="AD61" t="s">
        <v>34</v>
      </c>
      <c r="AE61">
        <v>59</v>
      </c>
      <c r="AF61">
        <v>0.61681748999999997</v>
      </c>
    </row>
    <row r="62" spans="1:32" x14ac:dyDescent="0.25">
      <c r="A62" s="4">
        <v>61</v>
      </c>
      <c r="B62">
        <v>60</v>
      </c>
      <c r="C62">
        <v>0.61874494999999996</v>
      </c>
      <c r="D62">
        <v>0.61874494999999996</v>
      </c>
      <c r="E62">
        <v>0.61874494999999996</v>
      </c>
      <c r="F62">
        <v>0.61874494999999996</v>
      </c>
      <c r="G62" s="3"/>
      <c r="AC62" t="s">
        <v>94</v>
      </c>
      <c r="AD62" t="s">
        <v>34</v>
      </c>
      <c r="AE62">
        <v>60</v>
      </c>
      <c r="AF62">
        <v>0.61874494999999996</v>
      </c>
    </row>
    <row r="63" spans="1:32" x14ac:dyDescent="0.25">
      <c r="A63" s="4">
        <v>62</v>
      </c>
      <c r="B63">
        <v>61</v>
      </c>
      <c r="C63">
        <v>0.62261266999999998</v>
      </c>
      <c r="D63">
        <v>0.62250848999999997</v>
      </c>
      <c r="E63">
        <v>0.6195349</v>
      </c>
      <c r="F63">
        <v>0.62042122</v>
      </c>
      <c r="G63" s="3"/>
      <c r="AC63" t="s">
        <v>95</v>
      </c>
      <c r="AD63" t="s">
        <v>34</v>
      </c>
      <c r="AE63">
        <v>61</v>
      </c>
      <c r="AF63">
        <v>0.62042122</v>
      </c>
    </row>
    <row r="64" spans="1:32" x14ac:dyDescent="0.25">
      <c r="A64" s="4">
        <v>63</v>
      </c>
      <c r="B64">
        <v>62</v>
      </c>
      <c r="C64">
        <v>0.62651208000000003</v>
      </c>
      <c r="D64">
        <v>0.62610242000000005</v>
      </c>
      <c r="E64">
        <v>0.62024822999999996</v>
      </c>
      <c r="F64">
        <v>0.62190709</v>
      </c>
      <c r="G64" s="3"/>
      <c r="AC64" t="s">
        <v>96</v>
      </c>
      <c r="AD64" t="s">
        <v>34</v>
      </c>
      <c r="AE64">
        <v>62</v>
      </c>
      <c r="AF64">
        <v>0.62190709</v>
      </c>
    </row>
    <row r="65" spans="1:32" x14ac:dyDescent="0.25">
      <c r="A65" s="4">
        <v>64</v>
      </c>
      <c r="B65">
        <v>63</v>
      </c>
      <c r="C65">
        <v>0.63044210000000001</v>
      </c>
      <c r="D65">
        <v>0.62953630000000005</v>
      </c>
      <c r="E65">
        <v>0.62091834999999995</v>
      </c>
      <c r="F65">
        <v>0.62324159999999995</v>
      </c>
      <c r="G65" s="3"/>
      <c r="AC65" t="s">
        <v>97</v>
      </c>
      <c r="AD65" t="s">
        <v>34</v>
      </c>
      <c r="AE65">
        <v>63</v>
      </c>
      <c r="AF65">
        <v>0.62324159999999995</v>
      </c>
    </row>
    <row r="66" spans="1:32" x14ac:dyDescent="0.25">
      <c r="A66" s="4">
        <v>65</v>
      </c>
      <c r="B66">
        <v>64</v>
      </c>
      <c r="C66">
        <v>0.63440165999999998</v>
      </c>
      <c r="D66">
        <v>0.63281964000000002</v>
      </c>
      <c r="E66">
        <v>0.62157872000000003</v>
      </c>
      <c r="F66">
        <v>0.62446380000000001</v>
      </c>
      <c r="G66" s="3"/>
      <c r="AC66" t="s">
        <v>98</v>
      </c>
      <c r="AD66" t="s">
        <v>34</v>
      </c>
      <c r="AE66">
        <v>64</v>
      </c>
      <c r="AF66">
        <v>0.62446380000000001</v>
      </c>
    </row>
    <row r="67" spans="1:32" x14ac:dyDescent="0.25">
      <c r="A67" s="4">
        <v>66</v>
      </c>
      <c r="B67">
        <v>65</v>
      </c>
      <c r="C67">
        <v>0.63838965999999997</v>
      </c>
      <c r="D67">
        <v>0.63596196999999999</v>
      </c>
      <c r="E67">
        <v>0.62226274000000004</v>
      </c>
      <c r="F67">
        <v>0.62561277000000004</v>
      </c>
      <c r="G67" s="3"/>
      <c r="AC67" t="s">
        <v>99</v>
      </c>
      <c r="AD67" t="s">
        <v>34</v>
      </c>
      <c r="AE67">
        <v>65</v>
      </c>
      <c r="AF67">
        <v>0.62561277000000004</v>
      </c>
    </row>
    <row r="68" spans="1:32" x14ac:dyDescent="0.25">
      <c r="A68" s="4">
        <v>67</v>
      </c>
      <c r="B68">
        <v>66</v>
      </c>
      <c r="C68">
        <v>0.64240503000000004</v>
      </c>
      <c r="D68">
        <v>0.63897283000000005</v>
      </c>
      <c r="E68">
        <v>0.62300385999999996</v>
      </c>
      <c r="F68">
        <v>0.62672753999999997</v>
      </c>
      <c r="G68" s="3"/>
      <c r="AC68" t="s">
        <v>100</v>
      </c>
      <c r="AD68" t="s">
        <v>34</v>
      </c>
      <c r="AE68">
        <v>66</v>
      </c>
      <c r="AF68">
        <v>0.62672753999999997</v>
      </c>
    </row>
    <row r="69" spans="1:32" x14ac:dyDescent="0.25">
      <c r="A69" s="4">
        <v>68</v>
      </c>
      <c r="B69">
        <v>67</v>
      </c>
      <c r="C69">
        <v>0.64644668000000005</v>
      </c>
      <c r="D69">
        <v>0.64186175000000001</v>
      </c>
      <c r="E69">
        <v>0.62383551000000004</v>
      </c>
      <c r="F69">
        <v>0.62784719</v>
      </c>
      <c r="G69" s="3"/>
      <c r="AC69" t="s">
        <v>101</v>
      </c>
      <c r="AD69" t="s">
        <v>34</v>
      </c>
      <c r="AE69">
        <v>67</v>
      </c>
      <c r="AF69">
        <v>0.62784719</v>
      </c>
    </row>
    <row r="70" spans="1:32" x14ac:dyDescent="0.25">
      <c r="A70" s="4">
        <v>69</v>
      </c>
      <c r="B70">
        <v>68</v>
      </c>
      <c r="C70">
        <v>0.65051355</v>
      </c>
      <c r="D70">
        <v>0.64463824000000003</v>
      </c>
      <c r="E70">
        <v>0.62479110999999998</v>
      </c>
      <c r="F70">
        <v>0.62901074999999995</v>
      </c>
      <c r="G70" s="3"/>
      <c r="AC70" t="s">
        <v>102</v>
      </c>
      <c r="AD70" t="s">
        <v>34</v>
      </c>
      <c r="AE70">
        <v>68</v>
      </c>
      <c r="AF70">
        <v>0.62901074999999995</v>
      </c>
    </row>
    <row r="71" spans="1:32" x14ac:dyDescent="0.25">
      <c r="A71" s="4">
        <v>70</v>
      </c>
      <c r="B71">
        <v>69</v>
      </c>
      <c r="C71">
        <v>0.65460454999999995</v>
      </c>
      <c r="D71">
        <v>0.64731183000000003</v>
      </c>
      <c r="E71">
        <v>0.62590407999999997</v>
      </c>
      <c r="F71">
        <v>0.63025730000000002</v>
      </c>
      <c r="G71" s="3"/>
      <c r="AC71" t="s">
        <v>103</v>
      </c>
      <c r="AD71" t="s">
        <v>34</v>
      </c>
      <c r="AE71">
        <v>69</v>
      </c>
      <c r="AF71">
        <v>0.63025730000000002</v>
      </c>
    </row>
    <row r="72" spans="1:32" x14ac:dyDescent="0.25">
      <c r="A72" s="4">
        <v>71</v>
      </c>
      <c r="B72">
        <v>70</v>
      </c>
      <c r="C72">
        <v>0.65871860000000004</v>
      </c>
      <c r="D72">
        <v>0.64989205000000005</v>
      </c>
      <c r="E72">
        <v>0.62720785999999995</v>
      </c>
      <c r="F72">
        <v>0.63162587999999997</v>
      </c>
      <c r="G72" s="3"/>
      <c r="AC72" t="s">
        <v>104</v>
      </c>
      <c r="AD72" t="s">
        <v>34</v>
      </c>
      <c r="AE72">
        <v>70</v>
      </c>
      <c r="AF72">
        <v>0.63162587999999997</v>
      </c>
    </row>
    <row r="73" spans="1:32" x14ac:dyDescent="0.25">
      <c r="A73" s="4">
        <v>72</v>
      </c>
      <c r="B73">
        <v>71</v>
      </c>
      <c r="C73">
        <v>0.66285461000000001</v>
      </c>
      <c r="D73">
        <v>0.65238841000000003</v>
      </c>
      <c r="E73">
        <v>0.62873586999999997</v>
      </c>
      <c r="F73">
        <v>0.63315555999999995</v>
      </c>
      <c r="G73" s="3"/>
      <c r="AC73" t="s">
        <v>105</v>
      </c>
      <c r="AD73" t="s">
        <v>34</v>
      </c>
      <c r="AE73">
        <v>71</v>
      </c>
      <c r="AF73">
        <v>0.63315555999999995</v>
      </c>
    </row>
    <row r="74" spans="1:32" x14ac:dyDescent="0.25">
      <c r="A74" s="4">
        <v>73</v>
      </c>
      <c r="B74">
        <v>72</v>
      </c>
      <c r="C74">
        <v>0.66701151999999997</v>
      </c>
      <c r="D74">
        <v>0.65481043999999999</v>
      </c>
      <c r="E74">
        <v>0.63052151000000001</v>
      </c>
      <c r="F74">
        <v>0.63488538000000005</v>
      </c>
      <c r="G74" s="3"/>
      <c r="AC74" t="s">
        <v>108</v>
      </c>
      <c r="AD74" t="s">
        <v>34</v>
      </c>
      <c r="AE74">
        <v>72</v>
      </c>
      <c r="AF74">
        <v>0.63488538000000005</v>
      </c>
    </row>
    <row r="75" spans="1:32" x14ac:dyDescent="0.25">
      <c r="A75" s="4">
        <v>74</v>
      </c>
      <c r="B75">
        <v>73</v>
      </c>
      <c r="C75">
        <v>0.67118823999999999</v>
      </c>
      <c r="D75">
        <v>0.65716766000000004</v>
      </c>
      <c r="E75">
        <v>0.63259821999999999</v>
      </c>
      <c r="F75">
        <v>0.63685440999999998</v>
      </c>
      <c r="G75" s="3"/>
      <c r="AC75" t="s">
        <v>109</v>
      </c>
      <c r="AD75" t="s">
        <v>34</v>
      </c>
      <c r="AE75">
        <v>73</v>
      </c>
      <c r="AF75">
        <v>0.63685440999999998</v>
      </c>
    </row>
    <row r="76" spans="1:32" x14ac:dyDescent="0.25">
      <c r="A76" s="4">
        <v>75</v>
      </c>
      <c r="B76">
        <v>74</v>
      </c>
      <c r="C76">
        <v>0.67538368999999998</v>
      </c>
      <c r="D76">
        <v>0.65946959000000005</v>
      </c>
      <c r="E76">
        <v>0.63499939000000005</v>
      </c>
      <c r="F76">
        <v>0.63910169999999999</v>
      </c>
      <c r="G76" s="3"/>
      <c r="AC76" t="s">
        <v>110</v>
      </c>
      <c r="AD76" t="s">
        <v>34</v>
      </c>
      <c r="AE76">
        <v>74</v>
      </c>
      <c r="AF76">
        <v>0.63910169999999999</v>
      </c>
    </row>
    <row r="77" spans="1:32" x14ac:dyDescent="0.25">
      <c r="A77" s="4">
        <v>76</v>
      </c>
      <c r="B77">
        <v>75</v>
      </c>
      <c r="C77">
        <v>0.6795968</v>
      </c>
      <c r="D77">
        <v>0.66172573999999995</v>
      </c>
      <c r="E77">
        <v>0.63775842999999999</v>
      </c>
      <c r="F77">
        <v>0.64166630000000002</v>
      </c>
      <c r="G77" s="3"/>
      <c r="AC77" t="s">
        <v>111</v>
      </c>
      <c r="AD77" t="s">
        <v>34</v>
      </c>
      <c r="AE77">
        <v>75</v>
      </c>
      <c r="AF77">
        <v>0.64166630000000002</v>
      </c>
    </row>
    <row r="78" spans="1:32" x14ac:dyDescent="0.25">
      <c r="A78" s="4">
        <v>77</v>
      </c>
      <c r="B78">
        <v>76</v>
      </c>
      <c r="C78">
        <v>0.68382648000000001</v>
      </c>
      <c r="D78">
        <v>0.66394562000000001</v>
      </c>
      <c r="E78">
        <v>0.64090875000000003</v>
      </c>
      <c r="F78">
        <v>0.64458727000000005</v>
      </c>
      <c r="G78" s="3"/>
      <c r="AC78" t="s">
        <v>112</v>
      </c>
      <c r="AD78" t="s">
        <v>34</v>
      </c>
      <c r="AE78">
        <v>76</v>
      </c>
      <c r="AF78">
        <v>0.64458727000000005</v>
      </c>
    </row>
    <row r="79" spans="1:32" x14ac:dyDescent="0.25">
      <c r="A79" s="4">
        <v>78</v>
      </c>
      <c r="B79">
        <v>77</v>
      </c>
      <c r="C79">
        <v>0.68807165999999997</v>
      </c>
      <c r="D79">
        <v>0.66613876999999999</v>
      </c>
      <c r="E79">
        <v>0.64448371999999998</v>
      </c>
      <c r="F79">
        <v>0.64790367999999998</v>
      </c>
      <c r="G79" s="3"/>
      <c r="AC79" t="s">
        <v>113</v>
      </c>
      <c r="AD79" t="s">
        <v>34</v>
      </c>
      <c r="AE79">
        <v>77</v>
      </c>
      <c r="AF79">
        <v>0.64790367999999998</v>
      </c>
    </row>
    <row r="80" spans="1:32" x14ac:dyDescent="0.25">
      <c r="A80" s="4">
        <v>79</v>
      </c>
      <c r="B80">
        <v>78</v>
      </c>
      <c r="C80">
        <v>0.69233124999999995</v>
      </c>
      <c r="D80">
        <v>0.66831468999999999</v>
      </c>
      <c r="E80">
        <v>0.64851674000000004</v>
      </c>
      <c r="F80">
        <v>0.65165455999999999</v>
      </c>
      <c r="G80" s="3"/>
      <c r="AC80" t="s">
        <v>114</v>
      </c>
      <c r="AD80" t="s">
        <v>34</v>
      </c>
      <c r="AE80">
        <v>78</v>
      </c>
      <c r="AF80">
        <v>0.65165455999999999</v>
      </c>
    </row>
    <row r="81" spans="1:32" x14ac:dyDescent="0.25">
      <c r="A81" s="4">
        <v>80</v>
      </c>
      <c r="B81">
        <v>79</v>
      </c>
      <c r="C81">
        <v>0.69660418999999996</v>
      </c>
      <c r="D81">
        <v>0.67048289000000005</v>
      </c>
      <c r="E81">
        <v>0.65304116000000001</v>
      </c>
      <c r="F81">
        <v>0.65587899000000005</v>
      </c>
      <c r="G81" s="3"/>
      <c r="AC81" t="s">
        <v>115</v>
      </c>
      <c r="AD81" t="s">
        <v>34</v>
      </c>
      <c r="AE81">
        <v>79</v>
      </c>
      <c r="AF81">
        <v>0.65587899000000005</v>
      </c>
    </row>
    <row r="82" spans="1:32" x14ac:dyDescent="0.25">
      <c r="A82" s="4">
        <v>81</v>
      </c>
      <c r="B82">
        <v>80</v>
      </c>
      <c r="C82">
        <v>0.70088938999999995</v>
      </c>
      <c r="D82">
        <v>0.6726529</v>
      </c>
      <c r="E82">
        <v>0.65809035000000005</v>
      </c>
      <c r="F82">
        <v>0.66061601000000003</v>
      </c>
      <c r="G82" s="3"/>
      <c r="AC82" t="s">
        <v>116</v>
      </c>
      <c r="AD82" t="s">
        <v>34</v>
      </c>
      <c r="AE82">
        <v>80</v>
      </c>
      <c r="AF82">
        <v>0.66061601000000003</v>
      </c>
    </row>
    <row r="83" spans="1:32" x14ac:dyDescent="0.25">
      <c r="A83" s="4">
        <v>82</v>
      </c>
      <c r="B83">
        <v>81</v>
      </c>
      <c r="C83">
        <v>0.70518577000000005</v>
      </c>
      <c r="D83">
        <v>0.67483422000000004</v>
      </c>
      <c r="E83">
        <v>0.66369765999999997</v>
      </c>
      <c r="F83">
        <v>0.66590468999999997</v>
      </c>
      <c r="G83" s="3"/>
      <c r="AC83" t="s">
        <v>117</v>
      </c>
      <c r="AD83" t="s">
        <v>34</v>
      </c>
      <c r="AE83">
        <v>81</v>
      </c>
      <c r="AF83">
        <v>0.66590468999999997</v>
      </c>
    </row>
    <row r="84" spans="1:32" x14ac:dyDescent="0.25">
      <c r="A84" s="4">
        <v>83</v>
      </c>
      <c r="B84">
        <v>82</v>
      </c>
      <c r="C84">
        <v>0.70949225999999999</v>
      </c>
      <c r="D84">
        <v>0.67703636</v>
      </c>
      <c r="E84">
        <v>0.66989641</v>
      </c>
      <c r="F84">
        <v>0.67178406999999996</v>
      </c>
      <c r="G84" s="3"/>
      <c r="AC84" t="s">
        <v>118</v>
      </c>
      <c r="AD84" t="s">
        <v>34</v>
      </c>
      <c r="AE84">
        <v>82</v>
      </c>
      <c r="AF84">
        <v>0.67178406999999996</v>
      </c>
    </row>
    <row r="85" spans="1:32" x14ac:dyDescent="0.25">
      <c r="A85" s="4">
        <v>84</v>
      </c>
      <c r="B85">
        <v>83</v>
      </c>
      <c r="C85">
        <v>0.71380778</v>
      </c>
      <c r="D85">
        <v>0.67926883999999998</v>
      </c>
      <c r="E85">
        <v>0.67671990999999998</v>
      </c>
      <c r="F85">
        <v>0.67829320999999998</v>
      </c>
      <c r="G85" s="3"/>
      <c r="AC85" t="s">
        <v>119</v>
      </c>
      <c r="AD85" t="s">
        <v>34</v>
      </c>
      <c r="AE85">
        <v>83</v>
      </c>
      <c r="AF85">
        <v>0.67829320999999998</v>
      </c>
    </row>
    <row r="86" spans="1:32" x14ac:dyDescent="0.25">
      <c r="A86" s="4">
        <v>85</v>
      </c>
      <c r="B86">
        <v>84</v>
      </c>
      <c r="C86">
        <v>0.71813125</v>
      </c>
      <c r="D86">
        <v>0.68154117000000003</v>
      </c>
      <c r="E86">
        <v>0.68420146000000004</v>
      </c>
      <c r="F86">
        <v>0.68547117999999996</v>
      </c>
      <c r="G86" s="3"/>
      <c r="AC86" t="s">
        <v>120</v>
      </c>
      <c r="AD86" t="s">
        <v>34</v>
      </c>
      <c r="AE86">
        <v>84</v>
      </c>
      <c r="AF86">
        <v>0.68547117999999996</v>
      </c>
    </row>
    <row r="87" spans="1:32" x14ac:dyDescent="0.25">
      <c r="A87" s="4">
        <v>86</v>
      </c>
      <c r="B87">
        <v>85</v>
      </c>
      <c r="C87">
        <v>0.72246158999999999</v>
      </c>
      <c r="D87">
        <v>0.68386285999999996</v>
      </c>
      <c r="E87">
        <v>0.69237433000000004</v>
      </c>
      <c r="F87">
        <v>0.69335701999999999</v>
      </c>
      <c r="G87" s="3"/>
      <c r="AC87" t="s">
        <v>121</v>
      </c>
      <c r="AD87" t="s">
        <v>34</v>
      </c>
      <c r="AE87">
        <v>85</v>
      </c>
      <c r="AF87">
        <v>0.69335701999999999</v>
      </c>
    </row>
    <row r="88" spans="1:32" x14ac:dyDescent="0.25">
      <c r="A88" s="4">
        <v>87</v>
      </c>
      <c r="B88">
        <v>86</v>
      </c>
      <c r="C88">
        <v>0.72679773999999997</v>
      </c>
      <c r="D88">
        <v>0.68624341</v>
      </c>
      <c r="E88">
        <v>0.70127178000000001</v>
      </c>
      <c r="F88">
        <v>0.70198978999999995</v>
      </c>
      <c r="G88" s="3"/>
      <c r="AC88" t="s">
        <v>122</v>
      </c>
      <c r="AD88" t="s">
        <v>34</v>
      </c>
      <c r="AE88">
        <v>86</v>
      </c>
      <c r="AF88">
        <v>0.70198978999999995</v>
      </c>
    </row>
    <row r="89" spans="1:32" x14ac:dyDescent="0.25">
      <c r="A89" s="4">
        <v>88</v>
      </c>
      <c r="B89">
        <v>87</v>
      </c>
      <c r="C89">
        <v>0.73113859999999997</v>
      </c>
      <c r="D89">
        <v>0.68869234000000001</v>
      </c>
      <c r="E89">
        <v>0.71092701999999997</v>
      </c>
      <c r="F89">
        <v>0.71140855999999997</v>
      </c>
      <c r="G89" s="3"/>
      <c r="AC89" t="s">
        <v>123</v>
      </c>
      <c r="AD89" t="s">
        <v>34</v>
      </c>
      <c r="AE89">
        <v>87</v>
      </c>
      <c r="AF89">
        <v>0.71140855999999997</v>
      </c>
    </row>
    <row r="90" spans="1:32" x14ac:dyDescent="0.25">
      <c r="A90" s="4">
        <v>89</v>
      </c>
      <c r="B90">
        <v>88</v>
      </c>
      <c r="C90">
        <v>0.73548311</v>
      </c>
      <c r="D90">
        <v>0.69121915</v>
      </c>
      <c r="E90">
        <v>0.72137324999999997</v>
      </c>
      <c r="F90">
        <v>0.72165235999999999</v>
      </c>
      <c r="G90" s="3"/>
      <c r="AC90" t="s">
        <v>124</v>
      </c>
      <c r="AD90" t="s">
        <v>34</v>
      </c>
      <c r="AE90">
        <v>88</v>
      </c>
      <c r="AF90">
        <v>0.72165235999999999</v>
      </c>
    </row>
    <row r="91" spans="1:32" x14ac:dyDescent="0.25">
      <c r="A91" s="4">
        <v>90</v>
      </c>
      <c r="B91">
        <v>89</v>
      </c>
      <c r="C91">
        <v>0.73983018</v>
      </c>
      <c r="D91">
        <v>0.69383335000000002</v>
      </c>
      <c r="E91">
        <v>0.73264364000000004</v>
      </c>
      <c r="F91">
        <v>0.73276026999999999</v>
      </c>
      <c r="G91" s="3"/>
      <c r="AC91" t="s">
        <v>125</v>
      </c>
      <c r="AD91" t="s">
        <v>34</v>
      </c>
      <c r="AE91">
        <v>89</v>
      </c>
      <c r="AF91">
        <v>0.73276026999999999</v>
      </c>
    </row>
    <row r="92" spans="1:32" x14ac:dyDescent="0.25">
      <c r="A92" s="4">
        <v>91</v>
      </c>
      <c r="B92">
        <v>90</v>
      </c>
      <c r="C92">
        <v>0.74417873999999995</v>
      </c>
      <c r="D92">
        <v>0.69654444000000004</v>
      </c>
      <c r="E92">
        <v>0.74477132999999995</v>
      </c>
      <c r="F92">
        <v>0.74477132999999995</v>
      </c>
      <c r="G92" s="3"/>
      <c r="AC92" t="s">
        <v>126</v>
      </c>
      <c r="AD92" t="s">
        <v>34</v>
      </c>
      <c r="AE92">
        <v>90</v>
      </c>
      <c r="AF92">
        <v>0.74477132999999995</v>
      </c>
    </row>
    <row r="93" spans="1:32" x14ac:dyDescent="0.25">
      <c r="A93" s="4">
        <v>92</v>
      </c>
      <c r="B93">
        <v>91</v>
      </c>
      <c r="C93">
        <v>0.74852772000000001</v>
      </c>
      <c r="D93">
        <v>0.69936193000000002</v>
      </c>
      <c r="E93">
        <v>0.76173601000000002</v>
      </c>
      <c r="F93">
        <v>0.75772488999999998</v>
      </c>
      <c r="G93" s="3"/>
      <c r="AC93" t="s">
        <v>127</v>
      </c>
      <c r="AD93" t="s">
        <v>34</v>
      </c>
      <c r="AE93">
        <v>91</v>
      </c>
      <c r="AF93">
        <v>0.75772488999999998</v>
      </c>
    </row>
    <row r="94" spans="1:32" x14ac:dyDescent="0.25">
      <c r="A94" s="4">
        <v>93</v>
      </c>
      <c r="B94">
        <v>92</v>
      </c>
      <c r="C94">
        <v>0.75287603999999997</v>
      </c>
      <c r="D94">
        <v>0.70229531000000001</v>
      </c>
      <c r="E94">
        <v>0.78731229000000003</v>
      </c>
      <c r="F94">
        <v>0.77162810000000004</v>
      </c>
      <c r="G94" s="3"/>
      <c r="AC94" t="s">
        <v>128</v>
      </c>
      <c r="AD94" t="s">
        <v>34</v>
      </c>
      <c r="AE94">
        <v>92</v>
      </c>
      <c r="AF94">
        <v>0.77162810000000004</v>
      </c>
    </row>
    <row r="95" spans="1:32" x14ac:dyDescent="0.25">
      <c r="A95" s="4">
        <v>94</v>
      </c>
      <c r="B95">
        <v>93</v>
      </c>
      <c r="C95">
        <v>0.75722261999999996</v>
      </c>
      <c r="D95">
        <v>0.70535409999999998</v>
      </c>
      <c r="E95">
        <v>0.82122426999999998</v>
      </c>
      <c r="F95">
        <v>0.78647173999999997</v>
      </c>
      <c r="G95" s="3"/>
      <c r="AC95" t="s">
        <v>129</v>
      </c>
      <c r="AD95" t="s">
        <v>34</v>
      </c>
      <c r="AE95">
        <v>93</v>
      </c>
      <c r="AF95">
        <v>0.78647173999999997</v>
      </c>
    </row>
    <row r="96" spans="1:32" x14ac:dyDescent="0.25">
      <c r="A96" s="4">
        <v>95</v>
      </c>
      <c r="B96">
        <v>94</v>
      </c>
      <c r="C96">
        <v>0.76156639000000004</v>
      </c>
      <c r="D96">
        <v>0.70854779000000001</v>
      </c>
      <c r="E96">
        <v>0.86319442000000002</v>
      </c>
      <c r="F96">
        <v>0.80224660999999997</v>
      </c>
      <c r="G96" s="3"/>
      <c r="AC96" t="s">
        <v>130</v>
      </c>
      <c r="AD96" t="s">
        <v>34</v>
      </c>
      <c r="AE96">
        <v>94</v>
      </c>
      <c r="AF96">
        <v>0.80224660999999997</v>
      </c>
    </row>
    <row r="97" spans="1:32" x14ac:dyDescent="0.25">
      <c r="A97" s="4">
        <v>96</v>
      </c>
      <c r="B97">
        <v>95</v>
      </c>
      <c r="C97">
        <v>0.76590627</v>
      </c>
      <c r="D97">
        <v>0.71188587000000003</v>
      </c>
      <c r="E97">
        <v>0.91294379999999997</v>
      </c>
      <c r="F97">
        <v>0.81894347000000001</v>
      </c>
      <c r="G97" s="3"/>
      <c r="AC97" t="s">
        <v>131</v>
      </c>
      <c r="AD97" t="s">
        <v>34</v>
      </c>
      <c r="AE97">
        <v>95</v>
      </c>
      <c r="AF97">
        <v>0.81894347000000001</v>
      </c>
    </row>
    <row r="98" spans="1:32" x14ac:dyDescent="0.25">
      <c r="A98" s="4">
        <v>97</v>
      </c>
      <c r="B98">
        <v>96</v>
      </c>
      <c r="C98">
        <v>0.77024119000000002</v>
      </c>
      <c r="D98">
        <v>0.71537784999999998</v>
      </c>
      <c r="E98">
        <v>0.97019222999999999</v>
      </c>
      <c r="F98">
        <v>0.83655312999999998</v>
      </c>
      <c r="G98" s="3"/>
      <c r="AC98" t="s">
        <v>132</v>
      </c>
      <c r="AD98" t="s">
        <v>34</v>
      </c>
      <c r="AE98">
        <v>96</v>
      </c>
      <c r="AF98">
        <v>0.83655312999999998</v>
      </c>
    </row>
    <row r="99" spans="1:32" x14ac:dyDescent="0.25">
      <c r="A99" s="4">
        <v>98</v>
      </c>
      <c r="B99">
        <v>97</v>
      </c>
      <c r="C99">
        <v>0.77457007</v>
      </c>
      <c r="D99">
        <v>0.71903320999999998</v>
      </c>
      <c r="E99">
        <v>1.0346584999999999</v>
      </c>
      <c r="F99">
        <v>0.85506634000000004</v>
      </c>
      <c r="G99" s="3"/>
      <c r="AC99" t="s">
        <v>133</v>
      </c>
      <c r="AD99" t="s">
        <v>34</v>
      </c>
      <c r="AE99">
        <v>97</v>
      </c>
      <c r="AF99">
        <v>0.85506634000000004</v>
      </c>
    </row>
    <row r="100" spans="1:32" x14ac:dyDescent="0.25">
      <c r="A100" s="4">
        <v>99</v>
      </c>
      <c r="B100">
        <v>98</v>
      </c>
      <c r="C100">
        <v>0.77889184</v>
      </c>
      <c r="D100">
        <v>0.72286145999999996</v>
      </c>
      <c r="E100">
        <v>1.10606059</v>
      </c>
      <c r="F100">
        <v>0.87447390999999997</v>
      </c>
      <c r="G100" s="3"/>
      <c r="AC100" t="s">
        <v>134</v>
      </c>
      <c r="AD100" t="s">
        <v>34</v>
      </c>
      <c r="AE100">
        <v>98</v>
      </c>
      <c r="AF100">
        <v>0.87447390999999997</v>
      </c>
    </row>
    <row r="101" spans="1:32" x14ac:dyDescent="0.25">
      <c r="A101" s="4">
        <v>100</v>
      </c>
      <c r="B101">
        <v>99</v>
      </c>
      <c r="C101">
        <v>0.78320540999999999</v>
      </c>
      <c r="D101">
        <v>0.72687206999999998</v>
      </c>
      <c r="E101">
        <v>1.18411578</v>
      </c>
      <c r="F101">
        <v>0.89476661000000002</v>
      </c>
      <c r="G101" s="3"/>
      <c r="AA101" t="s">
        <v>135</v>
      </c>
      <c r="AB101" t="s">
        <v>135</v>
      </c>
      <c r="AC101" t="s">
        <v>34</v>
      </c>
      <c r="AD101">
        <v>99</v>
      </c>
      <c r="AF101">
        <v>0.89476661000000002</v>
      </c>
    </row>
    <row r="102" spans="1:32" x14ac:dyDescent="0.25">
      <c r="A102" s="4">
        <v>101</v>
      </c>
      <c r="B102">
        <v>100</v>
      </c>
      <c r="C102">
        <v>0.78750973000000002</v>
      </c>
      <c r="D102">
        <v>0.73107454999999999</v>
      </c>
      <c r="E102">
        <v>1.26854088</v>
      </c>
      <c r="F102">
        <v>0.91593522999999999</v>
      </c>
      <c r="G102" s="3"/>
      <c r="AA102" t="s">
        <v>136</v>
      </c>
      <c r="AB102" t="s">
        <v>136</v>
      </c>
      <c r="AC102" t="s">
        <v>34</v>
      </c>
      <c r="AD102">
        <v>100</v>
      </c>
      <c r="AF102">
        <v>0.91593522999999999</v>
      </c>
    </row>
    <row r="103" spans="1:32" x14ac:dyDescent="0.25">
      <c r="A103" s="4">
        <v>102</v>
      </c>
      <c r="B103">
        <v>101</v>
      </c>
      <c r="C103">
        <v>0.79180371000000005</v>
      </c>
      <c r="D103">
        <v>0.73547837000000005</v>
      </c>
      <c r="E103">
        <v>1.35905239</v>
      </c>
      <c r="F103">
        <v>0.93797054000000002</v>
      </c>
      <c r="G103" s="3"/>
      <c r="AA103" t="s">
        <v>137</v>
      </c>
      <c r="AB103" t="s">
        <v>137</v>
      </c>
      <c r="AC103" t="s">
        <v>34</v>
      </c>
      <c r="AD103">
        <v>101</v>
      </c>
      <c r="AF103">
        <v>0.93797054000000002</v>
      </c>
    </row>
    <row r="104" spans="1:32" x14ac:dyDescent="0.25">
      <c r="A104" s="4">
        <v>103</v>
      </c>
      <c r="B104">
        <v>102</v>
      </c>
      <c r="C104">
        <v>0.79608626999999998</v>
      </c>
      <c r="D104">
        <v>0.74009301999999999</v>
      </c>
      <c r="E104">
        <v>1.4553666199999999</v>
      </c>
      <c r="F104">
        <v>0.96086333999999995</v>
      </c>
      <c r="G104" s="3"/>
      <c r="AA104" t="s">
        <v>138</v>
      </c>
      <c r="AB104" t="s">
        <v>138</v>
      </c>
      <c r="AC104" t="s">
        <v>34</v>
      </c>
      <c r="AD104">
        <v>102</v>
      </c>
      <c r="AF104">
        <v>0.96086333999999995</v>
      </c>
    </row>
    <row r="105" spans="1:32" x14ac:dyDescent="0.25">
      <c r="A105" s="4">
        <v>104</v>
      </c>
      <c r="B105">
        <v>103</v>
      </c>
      <c r="C105">
        <v>0.80035635000000005</v>
      </c>
      <c r="D105">
        <v>0.74492796999999999</v>
      </c>
      <c r="E105">
        <v>1.5571998899999999</v>
      </c>
      <c r="F105">
        <v>0.98460440000000005</v>
      </c>
      <c r="G105" s="3"/>
      <c r="AA105" t="s">
        <v>139</v>
      </c>
      <c r="AB105" t="s">
        <v>139</v>
      </c>
      <c r="AC105" t="s">
        <v>34</v>
      </c>
      <c r="AD105">
        <v>103</v>
      </c>
      <c r="AF105">
        <v>0.98460440000000005</v>
      </c>
    </row>
    <row r="106" spans="1:32" x14ac:dyDescent="0.25">
      <c r="A106" s="4">
        <v>105</v>
      </c>
      <c r="B106">
        <v>104</v>
      </c>
      <c r="C106">
        <v>0.80461287000000004</v>
      </c>
      <c r="D106">
        <v>0.74999271000000001</v>
      </c>
      <c r="E106">
        <v>1.6642686600000001</v>
      </c>
      <c r="F106">
        <v>1.0091844999999999</v>
      </c>
      <c r="G106" s="3"/>
      <c r="AA106" t="s">
        <v>140</v>
      </c>
      <c r="AB106" t="s">
        <v>140</v>
      </c>
      <c r="AC106" t="s">
        <v>34</v>
      </c>
      <c r="AD106">
        <v>104</v>
      </c>
      <c r="AF106">
        <v>1.0091844999999999</v>
      </c>
    </row>
    <row r="107" spans="1:32" x14ac:dyDescent="0.25">
      <c r="A107" s="4">
        <v>106</v>
      </c>
      <c r="B107">
        <v>105</v>
      </c>
      <c r="C107">
        <v>0.80885476000000001</v>
      </c>
      <c r="D107">
        <v>0.75529670000000004</v>
      </c>
      <c r="E107">
        <v>1.7762896500000001</v>
      </c>
      <c r="F107">
        <v>1.03459444</v>
      </c>
      <c r="G107" s="3"/>
      <c r="AA107" t="s">
        <v>141</v>
      </c>
      <c r="AB107" t="s">
        <v>141</v>
      </c>
      <c r="AC107" t="s">
        <v>34</v>
      </c>
      <c r="AD107">
        <v>105</v>
      </c>
      <c r="AF107">
        <v>1.03459444</v>
      </c>
    </row>
    <row r="108" spans="1:32" x14ac:dyDescent="0.25">
      <c r="A108" s="4">
        <v>107</v>
      </c>
      <c r="B108">
        <v>106</v>
      </c>
      <c r="C108">
        <v>0.81308093999999997</v>
      </c>
      <c r="D108">
        <v>0.76084943000000005</v>
      </c>
      <c r="E108">
        <v>1.89297998</v>
      </c>
      <c r="F108">
        <v>1.06082499</v>
      </c>
      <c r="G108" s="3"/>
      <c r="AA108" t="s">
        <v>142</v>
      </c>
      <c r="AB108" t="s">
        <v>142</v>
      </c>
      <c r="AC108" t="s">
        <v>34</v>
      </c>
      <c r="AD108">
        <v>106</v>
      </c>
      <c r="AF108">
        <v>1.06082499</v>
      </c>
    </row>
    <row r="109" spans="1:32" x14ac:dyDescent="0.25">
      <c r="A109" s="4">
        <v>108</v>
      </c>
      <c r="B109">
        <v>107</v>
      </c>
      <c r="C109">
        <v>0.81729034</v>
      </c>
      <c r="D109">
        <v>0.76666034999999999</v>
      </c>
      <c r="E109">
        <v>2.01405732</v>
      </c>
      <c r="F109">
        <v>1.0878669299999999</v>
      </c>
      <c r="G109" s="3"/>
      <c r="AA109" t="s">
        <v>143</v>
      </c>
      <c r="AB109" t="s">
        <v>143</v>
      </c>
      <c r="AC109" t="s">
        <v>34</v>
      </c>
      <c r="AD109">
        <v>107</v>
      </c>
      <c r="AF109">
        <v>1.0878669299999999</v>
      </c>
    </row>
    <row r="110" spans="1:32" x14ac:dyDescent="0.25">
      <c r="A110" s="4">
        <v>109</v>
      </c>
      <c r="B110">
        <v>108</v>
      </c>
      <c r="C110">
        <v>0.82148188</v>
      </c>
      <c r="D110">
        <v>0.77273892</v>
      </c>
      <c r="E110">
        <v>2.1392399700000002</v>
      </c>
      <c r="F110">
        <v>1.11571105</v>
      </c>
      <c r="G110" s="3"/>
      <c r="AA110" t="s">
        <v>144</v>
      </c>
      <c r="AB110" t="s">
        <v>144</v>
      </c>
      <c r="AC110" t="s">
        <v>34</v>
      </c>
      <c r="AD110">
        <v>108</v>
      </c>
      <c r="AF110">
        <v>1.11571105</v>
      </c>
    </row>
    <row r="111" spans="1:32" x14ac:dyDescent="0.25">
      <c r="A111" s="4">
        <v>110</v>
      </c>
      <c r="B111">
        <v>109</v>
      </c>
      <c r="C111">
        <v>0.82565449999999996</v>
      </c>
      <c r="D111">
        <v>0.77909461999999996</v>
      </c>
      <c r="E111">
        <v>2.2682469699999999</v>
      </c>
      <c r="F111">
        <v>1.14434813</v>
      </c>
      <c r="G111" s="3"/>
      <c r="AA111" t="s">
        <v>145</v>
      </c>
      <c r="AB111" t="s">
        <v>145</v>
      </c>
      <c r="AC111" t="s">
        <v>34</v>
      </c>
      <c r="AD111">
        <v>109</v>
      </c>
      <c r="AF111">
        <v>1.14434813</v>
      </c>
    </row>
    <row r="112" spans="1:32" x14ac:dyDescent="0.25">
      <c r="A112" s="4">
        <v>111</v>
      </c>
      <c r="B112">
        <v>110</v>
      </c>
      <c r="C112">
        <v>0.82980712000000001</v>
      </c>
      <c r="D112">
        <v>0.78573687999999997</v>
      </c>
      <c r="E112">
        <v>2.4007982399999999</v>
      </c>
      <c r="F112">
        <v>1.1737689600000001</v>
      </c>
      <c r="G112" s="3"/>
      <c r="AA112" t="s">
        <v>146</v>
      </c>
      <c r="AB112" t="s">
        <v>146</v>
      </c>
      <c r="AC112" t="s">
        <v>34</v>
      </c>
      <c r="AD112">
        <v>110</v>
      </c>
      <c r="AF112">
        <v>1.1737689600000001</v>
      </c>
    </row>
    <row r="113" spans="1:32" x14ac:dyDescent="0.25">
      <c r="A113" s="4">
        <v>112</v>
      </c>
      <c r="B113">
        <v>111</v>
      </c>
      <c r="C113">
        <v>0.83393866999999999</v>
      </c>
      <c r="D113">
        <v>0.79267516999999998</v>
      </c>
      <c r="E113">
        <v>2.5366146399999998</v>
      </c>
      <c r="F113">
        <v>1.2039643099999999</v>
      </c>
      <c r="G113" s="3"/>
      <c r="AA113" t="s">
        <v>147</v>
      </c>
      <c r="AB113" t="s">
        <v>147</v>
      </c>
      <c r="AC113" t="s">
        <v>34</v>
      </c>
      <c r="AD113">
        <v>111</v>
      </c>
      <c r="AF113">
        <v>1.2039643099999999</v>
      </c>
    </row>
    <row r="114" spans="1:32" x14ac:dyDescent="0.25">
      <c r="A114" s="4">
        <v>113</v>
      </c>
      <c r="B114">
        <v>112</v>
      </c>
      <c r="C114">
        <v>0.83804807000000003</v>
      </c>
      <c r="D114">
        <v>0.79991891999999998</v>
      </c>
      <c r="E114">
        <v>2.6754180600000002</v>
      </c>
      <c r="F114">
        <v>1.2349249600000001</v>
      </c>
      <c r="G114" s="3"/>
      <c r="AA114" t="s">
        <v>148</v>
      </c>
      <c r="AB114" t="s">
        <v>148</v>
      </c>
      <c r="AC114" t="s">
        <v>34</v>
      </c>
      <c r="AD114">
        <v>112</v>
      </c>
      <c r="AF114">
        <v>1.2349249600000001</v>
      </c>
    </row>
    <row r="115" spans="1:32" x14ac:dyDescent="0.25">
      <c r="A115" s="4">
        <v>114</v>
      </c>
      <c r="B115">
        <v>113</v>
      </c>
      <c r="C115">
        <v>0.84213424999999997</v>
      </c>
      <c r="D115">
        <v>0.80747758000000003</v>
      </c>
      <c r="E115">
        <v>2.8169315199999998</v>
      </c>
      <c r="F115">
        <v>1.26664172</v>
      </c>
      <c r="G115" s="3"/>
      <c r="AA115" t="s">
        <v>149</v>
      </c>
      <c r="AB115" t="s">
        <v>149</v>
      </c>
      <c r="AC115" t="s">
        <v>34</v>
      </c>
      <c r="AD115">
        <v>113</v>
      </c>
      <c r="AF115">
        <v>1.26664172</v>
      </c>
    </row>
    <row r="116" spans="1:32" x14ac:dyDescent="0.25">
      <c r="A116" s="4">
        <v>115</v>
      </c>
      <c r="B116">
        <v>114</v>
      </c>
      <c r="C116">
        <v>0.84619613999999999</v>
      </c>
      <c r="D116">
        <v>0.81536058</v>
      </c>
      <c r="E116">
        <v>2.9608791999999999</v>
      </c>
      <c r="F116">
        <v>1.2991053400000001</v>
      </c>
      <c r="G116" s="3"/>
      <c r="AA116" t="s">
        <v>150</v>
      </c>
      <c r="AB116" t="s">
        <v>150</v>
      </c>
      <c r="AC116" t="s">
        <v>34</v>
      </c>
      <c r="AD116">
        <v>114</v>
      </c>
      <c r="AF116">
        <v>1.2991053400000001</v>
      </c>
    </row>
    <row r="117" spans="1:32" x14ac:dyDescent="0.25">
      <c r="A117" s="4">
        <v>116</v>
      </c>
      <c r="B117">
        <v>115</v>
      </c>
      <c r="C117">
        <v>0.85023267000000002</v>
      </c>
      <c r="D117">
        <v>0.82357736000000004</v>
      </c>
      <c r="E117">
        <v>3.1069865800000001</v>
      </c>
      <c r="F117">
        <v>1.33230662</v>
      </c>
      <c r="G117" s="3"/>
      <c r="AA117" t="s">
        <v>151</v>
      </c>
      <c r="AB117" t="s">
        <v>151</v>
      </c>
      <c r="AC117" t="s">
        <v>34</v>
      </c>
      <c r="AD117">
        <v>115</v>
      </c>
      <c r="AF117">
        <v>1.33230662</v>
      </c>
    </row>
    <row r="118" spans="1:32" x14ac:dyDescent="0.25">
      <c r="A118" s="4">
        <v>117</v>
      </c>
      <c r="B118">
        <v>116</v>
      </c>
      <c r="C118">
        <v>0.85424277000000004</v>
      </c>
      <c r="D118">
        <v>0.83213731999999996</v>
      </c>
      <c r="E118">
        <v>3.2549804299999998</v>
      </c>
      <c r="F118">
        <v>1.3662363500000001</v>
      </c>
      <c r="G118" s="3"/>
      <c r="AA118" t="s">
        <v>152</v>
      </c>
      <c r="AB118" t="s">
        <v>152</v>
      </c>
      <c r="AC118" t="s">
        <v>34</v>
      </c>
      <c r="AD118">
        <v>116</v>
      </c>
      <c r="AF118">
        <v>1.3662363500000001</v>
      </c>
    </row>
    <row r="119" spans="1:32" x14ac:dyDescent="0.25">
      <c r="A119" s="4">
        <v>118</v>
      </c>
      <c r="B119">
        <v>117</v>
      </c>
      <c r="C119">
        <v>0.85822536000000005</v>
      </c>
      <c r="D119">
        <v>0.84104990000000002</v>
      </c>
      <c r="E119">
        <v>3.40458887</v>
      </c>
      <c r="F119">
        <v>1.4008852899999999</v>
      </c>
      <c r="G119" s="3"/>
      <c r="AA119" t="s">
        <v>153</v>
      </c>
      <c r="AB119" t="s">
        <v>153</v>
      </c>
      <c r="AC119" t="s">
        <v>34</v>
      </c>
      <c r="AD119">
        <v>117</v>
      </c>
      <c r="AF119">
        <v>1.4008852899999999</v>
      </c>
    </row>
    <row r="120" spans="1:32" x14ac:dyDescent="0.25">
      <c r="A120" s="4">
        <v>119</v>
      </c>
      <c r="B120">
        <v>118</v>
      </c>
      <c r="C120">
        <v>0.86217937</v>
      </c>
      <c r="D120">
        <v>0.85032450000000004</v>
      </c>
      <c r="E120">
        <v>3.5555414700000001</v>
      </c>
      <c r="F120">
        <v>1.4362442399999999</v>
      </c>
      <c r="G120" s="3"/>
      <c r="AA120" t="s">
        <v>154</v>
      </c>
      <c r="AB120" t="s">
        <v>154</v>
      </c>
      <c r="AC120" t="s">
        <v>34</v>
      </c>
      <c r="AD120">
        <v>118</v>
      </c>
      <c r="AF120">
        <v>1.4362442399999999</v>
      </c>
    </row>
    <row r="121" spans="1:32" x14ac:dyDescent="0.25">
      <c r="A121" s="4">
        <v>120</v>
      </c>
      <c r="B121">
        <v>119</v>
      </c>
      <c r="C121">
        <v>0.86610372999999996</v>
      </c>
      <c r="D121">
        <v>0.85997051999999996</v>
      </c>
      <c r="E121">
        <v>3.7075692199999999</v>
      </c>
      <c r="F121">
        <v>1.47230398</v>
      </c>
      <c r="G121" s="3"/>
      <c r="AA121" t="s">
        <v>155</v>
      </c>
      <c r="AB121" t="s">
        <v>155</v>
      </c>
      <c r="AC121" t="s">
        <v>34</v>
      </c>
      <c r="AD121">
        <v>119</v>
      </c>
      <c r="AF121">
        <v>1.47230398</v>
      </c>
    </row>
    <row r="122" spans="1:32" x14ac:dyDescent="0.25">
      <c r="A122" s="4">
        <v>121</v>
      </c>
      <c r="B122">
        <v>120</v>
      </c>
      <c r="C122">
        <v>0.86999736000000005</v>
      </c>
      <c r="D122">
        <v>0.86999736000000005</v>
      </c>
      <c r="E122">
        <v>3.8604045999999999</v>
      </c>
      <c r="F122">
        <v>1.50905529</v>
      </c>
      <c r="G122" s="3"/>
      <c r="AA122" t="s">
        <v>156</v>
      </c>
      <c r="AB122" t="s">
        <v>156</v>
      </c>
      <c r="AC122" t="s">
        <v>34</v>
      </c>
      <c r="AD122">
        <v>120</v>
      </c>
      <c r="AF122">
        <v>1.50905529</v>
      </c>
    </row>
    <row r="123" spans="1:32" x14ac:dyDescent="0.25">
      <c r="A123" s="4">
        <v>122</v>
      </c>
      <c r="B123">
        <v>121</v>
      </c>
      <c r="C123">
        <v>0.87386388999999998</v>
      </c>
      <c r="D123">
        <v>0.88023647000000005</v>
      </c>
      <c r="E123">
        <v>4.0137815999999997</v>
      </c>
      <c r="F123">
        <v>1.5464889500000001</v>
      </c>
      <c r="G123" s="3"/>
      <c r="AA123" t="s">
        <v>157</v>
      </c>
      <c r="AB123" t="s">
        <v>157</v>
      </c>
      <c r="AC123" t="s">
        <v>34</v>
      </c>
      <c r="AD123">
        <v>121</v>
      </c>
      <c r="AF123">
        <v>1.5464889500000001</v>
      </c>
    </row>
    <row r="124" spans="1:32" x14ac:dyDescent="0.25">
      <c r="A124" s="4">
        <v>123</v>
      </c>
      <c r="B124">
        <v>122</v>
      </c>
      <c r="C124">
        <v>0.87770806000000001</v>
      </c>
      <c r="D124">
        <v>0.89051402999999996</v>
      </c>
      <c r="E124">
        <v>4.1674357300000002</v>
      </c>
      <c r="F124">
        <v>1.5845957500000001</v>
      </c>
      <c r="G124" s="3"/>
      <c r="AA124" t="s">
        <v>158</v>
      </c>
      <c r="AB124" t="s">
        <v>158</v>
      </c>
      <c r="AC124" t="s">
        <v>34</v>
      </c>
      <c r="AD124">
        <v>122</v>
      </c>
      <c r="AF124">
        <v>1.5845957500000001</v>
      </c>
    </row>
    <row r="125" spans="1:32" x14ac:dyDescent="0.25">
      <c r="A125" s="4">
        <v>124</v>
      </c>
      <c r="B125">
        <v>123</v>
      </c>
      <c r="C125">
        <v>0.88153049999999999</v>
      </c>
      <c r="D125">
        <v>0.90083162999999999</v>
      </c>
      <c r="E125">
        <v>4.32110401</v>
      </c>
      <c r="F125">
        <v>1.6233664699999999</v>
      </c>
      <c r="G125" s="3"/>
      <c r="AA125" t="s">
        <v>159</v>
      </c>
      <c r="AB125" t="s">
        <v>159</v>
      </c>
      <c r="AC125" t="s">
        <v>34</v>
      </c>
      <c r="AD125">
        <v>123</v>
      </c>
      <c r="AF125">
        <v>1.6233664699999999</v>
      </c>
    </row>
    <row r="126" spans="1:32" x14ac:dyDescent="0.25">
      <c r="A126" s="4">
        <v>125</v>
      </c>
      <c r="B126">
        <v>124</v>
      </c>
      <c r="C126">
        <v>0.88533185000000003</v>
      </c>
      <c r="D126">
        <v>0.91119079999999997</v>
      </c>
      <c r="E126">
        <v>4.4745250399999996</v>
      </c>
      <c r="F126">
        <v>1.6627919</v>
      </c>
      <c r="G126" s="3"/>
      <c r="AA126" t="s">
        <v>160</v>
      </c>
      <c r="AB126" t="s">
        <v>160</v>
      </c>
      <c r="AC126" t="s">
        <v>34</v>
      </c>
      <c r="AD126">
        <v>124</v>
      </c>
      <c r="AF126">
        <v>1.6627919</v>
      </c>
    </row>
    <row r="127" spans="1:32" x14ac:dyDescent="0.25">
      <c r="A127" s="4">
        <v>126</v>
      </c>
      <c r="B127">
        <v>125</v>
      </c>
      <c r="C127">
        <v>0.88911275999999995</v>
      </c>
      <c r="D127">
        <v>0.92159312000000004</v>
      </c>
      <c r="E127">
        <v>4.6274389100000004</v>
      </c>
      <c r="F127">
        <v>1.7028627999999999</v>
      </c>
      <c r="G127" s="3"/>
      <c r="AA127" t="s">
        <v>161</v>
      </c>
      <c r="AB127" t="s">
        <v>161</v>
      </c>
      <c r="AC127" t="s">
        <v>34</v>
      </c>
      <c r="AD127">
        <v>125</v>
      </c>
      <c r="AF127">
        <v>1.7028627999999999</v>
      </c>
    </row>
    <row r="128" spans="1:32" x14ac:dyDescent="0.25">
      <c r="A128" s="4">
        <v>127</v>
      </c>
      <c r="B128">
        <v>126</v>
      </c>
      <c r="C128">
        <v>0.89287384999999997</v>
      </c>
      <c r="D128">
        <v>0.93204012000000003</v>
      </c>
      <c r="E128">
        <v>4.7795872800000003</v>
      </c>
      <c r="F128">
        <v>1.74356998</v>
      </c>
      <c r="G128" s="3"/>
      <c r="AA128" t="s">
        <v>162</v>
      </c>
      <c r="AB128" t="s">
        <v>162</v>
      </c>
      <c r="AC128" t="s">
        <v>34</v>
      </c>
      <c r="AD128">
        <v>126</v>
      </c>
      <c r="AF128">
        <v>1.74356998</v>
      </c>
    </row>
    <row r="129" spans="1:32" x14ac:dyDescent="0.25">
      <c r="A129" s="4">
        <v>128</v>
      </c>
      <c r="B129">
        <v>127</v>
      </c>
      <c r="C129">
        <v>0.89661575999999998</v>
      </c>
      <c r="D129">
        <v>0.94253337999999998</v>
      </c>
      <c r="E129">
        <v>4.93071328</v>
      </c>
      <c r="F129">
        <v>1.7849042100000001</v>
      </c>
      <c r="G129" s="3"/>
      <c r="AA129" t="s">
        <v>163</v>
      </c>
      <c r="AB129" t="s">
        <v>163</v>
      </c>
      <c r="AC129" t="s">
        <v>34</v>
      </c>
      <c r="AD129">
        <v>127</v>
      </c>
      <c r="AF129">
        <v>1.7849042100000001</v>
      </c>
    </row>
    <row r="130" spans="1:32" x14ac:dyDescent="0.25">
      <c r="A130" s="4">
        <v>129</v>
      </c>
      <c r="B130">
        <v>128</v>
      </c>
      <c r="C130">
        <v>0.90033914000000004</v>
      </c>
      <c r="D130">
        <v>0.95307443999999997</v>
      </c>
      <c r="E130">
        <v>5.0805615599999996</v>
      </c>
      <c r="F130">
        <v>1.82685626</v>
      </c>
      <c r="G130" s="3"/>
      <c r="AA130" t="s">
        <v>164</v>
      </c>
      <c r="AB130" t="s">
        <v>164</v>
      </c>
      <c r="AC130" t="s">
        <v>34</v>
      </c>
      <c r="AD130">
        <v>128</v>
      </c>
      <c r="AF130">
        <v>1.82685626</v>
      </c>
    </row>
    <row r="131" spans="1:32" x14ac:dyDescent="0.25">
      <c r="A131" s="4">
        <v>130</v>
      </c>
      <c r="B131">
        <v>129</v>
      </c>
      <c r="C131">
        <v>0.90404461000000003</v>
      </c>
      <c r="D131">
        <v>0.96366485000000002</v>
      </c>
      <c r="E131">
        <v>5.2288782100000004</v>
      </c>
      <c r="F131">
        <v>1.86941694</v>
      </c>
      <c r="G131" s="3"/>
      <c r="AA131" t="s">
        <v>165</v>
      </c>
      <c r="AB131" t="s">
        <v>165</v>
      </c>
      <c r="AC131" t="s">
        <v>34</v>
      </c>
      <c r="AD131">
        <v>129</v>
      </c>
      <c r="AF131">
        <v>1.86941694</v>
      </c>
    </row>
    <row r="132" spans="1:32" x14ac:dyDescent="0.25">
      <c r="A132" s="4">
        <v>131</v>
      </c>
      <c r="B132">
        <v>130</v>
      </c>
      <c r="C132">
        <v>0.90773282</v>
      </c>
      <c r="D132">
        <v>0.97430616999999997</v>
      </c>
      <c r="E132">
        <v>5.3754107600000003</v>
      </c>
      <c r="F132">
        <v>1.9125770099999999</v>
      </c>
      <c r="G132" s="3"/>
      <c r="AA132" t="s">
        <v>166</v>
      </c>
      <c r="AB132" t="s">
        <v>166</v>
      </c>
      <c r="AC132" t="s">
        <v>34</v>
      </c>
      <c r="AD132">
        <v>130</v>
      </c>
      <c r="AF132">
        <v>1.9125770099999999</v>
      </c>
    </row>
    <row r="133" spans="1:32" x14ac:dyDescent="0.25">
      <c r="A133" s="4">
        <v>132</v>
      </c>
      <c r="B133">
        <v>131</v>
      </c>
      <c r="C133">
        <v>0.9114044</v>
      </c>
      <c r="D133">
        <v>0.98499994000000002</v>
      </c>
      <c r="E133">
        <v>5.5199081200000002</v>
      </c>
      <c r="F133">
        <v>1.9563272700000001</v>
      </c>
      <c r="G133" s="3"/>
      <c r="AA133" t="s">
        <v>167</v>
      </c>
      <c r="AB133" t="s">
        <v>167</v>
      </c>
      <c r="AC133" t="s">
        <v>34</v>
      </c>
      <c r="AD133">
        <v>131</v>
      </c>
      <c r="AF133">
        <v>1.9563272700000001</v>
      </c>
    </row>
    <row r="134" spans="1:32" x14ac:dyDescent="0.25">
      <c r="A134" s="4">
        <v>133</v>
      </c>
      <c r="B134">
        <v>132</v>
      </c>
      <c r="C134">
        <v>0.91505999000000005</v>
      </c>
      <c r="D134">
        <v>0.99574773000000005</v>
      </c>
      <c r="E134">
        <v>5.6621205300000002</v>
      </c>
      <c r="F134">
        <v>2.0006584900000002</v>
      </c>
      <c r="G134" s="3"/>
      <c r="AA134" t="s">
        <v>168</v>
      </c>
      <c r="AB134" t="s">
        <v>168</v>
      </c>
      <c r="AC134" t="s">
        <v>34</v>
      </c>
      <c r="AD134">
        <v>132</v>
      </c>
      <c r="AF134">
        <v>2.0006584900000002</v>
      </c>
    </row>
    <row r="135" spans="1:32" x14ac:dyDescent="0.25">
      <c r="A135" s="4">
        <v>134</v>
      </c>
      <c r="B135">
        <v>133</v>
      </c>
      <c r="C135">
        <v>0.91870021999999996</v>
      </c>
      <c r="D135">
        <v>1.0065510799999999</v>
      </c>
      <c r="E135">
        <v>5.8017995300000003</v>
      </c>
      <c r="F135">
        <v>2.0455614600000001</v>
      </c>
      <c r="G135" s="3"/>
      <c r="AA135" t="s">
        <v>169</v>
      </c>
      <c r="AB135" t="s">
        <v>169</v>
      </c>
      <c r="AC135" t="s">
        <v>34</v>
      </c>
      <c r="AD135">
        <v>133</v>
      </c>
      <c r="AF135">
        <v>2.0455614600000001</v>
      </c>
    </row>
    <row r="136" spans="1:32" x14ac:dyDescent="0.25">
      <c r="A136" s="4">
        <v>135</v>
      </c>
      <c r="B136">
        <v>134</v>
      </c>
      <c r="C136">
        <v>0.92232572999999995</v>
      </c>
      <c r="D136">
        <v>1.0174115399999999</v>
      </c>
      <c r="E136">
        <v>5.9386978900000003</v>
      </c>
      <c r="F136">
        <v>2.0910269600000002</v>
      </c>
      <c r="G136" s="3"/>
      <c r="AA136" t="s">
        <v>170</v>
      </c>
      <c r="AB136" t="s">
        <v>170</v>
      </c>
      <c r="AC136" t="s">
        <v>34</v>
      </c>
      <c r="AD136">
        <v>134</v>
      </c>
      <c r="AF136">
        <v>2.0910269600000002</v>
      </c>
    </row>
    <row r="137" spans="1:32" x14ac:dyDescent="0.25">
      <c r="A137" s="4">
        <v>136</v>
      </c>
      <c r="B137">
        <v>135</v>
      </c>
      <c r="C137">
        <v>0.92593716000000004</v>
      </c>
      <c r="D137">
        <v>1.02833066</v>
      </c>
      <c r="E137">
        <v>6.0725695200000001</v>
      </c>
      <c r="F137">
        <v>2.1370457699999998</v>
      </c>
      <c r="G137" s="3"/>
      <c r="AA137" t="s">
        <v>171</v>
      </c>
      <c r="AB137" t="s">
        <v>171</v>
      </c>
      <c r="AC137" t="s">
        <v>34</v>
      </c>
      <c r="AD137">
        <v>135</v>
      </c>
      <c r="AF137">
        <v>2.1370457699999998</v>
      </c>
    </row>
    <row r="138" spans="1:32" x14ac:dyDescent="0.25">
      <c r="A138" s="4">
        <v>137</v>
      </c>
      <c r="B138">
        <v>136</v>
      </c>
      <c r="C138">
        <v>0.92953514000000004</v>
      </c>
      <c r="D138">
        <v>1.03930999</v>
      </c>
      <c r="E138">
        <v>6.2031694399999999</v>
      </c>
      <c r="F138">
        <v>2.1836086699999999</v>
      </c>
      <c r="G138" s="3"/>
      <c r="AA138" t="s">
        <v>172</v>
      </c>
      <c r="AB138" t="s">
        <v>172</v>
      </c>
      <c r="AC138" t="s">
        <v>34</v>
      </c>
      <c r="AD138">
        <v>136</v>
      </c>
      <c r="AF138">
        <v>2.1836086699999999</v>
      </c>
    </row>
    <row r="139" spans="1:32" x14ac:dyDescent="0.25">
      <c r="A139" s="4">
        <v>138</v>
      </c>
      <c r="B139">
        <v>137</v>
      </c>
      <c r="C139">
        <v>0.93312030999999995</v>
      </c>
      <c r="D139">
        <v>1.0503510700000001</v>
      </c>
      <c r="E139">
        <v>6.3302536900000002</v>
      </c>
      <c r="F139">
        <v>2.2307064599999999</v>
      </c>
      <c r="G139" s="3"/>
      <c r="AA139" t="s">
        <v>173</v>
      </c>
      <c r="AB139" t="s">
        <v>173</v>
      </c>
      <c r="AC139" t="s">
        <v>34</v>
      </c>
      <c r="AD139">
        <v>137</v>
      </c>
      <c r="AF139">
        <v>2.2307064599999999</v>
      </c>
    </row>
    <row r="140" spans="1:32" x14ac:dyDescent="0.25">
      <c r="A140" s="4">
        <v>139</v>
      </c>
      <c r="B140">
        <v>138</v>
      </c>
      <c r="C140">
        <v>0.93669329999999995</v>
      </c>
      <c r="D140">
        <v>1.0614554599999999</v>
      </c>
      <c r="E140">
        <v>6.4535792199999999</v>
      </c>
      <c r="F140">
        <v>2.2783299000000001</v>
      </c>
      <c r="G140" s="3"/>
      <c r="AA140" t="s">
        <v>174</v>
      </c>
      <c r="AB140" t="s">
        <v>174</v>
      </c>
      <c r="AC140" t="s">
        <v>34</v>
      </c>
      <c r="AD140">
        <v>138</v>
      </c>
      <c r="AF140">
        <v>2.2783299000000001</v>
      </c>
    </row>
    <row r="141" spans="1:32" x14ac:dyDescent="0.25">
      <c r="A141" s="4">
        <v>140</v>
      </c>
      <c r="B141">
        <v>139</v>
      </c>
      <c r="C141">
        <v>0.94025475000000003</v>
      </c>
      <c r="D141">
        <v>1.07262469</v>
      </c>
      <c r="E141">
        <v>6.5729038400000004</v>
      </c>
      <c r="F141">
        <v>2.32646979</v>
      </c>
      <c r="G141" s="3"/>
      <c r="AA141" t="s">
        <v>175</v>
      </c>
      <c r="AB141" t="s">
        <v>175</v>
      </c>
      <c r="AC141" t="s">
        <v>34</v>
      </c>
      <c r="AD141">
        <v>139</v>
      </c>
      <c r="AF141">
        <v>2.32646979</v>
      </c>
    </row>
    <row r="142" spans="1:32" x14ac:dyDescent="0.25">
      <c r="A142" s="4">
        <v>141</v>
      </c>
      <c r="B142">
        <v>140</v>
      </c>
      <c r="C142">
        <v>0.94380529999999996</v>
      </c>
      <c r="D142">
        <v>1.0838603200000001</v>
      </c>
      <c r="E142">
        <v>6.6879861099999998</v>
      </c>
      <c r="F142">
        <v>2.37511691</v>
      </c>
      <c r="G142" s="3"/>
      <c r="AA142" t="s">
        <v>176</v>
      </c>
      <c r="AB142" t="s">
        <v>176</v>
      </c>
      <c r="AC142" t="s">
        <v>34</v>
      </c>
      <c r="AD142">
        <v>140</v>
      </c>
      <c r="AF142">
        <v>2.37511691</v>
      </c>
    </row>
    <row r="143" spans="1:32" x14ac:dyDescent="0.25">
      <c r="A143" s="4">
        <v>142</v>
      </c>
      <c r="B143">
        <v>141</v>
      </c>
      <c r="C143">
        <v>0.94734558999999996</v>
      </c>
      <c r="D143">
        <v>1.09516389</v>
      </c>
      <c r="E143">
        <v>6.7985852199999997</v>
      </c>
      <c r="F143">
        <v>2.4242620399999999</v>
      </c>
      <c r="G143" s="3"/>
      <c r="AA143" t="s">
        <v>177</v>
      </c>
      <c r="AB143" t="s">
        <v>177</v>
      </c>
      <c r="AC143" t="s">
        <v>34</v>
      </c>
      <c r="AD143">
        <v>141</v>
      </c>
      <c r="AF143">
        <v>2.4242620399999999</v>
      </c>
    </row>
    <row r="144" spans="1:32" x14ac:dyDescent="0.25">
      <c r="A144" s="4">
        <v>143</v>
      </c>
      <c r="B144">
        <v>142</v>
      </c>
      <c r="C144">
        <v>0.95087622999999999</v>
      </c>
      <c r="D144">
        <v>1.10653694</v>
      </c>
      <c r="E144">
        <v>6.9044609100000001</v>
      </c>
      <c r="F144">
        <v>2.4738959500000002</v>
      </c>
      <c r="G144" s="3"/>
      <c r="AA144" t="s">
        <v>178</v>
      </c>
      <c r="AB144" t="s">
        <v>178</v>
      </c>
      <c r="AC144" t="s">
        <v>34</v>
      </c>
      <c r="AD144">
        <v>142</v>
      </c>
      <c r="AF144">
        <v>2.4738959500000002</v>
      </c>
    </row>
    <row r="145" spans="1:32" x14ac:dyDescent="0.25">
      <c r="A145" s="4">
        <v>144</v>
      </c>
      <c r="B145">
        <v>143</v>
      </c>
      <c r="C145">
        <v>0.95439788999999997</v>
      </c>
      <c r="D145">
        <v>1.1179810100000001</v>
      </c>
      <c r="E145">
        <v>7.0053733600000001</v>
      </c>
      <c r="F145">
        <v>2.5240094499999999</v>
      </c>
      <c r="G145" s="3"/>
      <c r="AA145" t="s">
        <v>179</v>
      </c>
      <c r="AB145" t="s">
        <v>179</v>
      </c>
      <c r="AC145" t="s">
        <v>34</v>
      </c>
      <c r="AD145">
        <v>143</v>
      </c>
      <c r="AF145">
        <v>2.5240094499999999</v>
      </c>
    </row>
    <row r="146" spans="1:32" x14ac:dyDescent="0.25">
      <c r="A146" s="4">
        <v>145</v>
      </c>
      <c r="B146">
        <v>144</v>
      </c>
      <c r="C146">
        <v>0.95791117999999997</v>
      </c>
      <c r="D146">
        <v>1.12949765</v>
      </c>
      <c r="E146">
        <v>7.1010830599999997</v>
      </c>
      <c r="F146">
        <v>2.5745933000000001</v>
      </c>
      <c r="G146" s="3"/>
      <c r="AA146" t="s">
        <v>180</v>
      </c>
      <c r="AB146" t="s">
        <v>180</v>
      </c>
      <c r="AC146" t="s">
        <v>34</v>
      </c>
      <c r="AD146">
        <v>144</v>
      </c>
      <c r="AF146">
        <v>2.5745933000000001</v>
      </c>
    </row>
    <row r="147" spans="1:32" x14ac:dyDescent="0.25">
      <c r="A147" s="4">
        <v>146</v>
      </c>
      <c r="B147">
        <v>145</v>
      </c>
      <c r="C147">
        <v>0.96141673999999999</v>
      </c>
      <c r="D147">
        <v>1.1410883999999999</v>
      </c>
      <c r="E147">
        <v>7.1913506700000003</v>
      </c>
      <c r="F147">
        <v>2.6256382899999999</v>
      </c>
      <c r="G147" s="3"/>
      <c r="AA147" t="s">
        <v>181</v>
      </c>
      <c r="AB147" t="s">
        <v>181</v>
      </c>
      <c r="AC147" t="s">
        <v>34</v>
      </c>
      <c r="AD147">
        <v>145</v>
      </c>
      <c r="AF147">
        <v>2.6256382899999999</v>
      </c>
    </row>
    <row r="148" spans="1:32" x14ac:dyDescent="0.25">
      <c r="A148" s="4">
        <v>147</v>
      </c>
      <c r="B148">
        <v>146</v>
      </c>
      <c r="C148">
        <v>0.96491521000000002</v>
      </c>
      <c r="D148">
        <v>1.1527548000000001</v>
      </c>
      <c r="E148">
        <v>7.2759369200000004</v>
      </c>
      <c r="F148">
        <v>2.6771352099999999</v>
      </c>
      <c r="G148" s="3"/>
      <c r="AA148" t="s">
        <v>182</v>
      </c>
      <c r="AB148" t="s">
        <v>182</v>
      </c>
      <c r="AC148" t="s">
        <v>34</v>
      </c>
      <c r="AD148">
        <v>146</v>
      </c>
      <c r="AF148">
        <v>2.6771352099999999</v>
      </c>
    </row>
    <row r="149" spans="1:32" x14ac:dyDescent="0.25">
      <c r="A149" s="4">
        <v>148</v>
      </c>
      <c r="B149">
        <v>147</v>
      </c>
      <c r="C149">
        <v>0.96840722999999995</v>
      </c>
      <c r="D149">
        <v>1.1644983900000001</v>
      </c>
      <c r="E149">
        <v>7.3546024599999997</v>
      </c>
      <c r="F149">
        <v>2.7290748300000001</v>
      </c>
      <c r="G149" s="3"/>
      <c r="AA149" t="s">
        <v>183</v>
      </c>
      <c r="AB149" t="s">
        <v>183</v>
      </c>
      <c r="AC149" t="s">
        <v>34</v>
      </c>
      <c r="AD149">
        <v>147</v>
      </c>
      <c r="AF149">
        <v>2.7290748300000001</v>
      </c>
    </row>
    <row r="150" spans="1:32" x14ac:dyDescent="0.25">
      <c r="A150" s="4">
        <v>149</v>
      </c>
      <c r="B150">
        <v>148</v>
      </c>
      <c r="C150">
        <v>0.97189342999999995</v>
      </c>
      <c r="D150">
        <v>1.1763207099999999</v>
      </c>
      <c r="E150">
        <v>7.4271077200000004</v>
      </c>
      <c r="F150">
        <v>2.7814479400000001</v>
      </c>
      <c r="G150" s="3"/>
      <c r="AA150" t="s">
        <v>184</v>
      </c>
      <c r="AB150" t="s">
        <v>184</v>
      </c>
      <c r="AC150" t="s">
        <v>34</v>
      </c>
      <c r="AD150">
        <v>148</v>
      </c>
      <c r="AF150">
        <v>2.7814479400000001</v>
      </c>
    </row>
    <row r="151" spans="1:32" x14ac:dyDescent="0.25">
      <c r="A151" s="4">
        <v>150</v>
      </c>
      <c r="B151">
        <v>149</v>
      </c>
      <c r="C151">
        <v>0.97537443999999995</v>
      </c>
      <c r="D151">
        <v>1.18822329</v>
      </c>
      <c r="E151">
        <v>7.4932127800000004</v>
      </c>
      <c r="F151">
        <v>2.83424532</v>
      </c>
      <c r="G151" s="3"/>
      <c r="AA151" t="s">
        <v>185</v>
      </c>
      <c r="AB151" t="s">
        <v>185</v>
      </c>
      <c r="AC151" t="s">
        <v>34</v>
      </c>
      <c r="AD151">
        <v>149</v>
      </c>
      <c r="AF151">
        <v>2.83424532</v>
      </c>
    </row>
    <row r="152" spans="1:32" x14ac:dyDescent="0.25">
      <c r="A152" s="4">
        <v>151</v>
      </c>
      <c r="B152">
        <v>150</v>
      </c>
      <c r="C152">
        <v>0.97885089999999997</v>
      </c>
      <c r="D152">
        <v>1.2002076699999999</v>
      </c>
      <c r="E152">
        <v>7.5526771699999999</v>
      </c>
      <c r="F152">
        <v>2.8874577600000002</v>
      </c>
      <c r="G152" s="3"/>
      <c r="AA152" t="s">
        <v>186</v>
      </c>
      <c r="AB152" t="s">
        <v>186</v>
      </c>
      <c r="AC152" t="s">
        <v>34</v>
      </c>
      <c r="AD152">
        <v>150</v>
      </c>
      <c r="AF152">
        <v>2.8874577600000002</v>
      </c>
    </row>
    <row r="153" spans="1:32" x14ac:dyDescent="0.25">
      <c r="A153" s="4">
        <v>152</v>
      </c>
      <c r="B153">
        <v>151</v>
      </c>
      <c r="C153">
        <v>0.98232344000000005</v>
      </c>
      <c r="D153">
        <v>1.2122754</v>
      </c>
      <c r="E153">
        <v>7.60525976</v>
      </c>
      <c r="F153">
        <v>2.9410760300000001</v>
      </c>
      <c r="G153" s="3"/>
      <c r="AA153" t="s">
        <v>187</v>
      </c>
      <c r="AB153" t="s">
        <v>187</v>
      </c>
      <c r="AC153" t="s">
        <v>34</v>
      </c>
      <c r="AD153">
        <v>151</v>
      </c>
      <c r="AF153">
        <v>2.9410760300000001</v>
      </c>
    </row>
    <row r="154" spans="1:32" x14ac:dyDescent="0.25">
      <c r="A154" s="4">
        <v>153</v>
      </c>
      <c r="B154">
        <v>152</v>
      </c>
      <c r="C154">
        <v>0.98579269999999997</v>
      </c>
      <c r="D154">
        <v>1.2244279899999999</v>
      </c>
      <c r="E154">
        <v>7.6507185599999996</v>
      </c>
      <c r="F154">
        <v>2.9950909299999999</v>
      </c>
      <c r="G154" s="3"/>
      <c r="AA154" t="s">
        <v>188</v>
      </c>
      <c r="AB154" t="s">
        <v>188</v>
      </c>
      <c r="AC154" t="s">
        <v>34</v>
      </c>
      <c r="AD154">
        <v>152</v>
      </c>
      <c r="AF154">
        <v>2.9950909299999999</v>
      </c>
    </row>
    <row r="155" spans="1:32" x14ac:dyDescent="0.25">
      <c r="A155" s="4">
        <v>154</v>
      </c>
      <c r="B155">
        <v>153</v>
      </c>
      <c r="C155">
        <v>0.98925932000000005</v>
      </c>
      <c r="D155">
        <v>1.236667</v>
      </c>
      <c r="E155">
        <v>7.6888105900000001</v>
      </c>
      <c r="F155">
        <v>3.04949322</v>
      </c>
      <c r="G155" s="3"/>
      <c r="AA155" t="s">
        <v>189</v>
      </c>
      <c r="AB155" t="s">
        <v>189</v>
      </c>
      <c r="AC155" t="s">
        <v>34</v>
      </c>
      <c r="AD155">
        <v>153</v>
      </c>
      <c r="AF155">
        <v>3.04949322</v>
      </c>
    </row>
    <row r="156" spans="1:32" x14ac:dyDescent="0.25">
      <c r="A156" s="4">
        <v>155</v>
      </c>
      <c r="B156">
        <v>154</v>
      </c>
      <c r="C156">
        <v>0.99272391999999998</v>
      </c>
      <c r="D156">
        <v>1.24899395</v>
      </c>
      <c r="E156">
        <v>7.7192916299999998</v>
      </c>
      <c r="F156">
        <v>3.1042737100000002</v>
      </c>
      <c r="G156" s="3"/>
      <c r="AA156" t="s">
        <v>190</v>
      </c>
      <c r="AB156" t="s">
        <v>190</v>
      </c>
      <c r="AC156" t="s">
        <v>34</v>
      </c>
      <c r="AD156">
        <v>154</v>
      </c>
      <c r="AF156">
        <v>3.1042737100000002</v>
      </c>
    </row>
    <row r="157" spans="1:32" x14ac:dyDescent="0.25">
      <c r="A157" s="4">
        <v>156</v>
      </c>
      <c r="B157">
        <v>155</v>
      </c>
      <c r="C157">
        <v>0.99618715000000002</v>
      </c>
      <c r="D157">
        <v>1.2614103699999999</v>
      </c>
      <c r="E157">
        <v>7.74191611</v>
      </c>
      <c r="F157">
        <v>3.1594231599999998</v>
      </c>
      <c r="G157" s="3"/>
      <c r="AA157" t="s">
        <v>191</v>
      </c>
      <c r="AB157" t="s">
        <v>191</v>
      </c>
      <c r="AC157" t="s">
        <v>34</v>
      </c>
      <c r="AD157">
        <v>155</v>
      </c>
      <c r="AF157">
        <v>3.1594231599999998</v>
      </c>
    </row>
    <row r="158" spans="1:32" x14ac:dyDescent="0.25">
      <c r="A158" s="4">
        <v>157</v>
      </c>
      <c r="B158">
        <v>156</v>
      </c>
      <c r="C158">
        <v>0.99964962999999996</v>
      </c>
      <c r="D158">
        <v>1.2739178099999999</v>
      </c>
      <c r="E158">
        <v>7.7603470200000002</v>
      </c>
      <c r="F158">
        <v>3.2149323600000002</v>
      </c>
      <c r="G158" s="3"/>
      <c r="AA158" t="s">
        <v>192</v>
      </c>
      <c r="AB158" t="s">
        <v>192</v>
      </c>
      <c r="AC158" t="s">
        <v>34</v>
      </c>
      <c r="AD158">
        <v>156</v>
      </c>
      <c r="AF158">
        <v>3.2149323600000002</v>
      </c>
    </row>
    <row r="159" spans="1:32" x14ac:dyDescent="0.25">
      <c r="A159" s="4">
        <v>158</v>
      </c>
      <c r="B159">
        <v>157</v>
      </c>
      <c r="C159">
        <v>1.0031120099999999</v>
      </c>
      <c r="D159">
        <v>1.2865177699999999</v>
      </c>
      <c r="E159">
        <v>7.7784168999999999</v>
      </c>
      <c r="F159">
        <v>3.2707921</v>
      </c>
      <c r="G159" s="3"/>
      <c r="AA159" t="s">
        <v>193</v>
      </c>
      <c r="AB159" t="s">
        <v>193</v>
      </c>
      <c r="AC159" t="s">
        <v>34</v>
      </c>
      <c r="AD159">
        <v>157</v>
      </c>
      <c r="AF159">
        <v>3.2707921</v>
      </c>
    </row>
    <row r="160" spans="1:32" x14ac:dyDescent="0.25">
      <c r="A160" s="4">
        <v>159</v>
      </c>
      <c r="B160">
        <v>158</v>
      </c>
      <c r="C160">
        <v>1.0065749100000001</v>
      </c>
      <c r="D160">
        <v>1.2992118100000001</v>
      </c>
      <c r="E160">
        <v>7.7961333499999999</v>
      </c>
      <c r="F160">
        <v>3.3269931499999998</v>
      </c>
      <c r="G160" s="3"/>
      <c r="AA160" t="s">
        <v>194</v>
      </c>
      <c r="AB160" t="s">
        <v>194</v>
      </c>
      <c r="AC160" t="s">
        <v>34</v>
      </c>
      <c r="AD160">
        <v>158</v>
      </c>
      <c r="AF160">
        <v>3.3269931499999998</v>
      </c>
    </row>
    <row r="161" spans="1:32" x14ac:dyDescent="0.25">
      <c r="A161" s="4">
        <v>160</v>
      </c>
      <c r="B161">
        <v>159</v>
      </c>
      <c r="C161">
        <v>1.0100389700000001</v>
      </c>
      <c r="D161">
        <v>1.31200144</v>
      </c>
      <c r="E161">
        <v>7.8135039800000001</v>
      </c>
      <c r="F161">
        <v>3.3835263100000001</v>
      </c>
      <c r="G161" s="3"/>
      <c r="AA161" t="s">
        <v>195</v>
      </c>
      <c r="AB161" t="s">
        <v>195</v>
      </c>
      <c r="AC161" t="s">
        <v>34</v>
      </c>
      <c r="AD161">
        <v>159</v>
      </c>
      <c r="AF161">
        <v>3.3835263100000001</v>
      </c>
    </row>
    <row r="162" spans="1:32" x14ac:dyDescent="0.25">
      <c r="A162" s="4">
        <v>161</v>
      </c>
      <c r="B162">
        <v>160</v>
      </c>
      <c r="C162">
        <v>1.0135048200000001</v>
      </c>
      <c r="D162">
        <v>1.3248882</v>
      </c>
      <c r="E162">
        <v>7.83053636</v>
      </c>
      <c r="F162">
        <v>3.4403823400000002</v>
      </c>
      <c r="G162" s="3"/>
      <c r="AA162" t="s">
        <v>196</v>
      </c>
      <c r="AB162" t="s">
        <v>196</v>
      </c>
      <c r="AC162" t="s">
        <v>34</v>
      </c>
      <c r="AD162">
        <v>160</v>
      </c>
      <c r="AF162">
        <v>3.4403823400000002</v>
      </c>
    </row>
    <row r="163" spans="1:32" x14ac:dyDescent="0.25">
      <c r="A163" s="4">
        <v>162</v>
      </c>
      <c r="B163">
        <v>161</v>
      </c>
      <c r="C163">
        <v>1.0169731</v>
      </c>
      <c r="D163">
        <v>1.3378736</v>
      </c>
      <c r="E163">
        <v>7.8472380800000003</v>
      </c>
      <c r="F163">
        <v>3.49755204</v>
      </c>
      <c r="G163" s="3"/>
      <c r="AA163" t="s">
        <v>197</v>
      </c>
      <c r="AB163" t="s">
        <v>197</v>
      </c>
      <c r="AC163" t="s">
        <v>34</v>
      </c>
      <c r="AD163">
        <v>161</v>
      </c>
      <c r="AF163">
        <v>3.49755204</v>
      </c>
    </row>
    <row r="164" spans="1:32" x14ac:dyDescent="0.25">
      <c r="A164" s="4">
        <v>163</v>
      </c>
      <c r="B164">
        <v>162</v>
      </c>
      <c r="C164">
        <v>1.0204444500000001</v>
      </c>
      <c r="D164">
        <v>1.35095919</v>
      </c>
      <c r="E164">
        <v>7.8636166999999997</v>
      </c>
      <c r="F164">
        <v>3.55502619</v>
      </c>
      <c r="G164" s="3"/>
      <c r="AA164" t="s">
        <v>198</v>
      </c>
      <c r="AB164" t="s">
        <v>198</v>
      </c>
      <c r="AC164" t="s">
        <v>34</v>
      </c>
      <c r="AD164">
        <v>162</v>
      </c>
      <c r="AF164">
        <v>3.55502619</v>
      </c>
    </row>
    <row r="165" spans="1:32" x14ac:dyDescent="0.25">
      <c r="A165" s="4">
        <v>164</v>
      </c>
      <c r="B165">
        <v>163</v>
      </c>
      <c r="C165">
        <v>1.0239194899999999</v>
      </c>
      <c r="D165">
        <v>1.3641464700000001</v>
      </c>
      <c r="E165">
        <v>7.87967979</v>
      </c>
      <c r="F165">
        <v>3.6127955699999998</v>
      </c>
      <c r="G165" s="3"/>
      <c r="AA165" t="s">
        <v>199</v>
      </c>
      <c r="AB165" t="s">
        <v>199</v>
      </c>
      <c r="AC165" t="s">
        <v>34</v>
      </c>
      <c r="AD165">
        <v>163</v>
      </c>
      <c r="AF165">
        <v>3.6127955699999998</v>
      </c>
    </row>
    <row r="166" spans="1:32" x14ac:dyDescent="0.25">
      <c r="A166" s="4">
        <v>165</v>
      </c>
      <c r="B166">
        <v>164</v>
      </c>
      <c r="C166">
        <v>1.02739885</v>
      </c>
      <c r="D166">
        <v>1.37743697</v>
      </c>
      <c r="E166">
        <v>7.8954348899999998</v>
      </c>
      <c r="F166">
        <v>3.6708509600000001</v>
      </c>
      <c r="G166" s="3"/>
      <c r="AA166" t="s">
        <v>200</v>
      </c>
      <c r="AB166" t="s">
        <v>200</v>
      </c>
      <c r="AC166" t="s">
        <v>34</v>
      </c>
      <c r="AD166">
        <v>164</v>
      </c>
      <c r="AF166">
        <v>3.6708509600000001</v>
      </c>
    </row>
    <row r="167" spans="1:32" x14ac:dyDescent="0.25">
      <c r="A167" s="4">
        <v>166</v>
      </c>
      <c r="B167">
        <v>165</v>
      </c>
      <c r="C167">
        <v>1.0308831899999999</v>
      </c>
      <c r="D167">
        <v>1.39083223</v>
      </c>
      <c r="E167">
        <v>7.9108895600000002</v>
      </c>
      <c r="F167">
        <v>3.7291831499999999</v>
      </c>
      <c r="G167" s="3"/>
      <c r="AA167" t="s">
        <v>201</v>
      </c>
      <c r="AB167" t="s">
        <v>201</v>
      </c>
      <c r="AC167" t="s">
        <v>34</v>
      </c>
      <c r="AD167">
        <v>165</v>
      </c>
      <c r="AF167">
        <v>3.7291831499999999</v>
      </c>
    </row>
    <row r="168" spans="1:32" x14ac:dyDescent="0.25">
      <c r="A168" s="4">
        <v>167</v>
      </c>
      <c r="B168">
        <v>166</v>
      </c>
      <c r="C168">
        <v>1.03437311</v>
      </c>
      <c r="D168">
        <v>1.4043337499999999</v>
      </c>
      <c r="E168">
        <v>7.92605133</v>
      </c>
      <c r="F168">
        <v>3.7877829200000002</v>
      </c>
      <c r="G168" s="3"/>
      <c r="AA168" t="s">
        <v>202</v>
      </c>
      <c r="AB168" t="s">
        <v>202</v>
      </c>
      <c r="AC168" t="s">
        <v>34</v>
      </c>
      <c r="AD168">
        <v>166</v>
      </c>
      <c r="AF168">
        <v>3.7877829200000002</v>
      </c>
    </row>
    <row r="169" spans="1:32" x14ac:dyDescent="0.25">
      <c r="A169" s="4">
        <v>168</v>
      </c>
      <c r="B169">
        <v>167</v>
      </c>
      <c r="C169">
        <v>1.0378692700000001</v>
      </c>
      <c r="D169">
        <v>1.41794306</v>
      </c>
      <c r="E169">
        <v>7.9409277300000003</v>
      </c>
      <c r="F169">
        <v>3.8466410500000001</v>
      </c>
      <c r="G169" s="3"/>
      <c r="AA169" t="s">
        <v>203</v>
      </c>
      <c r="AB169" t="s">
        <v>203</v>
      </c>
      <c r="AC169" t="s">
        <v>34</v>
      </c>
      <c r="AD169">
        <v>167</v>
      </c>
      <c r="AF169">
        <v>3.8466410500000001</v>
      </c>
    </row>
    <row r="170" spans="1:32" x14ac:dyDescent="0.25">
      <c r="A170" s="4">
        <v>169</v>
      </c>
      <c r="B170">
        <v>168</v>
      </c>
      <c r="C170">
        <v>1.04137229</v>
      </c>
      <c r="D170">
        <v>1.4316616799999999</v>
      </c>
      <c r="E170">
        <v>7.9555262899999999</v>
      </c>
      <c r="F170">
        <v>3.9057483199999998</v>
      </c>
      <c r="G170" s="3"/>
      <c r="AA170" t="s">
        <v>204</v>
      </c>
      <c r="AB170" t="s">
        <v>204</v>
      </c>
      <c r="AC170" t="s">
        <v>34</v>
      </c>
      <c r="AD170">
        <v>168</v>
      </c>
      <c r="AF170">
        <v>3.9057483199999998</v>
      </c>
    </row>
    <row r="171" spans="1:32" x14ac:dyDescent="0.25">
      <c r="A171" s="4">
        <v>170</v>
      </c>
      <c r="B171">
        <v>169</v>
      </c>
      <c r="C171">
        <v>1.0448828100000001</v>
      </c>
      <c r="D171">
        <v>1.44549113</v>
      </c>
      <c r="E171">
        <v>7.9698545300000001</v>
      </c>
      <c r="F171">
        <v>3.9650955300000001</v>
      </c>
      <c r="G171" s="3"/>
      <c r="AA171" t="s">
        <v>205</v>
      </c>
      <c r="AB171" t="s">
        <v>205</v>
      </c>
      <c r="AC171" t="s">
        <v>34</v>
      </c>
      <c r="AD171">
        <v>169</v>
      </c>
      <c r="AF171">
        <v>3.9650955300000001</v>
      </c>
    </row>
    <row r="172" spans="1:32" x14ac:dyDescent="0.25">
      <c r="A172" s="4">
        <v>171</v>
      </c>
      <c r="B172">
        <v>170</v>
      </c>
      <c r="C172">
        <v>1.04840146</v>
      </c>
      <c r="D172">
        <v>1.45943292</v>
      </c>
      <c r="E172">
        <v>7.9839199599999997</v>
      </c>
      <c r="F172">
        <v>4.0246734399999999</v>
      </c>
      <c r="G172" s="3"/>
      <c r="AA172" t="s">
        <v>206</v>
      </c>
      <c r="AB172" t="s">
        <v>206</v>
      </c>
      <c r="AC172" t="s">
        <v>34</v>
      </c>
      <c r="AD172">
        <v>170</v>
      </c>
      <c r="AF172">
        <v>4.0246734399999999</v>
      </c>
    </row>
    <row r="173" spans="1:32" x14ac:dyDescent="0.25">
      <c r="A173" s="4">
        <v>172</v>
      </c>
      <c r="B173">
        <v>171</v>
      </c>
      <c r="C173">
        <v>1.05192888</v>
      </c>
      <c r="D173">
        <v>1.47348857</v>
      </c>
      <c r="E173">
        <v>7.9977300800000002</v>
      </c>
      <c r="F173">
        <v>4.0844728400000001</v>
      </c>
      <c r="G173" s="3"/>
      <c r="AA173" t="s">
        <v>207</v>
      </c>
      <c r="AB173" t="s">
        <v>207</v>
      </c>
      <c r="AC173" t="s">
        <v>34</v>
      </c>
      <c r="AD173">
        <v>171</v>
      </c>
      <c r="AF173">
        <v>4.0844728400000001</v>
      </c>
    </row>
    <row r="174" spans="1:32" x14ac:dyDescent="0.25">
      <c r="A174" s="4">
        <v>173</v>
      </c>
      <c r="B174">
        <v>172</v>
      </c>
      <c r="C174">
        <v>1.0554656899999999</v>
      </c>
      <c r="D174">
        <v>1.48765959</v>
      </c>
      <c r="E174">
        <v>8.0112924000000003</v>
      </c>
      <c r="F174">
        <v>4.1444845199999998</v>
      </c>
      <c r="G174" s="3"/>
      <c r="AA174" t="s">
        <v>208</v>
      </c>
      <c r="AB174" t="s">
        <v>208</v>
      </c>
      <c r="AC174" t="s">
        <v>34</v>
      </c>
      <c r="AD174">
        <v>172</v>
      </c>
      <c r="AF174">
        <v>4.1444845199999998</v>
      </c>
    </row>
    <row r="175" spans="1:32" x14ac:dyDescent="0.25">
      <c r="A175" s="4">
        <v>174</v>
      </c>
      <c r="B175">
        <v>173</v>
      </c>
      <c r="C175">
        <v>1.05901253</v>
      </c>
      <c r="D175">
        <v>1.5019475</v>
      </c>
      <c r="E175">
        <v>8.0246144000000008</v>
      </c>
      <c r="F175">
        <v>4.2046992599999999</v>
      </c>
      <c r="G175" s="3"/>
      <c r="AA175" t="s">
        <v>209</v>
      </c>
      <c r="AB175" t="s">
        <v>209</v>
      </c>
      <c r="AC175" t="s">
        <v>34</v>
      </c>
      <c r="AD175">
        <v>173</v>
      </c>
      <c r="AF175">
        <v>4.2046992599999999</v>
      </c>
    </row>
    <row r="176" spans="1:32" x14ac:dyDescent="0.25">
      <c r="A176" s="4">
        <v>175</v>
      </c>
      <c r="B176">
        <v>174</v>
      </c>
      <c r="C176">
        <v>1.0625700300000001</v>
      </c>
      <c r="D176">
        <v>1.51635381</v>
      </c>
      <c r="E176">
        <v>8.0377035699999997</v>
      </c>
      <c r="F176">
        <v>4.2651078399999998</v>
      </c>
      <c r="G176" s="3"/>
      <c r="AA176" t="s">
        <v>210</v>
      </c>
      <c r="AB176" t="s">
        <v>210</v>
      </c>
      <c r="AC176" t="s">
        <v>34</v>
      </c>
      <c r="AD176">
        <v>174</v>
      </c>
      <c r="AF176">
        <v>4.2651078399999998</v>
      </c>
    </row>
    <row r="177" spans="1:32" x14ac:dyDescent="0.25">
      <c r="A177" s="4">
        <v>176</v>
      </c>
      <c r="B177">
        <v>175</v>
      </c>
      <c r="C177">
        <v>1.0661388300000001</v>
      </c>
      <c r="D177">
        <v>1.5308800300000001</v>
      </c>
      <c r="E177">
        <v>8.0505674099999993</v>
      </c>
      <c r="F177">
        <v>4.3257010500000002</v>
      </c>
      <c r="G177" s="3"/>
      <c r="AA177" t="s">
        <v>211</v>
      </c>
      <c r="AB177" t="s">
        <v>211</v>
      </c>
      <c r="AC177" t="s">
        <v>34</v>
      </c>
      <c r="AD177">
        <v>175</v>
      </c>
      <c r="AF177">
        <v>4.3257010500000002</v>
      </c>
    </row>
    <row r="178" spans="1:32" x14ac:dyDescent="0.25">
      <c r="A178" s="4">
        <v>177</v>
      </c>
      <c r="B178">
        <v>176</v>
      </c>
      <c r="C178">
        <v>1.0697195500000001</v>
      </c>
      <c r="D178">
        <v>1.54552767</v>
      </c>
      <c r="E178">
        <v>8.0632133699999997</v>
      </c>
      <c r="F178">
        <v>4.3864696600000004</v>
      </c>
      <c r="G178" s="3"/>
      <c r="AA178" t="s">
        <v>212</v>
      </c>
      <c r="AB178" t="s">
        <v>212</v>
      </c>
      <c r="AC178" t="s">
        <v>34</v>
      </c>
      <c r="AD178">
        <v>176</v>
      </c>
      <c r="AF178">
        <v>4.3864696600000004</v>
      </c>
    </row>
    <row r="179" spans="1:32" x14ac:dyDescent="0.25">
      <c r="A179" s="4">
        <v>178</v>
      </c>
      <c r="B179">
        <v>177</v>
      </c>
      <c r="C179">
        <v>1.07331284</v>
      </c>
      <c r="D179">
        <v>1.5602982400000001</v>
      </c>
      <c r="E179">
        <v>8.0756489499999997</v>
      </c>
      <c r="F179">
        <v>4.4474044599999996</v>
      </c>
      <c r="G179" s="3"/>
      <c r="AA179" t="s">
        <v>213</v>
      </c>
      <c r="AB179" t="s">
        <v>213</v>
      </c>
      <c r="AC179" t="s">
        <v>34</v>
      </c>
      <c r="AD179">
        <v>177</v>
      </c>
      <c r="AF179">
        <v>4.4474044599999996</v>
      </c>
    </row>
    <row r="180" spans="1:32" x14ac:dyDescent="0.25">
      <c r="A180" s="4">
        <v>179</v>
      </c>
      <c r="B180">
        <v>178</v>
      </c>
      <c r="C180">
        <v>1.07691932</v>
      </c>
      <c r="D180">
        <v>1.5751932500000001</v>
      </c>
      <c r="E180">
        <v>8.0878815900000003</v>
      </c>
      <c r="F180">
        <v>4.5084962400000004</v>
      </c>
      <c r="G180" s="3"/>
      <c r="AA180" t="s">
        <v>214</v>
      </c>
      <c r="AB180" t="s">
        <v>214</v>
      </c>
      <c r="AC180" t="s">
        <v>34</v>
      </c>
      <c r="AD180">
        <v>178</v>
      </c>
      <c r="AF180">
        <v>4.5084962400000004</v>
      </c>
    </row>
    <row r="181" spans="1:32" x14ac:dyDescent="0.25">
      <c r="A181" s="4">
        <v>180</v>
      </c>
      <c r="B181">
        <v>179</v>
      </c>
      <c r="C181">
        <v>1.0805396199999999</v>
      </c>
      <c r="D181">
        <v>1.5902141999999999</v>
      </c>
      <c r="E181">
        <v>8.0999187700000004</v>
      </c>
      <c r="F181">
        <v>4.5697357700000003</v>
      </c>
      <c r="G181" s="3"/>
      <c r="AA181" t="s">
        <v>215</v>
      </c>
      <c r="AB181" t="s">
        <v>215</v>
      </c>
      <c r="AC181" t="s">
        <v>34</v>
      </c>
      <c r="AD181">
        <v>179</v>
      </c>
      <c r="AF181">
        <v>4.5697357700000003</v>
      </c>
    </row>
    <row r="182" spans="1:32" x14ac:dyDescent="0.25">
      <c r="A182" s="4">
        <v>181</v>
      </c>
      <c r="B182">
        <v>180</v>
      </c>
      <c r="C182">
        <v>1.08417439</v>
      </c>
      <c r="D182">
        <v>1.6053626000000001</v>
      </c>
      <c r="E182">
        <v>8.11176794</v>
      </c>
      <c r="F182">
        <v>4.6311138300000003</v>
      </c>
      <c r="G182" s="3"/>
      <c r="AA182" t="s">
        <v>216</v>
      </c>
      <c r="AB182" t="s">
        <v>216</v>
      </c>
      <c r="AC182" t="s">
        <v>34</v>
      </c>
      <c r="AD182">
        <v>180</v>
      </c>
      <c r="AF182">
        <v>4.6311138300000003</v>
      </c>
    </row>
    <row r="183" spans="1:32" x14ac:dyDescent="0.25">
      <c r="A183" s="4">
        <v>182</v>
      </c>
      <c r="B183">
        <v>181</v>
      </c>
      <c r="C183">
        <v>1.0878028</v>
      </c>
      <c r="D183">
        <v>1.62063994</v>
      </c>
      <c r="E183">
        <v>8.1234365499999992</v>
      </c>
      <c r="F183">
        <v>4.6926212200000004</v>
      </c>
      <c r="G183" s="3"/>
      <c r="AA183" t="s">
        <v>217</v>
      </c>
      <c r="AB183" t="s">
        <v>217</v>
      </c>
      <c r="AC183" t="s">
        <v>34</v>
      </c>
      <c r="AD183">
        <v>181</v>
      </c>
      <c r="AF183">
        <v>4.6926212200000004</v>
      </c>
    </row>
    <row r="184" spans="1:32" x14ac:dyDescent="0.25">
      <c r="A184" s="4">
        <v>183</v>
      </c>
      <c r="B184">
        <v>182</v>
      </c>
      <c r="C184">
        <v>1.09140466</v>
      </c>
      <c r="D184">
        <v>1.63604774</v>
      </c>
      <c r="E184">
        <v>8.1349320600000006</v>
      </c>
      <c r="F184">
        <v>4.7542487099999997</v>
      </c>
      <c r="G184" s="3"/>
      <c r="AA184" t="s">
        <v>218</v>
      </c>
      <c r="AB184" t="s">
        <v>218</v>
      </c>
      <c r="AC184" t="s">
        <v>34</v>
      </c>
      <c r="AD184">
        <v>182</v>
      </c>
      <c r="AF184">
        <v>4.7542487099999997</v>
      </c>
    </row>
    <row r="185" spans="1:32" x14ac:dyDescent="0.25">
      <c r="A185" s="4">
        <v>184</v>
      </c>
      <c r="B185">
        <v>183</v>
      </c>
      <c r="C185">
        <v>1.09498148</v>
      </c>
      <c r="D185">
        <v>1.65158749</v>
      </c>
      <c r="E185">
        <v>8.1462619000000007</v>
      </c>
      <c r="F185">
        <v>4.8159870900000001</v>
      </c>
      <c r="G185" s="3"/>
      <c r="AA185" t="s">
        <v>219</v>
      </c>
      <c r="AB185" t="s">
        <v>219</v>
      </c>
      <c r="AC185" t="s">
        <v>34</v>
      </c>
      <c r="AD185">
        <v>183</v>
      </c>
      <c r="AF185">
        <v>4.8159870900000001</v>
      </c>
    </row>
    <row r="186" spans="1:32" x14ac:dyDescent="0.25">
      <c r="A186" s="4">
        <v>185</v>
      </c>
      <c r="B186">
        <v>184</v>
      </c>
      <c r="C186">
        <v>1.0985347999999999</v>
      </c>
      <c r="D186">
        <v>1.6672606999999999</v>
      </c>
      <c r="E186">
        <v>8.1574335199999997</v>
      </c>
      <c r="F186">
        <v>4.87782714</v>
      </c>
      <c r="G186" s="3"/>
      <c r="AA186" t="s">
        <v>220</v>
      </c>
      <c r="AB186" t="s">
        <v>220</v>
      </c>
      <c r="AC186" t="s">
        <v>34</v>
      </c>
      <c r="AD186">
        <v>184</v>
      </c>
      <c r="AF186">
        <v>4.87782714</v>
      </c>
    </row>
    <row r="187" spans="1:32" x14ac:dyDescent="0.25">
      <c r="A187" s="4">
        <v>186</v>
      </c>
      <c r="B187">
        <v>185</v>
      </c>
      <c r="C187">
        <v>1.10206614</v>
      </c>
      <c r="D187">
        <v>1.6830688499999999</v>
      </c>
      <c r="E187">
        <v>8.1684543499999993</v>
      </c>
      <c r="F187">
        <v>4.9397596400000001</v>
      </c>
      <c r="G187" s="3"/>
      <c r="AA187" t="s">
        <v>221</v>
      </c>
      <c r="AB187" t="s">
        <v>221</v>
      </c>
      <c r="AC187" t="s">
        <v>34</v>
      </c>
      <c r="AD187">
        <v>185</v>
      </c>
      <c r="AF187">
        <v>4.9397596400000001</v>
      </c>
    </row>
    <row r="188" spans="1:32" x14ac:dyDescent="0.25">
      <c r="A188" s="4">
        <v>187</v>
      </c>
      <c r="B188">
        <v>186</v>
      </c>
      <c r="C188">
        <v>1.1055770300000001</v>
      </c>
      <c r="D188">
        <v>1.69901345</v>
      </c>
      <c r="E188">
        <v>8.1793318199999998</v>
      </c>
      <c r="F188">
        <v>5.0017753699999998</v>
      </c>
      <c r="G188" s="3"/>
      <c r="AA188" t="s">
        <v>222</v>
      </c>
      <c r="AB188" t="s">
        <v>222</v>
      </c>
      <c r="AC188" t="s">
        <v>34</v>
      </c>
      <c r="AD188">
        <v>186</v>
      </c>
      <c r="AF188">
        <v>5.0017753699999998</v>
      </c>
    </row>
    <row r="189" spans="1:32" x14ac:dyDescent="0.25">
      <c r="A189" s="4">
        <v>188</v>
      </c>
      <c r="B189">
        <v>187</v>
      </c>
      <c r="C189">
        <v>1.1090690000000001</v>
      </c>
      <c r="D189">
        <v>1.71509599</v>
      </c>
      <c r="E189">
        <v>8.1900733700000004</v>
      </c>
      <c r="F189">
        <v>5.06386512</v>
      </c>
      <c r="G189" s="3"/>
      <c r="AA189" t="s">
        <v>223</v>
      </c>
      <c r="AB189" t="s">
        <v>223</v>
      </c>
      <c r="AC189" t="s">
        <v>34</v>
      </c>
      <c r="AD189">
        <v>187</v>
      </c>
      <c r="AF189">
        <v>5.06386512</v>
      </c>
    </row>
    <row r="190" spans="1:32" x14ac:dyDescent="0.25">
      <c r="A190" s="4">
        <v>189</v>
      </c>
      <c r="B190">
        <v>188</v>
      </c>
      <c r="C190">
        <v>1.1125435699999999</v>
      </c>
      <c r="D190">
        <v>1.7313179700000001</v>
      </c>
      <c r="E190">
        <v>8.2006864000000004</v>
      </c>
      <c r="F190">
        <v>5.1260196699999998</v>
      </c>
      <c r="G190" s="3"/>
      <c r="AA190" t="s">
        <v>224</v>
      </c>
      <c r="AB190" t="s">
        <v>224</v>
      </c>
      <c r="AC190" t="s">
        <v>34</v>
      </c>
      <c r="AD190">
        <v>188</v>
      </c>
      <c r="AF190">
        <v>5.1260196699999998</v>
      </c>
    </row>
    <row r="191" spans="1:32" x14ac:dyDescent="0.25">
      <c r="A191" s="4">
        <v>190</v>
      </c>
      <c r="B191">
        <v>189</v>
      </c>
      <c r="C191">
        <v>1.1160022599999999</v>
      </c>
      <c r="D191">
        <v>1.7476808699999999</v>
      </c>
      <c r="E191">
        <v>8.2111783500000008</v>
      </c>
      <c r="F191">
        <v>5.1882298000000002</v>
      </c>
      <c r="G191" s="3"/>
      <c r="AA191" t="s">
        <v>225</v>
      </c>
      <c r="AB191" t="s">
        <v>225</v>
      </c>
      <c r="AC191" t="s">
        <v>34</v>
      </c>
      <c r="AD191">
        <v>189</v>
      </c>
      <c r="AF191">
        <v>5.1882298000000002</v>
      </c>
    </row>
    <row r="192" spans="1:32" x14ac:dyDescent="0.25">
      <c r="A192" s="4">
        <v>191</v>
      </c>
      <c r="B192">
        <v>190</v>
      </c>
      <c r="C192">
        <v>1.1194466199999999</v>
      </c>
      <c r="D192">
        <v>1.76418619</v>
      </c>
      <c r="E192">
        <v>8.2215566399999993</v>
      </c>
      <c r="F192">
        <v>5.2504863100000003</v>
      </c>
      <c r="G192" s="3"/>
      <c r="AA192" t="s">
        <v>226</v>
      </c>
      <c r="AB192" t="s">
        <v>226</v>
      </c>
      <c r="AC192" t="s">
        <v>34</v>
      </c>
      <c r="AD192">
        <v>190</v>
      </c>
      <c r="AF192">
        <v>5.2504863100000003</v>
      </c>
    </row>
    <row r="193" spans="1:32" x14ac:dyDescent="0.25">
      <c r="A193" s="4">
        <v>192</v>
      </c>
      <c r="B193">
        <v>191</v>
      </c>
      <c r="C193">
        <v>1.12287815</v>
      </c>
      <c r="D193">
        <v>1.7808354200000001</v>
      </c>
      <c r="E193">
        <v>8.2318286700000005</v>
      </c>
      <c r="F193">
        <v>5.3127799500000004</v>
      </c>
      <c r="G193" s="3"/>
      <c r="AA193" t="s">
        <v>227</v>
      </c>
      <c r="AB193" t="s">
        <v>227</v>
      </c>
      <c r="AC193" t="s">
        <v>34</v>
      </c>
      <c r="AD193">
        <v>191</v>
      </c>
      <c r="AF193">
        <v>5.3127799500000004</v>
      </c>
    </row>
    <row r="194" spans="1:32" x14ac:dyDescent="0.25">
      <c r="A194" s="4">
        <v>193</v>
      </c>
      <c r="B194">
        <v>192</v>
      </c>
      <c r="C194">
        <v>1.1262983900000001</v>
      </c>
      <c r="D194">
        <v>1.79763004</v>
      </c>
      <c r="E194">
        <v>8.2420018499999994</v>
      </c>
      <c r="F194">
        <v>5.3751015300000002</v>
      </c>
      <c r="G194" s="3"/>
      <c r="AA194" t="s">
        <v>228</v>
      </c>
      <c r="AB194" t="s">
        <v>228</v>
      </c>
      <c r="AC194" t="s">
        <v>34</v>
      </c>
      <c r="AD194">
        <v>192</v>
      </c>
      <c r="AF194">
        <v>5.3751015300000002</v>
      </c>
    </row>
    <row r="195" spans="1:32" x14ac:dyDescent="0.25">
      <c r="A195" s="4">
        <v>194</v>
      </c>
      <c r="B195">
        <v>193</v>
      </c>
      <c r="C195">
        <v>1.12970886</v>
      </c>
      <c r="D195">
        <v>1.81457154</v>
      </c>
      <c r="E195">
        <v>8.2520836000000006</v>
      </c>
      <c r="F195">
        <v>5.43744183</v>
      </c>
      <c r="G195" s="3"/>
      <c r="AA195" t="s">
        <v>229</v>
      </c>
      <c r="AB195" t="s">
        <v>229</v>
      </c>
      <c r="AC195" t="s">
        <v>34</v>
      </c>
      <c r="AD195">
        <v>193</v>
      </c>
      <c r="AF195">
        <v>5.43744183</v>
      </c>
    </row>
    <row r="196" spans="1:32" x14ac:dyDescent="0.25">
      <c r="A196" s="4">
        <v>195</v>
      </c>
      <c r="B196">
        <v>194</v>
      </c>
      <c r="C196">
        <v>1.1331110900000001</v>
      </c>
      <c r="D196">
        <v>1.8316614</v>
      </c>
      <c r="E196">
        <v>8.2620813099999992</v>
      </c>
      <c r="F196">
        <v>5.4997916199999999</v>
      </c>
      <c r="G196" s="3"/>
      <c r="AA196" t="s">
        <v>230</v>
      </c>
      <c r="AB196" t="s">
        <v>230</v>
      </c>
      <c r="AC196" t="s">
        <v>34</v>
      </c>
      <c r="AD196">
        <v>194</v>
      </c>
      <c r="AF196">
        <v>5.4997916199999999</v>
      </c>
    </row>
    <row r="197" spans="1:32" x14ac:dyDescent="0.25">
      <c r="A197" s="4">
        <v>196</v>
      </c>
      <c r="B197">
        <v>195</v>
      </c>
      <c r="C197">
        <v>1.1365065999999999</v>
      </c>
      <c r="D197">
        <v>1.8489011200000001</v>
      </c>
      <c r="E197">
        <v>8.2720023900000008</v>
      </c>
      <c r="F197">
        <v>5.5621416899999998</v>
      </c>
      <c r="G197" s="3"/>
      <c r="AA197" t="s">
        <v>231</v>
      </c>
      <c r="AB197" t="s">
        <v>231</v>
      </c>
      <c r="AC197" t="s">
        <v>34</v>
      </c>
      <c r="AD197">
        <v>195</v>
      </c>
      <c r="AF197">
        <v>5.5621416899999998</v>
      </c>
    </row>
    <row r="198" spans="1:32" x14ac:dyDescent="0.25">
      <c r="A198" s="4">
        <v>197</v>
      </c>
      <c r="B198">
        <v>196</v>
      </c>
      <c r="C198">
        <v>1.13989692</v>
      </c>
      <c r="D198">
        <v>1.86629215</v>
      </c>
      <c r="E198">
        <v>8.2818542300000004</v>
      </c>
      <c r="F198">
        <v>5.6244828199999999</v>
      </c>
      <c r="G198" s="3"/>
      <c r="AA198" t="s">
        <v>232</v>
      </c>
      <c r="AB198" t="s">
        <v>232</v>
      </c>
      <c r="AC198" t="s">
        <v>34</v>
      </c>
      <c r="AD198">
        <v>196</v>
      </c>
      <c r="AF198">
        <v>5.6244828199999999</v>
      </c>
    </row>
    <row r="199" spans="1:32" x14ac:dyDescent="0.25">
      <c r="A199" s="4">
        <v>198</v>
      </c>
      <c r="B199">
        <v>197</v>
      </c>
      <c r="C199">
        <v>1.1432835800000001</v>
      </c>
      <c r="D199">
        <v>1.8838360000000001</v>
      </c>
      <c r="E199">
        <v>8.2916442299999993</v>
      </c>
      <c r="F199">
        <v>5.6868058000000001</v>
      </c>
      <c r="G199" s="3"/>
      <c r="AA199" t="s">
        <v>233</v>
      </c>
      <c r="AB199" t="s">
        <v>233</v>
      </c>
      <c r="AC199" t="s">
        <v>34</v>
      </c>
      <c r="AD199">
        <v>197</v>
      </c>
      <c r="AF199">
        <v>5.6868058000000001</v>
      </c>
    </row>
    <row r="200" spans="1:32" x14ac:dyDescent="0.25">
      <c r="A200" s="4">
        <v>199</v>
      </c>
      <c r="B200">
        <v>198</v>
      </c>
      <c r="C200">
        <v>1.1466680899999999</v>
      </c>
      <c r="D200">
        <v>1.9015341299999999</v>
      </c>
      <c r="E200">
        <v>8.3013797700000005</v>
      </c>
      <c r="F200">
        <v>5.7491014099999997</v>
      </c>
      <c r="G200" s="3"/>
      <c r="AA200" t="s">
        <v>234</v>
      </c>
      <c r="AB200" t="s">
        <v>234</v>
      </c>
      <c r="AC200" t="s">
        <v>34</v>
      </c>
      <c r="AD200">
        <v>198</v>
      </c>
      <c r="AF200">
        <v>5.7491014099999997</v>
      </c>
    </row>
    <row r="201" spans="1:32" x14ac:dyDescent="0.25">
      <c r="A201" s="4">
        <v>200</v>
      </c>
      <c r="B201">
        <v>199</v>
      </c>
      <c r="C201">
        <v>1.15005198</v>
      </c>
      <c r="D201">
        <v>1.91938802</v>
      </c>
      <c r="E201">
        <v>8.3110682499999999</v>
      </c>
      <c r="F201">
        <v>5.8113604299999997</v>
      </c>
      <c r="G201" s="3"/>
      <c r="AA201" t="s">
        <v>235</v>
      </c>
      <c r="AB201" t="s">
        <v>235</v>
      </c>
      <c r="AC201" t="s">
        <v>34</v>
      </c>
      <c r="AD201">
        <v>199</v>
      </c>
      <c r="AF201">
        <v>5.8113604299999997</v>
      </c>
    </row>
    <row r="202" spans="1:32" x14ac:dyDescent="0.25">
      <c r="A202" s="4">
        <v>201</v>
      </c>
      <c r="B202">
        <v>200</v>
      </c>
      <c r="C202">
        <v>1.1534367699999999</v>
      </c>
      <c r="D202">
        <v>1.9373991500000001</v>
      </c>
      <c r="E202">
        <v>8.3207170599999998</v>
      </c>
      <c r="F202">
        <v>5.87357364</v>
      </c>
      <c r="G202" s="3"/>
      <c r="AA202" t="s">
        <v>236</v>
      </c>
      <c r="AB202" t="s">
        <v>236</v>
      </c>
      <c r="AC202" t="s">
        <v>34</v>
      </c>
      <c r="AD202">
        <v>200</v>
      </c>
      <c r="AF202">
        <v>5.87357364</v>
      </c>
    </row>
    <row r="203" spans="1:32" x14ac:dyDescent="0.25">
      <c r="A203" s="4">
        <v>202</v>
      </c>
      <c r="B203">
        <v>201</v>
      </c>
      <c r="C203">
        <v>1.1568240000000001</v>
      </c>
      <c r="D203">
        <v>1.95556898</v>
      </c>
      <c r="E203">
        <v>8.3303335599999997</v>
      </c>
      <c r="F203">
        <v>5.93573182</v>
      </c>
      <c r="G203" s="3"/>
      <c r="AA203" t="s">
        <v>237</v>
      </c>
      <c r="AB203" t="s">
        <v>237</v>
      </c>
      <c r="AC203" t="s">
        <v>34</v>
      </c>
      <c r="AD203">
        <v>201</v>
      </c>
      <c r="AF203">
        <v>5.93573182</v>
      </c>
    </row>
    <row r="204" spans="1:32" x14ac:dyDescent="0.25">
      <c r="A204" s="4">
        <v>203</v>
      </c>
      <c r="B204">
        <v>202</v>
      </c>
      <c r="C204">
        <v>1.16021518</v>
      </c>
      <c r="D204">
        <v>1.9738990000000001</v>
      </c>
      <c r="E204">
        <v>8.3399251499999991</v>
      </c>
      <c r="F204">
        <v>5.9978257700000004</v>
      </c>
      <c r="G204" s="3"/>
      <c r="AA204" t="s">
        <v>238</v>
      </c>
      <c r="AB204" t="s">
        <v>238</v>
      </c>
      <c r="AC204" t="s">
        <v>34</v>
      </c>
      <c r="AD204">
        <v>202</v>
      </c>
      <c r="AF204">
        <v>5.9978257700000004</v>
      </c>
    </row>
    <row r="205" spans="1:32" x14ac:dyDescent="0.25">
      <c r="A205" s="4">
        <v>204</v>
      </c>
      <c r="B205">
        <v>203</v>
      </c>
      <c r="C205">
        <v>1.16361184</v>
      </c>
      <c r="D205">
        <v>1.9923906600000001</v>
      </c>
      <c r="E205">
        <v>8.3494992000000003</v>
      </c>
      <c r="F205">
        <v>6.0598462599999996</v>
      </c>
      <c r="G205" s="3"/>
      <c r="AA205" t="s">
        <v>239</v>
      </c>
      <c r="AB205" t="s">
        <v>239</v>
      </c>
      <c r="AC205" t="s">
        <v>34</v>
      </c>
      <c r="AD205">
        <v>203</v>
      </c>
      <c r="AF205">
        <v>6.0598462599999996</v>
      </c>
    </row>
    <row r="206" spans="1:32" x14ac:dyDescent="0.25">
      <c r="A206" s="4">
        <v>205</v>
      </c>
      <c r="B206">
        <v>204</v>
      </c>
      <c r="C206">
        <v>1.16701549</v>
      </c>
      <c r="D206">
        <v>2.0110454299999998</v>
      </c>
      <c r="E206">
        <v>8.3590630899999994</v>
      </c>
      <c r="F206">
        <v>6.1217840700000004</v>
      </c>
      <c r="G206" s="3"/>
      <c r="AA206" t="s">
        <v>240</v>
      </c>
      <c r="AB206" t="s">
        <v>240</v>
      </c>
      <c r="AC206" t="s">
        <v>34</v>
      </c>
      <c r="AD206">
        <v>204</v>
      </c>
      <c r="AF206">
        <v>6.1217840700000004</v>
      </c>
    </row>
    <row r="207" spans="1:32" x14ac:dyDescent="0.25">
      <c r="A207" s="4">
        <v>206</v>
      </c>
      <c r="B207">
        <v>205</v>
      </c>
      <c r="C207">
        <v>1.17042767</v>
      </c>
      <c r="D207">
        <v>2.02986479</v>
      </c>
      <c r="E207">
        <v>8.3686241799999994</v>
      </c>
      <c r="F207">
        <v>6.18362999</v>
      </c>
      <c r="G207" s="3"/>
      <c r="AA207" t="s">
        <v>241</v>
      </c>
      <c r="AB207" t="s">
        <v>241</v>
      </c>
      <c r="AC207" t="s">
        <v>34</v>
      </c>
      <c r="AD207">
        <v>205</v>
      </c>
      <c r="AF207">
        <v>6.18362999</v>
      </c>
    </row>
    <row r="208" spans="1:32" x14ac:dyDescent="0.25">
      <c r="A208" s="4">
        <v>207</v>
      </c>
      <c r="B208">
        <v>206</v>
      </c>
      <c r="C208">
        <v>1.1738499</v>
      </c>
      <c r="D208">
        <v>2.04885019</v>
      </c>
      <c r="E208">
        <v>8.3781898399999992</v>
      </c>
      <c r="F208">
        <v>6.2453748100000004</v>
      </c>
      <c r="G208" s="3"/>
      <c r="AA208" t="s">
        <v>242</v>
      </c>
      <c r="AB208" t="s">
        <v>242</v>
      </c>
      <c r="AC208" t="s">
        <v>34</v>
      </c>
      <c r="AD208">
        <v>206</v>
      </c>
      <c r="AF208">
        <v>6.2453748100000004</v>
      </c>
    </row>
    <row r="209" spans="1:32" x14ac:dyDescent="0.25">
      <c r="A209" s="4">
        <v>208</v>
      </c>
      <c r="B209">
        <v>207</v>
      </c>
      <c r="C209">
        <v>1.1772837</v>
      </c>
      <c r="D209">
        <v>2.0680030899999999</v>
      </c>
      <c r="E209">
        <v>8.3877674399999993</v>
      </c>
      <c r="F209">
        <v>6.3070092899999999</v>
      </c>
      <c r="G209" s="3"/>
      <c r="AA209" t="s">
        <v>243</v>
      </c>
      <c r="AB209" t="s">
        <v>243</v>
      </c>
      <c r="AC209" t="s">
        <v>34</v>
      </c>
      <c r="AD209">
        <v>207</v>
      </c>
      <c r="AF209">
        <v>6.3070092899999999</v>
      </c>
    </row>
    <row r="210" spans="1:32" x14ac:dyDescent="0.25">
      <c r="A210" s="4">
        <v>209</v>
      </c>
      <c r="B210">
        <v>208</v>
      </c>
      <c r="C210">
        <v>1.1807305800000001</v>
      </c>
      <c r="D210">
        <v>2.0873249600000001</v>
      </c>
      <c r="E210">
        <v>8.3973643399999993</v>
      </c>
      <c r="F210">
        <v>6.3685242300000002</v>
      </c>
      <c r="G210" s="3"/>
      <c r="AA210" t="s">
        <v>244</v>
      </c>
      <c r="AB210" t="s">
        <v>244</v>
      </c>
      <c r="AC210" t="s">
        <v>34</v>
      </c>
      <c r="AD210">
        <v>208</v>
      </c>
      <c r="AF210">
        <v>6.3685242300000002</v>
      </c>
    </row>
    <row r="211" spans="1:32" x14ac:dyDescent="0.25">
      <c r="A211" s="4">
        <v>210</v>
      </c>
      <c r="B211">
        <v>209</v>
      </c>
      <c r="C211">
        <v>1.18419209</v>
      </c>
      <c r="D211">
        <v>2.1068172500000002</v>
      </c>
      <c r="E211">
        <v>8.4069879000000007</v>
      </c>
      <c r="F211">
        <v>6.4299104099999997</v>
      </c>
      <c r="G211" s="3"/>
      <c r="AA211" t="s">
        <v>245</v>
      </c>
      <c r="AB211" t="s">
        <v>245</v>
      </c>
      <c r="AC211" t="s">
        <v>34</v>
      </c>
      <c r="AD211">
        <v>209</v>
      </c>
      <c r="AF211">
        <v>6.4299104099999997</v>
      </c>
    </row>
    <row r="212" spans="1:32" x14ac:dyDescent="0.25">
      <c r="A212" s="4">
        <v>211</v>
      </c>
      <c r="B212">
        <v>210</v>
      </c>
      <c r="C212">
        <v>1.1876697300000001</v>
      </c>
      <c r="D212">
        <v>2.1264814300000001</v>
      </c>
      <c r="E212">
        <v>8.4166454700000006</v>
      </c>
      <c r="F212">
        <v>6.4911586100000003</v>
      </c>
      <c r="G212" s="3"/>
      <c r="AA212" t="s">
        <v>246</v>
      </c>
      <c r="AB212" t="s">
        <v>246</v>
      </c>
      <c r="AC212" t="s">
        <v>34</v>
      </c>
      <c r="AD212">
        <v>210</v>
      </c>
      <c r="AF212">
        <v>6.4911586100000003</v>
      </c>
    </row>
    <row r="213" spans="1:32" x14ac:dyDescent="0.25">
      <c r="A213" s="4">
        <v>212</v>
      </c>
      <c r="B213">
        <v>211</v>
      </c>
      <c r="C213">
        <v>1.1911650300000001</v>
      </c>
      <c r="D213">
        <v>2.1463189300000001</v>
      </c>
      <c r="E213">
        <v>8.4263444199999995</v>
      </c>
      <c r="F213">
        <v>6.5522596200000001</v>
      </c>
      <c r="G213" s="3"/>
      <c r="AA213" t="s">
        <v>247</v>
      </c>
      <c r="AB213" t="s">
        <v>247</v>
      </c>
      <c r="AC213" t="s">
        <v>34</v>
      </c>
      <c r="AD213">
        <v>211</v>
      </c>
      <c r="AF213">
        <v>6.5522596200000001</v>
      </c>
    </row>
    <row r="214" spans="1:32" x14ac:dyDescent="0.25">
      <c r="A214" s="4">
        <v>213</v>
      </c>
      <c r="B214">
        <v>212</v>
      </c>
      <c r="C214">
        <v>1.1946795100000001</v>
      </c>
      <c r="D214">
        <v>2.16633122</v>
      </c>
      <c r="E214">
        <v>8.4360920900000007</v>
      </c>
      <c r="F214">
        <v>6.6132042100000001</v>
      </c>
      <c r="G214" s="3"/>
      <c r="AA214" t="s">
        <v>248</v>
      </c>
      <c r="AB214" t="s">
        <v>248</v>
      </c>
      <c r="AC214" t="s">
        <v>34</v>
      </c>
      <c r="AD214">
        <v>212</v>
      </c>
      <c r="AF214">
        <v>6.6132042100000001</v>
      </c>
    </row>
    <row r="215" spans="1:32" x14ac:dyDescent="0.25">
      <c r="A215" s="4">
        <v>214</v>
      </c>
      <c r="B215">
        <v>213</v>
      </c>
      <c r="C215">
        <v>1.1982146899999999</v>
      </c>
      <c r="D215">
        <v>2.18651975</v>
      </c>
      <c r="E215">
        <v>8.4458958299999995</v>
      </c>
      <c r="F215">
        <v>6.6739831699999996</v>
      </c>
      <c r="G215" s="3"/>
      <c r="AA215" t="s">
        <v>249</v>
      </c>
      <c r="AB215" t="s">
        <v>249</v>
      </c>
      <c r="AC215" t="s">
        <v>34</v>
      </c>
      <c r="AD215">
        <v>213</v>
      </c>
      <c r="AF215">
        <v>6.6739831699999996</v>
      </c>
    </row>
    <row r="216" spans="1:32" x14ac:dyDescent="0.25">
      <c r="A216" s="4">
        <v>215</v>
      </c>
      <c r="B216">
        <v>214</v>
      </c>
      <c r="C216">
        <v>1.20177209</v>
      </c>
      <c r="D216">
        <v>2.2068859600000001</v>
      </c>
      <c r="E216">
        <v>8.4557629799999994</v>
      </c>
      <c r="F216">
        <v>6.7345872800000004</v>
      </c>
      <c r="G216" s="3"/>
      <c r="AA216" t="s">
        <v>250</v>
      </c>
      <c r="AB216" t="s">
        <v>250</v>
      </c>
      <c r="AC216" t="s">
        <v>34</v>
      </c>
      <c r="AD216">
        <v>214</v>
      </c>
      <c r="AF216">
        <v>6.7345872800000004</v>
      </c>
    </row>
    <row r="217" spans="1:32" x14ac:dyDescent="0.25">
      <c r="A217" s="4">
        <v>216</v>
      </c>
      <c r="B217">
        <v>215</v>
      </c>
      <c r="C217">
        <v>1.20535324</v>
      </c>
      <c r="D217">
        <v>2.2274312900000002</v>
      </c>
      <c r="E217">
        <v>8.4657008900000008</v>
      </c>
      <c r="F217">
        <v>6.7950073299999998</v>
      </c>
      <c r="G217" s="3"/>
      <c r="AA217" t="s">
        <v>251</v>
      </c>
      <c r="AB217" t="s">
        <v>251</v>
      </c>
      <c r="AC217" t="s">
        <v>34</v>
      </c>
      <c r="AD217">
        <v>215</v>
      </c>
      <c r="AF217">
        <v>6.7950073299999998</v>
      </c>
    </row>
    <row r="218" spans="1:32" x14ac:dyDescent="0.25">
      <c r="A218" s="4">
        <v>217</v>
      </c>
      <c r="B218">
        <v>216</v>
      </c>
      <c r="C218">
        <v>1.2089596600000001</v>
      </c>
      <c r="D218">
        <v>2.2481572000000001</v>
      </c>
      <c r="E218">
        <v>8.4757169000000001</v>
      </c>
      <c r="F218">
        <v>6.8552340999999997</v>
      </c>
      <c r="G218" s="3"/>
      <c r="AA218" t="s">
        <v>252</v>
      </c>
      <c r="AB218" t="s">
        <v>252</v>
      </c>
      <c r="AC218" t="s">
        <v>34</v>
      </c>
      <c r="AD218">
        <v>216</v>
      </c>
      <c r="AF218">
        <v>6.8552340999999997</v>
      </c>
    </row>
    <row r="219" spans="1:32" x14ac:dyDescent="0.25">
      <c r="A219" s="4">
        <v>218</v>
      </c>
      <c r="B219">
        <v>217</v>
      </c>
      <c r="C219">
        <v>1.21259286</v>
      </c>
      <c r="D219">
        <v>2.26906513</v>
      </c>
      <c r="E219">
        <v>8.4858183399999998</v>
      </c>
      <c r="F219">
        <v>6.9152583700000001</v>
      </c>
      <c r="G219" s="3"/>
      <c r="AA219" t="s">
        <v>253</v>
      </c>
      <c r="AB219" t="s">
        <v>253</v>
      </c>
      <c r="AC219" t="s">
        <v>34</v>
      </c>
      <c r="AD219">
        <v>217</v>
      </c>
      <c r="AF219">
        <v>6.9152583700000001</v>
      </c>
    </row>
    <row r="220" spans="1:32" x14ac:dyDescent="0.25">
      <c r="A220" s="4">
        <v>219</v>
      </c>
      <c r="B220">
        <v>218</v>
      </c>
      <c r="C220">
        <v>1.2162543699999999</v>
      </c>
      <c r="D220">
        <v>2.2901565000000002</v>
      </c>
      <c r="E220">
        <v>8.4960125400000006</v>
      </c>
      <c r="F220">
        <v>6.9750709200000003</v>
      </c>
      <c r="G220" s="3"/>
      <c r="AA220" t="s">
        <v>254</v>
      </c>
      <c r="AB220" t="s">
        <v>254</v>
      </c>
      <c r="AC220" t="s">
        <v>34</v>
      </c>
      <c r="AD220">
        <v>218</v>
      </c>
      <c r="AF220">
        <v>6.9750709200000003</v>
      </c>
    </row>
    <row r="221" spans="1:32" x14ac:dyDescent="0.25">
      <c r="A221" s="4">
        <v>220</v>
      </c>
      <c r="B221">
        <v>219</v>
      </c>
      <c r="C221">
        <v>1.21994571</v>
      </c>
      <c r="D221">
        <v>2.3114327700000001</v>
      </c>
      <c r="E221">
        <v>8.5063068400000006</v>
      </c>
      <c r="F221">
        <v>7.0346625400000002</v>
      </c>
      <c r="G221" s="3"/>
      <c r="AA221" t="s">
        <v>255</v>
      </c>
      <c r="AB221" t="s">
        <v>255</v>
      </c>
      <c r="AC221" t="s">
        <v>34</v>
      </c>
      <c r="AD221">
        <v>219</v>
      </c>
      <c r="AF221">
        <v>7.0346625400000002</v>
      </c>
    </row>
    <row r="222" spans="1:32" x14ac:dyDescent="0.25">
      <c r="A222" s="4">
        <v>221</v>
      </c>
      <c r="B222">
        <v>220</v>
      </c>
      <c r="C222">
        <v>1.2236683900000001</v>
      </c>
      <c r="D222">
        <v>2.3328953600000002</v>
      </c>
      <c r="E222">
        <v>8.5167085500000006</v>
      </c>
      <c r="F222">
        <v>7.09402401</v>
      </c>
      <c r="G222" s="3"/>
      <c r="AA222" t="s">
        <v>256</v>
      </c>
      <c r="AB222" t="s">
        <v>256</v>
      </c>
      <c r="AC222" t="s">
        <v>34</v>
      </c>
      <c r="AD222">
        <v>220</v>
      </c>
      <c r="AF222">
        <v>7.09402401</v>
      </c>
    </row>
    <row r="223" spans="1:32" x14ac:dyDescent="0.25">
      <c r="A223" s="4">
        <v>222</v>
      </c>
      <c r="B223">
        <v>221</v>
      </c>
      <c r="C223">
        <v>1.2274239499999999</v>
      </c>
      <c r="D223">
        <v>2.35454572</v>
      </c>
      <c r="E223">
        <v>8.5272250100000004</v>
      </c>
      <c r="F223">
        <v>7.1531461099999998</v>
      </c>
      <c r="G223" s="3"/>
      <c r="AA223" t="s">
        <v>257</v>
      </c>
      <c r="AB223" t="s">
        <v>257</v>
      </c>
      <c r="AC223" t="s">
        <v>34</v>
      </c>
      <c r="AD223">
        <v>221</v>
      </c>
      <c r="AF223">
        <v>7.1531461099999998</v>
      </c>
    </row>
    <row r="224" spans="1:32" x14ac:dyDescent="0.25">
      <c r="A224" s="4">
        <v>223</v>
      </c>
      <c r="B224">
        <v>222</v>
      </c>
      <c r="C224">
        <v>1.2312138800000001</v>
      </c>
      <c r="D224">
        <v>2.3763852600000002</v>
      </c>
      <c r="E224">
        <v>8.5378635299999992</v>
      </c>
      <c r="F224">
        <v>7.2120196200000004</v>
      </c>
      <c r="G224" s="3"/>
      <c r="AA224" t="s">
        <v>258</v>
      </c>
      <c r="AB224" t="s">
        <v>258</v>
      </c>
      <c r="AC224" t="s">
        <v>34</v>
      </c>
      <c r="AD224">
        <v>222</v>
      </c>
      <c r="AF224">
        <v>7.2120196200000004</v>
      </c>
    </row>
    <row r="225" spans="1:32" x14ac:dyDescent="0.25">
      <c r="A225" s="4">
        <v>224</v>
      </c>
      <c r="B225">
        <v>223</v>
      </c>
      <c r="C225">
        <v>1.23503973</v>
      </c>
      <c r="D225">
        <v>2.3984154200000001</v>
      </c>
      <c r="E225">
        <v>8.5486314300000004</v>
      </c>
      <c r="F225">
        <v>7.2706353300000002</v>
      </c>
      <c r="G225" s="3"/>
      <c r="AA225" t="s">
        <v>259</v>
      </c>
      <c r="AB225" t="s">
        <v>259</v>
      </c>
      <c r="AC225" t="s">
        <v>34</v>
      </c>
      <c r="AD225">
        <v>223</v>
      </c>
      <c r="AF225">
        <v>7.2706353300000002</v>
      </c>
    </row>
    <row r="226" spans="1:32" x14ac:dyDescent="0.25">
      <c r="A226" s="4">
        <v>225</v>
      </c>
      <c r="B226">
        <v>224</v>
      </c>
      <c r="C226">
        <v>1.2389030000000001</v>
      </c>
      <c r="D226">
        <v>2.4206376199999999</v>
      </c>
      <c r="E226">
        <v>8.5595360199999995</v>
      </c>
      <c r="F226">
        <v>7.32898403</v>
      </c>
      <c r="G226" s="3"/>
      <c r="AA226" t="s">
        <v>260</v>
      </c>
      <c r="AB226" t="s">
        <v>260</v>
      </c>
      <c r="AC226" t="s">
        <v>34</v>
      </c>
      <c r="AD226">
        <v>224</v>
      </c>
      <c r="AF226">
        <v>7.32898403</v>
      </c>
    </row>
    <row r="227" spans="1:32" x14ac:dyDescent="0.25">
      <c r="A227" s="4">
        <v>226</v>
      </c>
      <c r="B227">
        <v>225</v>
      </c>
      <c r="C227">
        <v>1.2428052199999999</v>
      </c>
      <c r="D227">
        <v>2.4430532899999999</v>
      </c>
      <c r="E227">
        <v>8.5705846000000001</v>
      </c>
      <c r="F227">
        <v>7.38705648</v>
      </c>
      <c r="G227" s="3"/>
      <c r="AA227" t="s">
        <v>261</v>
      </c>
      <c r="AB227" t="s">
        <v>261</v>
      </c>
      <c r="AC227" t="s">
        <v>34</v>
      </c>
      <c r="AD227">
        <v>225</v>
      </c>
      <c r="AF227">
        <v>7.38705648</v>
      </c>
    </row>
    <row r="228" spans="1:32" x14ac:dyDescent="0.25">
      <c r="A228" s="4">
        <v>227</v>
      </c>
      <c r="B228">
        <v>226</v>
      </c>
      <c r="C228">
        <v>1.24674789</v>
      </c>
      <c r="D228">
        <v>2.4656638499999999</v>
      </c>
      <c r="E228">
        <v>8.5817844900000004</v>
      </c>
      <c r="F228">
        <v>7.4448434800000003</v>
      </c>
      <c r="G228" s="3"/>
      <c r="AA228" t="s">
        <v>262</v>
      </c>
      <c r="AB228" t="s">
        <v>262</v>
      </c>
      <c r="AC228" t="s">
        <v>34</v>
      </c>
      <c r="AD228">
        <v>226</v>
      </c>
      <c r="AF228">
        <v>7.4448434800000003</v>
      </c>
    </row>
    <row r="229" spans="1:32" x14ac:dyDescent="0.25">
      <c r="A229" s="4">
        <v>228</v>
      </c>
      <c r="B229">
        <v>227</v>
      </c>
      <c r="C229">
        <v>1.2507325499999999</v>
      </c>
      <c r="D229">
        <v>2.48847072</v>
      </c>
      <c r="E229">
        <v>8.5931429799999997</v>
      </c>
      <c r="F229">
        <v>7.5023358099999999</v>
      </c>
      <c r="G229" s="3"/>
      <c r="AA229" t="s">
        <v>263</v>
      </c>
      <c r="AB229" t="s">
        <v>263</v>
      </c>
      <c r="AC229" t="s">
        <v>34</v>
      </c>
      <c r="AD229">
        <v>227</v>
      </c>
      <c r="AF229">
        <v>7.5023358099999999</v>
      </c>
    </row>
    <row r="230" spans="1:32" x14ac:dyDescent="0.25">
      <c r="A230" s="4">
        <v>229</v>
      </c>
      <c r="B230">
        <v>228</v>
      </c>
      <c r="C230">
        <v>1.25476071</v>
      </c>
      <c r="D230">
        <v>2.5114753099999998</v>
      </c>
      <c r="E230">
        <v>8.6046673699999996</v>
      </c>
      <c r="F230">
        <v>7.5595242599999999</v>
      </c>
      <c r="G230" s="3"/>
      <c r="AA230" t="s">
        <v>264</v>
      </c>
      <c r="AB230" t="s">
        <v>264</v>
      </c>
      <c r="AC230" t="s">
        <v>34</v>
      </c>
      <c r="AD230">
        <v>228</v>
      </c>
      <c r="AF230">
        <v>7.5595242599999999</v>
      </c>
    </row>
    <row r="231" spans="1:32" x14ac:dyDescent="0.25">
      <c r="A231" s="4">
        <v>230</v>
      </c>
      <c r="B231">
        <v>229</v>
      </c>
      <c r="C231">
        <v>1.2588338800000001</v>
      </c>
      <c r="D231">
        <v>2.5346790399999999</v>
      </c>
      <c r="E231">
        <v>8.6163649499999995</v>
      </c>
      <c r="F231">
        <v>7.6163995900000003</v>
      </c>
      <c r="G231" s="3"/>
      <c r="AA231" t="s">
        <v>265</v>
      </c>
      <c r="AB231" t="s">
        <v>265</v>
      </c>
      <c r="AC231" t="s">
        <v>34</v>
      </c>
      <c r="AD231">
        <v>229</v>
      </c>
      <c r="AF231">
        <v>7.6163995900000003</v>
      </c>
    </row>
    <row r="232" spans="1:32" x14ac:dyDescent="0.25">
      <c r="A232" s="4">
        <v>231</v>
      </c>
      <c r="B232">
        <v>230</v>
      </c>
      <c r="C232">
        <v>1.26295359</v>
      </c>
      <c r="D232">
        <v>2.5580833200000002</v>
      </c>
      <c r="E232">
        <v>8.6282430100000003</v>
      </c>
      <c r="F232">
        <v>7.6729526100000003</v>
      </c>
      <c r="G232" s="3"/>
      <c r="AA232" t="s">
        <v>266</v>
      </c>
      <c r="AB232" t="s">
        <v>266</v>
      </c>
      <c r="AC232" t="s">
        <v>34</v>
      </c>
      <c r="AD232">
        <v>230</v>
      </c>
      <c r="AF232">
        <v>7.6729526100000003</v>
      </c>
    </row>
    <row r="233" spans="1:32" x14ac:dyDescent="0.25">
      <c r="A233" s="4">
        <v>232</v>
      </c>
      <c r="B233">
        <v>231</v>
      </c>
      <c r="C233">
        <v>1.26712135</v>
      </c>
      <c r="D233">
        <v>2.58168956</v>
      </c>
      <c r="E233">
        <v>8.6403088300000004</v>
      </c>
      <c r="F233">
        <v>7.7291740799999999</v>
      </c>
      <c r="G233" s="3"/>
      <c r="AA233" t="s">
        <v>267</v>
      </c>
      <c r="AB233" t="s">
        <v>267</v>
      </c>
      <c r="AC233" t="s">
        <v>34</v>
      </c>
      <c r="AD233">
        <v>231</v>
      </c>
      <c r="AF233">
        <v>7.7291740799999999</v>
      </c>
    </row>
    <row r="234" spans="1:32" x14ac:dyDescent="0.25">
      <c r="A234" s="4">
        <v>233</v>
      </c>
      <c r="B234">
        <v>232</v>
      </c>
      <c r="C234">
        <v>1.2713386799999999</v>
      </c>
      <c r="D234">
        <v>2.6054991599999999</v>
      </c>
      <c r="E234">
        <v>8.65256969</v>
      </c>
      <c r="F234">
        <v>7.7850548000000002</v>
      </c>
      <c r="G234" s="3"/>
      <c r="AA234" t="s">
        <v>268</v>
      </c>
      <c r="AB234" t="s">
        <v>268</v>
      </c>
      <c r="AC234" t="s">
        <v>34</v>
      </c>
      <c r="AD234">
        <v>232</v>
      </c>
      <c r="AF234">
        <v>7.7850548000000002</v>
      </c>
    </row>
    <row r="235" spans="1:32" x14ac:dyDescent="0.25">
      <c r="A235" s="4">
        <v>234</v>
      </c>
      <c r="B235">
        <v>233</v>
      </c>
      <c r="C235">
        <v>1.2756071</v>
      </c>
      <c r="D235">
        <v>2.62951354</v>
      </c>
      <c r="E235">
        <v>8.6650328600000002</v>
      </c>
      <c r="F235">
        <v>7.8405855400000002</v>
      </c>
      <c r="G235" s="3"/>
      <c r="AA235" t="s">
        <v>269</v>
      </c>
      <c r="AB235" t="s">
        <v>269</v>
      </c>
      <c r="AC235" t="s">
        <v>34</v>
      </c>
      <c r="AD235">
        <v>233</v>
      </c>
      <c r="AF235">
        <v>7.8405855400000002</v>
      </c>
    </row>
    <row r="236" spans="1:32" x14ac:dyDescent="0.25">
      <c r="A236" s="4">
        <v>235</v>
      </c>
      <c r="B236">
        <v>234</v>
      </c>
      <c r="C236">
        <v>1.27992811</v>
      </c>
      <c r="D236">
        <v>2.6537340899999999</v>
      </c>
      <c r="E236">
        <v>8.6777056199999993</v>
      </c>
      <c r="F236">
        <v>7.89575709</v>
      </c>
      <c r="G236" s="3"/>
      <c r="AA236" t="s">
        <v>270</v>
      </c>
      <c r="AB236" t="s">
        <v>270</v>
      </c>
      <c r="AC236" t="s">
        <v>34</v>
      </c>
      <c r="AD236">
        <v>234</v>
      </c>
      <c r="AF236">
        <v>7.89575709</v>
      </c>
    </row>
    <row r="237" spans="1:32" x14ac:dyDescent="0.25">
      <c r="A237" s="4">
        <v>236</v>
      </c>
      <c r="B237">
        <v>235</v>
      </c>
      <c r="C237">
        <v>1.2843032400000001</v>
      </c>
      <c r="D237">
        <v>2.67816221</v>
      </c>
      <c r="E237">
        <v>8.6905952299999996</v>
      </c>
      <c r="F237">
        <v>7.9505602299999998</v>
      </c>
      <c r="G237" s="3"/>
      <c r="AA237" t="s">
        <v>271</v>
      </c>
      <c r="AB237" t="s">
        <v>271</v>
      </c>
      <c r="AC237" t="s">
        <v>34</v>
      </c>
      <c r="AD237">
        <v>235</v>
      </c>
      <c r="AF237">
        <v>7.9505602299999998</v>
      </c>
    </row>
    <row r="238" spans="1:32" x14ac:dyDescent="0.25">
      <c r="A238" s="4">
        <v>237</v>
      </c>
      <c r="B238">
        <v>236</v>
      </c>
      <c r="C238">
        <v>1.28873401</v>
      </c>
      <c r="D238">
        <v>2.7027992900000002</v>
      </c>
      <c r="E238">
        <v>8.7037089400000003</v>
      </c>
      <c r="F238">
        <v>8.0049857400000004</v>
      </c>
      <c r="G238" s="3"/>
      <c r="AA238" t="s">
        <v>272</v>
      </c>
      <c r="AB238" t="s">
        <v>272</v>
      </c>
      <c r="AC238" t="s">
        <v>34</v>
      </c>
      <c r="AD238">
        <v>236</v>
      </c>
      <c r="AF238">
        <v>8.0049857400000004</v>
      </c>
    </row>
    <row r="239" spans="1:32" x14ac:dyDescent="0.25">
      <c r="A239" s="4">
        <v>238</v>
      </c>
      <c r="B239">
        <v>237</v>
      </c>
      <c r="C239">
        <v>1.2932219199999999</v>
      </c>
      <c r="D239">
        <v>2.72764674</v>
      </c>
      <c r="E239">
        <v>8.7170540200000008</v>
      </c>
      <c r="F239">
        <v>8.0590244099999992</v>
      </c>
      <c r="G239" s="3"/>
      <c r="AA239" t="s">
        <v>273</v>
      </c>
      <c r="AB239" t="s">
        <v>273</v>
      </c>
      <c r="AC239" t="s">
        <v>34</v>
      </c>
      <c r="AD239">
        <v>237</v>
      </c>
      <c r="AF239">
        <v>8.0590244099999992</v>
      </c>
    </row>
    <row r="240" spans="1:32" x14ac:dyDescent="0.25">
      <c r="A240" s="4">
        <v>239</v>
      </c>
      <c r="B240">
        <v>238</v>
      </c>
      <c r="C240">
        <v>1.2977685000000001</v>
      </c>
      <c r="D240">
        <v>2.7527059299999999</v>
      </c>
      <c r="E240">
        <v>8.7306377000000008</v>
      </c>
      <c r="F240">
        <v>8.11266702</v>
      </c>
      <c r="G240" s="3"/>
      <c r="AA240" t="s">
        <v>274</v>
      </c>
      <c r="AB240" t="s">
        <v>274</v>
      </c>
      <c r="AC240" t="s">
        <v>34</v>
      </c>
      <c r="AD240">
        <v>238</v>
      </c>
      <c r="AF240">
        <v>8.11266702</v>
      </c>
    </row>
    <row r="241" spans="1:32" x14ac:dyDescent="0.25">
      <c r="A241" s="4">
        <v>240</v>
      </c>
      <c r="B241">
        <v>239</v>
      </c>
      <c r="C241">
        <v>1.3023752500000001</v>
      </c>
      <c r="D241">
        <v>2.7779782700000002</v>
      </c>
      <c r="E241">
        <v>8.7444672299999997</v>
      </c>
      <c r="F241">
        <v>8.1659043499999999</v>
      </c>
      <c r="G241" s="3"/>
      <c r="AA241" t="s">
        <v>275</v>
      </c>
      <c r="AB241" t="s">
        <v>275</v>
      </c>
      <c r="AC241" t="s">
        <v>34</v>
      </c>
      <c r="AD241">
        <v>239</v>
      </c>
      <c r="AF241">
        <v>8.1659043499999999</v>
      </c>
    </row>
    <row r="242" spans="1:32" x14ac:dyDescent="0.25">
      <c r="A242" s="4">
        <v>241</v>
      </c>
      <c r="B242">
        <v>240</v>
      </c>
      <c r="C242">
        <v>1.3070436999999999</v>
      </c>
      <c r="D242">
        <v>2.8034651300000002</v>
      </c>
      <c r="E242">
        <v>8.7585498499999996</v>
      </c>
      <c r="F242">
        <v>8.2187271899999992</v>
      </c>
      <c r="G242" s="3"/>
      <c r="AA242" t="s">
        <v>276</v>
      </c>
      <c r="AB242" t="s">
        <v>276</v>
      </c>
      <c r="AC242" t="s">
        <v>34</v>
      </c>
      <c r="AD242">
        <v>240</v>
      </c>
      <c r="AF242">
        <v>8.2187271899999992</v>
      </c>
    </row>
    <row r="243" spans="1:32" x14ac:dyDescent="0.25">
      <c r="A243" s="4">
        <v>242</v>
      </c>
      <c r="B243">
        <v>241</v>
      </c>
      <c r="C243">
        <v>1.31159626</v>
      </c>
      <c r="D243">
        <v>2.8287927700000002</v>
      </c>
      <c r="E243">
        <v>8.7728927900000002</v>
      </c>
      <c r="F243">
        <v>8.2711263200000005</v>
      </c>
      <c r="G243" s="3"/>
      <c r="AA243" t="s">
        <v>277</v>
      </c>
      <c r="AB243" t="s">
        <v>277</v>
      </c>
      <c r="AC243" t="s">
        <v>34</v>
      </c>
      <c r="AD243">
        <v>241</v>
      </c>
      <c r="AF243">
        <v>8.2711263200000005</v>
      </c>
    </row>
    <row r="244" spans="1:32" x14ac:dyDescent="0.25">
      <c r="A244" s="4">
        <v>243</v>
      </c>
      <c r="B244">
        <v>242</v>
      </c>
      <c r="C244">
        <v>1.3158770500000001</v>
      </c>
      <c r="D244">
        <v>2.8536155299999999</v>
      </c>
      <c r="E244">
        <v>8.7875032700000002</v>
      </c>
      <c r="F244">
        <v>8.3230925100000004</v>
      </c>
      <c r="G244" s="3"/>
      <c r="AA244" t="s">
        <v>278</v>
      </c>
      <c r="AB244" t="s">
        <v>278</v>
      </c>
      <c r="AC244" t="s">
        <v>34</v>
      </c>
      <c r="AD244">
        <v>242</v>
      </c>
      <c r="AF244">
        <v>8.3230925100000004</v>
      </c>
    </row>
    <row r="245" spans="1:32" x14ac:dyDescent="0.25">
      <c r="A245" s="4">
        <v>244</v>
      </c>
      <c r="B245">
        <v>243</v>
      </c>
      <c r="C245">
        <v>1.3199200600000001</v>
      </c>
      <c r="D245">
        <v>2.8779768899999998</v>
      </c>
      <c r="E245">
        <v>8.8023885100000001</v>
      </c>
      <c r="F245">
        <v>8.3746165599999998</v>
      </c>
      <c r="G245" s="3"/>
      <c r="AA245" t="s">
        <v>279</v>
      </c>
      <c r="AB245" t="s">
        <v>279</v>
      </c>
      <c r="AC245" t="s">
        <v>34</v>
      </c>
      <c r="AD245">
        <v>243</v>
      </c>
      <c r="AF245">
        <v>8.3746165599999998</v>
      </c>
    </row>
    <row r="246" spans="1:32" x14ac:dyDescent="0.25">
      <c r="A246" s="4">
        <v>245</v>
      </c>
      <c r="B246">
        <v>244</v>
      </c>
      <c r="C246">
        <v>1.3237593000000001</v>
      </c>
      <c r="D246">
        <v>2.9019202800000001</v>
      </c>
      <c r="E246">
        <v>8.8175557199999997</v>
      </c>
      <c r="F246">
        <v>8.4256892400000005</v>
      </c>
      <c r="G246" s="3"/>
      <c r="AA246" t="s">
        <v>280</v>
      </c>
      <c r="AB246" t="s">
        <v>280</v>
      </c>
      <c r="AC246" t="s">
        <v>34</v>
      </c>
      <c r="AD246">
        <v>244</v>
      </c>
      <c r="AF246">
        <v>8.4256892400000005</v>
      </c>
    </row>
    <row r="247" spans="1:32" x14ac:dyDescent="0.25">
      <c r="A247" s="4">
        <v>246</v>
      </c>
      <c r="B247">
        <v>245</v>
      </c>
      <c r="C247">
        <v>1.32742877</v>
      </c>
      <c r="D247">
        <v>2.9254890900000001</v>
      </c>
      <c r="E247">
        <v>8.8330120999999995</v>
      </c>
      <c r="F247">
        <v>8.47630135</v>
      </c>
      <c r="G247" s="3"/>
      <c r="AA247" t="s">
        <v>281</v>
      </c>
      <c r="AB247" t="s">
        <v>281</v>
      </c>
      <c r="AC247" t="s">
        <v>34</v>
      </c>
      <c r="AD247">
        <v>245</v>
      </c>
      <c r="AF247">
        <v>8.47630135</v>
      </c>
    </row>
    <row r="248" spans="1:32" x14ac:dyDescent="0.25">
      <c r="A248" s="4">
        <v>247</v>
      </c>
      <c r="B248">
        <v>246</v>
      </c>
      <c r="C248">
        <v>1.3309624600000001</v>
      </c>
      <c r="D248">
        <v>2.9487266600000002</v>
      </c>
      <c r="E248">
        <v>8.8487648599999993</v>
      </c>
      <c r="F248">
        <v>8.5264436499999992</v>
      </c>
      <c r="G248" s="3"/>
      <c r="AA248" t="s">
        <v>282</v>
      </c>
      <c r="AB248" t="s">
        <v>282</v>
      </c>
      <c r="AC248" t="s">
        <v>34</v>
      </c>
      <c r="AD248">
        <v>246</v>
      </c>
      <c r="AF248">
        <v>8.5264436499999992</v>
      </c>
    </row>
    <row r="249" spans="1:32" x14ac:dyDescent="0.25">
      <c r="A249" s="4">
        <v>248</v>
      </c>
      <c r="B249">
        <v>247</v>
      </c>
      <c r="C249">
        <v>1.3343943599999999</v>
      </c>
      <c r="D249">
        <v>2.9716762999999999</v>
      </c>
      <c r="E249">
        <v>8.8648211799999999</v>
      </c>
      <c r="F249">
        <v>8.5761069400000007</v>
      </c>
      <c r="G249" s="3"/>
      <c r="AA249" t="s">
        <v>283</v>
      </c>
      <c r="AB249" t="s">
        <v>283</v>
      </c>
      <c r="AC249" t="s">
        <v>34</v>
      </c>
      <c r="AD249">
        <v>247</v>
      </c>
      <c r="AF249">
        <v>8.5761069400000007</v>
      </c>
    </row>
    <row r="250" spans="1:32" x14ac:dyDescent="0.25">
      <c r="A250" s="4">
        <v>249</v>
      </c>
      <c r="B250">
        <v>248</v>
      </c>
      <c r="C250">
        <v>1.33775844</v>
      </c>
      <c r="D250">
        <v>2.9943812699999999</v>
      </c>
      <c r="E250">
        <v>8.8811882400000002</v>
      </c>
      <c r="F250">
        <v>8.6252820000000003</v>
      </c>
      <c r="G250" s="3"/>
      <c r="AA250" t="s">
        <v>284</v>
      </c>
      <c r="AB250" t="s">
        <v>284</v>
      </c>
      <c r="AC250" t="s">
        <v>34</v>
      </c>
      <c r="AD250">
        <v>248</v>
      </c>
      <c r="AF250">
        <v>8.6252820000000003</v>
      </c>
    </row>
    <row r="251" spans="1:32" x14ac:dyDescent="0.25">
      <c r="A251" s="4">
        <v>250</v>
      </c>
      <c r="B251">
        <v>249</v>
      </c>
      <c r="C251">
        <v>1.3410886799999999</v>
      </c>
      <c r="D251">
        <v>3.0168848000000001</v>
      </c>
      <c r="E251">
        <v>8.8978732199999993</v>
      </c>
      <c r="F251">
        <v>8.6739595999999999</v>
      </c>
      <c r="G251" s="3"/>
      <c r="AA251" t="s">
        <v>285</v>
      </c>
      <c r="AB251" t="s">
        <v>285</v>
      </c>
      <c r="AC251" t="s">
        <v>34</v>
      </c>
      <c r="AD251">
        <v>249</v>
      </c>
      <c r="AF251">
        <v>8.6739595999999999</v>
      </c>
    </row>
    <row r="252" spans="1:32" x14ac:dyDescent="0.25">
      <c r="A252" s="4">
        <v>251</v>
      </c>
      <c r="B252">
        <v>250</v>
      </c>
      <c r="C252">
        <v>1.3444190600000001</v>
      </c>
      <c r="D252">
        <v>3.0392300699999999</v>
      </c>
      <c r="E252">
        <v>8.9148832900000006</v>
      </c>
      <c r="F252">
        <v>8.7221305400000002</v>
      </c>
      <c r="G252" s="3"/>
      <c r="AA252" t="s">
        <v>286</v>
      </c>
      <c r="AB252" t="s">
        <v>286</v>
      </c>
      <c r="AC252" t="s">
        <v>34</v>
      </c>
      <c r="AD252">
        <v>250</v>
      </c>
      <c r="AF252">
        <v>8.7221305400000002</v>
      </c>
    </row>
    <row r="253" spans="1:32" x14ac:dyDescent="0.25">
      <c r="A253" s="4">
        <v>252</v>
      </c>
      <c r="B253">
        <v>251</v>
      </c>
      <c r="C253">
        <v>1.3477835499999999</v>
      </c>
      <c r="D253">
        <v>3.0614602400000002</v>
      </c>
      <c r="E253">
        <v>8.9322256000000007</v>
      </c>
      <c r="F253">
        <v>8.7697856000000005</v>
      </c>
      <c r="G253" s="3"/>
      <c r="AA253" t="s">
        <v>287</v>
      </c>
      <c r="AB253" t="s">
        <v>287</v>
      </c>
      <c r="AC253" t="s">
        <v>34</v>
      </c>
      <c r="AD253">
        <v>251</v>
      </c>
      <c r="AF253">
        <v>8.7697856000000005</v>
      </c>
    </row>
    <row r="254" spans="1:32" x14ac:dyDescent="0.25">
      <c r="A254" s="4">
        <v>253</v>
      </c>
      <c r="B254">
        <v>252</v>
      </c>
      <c r="C254">
        <v>1.3512161</v>
      </c>
      <c r="D254">
        <v>3.0836184200000001</v>
      </c>
      <c r="E254">
        <v>8.9499073100000004</v>
      </c>
      <c r="F254">
        <v>8.8169155499999992</v>
      </c>
      <c r="G254" s="3"/>
      <c r="AA254" t="s">
        <v>288</v>
      </c>
      <c r="AB254" t="s">
        <v>288</v>
      </c>
      <c r="AC254" t="s">
        <v>34</v>
      </c>
      <c r="AD254">
        <v>252</v>
      </c>
      <c r="AF254">
        <v>8.8169155499999992</v>
      </c>
    </row>
    <row r="255" spans="1:32" x14ac:dyDescent="0.25">
      <c r="A255" s="4">
        <v>254</v>
      </c>
      <c r="B255">
        <v>253</v>
      </c>
      <c r="C255">
        <v>1.3547506899999999</v>
      </c>
      <c r="D255">
        <v>3.1057476799999999</v>
      </c>
      <c r="E255">
        <v>8.9679355600000008</v>
      </c>
      <c r="F255">
        <v>8.8635111799999997</v>
      </c>
      <c r="G255" s="3"/>
      <c r="AA255" t="s">
        <v>289</v>
      </c>
      <c r="AB255" t="s">
        <v>289</v>
      </c>
      <c r="AC255" t="s">
        <v>34</v>
      </c>
      <c r="AD255">
        <v>253</v>
      </c>
      <c r="AF255">
        <v>8.8635111799999997</v>
      </c>
    </row>
    <row r="256" spans="1:32" x14ac:dyDescent="0.25">
      <c r="A256" s="4">
        <v>255</v>
      </c>
      <c r="B256">
        <v>254</v>
      </c>
      <c r="C256">
        <v>1.3584212499999999</v>
      </c>
      <c r="D256">
        <v>3.1278910600000001</v>
      </c>
      <c r="E256">
        <v>8.9863174699999995</v>
      </c>
      <c r="F256">
        <v>8.9095632800000004</v>
      </c>
      <c r="G256" s="3"/>
      <c r="AA256" t="s">
        <v>290</v>
      </c>
      <c r="AB256" t="s">
        <v>290</v>
      </c>
      <c r="AC256" t="s">
        <v>34</v>
      </c>
      <c r="AD256">
        <v>254</v>
      </c>
      <c r="AF256">
        <v>8.9095632800000004</v>
      </c>
    </row>
    <row r="257" spans="1:32" x14ac:dyDescent="0.25">
      <c r="A257" s="4">
        <v>256</v>
      </c>
      <c r="B257">
        <v>255</v>
      </c>
      <c r="C257">
        <v>1.36226175</v>
      </c>
      <c r="D257">
        <v>3.1500915799999998</v>
      </c>
      <c r="E257">
        <v>9.0050601799999992</v>
      </c>
      <c r="F257">
        <v>8.9550626300000005</v>
      </c>
      <c r="G257" s="3"/>
      <c r="AA257" t="s">
        <v>291</v>
      </c>
      <c r="AB257" t="s">
        <v>291</v>
      </c>
      <c r="AC257" t="s">
        <v>34</v>
      </c>
      <c r="AD257">
        <v>255</v>
      </c>
      <c r="AF257">
        <v>8.9550626300000005</v>
      </c>
    </row>
    <row r="258" spans="1:32" x14ac:dyDescent="0.25">
      <c r="A258" s="4">
        <v>257</v>
      </c>
      <c r="B258">
        <v>256</v>
      </c>
      <c r="C258">
        <v>1.3663061299999999</v>
      </c>
      <c r="D258">
        <v>3.1723922</v>
      </c>
      <c r="E258">
        <v>9.0241708000000003</v>
      </c>
      <c r="F258">
        <v>9</v>
      </c>
      <c r="G258" s="3"/>
      <c r="AA258" t="s">
        <v>292</v>
      </c>
      <c r="AB258" t="s">
        <v>292</v>
      </c>
      <c r="AC258" t="s">
        <v>34</v>
      </c>
      <c r="AD258">
        <v>256</v>
      </c>
      <c r="AF258">
        <v>9</v>
      </c>
    </row>
    <row r="259" spans="1:32" x14ac:dyDescent="0.25">
      <c r="A259" s="4">
        <v>258</v>
      </c>
      <c r="B259">
        <v>257</v>
      </c>
      <c r="C259">
        <v>1.3705883299999999</v>
      </c>
      <c r="D259">
        <v>3.19483585</v>
      </c>
      <c r="E259">
        <v>9.0436564199999996</v>
      </c>
      <c r="F259">
        <v>9.0437993599999995</v>
      </c>
      <c r="G259" s="3"/>
      <c r="AA259" t="s">
        <v>293</v>
      </c>
      <c r="AB259" t="s">
        <v>293</v>
      </c>
      <c r="AC259" t="s">
        <v>34</v>
      </c>
      <c r="AD259">
        <v>257</v>
      </c>
      <c r="AF259">
        <v>9.0437993599999995</v>
      </c>
    </row>
    <row r="260" spans="1:32" x14ac:dyDescent="0.25">
      <c r="A260" s="4">
        <v>259</v>
      </c>
      <c r="B260">
        <v>258</v>
      </c>
      <c r="C260">
        <v>1.37514227</v>
      </c>
      <c r="D260">
        <v>3.2174654299999998</v>
      </c>
      <c r="E260">
        <v>9.0635241600000001</v>
      </c>
      <c r="F260">
        <v>9.0859390599999994</v>
      </c>
      <c r="G260" s="3"/>
      <c r="AA260" t="s">
        <v>294</v>
      </c>
      <c r="AB260" t="s">
        <v>294</v>
      </c>
      <c r="AC260" t="s">
        <v>34</v>
      </c>
      <c r="AD260">
        <v>258</v>
      </c>
      <c r="AF260">
        <v>9.0859390599999994</v>
      </c>
    </row>
    <row r="261" spans="1:32" x14ac:dyDescent="0.25">
      <c r="A261" s="4">
        <v>260</v>
      </c>
      <c r="B261">
        <v>259</v>
      </c>
      <c r="C261">
        <v>1.38000189</v>
      </c>
      <c r="D261">
        <v>3.2403237900000001</v>
      </c>
      <c r="E261">
        <v>9.0837810799999996</v>
      </c>
      <c r="F261">
        <v>9.1264914899999994</v>
      </c>
      <c r="G261" s="3"/>
      <c r="AA261" t="s">
        <v>295</v>
      </c>
      <c r="AB261" t="s">
        <v>295</v>
      </c>
      <c r="AC261" t="s">
        <v>34</v>
      </c>
      <c r="AD261">
        <v>259</v>
      </c>
      <c r="AF261">
        <v>9.1264914899999994</v>
      </c>
    </row>
    <row r="262" spans="1:32" x14ac:dyDescent="0.25">
      <c r="A262" s="4">
        <v>261</v>
      </c>
      <c r="B262">
        <v>260</v>
      </c>
      <c r="C262">
        <v>1.38520109</v>
      </c>
      <c r="D262">
        <v>3.26345375</v>
      </c>
      <c r="E262">
        <v>9.1044342700000005</v>
      </c>
      <c r="F262">
        <v>9.1655290199999992</v>
      </c>
      <c r="G262" s="3"/>
      <c r="AA262" t="s">
        <v>296</v>
      </c>
      <c r="AB262" t="s">
        <v>296</v>
      </c>
      <c r="AC262" t="s">
        <v>34</v>
      </c>
      <c r="AD262">
        <v>260</v>
      </c>
      <c r="AF262">
        <v>9.1655290199999992</v>
      </c>
    </row>
    <row r="263" spans="1:32" x14ac:dyDescent="0.25">
      <c r="A263" s="4">
        <v>262</v>
      </c>
      <c r="B263">
        <v>261</v>
      </c>
      <c r="C263">
        <v>1.39077378</v>
      </c>
      <c r="D263">
        <v>3.2868981000000002</v>
      </c>
      <c r="E263">
        <v>9.1254907900000006</v>
      </c>
      <c r="F263">
        <v>9.2031240400000005</v>
      </c>
      <c r="G263" s="3"/>
      <c r="AA263" t="s">
        <v>297</v>
      </c>
      <c r="AB263" t="s">
        <v>297</v>
      </c>
      <c r="AC263" t="s">
        <v>34</v>
      </c>
      <c r="AD263">
        <v>261</v>
      </c>
      <c r="AF263">
        <v>9.2031240400000005</v>
      </c>
    </row>
    <row r="264" spans="1:32" x14ac:dyDescent="0.25">
      <c r="A264" s="4">
        <v>263</v>
      </c>
      <c r="B264">
        <v>262</v>
      </c>
      <c r="C264">
        <v>1.39675387</v>
      </c>
      <c r="D264">
        <v>3.3106995700000001</v>
      </c>
      <c r="E264">
        <v>9.1469576900000007</v>
      </c>
      <c r="F264">
        <v>9.2393489100000004</v>
      </c>
      <c r="G264" s="3"/>
      <c r="AA264" t="s">
        <v>298</v>
      </c>
      <c r="AB264" t="s">
        <v>298</v>
      </c>
      <c r="AC264" t="s">
        <v>34</v>
      </c>
      <c r="AD264">
        <v>262</v>
      </c>
      <c r="AF264">
        <v>9.2393489100000004</v>
      </c>
    </row>
    <row r="265" spans="1:32" x14ac:dyDescent="0.25">
      <c r="A265" s="4">
        <v>264</v>
      </c>
      <c r="B265">
        <v>263</v>
      </c>
      <c r="C265">
        <v>1.4031752200000001</v>
      </c>
      <c r="D265">
        <v>3.3349008499999999</v>
      </c>
      <c r="E265">
        <v>9.1688420100000005</v>
      </c>
      <c r="F265">
        <v>9.2742760299999993</v>
      </c>
      <c r="G265" s="3"/>
      <c r="AA265" t="s">
        <v>299</v>
      </c>
      <c r="AB265" t="s">
        <v>299</v>
      </c>
      <c r="AC265" t="s">
        <v>34</v>
      </c>
      <c r="AD265">
        <v>263</v>
      </c>
      <c r="AF265">
        <v>9.2742760299999993</v>
      </c>
    </row>
    <row r="266" spans="1:32" x14ac:dyDescent="0.25">
      <c r="A266" s="4">
        <v>265</v>
      </c>
      <c r="B266">
        <v>264</v>
      </c>
      <c r="C266">
        <v>1.4100717199999999</v>
      </c>
      <c r="D266">
        <v>3.3595446099999999</v>
      </c>
      <c r="E266">
        <v>9.1911507700000001</v>
      </c>
      <c r="F266">
        <v>9.3079777799999999</v>
      </c>
      <c r="G266" s="3"/>
      <c r="AA266" t="s">
        <v>300</v>
      </c>
      <c r="AB266" t="s">
        <v>300</v>
      </c>
      <c r="AC266" t="s">
        <v>34</v>
      </c>
      <c r="AD266">
        <v>264</v>
      </c>
      <c r="AF266">
        <v>9.3079777799999999</v>
      </c>
    </row>
    <row r="267" spans="1:32" x14ac:dyDescent="0.25">
      <c r="A267" s="4">
        <v>266</v>
      </c>
      <c r="B267">
        <v>265</v>
      </c>
      <c r="C267">
        <v>1.4174772099999999</v>
      </c>
      <c r="D267">
        <v>3.3846734399999998</v>
      </c>
      <c r="E267">
        <v>9.2138910099999993</v>
      </c>
      <c r="F267">
        <v>9.34052653</v>
      </c>
      <c r="G267" s="3"/>
      <c r="AA267" t="s">
        <v>301</v>
      </c>
      <c r="AB267" t="s">
        <v>301</v>
      </c>
      <c r="AC267" t="s">
        <v>34</v>
      </c>
      <c r="AD267">
        <v>265</v>
      </c>
      <c r="AF267">
        <v>9.34052653</v>
      </c>
    </row>
    <row r="268" spans="1:32" x14ac:dyDescent="0.25">
      <c r="A268" s="4">
        <v>267</v>
      </c>
      <c r="B268">
        <v>266</v>
      </c>
      <c r="C268">
        <v>1.42542554</v>
      </c>
      <c r="D268">
        <v>3.4103299100000002</v>
      </c>
      <c r="E268">
        <v>9.2370697100000001</v>
      </c>
      <c r="F268">
        <v>9.3719946600000004</v>
      </c>
      <c r="G268" s="3"/>
      <c r="AA268" t="s">
        <v>302</v>
      </c>
      <c r="AB268" t="s">
        <v>302</v>
      </c>
      <c r="AC268" t="s">
        <v>34</v>
      </c>
      <c r="AD268">
        <v>266</v>
      </c>
      <c r="AF268">
        <v>9.3719946600000004</v>
      </c>
    </row>
    <row r="269" spans="1:32" x14ac:dyDescent="0.25">
      <c r="A269" s="4">
        <v>268</v>
      </c>
      <c r="B269">
        <v>267</v>
      </c>
      <c r="C269">
        <v>1.43395052</v>
      </c>
      <c r="D269">
        <v>3.4365565199999999</v>
      </c>
      <c r="E269">
        <v>9.2606938700000008</v>
      </c>
      <c r="F269">
        <v>9.4024545499999999</v>
      </c>
      <c r="G269" s="3"/>
      <c r="AA269" t="s">
        <v>303</v>
      </c>
      <c r="AB269" t="s">
        <v>303</v>
      </c>
      <c r="AC269" t="s">
        <v>34</v>
      </c>
      <c r="AD269">
        <v>267</v>
      </c>
      <c r="AF269">
        <v>9.4024545499999999</v>
      </c>
    </row>
    <row r="270" spans="1:32" x14ac:dyDescent="0.25">
      <c r="A270" s="4">
        <v>269</v>
      </c>
      <c r="B270">
        <v>268</v>
      </c>
      <c r="C270">
        <v>1.4430859599999999</v>
      </c>
      <c r="D270">
        <v>3.4633957500000001</v>
      </c>
      <c r="E270">
        <v>9.2847704800000006</v>
      </c>
      <c r="F270">
        <v>9.4319785899999999</v>
      </c>
      <c r="G270" s="3"/>
      <c r="AA270" t="s">
        <v>304</v>
      </c>
      <c r="AB270" t="s">
        <v>304</v>
      </c>
      <c r="AC270" t="s">
        <v>34</v>
      </c>
      <c r="AD270">
        <v>268</v>
      </c>
      <c r="AF270">
        <v>9.4319785899999999</v>
      </c>
    </row>
    <row r="271" spans="1:32" x14ac:dyDescent="0.25">
      <c r="A271" s="4">
        <v>270</v>
      </c>
      <c r="B271">
        <v>269</v>
      </c>
      <c r="C271">
        <v>1.45286564</v>
      </c>
      <c r="D271">
        <v>3.4908899899999999</v>
      </c>
      <c r="E271">
        <v>9.3093064999999999</v>
      </c>
      <c r="F271">
        <v>9.4606391500000004</v>
      </c>
      <c r="G271" s="3"/>
      <c r="AA271" t="s">
        <v>305</v>
      </c>
      <c r="AB271" t="s">
        <v>305</v>
      </c>
      <c r="AC271" t="s">
        <v>34</v>
      </c>
      <c r="AD271">
        <v>269</v>
      </c>
      <c r="AF271">
        <v>9.4606391500000004</v>
      </c>
    </row>
    <row r="272" spans="1:32" x14ac:dyDescent="0.25">
      <c r="A272" s="4">
        <v>271</v>
      </c>
      <c r="B272">
        <v>270</v>
      </c>
      <c r="C272">
        <v>1.46332331</v>
      </c>
      <c r="D272">
        <v>3.5190815799999999</v>
      </c>
      <c r="E272">
        <v>9.3343088699999992</v>
      </c>
      <c r="F272">
        <v>9.4885086199999993</v>
      </c>
      <c r="G272" s="3"/>
      <c r="AA272" t="s">
        <v>306</v>
      </c>
      <c r="AB272" t="s">
        <v>306</v>
      </c>
      <c r="AC272" t="s">
        <v>34</v>
      </c>
      <c r="AD272">
        <v>270</v>
      </c>
      <c r="AF272">
        <v>9.4885086199999993</v>
      </c>
    </row>
    <row r="273" spans="1:32" x14ac:dyDescent="0.25">
      <c r="A273" s="4">
        <v>272</v>
      </c>
      <c r="B273">
        <v>271</v>
      </c>
      <c r="C273">
        <v>1.47449271</v>
      </c>
      <c r="D273">
        <v>3.5480128299999998</v>
      </c>
      <c r="E273">
        <v>9.3597845399999997</v>
      </c>
      <c r="F273">
        <v>9.5156593699999998</v>
      </c>
      <c r="G273" s="3"/>
      <c r="AA273" t="s">
        <v>307</v>
      </c>
      <c r="AB273" t="s">
        <v>307</v>
      </c>
      <c r="AC273" t="s">
        <v>34</v>
      </c>
      <c r="AD273">
        <v>271</v>
      </c>
      <c r="AF273">
        <v>9.5156593699999998</v>
      </c>
    </row>
    <row r="274" spans="1:32" x14ac:dyDescent="0.25">
      <c r="A274" s="4">
        <v>273</v>
      </c>
      <c r="B274">
        <v>272</v>
      </c>
      <c r="C274">
        <v>1.4864075299999999</v>
      </c>
      <c r="D274">
        <v>3.57772596</v>
      </c>
      <c r="E274">
        <v>9.3857404399999993</v>
      </c>
      <c r="F274">
        <v>9.5421637799999992</v>
      </c>
      <c r="G274" s="3"/>
      <c r="AA274" t="s">
        <v>308</v>
      </c>
      <c r="AB274" t="s">
        <v>308</v>
      </c>
      <c r="AC274" t="s">
        <v>34</v>
      </c>
      <c r="AD274">
        <v>272</v>
      </c>
      <c r="AF274">
        <v>9.5421637799999992</v>
      </c>
    </row>
    <row r="275" spans="1:32" x14ac:dyDescent="0.25">
      <c r="A275" s="4">
        <v>274</v>
      </c>
      <c r="B275">
        <v>273</v>
      </c>
      <c r="C275">
        <v>1.49910144</v>
      </c>
      <c r="D275">
        <v>3.6082631300000001</v>
      </c>
      <c r="E275">
        <v>9.4121834599999996</v>
      </c>
      <c r="F275">
        <v>9.5680942400000006</v>
      </c>
      <c r="G275" s="3"/>
      <c r="AA275" t="s">
        <v>309</v>
      </c>
      <c r="AB275" t="s">
        <v>309</v>
      </c>
      <c r="AC275" t="s">
        <v>34</v>
      </c>
      <c r="AD275">
        <v>273</v>
      </c>
      <c r="AF275">
        <v>9.5680942400000006</v>
      </c>
    </row>
    <row r="276" spans="1:32" x14ac:dyDescent="0.25">
      <c r="A276" s="4">
        <v>275</v>
      </c>
      <c r="B276">
        <v>274</v>
      </c>
      <c r="C276">
        <v>1.5126081</v>
      </c>
      <c r="D276">
        <v>3.6396664300000001</v>
      </c>
      <c r="E276">
        <v>9.4391205100000004</v>
      </c>
      <c r="F276">
        <v>9.5935231200000004</v>
      </c>
      <c r="G276" s="3"/>
      <c r="AA276" t="s">
        <v>310</v>
      </c>
      <c r="AB276" t="s">
        <v>310</v>
      </c>
      <c r="AC276" t="s">
        <v>34</v>
      </c>
      <c r="AD276">
        <v>274</v>
      </c>
      <c r="AF276">
        <v>9.5935231200000004</v>
      </c>
    </row>
    <row r="277" spans="1:32" x14ac:dyDescent="0.25">
      <c r="A277" s="4">
        <v>276</v>
      </c>
      <c r="B277">
        <v>275</v>
      </c>
      <c r="C277">
        <v>1.5269611000000001</v>
      </c>
      <c r="D277">
        <v>3.67197789</v>
      </c>
      <c r="E277">
        <v>9.4665584700000007</v>
      </c>
      <c r="F277">
        <v>9.61852281</v>
      </c>
      <c r="G277" s="3"/>
      <c r="AA277" t="s">
        <v>311</v>
      </c>
      <c r="AB277" t="s">
        <v>311</v>
      </c>
      <c r="AC277" t="s">
        <v>34</v>
      </c>
      <c r="AD277">
        <v>275</v>
      </c>
      <c r="AF277">
        <v>9.61852281</v>
      </c>
    </row>
    <row r="278" spans="1:32" x14ac:dyDescent="0.25">
      <c r="A278" s="4">
        <v>277</v>
      </c>
      <c r="B278">
        <v>276</v>
      </c>
      <c r="C278">
        <v>1.54219401</v>
      </c>
      <c r="D278">
        <v>3.7052394500000001</v>
      </c>
      <c r="E278">
        <v>9.4945041900000007</v>
      </c>
      <c r="F278">
        <v>9.6431656799999992</v>
      </c>
      <c r="G278" s="3"/>
      <c r="AA278" t="s">
        <v>312</v>
      </c>
      <c r="AB278" t="s">
        <v>312</v>
      </c>
      <c r="AC278" t="s">
        <v>34</v>
      </c>
      <c r="AD278">
        <v>276</v>
      </c>
      <c r="AF278">
        <v>9.6431656799999992</v>
      </c>
    </row>
    <row r="279" spans="1:32" x14ac:dyDescent="0.25">
      <c r="A279" s="4">
        <v>278</v>
      </c>
      <c r="B279">
        <v>277</v>
      </c>
      <c r="C279">
        <v>1.5583403600000001</v>
      </c>
      <c r="D279">
        <v>3.7394929700000001</v>
      </c>
      <c r="E279">
        <v>9.5229645299999994</v>
      </c>
      <c r="F279">
        <v>9.6675241199999995</v>
      </c>
      <c r="G279" s="3"/>
      <c r="AA279" t="s">
        <v>313</v>
      </c>
      <c r="AB279" t="s">
        <v>313</v>
      </c>
      <c r="AC279" t="s">
        <v>34</v>
      </c>
      <c r="AD279">
        <v>277</v>
      </c>
      <c r="AF279">
        <v>9.6675241199999995</v>
      </c>
    </row>
    <row r="280" spans="1:32" x14ac:dyDescent="0.25">
      <c r="A280" s="4">
        <v>279</v>
      </c>
      <c r="B280">
        <v>278</v>
      </c>
      <c r="C280">
        <v>1.57543364</v>
      </c>
      <c r="D280">
        <v>3.7747802500000001</v>
      </c>
      <c r="E280">
        <v>9.5519463200000008</v>
      </c>
      <c r="F280">
        <v>9.6916705000000007</v>
      </c>
      <c r="G280" s="3"/>
      <c r="AA280" t="s">
        <v>314</v>
      </c>
      <c r="AB280" t="s">
        <v>314</v>
      </c>
      <c r="AC280" t="s">
        <v>34</v>
      </c>
      <c r="AD280">
        <v>278</v>
      </c>
      <c r="AF280">
        <v>9.6916705000000007</v>
      </c>
    </row>
    <row r="281" spans="1:32" x14ac:dyDescent="0.25">
      <c r="A281" s="4">
        <v>280</v>
      </c>
      <c r="B281">
        <v>279</v>
      </c>
      <c r="C281">
        <v>1.5935072699999999</v>
      </c>
      <c r="D281">
        <v>3.8111429800000001</v>
      </c>
      <c r="E281">
        <v>9.5814563699999997</v>
      </c>
      <c r="F281">
        <v>9.7156772</v>
      </c>
      <c r="G281" s="3"/>
      <c r="AA281" t="s">
        <v>315</v>
      </c>
      <c r="AB281" t="s">
        <v>315</v>
      </c>
      <c r="AC281" t="s">
        <v>34</v>
      </c>
      <c r="AD281">
        <v>279</v>
      </c>
      <c r="AF281">
        <v>9.7156772</v>
      </c>
    </row>
    <row r="282" spans="1:32" x14ac:dyDescent="0.25">
      <c r="A282" s="4">
        <v>281</v>
      </c>
      <c r="B282">
        <v>280</v>
      </c>
      <c r="C282">
        <v>1.6125946499999999</v>
      </c>
      <c r="D282">
        <v>3.84862276</v>
      </c>
      <c r="E282">
        <v>9.6115014799999994</v>
      </c>
      <c r="F282">
        <v>9.7396166100000006</v>
      </c>
      <c r="G282" s="3"/>
      <c r="AA282" t="s">
        <v>316</v>
      </c>
      <c r="AB282" t="s">
        <v>316</v>
      </c>
      <c r="AC282" t="s">
        <v>34</v>
      </c>
      <c r="AD282">
        <v>280</v>
      </c>
      <c r="AF282">
        <v>9.7396166100000006</v>
      </c>
    </row>
    <row r="283" spans="1:32" x14ac:dyDescent="0.25">
      <c r="A283" s="4">
        <v>282</v>
      </c>
      <c r="B283">
        <v>281</v>
      </c>
      <c r="C283">
        <v>1.63272912</v>
      </c>
      <c r="D283">
        <v>3.8872610999999999</v>
      </c>
      <c r="E283">
        <v>9.6420884200000003</v>
      </c>
      <c r="F283">
        <v>9.7635611000000004</v>
      </c>
      <c r="G283" s="3"/>
      <c r="AA283" t="s">
        <v>317</v>
      </c>
      <c r="AB283" t="s">
        <v>317</v>
      </c>
      <c r="AC283" t="s">
        <v>34</v>
      </c>
      <c r="AD283">
        <v>281</v>
      </c>
      <c r="AF283">
        <v>9.7635611000000004</v>
      </c>
    </row>
    <row r="284" spans="1:32" x14ac:dyDescent="0.25">
      <c r="A284" s="4">
        <v>283</v>
      </c>
      <c r="B284">
        <v>282</v>
      </c>
      <c r="C284">
        <v>1.6539439600000001</v>
      </c>
      <c r="D284">
        <v>3.9270994199999998</v>
      </c>
      <c r="E284">
        <v>9.6732239700000004</v>
      </c>
      <c r="F284">
        <v>9.7875830599999993</v>
      </c>
      <c r="G284" s="3"/>
      <c r="AA284" t="s">
        <v>318</v>
      </c>
      <c r="AB284" t="s">
        <v>318</v>
      </c>
      <c r="AC284" t="s">
        <v>34</v>
      </c>
      <c r="AD284">
        <v>282</v>
      </c>
      <c r="AF284">
        <v>9.7875830599999993</v>
      </c>
    </row>
    <row r="285" spans="1:32" x14ac:dyDescent="0.25">
      <c r="A285" s="4">
        <v>284</v>
      </c>
      <c r="B285">
        <v>283</v>
      </c>
      <c r="C285">
        <v>1.6762723900000001</v>
      </c>
      <c r="D285">
        <v>3.9681790100000001</v>
      </c>
      <c r="E285">
        <v>9.7049148600000006</v>
      </c>
      <c r="F285">
        <v>9.8117548600000006</v>
      </c>
      <c r="G285" s="3"/>
      <c r="AA285" t="s">
        <v>319</v>
      </c>
      <c r="AB285" t="s">
        <v>319</v>
      </c>
      <c r="AC285" t="s">
        <v>34</v>
      </c>
      <c r="AD285">
        <v>283</v>
      </c>
      <c r="AF285">
        <v>9.8117548600000006</v>
      </c>
    </row>
    <row r="286" spans="1:32" x14ac:dyDescent="0.25">
      <c r="A286" s="4">
        <v>285</v>
      </c>
      <c r="B286">
        <v>284</v>
      </c>
      <c r="C286">
        <v>1.69974756</v>
      </c>
      <c r="D286">
        <v>4.0105410700000004</v>
      </c>
      <c r="E286">
        <v>9.7371678100000008</v>
      </c>
      <c r="F286">
        <v>9.8361488900000005</v>
      </c>
      <c r="G286" s="3"/>
      <c r="AA286" t="s">
        <v>320</v>
      </c>
      <c r="AB286" t="s">
        <v>320</v>
      </c>
      <c r="AC286" t="s">
        <v>34</v>
      </c>
      <c r="AD286">
        <v>284</v>
      </c>
      <c r="AF286">
        <v>9.8361488900000005</v>
      </c>
    </row>
    <row r="287" spans="1:32" x14ac:dyDescent="0.25">
      <c r="A287" s="4">
        <v>286</v>
      </c>
      <c r="B287">
        <v>285</v>
      </c>
      <c r="C287">
        <v>1.72440259</v>
      </c>
      <c r="D287">
        <v>4.0542266700000003</v>
      </c>
      <c r="E287">
        <v>9.7699895399999992</v>
      </c>
      <c r="F287">
        <v>9.8608375200000005</v>
      </c>
      <c r="G287" s="3"/>
      <c r="AA287" t="s">
        <v>321</v>
      </c>
      <c r="AB287" t="s">
        <v>321</v>
      </c>
      <c r="AC287" t="s">
        <v>34</v>
      </c>
      <c r="AD287">
        <v>285</v>
      </c>
      <c r="AF287">
        <v>9.8608375200000005</v>
      </c>
    </row>
    <row r="288" spans="1:32" x14ac:dyDescent="0.25">
      <c r="A288" s="4">
        <v>287</v>
      </c>
      <c r="B288">
        <v>286</v>
      </c>
      <c r="C288">
        <v>1.75027048</v>
      </c>
      <c r="D288">
        <v>4.0992767700000003</v>
      </c>
      <c r="E288">
        <v>9.8033867400000005</v>
      </c>
      <c r="F288">
        <v>9.8858931400000003</v>
      </c>
      <c r="G288" s="3"/>
      <c r="AA288" t="s">
        <v>322</v>
      </c>
      <c r="AB288" t="s">
        <v>322</v>
      </c>
      <c r="AC288" t="s">
        <v>34</v>
      </c>
      <c r="AD288">
        <v>286</v>
      </c>
      <c r="AF288">
        <v>9.8858931400000003</v>
      </c>
    </row>
    <row r="289" spans="1:32" x14ac:dyDescent="0.25">
      <c r="A289" s="4">
        <v>288</v>
      </c>
      <c r="B289">
        <v>287</v>
      </c>
      <c r="C289">
        <v>1.77738419</v>
      </c>
      <c r="D289">
        <v>4.1457322100000003</v>
      </c>
      <c r="E289">
        <v>9.83736605</v>
      </c>
      <c r="F289">
        <v>9.9113881199999998</v>
      </c>
      <c r="G289" s="3"/>
      <c r="AA289" t="s">
        <v>323</v>
      </c>
      <c r="AB289" t="s">
        <v>323</v>
      </c>
      <c r="AC289" t="s">
        <v>34</v>
      </c>
      <c r="AD289">
        <v>287</v>
      </c>
      <c r="AF289">
        <v>9.9113881199999998</v>
      </c>
    </row>
    <row r="290" spans="1:32" x14ac:dyDescent="0.25">
      <c r="A290" s="4">
        <v>289</v>
      </c>
      <c r="B290">
        <v>288</v>
      </c>
      <c r="C290">
        <v>1.8057766</v>
      </c>
      <c r="D290">
        <v>4.1936336900000004</v>
      </c>
      <c r="E290">
        <v>9.8719341400000005</v>
      </c>
      <c r="F290">
        <v>9.9373948500000004</v>
      </c>
      <c r="G290" s="3"/>
      <c r="AA290" t="s">
        <v>324</v>
      </c>
      <c r="AB290" t="s">
        <v>324</v>
      </c>
      <c r="AC290" t="s">
        <v>34</v>
      </c>
      <c r="AD290">
        <v>288</v>
      </c>
      <c r="AF290">
        <v>9.9373948500000004</v>
      </c>
    </row>
    <row r="291" spans="1:32" x14ac:dyDescent="0.25">
      <c r="A291" s="4">
        <v>290</v>
      </c>
      <c r="B291">
        <v>289</v>
      </c>
      <c r="C291">
        <v>1.8354805000000001</v>
      </c>
      <c r="D291">
        <v>4.2430217600000004</v>
      </c>
      <c r="E291">
        <v>9.9070976300000009</v>
      </c>
      <c r="F291">
        <v>9.9639857000000003</v>
      </c>
      <c r="G291" s="3"/>
      <c r="AA291" t="s">
        <v>325</v>
      </c>
      <c r="AB291" t="s">
        <v>325</v>
      </c>
      <c r="AC291" t="s">
        <v>34</v>
      </c>
      <c r="AD291">
        <v>289</v>
      </c>
      <c r="AF291">
        <v>9.9639857000000003</v>
      </c>
    </row>
    <row r="292" spans="1:32" x14ac:dyDescent="0.25">
      <c r="A292" s="4">
        <v>291</v>
      </c>
      <c r="B292">
        <v>290</v>
      </c>
      <c r="C292">
        <v>1.8665286000000001</v>
      </c>
      <c r="D292">
        <v>4.2939368499999997</v>
      </c>
      <c r="E292">
        <v>9.9428631200000002</v>
      </c>
      <c r="F292">
        <v>9.9912330499999999</v>
      </c>
      <c r="G292" s="3"/>
      <c r="AA292" t="s">
        <v>326</v>
      </c>
      <c r="AB292" t="s">
        <v>326</v>
      </c>
      <c r="AC292" t="s">
        <v>34</v>
      </c>
      <c r="AD292">
        <v>290</v>
      </c>
      <c r="AF292">
        <v>9.9912330499999999</v>
      </c>
    </row>
    <row r="293" spans="1:32" x14ac:dyDescent="0.25">
      <c r="A293" s="4">
        <v>292</v>
      </c>
      <c r="B293">
        <v>291</v>
      </c>
      <c r="C293">
        <v>1.89895353</v>
      </c>
      <c r="D293">
        <v>4.3464192300000004</v>
      </c>
      <c r="E293">
        <v>9.9792371899999992</v>
      </c>
      <c r="F293">
        <v>10.0192093</v>
      </c>
      <c r="G293" s="3"/>
      <c r="AA293" t="s">
        <v>327</v>
      </c>
      <c r="AB293" t="s">
        <v>327</v>
      </c>
      <c r="AC293" t="s">
        <v>34</v>
      </c>
      <c r="AD293">
        <v>291</v>
      </c>
      <c r="AF293">
        <v>10.0192093</v>
      </c>
    </row>
    <row r="294" spans="1:32" x14ac:dyDescent="0.25">
      <c r="A294" s="4">
        <v>293</v>
      </c>
      <c r="B294">
        <v>292</v>
      </c>
      <c r="C294">
        <v>1.9327878000000001</v>
      </c>
      <c r="D294">
        <v>4.4005090200000003</v>
      </c>
      <c r="E294">
        <v>10.01622641</v>
      </c>
      <c r="F294">
        <v>10.0479868</v>
      </c>
      <c r="G294" s="3"/>
      <c r="AA294" t="s">
        <v>328</v>
      </c>
      <c r="AB294" t="s">
        <v>328</v>
      </c>
      <c r="AC294" t="s">
        <v>34</v>
      </c>
      <c r="AD294">
        <v>292</v>
      </c>
      <c r="AF294">
        <v>10.0479868</v>
      </c>
    </row>
    <row r="295" spans="1:32" x14ac:dyDescent="0.25">
      <c r="A295" s="4">
        <v>294</v>
      </c>
      <c r="B295">
        <v>293</v>
      </c>
      <c r="C295">
        <v>1.9680638500000001</v>
      </c>
      <c r="D295">
        <v>4.45624617</v>
      </c>
      <c r="E295">
        <v>10.05383731</v>
      </c>
      <c r="F295">
        <v>10.07763795</v>
      </c>
      <c r="G295" s="3"/>
      <c r="AA295" t="s">
        <v>329</v>
      </c>
      <c r="AB295" t="s">
        <v>329</v>
      </c>
      <c r="AC295" t="s">
        <v>34</v>
      </c>
      <c r="AD295">
        <v>293</v>
      </c>
      <c r="AF295">
        <v>10.07763795</v>
      </c>
    </row>
    <row r="296" spans="1:32" x14ac:dyDescent="0.25">
      <c r="A296" s="4">
        <v>295</v>
      </c>
      <c r="B296">
        <v>294</v>
      </c>
      <c r="C296">
        <v>2.0048140000000001</v>
      </c>
      <c r="D296">
        <v>4.5136704700000001</v>
      </c>
      <c r="E296">
        <v>10.092076410000001</v>
      </c>
      <c r="F296">
        <v>10.108235130000001</v>
      </c>
      <c r="G296" s="3"/>
      <c r="AA296" t="s">
        <v>330</v>
      </c>
      <c r="AB296" t="s">
        <v>330</v>
      </c>
      <c r="AC296" t="s">
        <v>34</v>
      </c>
      <c r="AD296">
        <v>294</v>
      </c>
      <c r="AF296">
        <v>10.108235130000001</v>
      </c>
    </row>
    <row r="297" spans="1:32" x14ac:dyDescent="0.25">
      <c r="A297" s="4">
        <v>296</v>
      </c>
      <c r="B297">
        <v>295</v>
      </c>
      <c r="C297">
        <v>2.04307047</v>
      </c>
      <c r="D297">
        <v>4.5728215199999998</v>
      </c>
      <c r="E297">
        <v>10.13095019</v>
      </c>
      <c r="F297">
        <v>10.139850709999999</v>
      </c>
      <c r="G297" s="3"/>
      <c r="AA297" t="s">
        <v>331</v>
      </c>
      <c r="AB297" t="s">
        <v>331</v>
      </c>
      <c r="AC297" t="s">
        <v>34</v>
      </c>
      <c r="AD297">
        <v>295</v>
      </c>
      <c r="AF297">
        <v>10.139850709999999</v>
      </c>
    </row>
    <row r="298" spans="1:32" x14ac:dyDescent="0.25">
      <c r="A298" s="4">
        <v>297</v>
      </c>
      <c r="B298">
        <v>296</v>
      </c>
      <c r="C298">
        <v>2.0828653899999998</v>
      </c>
      <c r="D298">
        <v>4.6337387799999998</v>
      </c>
      <c r="E298">
        <v>10.170465139999999</v>
      </c>
      <c r="F298">
        <v>10.172557080000001</v>
      </c>
      <c r="G298" s="3"/>
      <c r="AA298" t="s">
        <v>332</v>
      </c>
      <c r="AB298" t="s">
        <v>332</v>
      </c>
      <c r="AC298" t="s">
        <v>34</v>
      </c>
      <c r="AD298">
        <v>296</v>
      </c>
      <c r="AF298">
        <v>10.172557080000001</v>
      </c>
    </row>
    <row r="299" spans="1:32" x14ac:dyDescent="0.25">
      <c r="A299" s="4">
        <v>298</v>
      </c>
      <c r="B299">
        <v>297</v>
      </c>
      <c r="C299">
        <v>2.1242307299999998</v>
      </c>
      <c r="D299">
        <v>4.6964614600000001</v>
      </c>
      <c r="E299">
        <v>10.210627690000001</v>
      </c>
      <c r="F299">
        <v>10.20642662</v>
      </c>
      <c r="G299" s="3"/>
      <c r="AA299" t="s">
        <v>333</v>
      </c>
      <c r="AB299" t="s">
        <v>333</v>
      </c>
      <c r="AC299" t="s">
        <v>34</v>
      </c>
      <c r="AD299">
        <v>297</v>
      </c>
      <c r="AF299">
        <v>10.20642662</v>
      </c>
    </row>
    <row r="300" spans="1:32" x14ac:dyDescent="0.25">
      <c r="A300" s="4">
        <v>299</v>
      </c>
      <c r="B300">
        <v>298</v>
      </c>
      <c r="C300">
        <v>2.1671983699999999</v>
      </c>
      <c r="D300">
        <v>4.7610286300000002</v>
      </c>
      <c r="E300">
        <v>10.25144426</v>
      </c>
      <c r="F300">
        <v>10.241531699999999</v>
      </c>
      <c r="G300" s="3"/>
      <c r="AA300" t="s">
        <v>334</v>
      </c>
      <c r="AB300" t="s">
        <v>334</v>
      </c>
      <c r="AC300" t="s">
        <v>34</v>
      </c>
      <c r="AD300">
        <v>298</v>
      </c>
      <c r="AF300">
        <v>10.241531699999999</v>
      </c>
    </row>
    <row r="301" spans="1:32" x14ac:dyDescent="0.25">
      <c r="A301" s="4">
        <v>300</v>
      </c>
      <c r="B301">
        <v>299</v>
      </c>
      <c r="C301">
        <v>2.2118000599999998</v>
      </c>
      <c r="D301">
        <v>4.8274791300000004</v>
      </c>
      <c r="E301">
        <v>10.29292124</v>
      </c>
      <c r="F301">
        <v>10.277944700000001</v>
      </c>
      <c r="G301" s="3"/>
      <c r="AA301" t="s">
        <v>335</v>
      </c>
      <c r="AB301" t="s">
        <v>335</v>
      </c>
      <c r="AC301" t="s">
        <v>34</v>
      </c>
      <c r="AD301">
        <v>299</v>
      </c>
      <c r="AF301">
        <v>10.277944700000001</v>
      </c>
    </row>
    <row r="302" spans="1:32" x14ac:dyDescent="0.25">
      <c r="A302" s="4">
        <v>301</v>
      </c>
      <c r="B302">
        <v>300</v>
      </c>
      <c r="C302">
        <v>2.2580674100000002</v>
      </c>
      <c r="D302">
        <v>4.8958516000000003</v>
      </c>
      <c r="E302">
        <v>10.335065009999999</v>
      </c>
      <c r="F302">
        <v>10.31573801</v>
      </c>
      <c r="G302" s="3"/>
      <c r="AA302" t="s">
        <v>336</v>
      </c>
      <c r="AB302" t="s">
        <v>336</v>
      </c>
      <c r="AC302" t="s">
        <v>34</v>
      </c>
      <c r="AD302">
        <v>300</v>
      </c>
      <c r="AF302">
        <v>10.31573801</v>
      </c>
    </row>
    <row r="303" spans="1:32" x14ac:dyDescent="0.25">
      <c r="A303" s="4">
        <v>302</v>
      </c>
      <c r="B303">
        <v>301</v>
      </c>
      <c r="C303">
        <v>2.3092098399999998</v>
      </c>
      <c r="D303">
        <v>4.9628969600000001</v>
      </c>
      <c r="E303">
        <v>10.3778819</v>
      </c>
      <c r="F303">
        <v>10.354984010000001</v>
      </c>
      <c r="G303" s="3"/>
      <c r="AA303" t="s">
        <v>337</v>
      </c>
      <c r="AB303" t="s">
        <v>337</v>
      </c>
      <c r="AC303" t="s">
        <v>34</v>
      </c>
      <c r="AD303">
        <v>301</v>
      </c>
      <c r="AF303">
        <v>10.354984010000001</v>
      </c>
    </row>
    <row r="304" spans="1:32" x14ac:dyDescent="0.25">
      <c r="A304" s="4">
        <v>303</v>
      </c>
      <c r="B304">
        <v>302</v>
      </c>
      <c r="C304">
        <v>2.3683705900000001</v>
      </c>
      <c r="D304">
        <v>5.0257168500000002</v>
      </c>
      <c r="E304">
        <v>10.421378239999999</v>
      </c>
      <c r="F304">
        <v>10.39575507</v>
      </c>
      <c r="G304" s="3"/>
      <c r="AA304" t="s">
        <v>338</v>
      </c>
      <c r="AB304" t="s">
        <v>338</v>
      </c>
      <c r="AC304" t="s">
        <v>34</v>
      </c>
      <c r="AD304">
        <v>302</v>
      </c>
      <c r="AF304">
        <v>10.39575507</v>
      </c>
    </row>
    <row r="305" spans="1:32" x14ac:dyDescent="0.25">
      <c r="A305" s="4">
        <v>304</v>
      </c>
      <c r="B305">
        <v>303</v>
      </c>
      <c r="C305">
        <v>2.4354807100000002</v>
      </c>
      <c r="D305">
        <v>5.0848744200000002</v>
      </c>
      <c r="E305">
        <v>10.465560310000001</v>
      </c>
      <c r="F305">
        <v>10.438123579999999</v>
      </c>
      <c r="G305" s="3"/>
      <c r="AA305" t="s">
        <v>339</v>
      </c>
      <c r="AB305" t="s">
        <v>339</v>
      </c>
      <c r="AC305" t="s">
        <v>34</v>
      </c>
      <c r="AD305">
        <v>303</v>
      </c>
      <c r="AF305">
        <v>10.438123579999999</v>
      </c>
    </row>
    <row r="306" spans="1:32" x14ac:dyDescent="0.25">
      <c r="A306" s="4">
        <v>305</v>
      </c>
      <c r="B306">
        <v>304</v>
      </c>
      <c r="C306">
        <v>2.5104696099999999</v>
      </c>
      <c r="D306">
        <v>5.1409311400000002</v>
      </c>
      <c r="E306">
        <v>10.51043437</v>
      </c>
      <c r="F306">
        <v>10.48216191</v>
      </c>
      <c r="G306" s="3"/>
      <c r="AA306" t="s">
        <v>340</v>
      </c>
      <c r="AB306" t="s">
        <v>340</v>
      </c>
      <c r="AC306" t="s">
        <v>34</v>
      </c>
      <c r="AD306">
        <v>304</v>
      </c>
      <c r="AF306">
        <v>10.48216191</v>
      </c>
    </row>
    <row r="307" spans="1:32" x14ac:dyDescent="0.25">
      <c r="A307" s="4">
        <v>306</v>
      </c>
      <c r="B307">
        <v>305</v>
      </c>
      <c r="C307">
        <v>2.5932650599999998</v>
      </c>
      <c r="D307">
        <v>5.1944469399999997</v>
      </c>
      <c r="E307">
        <v>10.55600666</v>
      </c>
      <c r="F307">
        <v>10.527942449999999</v>
      </c>
      <c r="G307" s="3"/>
      <c r="AA307" t="s">
        <v>341</v>
      </c>
      <c r="AB307" t="s">
        <v>341</v>
      </c>
      <c r="AC307" t="s">
        <v>34</v>
      </c>
      <c r="AD307">
        <v>305</v>
      </c>
      <c r="AF307">
        <v>10.527942449999999</v>
      </c>
    </row>
    <row r="308" spans="1:32" x14ac:dyDescent="0.25">
      <c r="A308" s="4">
        <v>307</v>
      </c>
      <c r="B308">
        <v>306</v>
      </c>
      <c r="C308">
        <v>2.6837933299999999</v>
      </c>
      <c r="D308">
        <v>5.2459803699999998</v>
      </c>
      <c r="E308">
        <v>10.602283379999999</v>
      </c>
      <c r="F308">
        <v>10.575537580000001</v>
      </c>
      <c r="G308" s="3"/>
      <c r="AA308" t="s">
        <v>342</v>
      </c>
      <c r="AB308" t="s">
        <v>342</v>
      </c>
      <c r="AC308" t="s">
        <v>34</v>
      </c>
      <c r="AD308">
        <v>306</v>
      </c>
      <c r="AF308">
        <v>10.575537580000001</v>
      </c>
    </row>
    <row r="309" spans="1:32" x14ac:dyDescent="0.25">
      <c r="A309" s="4">
        <v>308</v>
      </c>
      <c r="B309">
        <v>307</v>
      </c>
      <c r="C309">
        <v>2.7819791199999999</v>
      </c>
      <c r="D309">
        <v>5.2960887799999998</v>
      </c>
      <c r="E309">
        <v>10.649270700000001</v>
      </c>
      <c r="F309">
        <v>10.62501967</v>
      </c>
      <c r="G309" s="3"/>
      <c r="AA309" t="s">
        <v>343</v>
      </c>
      <c r="AB309" t="s">
        <v>343</v>
      </c>
      <c r="AC309" t="s">
        <v>34</v>
      </c>
      <c r="AD309">
        <v>307</v>
      </c>
      <c r="AF309">
        <v>10.62501967</v>
      </c>
    </row>
    <row r="310" spans="1:32" x14ac:dyDescent="0.25">
      <c r="A310" s="4">
        <v>309</v>
      </c>
      <c r="B310">
        <v>308</v>
      </c>
      <c r="C310">
        <v>2.8877457</v>
      </c>
      <c r="D310">
        <v>5.34532834</v>
      </c>
      <c r="E310">
        <v>10.696974790000001</v>
      </c>
      <c r="F310">
        <v>10.67646111</v>
      </c>
      <c r="G310" s="3"/>
      <c r="AA310" t="s">
        <v>344</v>
      </c>
      <c r="AB310" t="s">
        <v>344</v>
      </c>
      <c r="AC310" t="s">
        <v>34</v>
      </c>
      <c r="AD310">
        <v>308</v>
      </c>
      <c r="AF310">
        <v>10.67646111</v>
      </c>
    </row>
    <row r="311" spans="1:32" x14ac:dyDescent="0.25">
      <c r="A311" s="4">
        <v>310</v>
      </c>
      <c r="B311">
        <v>309</v>
      </c>
      <c r="C311">
        <v>3.0010149199999998</v>
      </c>
      <c r="D311">
        <v>5.3942541200000003</v>
      </c>
      <c r="E311">
        <v>10.74540174</v>
      </c>
      <c r="F311">
        <v>10.729934269999999</v>
      </c>
      <c r="G311" s="3"/>
      <c r="AA311" t="s">
        <v>345</v>
      </c>
      <c r="AB311" t="s">
        <v>345</v>
      </c>
      <c r="AC311" t="s">
        <v>34</v>
      </c>
      <c r="AD311">
        <v>309</v>
      </c>
      <c r="AF311">
        <v>10.729934269999999</v>
      </c>
    </row>
    <row r="312" spans="1:32" x14ac:dyDescent="0.25">
      <c r="A312" s="4">
        <v>311</v>
      </c>
      <c r="B312">
        <v>310</v>
      </c>
      <c r="C312">
        <v>3.12170726</v>
      </c>
      <c r="D312">
        <v>5.4434201499999997</v>
      </c>
      <c r="E312">
        <v>10.794557660000001</v>
      </c>
      <c r="F312">
        <v>10.78551154</v>
      </c>
      <c r="G312" s="3"/>
      <c r="AA312" t="s">
        <v>346</v>
      </c>
      <c r="AB312" t="s">
        <v>346</v>
      </c>
      <c r="AC312" t="s">
        <v>34</v>
      </c>
      <c r="AD312">
        <v>310</v>
      </c>
      <c r="AF312">
        <v>10.78551154</v>
      </c>
    </row>
    <row r="313" spans="1:32" x14ac:dyDescent="0.25">
      <c r="A313" s="4">
        <v>312</v>
      </c>
      <c r="B313">
        <v>311</v>
      </c>
      <c r="C313">
        <v>3.2497418800000002</v>
      </c>
      <c r="D313">
        <v>5.4933794100000002</v>
      </c>
      <c r="E313">
        <v>10.844448590000001</v>
      </c>
      <c r="F313">
        <v>10.843265300000001</v>
      </c>
      <c r="G313" s="3"/>
      <c r="AA313" t="s">
        <v>347</v>
      </c>
      <c r="AB313" t="s">
        <v>347</v>
      </c>
      <c r="AC313" t="s">
        <v>34</v>
      </c>
      <c r="AD313">
        <v>311</v>
      </c>
      <c r="AF313">
        <v>10.843265300000001</v>
      </c>
    </row>
    <row r="314" spans="1:32" x14ac:dyDescent="0.25">
      <c r="A314" s="4">
        <v>313</v>
      </c>
      <c r="B314">
        <v>312</v>
      </c>
      <c r="C314">
        <v>3.38503664</v>
      </c>
      <c r="D314">
        <v>5.5446837499999999</v>
      </c>
      <c r="E314">
        <v>10.89508056</v>
      </c>
      <c r="F314">
        <v>10.903267919999999</v>
      </c>
      <c r="G314" s="3"/>
      <c r="AA314" t="s">
        <v>348</v>
      </c>
      <c r="AB314" t="s">
        <v>348</v>
      </c>
      <c r="AC314" t="s">
        <v>34</v>
      </c>
      <c r="AD314">
        <v>312</v>
      </c>
      <c r="AF314">
        <v>10.903267919999999</v>
      </c>
    </row>
    <row r="315" spans="1:32" x14ac:dyDescent="0.25">
      <c r="A315" s="4">
        <v>314</v>
      </c>
      <c r="B315">
        <v>313</v>
      </c>
      <c r="C315">
        <v>3.5275082200000001</v>
      </c>
      <c r="D315">
        <v>5.5978839300000001</v>
      </c>
      <c r="E315">
        <v>10.946459559999999</v>
      </c>
      <c r="F315">
        <v>10.96559179</v>
      </c>
      <c r="G315" s="3"/>
      <c r="AA315" t="s">
        <v>349</v>
      </c>
      <c r="AB315" t="s">
        <v>349</v>
      </c>
      <c r="AC315" t="s">
        <v>34</v>
      </c>
      <c r="AD315">
        <v>313</v>
      </c>
      <c r="AF315">
        <v>10.96559179</v>
      </c>
    </row>
    <row r="316" spans="1:32" x14ac:dyDescent="0.25">
      <c r="A316" s="4">
        <v>315</v>
      </c>
      <c r="B316">
        <v>314</v>
      </c>
      <c r="C316">
        <v>3.6770720699999999</v>
      </c>
      <c r="D316">
        <v>5.6535294599999997</v>
      </c>
      <c r="E316">
        <v>10.99859155</v>
      </c>
      <c r="F316">
        <v>11.03030929</v>
      </c>
      <c r="G316" s="3"/>
      <c r="AA316" t="s">
        <v>350</v>
      </c>
      <c r="AB316" t="s">
        <v>350</v>
      </c>
      <c r="AC316" t="s">
        <v>34</v>
      </c>
      <c r="AD316">
        <v>314</v>
      </c>
      <c r="AF316">
        <v>11.03030929</v>
      </c>
    </row>
    <row r="317" spans="1:32" x14ac:dyDescent="0.25">
      <c r="A317" s="4">
        <v>316</v>
      </c>
      <c r="B317">
        <v>315</v>
      </c>
      <c r="C317">
        <v>3.8336425300000001</v>
      </c>
      <c r="D317">
        <v>5.7121684899999998</v>
      </c>
      <c r="E317">
        <v>11.051482460000001</v>
      </c>
      <c r="F317">
        <v>11.09749279</v>
      </c>
      <c r="G317" s="3"/>
      <c r="AA317" t="s">
        <v>351</v>
      </c>
      <c r="AB317" t="s">
        <v>351</v>
      </c>
      <c r="AC317" t="s">
        <v>34</v>
      </c>
      <c r="AD317">
        <v>315</v>
      </c>
      <c r="AF317">
        <v>11.09749279</v>
      </c>
    </row>
    <row r="318" spans="1:32" x14ac:dyDescent="0.25">
      <c r="A318" s="4">
        <v>317</v>
      </c>
      <c r="B318">
        <v>316</v>
      </c>
      <c r="C318">
        <v>3.9971328399999999</v>
      </c>
      <c r="D318">
        <v>5.7743476899999999</v>
      </c>
      <c r="E318">
        <v>11.10513819</v>
      </c>
      <c r="F318">
        <v>11.167214680000001</v>
      </c>
      <c r="G318" s="3"/>
      <c r="AA318" t="s">
        <v>352</v>
      </c>
      <c r="AB318" t="s">
        <v>352</v>
      </c>
      <c r="AC318" t="s">
        <v>34</v>
      </c>
      <c r="AD318">
        <v>316</v>
      </c>
      <c r="AF318">
        <v>11.167214680000001</v>
      </c>
    </row>
    <row r="319" spans="1:32" x14ac:dyDescent="0.25">
      <c r="A319" s="4">
        <v>318</v>
      </c>
      <c r="B319">
        <v>317</v>
      </c>
      <c r="C319">
        <v>4.16745521</v>
      </c>
      <c r="D319">
        <v>5.8406120799999997</v>
      </c>
      <c r="E319">
        <v>11.15956459</v>
      </c>
      <c r="F319">
        <v>11.23954734</v>
      </c>
      <c r="G319" s="3"/>
      <c r="AA319" t="s">
        <v>353</v>
      </c>
      <c r="AB319" t="s">
        <v>353</v>
      </c>
      <c r="AC319" t="s">
        <v>34</v>
      </c>
      <c r="AD319">
        <v>317</v>
      </c>
      <c r="AF319">
        <v>11.23954734</v>
      </c>
    </row>
    <row r="320" spans="1:32" x14ac:dyDescent="0.25">
      <c r="A320" s="4">
        <v>319</v>
      </c>
      <c r="B320">
        <v>318</v>
      </c>
      <c r="C320">
        <v>4.3445208500000003</v>
      </c>
      <c r="D320">
        <v>5.9115047799999996</v>
      </c>
      <c r="E320">
        <v>11.214767480000001</v>
      </c>
      <c r="F320">
        <v>11.314563140000001</v>
      </c>
      <c r="G320" s="3"/>
      <c r="AA320" t="s">
        <v>354</v>
      </c>
      <c r="AB320" t="s">
        <v>354</v>
      </c>
      <c r="AC320" t="s">
        <v>34</v>
      </c>
      <c r="AD320">
        <v>318</v>
      </c>
      <c r="AF320">
        <v>11.314563140000001</v>
      </c>
    </row>
    <row r="321" spans="1:32" x14ac:dyDescent="0.25">
      <c r="A321" s="4">
        <v>320</v>
      </c>
      <c r="B321">
        <v>319</v>
      </c>
      <c r="C321">
        <v>4.5282400000000003</v>
      </c>
      <c r="D321">
        <v>5.9875668199999996</v>
      </c>
      <c r="E321">
        <v>11.27075267</v>
      </c>
      <c r="F321">
        <v>11.39233447</v>
      </c>
      <c r="G321" s="3"/>
      <c r="AA321" t="s">
        <v>355</v>
      </c>
      <c r="AB321" t="s">
        <v>355</v>
      </c>
      <c r="AC321" t="s">
        <v>34</v>
      </c>
      <c r="AD321">
        <v>319</v>
      </c>
      <c r="AF321">
        <v>11.39233447</v>
      </c>
    </row>
    <row r="322" spans="1:32" x14ac:dyDescent="0.25">
      <c r="A322" s="4">
        <v>321</v>
      </c>
      <c r="B322">
        <v>320</v>
      </c>
      <c r="C322">
        <v>4.71852202</v>
      </c>
      <c r="D322">
        <v>6.0693368799999998</v>
      </c>
      <c r="E322">
        <v>11.32752589</v>
      </c>
      <c r="F322">
        <v>11.47293371</v>
      </c>
      <c r="G322" s="3"/>
      <c r="AA322" t="s">
        <v>356</v>
      </c>
      <c r="AB322" t="s">
        <v>356</v>
      </c>
      <c r="AC322" t="s">
        <v>34</v>
      </c>
      <c r="AD322">
        <v>320</v>
      </c>
      <c r="AF322">
        <v>11.47293371</v>
      </c>
    </row>
    <row r="323" spans="1:32" x14ac:dyDescent="0.25">
      <c r="A323" s="4">
        <v>322</v>
      </c>
      <c r="B323">
        <v>321</v>
      </c>
      <c r="C323">
        <v>4.9152753999999996</v>
      </c>
      <c r="D323">
        <v>6.1573509800000004</v>
      </c>
      <c r="E323">
        <v>11.385092889999999</v>
      </c>
      <c r="F323">
        <v>11.55643323</v>
      </c>
      <c r="G323" s="3"/>
      <c r="AA323" t="s">
        <v>357</v>
      </c>
      <c r="AB323" t="s">
        <v>357</v>
      </c>
      <c r="AC323" t="s">
        <v>34</v>
      </c>
      <c r="AD323">
        <v>321</v>
      </c>
      <c r="AF323">
        <v>11.55643323</v>
      </c>
    </row>
    <row r="324" spans="1:32" x14ac:dyDescent="0.25">
      <c r="A324" s="4">
        <v>323</v>
      </c>
      <c r="B324">
        <v>322</v>
      </c>
      <c r="C324">
        <v>5.1184078199999998</v>
      </c>
      <c r="D324">
        <v>6.2521421500000001</v>
      </c>
      <c r="E324">
        <v>11.443459320000001</v>
      </c>
      <c r="F324">
        <v>11.64290542</v>
      </c>
      <c r="G324" s="3"/>
      <c r="AA324" t="s">
        <v>358</v>
      </c>
      <c r="AB324" t="s">
        <v>358</v>
      </c>
      <c r="AC324" t="s">
        <v>34</v>
      </c>
      <c r="AD324">
        <v>322</v>
      </c>
      <c r="AF324">
        <v>11.64290542</v>
      </c>
    </row>
    <row r="325" spans="1:32" x14ac:dyDescent="0.25">
      <c r="A325" s="4">
        <v>324</v>
      </c>
      <c r="B325">
        <v>323</v>
      </c>
      <c r="C325">
        <v>5.3278261899999997</v>
      </c>
      <c r="D325">
        <v>6.35424013</v>
      </c>
      <c r="E325">
        <v>11.502630849999999</v>
      </c>
      <c r="F325">
        <v>11.732422659999999</v>
      </c>
      <c r="G325" s="3"/>
      <c r="AA325" t="s">
        <v>359</v>
      </c>
      <c r="AB325" t="s">
        <v>359</v>
      </c>
      <c r="AC325" t="s">
        <v>34</v>
      </c>
      <c r="AD325">
        <v>323</v>
      </c>
      <c r="AF325">
        <v>11.732422659999999</v>
      </c>
    </row>
    <row r="326" spans="1:32" x14ac:dyDescent="0.25">
      <c r="A326" s="4">
        <v>325</v>
      </c>
      <c r="B326">
        <v>324</v>
      </c>
      <c r="C326">
        <v>5.5434366900000001</v>
      </c>
      <c r="D326">
        <v>6.4641709599999997</v>
      </c>
      <c r="E326">
        <v>11.562613069999999</v>
      </c>
      <c r="F326">
        <v>11.825057320000001</v>
      </c>
      <c r="G326" s="3"/>
      <c r="AA326" t="s">
        <v>360</v>
      </c>
      <c r="AB326" t="s">
        <v>360</v>
      </c>
      <c r="AC326" t="s">
        <v>34</v>
      </c>
      <c r="AD326">
        <v>324</v>
      </c>
      <c r="AF326">
        <v>11.825057320000001</v>
      </c>
    </row>
    <row r="327" spans="1:32" x14ac:dyDescent="0.25">
      <c r="A327" s="4">
        <v>326</v>
      </c>
      <c r="B327">
        <v>325</v>
      </c>
      <c r="C327">
        <v>5.7651448299999997</v>
      </c>
      <c r="D327">
        <v>6.5824566100000004</v>
      </c>
      <c r="E327">
        <v>11.623411559999999</v>
      </c>
      <c r="F327">
        <v>11.9208818</v>
      </c>
      <c r="G327" s="3"/>
      <c r="AA327" t="s">
        <v>361</v>
      </c>
      <c r="AB327" t="s">
        <v>361</v>
      </c>
      <c r="AC327" t="s">
        <v>34</v>
      </c>
      <c r="AD327">
        <v>325</v>
      </c>
      <c r="AF327">
        <v>11.9208818</v>
      </c>
    </row>
    <row r="328" spans="1:32" x14ac:dyDescent="0.25">
      <c r="A328" s="4">
        <v>327</v>
      </c>
      <c r="B328">
        <v>326</v>
      </c>
      <c r="C328">
        <v>5.9928554800000002</v>
      </c>
      <c r="D328">
        <v>6.7096145099999998</v>
      </c>
      <c r="E328">
        <v>11.68503185</v>
      </c>
      <c r="F328">
        <v>12.019968459999999</v>
      </c>
      <c r="G328" s="3"/>
      <c r="AA328" t="s">
        <v>362</v>
      </c>
      <c r="AB328" t="s">
        <v>362</v>
      </c>
      <c r="AC328" t="s">
        <v>34</v>
      </c>
      <c r="AD328">
        <v>326</v>
      </c>
      <c r="AF328">
        <v>12.019968459999999</v>
      </c>
    </row>
    <row r="329" spans="1:32" x14ac:dyDescent="0.25">
      <c r="A329" s="4">
        <v>328</v>
      </c>
      <c r="B329">
        <v>327</v>
      </c>
      <c r="C329">
        <v>6.2264729000000001</v>
      </c>
      <c r="D329">
        <v>6.8461571599999997</v>
      </c>
      <c r="E329">
        <v>11.747479419999999</v>
      </c>
      <c r="F329">
        <v>12.12238968</v>
      </c>
      <c r="G329" s="3"/>
      <c r="AA329" t="s">
        <v>363</v>
      </c>
      <c r="AB329" t="s">
        <v>363</v>
      </c>
      <c r="AC329" t="s">
        <v>34</v>
      </c>
      <c r="AD329">
        <v>327</v>
      </c>
      <c r="AF329">
        <v>12.12238968</v>
      </c>
    </row>
    <row r="330" spans="1:32" x14ac:dyDescent="0.25">
      <c r="A330" s="4">
        <v>329</v>
      </c>
      <c r="B330">
        <v>328</v>
      </c>
      <c r="C330">
        <v>6.4659008399999998</v>
      </c>
      <c r="D330">
        <v>6.99259159</v>
      </c>
      <c r="E330">
        <v>11.81075974</v>
      </c>
      <c r="F330">
        <v>12.228217860000001</v>
      </c>
      <c r="G330" s="3"/>
      <c r="AA330" t="s">
        <v>364</v>
      </c>
      <c r="AB330" t="s">
        <v>364</v>
      </c>
      <c r="AC330" t="s">
        <v>34</v>
      </c>
      <c r="AD330">
        <v>328</v>
      </c>
      <c r="AF330">
        <v>12.228217860000001</v>
      </c>
    </row>
    <row r="331" spans="1:32" x14ac:dyDescent="0.25">
      <c r="A331" s="4">
        <v>330</v>
      </c>
      <c r="B331">
        <v>329</v>
      </c>
      <c r="C331">
        <v>6.7110425100000004</v>
      </c>
      <c r="D331">
        <v>7.1494188899999997</v>
      </c>
      <c r="E331">
        <v>11.87487821</v>
      </c>
      <c r="F331">
        <v>12.337525360000001</v>
      </c>
      <c r="G331" s="3"/>
      <c r="AA331" t="s">
        <v>365</v>
      </c>
      <c r="AB331" t="s">
        <v>365</v>
      </c>
      <c r="AC331" t="s">
        <v>34</v>
      </c>
      <c r="AD331">
        <v>329</v>
      </c>
      <c r="AF331">
        <v>12.337525360000001</v>
      </c>
    </row>
    <row r="332" spans="1:32" x14ac:dyDescent="0.25">
      <c r="A332" s="4">
        <v>331</v>
      </c>
      <c r="B332">
        <v>330</v>
      </c>
      <c r="C332">
        <v>6.9618006699999997</v>
      </c>
      <c r="D332">
        <v>7.3171337100000002</v>
      </c>
      <c r="E332">
        <v>11.939840200000001</v>
      </c>
      <c r="F332">
        <v>12.450384570000001</v>
      </c>
      <c r="G332" s="3"/>
      <c r="AA332" t="s">
        <v>366</v>
      </c>
      <c r="AB332" t="s">
        <v>366</v>
      </c>
      <c r="AC332" t="s">
        <v>34</v>
      </c>
      <c r="AD332">
        <v>330</v>
      </c>
      <c r="AF332">
        <v>12.450384570000001</v>
      </c>
    </row>
    <row r="333" spans="1:32" x14ac:dyDescent="0.25">
      <c r="A333" s="4">
        <v>332</v>
      </c>
      <c r="B333">
        <v>331</v>
      </c>
      <c r="C333">
        <v>7.2180776399999997</v>
      </c>
      <c r="D333">
        <v>7.49622367</v>
      </c>
      <c r="E333">
        <v>12.00565104</v>
      </c>
      <c r="F333">
        <v>12.56686786</v>
      </c>
      <c r="G333" s="3"/>
      <c r="AA333" t="s">
        <v>367</v>
      </c>
      <c r="AB333" t="s">
        <v>367</v>
      </c>
      <c r="AC333" t="s">
        <v>34</v>
      </c>
      <c r="AD333">
        <v>331</v>
      </c>
      <c r="AF333">
        <v>12.56686786</v>
      </c>
    </row>
    <row r="334" spans="1:32" x14ac:dyDescent="0.25">
      <c r="A334" s="4">
        <v>333</v>
      </c>
      <c r="B334">
        <v>332</v>
      </c>
      <c r="C334">
        <v>7.4797753900000004</v>
      </c>
      <c r="D334">
        <v>7.6871687800000004</v>
      </c>
      <c r="E334">
        <v>12.072316020000001</v>
      </c>
      <c r="F334">
        <v>12.68704763</v>
      </c>
      <c r="G334" s="3"/>
      <c r="AA334" t="s">
        <v>368</v>
      </c>
      <c r="AB334" t="s">
        <v>368</v>
      </c>
      <c r="AC334" t="s">
        <v>34</v>
      </c>
      <c r="AD334">
        <v>332</v>
      </c>
      <c r="AF334">
        <v>12.68704763</v>
      </c>
    </row>
    <row r="335" spans="1:32" x14ac:dyDescent="0.25">
      <c r="A335" s="4">
        <v>334</v>
      </c>
      <c r="B335">
        <v>333</v>
      </c>
      <c r="C335">
        <v>7.74679552</v>
      </c>
      <c r="D335">
        <v>7.8904408999999998</v>
      </c>
      <c r="E335">
        <v>12.139840380000001</v>
      </c>
      <c r="F335">
        <v>12.81099624</v>
      </c>
      <c r="G335" s="3"/>
      <c r="AA335" t="s">
        <v>369</v>
      </c>
      <c r="AB335" t="s">
        <v>369</v>
      </c>
      <c r="AC335" t="s">
        <v>34</v>
      </c>
      <c r="AD335">
        <v>333</v>
      </c>
      <c r="AF335">
        <v>12.81099624</v>
      </c>
    </row>
    <row r="336" spans="1:32" x14ac:dyDescent="0.25">
      <c r="A336" s="4">
        <v>335</v>
      </c>
      <c r="B336">
        <v>334</v>
      </c>
      <c r="C336">
        <v>8.0190393600000007</v>
      </c>
      <c r="D336">
        <v>8.1065030900000004</v>
      </c>
      <c r="E336">
        <v>12.208229319999999</v>
      </c>
      <c r="F336">
        <v>12.93878608</v>
      </c>
      <c r="G336" s="3"/>
      <c r="AA336" t="s">
        <v>370</v>
      </c>
      <c r="AB336" t="s">
        <v>370</v>
      </c>
      <c r="AC336" t="s">
        <v>34</v>
      </c>
      <c r="AD336">
        <v>334</v>
      </c>
      <c r="AF336">
        <v>12.93878608</v>
      </c>
    </row>
    <row r="337" spans="1:32" x14ac:dyDescent="0.25">
      <c r="A337" s="4">
        <v>336</v>
      </c>
      <c r="B337">
        <v>335</v>
      </c>
      <c r="C337">
        <v>8.2964079500000008</v>
      </c>
      <c r="D337">
        <v>8.3358089799999995</v>
      </c>
      <c r="E337">
        <v>12.277488010000001</v>
      </c>
      <c r="F337">
        <v>13.07048953</v>
      </c>
      <c r="G337" s="3"/>
      <c r="AA337" t="s">
        <v>371</v>
      </c>
      <c r="AB337" t="s">
        <v>371</v>
      </c>
      <c r="AC337" t="s">
        <v>34</v>
      </c>
      <c r="AD337">
        <v>335</v>
      </c>
      <c r="AF337">
        <v>13.07048953</v>
      </c>
    </row>
    <row r="338" spans="1:32" x14ac:dyDescent="0.25">
      <c r="A338" s="4">
        <v>337</v>
      </c>
      <c r="B338">
        <v>336</v>
      </c>
      <c r="C338">
        <v>8.5788021299999997</v>
      </c>
      <c r="D338">
        <v>8.5788021299999997</v>
      </c>
      <c r="E338">
        <v>12.34762154</v>
      </c>
      <c r="F338">
        <v>13.206178960000001</v>
      </c>
      <c r="G338" s="3"/>
      <c r="AA338" t="s">
        <v>372</v>
      </c>
      <c r="AB338" t="s">
        <v>372</v>
      </c>
      <c r="AC338" t="s">
        <v>34</v>
      </c>
      <c r="AD338">
        <v>336</v>
      </c>
      <c r="AF338">
        <v>13.206178960000001</v>
      </c>
    </row>
    <row r="339" spans="1:32" x14ac:dyDescent="0.25">
      <c r="A339" s="4">
        <v>338</v>
      </c>
      <c r="B339">
        <v>337</v>
      </c>
      <c r="C339">
        <v>8.8744991899999999</v>
      </c>
      <c r="D339">
        <v>8.8452629500000004</v>
      </c>
      <c r="E339">
        <v>12.418635</v>
      </c>
      <c r="F339">
        <v>13.345926759999999</v>
      </c>
      <c r="G339" s="3"/>
      <c r="AA339" t="s">
        <v>373</v>
      </c>
      <c r="AB339" t="s">
        <v>373</v>
      </c>
      <c r="AC339" t="s">
        <v>34</v>
      </c>
      <c r="AD339">
        <v>337</v>
      </c>
      <c r="AF339">
        <v>13.345926759999999</v>
      </c>
    </row>
    <row r="340" spans="1:32" x14ac:dyDescent="0.25">
      <c r="A340" s="4">
        <v>339</v>
      </c>
      <c r="B340">
        <v>338</v>
      </c>
      <c r="C340">
        <v>9.1910902100000005</v>
      </c>
      <c r="D340">
        <v>9.1429151500000003</v>
      </c>
      <c r="E340">
        <v>12.4905334</v>
      </c>
      <c r="F340">
        <v>13.489805309999999</v>
      </c>
      <c r="G340" s="3"/>
      <c r="AA340" t="s">
        <v>374</v>
      </c>
      <c r="AB340" t="s">
        <v>374</v>
      </c>
      <c r="AC340" t="s">
        <v>34</v>
      </c>
      <c r="AD340">
        <v>338</v>
      </c>
      <c r="AF340">
        <v>13.489805309999999</v>
      </c>
    </row>
    <row r="341" spans="1:32" x14ac:dyDescent="0.25">
      <c r="A341" s="4">
        <v>340</v>
      </c>
      <c r="B341">
        <v>339</v>
      </c>
      <c r="C341">
        <v>9.5274455400000004</v>
      </c>
      <c r="D341">
        <v>9.4691085499999996</v>
      </c>
      <c r="E341">
        <v>12.563321719999999</v>
      </c>
      <c r="F341">
        <v>13.63788699</v>
      </c>
      <c r="G341" s="3"/>
      <c r="AA341" t="s">
        <v>375</v>
      </c>
      <c r="AB341" t="s">
        <v>375</v>
      </c>
      <c r="AC341" t="s">
        <v>34</v>
      </c>
      <c r="AD341">
        <v>339</v>
      </c>
      <c r="AF341">
        <v>13.63788699</v>
      </c>
    </row>
    <row r="342" spans="1:32" x14ac:dyDescent="0.25">
      <c r="A342" s="4">
        <v>341</v>
      </c>
      <c r="B342">
        <v>340</v>
      </c>
      <c r="C342">
        <v>9.8824358100000005</v>
      </c>
      <c r="D342">
        <v>9.8211980200000006</v>
      </c>
      <c r="E342">
        <v>12.637004900000001</v>
      </c>
      <c r="F342">
        <v>13.79024418</v>
      </c>
      <c r="G342" s="3"/>
      <c r="AA342" t="s">
        <v>376</v>
      </c>
      <c r="AB342" t="s">
        <v>376</v>
      </c>
      <c r="AC342" t="s">
        <v>34</v>
      </c>
      <c r="AD342">
        <v>340</v>
      </c>
      <c r="AF342">
        <v>13.79024418</v>
      </c>
    </row>
    <row r="343" spans="1:32" x14ac:dyDescent="0.25">
      <c r="A343" s="4">
        <v>342</v>
      </c>
      <c r="B343">
        <v>341</v>
      </c>
      <c r="C343">
        <v>10.254933940000001</v>
      </c>
      <c r="D343">
        <v>10.196550330000001</v>
      </c>
      <c r="E343">
        <v>12.711587809999999</v>
      </c>
      <c r="F343">
        <v>13.946949249999999</v>
      </c>
      <c r="G343" s="3"/>
      <c r="AA343" t="s">
        <v>377</v>
      </c>
      <c r="AB343" t="s">
        <v>377</v>
      </c>
      <c r="AC343" t="s">
        <v>34</v>
      </c>
      <c r="AD343">
        <v>341</v>
      </c>
      <c r="AF343">
        <v>13.946949249999999</v>
      </c>
    </row>
    <row r="344" spans="1:32" x14ac:dyDescent="0.25">
      <c r="A344" s="4">
        <v>343</v>
      </c>
      <c r="B344">
        <v>342</v>
      </c>
      <c r="C344">
        <v>10.643816989999999</v>
      </c>
      <c r="D344">
        <v>10.59255039</v>
      </c>
      <c r="E344">
        <v>12.787075290000001</v>
      </c>
      <c r="F344">
        <v>14.1080746</v>
      </c>
      <c r="G344" s="3"/>
      <c r="AA344" t="s">
        <v>378</v>
      </c>
      <c r="AB344" t="s">
        <v>378</v>
      </c>
      <c r="AC344" t="s">
        <v>34</v>
      </c>
      <c r="AD344">
        <v>342</v>
      </c>
      <c r="AF344">
        <v>14.1080746</v>
      </c>
    </row>
    <row r="345" spans="1:32" x14ac:dyDescent="0.25">
      <c r="A345" s="4">
        <v>344</v>
      </c>
      <c r="B345">
        <v>343</v>
      </c>
      <c r="C345">
        <v>11.047967959999999</v>
      </c>
      <c r="D345">
        <v>11.006606830000001</v>
      </c>
      <c r="E345">
        <v>12.863472120000001</v>
      </c>
      <c r="F345">
        <v>14.27369259</v>
      </c>
      <c r="G345" s="3"/>
      <c r="AA345" t="s">
        <v>379</v>
      </c>
      <c r="AB345" t="s">
        <v>379</v>
      </c>
      <c r="AC345" t="s">
        <v>34</v>
      </c>
      <c r="AD345">
        <v>343</v>
      </c>
      <c r="AF345">
        <v>14.27369259</v>
      </c>
    </row>
    <row r="346" spans="1:32" x14ac:dyDescent="0.25">
      <c r="A346" s="4">
        <v>345</v>
      </c>
      <c r="B346">
        <v>344</v>
      </c>
      <c r="C346">
        <v>11.46627745</v>
      </c>
      <c r="D346">
        <v>11.436156889999999</v>
      </c>
      <c r="E346">
        <v>12.940783059999999</v>
      </c>
      <c r="F346">
        <v>14.443875609999999</v>
      </c>
      <c r="G346" s="3"/>
      <c r="AA346" t="s">
        <v>380</v>
      </c>
      <c r="AB346" t="s">
        <v>380</v>
      </c>
      <c r="AC346" t="s">
        <v>34</v>
      </c>
      <c r="AD346">
        <v>344</v>
      </c>
      <c r="AF346">
        <v>14.443875609999999</v>
      </c>
    </row>
    <row r="347" spans="1:32" x14ac:dyDescent="0.25">
      <c r="A347" s="4">
        <v>346</v>
      </c>
      <c r="B347">
        <v>345</v>
      </c>
      <c r="C347">
        <v>11.89764516</v>
      </c>
      <c r="D347">
        <v>11.87867073</v>
      </c>
      <c r="E347">
        <v>13.019012780000001</v>
      </c>
      <c r="F347">
        <v>14.61869604</v>
      </c>
      <c r="G347" s="3"/>
      <c r="AA347" t="s">
        <v>381</v>
      </c>
      <c r="AB347" t="s">
        <v>381</v>
      </c>
      <c r="AC347" t="s">
        <v>34</v>
      </c>
      <c r="AD347">
        <v>345</v>
      </c>
      <c r="AF347">
        <v>14.61869604</v>
      </c>
    </row>
    <row r="348" spans="1:32" x14ac:dyDescent="0.25">
      <c r="A348" s="4">
        <v>347</v>
      </c>
      <c r="B348">
        <v>346</v>
      </c>
      <c r="C348">
        <v>12.34098135</v>
      </c>
      <c r="D348">
        <v>12.33165496</v>
      </c>
      <c r="E348">
        <v>13.09816592</v>
      </c>
      <c r="F348">
        <v>14.798226250000001</v>
      </c>
      <c r="G348" s="3"/>
      <c r="AA348" t="s">
        <v>382</v>
      </c>
      <c r="AB348" t="s">
        <v>382</v>
      </c>
      <c r="AC348" t="s">
        <v>34</v>
      </c>
      <c r="AD348">
        <v>346</v>
      </c>
      <c r="AF348">
        <v>14.798226250000001</v>
      </c>
    </row>
    <row r="349" spans="1:32" x14ac:dyDescent="0.25">
      <c r="A349" s="4">
        <v>348</v>
      </c>
      <c r="B349">
        <v>347</v>
      </c>
      <c r="C349">
        <v>12.79520816</v>
      </c>
      <c r="D349">
        <v>12.792655679999999</v>
      </c>
      <c r="E349">
        <v>13.17824708</v>
      </c>
      <c r="F349">
        <v>14.98253864</v>
      </c>
      <c r="G349" s="3"/>
      <c r="AA349" t="s">
        <v>383</v>
      </c>
      <c r="AB349" t="s">
        <v>383</v>
      </c>
      <c r="AC349" t="s">
        <v>34</v>
      </c>
      <c r="AD349">
        <v>347</v>
      </c>
      <c r="AF349">
        <v>14.98253864</v>
      </c>
    </row>
    <row r="350" spans="1:32" x14ac:dyDescent="0.25">
      <c r="A350" s="4">
        <v>349</v>
      </c>
      <c r="B350">
        <v>348</v>
      </c>
      <c r="C350">
        <v>13.259260790000001</v>
      </c>
      <c r="D350">
        <v>13.259260790000001</v>
      </c>
      <c r="E350">
        <v>13.259260790000001</v>
      </c>
      <c r="F350">
        <v>15.17170557</v>
      </c>
      <c r="G350" s="3"/>
      <c r="AA350" t="s">
        <v>384</v>
      </c>
      <c r="AB350" t="s">
        <v>384</v>
      </c>
      <c r="AC350" t="s">
        <v>34</v>
      </c>
      <c r="AD350">
        <v>348</v>
      </c>
      <c r="AF350">
        <v>15.17170557</v>
      </c>
    </row>
    <row r="351" spans="1:32" x14ac:dyDescent="0.25">
      <c r="A351" s="4">
        <v>350</v>
      </c>
      <c r="B351">
        <v>349</v>
      </c>
      <c r="C351">
        <v>13.74068576</v>
      </c>
      <c r="D351">
        <v>13.74068576</v>
      </c>
      <c r="E351">
        <v>13.41648509</v>
      </c>
      <c r="F351">
        <v>15.36579944</v>
      </c>
      <c r="G351" s="3"/>
      <c r="AA351" t="s">
        <v>385</v>
      </c>
      <c r="AB351" t="s">
        <v>385</v>
      </c>
      <c r="AC351" t="s">
        <v>34</v>
      </c>
      <c r="AD351">
        <v>349</v>
      </c>
      <c r="AF351">
        <v>15.36579944</v>
      </c>
    </row>
    <row r="352" spans="1:32" x14ac:dyDescent="0.25">
      <c r="A352" s="4">
        <v>351</v>
      </c>
      <c r="B352">
        <v>350</v>
      </c>
      <c r="C352">
        <v>14.2450346</v>
      </c>
      <c r="D352">
        <v>14.2450346</v>
      </c>
      <c r="E352">
        <v>13.7114387</v>
      </c>
      <c r="F352">
        <v>15.564892609999999</v>
      </c>
      <c r="G352" s="3"/>
      <c r="AA352" t="s">
        <v>386</v>
      </c>
      <c r="AB352" t="s">
        <v>386</v>
      </c>
      <c r="AC352" t="s">
        <v>34</v>
      </c>
      <c r="AD352">
        <v>350</v>
      </c>
      <c r="AF352">
        <v>15.564892609999999</v>
      </c>
    </row>
    <row r="353" spans="1:32" x14ac:dyDescent="0.25">
      <c r="A353" s="4">
        <v>352</v>
      </c>
      <c r="B353">
        <v>351</v>
      </c>
      <c r="C353">
        <v>14.768306300000001</v>
      </c>
      <c r="D353">
        <v>14.768306300000001</v>
      </c>
      <c r="E353">
        <v>14.123218850000001</v>
      </c>
      <c r="F353">
        <v>15.76905747</v>
      </c>
      <c r="G353" s="3"/>
      <c r="AA353" t="s">
        <v>387</v>
      </c>
      <c r="AB353" t="s">
        <v>387</v>
      </c>
      <c r="AC353" t="s">
        <v>34</v>
      </c>
      <c r="AD353">
        <v>351</v>
      </c>
      <c r="AF353">
        <v>15.76905747</v>
      </c>
    </row>
    <row r="354" spans="1:32" x14ac:dyDescent="0.25">
      <c r="A354" s="4">
        <v>353</v>
      </c>
      <c r="B354">
        <v>352</v>
      </c>
      <c r="C354">
        <v>15.30656767</v>
      </c>
      <c r="D354">
        <v>15.30656767</v>
      </c>
      <c r="E354">
        <v>14.630778230000001</v>
      </c>
      <c r="F354">
        <v>15.978366400000001</v>
      </c>
      <c r="G354" s="3"/>
      <c r="AA354" t="s">
        <v>388</v>
      </c>
      <c r="AB354" t="s">
        <v>388</v>
      </c>
      <c r="AC354" t="s">
        <v>34</v>
      </c>
      <c r="AD354">
        <v>352</v>
      </c>
      <c r="AF354">
        <v>15.978366400000001</v>
      </c>
    </row>
    <row r="355" spans="1:32" x14ac:dyDescent="0.25">
      <c r="A355" s="4">
        <v>354</v>
      </c>
      <c r="B355">
        <v>353</v>
      </c>
      <c r="C355">
        <v>15.85596031</v>
      </c>
      <c r="D355">
        <v>15.85596031</v>
      </c>
      <c r="E355">
        <v>15.213155009999999</v>
      </c>
      <c r="F355">
        <v>16.192891769999999</v>
      </c>
      <c r="G355" s="3"/>
      <c r="AA355" t="s">
        <v>389</v>
      </c>
      <c r="AB355" t="s">
        <v>389</v>
      </c>
      <c r="AC355" t="s">
        <v>34</v>
      </c>
      <c r="AD355">
        <v>353</v>
      </c>
      <c r="AF355">
        <v>16.192891769999999</v>
      </c>
    </row>
    <row r="356" spans="1:32" x14ac:dyDescent="0.25">
      <c r="A356" s="4">
        <v>355</v>
      </c>
      <c r="B356">
        <v>354</v>
      </c>
      <c r="C356">
        <v>16.412705979999998</v>
      </c>
      <c r="D356">
        <v>16.412705979999998</v>
      </c>
      <c r="E356">
        <v>15.849657840000001</v>
      </c>
      <c r="F356">
        <v>16.412705979999998</v>
      </c>
      <c r="G356" s="3"/>
      <c r="AA356" t="s">
        <v>390</v>
      </c>
      <c r="AB356" t="s">
        <v>390</v>
      </c>
      <c r="AC356" t="s">
        <v>34</v>
      </c>
      <c r="AD356">
        <v>354</v>
      </c>
      <c r="AF356">
        <v>16.412705979999998</v>
      </c>
    </row>
    <row r="357" spans="1:32" x14ac:dyDescent="0.25">
      <c r="A357" s="4">
        <v>356</v>
      </c>
      <c r="B357">
        <v>355</v>
      </c>
      <c r="C357">
        <v>16.97311045</v>
      </c>
      <c r="D357">
        <v>16.97311045</v>
      </c>
      <c r="E357">
        <v>16.5200058</v>
      </c>
      <c r="F357">
        <v>16.734960999999998</v>
      </c>
      <c r="G357" s="3"/>
      <c r="AA357" t="s">
        <v>391</v>
      </c>
      <c r="AB357" t="s">
        <v>391</v>
      </c>
      <c r="AC357" t="s">
        <v>34</v>
      </c>
      <c r="AD357">
        <v>355</v>
      </c>
      <c r="AF357">
        <v>16.734960999999998</v>
      </c>
    </row>
    <row r="358" spans="1:32" x14ac:dyDescent="0.25">
      <c r="A358" s="4">
        <v>357</v>
      </c>
      <c r="B358">
        <v>356</v>
      </c>
      <c r="C358">
        <v>17.533565759999998</v>
      </c>
      <c r="D358">
        <v>17.533565759999998</v>
      </c>
      <c r="E358">
        <v>17.204423760000001</v>
      </c>
      <c r="F358">
        <v>17.220479739999998</v>
      </c>
      <c r="G358" s="3"/>
      <c r="AA358" t="s">
        <v>392</v>
      </c>
      <c r="AB358" t="s">
        <v>392</v>
      </c>
      <c r="AC358" t="s">
        <v>34</v>
      </c>
      <c r="AD358">
        <v>356</v>
      </c>
      <c r="AF358">
        <v>17.220479739999998</v>
      </c>
    </row>
    <row r="359" spans="1:32" x14ac:dyDescent="0.25">
      <c r="A359" s="4">
        <v>358</v>
      </c>
      <c r="B359">
        <v>357</v>
      </c>
      <c r="C359">
        <v>18.09055116</v>
      </c>
      <c r="D359">
        <v>18.09055116</v>
      </c>
      <c r="E359">
        <v>17.88369454</v>
      </c>
      <c r="F359">
        <v>17.814840950000001</v>
      </c>
      <c r="G359" s="3"/>
      <c r="AA359" t="s">
        <v>393</v>
      </c>
      <c r="AB359" t="s">
        <v>393</v>
      </c>
      <c r="AC359" t="s">
        <v>34</v>
      </c>
      <c r="AD359">
        <v>357</v>
      </c>
      <c r="AF359">
        <v>17.814840950000001</v>
      </c>
    </row>
    <row r="360" spans="1:32" x14ac:dyDescent="0.25">
      <c r="A360" s="4">
        <v>359</v>
      </c>
      <c r="B360">
        <v>358</v>
      </c>
      <c r="C360">
        <v>18.64063251</v>
      </c>
      <c r="D360">
        <v>18.64063251</v>
      </c>
      <c r="E360">
        <v>18.539169489999999</v>
      </c>
      <c r="F360">
        <v>18.463623399999999</v>
      </c>
      <c r="G360" s="3"/>
      <c r="AA360" t="s">
        <v>394</v>
      </c>
      <c r="AB360" t="s">
        <v>394</v>
      </c>
      <c r="AC360" t="s">
        <v>34</v>
      </c>
      <c r="AD360">
        <v>358</v>
      </c>
      <c r="AF360">
        <v>18.463623399999999</v>
      </c>
    </row>
    <row r="361" spans="1:32" x14ac:dyDescent="0.25">
      <c r="A361" s="4">
        <v>360</v>
      </c>
      <c r="B361">
        <v>359</v>
      </c>
      <c r="C361">
        <v>19.180460409999998</v>
      </c>
      <c r="D361">
        <v>19.180460409999998</v>
      </c>
      <c r="E361">
        <v>19.152739319999998</v>
      </c>
      <c r="F361">
        <v>19.112405849999998</v>
      </c>
      <c r="G361" s="3"/>
      <c r="AA361" t="s">
        <v>395</v>
      </c>
      <c r="AB361" t="s">
        <v>395</v>
      </c>
      <c r="AC361" t="s">
        <v>34</v>
      </c>
      <c r="AD361">
        <v>359</v>
      </c>
      <c r="AF361">
        <v>19.112405849999998</v>
      </c>
    </row>
    <row r="362" spans="1:32" x14ac:dyDescent="0.25">
      <c r="A362" s="4">
        <v>361</v>
      </c>
      <c r="B362">
        <v>360</v>
      </c>
      <c r="C362">
        <v>19.706767070000001</v>
      </c>
      <c r="D362">
        <v>19.706767070000001</v>
      </c>
      <c r="E362">
        <v>19.706767070000001</v>
      </c>
      <c r="F362">
        <v>19.706767070000001</v>
      </c>
      <c r="G362" s="3"/>
      <c r="AA362" t="s">
        <v>396</v>
      </c>
      <c r="AB362" t="s">
        <v>396</v>
      </c>
      <c r="AC362" t="s">
        <v>34</v>
      </c>
      <c r="AD362">
        <v>360</v>
      </c>
      <c r="AF362">
        <v>19.706767070000001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62"/>
  <sheetViews>
    <sheetView zoomScaleNormal="100" workbookViewId="0">
      <selection activeCell="Q32" sqref="Q32"/>
    </sheetView>
  </sheetViews>
  <sheetFormatPr defaultRowHeight="15" x14ac:dyDescent="0.25"/>
  <cols>
    <col min="25" max="25" width="13.140625" bestFit="1" customWidth="1"/>
    <col min="26" max="26" width="14.7109375" customWidth="1"/>
    <col min="27" max="27" width="16.140625" bestFit="1" customWidth="1"/>
  </cols>
  <sheetData>
    <row r="1" spans="1:26" x14ac:dyDescent="0.25">
      <c r="B1" t="s">
        <v>1</v>
      </c>
      <c r="C1" t="s">
        <v>2</v>
      </c>
      <c r="D1" t="s">
        <v>3</v>
      </c>
      <c r="E1" t="s">
        <v>16</v>
      </c>
      <c r="F1" t="s">
        <v>17</v>
      </c>
      <c r="R1" t="s">
        <v>0</v>
      </c>
      <c r="S1" t="s">
        <v>18</v>
      </c>
      <c r="T1" t="s">
        <v>1</v>
      </c>
      <c r="U1" t="s">
        <v>2</v>
      </c>
      <c r="V1" t="s">
        <v>3</v>
      </c>
      <c r="W1" t="s">
        <v>16</v>
      </c>
      <c r="Y1" s="8" t="s">
        <v>18</v>
      </c>
      <c r="Z1" t="s">
        <v>19</v>
      </c>
    </row>
    <row r="2" spans="1:26" x14ac:dyDescent="0.25">
      <c r="A2">
        <v>1</v>
      </c>
      <c r="B2">
        <v>508</v>
      </c>
      <c r="C2">
        <v>7242944429.9099998</v>
      </c>
      <c r="D2">
        <v>1.65257056426873E-3</v>
      </c>
      <c r="E2">
        <f>100*(1-(1-D2)^12)</f>
        <v>1.9651590677712716</v>
      </c>
      <c r="F2" t="e">
        <f>VLOOKUP(A2,Sheet3!B:D,3,0)*100</f>
        <v>#N/A</v>
      </c>
      <c r="R2">
        <v>1</v>
      </c>
      <c r="S2" t="s">
        <v>19</v>
      </c>
      <c r="T2">
        <v>508</v>
      </c>
      <c r="U2">
        <v>7242944429.9099998</v>
      </c>
      <c r="V2">
        <v>1.65257056426873E-3</v>
      </c>
      <c r="W2">
        <f>100*(1-(1-V2)^12)</f>
        <v>1.9651590677712716</v>
      </c>
    </row>
    <row r="3" spans="1:26" x14ac:dyDescent="0.25">
      <c r="A3">
        <v>2</v>
      </c>
      <c r="B3">
        <v>20581</v>
      </c>
      <c r="C3">
        <v>416166152877.53003</v>
      </c>
      <c r="D3">
        <v>3.1826954015845002E-3</v>
      </c>
      <c r="E3">
        <f t="shared" ref="E3:E66" si="0">100*(1-(1-D3)^12)</f>
        <v>3.7530836624472763</v>
      </c>
      <c r="F3" t="e">
        <f>VLOOKUP(A3,Sheet3!B:D,3,0)*100</f>
        <v>#N/A</v>
      </c>
      <c r="R3">
        <v>2</v>
      </c>
      <c r="S3" t="s">
        <v>19</v>
      </c>
      <c r="T3">
        <v>19751</v>
      </c>
      <c r="U3">
        <v>402637472397.59998</v>
      </c>
      <c r="V3">
        <v>3.2344397793946798E-3</v>
      </c>
      <c r="W3">
        <f t="shared" ref="W3:W66" si="1">100*(1-(1-V3)^12)</f>
        <v>3.8130202043245354</v>
      </c>
      <c r="Y3" s="8" t="s">
        <v>13</v>
      </c>
      <c r="Z3" t="s">
        <v>23</v>
      </c>
    </row>
    <row r="4" spans="1:26" x14ac:dyDescent="0.25">
      <c r="A4">
        <v>3</v>
      </c>
      <c r="B4">
        <v>35915</v>
      </c>
      <c r="C4">
        <v>756806701127.91003</v>
      </c>
      <c r="D4">
        <v>4.4137836001454196E-3</v>
      </c>
      <c r="E4">
        <f t="shared" si="0"/>
        <v>5.1698355754643206</v>
      </c>
      <c r="F4" t="e">
        <f>VLOOKUP(A4,Sheet3!B:D,3,0)*100</f>
        <v>#N/A</v>
      </c>
      <c r="R4">
        <v>2</v>
      </c>
      <c r="S4" t="s">
        <v>20</v>
      </c>
      <c r="T4">
        <v>137</v>
      </c>
      <c r="U4">
        <v>5328834872.9499998</v>
      </c>
      <c r="V4">
        <v>3.4873049056462898E-3</v>
      </c>
      <c r="W4">
        <f t="shared" si="1"/>
        <v>4.1054270794191545</v>
      </c>
      <c r="Y4" s="9">
        <v>1</v>
      </c>
      <c r="Z4" s="10">
        <v>1.9651590677712716</v>
      </c>
    </row>
    <row r="5" spans="1:26" x14ac:dyDescent="0.25">
      <c r="A5">
        <v>4</v>
      </c>
      <c r="B5">
        <v>38212</v>
      </c>
      <c r="C5">
        <v>779547594305.72998</v>
      </c>
      <c r="D5">
        <v>6.5330808562249904E-3</v>
      </c>
      <c r="E5">
        <f t="shared" si="0"/>
        <v>7.5640466958396324</v>
      </c>
      <c r="F5" t="e">
        <f>VLOOKUP(A5,Sheet3!B:D,3,0)*100</f>
        <v>#N/A</v>
      </c>
      <c r="R5">
        <v>2</v>
      </c>
      <c r="S5" t="s">
        <v>21</v>
      </c>
      <c r="T5">
        <v>439</v>
      </c>
      <c r="U5">
        <v>5294020046.8999996</v>
      </c>
      <c r="V5">
        <v>3.32580286232863E-4</v>
      </c>
      <c r="W5">
        <f t="shared" si="1"/>
        <v>0.39836712851025746</v>
      </c>
      <c r="Y5" s="9">
        <v>2</v>
      </c>
      <c r="Z5" s="10">
        <v>3.8130202043245354</v>
      </c>
    </row>
    <row r="6" spans="1:26" x14ac:dyDescent="0.25">
      <c r="A6">
        <v>5</v>
      </c>
      <c r="B6">
        <v>38849</v>
      </c>
      <c r="C6">
        <v>776507774102.75</v>
      </c>
      <c r="D6">
        <v>8.9092956450315796E-3</v>
      </c>
      <c r="E6">
        <f t="shared" si="0"/>
        <v>10.18252664267667</v>
      </c>
      <c r="F6" t="e">
        <f>VLOOKUP(A6,Sheet3!B:D,3,0)*100</f>
        <v>#N/A</v>
      </c>
      <c r="R6">
        <v>2</v>
      </c>
      <c r="S6" t="s">
        <v>22</v>
      </c>
      <c r="T6">
        <v>254</v>
      </c>
      <c r="U6">
        <v>2905825560.0799999</v>
      </c>
      <c r="V6">
        <v>6.4679896487277301E-4</v>
      </c>
      <c r="W6">
        <f t="shared" si="1"/>
        <v>0.77340359937462244</v>
      </c>
      <c r="Y6" s="9">
        <v>3</v>
      </c>
      <c r="Z6" s="10">
        <v>5.2368916395914571</v>
      </c>
    </row>
    <row r="7" spans="1:26" x14ac:dyDescent="0.25">
      <c r="A7">
        <v>6</v>
      </c>
      <c r="B7">
        <v>39097</v>
      </c>
      <c r="C7">
        <v>770104792674.87</v>
      </c>
      <c r="D7">
        <v>1.0217486720537501E-2</v>
      </c>
      <c r="E7">
        <f t="shared" si="0"/>
        <v>11.594899719036601</v>
      </c>
      <c r="F7">
        <f>VLOOKUP(A7,Sheet3!B:D,3,0)*100</f>
        <v>11.03</v>
      </c>
      <c r="R7">
        <v>3</v>
      </c>
      <c r="S7" t="s">
        <v>19</v>
      </c>
      <c r="T7">
        <v>34621</v>
      </c>
      <c r="U7">
        <v>735993589388.02002</v>
      </c>
      <c r="V7">
        <v>4.4724689878608802E-3</v>
      </c>
      <c r="W7">
        <f t="shared" si="1"/>
        <v>5.2368916395914571</v>
      </c>
      <c r="Y7" s="9">
        <v>4</v>
      </c>
      <c r="Z7" s="10">
        <v>7.6435036731343775</v>
      </c>
    </row>
    <row r="8" spans="1:26" x14ac:dyDescent="0.25">
      <c r="A8">
        <v>7</v>
      </c>
      <c r="B8">
        <v>39482</v>
      </c>
      <c r="C8">
        <v>767192325819.93994</v>
      </c>
      <c r="D8">
        <v>1.12365644325172E-2</v>
      </c>
      <c r="E8">
        <f t="shared" si="0"/>
        <v>12.680995822683494</v>
      </c>
      <c r="F8" t="e">
        <f>VLOOKUP(A8,Sheet3!B:D,3,0)*100</f>
        <v>#N/A</v>
      </c>
      <c r="R8">
        <v>3</v>
      </c>
      <c r="S8" t="s">
        <v>20</v>
      </c>
      <c r="T8">
        <v>242</v>
      </c>
      <c r="U8">
        <v>9272483497.8899994</v>
      </c>
      <c r="V8">
        <v>4.37912996214388E-3</v>
      </c>
      <c r="W8">
        <f t="shared" si="1"/>
        <v>5.1302186423993756</v>
      </c>
      <c r="Y8" s="9">
        <v>5</v>
      </c>
      <c r="Z8" s="10">
        <v>10.247854855906358</v>
      </c>
    </row>
    <row r="9" spans="1:26" x14ac:dyDescent="0.25">
      <c r="A9">
        <v>8</v>
      </c>
      <c r="B9">
        <v>39763</v>
      </c>
      <c r="C9">
        <v>756362904998.34998</v>
      </c>
      <c r="D9">
        <v>1.2004822736079199E-2</v>
      </c>
      <c r="E9">
        <f t="shared" si="0"/>
        <v>13.491676452415646</v>
      </c>
      <c r="F9" t="e">
        <f>VLOOKUP(A9,Sheet3!B:D,3,0)*100</f>
        <v>#N/A</v>
      </c>
      <c r="R9">
        <v>3</v>
      </c>
      <c r="S9" t="s">
        <v>21</v>
      </c>
      <c r="T9">
        <v>669</v>
      </c>
      <c r="U9">
        <v>7486226575.6000004</v>
      </c>
      <c r="V9">
        <v>8.8539732728948903E-4</v>
      </c>
      <c r="W9">
        <f t="shared" si="1"/>
        <v>1.0573181046901969</v>
      </c>
      <c r="Y9" s="9">
        <v>6</v>
      </c>
      <c r="Z9" s="10">
        <v>11.590554256077045</v>
      </c>
    </row>
    <row r="10" spans="1:26" x14ac:dyDescent="0.25">
      <c r="A10">
        <v>9</v>
      </c>
      <c r="B10">
        <v>40050</v>
      </c>
      <c r="C10">
        <v>741163475007.90002</v>
      </c>
      <c r="D10">
        <v>1.23228924486702E-2</v>
      </c>
      <c r="E10">
        <f t="shared" si="0"/>
        <v>13.825285483734184</v>
      </c>
      <c r="F10" t="e">
        <f>VLOOKUP(A10,Sheet3!B:D,3,0)*100</f>
        <v>#N/A</v>
      </c>
      <c r="R10">
        <v>3</v>
      </c>
      <c r="S10" t="s">
        <v>22</v>
      </c>
      <c r="T10">
        <v>383</v>
      </c>
      <c r="U10">
        <v>4054401666.4000001</v>
      </c>
      <c r="V10">
        <v>3.5487525015209201E-4</v>
      </c>
      <c r="W10">
        <f t="shared" si="1"/>
        <v>0.42502010209095609</v>
      </c>
      <c r="Y10" s="9">
        <v>7</v>
      </c>
      <c r="Z10" s="10">
        <v>12.610817194464108</v>
      </c>
    </row>
    <row r="11" spans="1:26" x14ac:dyDescent="0.25">
      <c r="A11">
        <v>10</v>
      </c>
      <c r="B11">
        <v>40204</v>
      </c>
      <c r="C11">
        <v>732956000177.12</v>
      </c>
      <c r="D11">
        <v>1.29369137605129E-2</v>
      </c>
      <c r="E11">
        <f t="shared" si="0"/>
        <v>14.465971335093563</v>
      </c>
      <c r="F11" t="e">
        <f>VLOOKUP(A11,Sheet3!B:D,3,0)*100</f>
        <v>#N/A</v>
      </c>
      <c r="R11">
        <v>4</v>
      </c>
      <c r="S11" t="s">
        <v>19</v>
      </c>
      <c r="T11">
        <v>36834</v>
      </c>
      <c r="U11">
        <v>757530186576.48999</v>
      </c>
      <c r="V11">
        <v>6.60427338876094E-3</v>
      </c>
      <c r="W11">
        <f t="shared" si="1"/>
        <v>7.6435036731343775</v>
      </c>
      <c r="Y11" s="9">
        <v>8</v>
      </c>
      <c r="Z11" s="10">
        <v>13.475697357132466</v>
      </c>
    </row>
    <row r="12" spans="1:26" x14ac:dyDescent="0.25">
      <c r="A12">
        <v>11</v>
      </c>
      <c r="B12">
        <v>40434</v>
      </c>
      <c r="C12">
        <v>723502270074.26001</v>
      </c>
      <c r="D12">
        <v>1.3974923970744501E-2</v>
      </c>
      <c r="E12">
        <f t="shared" si="0"/>
        <v>15.539136393113074</v>
      </c>
      <c r="F12" t="e">
        <f>VLOOKUP(A12,Sheet3!B:D,3,0)*100</f>
        <v>#N/A</v>
      </c>
      <c r="R12">
        <v>4</v>
      </c>
      <c r="S12" t="s">
        <v>20</v>
      </c>
      <c r="T12">
        <v>273</v>
      </c>
      <c r="U12">
        <v>10046544264.26</v>
      </c>
      <c r="V12">
        <v>8.2373740139522998E-3</v>
      </c>
      <c r="W12">
        <f t="shared" si="1"/>
        <v>9.4490820141989289</v>
      </c>
      <c r="Y12" s="9">
        <v>9</v>
      </c>
      <c r="Z12" s="10">
        <v>13.79222659578061</v>
      </c>
    </row>
    <row r="13" spans="1:26" x14ac:dyDescent="0.25">
      <c r="A13">
        <v>12</v>
      </c>
      <c r="B13">
        <v>40559</v>
      </c>
      <c r="C13">
        <v>716438064329.64001</v>
      </c>
      <c r="D13">
        <v>1.4579127146382299E-2</v>
      </c>
      <c r="E13">
        <f t="shared" si="0"/>
        <v>16.15810505997818</v>
      </c>
      <c r="F13">
        <f>VLOOKUP(A13,Sheet3!B:D,3,0)*100</f>
        <v>11.03</v>
      </c>
      <c r="R13">
        <v>4</v>
      </c>
      <c r="S13" t="s">
        <v>21</v>
      </c>
      <c r="T13">
        <v>695</v>
      </c>
      <c r="U13">
        <v>7519635783.5900002</v>
      </c>
      <c r="V13">
        <v>6.3188835674432195E-4</v>
      </c>
      <c r="W13">
        <f t="shared" si="1"/>
        <v>0.75563630374863022</v>
      </c>
      <c r="Y13" s="9">
        <v>10</v>
      </c>
      <c r="Z13" s="10">
        <v>14.465669832615113</v>
      </c>
    </row>
    <row r="14" spans="1:26" x14ac:dyDescent="0.25">
      <c r="A14">
        <v>13</v>
      </c>
      <c r="B14">
        <v>40790</v>
      </c>
      <c r="C14">
        <v>702911655088.19995</v>
      </c>
      <c r="D14">
        <v>1.54351556892941E-2</v>
      </c>
      <c r="E14">
        <f t="shared" si="0"/>
        <v>17.027936086628404</v>
      </c>
      <c r="F14" t="e">
        <f>VLOOKUP(A14,Sheet3!B:D,3,0)*100</f>
        <v>#N/A</v>
      </c>
      <c r="R14">
        <v>4</v>
      </c>
      <c r="S14" t="s">
        <v>22</v>
      </c>
      <c r="T14">
        <v>410</v>
      </c>
      <c r="U14">
        <v>4451227681.3900003</v>
      </c>
      <c r="V14">
        <v>5.3969369928654495E-4</v>
      </c>
      <c r="W14">
        <f t="shared" si="1"/>
        <v>0.6457135159566918</v>
      </c>
      <c r="Y14" s="9">
        <v>11</v>
      </c>
      <c r="Z14" s="10">
        <v>15.603703570882399</v>
      </c>
    </row>
    <row r="15" spans="1:26" x14ac:dyDescent="0.25">
      <c r="A15">
        <v>14</v>
      </c>
      <c r="B15">
        <v>40886</v>
      </c>
      <c r="C15">
        <v>689628004192.78003</v>
      </c>
      <c r="D15">
        <v>1.5778707158851601E-2</v>
      </c>
      <c r="E15">
        <f t="shared" si="0"/>
        <v>17.374694747006515</v>
      </c>
      <c r="F15" t="e">
        <f>VLOOKUP(A15,Sheet3!B:D,3,0)*100</f>
        <v>#N/A</v>
      </c>
      <c r="R15">
        <v>5</v>
      </c>
      <c r="S15" t="s">
        <v>19</v>
      </c>
      <c r="T15">
        <v>37462</v>
      </c>
      <c r="U15">
        <v>754525887563.77002</v>
      </c>
      <c r="V15">
        <v>8.9693876819327608E-3</v>
      </c>
      <c r="W15">
        <f t="shared" si="1"/>
        <v>10.247854855906358</v>
      </c>
      <c r="Y15" s="9">
        <v>12</v>
      </c>
      <c r="Z15" s="10">
        <v>16.283899290342685</v>
      </c>
    </row>
    <row r="16" spans="1:26" x14ac:dyDescent="0.25">
      <c r="A16">
        <v>15</v>
      </c>
      <c r="B16">
        <v>41197</v>
      </c>
      <c r="C16">
        <v>681364561468.17004</v>
      </c>
      <c r="D16">
        <v>1.6317962837047E-2</v>
      </c>
      <c r="E16">
        <f t="shared" si="0"/>
        <v>17.91630638183608</v>
      </c>
      <c r="F16" t="e">
        <f>VLOOKUP(A16,Sheet3!B:D,3,0)*100</f>
        <v>#N/A</v>
      </c>
      <c r="R16">
        <v>5</v>
      </c>
      <c r="S16" t="s">
        <v>20</v>
      </c>
      <c r="T16">
        <v>276</v>
      </c>
      <c r="U16">
        <v>9961745274.7700005</v>
      </c>
      <c r="V16">
        <v>1.3779827691288001E-2</v>
      </c>
      <c r="W16">
        <f t="shared" si="1"/>
        <v>15.338379502098686</v>
      </c>
      <c r="Y16" s="9">
        <v>13</v>
      </c>
      <c r="Z16" s="10">
        <v>17.172065265052606</v>
      </c>
    </row>
    <row r="17" spans="1:26" x14ac:dyDescent="0.25">
      <c r="A17">
        <v>16</v>
      </c>
      <c r="B17">
        <v>41236</v>
      </c>
      <c r="C17">
        <v>671112231615.76001</v>
      </c>
      <c r="D17">
        <v>1.67939721002341E-2</v>
      </c>
      <c r="E17">
        <f t="shared" si="0"/>
        <v>18.391688958267626</v>
      </c>
      <c r="F17" t="e">
        <f>VLOOKUP(A17,Sheet3!B:D,3,0)*100</f>
        <v>#N/A</v>
      </c>
      <c r="R17">
        <v>5</v>
      </c>
      <c r="S17" t="s">
        <v>21</v>
      </c>
      <c r="T17">
        <v>699</v>
      </c>
      <c r="U17">
        <v>7514474997.3599997</v>
      </c>
      <c r="V17">
        <v>1.2853807582795199E-3</v>
      </c>
      <c r="W17">
        <f t="shared" si="1"/>
        <v>1.5315989523486229</v>
      </c>
      <c r="Y17" s="9">
        <v>14</v>
      </c>
      <c r="Z17" s="10">
        <v>17.52711077511989</v>
      </c>
    </row>
    <row r="18" spans="1:26" x14ac:dyDescent="0.25">
      <c r="A18">
        <v>17</v>
      </c>
      <c r="B18">
        <v>41307</v>
      </c>
      <c r="C18">
        <v>648383639889.63</v>
      </c>
      <c r="D18">
        <v>1.7267850441614802E-2</v>
      </c>
      <c r="E18">
        <f t="shared" si="0"/>
        <v>18.862435391166755</v>
      </c>
      <c r="F18" t="e">
        <f>VLOOKUP(A18,Sheet3!B:D,3,0)*100</f>
        <v>#N/A</v>
      </c>
      <c r="R18">
        <v>5</v>
      </c>
      <c r="S18" t="s">
        <v>22</v>
      </c>
      <c r="T18">
        <v>412</v>
      </c>
      <c r="U18">
        <v>4505666266.8500004</v>
      </c>
      <c r="V18">
        <v>7.9278698429259802E-4</v>
      </c>
      <c r="W18">
        <f t="shared" si="1"/>
        <v>0.94720714974692033</v>
      </c>
      <c r="Y18" s="9">
        <v>15</v>
      </c>
      <c r="Z18" s="10">
        <v>18.101255750626887</v>
      </c>
    </row>
    <row r="19" spans="1:26" x14ac:dyDescent="0.25">
      <c r="A19">
        <v>18</v>
      </c>
      <c r="B19">
        <v>41353</v>
      </c>
      <c r="C19">
        <v>639820018657.16003</v>
      </c>
      <c r="D19">
        <v>1.7747861447788501E-2</v>
      </c>
      <c r="E19">
        <f t="shared" si="0"/>
        <v>19.336735110629732</v>
      </c>
      <c r="F19" t="e">
        <f>VLOOKUP(A19,Sheet3!B:D,3,0)*100</f>
        <v>#N/A</v>
      </c>
      <c r="R19">
        <v>6</v>
      </c>
      <c r="S19" t="s">
        <v>19</v>
      </c>
      <c r="T19">
        <v>37713</v>
      </c>
      <c r="U19">
        <v>748524709170.54004</v>
      </c>
      <c r="V19">
        <v>1.02134324989855E-2</v>
      </c>
      <c r="W19">
        <f t="shared" si="1"/>
        <v>11.590554256077045</v>
      </c>
      <c r="Y19" s="9">
        <v>16</v>
      </c>
      <c r="Z19" s="10">
        <v>18.596162458712417</v>
      </c>
    </row>
    <row r="20" spans="1:26" x14ac:dyDescent="0.25">
      <c r="A20">
        <v>19</v>
      </c>
      <c r="B20">
        <v>41453</v>
      </c>
      <c r="C20">
        <v>621990033075.93005</v>
      </c>
      <c r="D20">
        <v>1.8217688196813499E-2</v>
      </c>
      <c r="E20">
        <f t="shared" si="0"/>
        <v>19.798509245053275</v>
      </c>
      <c r="F20" t="e">
        <f>VLOOKUP(A20,Sheet3!B:D,3,0)*100</f>
        <v>#N/A</v>
      </c>
      <c r="R20">
        <v>6</v>
      </c>
      <c r="S20" t="s">
        <v>20</v>
      </c>
      <c r="T20">
        <v>273</v>
      </c>
      <c r="U20">
        <v>9560488311.3400002</v>
      </c>
      <c r="V20">
        <v>2.1408464505535699E-2</v>
      </c>
      <c r="W20">
        <f t="shared" si="1"/>
        <v>22.871042884464355</v>
      </c>
      <c r="Y20" s="9">
        <v>17</v>
      </c>
      <c r="Z20" s="10">
        <v>19.070411155952925</v>
      </c>
    </row>
    <row r="21" spans="1:26" x14ac:dyDescent="0.25">
      <c r="A21">
        <v>20</v>
      </c>
      <c r="B21">
        <v>41681</v>
      </c>
      <c r="C21">
        <v>610737795753.05005</v>
      </c>
      <c r="D21">
        <v>1.84068188739826E-2</v>
      </c>
      <c r="E21">
        <f t="shared" si="0"/>
        <v>19.983713247815849</v>
      </c>
      <c r="F21" t="e">
        <f>VLOOKUP(A21,Sheet3!B:D,3,0)*100</f>
        <v>#N/A</v>
      </c>
      <c r="R21">
        <v>6</v>
      </c>
      <c r="S21" t="s">
        <v>21</v>
      </c>
      <c r="T21">
        <v>698</v>
      </c>
      <c r="U21">
        <v>7528662061.2700005</v>
      </c>
      <c r="V21">
        <v>1.6461405898420499E-3</v>
      </c>
      <c r="W21">
        <f t="shared" si="1"/>
        <v>1.9575819398309102</v>
      </c>
      <c r="Y21" s="9">
        <v>18</v>
      </c>
      <c r="Z21" s="10">
        <v>19.55224016379432</v>
      </c>
    </row>
    <row r="22" spans="1:26" x14ac:dyDescent="0.25">
      <c r="A22">
        <v>21</v>
      </c>
      <c r="B22">
        <v>41879</v>
      </c>
      <c r="C22">
        <v>598931995798.60999</v>
      </c>
      <c r="D22">
        <v>1.7961244240489501E-2</v>
      </c>
      <c r="E22">
        <f t="shared" si="0"/>
        <v>19.546761864569952</v>
      </c>
      <c r="F22" t="e">
        <f>VLOOKUP(A22,Sheet3!B:D,3,0)*100</f>
        <v>#N/A</v>
      </c>
      <c r="R22">
        <v>6</v>
      </c>
      <c r="S22" t="s">
        <v>22</v>
      </c>
      <c r="T22">
        <v>413</v>
      </c>
      <c r="U22">
        <v>4490933131.7200003</v>
      </c>
      <c r="V22">
        <v>1.43851858333332E-3</v>
      </c>
      <c r="W22">
        <f t="shared" si="1"/>
        <v>1.7126299619176777</v>
      </c>
      <c r="Y22" s="9">
        <v>19</v>
      </c>
      <c r="Z22" s="10">
        <v>20.034865343645279</v>
      </c>
    </row>
    <row r="23" spans="1:26" x14ac:dyDescent="0.25">
      <c r="A23">
        <v>22</v>
      </c>
      <c r="B23">
        <v>42088</v>
      </c>
      <c r="C23">
        <v>588158446945.19995</v>
      </c>
      <c r="D23">
        <v>1.77078454804231E-2</v>
      </c>
      <c r="E23">
        <f t="shared" si="0"/>
        <v>19.29729258723173</v>
      </c>
      <c r="F23" t="e">
        <f>VLOOKUP(A23,Sheet3!B:D,3,0)*100</f>
        <v>#N/A</v>
      </c>
      <c r="R23">
        <v>7</v>
      </c>
      <c r="S23" t="s">
        <v>19</v>
      </c>
      <c r="T23">
        <v>38105</v>
      </c>
      <c r="U23">
        <v>745862568681.93005</v>
      </c>
      <c r="V23">
        <v>1.11703660578618E-2</v>
      </c>
      <c r="W23">
        <f t="shared" si="1"/>
        <v>12.610817194464108</v>
      </c>
      <c r="Y23" s="9">
        <v>20</v>
      </c>
      <c r="Z23" s="10">
        <v>20.241571423618442</v>
      </c>
    </row>
    <row r="24" spans="1:26" x14ac:dyDescent="0.25">
      <c r="A24">
        <v>23</v>
      </c>
      <c r="B24">
        <v>42331</v>
      </c>
      <c r="C24">
        <v>577548783868.18994</v>
      </c>
      <c r="D24">
        <v>1.7646025695365899E-2</v>
      </c>
      <c r="E24">
        <f t="shared" si="0"/>
        <v>19.236323948642742</v>
      </c>
      <c r="F24" t="e">
        <f>VLOOKUP(A24,Sheet3!B:D,3,0)*100</f>
        <v>#N/A</v>
      </c>
      <c r="R24">
        <v>7</v>
      </c>
      <c r="S24" t="s">
        <v>20</v>
      </c>
      <c r="T24">
        <v>272</v>
      </c>
      <c r="U24">
        <v>9336273819.7999992</v>
      </c>
      <c r="V24">
        <v>2.80393909226236E-2</v>
      </c>
      <c r="W24">
        <f t="shared" si="1"/>
        <v>28.914016880606376</v>
      </c>
      <c r="Y24" s="9">
        <v>21</v>
      </c>
      <c r="Z24" s="10">
        <v>19.793282191516305</v>
      </c>
    </row>
    <row r="25" spans="1:26" x14ac:dyDescent="0.25">
      <c r="A25">
        <v>24</v>
      </c>
      <c r="B25">
        <v>42480</v>
      </c>
      <c r="C25">
        <v>563777111701.93994</v>
      </c>
      <c r="D25">
        <v>1.78087667540478E-2</v>
      </c>
      <c r="E25">
        <f t="shared" si="0"/>
        <v>19.396733706641413</v>
      </c>
      <c r="F25">
        <f>VLOOKUP(A25,Sheet3!B:D,3,0)*100</f>
        <v>19.400000000000002</v>
      </c>
      <c r="R25">
        <v>7</v>
      </c>
      <c r="S25" t="s">
        <v>21</v>
      </c>
      <c r="T25">
        <v>692</v>
      </c>
      <c r="U25">
        <v>7512836104.1599998</v>
      </c>
      <c r="V25">
        <v>2.5224210463421302E-3</v>
      </c>
      <c r="W25">
        <f t="shared" si="1"/>
        <v>2.9852631292811016</v>
      </c>
      <c r="Y25" s="9">
        <v>22</v>
      </c>
      <c r="Z25" s="10">
        <v>19.546914131947858</v>
      </c>
    </row>
    <row r="26" spans="1:26" x14ac:dyDescent="0.25">
      <c r="A26">
        <v>25</v>
      </c>
      <c r="B26">
        <v>42494</v>
      </c>
      <c r="C26">
        <v>552711590218.78003</v>
      </c>
      <c r="D26">
        <v>1.7635367569571101E-2</v>
      </c>
      <c r="E26">
        <f t="shared" si="0"/>
        <v>19.225808299795276</v>
      </c>
      <c r="F26" t="e">
        <f>VLOOKUP(A26,Sheet3!B:D,3,0)*100</f>
        <v>#N/A</v>
      </c>
      <c r="R26">
        <v>7</v>
      </c>
      <c r="S26" t="s">
        <v>22</v>
      </c>
      <c r="T26">
        <v>413</v>
      </c>
      <c r="U26">
        <v>4480647214.0500002</v>
      </c>
      <c r="V26">
        <v>1.8555606983062501E-3</v>
      </c>
      <c r="W26">
        <f t="shared" si="1"/>
        <v>2.2040883121586252</v>
      </c>
      <c r="Y26" s="9">
        <v>23</v>
      </c>
      <c r="Z26" s="10">
        <v>19.491952865206873</v>
      </c>
    </row>
    <row r="27" spans="1:26" x14ac:dyDescent="0.25">
      <c r="A27">
        <v>26</v>
      </c>
      <c r="B27">
        <v>42570</v>
      </c>
      <c r="C27">
        <v>537937765580.31</v>
      </c>
      <c r="D27">
        <v>1.7404790955179501E-2</v>
      </c>
      <c r="E27">
        <f t="shared" si="0"/>
        <v>18.998006510875452</v>
      </c>
      <c r="F27" t="e">
        <f>VLOOKUP(A27,Sheet3!B:D,3,0)*100</f>
        <v>#N/A</v>
      </c>
      <c r="R27">
        <v>8</v>
      </c>
      <c r="S27" t="s">
        <v>19</v>
      </c>
      <c r="T27">
        <v>38391</v>
      </c>
      <c r="U27">
        <v>735259462464.06006</v>
      </c>
      <c r="V27">
        <v>1.1989616171704E-2</v>
      </c>
      <c r="W27">
        <f t="shared" si="1"/>
        <v>13.475697357132466</v>
      </c>
      <c r="Y27" s="9">
        <v>24</v>
      </c>
      <c r="Z27" s="10">
        <v>19.646226436431601</v>
      </c>
    </row>
    <row r="28" spans="1:26" x14ac:dyDescent="0.25">
      <c r="A28">
        <v>27</v>
      </c>
      <c r="B28">
        <v>42670</v>
      </c>
      <c r="C28">
        <v>527158628342.75</v>
      </c>
      <c r="D28">
        <v>1.7534980213537901E-2</v>
      </c>
      <c r="E28">
        <f t="shared" si="0"/>
        <v>19.126701313302952</v>
      </c>
      <c r="F28" t="e">
        <f>VLOOKUP(A28,Sheet3!B:D,3,0)*100</f>
        <v>#N/A</v>
      </c>
      <c r="R28">
        <v>8</v>
      </c>
      <c r="S28" t="s">
        <v>20</v>
      </c>
      <c r="T28">
        <v>271</v>
      </c>
      <c r="U28">
        <v>9059265115.5799999</v>
      </c>
      <c r="V28">
        <v>2.6470933781559802E-2</v>
      </c>
      <c r="W28">
        <f t="shared" si="1"/>
        <v>27.525192415036482</v>
      </c>
      <c r="Y28" s="9">
        <v>25</v>
      </c>
      <c r="Z28" s="10">
        <v>19.459957737296996</v>
      </c>
    </row>
    <row r="29" spans="1:26" x14ac:dyDescent="0.25">
      <c r="A29">
        <v>28</v>
      </c>
      <c r="B29">
        <v>42638</v>
      </c>
      <c r="C29">
        <v>515254554829.79999</v>
      </c>
      <c r="D29">
        <v>1.7552177937648499E-2</v>
      </c>
      <c r="E29">
        <f t="shared" si="0"/>
        <v>19.143687600913683</v>
      </c>
      <c r="F29" t="e">
        <f>VLOOKUP(A29,Sheet3!B:D,3,0)*100</f>
        <v>#N/A</v>
      </c>
      <c r="R29">
        <v>8</v>
      </c>
      <c r="S29" t="s">
        <v>21</v>
      </c>
      <c r="T29">
        <v>690</v>
      </c>
      <c r="U29">
        <v>7574118309.04</v>
      </c>
      <c r="V29">
        <v>1.7655203886653801E-3</v>
      </c>
      <c r="W29">
        <f t="shared" si="1"/>
        <v>2.0981724472187824</v>
      </c>
      <c r="Y29" s="9">
        <v>26</v>
      </c>
      <c r="Z29" s="10">
        <v>19.241805537715607</v>
      </c>
    </row>
    <row r="30" spans="1:26" x14ac:dyDescent="0.25">
      <c r="A30">
        <v>29</v>
      </c>
      <c r="B30">
        <v>42858</v>
      </c>
      <c r="C30">
        <v>504797776700.22998</v>
      </c>
      <c r="D30">
        <v>1.7689041850579401E-2</v>
      </c>
      <c r="E30">
        <f t="shared" si="0"/>
        <v>19.278752315560187</v>
      </c>
      <c r="F30" t="e">
        <f>VLOOKUP(A30,Sheet3!B:D,3,0)*100</f>
        <v>#N/A</v>
      </c>
      <c r="R30">
        <v>8</v>
      </c>
      <c r="S30" t="s">
        <v>22</v>
      </c>
      <c r="T30">
        <v>411</v>
      </c>
      <c r="U30">
        <v>4470059109.6700001</v>
      </c>
      <c r="V30">
        <v>2.5378612520441301E-3</v>
      </c>
      <c r="W30">
        <f t="shared" si="1"/>
        <v>3.0032821805867305</v>
      </c>
      <c r="Y30" s="9">
        <v>27</v>
      </c>
      <c r="Z30" s="10">
        <v>19.386140553174702</v>
      </c>
    </row>
    <row r="31" spans="1:26" x14ac:dyDescent="0.25">
      <c r="A31">
        <v>30</v>
      </c>
      <c r="B31">
        <v>42797</v>
      </c>
      <c r="C31">
        <v>495205020758.73999</v>
      </c>
      <c r="D31">
        <v>1.7982581883346699E-2</v>
      </c>
      <c r="E31">
        <f t="shared" si="0"/>
        <v>19.567736319812067</v>
      </c>
      <c r="F31" t="e">
        <f>VLOOKUP(A31,Sheet3!B:D,3,0)*100</f>
        <v>#N/A</v>
      </c>
      <c r="R31">
        <v>9</v>
      </c>
      <c r="S31" t="s">
        <v>19</v>
      </c>
      <c r="T31">
        <v>38688</v>
      </c>
      <c r="U31">
        <v>720415166960.51001</v>
      </c>
      <c r="V31">
        <v>1.22913230885338E-2</v>
      </c>
      <c r="W31">
        <f t="shared" si="1"/>
        <v>13.79222659578061</v>
      </c>
      <c r="Y31" s="9">
        <v>28</v>
      </c>
      <c r="Z31" s="10">
        <v>19.401789277064829</v>
      </c>
    </row>
    <row r="32" spans="1:26" x14ac:dyDescent="0.25">
      <c r="A32">
        <v>31</v>
      </c>
      <c r="B32">
        <v>42805</v>
      </c>
      <c r="C32">
        <v>482077164905.65997</v>
      </c>
      <c r="D32">
        <v>1.8215635409153198E-2</v>
      </c>
      <c r="E32">
        <f t="shared" si="0"/>
        <v>19.79649692290948</v>
      </c>
      <c r="F32" t="e">
        <f>VLOOKUP(A32,Sheet3!B:D,3,0)*100</f>
        <v>#N/A</v>
      </c>
      <c r="R32">
        <v>9</v>
      </c>
      <c r="S32" t="s">
        <v>20</v>
      </c>
      <c r="T32">
        <v>270</v>
      </c>
      <c r="U32">
        <v>8775257893.1399994</v>
      </c>
      <c r="V32">
        <v>2.7720222049030199E-2</v>
      </c>
      <c r="W32">
        <f t="shared" si="1"/>
        <v>28.633394953373838</v>
      </c>
      <c r="Y32" s="9">
        <v>29</v>
      </c>
      <c r="Z32" s="10">
        <v>19.52306693948378</v>
      </c>
    </row>
    <row r="33" spans="1:26" x14ac:dyDescent="0.25">
      <c r="A33">
        <v>32</v>
      </c>
      <c r="B33">
        <v>42914</v>
      </c>
      <c r="C33">
        <v>472762240462.82001</v>
      </c>
      <c r="D33">
        <v>1.8102529459080901E-2</v>
      </c>
      <c r="E33">
        <f t="shared" si="0"/>
        <v>19.685549013719349</v>
      </c>
      <c r="F33" t="e">
        <f>VLOOKUP(A33,Sheet3!B:D,3,0)*100</f>
        <v>#N/A</v>
      </c>
      <c r="R33">
        <v>9</v>
      </c>
      <c r="S33" t="s">
        <v>21</v>
      </c>
      <c r="T33">
        <v>685</v>
      </c>
      <c r="U33">
        <v>7537543715.9399996</v>
      </c>
      <c r="V33">
        <v>3.2625910623543999E-3</v>
      </c>
      <c r="W33">
        <f t="shared" si="1"/>
        <v>3.8456140228140812</v>
      </c>
      <c r="Y33" s="9">
        <v>30</v>
      </c>
      <c r="Z33" s="10">
        <v>19.84509409084292</v>
      </c>
    </row>
    <row r="34" spans="1:26" x14ac:dyDescent="0.25">
      <c r="A34">
        <v>33</v>
      </c>
      <c r="B34">
        <v>42794</v>
      </c>
      <c r="C34">
        <v>464234607801.09003</v>
      </c>
      <c r="D34">
        <v>1.8525962815797499E-2</v>
      </c>
      <c r="E34">
        <f t="shared" si="0"/>
        <v>20.100182199258686</v>
      </c>
      <c r="F34" t="e">
        <f>VLOOKUP(A34,Sheet3!B:D,3,0)*100</f>
        <v>#N/A</v>
      </c>
      <c r="R34">
        <v>9</v>
      </c>
      <c r="S34" t="s">
        <v>22</v>
      </c>
      <c r="T34">
        <v>407</v>
      </c>
      <c r="U34">
        <v>4435506438.3100004</v>
      </c>
      <c r="V34">
        <v>2.38488985765732E-3</v>
      </c>
      <c r="W34">
        <f t="shared" si="1"/>
        <v>2.8246258361996013</v>
      </c>
      <c r="Y34" s="9">
        <v>31</v>
      </c>
      <c r="Z34" s="10">
        <v>20.077985985291424</v>
      </c>
    </row>
    <row r="35" spans="1:26" x14ac:dyDescent="0.25">
      <c r="A35">
        <v>34</v>
      </c>
      <c r="B35">
        <v>42755</v>
      </c>
      <c r="C35">
        <v>452131988240.96002</v>
      </c>
      <c r="D35">
        <v>1.7986531340006801E-2</v>
      </c>
      <c r="E35">
        <f t="shared" si="0"/>
        <v>19.571618003053871</v>
      </c>
      <c r="F35" t="e">
        <f>VLOOKUP(A35,Sheet3!B:D,3,0)*100</f>
        <v>#N/A</v>
      </c>
      <c r="R35">
        <v>10</v>
      </c>
      <c r="S35" t="s">
        <v>19</v>
      </c>
      <c r="T35">
        <v>38850</v>
      </c>
      <c r="U35">
        <v>712526846837.01001</v>
      </c>
      <c r="V35">
        <v>1.29366238159817E-2</v>
      </c>
      <c r="W35">
        <f t="shared" si="1"/>
        <v>14.465669832615113</v>
      </c>
      <c r="Y35" s="9">
        <v>32</v>
      </c>
      <c r="Z35" s="10">
        <v>19.986143799445834</v>
      </c>
    </row>
    <row r="36" spans="1:26" x14ac:dyDescent="0.25">
      <c r="A36">
        <v>35</v>
      </c>
      <c r="B36">
        <v>42838</v>
      </c>
      <c r="C36">
        <v>444212324084.09998</v>
      </c>
      <c r="D36">
        <v>1.8022538825413398E-2</v>
      </c>
      <c r="E36">
        <f t="shared" si="0"/>
        <v>19.606999674504333</v>
      </c>
      <c r="F36" t="e">
        <f>VLOOKUP(A36,Sheet3!B:D,3,0)*100</f>
        <v>#N/A</v>
      </c>
      <c r="R36">
        <v>10</v>
      </c>
      <c r="S36" t="s">
        <v>20</v>
      </c>
      <c r="T36">
        <v>268</v>
      </c>
      <c r="U36">
        <v>8527666414.79</v>
      </c>
      <c r="V36">
        <v>2.7207867664566301E-2</v>
      </c>
      <c r="W36">
        <f t="shared" si="1"/>
        <v>28.180794915766171</v>
      </c>
      <c r="Y36" s="9">
        <v>33</v>
      </c>
      <c r="Z36" s="10">
        <v>20.393061127909018</v>
      </c>
    </row>
    <row r="37" spans="1:26" x14ac:dyDescent="0.25">
      <c r="A37">
        <v>36</v>
      </c>
      <c r="B37">
        <v>42704</v>
      </c>
      <c r="C37">
        <v>431585435173.06</v>
      </c>
      <c r="D37">
        <v>1.8271304469473702E-2</v>
      </c>
      <c r="E37">
        <f t="shared" si="0"/>
        <v>19.851052220341714</v>
      </c>
      <c r="F37">
        <f>VLOOKUP(A37,Sheet3!B:D,3,0)*100</f>
        <v>20.74</v>
      </c>
      <c r="R37">
        <v>10</v>
      </c>
      <c r="S37" t="s">
        <v>21</v>
      </c>
      <c r="T37">
        <v>682</v>
      </c>
      <c r="U37">
        <v>7455879887.5600004</v>
      </c>
      <c r="V37">
        <v>2.8838802462289401E-3</v>
      </c>
      <c r="W37">
        <f t="shared" si="1"/>
        <v>3.4062898967748056</v>
      </c>
      <c r="Y37" s="9">
        <v>34</v>
      </c>
      <c r="Z37" s="10">
        <v>19.860389127735623</v>
      </c>
    </row>
    <row r="38" spans="1:26" x14ac:dyDescent="0.25">
      <c r="A38">
        <v>37</v>
      </c>
      <c r="B38">
        <v>42546</v>
      </c>
      <c r="C38">
        <v>422346478232.04999</v>
      </c>
      <c r="D38">
        <v>1.8128825934334701E-2</v>
      </c>
      <c r="E38">
        <f t="shared" si="0"/>
        <v>19.71135630184714</v>
      </c>
      <c r="F38" t="e">
        <f>VLOOKUP(A38,Sheet3!B:D,3,0)*100</f>
        <v>#N/A</v>
      </c>
      <c r="R38">
        <v>10</v>
      </c>
      <c r="S38" t="s">
        <v>22</v>
      </c>
      <c r="T38">
        <v>404</v>
      </c>
      <c r="U38">
        <v>4445607037.7600002</v>
      </c>
      <c r="V38">
        <v>2.4687976475325701E-3</v>
      </c>
      <c r="W38">
        <f t="shared" si="1"/>
        <v>2.9226596363898238</v>
      </c>
      <c r="Y38" s="9">
        <v>35</v>
      </c>
      <c r="Z38" s="10">
        <v>19.889533083076106</v>
      </c>
    </row>
    <row r="39" spans="1:26" x14ac:dyDescent="0.25">
      <c r="A39">
        <v>38</v>
      </c>
      <c r="B39">
        <v>42497</v>
      </c>
      <c r="C39">
        <v>412138821092.04999</v>
      </c>
      <c r="D39">
        <v>1.7932628975106599E-2</v>
      </c>
      <c r="E39">
        <f t="shared" si="0"/>
        <v>19.518625788628629</v>
      </c>
      <c r="F39" t="e">
        <f>VLOOKUP(A39,Sheet3!B:D,3,0)*100</f>
        <v>#N/A</v>
      </c>
      <c r="R39">
        <v>11</v>
      </c>
      <c r="S39" t="s">
        <v>19</v>
      </c>
      <c r="T39">
        <v>39084</v>
      </c>
      <c r="U39">
        <v>703420172428.04004</v>
      </c>
      <c r="V39">
        <v>1.4037760937833399E-2</v>
      </c>
      <c r="W39">
        <f t="shared" si="1"/>
        <v>15.603703570882399</v>
      </c>
      <c r="Y39" s="9">
        <v>36</v>
      </c>
      <c r="Z39" s="10">
        <v>20.094961228298423</v>
      </c>
    </row>
    <row r="40" spans="1:26" x14ac:dyDescent="0.25">
      <c r="A40">
        <v>39</v>
      </c>
      <c r="B40">
        <v>42517</v>
      </c>
      <c r="C40">
        <v>402434765091.73999</v>
      </c>
      <c r="D40">
        <v>1.7971328925095301E-2</v>
      </c>
      <c r="E40">
        <f t="shared" si="0"/>
        <v>19.556675522709654</v>
      </c>
      <c r="F40" t="e">
        <f>VLOOKUP(A40,Sheet3!B:D,3,0)*100</f>
        <v>#N/A</v>
      </c>
      <c r="R40">
        <v>11</v>
      </c>
      <c r="S40" t="s">
        <v>20</v>
      </c>
      <c r="T40">
        <v>266</v>
      </c>
      <c r="U40">
        <v>8227544116.3299999</v>
      </c>
      <c r="V40">
        <v>2.4564020965467798E-2</v>
      </c>
      <c r="W40">
        <f t="shared" si="1"/>
        <v>25.803187825531037</v>
      </c>
      <c r="Y40" s="9">
        <v>37</v>
      </c>
      <c r="Z40" s="10">
        <v>19.974087154815233</v>
      </c>
    </row>
    <row r="41" spans="1:26" x14ac:dyDescent="0.25">
      <c r="A41">
        <v>40</v>
      </c>
      <c r="B41">
        <v>42635</v>
      </c>
      <c r="C41">
        <v>394567361757.08002</v>
      </c>
      <c r="D41">
        <v>1.80642937502031E-2</v>
      </c>
      <c r="E41">
        <f t="shared" si="0"/>
        <v>19.6480110281944</v>
      </c>
      <c r="F41" t="e">
        <f>VLOOKUP(A41,Sheet3!B:D,3,0)*100</f>
        <v>#N/A</v>
      </c>
      <c r="R41">
        <v>11</v>
      </c>
      <c r="S41" t="s">
        <v>21</v>
      </c>
      <c r="T41">
        <v>678</v>
      </c>
      <c r="U41">
        <v>7449528723.6599998</v>
      </c>
      <c r="V41">
        <v>3.0239726266080998E-3</v>
      </c>
      <c r="W41">
        <f t="shared" si="1"/>
        <v>3.5690182775687362</v>
      </c>
      <c r="Y41" s="9">
        <v>38</v>
      </c>
      <c r="Z41" s="10">
        <v>19.759814753737281</v>
      </c>
    </row>
    <row r="42" spans="1:26" x14ac:dyDescent="0.25">
      <c r="A42">
        <v>41</v>
      </c>
      <c r="B42">
        <v>42601</v>
      </c>
      <c r="C42">
        <v>381329330043.5</v>
      </c>
      <c r="D42">
        <v>1.8618855336532399E-2</v>
      </c>
      <c r="E42">
        <f t="shared" si="0"/>
        <v>20.190881284449979</v>
      </c>
      <c r="F42" t="e">
        <f>VLOOKUP(A42,Sheet3!B:D,3,0)*100</f>
        <v>#N/A</v>
      </c>
      <c r="R42">
        <v>11</v>
      </c>
      <c r="S42" t="s">
        <v>22</v>
      </c>
      <c r="T42">
        <v>406</v>
      </c>
      <c r="U42">
        <v>4405024806.2299995</v>
      </c>
      <c r="V42">
        <v>2.6824503754061899E-3</v>
      </c>
      <c r="W42">
        <f t="shared" si="1"/>
        <v>3.1718719713803245</v>
      </c>
      <c r="Y42" s="9">
        <v>39</v>
      </c>
      <c r="Z42" s="10">
        <v>19.776029757378055</v>
      </c>
    </row>
    <row r="43" spans="1:26" x14ac:dyDescent="0.25">
      <c r="A43">
        <v>42</v>
      </c>
      <c r="B43">
        <v>42402</v>
      </c>
      <c r="C43">
        <v>367689407788.42999</v>
      </c>
      <c r="D43">
        <v>1.8836431378322499E-2</v>
      </c>
      <c r="E43">
        <f t="shared" si="0"/>
        <v>20.40295049783456</v>
      </c>
      <c r="F43" t="e">
        <f>VLOOKUP(A43,Sheet3!B:D,3,0)*100</f>
        <v>#N/A</v>
      </c>
      <c r="R43">
        <v>12</v>
      </c>
      <c r="S43" t="s">
        <v>19</v>
      </c>
      <c r="T43">
        <v>39218</v>
      </c>
      <c r="U43">
        <v>696710782560.81995</v>
      </c>
      <c r="V43">
        <v>1.47024203064082E-2</v>
      </c>
      <c r="W43">
        <f t="shared" si="1"/>
        <v>16.283899290342685</v>
      </c>
      <c r="Y43" s="9">
        <v>40</v>
      </c>
      <c r="Z43" s="10">
        <v>19.90543485947509</v>
      </c>
    </row>
    <row r="44" spans="1:26" x14ac:dyDescent="0.25">
      <c r="A44">
        <v>43</v>
      </c>
      <c r="B44">
        <v>42184</v>
      </c>
      <c r="C44">
        <v>357483851594.60999</v>
      </c>
      <c r="D44">
        <v>1.9375277110855699E-2</v>
      </c>
      <c r="E44">
        <f t="shared" si="0"/>
        <v>20.925936256191402</v>
      </c>
      <c r="F44" t="e">
        <f>VLOOKUP(A44,Sheet3!B:D,3,0)*100</f>
        <v>#N/A</v>
      </c>
      <c r="R44">
        <v>12</v>
      </c>
      <c r="S44" t="s">
        <v>20</v>
      </c>
      <c r="T44">
        <v>263</v>
      </c>
      <c r="U44">
        <v>7960430135.0900002</v>
      </c>
      <c r="V44">
        <v>2.0974623446695699E-2</v>
      </c>
      <c r="W44">
        <f t="shared" si="1"/>
        <v>22.459715970541382</v>
      </c>
      <c r="Y44" s="9">
        <v>41</v>
      </c>
      <c r="Z44" s="10">
        <v>20.438880186596332</v>
      </c>
    </row>
    <row r="45" spans="1:26" x14ac:dyDescent="0.25">
      <c r="A45">
        <v>44</v>
      </c>
      <c r="B45">
        <v>42176</v>
      </c>
      <c r="C45">
        <v>350988422695.17999</v>
      </c>
      <c r="D45">
        <v>1.95973107389299E-2</v>
      </c>
      <c r="E45">
        <f t="shared" si="0"/>
        <v>21.14051685877407</v>
      </c>
      <c r="F45" t="e">
        <f>VLOOKUP(A45,Sheet3!B:D,3,0)*100</f>
        <v>#N/A</v>
      </c>
      <c r="R45">
        <v>12</v>
      </c>
      <c r="S45" t="s">
        <v>21</v>
      </c>
      <c r="T45">
        <v>679</v>
      </c>
      <c r="U45">
        <v>7416300833.3400002</v>
      </c>
      <c r="V45">
        <v>3.3252581530026702E-3</v>
      </c>
      <c r="W45">
        <f t="shared" si="1"/>
        <v>3.9181342151454635</v>
      </c>
      <c r="Y45" s="9">
        <v>42</v>
      </c>
      <c r="Z45" s="10">
        <v>20.637981601200206</v>
      </c>
    </row>
    <row r="46" spans="1:26" x14ac:dyDescent="0.25">
      <c r="A46">
        <v>45</v>
      </c>
      <c r="B46">
        <v>42001</v>
      </c>
      <c r="C46">
        <v>340420221859.78003</v>
      </c>
      <c r="D46">
        <v>1.9826642172589899E-2</v>
      </c>
      <c r="E46">
        <f t="shared" si="0"/>
        <v>21.361589808268768</v>
      </c>
      <c r="F46" t="e">
        <f>VLOOKUP(A46,Sheet3!B:D,3,0)*100</f>
        <v>#N/A</v>
      </c>
      <c r="R46">
        <v>12</v>
      </c>
      <c r="S46" t="s">
        <v>22</v>
      </c>
      <c r="T46">
        <v>399</v>
      </c>
      <c r="U46">
        <v>4350550800.3900003</v>
      </c>
      <c r="V46">
        <v>2.3166574183569998E-3</v>
      </c>
      <c r="W46">
        <f t="shared" si="1"/>
        <v>2.7448394629911665</v>
      </c>
      <c r="Y46" s="9">
        <v>43</v>
      </c>
      <c r="Z46" s="10">
        <v>21.158892421456265</v>
      </c>
    </row>
    <row r="47" spans="1:26" x14ac:dyDescent="0.25">
      <c r="A47">
        <v>46</v>
      </c>
      <c r="B47">
        <v>42031</v>
      </c>
      <c r="C47">
        <v>330165077569.28998</v>
      </c>
      <c r="D47">
        <v>2.00934303693256E-2</v>
      </c>
      <c r="E47">
        <f t="shared" si="0"/>
        <v>21.618055718504138</v>
      </c>
      <c r="F47" t="e">
        <f>VLOOKUP(A47,Sheet3!B:D,3,0)*100</f>
        <v>#N/A</v>
      </c>
      <c r="R47">
        <v>13</v>
      </c>
      <c r="S47" t="s">
        <v>19</v>
      </c>
      <c r="T47">
        <v>39451</v>
      </c>
      <c r="U47">
        <v>683446542729.19995</v>
      </c>
      <c r="V47">
        <v>1.55777916761886E-2</v>
      </c>
      <c r="W47">
        <f t="shared" si="1"/>
        <v>17.172065265052606</v>
      </c>
      <c r="Y47" s="9">
        <v>44</v>
      </c>
      <c r="Z47" s="10">
        <v>21.337326924893883</v>
      </c>
    </row>
    <row r="48" spans="1:26" x14ac:dyDescent="0.25">
      <c r="A48">
        <v>47</v>
      </c>
      <c r="B48">
        <v>41946</v>
      </c>
      <c r="C48">
        <v>320212707680.87</v>
      </c>
      <c r="D48">
        <v>2.0370123711086999E-2</v>
      </c>
      <c r="E48">
        <f t="shared" si="0"/>
        <v>21.883233394984558</v>
      </c>
      <c r="F48" t="e">
        <f>VLOOKUP(A48,Sheet3!B:D,3,0)*100</f>
        <v>#N/A</v>
      </c>
      <c r="R48">
        <v>13</v>
      </c>
      <c r="S48" t="s">
        <v>20</v>
      </c>
      <c r="T48">
        <v>262</v>
      </c>
      <c r="U48">
        <v>7741219294.6300001</v>
      </c>
      <c r="V48">
        <v>2.1069180101105901E-2</v>
      </c>
      <c r="W48">
        <f t="shared" si="1"/>
        <v>22.549536600474173</v>
      </c>
      <c r="Y48" s="9">
        <v>45</v>
      </c>
      <c r="Z48" s="10">
        <v>21.554352762783623</v>
      </c>
    </row>
    <row r="49" spans="1:26" x14ac:dyDescent="0.25">
      <c r="A49">
        <v>48</v>
      </c>
      <c r="B49">
        <v>41859</v>
      </c>
      <c r="C49">
        <v>310073348201.65002</v>
      </c>
      <c r="D49">
        <v>2.0350554526480501E-2</v>
      </c>
      <c r="E49">
        <f t="shared" si="0"/>
        <v>21.864505717169546</v>
      </c>
      <c r="F49">
        <f>VLOOKUP(A49,Sheet3!B:D,3,0)*100</f>
        <v>21.66</v>
      </c>
      <c r="R49">
        <v>13</v>
      </c>
      <c r="S49" t="s">
        <v>21</v>
      </c>
      <c r="T49">
        <v>676</v>
      </c>
      <c r="U49">
        <v>7372287082.1700001</v>
      </c>
      <c r="V49">
        <v>3.8051455318447E-3</v>
      </c>
      <c r="W49">
        <f t="shared" si="1"/>
        <v>4.4718141435918675</v>
      </c>
      <c r="Y49" s="9">
        <v>46</v>
      </c>
      <c r="Z49" s="10">
        <v>21.813304905745401</v>
      </c>
    </row>
    <row r="50" spans="1:26" x14ac:dyDescent="0.25">
      <c r="A50">
        <v>49</v>
      </c>
      <c r="B50">
        <v>41684</v>
      </c>
      <c r="C50">
        <v>298179620875.12</v>
      </c>
      <c r="D50">
        <v>2.07830014671723E-2</v>
      </c>
      <c r="E50">
        <f t="shared" si="0"/>
        <v>22.277398797466386</v>
      </c>
      <c r="F50" t="e">
        <f>VLOOKUP(A50,Sheet3!B:D,3,0)*100</f>
        <v>#N/A</v>
      </c>
      <c r="R50">
        <v>13</v>
      </c>
      <c r="S50" t="s">
        <v>22</v>
      </c>
      <c r="T50">
        <v>401</v>
      </c>
      <c r="U50">
        <v>4351605982.1999998</v>
      </c>
      <c r="V50">
        <v>2.7137564697574199E-3</v>
      </c>
      <c r="W50">
        <f t="shared" si="1"/>
        <v>3.2083392396712873</v>
      </c>
      <c r="Y50" s="9">
        <v>47</v>
      </c>
      <c r="Z50" s="10">
        <v>22.029074173546004</v>
      </c>
    </row>
    <row r="51" spans="1:26" x14ac:dyDescent="0.25">
      <c r="A51">
        <v>50</v>
      </c>
      <c r="B51">
        <v>41288</v>
      </c>
      <c r="C51">
        <v>288247760490.84998</v>
      </c>
      <c r="D51">
        <v>2.0636158535960701E-2</v>
      </c>
      <c r="E51">
        <f t="shared" si="0"/>
        <v>22.137420437164291</v>
      </c>
      <c r="F51" t="e">
        <f>VLOOKUP(A51,Sheet3!B:D,3,0)*100</f>
        <v>#N/A</v>
      </c>
      <c r="R51">
        <v>14</v>
      </c>
      <c r="S51" t="s">
        <v>19</v>
      </c>
      <c r="T51">
        <v>39565</v>
      </c>
      <c r="U51">
        <v>670576040526.70996</v>
      </c>
      <c r="V51">
        <v>1.59301317936076E-2</v>
      </c>
      <c r="W51">
        <f t="shared" si="1"/>
        <v>17.52711077511989</v>
      </c>
      <c r="Y51" s="9">
        <v>48</v>
      </c>
      <c r="Z51" s="10">
        <v>21.982883130544938</v>
      </c>
    </row>
    <row r="52" spans="1:26" x14ac:dyDescent="0.25">
      <c r="A52">
        <v>51</v>
      </c>
      <c r="B52">
        <v>41000</v>
      </c>
      <c r="C52">
        <v>276465041524.02002</v>
      </c>
      <c r="D52">
        <v>2.08453716380004E-2</v>
      </c>
      <c r="E52">
        <f t="shared" si="0"/>
        <v>22.336783478457821</v>
      </c>
      <c r="F52" t="e">
        <f>VLOOKUP(A52,Sheet3!B:D,3,0)*100</f>
        <v>#N/A</v>
      </c>
      <c r="R52">
        <v>14</v>
      </c>
      <c r="S52" t="s">
        <v>20</v>
      </c>
      <c r="T52">
        <v>260</v>
      </c>
      <c r="U52">
        <v>7540671737.2600002</v>
      </c>
      <c r="V52">
        <v>2.06232028574093E-2</v>
      </c>
      <c r="W52">
        <f t="shared" si="1"/>
        <v>22.125059319780839</v>
      </c>
      <c r="Y52" s="9">
        <v>49</v>
      </c>
      <c r="Z52" s="10">
        <v>22.372844701081096</v>
      </c>
    </row>
    <row r="53" spans="1:26" x14ac:dyDescent="0.25">
      <c r="A53">
        <v>52</v>
      </c>
      <c r="B53">
        <v>40834</v>
      </c>
      <c r="C53">
        <v>269571214682.35999</v>
      </c>
      <c r="D53">
        <v>2.1104410966187401E-2</v>
      </c>
      <c r="E53">
        <f t="shared" si="0"/>
        <v>22.582978474735039</v>
      </c>
      <c r="F53" t="e">
        <f>VLOOKUP(A53,Sheet3!B:D,3,0)*100</f>
        <v>#N/A</v>
      </c>
      <c r="R53">
        <v>14</v>
      </c>
      <c r="S53" t="s">
        <v>21</v>
      </c>
      <c r="T53">
        <v>666</v>
      </c>
      <c r="U53">
        <v>7261517101.4399996</v>
      </c>
      <c r="V53">
        <v>3.9708170844626103E-3</v>
      </c>
      <c r="W53">
        <f t="shared" si="1"/>
        <v>4.6622809171854236</v>
      </c>
      <c r="Y53" s="9">
        <v>50</v>
      </c>
      <c r="Z53" s="10">
        <v>22.253820614062381</v>
      </c>
    </row>
    <row r="54" spans="1:26" x14ac:dyDescent="0.25">
      <c r="A54">
        <v>53</v>
      </c>
      <c r="B54">
        <v>40671</v>
      </c>
      <c r="C54">
        <v>260013295305.29999</v>
      </c>
      <c r="D54">
        <v>2.1432732299946002E-2</v>
      </c>
      <c r="E54">
        <f t="shared" si="0"/>
        <v>22.893992125298958</v>
      </c>
      <c r="F54" t="e">
        <f>VLOOKUP(A54,Sheet3!B:D,3,0)*100</f>
        <v>#N/A</v>
      </c>
      <c r="R54">
        <v>14</v>
      </c>
      <c r="S54" t="s">
        <v>22</v>
      </c>
      <c r="T54">
        <v>395</v>
      </c>
      <c r="U54">
        <v>4249774827.3699999</v>
      </c>
      <c r="V54">
        <v>3.46528110056761E-3</v>
      </c>
      <c r="W54">
        <f t="shared" si="1"/>
        <v>4.0799917371810546</v>
      </c>
      <c r="Y54" s="9">
        <v>51</v>
      </c>
      <c r="Z54" s="10">
        <v>22.37456017859687</v>
      </c>
    </row>
    <row r="55" spans="1:26" x14ac:dyDescent="0.25">
      <c r="A55">
        <v>54</v>
      </c>
      <c r="B55">
        <v>40510</v>
      </c>
      <c r="C55">
        <v>254383627049.84</v>
      </c>
      <c r="D55">
        <v>2.1641820121043001E-2</v>
      </c>
      <c r="E55">
        <f t="shared" si="0"/>
        <v>23.091460344705496</v>
      </c>
      <c r="F55" t="e">
        <f>VLOOKUP(A55,Sheet3!B:D,3,0)*100</f>
        <v>#N/A</v>
      </c>
      <c r="R55">
        <v>15</v>
      </c>
      <c r="S55" t="s">
        <v>19</v>
      </c>
      <c r="T55">
        <v>39879</v>
      </c>
      <c r="U55">
        <v>662554049653.87</v>
      </c>
      <c r="V55">
        <v>1.65028549439812E-2</v>
      </c>
      <c r="W55">
        <f t="shared" si="1"/>
        <v>18.101255750626887</v>
      </c>
      <c r="Y55" s="9">
        <v>52</v>
      </c>
      <c r="Z55" s="10">
        <v>22.665121742344454</v>
      </c>
    </row>
    <row r="56" spans="1:26" x14ac:dyDescent="0.25">
      <c r="A56">
        <v>55</v>
      </c>
      <c r="B56">
        <v>40434</v>
      </c>
      <c r="C56">
        <v>246901139804.87</v>
      </c>
      <c r="D56">
        <v>2.1696173615455901E-2</v>
      </c>
      <c r="E56">
        <f t="shared" si="0"/>
        <v>23.142717288006509</v>
      </c>
      <c r="F56" t="e">
        <f>VLOOKUP(A56,Sheet3!B:D,3,0)*100</f>
        <v>#N/A</v>
      </c>
      <c r="R56">
        <v>15</v>
      </c>
      <c r="S56" t="s">
        <v>20</v>
      </c>
      <c r="T56">
        <v>257</v>
      </c>
      <c r="U56">
        <v>7218678872.8800001</v>
      </c>
      <c r="V56">
        <v>1.9350350542311701E-2</v>
      </c>
      <c r="W56">
        <f t="shared" si="1"/>
        <v>20.901813013825198</v>
      </c>
      <c r="Y56" s="9">
        <v>53</v>
      </c>
      <c r="Z56" s="10">
        <v>22.933316243910074</v>
      </c>
    </row>
    <row r="57" spans="1:26" x14ac:dyDescent="0.25">
      <c r="A57">
        <v>56</v>
      </c>
      <c r="B57">
        <v>40297</v>
      </c>
      <c r="C57">
        <v>244304506790.20001</v>
      </c>
      <c r="D57">
        <v>2.1971361766399199E-2</v>
      </c>
      <c r="E57">
        <f t="shared" si="0"/>
        <v>23.40174752493056</v>
      </c>
      <c r="F57" t="e">
        <f>VLOOKUP(A57,Sheet3!B:D,3,0)*100</f>
        <v>#N/A</v>
      </c>
      <c r="R57">
        <v>15</v>
      </c>
      <c r="S57" t="s">
        <v>21</v>
      </c>
      <c r="T57">
        <v>670</v>
      </c>
      <c r="U57">
        <v>7298645295.1999998</v>
      </c>
      <c r="V57">
        <v>4.3731656098390604E-3</v>
      </c>
      <c r="W57">
        <f t="shared" si="1"/>
        <v>5.1233985108434794</v>
      </c>
      <c r="Y57" s="9">
        <v>54</v>
      </c>
      <c r="Z57" s="10">
        <v>23.116231131545895</v>
      </c>
    </row>
    <row r="58" spans="1:26" x14ac:dyDescent="0.25">
      <c r="A58">
        <v>57</v>
      </c>
      <c r="B58">
        <v>39963</v>
      </c>
      <c r="C58">
        <v>232859691926.69</v>
      </c>
      <c r="D58">
        <v>2.2339366907479299E-2</v>
      </c>
      <c r="E58">
        <f t="shared" si="0"/>
        <v>23.74689432206436</v>
      </c>
      <c r="F58" t="e">
        <f>VLOOKUP(A58,Sheet3!B:D,3,0)*100</f>
        <v>#N/A</v>
      </c>
      <c r="R58">
        <v>15</v>
      </c>
      <c r="S58" t="s">
        <v>22</v>
      </c>
      <c r="T58">
        <v>391</v>
      </c>
      <c r="U58">
        <v>4293187646.2199998</v>
      </c>
      <c r="V58">
        <v>2.99219795310247E-3</v>
      </c>
      <c r="W58">
        <f t="shared" si="1"/>
        <v>3.532131531629501</v>
      </c>
      <c r="Y58" s="9">
        <v>55</v>
      </c>
      <c r="Z58" s="10">
        <v>23.181122168055911</v>
      </c>
    </row>
    <row r="59" spans="1:26" x14ac:dyDescent="0.25">
      <c r="A59">
        <v>58</v>
      </c>
      <c r="B59">
        <v>39789</v>
      </c>
      <c r="C59">
        <v>225853736338.57001</v>
      </c>
      <c r="D59">
        <v>2.2558071548293201E-2</v>
      </c>
      <c r="E59">
        <f t="shared" si="0"/>
        <v>23.951338328904004</v>
      </c>
      <c r="F59" t="e">
        <f>VLOOKUP(A59,Sheet3!B:D,3,0)*100</f>
        <v>#N/A</v>
      </c>
      <c r="R59">
        <v>16</v>
      </c>
      <c r="S59" t="s">
        <v>19</v>
      </c>
      <c r="T59">
        <v>39932</v>
      </c>
      <c r="U59">
        <v>652692337773.17004</v>
      </c>
      <c r="V59">
        <v>1.6999497345225201E-2</v>
      </c>
      <c r="W59">
        <f t="shared" si="1"/>
        <v>18.596162458712417</v>
      </c>
      <c r="Y59" s="9">
        <v>56</v>
      </c>
      <c r="Z59" s="10">
        <v>23.399325504641986</v>
      </c>
    </row>
    <row r="60" spans="1:26" x14ac:dyDescent="0.25">
      <c r="A60">
        <v>59</v>
      </c>
      <c r="B60">
        <v>39739</v>
      </c>
      <c r="C60">
        <v>216740183983.54001</v>
      </c>
      <c r="D60">
        <v>2.22293154658499E-2</v>
      </c>
      <c r="E60">
        <f t="shared" si="0"/>
        <v>23.643828354233797</v>
      </c>
      <c r="F60" t="e">
        <f>VLOOKUP(A60,Sheet3!B:D,3,0)*100</f>
        <v>#N/A</v>
      </c>
      <c r="R60">
        <v>16</v>
      </c>
      <c r="S60" t="s">
        <v>20</v>
      </c>
      <c r="T60">
        <v>256</v>
      </c>
      <c r="U60">
        <v>6951229430.0699997</v>
      </c>
      <c r="V60">
        <v>1.89588673136897E-2</v>
      </c>
      <c r="W60">
        <f t="shared" si="1"/>
        <v>20.522060342778147</v>
      </c>
      <c r="Y60" s="9">
        <v>57</v>
      </c>
      <c r="Z60" s="10">
        <v>23.795505401047123</v>
      </c>
    </row>
    <row r="61" spans="1:26" x14ac:dyDescent="0.25">
      <c r="A61">
        <v>60</v>
      </c>
      <c r="B61">
        <v>39552</v>
      </c>
      <c r="C61">
        <v>210404274061.60999</v>
      </c>
      <c r="D61">
        <v>2.28430428160879E-2</v>
      </c>
      <c r="E61">
        <f t="shared" si="0"/>
        <v>24.216974158089688</v>
      </c>
      <c r="F61">
        <f>VLOOKUP(A61,Sheet3!B:D,3,0)*100</f>
        <v>22.88</v>
      </c>
      <c r="R61">
        <v>16</v>
      </c>
      <c r="S61" t="s">
        <v>21</v>
      </c>
      <c r="T61">
        <v>665</v>
      </c>
      <c r="U61">
        <v>7142064284.0299997</v>
      </c>
      <c r="V61">
        <v>4.0165176438223997E-3</v>
      </c>
      <c r="W61">
        <f t="shared" si="1"/>
        <v>4.7147599548478913</v>
      </c>
      <c r="Y61" s="9">
        <v>58</v>
      </c>
      <c r="Z61" s="10">
        <v>23.982672459590614</v>
      </c>
    </row>
    <row r="62" spans="1:26" x14ac:dyDescent="0.25">
      <c r="A62">
        <v>61</v>
      </c>
      <c r="B62">
        <v>39497</v>
      </c>
      <c r="C62">
        <v>202167273286.51999</v>
      </c>
      <c r="D62">
        <v>2.3316369124445201E-2</v>
      </c>
      <c r="E62">
        <f t="shared" si="0"/>
        <v>24.656306124086459</v>
      </c>
      <c r="F62" t="e">
        <f>VLOOKUP(A62,Sheet3!B:D,3,0)*100</f>
        <v>#N/A</v>
      </c>
      <c r="R62">
        <v>16</v>
      </c>
      <c r="S62" t="s">
        <v>22</v>
      </c>
      <c r="T62">
        <v>383</v>
      </c>
      <c r="U62">
        <v>4326600128.4899998</v>
      </c>
      <c r="V62">
        <v>3.4033112785945199E-3</v>
      </c>
      <c r="W62">
        <f t="shared" si="1"/>
        <v>4.0083894639457052</v>
      </c>
      <c r="Y62" s="9">
        <v>59</v>
      </c>
      <c r="Z62" s="10">
        <v>23.660702039485471</v>
      </c>
    </row>
    <row r="63" spans="1:26" x14ac:dyDescent="0.25">
      <c r="A63">
        <v>62</v>
      </c>
      <c r="B63">
        <v>39331</v>
      </c>
      <c r="C63">
        <v>199766763164.17001</v>
      </c>
      <c r="D63">
        <v>2.31394920966452E-2</v>
      </c>
      <c r="E63">
        <f t="shared" si="0"/>
        <v>24.492406370293484</v>
      </c>
      <c r="F63" t="e">
        <f>VLOOKUP(A63,Sheet3!B:D,3,0)*100</f>
        <v>#N/A</v>
      </c>
      <c r="R63">
        <v>17</v>
      </c>
      <c r="S63" t="s">
        <v>19</v>
      </c>
      <c r="T63">
        <v>40015</v>
      </c>
      <c r="U63">
        <v>630270624743.16003</v>
      </c>
      <c r="V63">
        <v>1.7478013043009499E-2</v>
      </c>
      <c r="W63">
        <f t="shared" si="1"/>
        <v>19.070411155952925</v>
      </c>
      <c r="Y63" s="9">
        <v>60</v>
      </c>
      <c r="Z63" s="10">
        <v>24.250249307117677</v>
      </c>
    </row>
    <row r="64" spans="1:26" x14ac:dyDescent="0.25">
      <c r="A64">
        <v>63</v>
      </c>
      <c r="B64">
        <v>39106</v>
      </c>
      <c r="C64">
        <v>193964437529.32001</v>
      </c>
      <c r="D64">
        <v>2.2627580431465601E-2</v>
      </c>
      <c r="E64">
        <f t="shared" si="0"/>
        <v>24.016209585804127</v>
      </c>
      <c r="F64" t="e">
        <f>VLOOKUP(A64,Sheet3!B:D,3,0)*100</f>
        <v>#N/A</v>
      </c>
      <c r="R64">
        <v>17</v>
      </c>
      <c r="S64" t="s">
        <v>20</v>
      </c>
      <c r="T64">
        <v>251</v>
      </c>
      <c r="U64">
        <v>6733646470.8999996</v>
      </c>
      <c r="V64">
        <v>1.9367919957149801E-2</v>
      </c>
      <c r="W64">
        <f t="shared" si="1"/>
        <v>20.918816908284409</v>
      </c>
      <c r="Y64" s="9">
        <v>61</v>
      </c>
      <c r="Z64" s="10">
        <v>24.682443972372859</v>
      </c>
    </row>
    <row r="65" spans="1:26" x14ac:dyDescent="0.25">
      <c r="A65">
        <v>64</v>
      </c>
      <c r="B65">
        <v>38948</v>
      </c>
      <c r="C65">
        <v>188153189701.35999</v>
      </c>
      <c r="D65">
        <v>2.2804738921703298E-2</v>
      </c>
      <c r="E65">
        <f t="shared" si="0"/>
        <v>24.181318748897272</v>
      </c>
      <c r="F65" t="e">
        <f>VLOOKUP(A65,Sheet3!B:D,3,0)*100</f>
        <v>#N/A</v>
      </c>
      <c r="R65">
        <v>17</v>
      </c>
      <c r="S65" t="s">
        <v>21</v>
      </c>
      <c r="T65">
        <v>664</v>
      </c>
      <c r="U65">
        <v>7158134616.3800001</v>
      </c>
      <c r="V65">
        <v>4.8644054478300296E-3</v>
      </c>
      <c r="W65">
        <f t="shared" si="1"/>
        <v>5.6836192113919655</v>
      </c>
      <c r="Y65" s="9">
        <v>62</v>
      </c>
      <c r="Z65" s="10">
        <v>24.501197059761282</v>
      </c>
    </row>
    <row r="66" spans="1:26" x14ac:dyDescent="0.25">
      <c r="A66">
        <v>65</v>
      </c>
      <c r="B66">
        <v>38788</v>
      </c>
      <c r="C66">
        <v>182058535210</v>
      </c>
      <c r="D66">
        <v>2.26572581187304E-2</v>
      </c>
      <c r="E66">
        <f t="shared" si="0"/>
        <v>24.043891724884382</v>
      </c>
      <c r="F66" t="e">
        <f>VLOOKUP(A66,Sheet3!B:D,3,0)*100</f>
        <v>#N/A</v>
      </c>
      <c r="R66">
        <v>17</v>
      </c>
      <c r="S66" t="s">
        <v>22</v>
      </c>
      <c r="T66">
        <v>377</v>
      </c>
      <c r="U66">
        <v>4221234059.1900001</v>
      </c>
      <c r="V66">
        <v>3.5716398127811498E-3</v>
      </c>
      <c r="W66">
        <f t="shared" si="1"/>
        <v>4.2027684981333469</v>
      </c>
      <c r="Y66" s="9">
        <v>63</v>
      </c>
      <c r="Z66" s="10">
        <v>24.029644754779667</v>
      </c>
    </row>
    <row r="67" spans="1:26" x14ac:dyDescent="0.25">
      <c r="A67">
        <v>66</v>
      </c>
      <c r="B67">
        <v>38606</v>
      </c>
      <c r="C67">
        <v>177355468307.04999</v>
      </c>
      <c r="D67">
        <v>2.2550833467401801E-2</v>
      </c>
      <c r="E67">
        <f t="shared" ref="E67:E130" si="2">100*(1-(1-D67)^12)</f>
        <v>23.944580254365956</v>
      </c>
      <c r="F67" t="e">
        <f>VLOOKUP(A67,Sheet3!B:D,3,0)*100</f>
        <v>#N/A</v>
      </c>
      <c r="R67">
        <v>18</v>
      </c>
      <c r="S67" t="s">
        <v>19</v>
      </c>
      <c r="T67">
        <v>40067</v>
      </c>
      <c r="U67">
        <v>622138847488.94995</v>
      </c>
      <c r="V67">
        <v>1.7966816908319898E-2</v>
      </c>
      <c r="W67">
        <f t="shared" ref="W67:W130" si="3">100*(1-(1-V67)^12)</f>
        <v>19.55224016379432</v>
      </c>
      <c r="Y67" s="9">
        <v>64</v>
      </c>
      <c r="Z67" s="10">
        <v>24.181776943538104</v>
      </c>
    </row>
    <row r="68" spans="1:26" x14ac:dyDescent="0.25">
      <c r="A68">
        <v>67</v>
      </c>
      <c r="B68">
        <v>38421</v>
      </c>
      <c r="C68">
        <v>172758174748.20999</v>
      </c>
      <c r="D68">
        <v>2.2758990911527201E-2</v>
      </c>
      <c r="E68">
        <f t="shared" si="2"/>
        <v>24.138713789382482</v>
      </c>
      <c r="F68" t="e">
        <f>VLOOKUP(A68,Sheet3!B:D,3,0)*100</f>
        <v>#N/A</v>
      </c>
      <c r="R68">
        <v>18</v>
      </c>
      <c r="S68" t="s">
        <v>20</v>
      </c>
      <c r="T68">
        <v>248</v>
      </c>
      <c r="U68">
        <v>6310016368.9899998</v>
      </c>
      <c r="V68">
        <v>1.9228562535459199E-2</v>
      </c>
      <c r="W68">
        <f t="shared" si="3"/>
        <v>20.783852925887068</v>
      </c>
      <c r="Y68" s="9">
        <v>65</v>
      </c>
      <c r="Z68" s="10">
        <v>24.059198154200523</v>
      </c>
    </row>
    <row r="69" spans="1:26" x14ac:dyDescent="0.25">
      <c r="A69">
        <v>68</v>
      </c>
      <c r="B69">
        <v>38422</v>
      </c>
      <c r="C69">
        <v>168408239032.34</v>
      </c>
      <c r="D69">
        <v>2.2357380075956099E-2</v>
      </c>
      <c r="E69">
        <f t="shared" si="2"/>
        <v>23.763751961332769</v>
      </c>
      <c r="F69" t="e">
        <f>VLOOKUP(A69,Sheet3!B:D,3,0)*100</f>
        <v>#N/A</v>
      </c>
      <c r="R69">
        <v>18</v>
      </c>
      <c r="S69" t="s">
        <v>21</v>
      </c>
      <c r="T69">
        <v>662</v>
      </c>
      <c r="U69">
        <v>7168711199.6300001</v>
      </c>
      <c r="V69">
        <v>5.8216278246352596E-3</v>
      </c>
      <c r="W69">
        <f t="shared" si="3"/>
        <v>6.7665548074672399</v>
      </c>
      <c r="Y69" s="9">
        <v>66</v>
      </c>
      <c r="Z69" s="10">
        <v>23.93647601062716</v>
      </c>
    </row>
    <row r="70" spans="1:26" x14ac:dyDescent="0.25">
      <c r="A70">
        <v>69</v>
      </c>
      <c r="B70">
        <v>38231</v>
      </c>
      <c r="C70">
        <v>163881025638.17999</v>
      </c>
      <c r="D70">
        <v>2.2765989691616501E-2</v>
      </c>
      <c r="E70">
        <f t="shared" si="2"/>
        <v>24.145233150009915</v>
      </c>
      <c r="F70" t="e">
        <f>VLOOKUP(A70,Sheet3!B:D,3,0)*100</f>
        <v>#N/A</v>
      </c>
      <c r="R70">
        <v>18</v>
      </c>
      <c r="S70" t="s">
        <v>22</v>
      </c>
      <c r="T70">
        <v>376</v>
      </c>
      <c r="U70">
        <v>4202443599.5900002</v>
      </c>
      <c r="V70">
        <v>3.4542201412447299E-3</v>
      </c>
      <c r="W70">
        <f t="shared" si="3"/>
        <v>4.0672150774950344</v>
      </c>
      <c r="Y70" s="9">
        <v>67</v>
      </c>
      <c r="Z70" s="10">
        <v>24.145015385622127</v>
      </c>
    </row>
    <row r="71" spans="1:26" x14ac:dyDescent="0.25">
      <c r="A71">
        <v>70</v>
      </c>
      <c r="B71">
        <v>38135</v>
      </c>
      <c r="C71">
        <v>160192162418.32999</v>
      </c>
      <c r="D71">
        <v>2.3375582400559501E-2</v>
      </c>
      <c r="E71">
        <f t="shared" si="2"/>
        <v>24.711102082353886</v>
      </c>
      <c r="F71" t="e">
        <f>VLOOKUP(A71,Sheet3!B:D,3,0)*100</f>
        <v>#N/A</v>
      </c>
      <c r="R71">
        <v>19</v>
      </c>
      <c r="S71" t="s">
        <v>19</v>
      </c>
      <c r="T71">
        <v>40187</v>
      </c>
      <c r="U71">
        <v>604910740643.67004</v>
      </c>
      <c r="V71">
        <v>1.8459126210576798E-2</v>
      </c>
      <c r="W71">
        <f t="shared" si="3"/>
        <v>20.034865343645279</v>
      </c>
      <c r="Y71" s="9">
        <v>68</v>
      </c>
      <c r="Z71" s="10">
        <v>23.758615562142658</v>
      </c>
    </row>
    <row r="72" spans="1:26" x14ac:dyDescent="0.25">
      <c r="A72">
        <v>71</v>
      </c>
      <c r="B72">
        <v>37931</v>
      </c>
      <c r="C72">
        <v>151995287032.76001</v>
      </c>
      <c r="D72">
        <v>2.3607009337529E-2</v>
      </c>
      <c r="E72">
        <f t="shared" si="2"/>
        <v>24.924914326207404</v>
      </c>
      <c r="F72" t="e">
        <f>VLOOKUP(A72,Sheet3!B:D,3,0)*100</f>
        <v>#N/A</v>
      </c>
      <c r="R72">
        <v>19</v>
      </c>
      <c r="S72" t="s">
        <v>20</v>
      </c>
      <c r="T72">
        <v>240</v>
      </c>
      <c r="U72">
        <v>5869724081.2399998</v>
      </c>
      <c r="V72">
        <v>1.9011702833651899E-2</v>
      </c>
      <c r="W72">
        <f t="shared" si="3"/>
        <v>20.573410050554251</v>
      </c>
      <c r="Y72" s="9">
        <v>69</v>
      </c>
      <c r="Z72" s="10">
        <v>24.132036229747868</v>
      </c>
    </row>
    <row r="73" spans="1:26" x14ac:dyDescent="0.25">
      <c r="A73">
        <v>72</v>
      </c>
      <c r="B73">
        <v>37740</v>
      </c>
      <c r="C73">
        <v>150811737461.29999</v>
      </c>
      <c r="D73">
        <v>2.4274150005237301E-2</v>
      </c>
      <c r="E73">
        <f t="shared" si="2"/>
        <v>25.538165548024928</v>
      </c>
      <c r="F73">
        <f>VLOOKUP(A73,Sheet3!B:D,3,0)*100</f>
        <v>23.41</v>
      </c>
      <c r="R73">
        <v>19</v>
      </c>
      <c r="S73" t="s">
        <v>21</v>
      </c>
      <c r="T73">
        <v>657</v>
      </c>
      <c r="U73">
        <v>7040765221.6599998</v>
      </c>
      <c r="V73">
        <v>5.4470026617878999E-3</v>
      </c>
      <c r="W73">
        <f t="shared" si="3"/>
        <v>6.3440945230124228</v>
      </c>
      <c r="Y73" s="9">
        <v>70</v>
      </c>
      <c r="Z73" s="10">
        <v>24.696680258061988</v>
      </c>
    </row>
    <row r="74" spans="1:26" x14ac:dyDescent="0.25">
      <c r="A74">
        <v>73</v>
      </c>
      <c r="B74">
        <v>37554</v>
      </c>
      <c r="C74">
        <v>142902834494.75</v>
      </c>
      <c r="D74">
        <v>2.4326639882064099E-2</v>
      </c>
      <c r="E74">
        <f t="shared" si="2"/>
        <v>25.586220066146836</v>
      </c>
      <c r="F74" t="e">
        <f>VLOOKUP(A74,Sheet3!B:D,3,0)*100</f>
        <v>#N/A</v>
      </c>
      <c r="R74">
        <v>19</v>
      </c>
      <c r="S74" t="s">
        <v>22</v>
      </c>
      <c r="T74">
        <v>369</v>
      </c>
      <c r="U74">
        <v>4168803129.3600001</v>
      </c>
      <c r="V74">
        <v>3.6346786131119901E-3</v>
      </c>
      <c r="W74">
        <f t="shared" si="3"/>
        <v>4.2754702631066959</v>
      </c>
      <c r="Y74" s="9">
        <v>71</v>
      </c>
      <c r="Z74" s="10">
        <v>24.915631372258495</v>
      </c>
    </row>
    <row r="75" spans="1:26" x14ac:dyDescent="0.25">
      <c r="A75">
        <v>74</v>
      </c>
      <c r="B75">
        <v>37367</v>
      </c>
      <c r="C75">
        <v>137366131362.33</v>
      </c>
      <c r="D75">
        <v>2.4468172348547E-2</v>
      </c>
      <c r="E75">
        <f t="shared" si="2"/>
        <v>25.715651503078018</v>
      </c>
      <c r="F75" t="e">
        <f>VLOOKUP(A75,Sheet3!B:D,3,0)*100</f>
        <v>#N/A</v>
      </c>
      <c r="R75">
        <v>20</v>
      </c>
      <c r="S75" t="s">
        <v>19</v>
      </c>
      <c r="T75">
        <v>40426</v>
      </c>
      <c r="U75">
        <v>593964563974.72998</v>
      </c>
      <c r="V75">
        <v>1.8670813511845099E-2</v>
      </c>
      <c r="W75">
        <f t="shared" si="3"/>
        <v>20.241571423618442</v>
      </c>
      <c r="Y75" s="9">
        <v>72</v>
      </c>
      <c r="Z75" s="10">
        <v>25.542905387840587</v>
      </c>
    </row>
    <row r="76" spans="1:26" x14ac:dyDescent="0.25">
      <c r="A76">
        <v>75</v>
      </c>
      <c r="B76">
        <v>37183</v>
      </c>
      <c r="C76">
        <v>133472103766.42999</v>
      </c>
      <c r="D76">
        <v>2.4371944749711199E-2</v>
      </c>
      <c r="E76">
        <f t="shared" si="2"/>
        <v>25.627673844334996</v>
      </c>
      <c r="F76" t="e">
        <f>VLOOKUP(A76,Sheet3!B:D,3,0)*100</f>
        <v>#N/A</v>
      </c>
      <c r="R76">
        <v>20</v>
      </c>
      <c r="S76" t="s">
        <v>20</v>
      </c>
      <c r="T76">
        <v>239</v>
      </c>
      <c r="U76">
        <v>5658017100.8400002</v>
      </c>
      <c r="V76">
        <v>1.7495621055776001E-2</v>
      </c>
      <c r="W76">
        <f t="shared" si="3"/>
        <v>19.087813744013772</v>
      </c>
      <c r="Y76" s="9">
        <v>73</v>
      </c>
      <c r="Z76" s="10">
        <v>25.581835860690695</v>
      </c>
    </row>
    <row r="77" spans="1:26" x14ac:dyDescent="0.25">
      <c r="A77">
        <v>76</v>
      </c>
      <c r="B77">
        <v>37064</v>
      </c>
      <c r="C77">
        <v>129328044184.06</v>
      </c>
      <c r="D77">
        <v>2.4286606292673801E-2</v>
      </c>
      <c r="E77">
        <f t="shared" si="2"/>
        <v>25.549571861276242</v>
      </c>
      <c r="F77" t="e">
        <f>VLOOKUP(A77,Sheet3!B:D,3,0)*100</f>
        <v>#N/A</v>
      </c>
      <c r="R77">
        <v>20</v>
      </c>
      <c r="S77" t="s">
        <v>21</v>
      </c>
      <c r="T77">
        <v>649</v>
      </c>
      <c r="U77">
        <v>6979507109.1499996</v>
      </c>
      <c r="V77">
        <v>5.1646753039295097E-3</v>
      </c>
      <c r="W77">
        <f t="shared" si="3"/>
        <v>6.0245586478334996</v>
      </c>
      <c r="Y77" s="9">
        <v>74</v>
      </c>
      <c r="Z77" s="10">
        <v>25.703855535164365</v>
      </c>
    </row>
    <row r="78" spans="1:26" x14ac:dyDescent="0.25">
      <c r="A78">
        <v>77</v>
      </c>
      <c r="B78">
        <v>37113</v>
      </c>
      <c r="C78">
        <v>123928041277.07001</v>
      </c>
      <c r="D78">
        <v>2.4764523143808701E-2</v>
      </c>
      <c r="E78">
        <f t="shared" si="2"/>
        <v>25.985996118037836</v>
      </c>
      <c r="F78" t="e">
        <f>VLOOKUP(A78,Sheet3!B:D,3,0)*100</f>
        <v>#N/A</v>
      </c>
      <c r="R78">
        <v>20</v>
      </c>
      <c r="S78" t="s">
        <v>22</v>
      </c>
      <c r="T78">
        <v>367</v>
      </c>
      <c r="U78">
        <v>4135707568.3299999</v>
      </c>
      <c r="V78">
        <v>4.0865965260687004E-3</v>
      </c>
      <c r="W78">
        <f t="shared" si="3"/>
        <v>4.7951817658598568</v>
      </c>
      <c r="Y78" s="9">
        <v>75</v>
      </c>
      <c r="Z78" s="10">
        <v>25.64122437346348</v>
      </c>
    </row>
    <row r="79" spans="1:26" x14ac:dyDescent="0.25">
      <c r="A79">
        <v>78</v>
      </c>
      <c r="B79">
        <v>36972</v>
      </c>
      <c r="C79">
        <v>122915212942.77</v>
      </c>
      <c r="D79">
        <v>2.42524673204506E-2</v>
      </c>
      <c r="E79">
        <f t="shared" si="2"/>
        <v>25.518306734235207</v>
      </c>
      <c r="F79" t="e">
        <f>VLOOKUP(A79,Sheet3!B:D,3,0)*100</f>
        <v>#N/A</v>
      </c>
      <c r="R79">
        <v>21</v>
      </c>
      <c r="S79" t="s">
        <v>19</v>
      </c>
      <c r="T79">
        <v>40635</v>
      </c>
      <c r="U79">
        <v>582442768241.41003</v>
      </c>
      <c r="V79">
        <v>1.8212356131111902E-2</v>
      </c>
      <c r="W79">
        <f t="shared" si="3"/>
        <v>19.793282191516305</v>
      </c>
      <c r="Y79" s="9">
        <v>76</v>
      </c>
      <c r="Z79" s="10">
        <v>25.555403831642</v>
      </c>
    </row>
    <row r="80" spans="1:26" x14ac:dyDescent="0.25">
      <c r="A80">
        <v>79</v>
      </c>
      <c r="B80">
        <v>36810</v>
      </c>
      <c r="C80">
        <v>117500557497.75999</v>
      </c>
      <c r="D80">
        <v>2.4781566944323201E-2</v>
      </c>
      <c r="E80">
        <f t="shared" si="2"/>
        <v>26.001516783961332</v>
      </c>
      <c r="F80" t="e">
        <f>VLOOKUP(A80,Sheet3!B:D,3,0)*100</f>
        <v>#N/A</v>
      </c>
      <c r="R80">
        <v>21</v>
      </c>
      <c r="S80" t="s">
        <v>20</v>
      </c>
      <c r="T80">
        <v>235</v>
      </c>
      <c r="U80">
        <v>5417361775.8000002</v>
      </c>
      <c r="V80">
        <v>1.7931098662003899E-2</v>
      </c>
      <c r="W80">
        <f t="shared" si="3"/>
        <v>19.517120848002399</v>
      </c>
      <c r="Y80" s="9">
        <v>77</v>
      </c>
      <c r="Z80" s="10">
        <v>25.992641428383202</v>
      </c>
    </row>
    <row r="81" spans="1:26" x14ac:dyDescent="0.25">
      <c r="A81">
        <v>80</v>
      </c>
      <c r="B81">
        <v>36713</v>
      </c>
      <c r="C81">
        <v>113856176576.88</v>
      </c>
      <c r="D81">
        <v>2.46092193117039E-2</v>
      </c>
      <c r="E81">
        <f t="shared" si="2"/>
        <v>25.844433612013429</v>
      </c>
      <c r="F81" t="e">
        <f>VLOOKUP(A81,Sheet3!B:D,3,0)*100</f>
        <v>#N/A</v>
      </c>
      <c r="R81">
        <v>21</v>
      </c>
      <c r="S81" t="s">
        <v>21</v>
      </c>
      <c r="T81">
        <v>646</v>
      </c>
      <c r="U81">
        <v>6956581157.71</v>
      </c>
      <c r="V81">
        <v>5.4126217435763301E-3</v>
      </c>
      <c r="W81">
        <f t="shared" si="3"/>
        <v>6.3052357996864039</v>
      </c>
      <c r="Y81" s="9">
        <v>78</v>
      </c>
      <c r="Z81" s="10">
        <v>25.518627954118234</v>
      </c>
    </row>
    <row r="82" spans="1:26" x14ac:dyDescent="0.25">
      <c r="A82">
        <v>81</v>
      </c>
      <c r="B82">
        <v>36483</v>
      </c>
      <c r="C82">
        <v>111176513712.78999</v>
      </c>
      <c r="D82">
        <v>2.41518823388534E-2</v>
      </c>
      <c r="E82">
        <f t="shared" si="2"/>
        <v>25.426119091056155</v>
      </c>
      <c r="F82" t="e">
        <f>VLOOKUP(A82,Sheet3!B:D,3,0)*100</f>
        <v>#N/A</v>
      </c>
      <c r="R82">
        <v>21</v>
      </c>
      <c r="S82" t="s">
        <v>22</v>
      </c>
      <c r="T82">
        <v>363</v>
      </c>
      <c r="U82">
        <v>4115284623.6900001</v>
      </c>
      <c r="V82">
        <v>3.6731719034954601E-3</v>
      </c>
      <c r="W82">
        <f t="shared" si="3"/>
        <v>4.319839160967609</v>
      </c>
      <c r="Y82" s="9">
        <v>79</v>
      </c>
      <c r="Z82" s="10">
        <v>25.990479072139074</v>
      </c>
    </row>
    <row r="83" spans="1:26" x14ac:dyDescent="0.25">
      <c r="A83">
        <v>82</v>
      </c>
      <c r="B83">
        <v>36358</v>
      </c>
      <c r="C83">
        <v>107290195705.17999</v>
      </c>
      <c r="D83">
        <v>2.4110169015704699E-2</v>
      </c>
      <c r="E83">
        <f t="shared" si="2"/>
        <v>25.38785753240057</v>
      </c>
      <c r="F83" t="e">
        <f>VLOOKUP(A83,Sheet3!B:D,3,0)*100</f>
        <v>#N/A</v>
      </c>
      <c r="R83">
        <v>22</v>
      </c>
      <c r="S83" t="s">
        <v>19</v>
      </c>
      <c r="T83">
        <v>40864</v>
      </c>
      <c r="U83">
        <v>572148734813.25</v>
      </c>
      <c r="V83">
        <v>1.7961399126109501E-2</v>
      </c>
      <c r="W83">
        <f t="shared" si="3"/>
        <v>19.546914131947858</v>
      </c>
      <c r="Y83" s="9">
        <v>80</v>
      </c>
      <c r="Z83" s="10">
        <v>25.844099137998221</v>
      </c>
    </row>
    <row r="84" spans="1:26" x14ac:dyDescent="0.25">
      <c r="A84">
        <v>83</v>
      </c>
      <c r="B84">
        <v>36068</v>
      </c>
      <c r="C84">
        <v>103290779443.89</v>
      </c>
      <c r="D84">
        <v>2.37826558261412E-2</v>
      </c>
      <c r="E84">
        <f t="shared" si="2"/>
        <v>25.086820067799721</v>
      </c>
      <c r="F84" t="e">
        <f>VLOOKUP(A84,Sheet3!B:D,3,0)*100</f>
        <v>#N/A</v>
      </c>
      <c r="R84">
        <v>22</v>
      </c>
      <c r="S84" t="s">
        <v>20</v>
      </c>
      <c r="T84">
        <v>227</v>
      </c>
      <c r="U84">
        <v>5117497086.6400003</v>
      </c>
      <c r="V84">
        <v>1.5298125985118601E-2</v>
      </c>
      <c r="W84">
        <f t="shared" si="3"/>
        <v>16.889255393013126</v>
      </c>
      <c r="Y84" s="9">
        <v>81</v>
      </c>
      <c r="Z84" s="10">
        <v>25.41878229425053</v>
      </c>
    </row>
    <row r="85" spans="1:26" x14ac:dyDescent="0.25">
      <c r="A85">
        <v>84</v>
      </c>
      <c r="B85">
        <v>35944</v>
      </c>
      <c r="C85">
        <v>100089202930.95</v>
      </c>
      <c r="D85">
        <v>2.4654470232884002E-2</v>
      </c>
      <c r="E85">
        <f t="shared" si="2"/>
        <v>25.885706320435919</v>
      </c>
      <c r="F85">
        <f>VLOOKUP(A85,Sheet3!B:D,3,0)*100</f>
        <v>24.79</v>
      </c>
      <c r="R85">
        <v>22</v>
      </c>
      <c r="S85" t="s">
        <v>21</v>
      </c>
      <c r="T85">
        <v>638</v>
      </c>
      <c r="U85">
        <v>6809334717.6899996</v>
      </c>
      <c r="V85">
        <v>6.2205872087303599E-3</v>
      </c>
      <c r="W85">
        <f t="shared" si="3"/>
        <v>7.2145352293887965</v>
      </c>
      <c r="Y85" s="9">
        <v>82</v>
      </c>
      <c r="Z85" s="10">
        <v>25.388986864593409</v>
      </c>
    </row>
    <row r="86" spans="1:26" x14ac:dyDescent="0.25">
      <c r="A86">
        <v>85</v>
      </c>
      <c r="B86">
        <v>35783</v>
      </c>
      <c r="C86">
        <v>96090582775.820007</v>
      </c>
      <c r="D86">
        <v>2.4676107598559399E-2</v>
      </c>
      <c r="E86">
        <f t="shared" si="2"/>
        <v>25.905434005124206</v>
      </c>
      <c r="F86" t="e">
        <f>VLOOKUP(A86,Sheet3!B:D,3,0)*100</f>
        <v>#N/A</v>
      </c>
      <c r="R86">
        <v>22</v>
      </c>
      <c r="S86" t="s">
        <v>22</v>
      </c>
      <c r="T86">
        <v>359</v>
      </c>
      <c r="U86">
        <v>4082880327.6199999</v>
      </c>
      <c r="V86">
        <v>4.3549979427226103E-3</v>
      </c>
      <c r="W86">
        <f t="shared" si="3"/>
        <v>5.1026213346367815</v>
      </c>
      <c r="Y86" s="9">
        <v>83</v>
      </c>
      <c r="Z86" s="10">
        <v>25.085298971568115</v>
      </c>
    </row>
    <row r="87" spans="1:26" x14ac:dyDescent="0.25">
      <c r="A87">
        <v>86</v>
      </c>
      <c r="B87">
        <v>35591</v>
      </c>
      <c r="C87">
        <v>93067731147.490005</v>
      </c>
      <c r="D87">
        <v>2.57860852807484E-2</v>
      </c>
      <c r="E87">
        <f t="shared" si="2"/>
        <v>26.911013482788626</v>
      </c>
      <c r="F87" t="e">
        <f>VLOOKUP(A87,Sheet3!B:D,3,0)*100</f>
        <v>#N/A</v>
      </c>
      <c r="R87">
        <v>23</v>
      </c>
      <c r="S87" t="s">
        <v>19</v>
      </c>
      <c r="T87">
        <v>41112</v>
      </c>
      <c r="U87">
        <v>561758842107.10999</v>
      </c>
      <c r="V87">
        <v>1.79055102473985E-2</v>
      </c>
      <c r="W87">
        <f t="shared" si="3"/>
        <v>19.491952865206873</v>
      </c>
      <c r="Y87" s="9">
        <v>84</v>
      </c>
      <c r="Z87" s="10">
        <v>25.882451879725</v>
      </c>
    </row>
    <row r="88" spans="1:26" x14ac:dyDescent="0.25">
      <c r="A88">
        <v>87</v>
      </c>
      <c r="B88">
        <v>35412</v>
      </c>
      <c r="C88">
        <v>89821828674.889999</v>
      </c>
      <c r="D88">
        <v>2.6399734464658601E-2</v>
      </c>
      <c r="E88">
        <f t="shared" si="2"/>
        <v>27.461561243209943</v>
      </c>
      <c r="F88" t="e">
        <f>VLOOKUP(A88,Sheet3!B:D,3,0)*100</f>
        <v>#N/A</v>
      </c>
      <c r="R88">
        <v>23</v>
      </c>
      <c r="S88" t="s">
        <v>20</v>
      </c>
      <c r="T88">
        <v>226</v>
      </c>
      <c r="U88">
        <v>4996325578.1499996</v>
      </c>
      <c r="V88">
        <v>1.49250231558465E-2</v>
      </c>
      <c r="W88">
        <f t="shared" si="3"/>
        <v>16.5105796873275</v>
      </c>
      <c r="Y88" s="9">
        <v>85</v>
      </c>
      <c r="Z88" s="10">
        <v>25.901617532312173</v>
      </c>
    </row>
    <row r="89" spans="1:26" x14ac:dyDescent="0.25">
      <c r="A89">
        <v>88</v>
      </c>
      <c r="B89">
        <v>35184</v>
      </c>
      <c r="C89">
        <v>86745427494.729996</v>
      </c>
      <c r="D89">
        <v>2.7155020914850302E-2</v>
      </c>
      <c r="E89">
        <f t="shared" si="2"/>
        <v>28.133962146634872</v>
      </c>
      <c r="F89" t="e">
        <f>VLOOKUP(A89,Sheet3!B:D,3,0)*100</f>
        <v>#N/A</v>
      </c>
      <c r="R89">
        <v>23</v>
      </c>
      <c r="S89" t="s">
        <v>21</v>
      </c>
      <c r="T89">
        <v>636</v>
      </c>
      <c r="U89">
        <v>6737562549.1800003</v>
      </c>
      <c r="V89">
        <v>6.05492368006578E-3</v>
      </c>
      <c r="W89">
        <f t="shared" si="3"/>
        <v>7.0287563544853437</v>
      </c>
      <c r="Y89" s="9">
        <v>86</v>
      </c>
      <c r="Z89" s="10">
        <v>26.911901182087561</v>
      </c>
    </row>
    <row r="90" spans="1:26" x14ac:dyDescent="0.25">
      <c r="A90">
        <v>89</v>
      </c>
      <c r="B90">
        <v>34906</v>
      </c>
      <c r="C90">
        <v>82743669470.580002</v>
      </c>
      <c r="D90">
        <v>2.70766441205256E-2</v>
      </c>
      <c r="E90">
        <f t="shared" si="2"/>
        <v>28.064453113170551</v>
      </c>
      <c r="F90" t="e">
        <f>VLOOKUP(A90,Sheet3!B:D,3,0)*100</f>
        <v>#N/A</v>
      </c>
      <c r="R90">
        <v>23</v>
      </c>
      <c r="S90" t="s">
        <v>22</v>
      </c>
      <c r="T90">
        <v>357</v>
      </c>
      <c r="U90">
        <v>4056053633.75</v>
      </c>
      <c r="V90">
        <v>4.3136201235777103E-3</v>
      </c>
      <c r="W90">
        <f t="shared" si="3"/>
        <v>5.0552846528062689</v>
      </c>
      <c r="Y90" s="9">
        <v>87</v>
      </c>
      <c r="Z90" s="10">
        <v>27.462494916285962</v>
      </c>
    </row>
    <row r="91" spans="1:26" x14ac:dyDescent="0.25">
      <c r="A91">
        <v>90</v>
      </c>
      <c r="B91">
        <v>34646</v>
      </c>
      <c r="C91">
        <v>79334514814.050003</v>
      </c>
      <c r="D91">
        <v>2.6624273646056799E-2</v>
      </c>
      <c r="E91">
        <f t="shared" si="2"/>
        <v>27.662059265784244</v>
      </c>
      <c r="F91" t="e">
        <f>VLOOKUP(A91,Sheet3!B:D,3,0)*100</f>
        <v>#N/A</v>
      </c>
      <c r="R91">
        <v>24</v>
      </c>
      <c r="S91" t="s">
        <v>19</v>
      </c>
      <c r="T91">
        <v>41269</v>
      </c>
      <c r="U91">
        <v>548210307102.15997</v>
      </c>
      <c r="V91">
        <v>1.80624763957546E-2</v>
      </c>
      <c r="W91">
        <f t="shared" si="3"/>
        <v>19.646226436431601</v>
      </c>
      <c r="Y91" s="9">
        <v>88</v>
      </c>
      <c r="Z91" s="10">
        <v>28.134939275700045</v>
      </c>
    </row>
    <row r="92" spans="1:26" x14ac:dyDescent="0.25">
      <c r="A92">
        <v>91</v>
      </c>
      <c r="B92">
        <v>34456</v>
      </c>
      <c r="C92">
        <v>76055984094.100006</v>
      </c>
      <c r="D92">
        <v>2.6011029962890501E-2</v>
      </c>
      <c r="E92">
        <f t="shared" si="2"/>
        <v>27.113270283528646</v>
      </c>
      <c r="F92" t="e">
        <f>VLOOKUP(A92,Sheet3!B:D,3,0)*100</f>
        <v>#N/A</v>
      </c>
      <c r="R92">
        <v>24</v>
      </c>
      <c r="S92" t="s">
        <v>20</v>
      </c>
      <c r="T92">
        <v>224</v>
      </c>
      <c r="U92">
        <v>4834371786.6599998</v>
      </c>
      <c r="V92">
        <v>1.5299469519619101E-2</v>
      </c>
      <c r="W92">
        <f t="shared" si="3"/>
        <v>16.890616145757718</v>
      </c>
      <c r="Y92" s="9">
        <v>89</v>
      </c>
      <c r="Z92" s="10">
        <v>28.065481258164915</v>
      </c>
    </row>
    <row r="93" spans="1:26" x14ac:dyDescent="0.25">
      <c r="A93">
        <v>92</v>
      </c>
      <c r="B93">
        <v>34164</v>
      </c>
      <c r="C93">
        <v>73013681453.75</v>
      </c>
      <c r="D93">
        <v>2.5926287255596599E-2</v>
      </c>
      <c r="E93">
        <f t="shared" si="2"/>
        <v>27.037135022544778</v>
      </c>
      <c r="F93" t="e">
        <f>VLOOKUP(A93,Sheet3!B:D,3,0)*100</f>
        <v>#N/A</v>
      </c>
      <c r="R93">
        <v>24</v>
      </c>
      <c r="S93" t="s">
        <v>21</v>
      </c>
      <c r="T93">
        <v>631</v>
      </c>
      <c r="U93">
        <v>6703951735.4300003</v>
      </c>
      <c r="V93">
        <v>6.6682469866813599E-3</v>
      </c>
      <c r="W93">
        <f t="shared" si="3"/>
        <v>7.7148502868625073</v>
      </c>
      <c r="Y93" s="9">
        <v>90</v>
      </c>
      <c r="Z93" s="10">
        <v>27.663116178667259</v>
      </c>
    </row>
    <row r="94" spans="1:26" x14ac:dyDescent="0.25">
      <c r="A94">
        <v>93</v>
      </c>
      <c r="B94">
        <v>34069</v>
      </c>
      <c r="C94">
        <v>70570055283.229996</v>
      </c>
      <c r="D94">
        <v>2.5182381272925498E-2</v>
      </c>
      <c r="E94">
        <f t="shared" si="2"/>
        <v>26.365653033599646</v>
      </c>
      <c r="F94" t="e">
        <f>VLOOKUP(A94,Sheet3!B:D,3,0)*100</f>
        <v>#N/A</v>
      </c>
      <c r="R94">
        <v>24</v>
      </c>
      <c r="S94" t="s">
        <v>22</v>
      </c>
      <c r="T94">
        <v>356</v>
      </c>
      <c r="U94">
        <v>4028481077.6900001</v>
      </c>
      <c r="V94">
        <v>4.8336883052802499E-3</v>
      </c>
      <c r="W94">
        <f t="shared" si="3"/>
        <v>5.6486777827949641</v>
      </c>
      <c r="Y94" s="9">
        <v>91</v>
      </c>
      <c r="Z94" s="10">
        <v>27.114350920712049</v>
      </c>
    </row>
    <row r="95" spans="1:26" x14ac:dyDescent="0.25">
      <c r="A95">
        <v>94</v>
      </c>
      <c r="B95">
        <v>33787</v>
      </c>
      <c r="C95">
        <v>68148720552.190002</v>
      </c>
      <c r="D95">
        <v>2.4783086444673801E-2</v>
      </c>
      <c r="E95">
        <f t="shared" si="2"/>
        <v>26.002900347935977</v>
      </c>
      <c r="F95" t="e">
        <f>VLOOKUP(A95,Sheet3!B:D,3,0)*100</f>
        <v>#N/A</v>
      </c>
      <c r="R95">
        <v>25</v>
      </c>
      <c r="S95" t="s">
        <v>19</v>
      </c>
      <c r="T95">
        <v>41290</v>
      </c>
      <c r="U95">
        <v>537387748849.21002</v>
      </c>
      <c r="V95">
        <v>1.7872991224071901E-2</v>
      </c>
      <c r="W95">
        <f t="shared" si="3"/>
        <v>19.459957737296996</v>
      </c>
      <c r="Y95" s="9">
        <v>92</v>
      </c>
      <c r="Z95" s="10">
        <v>27.038259591685389</v>
      </c>
    </row>
    <row r="96" spans="1:26" x14ac:dyDescent="0.25">
      <c r="A96">
        <v>95</v>
      </c>
      <c r="B96">
        <v>33638</v>
      </c>
      <c r="C96">
        <v>66194728367.199997</v>
      </c>
      <c r="D96">
        <v>2.46433917541907E-2</v>
      </c>
      <c r="E96">
        <f t="shared" si="2"/>
        <v>25.875603747828436</v>
      </c>
      <c r="F96" t="e">
        <f>VLOOKUP(A96,Sheet3!B:D,3,0)*100</f>
        <v>#N/A</v>
      </c>
      <c r="R96">
        <v>25</v>
      </c>
      <c r="S96" t="s">
        <v>20</v>
      </c>
      <c r="T96">
        <v>223</v>
      </c>
      <c r="U96">
        <v>4723433634.3800001</v>
      </c>
      <c r="V96">
        <v>1.7113698630981299E-2</v>
      </c>
      <c r="W96">
        <f t="shared" si="3"/>
        <v>18.709576257291527</v>
      </c>
      <c r="Y96" s="9">
        <v>93</v>
      </c>
      <c r="Z96" s="10">
        <v>26.36678169634914</v>
      </c>
    </row>
    <row r="97" spans="1:26" x14ac:dyDescent="0.25">
      <c r="A97">
        <v>96</v>
      </c>
      <c r="B97">
        <v>33462</v>
      </c>
      <c r="C97">
        <v>64196662452.220001</v>
      </c>
      <c r="D97">
        <v>2.4829528137200099E-2</v>
      </c>
      <c r="E97">
        <f t="shared" si="2"/>
        <v>26.045175873004432</v>
      </c>
      <c r="F97">
        <f>VLOOKUP(A97,Sheet3!B:D,3,0)*100</f>
        <v>26.22</v>
      </c>
      <c r="R97">
        <v>25</v>
      </c>
      <c r="S97" t="s">
        <v>21</v>
      </c>
      <c r="T97">
        <v>629</v>
      </c>
      <c r="U97">
        <v>6671962131.8900003</v>
      </c>
      <c r="V97">
        <v>6.6276187430304202E-3</v>
      </c>
      <c r="W97">
        <f t="shared" si="3"/>
        <v>7.6695454577888516</v>
      </c>
      <c r="Y97" s="9">
        <v>94</v>
      </c>
      <c r="Z97" s="10">
        <v>26.004058131633478</v>
      </c>
    </row>
    <row r="98" spans="1:26" x14ac:dyDescent="0.25">
      <c r="A98">
        <v>97</v>
      </c>
      <c r="B98">
        <v>33315</v>
      </c>
      <c r="C98">
        <v>62741645063.410004</v>
      </c>
      <c r="D98">
        <v>2.4681656273835E-2</v>
      </c>
      <c r="E98">
        <f t="shared" si="2"/>
        <v>25.910492187241029</v>
      </c>
      <c r="F98" t="e">
        <f>VLOOKUP(A98,Sheet3!B:D,3,0)*100</f>
        <v>#N/A</v>
      </c>
      <c r="R98">
        <v>25</v>
      </c>
      <c r="S98" t="s">
        <v>22</v>
      </c>
      <c r="T98">
        <v>352</v>
      </c>
      <c r="U98">
        <v>3928445603.3000002</v>
      </c>
      <c r="V98">
        <v>4.4523700034519997E-3</v>
      </c>
      <c r="W98">
        <f t="shared" si="3"/>
        <v>5.2139307025707353</v>
      </c>
      <c r="Y98" s="9">
        <v>95</v>
      </c>
      <c r="Z98" s="10">
        <v>25.876793539198939</v>
      </c>
    </row>
    <row r="99" spans="1:26" x14ac:dyDescent="0.25">
      <c r="A99">
        <v>98</v>
      </c>
      <c r="B99">
        <v>33044</v>
      </c>
      <c r="C99">
        <v>60937703898.610001</v>
      </c>
      <c r="D99">
        <v>2.4245752665642401E-2</v>
      </c>
      <c r="E99">
        <f t="shared" si="2"/>
        <v>25.5121559080563</v>
      </c>
      <c r="F99" t="e">
        <f>VLOOKUP(A99,Sheet3!B:D,3,0)*100</f>
        <v>#N/A</v>
      </c>
      <c r="R99">
        <v>26</v>
      </c>
      <c r="S99" t="s">
        <v>19</v>
      </c>
      <c r="T99">
        <v>41382</v>
      </c>
      <c r="U99">
        <v>522936413414.85999</v>
      </c>
      <c r="V99">
        <v>1.7651582059102999E-2</v>
      </c>
      <c r="W99">
        <f t="shared" si="3"/>
        <v>19.241805537715607</v>
      </c>
      <c r="Y99" s="9">
        <v>96</v>
      </c>
      <c r="Z99" s="10">
        <v>26.046392994131939</v>
      </c>
    </row>
    <row r="100" spans="1:26" x14ac:dyDescent="0.25">
      <c r="A100">
        <v>99</v>
      </c>
      <c r="B100">
        <v>32865</v>
      </c>
      <c r="C100">
        <v>59369556001.699997</v>
      </c>
      <c r="D100">
        <v>2.4260343852532399E-2</v>
      </c>
      <c r="E100">
        <f t="shared" si="2"/>
        <v>25.525521281621756</v>
      </c>
      <c r="F100" t="e">
        <f>VLOOKUP(A100,Sheet3!B:D,3,0)*100</f>
        <v>#N/A</v>
      </c>
      <c r="R100">
        <v>26</v>
      </c>
      <c r="S100" t="s">
        <v>20</v>
      </c>
      <c r="T100">
        <v>216</v>
      </c>
      <c r="U100">
        <v>4491782216.2399998</v>
      </c>
      <c r="V100">
        <v>1.50066811756047E-2</v>
      </c>
      <c r="W100">
        <f t="shared" si="3"/>
        <v>16.593592332519378</v>
      </c>
      <c r="Y100" s="9">
        <v>97</v>
      </c>
      <c r="Z100" s="10">
        <v>25.911734579933466</v>
      </c>
    </row>
    <row r="101" spans="1:26" x14ac:dyDescent="0.25">
      <c r="A101">
        <v>100</v>
      </c>
      <c r="B101">
        <v>32654</v>
      </c>
      <c r="C101">
        <v>57493912764.709999</v>
      </c>
      <c r="D101">
        <v>2.4840128107809899E-2</v>
      </c>
      <c r="E101">
        <f t="shared" si="2"/>
        <v>26.054821843064101</v>
      </c>
      <c r="F101" t="e">
        <f>VLOOKUP(A101,Sheet3!B:D,3,0)*100</f>
        <v>#N/A</v>
      </c>
      <c r="R101">
        <v>26</v>
      </c>
      <c r="S101" t="s">
        <v>21</v>
      </c>
      <c r="T101">
        <v>623</v>
      </c>
      <c r="U101">
        <v>6543238074.0900002</v>
      </c>
      <c r="V101">
        <v>6.8234935633657802E-3</v>
      </c>
      <c r="W101">
        <f t="shared" si="3"/>
        <v>7.887779155746566</v>
      </c>
      <c r="Y101" s="9">
        <v>98</v>
      </c>
      <c r="Z101" s="10">
        <v>25.512883869557601</v>
      </c>
    </row>
    <row r="102" spans="1:26" x14ac:dyDescent="0.25">
      <c r="A102">
        <v>101</v>
      </c>
      <c r="B102">
        <v>32400</v>
      </c>
      <c r="C102">
        <v>56061078543.349998</v>
      </c>
      <c r="D102">
        <v>2.5213409053824399E-2</v>
      </c>
      <c r="E102">
        <f t="shared" si="2"/>
        <v>26.393772883942045</v>
      </c>
      <c r="F102" t="e">
        <f>VLOOKUP(A102,Sheet3!B:D,3,0)*100</f>
        <v>#N/A</v>
      </c>
      <c r="R102">
        <v>26</v>
      </c>
      <c r="S102" t="s">
        <v>22</v>
      </c>
      <c r="T102">
        <v>349</v>
      </c>
      <c r="U102">
        <v>3966331875.1199999</v>
      </c>
      <c r="V102">
        <v>5.0386245664721298E-3</v>
      </c>
      <c r="W102">
        <f t="shared" si="3"/>
        <v>5.8815729873482496</v>
      </c>
      <c r="Y102" s="9">
        <v>99</v>
      </c>
      <c r="Z102" s="10">
        <v>25.526230622949207</v>
      </c>
    </row>
    <row r="103" spans="1:26" x14ac:dyDescent="0.25">
      <c r="A103">
        <v>102</v>
      </c>
      <c r="B103">
        <v>32117</v>
      </c>
      <c r="C103">
        <v>54201704338.889999</v>
      </c>
      <c r="D103">
        <v>2.46704003205129E-2</v>
      </c>
      <c r="E103">
        <f t="shared" si="2"/>
        <v>25.900230910192167</v>
      </c>
      <c r="F103" t="e">
        <f>VLOOKUP(A103,Sheet3!B:D,3,0)*100</f>
        <v>#N/A</v>
      </c>
      <c r="R103">
        <v>27</v>
      </c>
      <c r="S103" t="s">
        <v>19</v>
      </c>
      <c r="T103">
        <v>41495</v>
      </c>
      <c r="U103">
        <v>512364660010.42999</v>
      </c>
      <c r="V103">
        <v>1.77980104945357E-2</v>
      </c>
      <c r="W103">
        <f t="shared" si="3"/>
        <v>19.386140553174702</v>
      </c>
      <c r="Y103" s="9">
        <v>100</v>
      </c>
      <c r="Z103" s="10">
        <v>26.053625187607597</v>
      </c>
    </row>
    <row r="104" spans="1:26" x14ac:dyDescent="0.25">
      <c r="A104">
        <v>103</v>
      </c>
      <c r="B104">
        <v>31922</v>
      </c>
      <c r="C104">
        <v>52683959265.339996</v>
      </c>
      <c r="D104">
        <v>2.4901824160603499E-2</v>
      </c>
      <c r="E104">
        <f t="shared" si="2"/>
        <v>26.110942345022547</v>
      </c>
      <c r="F104" t="e">
        <f>VLOOKUP(A104,Sheet3!B:D,3,0)*100</f>
        <v>#N/A</v>
      </c>
      <c r="R104">
        <v>27</v>
      </c>
      <c r="S104" t="s">
        <v>20</v>
      </c>
      <c r="T104">
        <v>211</v>
      </c>
      <c r="U104">
        <v>4331683424.0200005</v>
      </c>
      <c r="V104">
        <v>1.29338542005782E-2</v>
      </c>
      <c r="W104">
        <f t="shared" si="3"/>
        <v>14.46278976399913</v>
      </c>
      <c r="Y104" s="9">
        <v>101</v>
      </c>
      <c r="Z104" s="10">
        <v>26.394128477585554</v>
      </c>
    </row>
    <row r="105" spans="1:26" x14ac:dyDescent="0.25">
      <c r="A105">
        <v>104</v>
      </c>
      <c r="B105">
        <v>31567</v>
      </c>
      <c r="C105">
        <v>50969300414.650002</v>
      </c>
      <c r="D105">
        <v>2.5262706767563099E-2</v>
      </c>
      <c r="E105">
        <f t="shared" si="2"/>
        <v>26.438430161117811</v>
      </c>
      <c r="F105" t="e">
        <f>VLOOKUP(A105,Sheet3!B:D,3,0)*100</f>
        <v>#N/A</v>
      </c>
      <c r="R105">
        <v>27</v>
      </c>
      <c r="S105" t="s">
        <v>21</v>
      </c>
      <c r="T105">
        <v>617</v>
      </c>
      <c r="U105">
        <v>6523482640.3599997</v>
      </c>
      <c r="V105">
        <v>7.3806503397880899E-3</v>
      </c>
      <c r="W105">
        <f t="shared" si="3"/>
        <v>8.5059520220190699</v>
      </c>
      <c r="Y105" s="9">
        <v>102</v>
      </c>
      <c r="Z105" s="10">
        <v>25.900591846459776</v>
      </c>
    </row>
    <row r="106" spans="1:26" x14ac:dyDescent="0.25">
      <c r="A106">
        <v>105</v>
      </c>
      <c r="B106">
        <v>31234</v>
      </c>
      <c r="C106">
        <v>49043799087.209999</v>
      </c>
      <c r="D106">
        <v>2.5863099126092699E-2</v>
      </c>
      <c r="E106">
        <f t="shared" si="2"/>
        <v>26.980317570157275</v>
      </c>
      <c r="F106" t="e">
        <f>VLOOKUP(A106,Sheet3!B:D,3,0)*100</f>
        <v>#N/A</v>
      </c>
      <c r="R106">
        <v>27</v>
      </c>
      <c r="S106" t="s">
        <v>22</v>
      </c>
      <c r="T106">
        <v>347</v>
      </c>
      <c r="U106">
        <v>3938802267.9400001</v>
      </c>
      <c r="V106">
        <v>5.1974214197497703E-3</v>
      </c>
      <c r="W106">
        <f t="shared" si="3"/>
        <v>6.0616716078068738</v>
      </c>
      <c r="Y106" s="9">
        <v>103</v>
      </c>
      <c r="Z106" s="10">
        <v>26.111315462833385</v>
      </c>
    </row>
    <row r="107" spans="1:26" x14ac:dyDescent="0.25">
      <c r="A107">
        <v>106</v>
      </c>
      <c r="B107">
        <v>30910</v>
      </c>
      <c r="C107">
        <v>47533295027.839996</v>
      </c>
      <c r="D107">
        <v>2.6451674727420799E-2</v>
      </c>
      <c r="E107">
        <f t="shared" si="2"/>
        <v>27.507985555937829</v>
      </c>
      <c r="F107" t="e">
        <f>VLOOKUP(A107,Sheet3!B:D,3,0)*100</f>
        <v>#N/A</v>
      </c>
      <c r="R107">
        <v>28</v>
      </c>
      <c r="S107" t="s">
        <v>19</v>
      </c>
      <c r="T107">
        <v>41474</v>
      </c>
      <c r="U107">
        <v>500651322052.87</v>
      </c>
      <c r="V107">
        <v>1.7813900623440401E-2</v>
      </c>
      <c r="W107">
        <f t="shared" si="3"/>
        <v>19.401789277064829</v>
      </c>
      <c r="Y107" s="9">
        <v>104</v>
      </c>
      <c r="Z107" s="10">
        <v>26.43881946547214</v>
      </c>
    </row>
    <row r="108" spans="1:26" x14ac:dyDescent="0.25">
      <c r="A108">
        <v>107</v>
      </c>
      <c r="B108">
        <v>30622</v>
      </c>
      <c r="C108">
        <v>45731743616.209999</v>
      </c>
      <c r="D108">
        <v>2.73116673952527E-2</v>
      </c>
      <c r="E108">
        <f t="shared" si="2"/>
        <v>28.27270076670121</v>
      </c>
      <c r="F108" t="e">
        <f>VLOOKUP(A108,Sheet3!B:D,3,0)*100</f>
        <v>#N/A</v>
      </c>
      <c r="R108">
        <v>28</v>
      </c>
      <c r="S108" t="s">
        <v>20</v>
      </c>
      <c r="T108">
        <v>210</v>
      </c>
      <c r="U108">
        <v>4209201156.1500001</v>
      </c>
      <c r="V108">
        <v>1.4027679094088299E-2</v>
      </c>
      <c r="W108">
        <f t="shared" si="3"/>
        <v>15.593347172710569</v>
      </c>
      <c r="Y108" s="9">
        <v>105</v>
      </c>
      <c r="Z108" s="10">
        <v>26.980728479624304</v>
      </c>
    </row>
    <row r="109" spans="1:26" x14ac:dyDescent="0.25">
      <c r="A109">
        <v>108</v>
      </c>
      <c r="B109">
        <v>30327</v>
      </c>
      <c r="C109">
        <v>43813680441.379997</v>
      </c>
      <c r="D109">
        <v>2.7776194235213901E-2</v>
      </c>
      <c r="E109">
        <f t="shared" si="2"/>
        <v>28.68268052491122</v>
      </c>
      <c r="F109">
        <f>VLOOKUP(A109,Sheet3!B:D,3,0)*100</f>
        <v>26.43</v>
      </c>
      <c r="R109">
        <v>28</v>
      </c>
      <c r="S109" t="s">
        <v>21</v>
      </c>
      <c r="T109">
        <v>607</v>
      </c>
      <c r="U109">
        <v>6419156365.7299995</v>
      </c>
      <c r="V109">
        <v>7.0542300298239401E-3</v>
      </c>
      <c r="W109">
        <f t="shared" si="3"/>
        <v>8.1442473099028856</v>
      </c>
      <c r="Y109" s="9">
        <v>106</v>
      </c>
      <c r="Z109" s="10">
        <v>27.508415519656115</v>
      </c>
    </row>
    <row r="110" spans="1:26" x14ac:dyDescent="0.25">
      <c r="A110">
        <v>109</v>
      </c>
      <c r="B110">
        <v>30018</v>
      </c>
      <c r="C110">
        <v>43063045388.830002</v>
      </c>
      <c r="D110">
        <v>2.89919451710615E-2</v>
      </c>
      <c r="E110">
        <f t="shared" si="2"/>
        <v>29.745525366891002</v>
      </c>
      <c r="F110" t="e">
        <f>VLOOKUP(A110,Sheet3!B:D,3,0)*100</f>
        <v>#N/A</v>
      </c>
      <c r="R110">
        <v>28</v>
      </c>
      <c r="S110" t="s">
        <v>22</v>
      </c>
      <c r="T110">
        <v>347</v>
      </c>
      <c r="U110">
        <v>3974875255.0500002</v>
      </c>
      <c r="V110">
        <v>5.27292091085922E-3</v>
      </c>
      <c r="W110">
        <f t="shared" si="3"/>
        <v>6.1471881086443307</v>
      </c>
      <c r="Y110" s="9">
        <v>107</v>
      </c>
      <c r="Z110" s="10">
        <v>28.273156573772141</v>
      </c>
    </row>
    <row r="111" spans="1:26" x14ac:dyDescent="0.25">
      <c r="A111">
        <v>110</v>
      </c>
      <c r="B111">
        <v>29781</v>
      </c>
      <c r="C111">
        <v>41674712418.720001</v>
      </c>
      <c r="D111">
        <v>2.9455104927911299E-2</v>
      </c>
      <c r="E111">
        <f t="shared" si="2"/>
        <v>30.146599075785552</v>
      </c>
      <c r="F111" t="e">
        <f>VLOOKUP(A111,Sheet3!B:D,3,0)*100</f>
        <v>#N/A</v>
      </c>
      <c r="R111">
        <v>29</v>
      </c>
      <c r="S111" t="s">
        <v>19</v>
      </c>
      <c r="T111">
        <v>41710</v>
      </c>
      <c r="U111">
        <v>490518521864.12</v>
      </c>
      <c r="V111">
        <v>1.7937145154266199E-2</v>
      </c>
      <c r="W111">
        <f t="shared" si="3"/>
        <v>19.52306693948378</v>
      </c>
      <c r="Y111" s="9">
        <v>108</v>
      </c>
      <c r="Z111" s="10">
        <v>28.683161172309603</v>
      </c>
    </row>
    <row r="112" spans="1:26" x14ac:dyDescent="0.25">
      <c r="A112">
        <v>111</v>
      </c>
      <c r="B112">
        <v>29501</v>
      </c>
      <c r="C112">
        <v>40084080753.089996</v>
      </c>
      <c r="D112">
        <v>2.9406557881176801E-2</v>
      </c>
      <c r="E112">
        <f t="shared" si="2"/>
        <v>30.104658395501048</v>
      </c>
      <c r="F112" t="e">
        <f>VLOOKUP(A112,Sheet3!B:D,3,0)*100</f>
        <v>#N/A</v>
      </c>
      <c r="R112">
        <v>29</v>
      </c>
      <c r="S112" t="s">
        <v>20</v>
      </c>
      <c r="T112">
        <v>208</v>
      </c>
      <c r="U112">
        <v>4135652439.8699999</v>
      </c>
      <c r="V112">
        <v>1.41855406532889E-2</v>
      </c>
      <c r="W112">
        <f t="shared" si="3"/>
        <v>15.755374097450648</v>
      </c>
      <c r="Y112" s="9">
        <v>109</v>
      </c>
      <c r="Z112" s="10">
        <v>29.746028300398397</v>
      </c>
    </row>
    <row r="113" spans="1:26" x14ac:dyDescent="0.25">
      <c r="A113">
        <v>112</v>
      </c>
      <c r="B113">
        <v>29188</v>
      </c>
      <c r="C113">
        <v>39194090914.260002</v>
      </c>
      <c r="D113">
        <v>2.98021115429342E-2</v>
      </c>
      <c r="E113">
        <f t="shared" si="2"/>
        <v>30.445713310678002</v>
      </c>
      <c r="F113" t="e">
        <f>VLOOKUP(A113,Sheet3!B:D,3,0)*100</f>
        <v>#N/A</v>
      </c>
      <c r="R113">
        <v>29</v>
      </c>
      <c r="S113" t="s">
        <v>21</v>
      </c>
      <c r="T113">
        <v>602</v>
      </c>
      <c r="U113">
        <v>6293825286.79</v>
      </c>
      <c r="V113">
        <v>8.5014667296008997E-3</v>
      </c>
      <c r="W113">
        <f t="shared" si="3"/>
        <v>9.738008150626154</v>
      </c>
      <c r="Y113" s="9">
        <v>110</v>
      </c>
      <c r="Z113" s="10">
        <v>30.147122602000621</v>
      </c>
    </row>
    <row r="114" spans="1:26" x14ac:dyDescent="0.25">
      <c r="A114">
        <v>113</v>
      </c>
      <c r="B114">
        <v>28849</v>
      </c>
      <c r="C114">
        <v>37338733219.57</v>
      </c>
      <c r="D114">
        <v>3.0638699960876301E-2</v>
      </c>
      <c r="E114">
        <f t="shared" si="2"/>
        <v>31.162018393340894</v>
      </c>
      <c r="F114" t="e">
        <f>VLOOKUP(A114,Sheet3!B:D,3,0)*100</f>
        <v>#N/A</v>
      </c>
      <c r="R114">
        <v>29</v>
      </c>
      <c r="S114" t="s">
        <v>22</v>
      </c>
      <c r="T114">
        <v>338</v>
      </c>
      <c r="U114">
        <v>3849777109.4499998</v>
      </c>
      <c r="V114">
        <v>4.86102389143924E-3</v>
      </c>
      <c r="W114">
        <f t="shared" si="3"/>
        <v>5.6797731973680428</v>
      </c>
      <c r="Y114" s="9">
        <v>111</v>
      </c>
      <c r="Z114" s="10">
        <v>30.105201629387512</v>
      </c>
    </row>
    <row r="115" spans="1:26" x14ac:dyDescent="0.25">
      <c r="A115">
        <v>114</v>
      </c>
      <c r="B115">
        <v>28528</v>
      </c>
      <c r="C115">
        <v>35833683348</v>
      </c>
      <c r="D115">
        <v>3.0053334637167198E-2</v>
      </c>
      <c r="E115">
        <f t="shared" si="2"/>
        <v>30.661530467366184</v>
      </c>
      <c r="F115" t="e">
        <f>VLOOKUP(A115,Sheet3!B:D,3,0)*100</f>
        <v>#N/A</v>
      </c>
      <c r="R115">
        <v>30</v>
      </c>
      <c r="S115" t="s">
        <v>19</v>
      </c>
      <c r="T115">
        <v>41661</v>
      </c>
      <c r="U115">
        <v>481174741357.63</v>
      </c>
      <c r="V115">
        <v>1.8265223013657302E-2</v>
      </c>
      <c r="W115">
        <f t="shared" si="3"/>
        <v>19.84509409084292</v>
      </c>
      <c r="Y115" s="9">
        <v>112</v>
      </c>
      <c r="Z115" s="10">
        <v>30.446272065262924</v>
      </c>
    </row>
    <row r="116" spans="1:26" x14ac:dyDescent="0.25">
      <c r="A116">
        <v>115</v>
      </c>
      <c r="B116">
        <v>28152</v>
      </c>
      <c r="C116">
        <v>34389555721.5</v>
      </c>
      <c r="D116">
        <v>2.9447041351463199E-2</v>
      </c>
      <c r="E116">
        <f t="shared" si="2"/>
        <v>30.139634402876723</v>
      </c>
      <c r="F116" t="e">
        <f>VLOOKUP(A116,Sheet3!B:D,3,0)*100</f>
        <v>#N/A</v>
      </c>
      <c r="R116">
        <v>30</v>
      </c>
      <c r="S116" t="s">
        <v>20</v>
      </c>
      <c r="T116">
        <v>204</v>
      </c>
      <c r="U116">
        <v>3971512948.1100001</v>
      </c>
      <c r="V116">
        <v>1.3502765802336201E-2</v>
      </c>
      <c r="W116">
        <f t="shared" si="3"/>
        <v>15.052527074568644</v>
      </c>
      <c r="Y116" s="9">
        <v>113</v>
      </c>
      <c r="Z116" s="10">
        <v>31.162615236363045</v>
      </c>
    </row>
    <row r="117" spans="1:26" x14ac:dyDescent="0.25">
      <c r="A117">
        <v>116</v>
      </c>
      <c r="B117">
        <v>27892</v>
      </c>
      <c r="C117">
        <v>33074956012.189999</v>
      </c>
      <c r="D117">
        <v>2.9558501857339901E-2</v>
      </c>
      <c r="E117">
        <f t="shared" si="2"/>
        <v>30.235848692122381</v>
      </c>
      <c r="F117" t="e">
        <f>VLOOKUP(A117,Sheet3!B:D,3,0)*100</f>
        <v>#N/A</v>
      </c>
      <c r="R117">
        <v>30</v>
      </c>
      <c r="S117" t="s">
        <v>21</v>
      </c>
      <c r="T117">
        <v>596</v>
      </c>
      <c r="U117">
        <v>6244877245.7399998</v>
      </c>
      <c r="V117">
        <v>7.8274468659239697E-3</v>
      </c>
      <c r="W117">
        <f t="shared" si="3"/>
        <v>8.9989285702583466</v>
      </c>
      <c r="Y117" s="9">
        <v>114</v>
      </c>
      <c r="Z117" s="10">
        <v>30.658329358121716</v>
      </c>
    </row>
    <row r="118" spans="1:26" x14ac:dyDescent="0.25">
      <c r="A118">
        <v>117</v>
      </c>
      <c r="B118">
        <v>27586</v>
      </c>
      <c r="C118">
        <v>31785079344.380001</v>
      </c>
      <c r="D118">
        <v>2.96927005723602E-2</v>
      </c>
      <c r="E118">
        <f t="shared" si="2"/>
        <v>30.351529755612649</v>
      </c>
      <c r="F118" t="e">
        <f>VLOOKUP(A118,Sheet3!B:D,3,0)*100</f>
        <v>#N/A</v>
      </c>
      <c r="R118">
        <v>30</v>
      </c>
      <c r="S118" t="s">
        <v>22</v>
      </c>
      <c r="T118">
        <v>336</v>
      </c>
      <c r="U118">
        <v>3813889207.2600002</v>
      </c>
      <c r="V118">
        <v>3.6165238706127398E-3</v>
      </c>
      <c r="W118">
        <f t="shared" si="3"/>
        <v>4.2545378401753879</v>
      </c>
      <c r="Y118" s="9">
        <v>115</v>
      </c>
      <c r="Z118" s="10">
        <v>30.141336348629178</v>
      </c>
    </row>
    <row r="119" spans="1:26" x14ac:dyDescent="0.25">
      <c r="A119">
        <v>118</v>
      </c>
      <c r="B119">
        <v>27270</v>
      </c>
      <c r="C119">
        <v>30582289783.349998</v>
      </c>
      <c r="D119">
        <v>2.9341728494254999E-2</v>
      </c>
      <c r="E119">
        <f t="shared" si="2"/>
        <v>30.048615109639076</v>
      </c>
      <c r="F119" t="e">
        <f>VLOOKUP(A119,Sheet3!B:D,3,0)*100</f>
        <v>#N/A</v>
      </c>
      <c r="R119">
        <v>31</v>
      </c>
      <c r="S119" t="s">
        <v>19</v>
      </c>
      <c r="T119">
        <v>41681</v>
      </c>
      <c r="U119">
        <v>468246047676.97998</v>
      </c>
      <c r="V119">
        <v>1.85032445386655E-2</v>
      </c>
      <c r="W119">
        <f t="shared" si="3"/>
        <v>20.077985985291424</v>
      </c>
      <c r="Y119" s="9">
        <v>116</v>
      </c>
      <c r="Z119" s="10">
        <v>30.237621099727019</v>
      </c>
    </row>
    <row r="120" spans="1:26" x14ac:dyDescent="0.25">
      <c r="A120">
        <v>119</v>
      </c>
      <c r="B120">
        <v>26949</v>
      </c>
      <c r="C120">
        <v>29473200364.560001</v>
      </c>
      <c r="D120">
        <v>2.9725772170463301E-2</v>
      </c>
      <c r="E120">
        <f t="shared" si="2"/>
        <v>30.380010891113894</v>
      </c>
      <c r="F120" t="e">
        <f>VLOOKUP(A120,Sheet3!B:D,3,0)*100</f>
        <v>#N/A</v>
      </c>
      <c r="R120">
        <v>31</v>
      </c>
      <c r="S120" t="s">
        <v>20</v>
      </c>
      <c r="T120">
        <v>203</v>
      </c>
      <c r="U120">
        <v>3890209754.9499998</v>
      </c>
      <c r="V120">
        <v>1.3383345803235001E-2</v>
      </c>
      <c r="W120">
        <f t="shared" si="3"/>
        <v>14.929045523776752</v>
      </c>
      <c r="Y120" s="9">
        <v>117</v>
      </c>
      <c r="Z120" s="10">
        <v>30.353378589389322</v>
      </c>
    </row>
    <row r="121" spans="1:26" x14ac:dyDescent="0.25">
      <c r="A121">
        <v>120</v>
      </c>
      <c r="B121">
        <v>26653</v>
      </c>
      <c r="C121">
        <v>28362369335.98</v>
      </c>
      <c r="D121">
        <v>2.9172878767431201E-2</v>
      </c>
      <c r="E121">
        <f t="shared" si="2"/>
        <v>29.90245558651695</v>
      </c>
      <c r="F121">
        <f>VLOOKUP(A121,Sheet3!B:D,3,0)*100</f>
        <v>30.9</v>
      </c>
      <c r="R121">
        <v>31</v>
      </c>
      <c r="S121" t="s">
        <v>21</v>
      </c>
      <c r="T121">
        <v>590</v>
      </c>
      <c r="U121">
        <v>6158029730.3199997</v>
      </c>
      <c r="V121">
        <v>7.4644064116848102E-3</v>
      </c>
      <c r="W121">
        <f t="shared" si="3"/>
        <v>8.5985509830111226</v>
      </c>
      <c r="Y121" s="9">
        <v>118</v>
      </c>
      <c r="Z121" s="10">
        <v>30.049384636960607</v>
      </c>
    </row>
    <row r="122" spans="1:26" x14ac:dyDescent="0.25">
      <c r="A122">
        <v>121</v>
      </c>
      <c r="B122">
        <v>26340</v>
      </c>
      <c r="C122">
        <v>27212211487.139999</v>
      </c>
      <c r="D122">
        <v>2.8485708276826401E-2</v>
      </c>
      <c r="E122">
        <f t="shared" si="2"/>
        <v>29.304735210992337</v>
      </c>
      <c r="F122" t="e">
        <f>VLOOKUP(A122,Sheet3!B:D,3,0)*100</f>
        <v>#N/A</v>
      </c>
      <c r="R122">
        <v>31</v>
      </c>
      <c r="S122" t="s">
        <v>22</v>
      </c>
      <c r="T122">
        <v>331</v>
      </c>
      <c r="U122">
        <v>3782877743.4099998</v>
      </c>
      <c r="V122">
        <v>5.0862578370410401E-3</v>
      </c>
      <c r="W122">
        <f t="shared" si="3"/>
        <v>5.935629215097304</v>
      </c>
      <c r="Y122" s="9">
        <v>119</v>
      </c>
      <c r="Z122" s="10">
        <v>30.379817292293431</v>
      </c>
    </row>
    <row r="123" spans="1:26" x14ac:dyDescent="0.25">
      <c r="A123">
        <v>122</v>
      </c>
      <c r="B123">
        <v>26079</v>
      </c>
      <c r="C123">
        <v>26138771258.380001</v>
      </c>
      <c r="D123">
        <v>2.69121437942893E-2</v>
      </c>
      <c r="E123">
        <f t="shared" si="2"/>
        <v>27.918364342690715</v>
      </c>
      <c r="F123" t="e">
        <f>VLOOKUP(A123,Sheet3!B:D,3,0)*100</f>
        <v>#N/A</v>
      </c>
      <c r="R123">
        <v>32</v>
      </c>
      <c r="S123" t="s">
        <v>19</v>
      </c>
      <c r="T123">
        <v>41800</v>
      </c>
      <c r="U123">
        <v>459133739958.35999</v>
      </c>
      <c r="V123">
        <v>1.8409303624503999E-2</v>
      </c>
      <c r="W123">
        <f t="shared" si="3"/>
        <v>19.986143799445834</v>
      </c>
      <c r="Y123" s="9">
        <v>120</v>
      </c>
      <c r="Z123" s="10">
        <v>29.904397485260926</v>
      </c>
    </row>
    <row r="124" spans="1:26" x14ac:dyDescent="0.25">
      <c r="A124">
        <v>123</v>
      </c>
      <c r="B124">
        <v>25781</v>
      </c>
      <c r="C124">
        <v>25594470972.700001</v>
      </c>
      <c r="D124">
        <v>2.6373330202331902E-2</v>
      </c>
      <c r="E124">
        <f t="shared" si="2"/>
        <v>27.437950612628036</v>
      </c>
      <c r="F124" t="e">
        <f>VLOOKUP(A124,Sheet3!B:D,3,0)*100</f>
        <v>#N/A</v>
      </c>
      <c r="R124">
        <v>32</v>
      </c>
      <c r="S124" t="s">
        <v>20</v>
      </c>
      <c r="T124">
        <v>201</v>
      </c>
      <c r="U124">
        <v>3816442392.1599998</v>
      </c>
      <c r="V124">
        <v>1.03332699743713E-2</v>
      </c>
      <c r="W124">
        <f t="shared" si="3"/>
        <v>11.718917838785003</v>
      </c>
      <c r="Y124" s="9">
        <v>121</v>
      </c>
      <c r="Z124" s="10">
        <v>29.305978270135803</v>
      </c>
    </row>
    <row r="125" spans="1:26" x14ac:dyDescent="0.25">
      <c r="A125">
        <v>124</v>
      </c>
      <c r="B125">
        <v>25479</v>
      </c>
      <c r="C125">
        <v>24380986392.16</v>
      </c>
      <c r="D125">
        <v>2.5179424264913298E-2</v>
      </c>
      <c r="E125">
        <f t="shared" si="2"/>
        <v>26.362972643145476</v>
      </c>
      <c r="F125" t="e">
        <f>VLOOKUP(A125,Sheet3!B:D,3,0)*100</f>
        <v>#N/A</v>
      </c>
      <c r="R125">
        <v>32</v>
      </c>
      <c r="S125" t="s">
        <v>21</v>
      </c>
      <c r="T125">
        <v>585</v>
      </c>
      <c r="U125">
        <v>6075624321.0799999</v>
      </c>
      <c r="V125">
        <v>7.6923449602980401E-3</v>
      </c>
      <c r="W125">
        <f t="shared" si="3"/>
        <v>8.8501202218655877</v>
      </c>
      <c r="Y125" s="9">
        <v>122</v>
      </c>
      <c r="Z125" s="10">
        <v>27.920321929898218</v>
      </c>
    </row>
    <row r="126" spans="1:26" x14ac:dyDescent="0.25">
      <c r="A126">
        <v>125</v>
      </c>
      <c r="B126">
        <v>25197</v>
      </c>
      <c r="C126">
        <v>23574626734.02</v>
      </c>
      <c r="D126">
        <v>2.4928909670291599E-2</v>
      </c>
      <c r="E126">
        <f t="shared" si="2"/>
        <v>26.135567767734859</v>
      </c>
      <c r="F126" t="e">
        <f>VLOOKUP(A126,Sheet3!B:D,3,0)*100</f>
        <v>#N/A</v>
      </c>
      <c r="R126">
        <v>32</v>
      </c>
      <c r="S126" t="s">
        <v>22</v>
      </c>
      <c r="T126">
        <v>328</v>
      </c>
      <c r="U126">
        <v>3736433791.2199998</v>
      </c>
      <c r="V126">
        <v>5.2691511117649598E-3</v>
      </c>
      <c r="W126">
        <f t="shared" si="3"/>
        <v>6.142919838955585</v>
      </c>
      <c r="Y126" s="9">
        <v>123</v>
      </c>
      <c r="Z126" s="10">
        <v>27.43768954784256</v>
      </c>
    </row>
    <row r="127" spans="1:26" x14ac:dyDescent="0.25">
      <c r="A127">
        <v>126</v>
      </c>
      <c r="B127">
        <v>24886</v>
      </c>
      <c r="C127">
        <v>22850194154.650002</v>
      </c>
      <c r="D127">
        <v>2.4400344756265201E-2</v>
      </c>
      <c r="E127">
        <f t="shared" si="2"/>
        <v>25.653648945090989</v>
      </c>
      <c r="F127" t="e">
        <f>VLOOKUP(A127,Sheet3!B:D,3,0)*100</f>
        <v>#N/A</v>
      </c>
      <c r="R127">
        <v>33</v>
      </c>
      <c r="S127" t="s">
        <v>19</v>
      </c>
      <c r="T127">
        <v>41697</v>
      </c>
      <c r="U127">
        <v>450826501580.84003</v>
      </c>
      <c r="V127">
        <v>1.8826273404447799E-2</v>
      </c>
      <c r="W127">
        <f t="shared" si="3"/>
        <v>20.393061127909018</v>
      </c>
      <c r="Y127" s="9">
        <v>124</v>
      </c>
      <c r="Z127" s="10">
        <v>26.364911037545014</v>
      </c>
    </row>
    <row r="128" spans="1:26" x14ac:dyDescent="0.25">
      <c r="A128">
        <v>127</v>
      </c>
      <c r="B128">
        <v>24615</v>
      </c>
      <c r="C128">
        <v>22115647286.110001</v>
      </c>
      <c r="D128">
        <v>2.3576587233091899E-2</v>
      </c>
      <c r="E128">
        <f t="shared" si="2"/>
        <v>24.896839562641283</v>
      </c>
      <c r="F128" t="e">
        <f>VLOOKUP(A128,Sheet3!B:D,3,0)*100</f>
        <v>#N/A</v>
      </c>
      <c r="R128">
        <v>33</v>
      </c>
      <c r="S128" t="s">
        <v>20</v>
      </c>
      <c r="T128">
        <v>197</v>
      </c>
      <c r="U128">
        <v>3704769124.2800002</v>
      </c>
      <c r="V128">
        <v>1.1261652198287699E-2</v>
      </c>
      <c r="W128">
        <f t="shared" si="3"/>
        <v>12.707578517380647</v>
      </c>
      <c r="Y128" s="9">
        <v>125</v>
      </c>
      <c r="Z128" s="10">
        <v>26.137552138285656</v>
      </c>
    </row>
    <row r="129" spans="1:26" x14ac:dyDescent="0.25">
      <c r="A129">
        <v>128</v>
      </c>
      <c r="B129">
        <v>24361</v>
      </c>
      <c r="C129">
        <v>21328014919.630001</v>
      </c>
      <c r="D129">
        <v>2.31805822718875E-2</v>
      </c>
      <c r="E129">
        <f t="shared" si="2"/>
        <v>24.530510921037084</v>
      </c>
      <c r="F129" t="e">
        <f>VLOOKUP(A129,Sheet3!B:D,3,0)*100</f>
        <v>#N/A</v>
      </c>
      <c r="R129">
        <v>33</v>
      </c>
      <c r="S129" t="s">
        <v>21</v>
      </c>
      <c r="T129">
        <v>581</v>
      </c>
      <c r="U129">
        <v>6010322003.6199999</v>
      </c>
      <c r="V129">
        <v>9.0145959853066109E-3</v>
      </c>
      <c r="W129">
        <f t="shared" si="3"/>
        <v>10.296973714062718</v>
      </c>
      <c r="Y129" s="9">
        <v>126</v>
      </c>
      <c r="Z129" s="10">
        <v>25.655657311608504</v>
      </c>
    </row>
    <row r="130" spans="1:26" x14ac:dyDescent="0.25">
      <c r="A130">
        <v>129</v>
      </c>
      <c r="B130">
        <v>24062</v>
      </c>
      <c r="C130">
        <v>20742924200.150002</v>
      </c>
      <c r="D130">
        <v>2.2894212556738899E-2</v>
      </c>
      <c r="E130">
        <f t="shared" si="2"/>
        <v>24.26458183572614</v>
      </c>
      <c r="F130" t="e">
        <f>VLOOKUP(A130,Sheet3!B:D,3,0)*100</f>
        <v>#N/A</v>
      </c>
      <c r="R130">
        <v>33</v>
      </c>
      <c r="S130" t="s">
        <v>22</v>
      </c>
      <c r="T130">
        <v>319</v>
      </c>
      <c r="U130">
        <v>3693015092.3499999</v>
      </c>
      <c r="V130">
        <v>4.6324368606968803E-3</v>
      </c>
      <c r="W130">
        <f t="shared" si="3"/>
        <v>5.4194561075262211</v>
      </c>
      <c r="Y130" s="9">
        <v>127</v>
      </c>
      <c r="Z130" s="10">
        <v>24.898850070528788</v>
      </c>
    </row>
    <row r="131" spans="1:26" x14ac:dyDescent="0.25">
      <c r="A131">
        <v>130</v>
      </c>
      <c r="B131">
        <v>23822</v>
      </c>
      <c r="C131">
        <v>20005607593.880001</v>
      </c>
      <c r="D131">
        <v>2.2021271496386999E-2</v>
      </c>
      <c r="E131">
        <f t="shared" ref="E131:E194" si="4">100*(1-(1-D131)^12)</f>
        <v>23.448640940480146</v>
      </c>
      <c r="F131" t="e">
        <f>VLOOKUP(A131,Sheet3!B:D,3,0)*100</f>
        <v>#N/A</v>
      </c>
      <c r="R131">
        <v>34</v>
      </c>
      <c r="S131" t="s">
        <v>19</v>
      </c>
      <c r="T131">
        <v>41680</v>
      </c>
      <c r="U131">
        <v>438958988686.90997</v>
      </c>
      <c r="V131">
        <v>1.8280835473545799E-2</v>
      </c>
      <c r="W131">
        <f t="shared" ref="W131:W194" si="5">100*(1-(1-V131)^12)</f>
        <v>19.860389127735623</v>
      </c>
      <c r="Y131" s="9">
        <v>128</v>
      </c>
      <c r="Z131" s="10">
        <v>24.532660534888294</v>
      </c>
    </row>
    <row r="132" spans="1:26" x14ac:dyDescent="0.25">
      <c r="A132">
        <v>131</v>
      </c>
      <c r="B132">
        <v>23409</v>
      </c>
      <c r="C132">
        <v>19276327301.52</v>
      </c>
      <c r="D132">
        <v>2.1667642009541299E-2</v>
      </c>
      <c r="E132">
        <f t="shared" si="4"/>
        <v>23.115815050634314</v>
      </c>
      <c r="F132" t="e">
        <f>VLOOKUP(A132,Sheet3!B:D,3,0)*100</f>
        <v>#N/A</v>
      </c>
      <c r="R132">
        <v>34</v>
      </c>
      <c r="S132" t="s">
        <v>20</v>
      </c>
      <c r="T132">
        <v>197</v>
      </c>
      <c r="U132">
        <v>3649500192.5500002</v>
      </c>
      <c r="V132">
        <v>9.1762163719653796E-3</v>
      </c>
      <c r="W132">
        <f t="shared" si="5"/>
        <v>10.472372951227616</v>
      </c>
      <c r="Y132" s="9">
        <v>129</v>
      </c>
      <c r="Z132" s="10">
        <v>24.266677667240643</v>
      </c>
    </row>
    <row r="133" spans="1:26" x14ac:dyDescent="0.25">
      <c r="A133">
        <v>132</v>
      </c>
      <c r="B133">
        <v>23110</v>
      </c>
      <c r="C133">
        <v>18755266552.869999</v>
      </c>
      <c r="D133">
        <v>2.2064383487666098E-2</v>
      </c>
      <c r="E133">
        <f t="shared" si="4"/>
        <v>23.489126256269856</v>
      </c>
      <c r="F133">
        <f>VLOOKUP(A133,Sheet3!B:D,3,0)*100</f>
        <v>26.88</v>
      </c>
      <c r="R133">
        <v>34</v>
      </c>
      <c r="S133" t="s">
        <v>21</v>
      </c>
      <c r="T133">
        <v>566</v>
      </c>
      <c r="U133">
        <v>5870536561.4899998</v>
      </c>
      <c r="V133">
        <v>8.9249985046510206E-3</v>
      </c>
      <c r="W133">
        <f t="shared" si="5"/>
        <v>10.199601991336548</v>
      </c>
      <c r="Y133" s="9">
        <v>130</v>
      </c>
      <c r="Z133" s="10">
        <v>23.444139929205367</v>
      </c>
    </row>
    <row r="134" spans="1:26" x14ac:dyDescent="0.25">
      <c r="A134">
        <v>133</v>
      </c>
      <c r="B134">
        <v>22703</v>
      </c>
      <c r="C134">
        <v>18079424602.310001</v>
      </c>
      <c r="D134">
        <v>2.1830240411986598E-2</v>
      </c>
      <c r="E134">
        <f t="shared" si="4"/>
        <v>23.269012370719601</v>
      </c>
      <c r="F134" t="e">
        <f>VLOOKUP(A134,Sheet3!B:D,3,0)*100</f>
        <v>#N/A</v>
      </c>
      <c r="R134">
        <v>34</v>
      </c>
      <c r="S134" t="s">
        <v>22</v>
      </c>
      <c r="T134">
        <v>312</v>
      </c>
      <c r="U134">
        <v>3652962800.0100002</v>
      </c>
      <c r="V134">
        <v>5.9858236297760502E-3</v>
      </c>
      <c r="W134">
        <f t="shared" si="5"/>
        <v>6.951165250859126</v>
      </c>
      <c r="Y134" s="9">
        <v>131</v>
      </c>
      <c r="Z134" s="10">
        <v>23.112942311966655</v>
      </c>
    </row>
    <row r="135" spans="1:26" x14ac:dyDescent="0.25">
      <c r="A135">
        <v>134</v>
      </c>
      <c r="B135">
        <v>22419</v>
      </c>
      <c r="C135">
        <v>17823342883.16</v>
      </c>
      <c r="D135">
        <v>2.0938168095761399E-2</v>
      </c>
      <c r="E135">
        <f t="shared" si="4"/>
        <v>22.425061049527962</v>
      </c>
      <c r="F135" t="e">
        <f>VLOOKUP(A135,Sheet3!B:D,3,0)*100</f>
        <v>#N/A</v>
      </c>
      <c r="R135">
        <v>35</v>
      </c>
      <c r="S135" t="s">
        <v>19</v>
      </c>
      <c r="T135">
        <v>41778</v>
      </c>
      <c r="U135">
        <v>431220345916.46002</v>
      </c>
      <c r="V135">
        <v>1.8310591825395801E-2</v>
      </c>
      <c r="W135">
        <f t="shared" si="5"/>
        <v>19.889533083076106</v>
      </c>
      <c r="Y135" s="9">
        <v>132</v>
      </c>
      <c r="Z135" s="10">
        <v>23.491109191035562</v>
      </c>
    </row>
    <row r="136" spans="1:26" x14ac:dyDescent="0.25">
      <c r="A136">
        <v>135</v>
      </c>
      <c r="B136">
        <v>22079</v>
      </c>
      <c r="C136">
        <v>17560201406.549999</v>
      </c>
      <c r="D136">
        <v>1.9948502056395E-2</v>
      </c>
      <c r="E136">
        <f t="shared" si="4"/>
        <v>21.478830100887457</v>
      </c>
      <c r="F136" t="e">
        <f>VLOOKUP(A136,Sheet3!B:D,3,0)*100</f>
        <v>#N/A</v>
      </c>
      <c r="R136">
        <v>35</v>
      </c>
      <c r="S136" t="s">
        <v>20</v>
      </c>
      <c r="T136">
        <v>196</v>
      </c>
      <c r="U136">
        <v>3591526018.4200001</v>
      </c>
      <c r="V136">
        <v>1.1311006235446701E-2</v>
      </c>
      <c r="W136">
        <f t="shared" si="5"/>
        <v>12.759851811021438</v>
      </c>
      <c r="Y136" s="9">
        <v>133</v>
      </c>
      <c r="Z136" s="10">
        <v>23.271046628008683</v>
      </c>
    </row>
    <row r="137" spans="1:26" x14ac:dyDescent="0.25">
      <c r="A137">
        <v>136</v>
      </c>
      <c r="B137">
        <v>21746</v>
      </c>
      <c r="C137">
        <v>16427450719.280001</v>
      </c>
      <c r="D137">
        <v>2.04736769481405E-2</v>
      </c>
      <c r="E137">
        <f t="shared" si="4"/>
        <v>21.982265197892993</v>
      </c>
      <c r="F137" t="e">
        <f>VLOOKUP(A137,Sheet3!B:D,3,0)*100</f>
        <v>#N/A</v>
      </c>
      <c r="R137">
        <v>35</v>
      </c>
      <c r="S137" t="s">
        <v>21</v>
      </c>
      <c r="T137">
        <v>558</v>
      </c>
      <c r="U137">
        <v>5782519412.8299999</v>
      </c>
      <c r="V137">
        <v>7.8442025302882298E-3</v>
      </c>
      <c r="W137">
        <f t="shared" si="5"/>
        <v>9.0173686101817747</v>
      </c>
      <c r="Y137" s="9">
        <v>134</v>
      </c>
      <c r="Z137" s="10">
        <v>22.42651266348815</v>
      </c>
    </row>
    <row r="138" spans="1:26" x14ac:dyDescent="0.25">
      <c r="A138">
        <v>137</v>
      </c>
      <c r="B138">
        <v>21410</v>
      </c>
      <c r="C138">
        <v>15725498444.23</v>
      </c>
      <c r="D138">
        <v>2.0545203170665601E-2</v>
      </c>
      <c r="E138">
        <f t="shared" si="4"/>
        <v>22.05060116551395</v>
      </c>
      <c r="F138" t="e">
        <f>VLOOKUP(A138,Sheet3!B:D,3,0)*100</f>
        <v>#N/A</v>
      </c>
      <c r="R138">
        <v>35</v>
      </c>
      <c r="S138" t="s">
        <v>22</v>
      </c>
      <c r="T138">
        <v>306</v>
      </c>
      <c r="U138">
        <v>3617932736.3899999</v>
      </c>
      <c r="V138">
        <v>6.6201037434862903E-3</v>
      </c>
      <c r="W138">
        <f t="shared" si="5"/>
        <v>7.6611631970206489</v>
      </c>
      <c r="Y138" s="9">
        <v>135</v>
      </c>
      <c r="Z138" s="10">
        <v>21.480226057482287</v>
      </c>
    </row>
    <row r="139" spans="1:26" x14ac:dyDescent="0.25">
      <c r="A139">
        <v>138</v>
      </c>
      <c r="B139">
        <v>21108</v>
      </c>
      <c r="C139">
        <v>15305395125.17</v>
      </c>
      <c r="D139">
        <v>1.9903125477845101E-2</v>
      </c>
      <c r="E139">
        <f t="shared" si="4"/>
        <v>21.435192440922979</v>
      </c>
      <c r="F139" t="e">
        <f>VLOOKUP(A139,Sheet3!B:D,3,0)*100</f>
        <v>#N/A</v>
      </c>
      <c r="R139">
        <v>36</v>
      </c>
      <c r="S139" t="s">
        <v>19</v>
      </c>
      <c r="T139">
        <v>41668</v>
      </c>
      <c r="U139">
        <v>418818046121.47998</v>
      </c>
      <c r="V139">
        <v>1.8520618525361798E-2</v>
      </c>
      <c r="W139">
        <f t="shared" si="5"/>
        <v>20.094961228298423</v>
      </c>
      <c r="Y139" s="9">
        <v>136</v>
      </c>
      <c r="Z139" s="10">
        <v>21.981639875887961</v>
      </c>
    </row>
    <row r="140" spans="1:26" x14ac:dyDescent="0.25">
      <c r="A140">
        <v>139</v>
      </c>
      <c r="B140">
        <v>20805</v>
      </c>
      <c r="C140">
        <v>14762723105.709999</v>
      </c>
      <c r="D140">
        <v>1.9251274412575799E-2</v>
      </c>
      <c r="E140">
        <f t="shared" si="4"/>
        <v>20.805863170472616</v>
      </c>
      <c r="F140" t="e">
        <f>VLOOKUP(A140,Sheet3!B:D,3,0)*100</f>
        <v>#N/A</v>
      </c>
      <c r="R140">
        <v>36</v>
      </c>
      <c r="S140" t="s">
        <v>20</v>
      </c>
      <c r="T140">
        <v>195</v>
      </c>
      <c r="U140">
        <v>3541227767.79</v>
      </c>
      <c r="V140">
        <v>1.3267594450609699E-2</v>
      </c>
      <c r="W140">
        <f t="shared" si="5"/>
        <v>14.809200380268717</v>
      </c>
      <c r="Y140" s="9">
        <v>137</v>
      </c>
      <c r="Z140" s="10">
        <v>22.052147851584149</v>
      </c>
    </row>
    <row r="141" spans="1:26" x14ac:dyDescent="0.25">
      <c r="A141">
        <v>140</v>
      </c>
      <c r="B141">
        <v>20480</v>
      </c>
      <c r="C141">
        <v>14691556879.17</v>
      </c>
      <c r="D141">
        <v>1.9333269751529901E-2</v>
      </c>
      <c r="E141">
        <f t="shared" si="4"/>
        <v>20.885278802811534</v>
      </c>
      <c r="F141" t="e">
        <f>VLOOKUP(A141,Sheet3!B:D,3,0)*100</f>
        <v>#N/A</v>
      </c>
      <c r="R141">
        <v>36</v>
      </c>
      <c r="S141" t="s">
        <v>21</v>
      </c>
      <c r="T141">
        <v>542</v>
      </c>
      <c r="U141">
        <v>5673871358.9300003</v>
      </c>
      <c r="V141">
        <v>9.3259217172462303E-3</v>
      </c>
      <c r="W141">
        <f t="shared" si="5"/>
        <v>10.634560808068471</v>
      </c>
      <c r="Y141" s="9">
        <v>138</v>
      </c>
      <c r="Z141" s="10">
        <v>21.436734207189357</v>
      </c>
    </row>
    <row r="142" spans="1:26" x14ac:dyDescent="0.25">
      <c r="A142">
        <v>141</v>
      </c>
      <c r="B142">
        <v>20192</v>
      </c>
      <c r="C142">
        <v>13679601845.67</v>
      </c>
      <c r="D142">
        <v>1.9552183433773299E-2</v>
      </c>
      <c r="E142">
        <f t="shared" si="4"/>
        <v>21.096947614415473</v>
      </c>
      <c r="F142" t="e">
        <f>VLOOKUP(A142,Sheet3!B:D,3,0)*100</f>
        <v>#N/A</v>
      </c>
      <c r="R142">
        <v>36</v>
      </c>
      <c r="S142" t="s">
        <v>22</v>
      </c>
      <c r="T142">
        <v>299</v>
      </c>
      <c r="U142">
        <v>3552289924.8600001</v>
      </c>
      <c r="V142">
        <v>8.1530431043646406E-3</v>
      </c>
      <c r="W142">
        <f t="shared" si="5"/>
        <v>9.3566427951853761</v>
      </c>
      <c r="Y142" s="9">
        <v>139</v>
      </c>
      <c r="Z142" s="10">
        <v>20.807430260934122</v>
      </c>
    </row>
    <row r="143" spans="1:26" x14ac:dyDescent="0.25">
      <c r="A143">
        <v>142</v>
      </c>
      <c r="B143">
        <v>19877</v>
      </c>
      <c r="C143">
        <v>13286483477.85</v>
      </c>
      <c r="D143">
        <v>1.8932732209251901E-2</v>
      </c>
      <c r="E143">
        <f t="shared" si="4"/>
        <v>20.496648947973306</v>
      </c>
      <c r="F143" t="e">
        <f>VLOOKUP(A143,Sheet3!B:D,3,0)*100</f>
        <v>#N/A</v>
      </c>
      <c r="R143">
        <v>37</v>
      </c>
      <c r="S143" t="s">
        <v>19</v>
      </c>
      <c r="T143">
        <v>41539</v>
      </c>
      <c r="U143">
        <v>409829124204.90997</v>
      </c>
      <c r="V143">
        <v>1.8396978808210201E-2</v>
      </c>
      <c r="W143">
        <f t="shared" si="5"/>
        <v>19.974087154815233</v>
      </c>
      <c r="Y143" s="9">
        <v>140</v>
      </c>
      <c r="Z143" s="10">
        <v>20.886853274168928</v>
      </c>
    </row>
    <row r="144" spans="1:26" x14ac:dyDescent="0.25">
      <c r="A144">
        <v>143</v>
      </c>
      <c r="B144">
        <v>19578</v>
      </c>
      <c r="C144">
        <v>12720675075.690001</v>
      </c>
      <c r="D144">
        <v>1.8992612642968702E-2</v>
      </c>
      <c r="E144">
        <f t="shared" si="4"/>
        <v>20.554860214027727</v>
      </c>
      <c r="F144" t="e">
        <f>VLOOKUP(A144,Sheet3!B:D,3,0)*100</f>
        <v>#N/A</v>
      </c>
      <c r="R144">
        <v>37</v>
      </c>
      <c r="S144" t="s">
        <v>20</v>
      </c>
      <c r="T144">
        <v>194</v>
      </c>
      <c r="U144">
        <v>3490697081.9099998</v>
      </c>
      <c r="V144">
        <v>1.1924452876137101E-2</v>
      </c>
      <c r="W144">
        <f t="shared" si="5"/>
        <v>13.407192962919524</v>
      </c>
      <c r="Y144" s="9">
        <v>141</v>
      </c>
      <c r="Z144" s="10">
        <v>21.098637706598044</v>
      </c>
    </row>
    <row r="145" spans="1:26" x14ac:dyDescent="0.25">
      <c r="A145">
        <v>144</v>
      </c>
      <c r="B145">
        <v>19266</v>
      </c>
      <c r="C145">
        <v>12308570329.459999</v>
      </c>
      <c r="D145">
        <v>1.9018239535344102E-2</v>
      </c>
      <c r="E145">
        <f t="shared" si="4"/>
        <v>20.5797608161974</v>
      </c>
      <c r="F145">
        <f>VLOOKUP(A145,Sheet3!B:D,3,0)*100</f>
        <v>22.259999999999998</v>
      </c>
      <c r="R145">
        <v>37</v>
      </c>
      <c r="S145" t="s">
        <v>21</v>
      </c>
      <c r="T145">
        <v>526</v>
      </c>
      <c r="U145">
        <v>5542353221.4399996</v>
      </c>
      <c r="V145">
        <v>9.6439342336594094E-3</v>
      </c>
      <c r="W145">
        <f t="shared" si="5"/>
        <v>10.978196001647621</v>
      </c>
      <c r="Y145" s="9">
        <v>142</v>
      </c>
      <c r="Z145" s="10">
        <v>20.498329532189217</v>
      </c>
    </row>
    <row r="146" spans="1:26" x14ac:dyDescent="0.25">
      <c r="A146">
        <v>145</v>
      </c>
      <c r="B146">
        <v>18996</v>
      </c>
      <c r="C146">
        <v>11880968504.23</v>
      </c>
      <c r="D146">
        <v>1.8611336307778101E-2</v>
      </c>
      <c r="E146">
        <f t="shared" si="4"/>
        <v>20.183543311639717</v>
      </c>
      <c r="F146" t="e">
        <f>VLOOKUP(A146,Sheet3!B:D,3,0)*100</f>
        <v>#N/A</v>
      </c>
      <c r="R146">
        <v>37</v>
      </c>
      <c r="S146" t="s">
        <v>22</v>
      </c>
      <c r="T146">
        <v>287</v>
      </c>
      <c r="U146">
        <v>3484303723.79</v>
      </c>
      <c r="V146">
        <v>6.3006367348970999E-3</v>
      </c>
      <c r="W146">
        <f t="shared" si="5"/>
        <v>7.3041826024192069</v>
      </c>
      <c r="Y146" s="9">
        <v>143</v>
      </c>
      <c r="Z146" s="10">
        <v>20.556625578927324</v>
      </c>
    </row>
    <row r="147" spans="1:26" x14ac:dyDescent="0.25">
      <c r="A147">
        <v>146</v>
      </c>
      <c r="B147">
        <v>18699</v>
      </c>
      <c r="C147">
        <v>11520708109.799999</v>
      </c>
      <c r="D147">
        <v>1.92891924759119E-2</v>
      </c>
      <c r="E147">
        <f t="shared" si="4"/>
        <v>20.842597348232228</v>
      </c>
      <c r="F147" t="e">
        <f>VLOOKUP(A147,Sheet3!B:D,3,0)*100</f>
        <v>#N/A</v>
      </c>
      <c r="R147">
        <v>38</v>
      </c>
      <c r="S147" t="s">
        <v>19</v>
      </c>
      <c r="T147">
        <v>41523</v>
      </c>
      <c r="U147">
        <v>399989330867.19</v>
      </c>
      <c r="V147">
        <v>1.81782238752165E-2</v>
      </c>
      <c r="W147">
        <f t="shared" si="5"/>
        <v>19.759814753737281</v>
      </c>
      <c r="Y147" s="9">
        <v>144</v>
      </c>
      <c r="Z147" s="10">
        <v>20.579001667706741</v>
      </c>
    </row>
    <row r="148" spans="1:26" x14ac:dyDescent="0.25">
      <c r="A148">
        <v>147</v>
      </c>
      <c r="B148">
        <v>18416</v>
      </c>
      <c r="C148">
        <v>11195820780.860001</v>
      </c>
      <c r="D148">
        <v>1.7675524661532601E-2</v>
      </c>
      <c r="E148">
        <f t="shared" si="4"/>
        <v>19.265422032235747</v>
      </c>
      <c r="F148" t="e">
        <f>VLOOKUP(A148,Sheet3!B:D,3,0)*100</f>
        <v>#N/A</v>
      </c>
      <c r="R148">
        <v>38</v>
      </c>
      <c r="S148" t="s">
        <v>20</v>
      </c>
      <c r="T148">
        <v>191</v>
      </c>
      <c r="U148">
        <v>3390059629.25</v>
      </c>
      <c r="V148">
        <v>1.2155553361049801E-2</v>
      </c>
      <c r="W148">
        <f t="shared" si="5"/>
        <v>13.649918333424738</v>
      </c>
      <c r="Y148" s="9">
        <v>145</v>
      </c>
      <c r="Z148" s="10">
        <v>20.185337009825833</v>
      </c>
    </row>
    <row r="149" spans="1:26" x14ac:dyDescent="0.25">
      <c r="A149">
        <v>148</v>
      </c>
      <c r="B149">
        <v>18228</v>
      </c>
      <c r="C149">
        <v>10846191712.83</v>
      </c>
      <c r="D149">
        <v>1.7889541522740901E-2</v>
      </c>
      <c r="E149">
        <f t="shared" si="4"/>
        <v>19.476242859764948</v>
      </c>
      <c r="F149" t="e">
        <f>VLOOKUP(A149,Sheet3!B:D,3,0)*100</f>
        <v>#N/A</v>
      </c>
      <c r="R149">
        <v>38</v>
      </c>
      <c r="S149" t="s">
        <v>21</v>
      </c>
      <c r="T149">
        <v>507</v>
      </c>
      <c r="U149">
        <v>5324787060.3999996</v>
      </c>
      <c r="V149">
        <v>9.8238363317695396E-3</v>
      </c>
      <c r="W149">
        <f t="shared" si="5"/>
        <v>11.172056195702817</v>
      </c>
      <c r="Y149" s="9">
        <v>146</v>
      </c>
      <c r="Z149" s="10">
        <v>20.844492841001493</v>
      </c>
    </row>
    <row r="150" spans="1:26" x14ac:dyDescent="0.25">
      <c r="A150">
        <v>149</v>
      </c>
      <c r="B150">
        <v>17996</v>
      </c>
      <c r="C150">
        <v>10481187992.26</v>
      </c>
      <c r="D150">
        <v>1.7660145647564601E-2</v>
      </c>
      <c r="E150">
        <f t="shared" si="4"/>
        <v>19.25025321398288</v>
      </c>
      <c r="F150" t="e">
        <f>VLOOKUP(A150,Sheet3!B:D,3,0)*100</f>
        <v>#N/A</v>
      </c>
      <c r="R150">
        <v>38</v>
      </c>
      <c r="S150" t="s">
        <v>22</v>
      </c>
      <c r="T150">
        <v>276</v>
      </c>
      <c r="U150">
        <v>3434643535.21</v>
      </c>
      <c r="V150">
        <v>7.6045950936752199E-3</v>
      </c>
      <c r="W150">
        <f t="shared" si="5"/>
        <v>8.7533484470136322</v>
      </c>
      <c r="Y150" s="9">
        <v>147</v>
      </c>
      <c r="Z150" s="10">
        <v>19.267233778044879</v>
      </c>
    </row>
    <row r="151" spans="1:26" x14ac:dyDescent="0.25">
      <c r="A151">
        <v>150</v>
      </c>
      <c r="B151">
        <v>17713</v>
      </c>
      <c r="C151">
        <v>10463160802.76</v>
      </c>
      <c r="D151">
        <v>1.6391241904319499E-2</v>
      </c>
      <c r="E151">
        <f t="shared" si="4"/>
        <v>17.989653895541124</v>
      </c>
      <c r="F151" t="e">
        <f>VLOOKUP(A151,Sheet3!B:D,3,0)*100</f>
        <v>#N/A</v>
      </c>
      <c r="R151">
        <v>39</v>
      </c>
      <c r="S151" t="s">
        <v>19</v>
      </c>
      <c r="T151">
        <v>41564</v>
      </c>
      <c r="U151">
        <v>390535855030.15997</v>
      </c>
      <c r="V151">
        <v>1.8194759353828902E-2</v>
      </c>
      <c r="W151">
        <f t="shared" si="5"/>
        <v>19.776029757378055</v>
      </c>
      <c r="Y151" s="9">
        <v>148</v>
      </c>
      <c r="Z151" s="10">
        <v>19.475496573080299</v>
      </c>
    </row>
    <row r="152" spans="1:26" x14ac:dyDescent="0.25">
      <c r="A152">
        <v>151</v>
      </c>
      <c r="B152">
        <v>17438</v>
      </c>
      <c r="C152">
        <v>9504050421.2900009</v>
      </c>
      <c r="D152">
        <v>1.74430313054737E-2</v>
      </c>
      <c r="E152">
        <f t="shared" si="4"/>
        <v>19.035827354800738</v>
      </c>
      <c r="F152" t="e">
        <f>VLOOKUP(A152,Sheet3!B:D,3,0)*100</f>
        <v>#N/A</v>
      </c>
      <c r="R152">
        <v>39</v>
      </c>
      <c r="S152" t="s">
        <v>20</v>
      </c>
      <c r="T152">
        <v>192</v>
      </c>
      <c r="U152">
        <v>3365477840.6500001</v>
      </c>
      <c r="V152">
        <v>1.33905524825994E-2</v>
      </c>
      <c r="W152">
        <f t="shared" si="5"/>
        <v>14.936501969520355</v>
      </c>
      <c r="Y152" s="9">
        <v>149</v>
      </c>
      <c r="Z152" s="10">
        <v>19.25025321398288</v>
      </c>
    </row>
    <row r="153" spans="1:26" x14ac:dyDescent="0.25">
      <c r="A153">
        <v>152</v>
      </c>
      <c r="B153">
        <v>17120</v>
      </c>
      <c r="C153">
        <v>9142901164.2299995</v>
      </c>
      <c r="D153">
        <v>1.6349640705838601E-2</v>
      </c>
      <c r="E153">
        <f t="shared" si="4"/>
        <v>17.948021215015299</v>
      </c>
      <c r="F153" t="e">
        <f>VLOOKUP(A153,Sheet3!B:D,3,0)*100</f>
        <v>#N/A</v>
      </c>
      <c r="R153">
        <v>39</v>
      </c>
      <c r="S153" t="s">
        <v>21</v>
      </c>
      <c r="T153">
        <v>494</v>
      </c>
      <c r="U153">
        <v>5238969582.7299995</v>
      </c>
      <c r="V153">
        <v>1.05640234581224E-2</v>
      </c>
      <c r="W153">
        <f t="shared" si="5"/>
        <v>11.965607715778503</v>
      </c>
      <c r="Y153" s="9">
        <v>150</v>
      </c>
      <c r="Z153" s="10">
        <v>17.989653895541124</v>
      </c>
    </row>
    <row r="154" spans="1:26" x14ac:dyDescent="0.25">
      <c r="A154">
        <v>153</v>
      </c>
      <c r="B154">
        <v>16902</v>
      </c>
      <c r="C154">
        <v>8873009164.4099998</v>
      </c>
      <c r="D154">
        <v>1.6389146677114701E-2</v>
      </c>
      <c r="E154">
        <f t="shared" si="4"/>
        <v>17.987557545910661</v>
      </c>
      <c r="F154" t="e">
        <f>VLOOKUP(A154,Sheet3!B:D,3,0)*100</f>
        <v>#N/A</v>
      </c>
      <c r="R154">
        <v>39</v>
      </c>
      <c r="S154" t="s">
        <v>22</v>
      </c>
      <c r="T154">
        <v>267</v>
      </c>
      <c r="U154">
        <v>3294462638.1999998</v>
      </c>
      <c r="V154">
        <v>7.9440657530835297E-3</v>
      </c>
      <c r="W154">
        <f t="shared" si="5"/>
        <v>9.1271996348543993</v>
      </c>
      <c r="Y154" s="9">
        <v>151</v>
      </c>
      <c r="Z154" s="10">
        <v>19.035827354800738</v>
      </c>
    </row>
    <row r="155" spans="1:26" x14ac:dyDescent="0.25">
      <c r="A155">
        <v>154</v>
      </c>
      <c r="B155">
        <v>16647</v>
      </c>
      <c r="C155">
        <v>8492279302.3999996</v>
      </c>
      <c r="D155">
        <v>1.6218027587531401E-2</v>
      </c>
      <c r="E155">
        <f t="shared" si="4"/>
        <v>17.816180863245446</v>
      </c>
      <c r="F155" t="e">
        <f>VLOOKUP(A155,Sheet3!B:D,3,0)*100</f>
        <v>#N/A</v>
      </c>
      <c r="R155">
        <v>40</v>
      </c>
      <c r="S155" t="s">
        <v>19</v>
      </c>
      <c r="T155">
        <v>41729</v>
      </c>
      <c r="U155">
        <v>382996837972.92999</v>
      </c>
      <c r="V155">
        <v>1.83268319274172E-2</v>
      </c>
      <c r="W155">
        <f t="shared" si="5"/>
        <v>19.90543485947509</v>
      </c>
      <c r="Y155" s="9">
        <v>152</v>
      </c>
      <c r="Z155" s="10">
        <v>17.948021215015299</v>
      </c>
    </row>
    <row r="156" spans="1:26" x14ac:dyDescent="0.25">
      <c r="A156">
        <v>155</v>
      </c>
      <c r="B156">
        <v>16480</v>
      </c>
      <c r="C156">
        <v>7915281233.3699999</v>
      </c>
      <c r="D156">
        <v>1.6866594712622598E-2</v>
      </c>
      <c r="E156">
        <f t="shared" si="4"/>
        <v>18.463993661438472</v>
      </c>
      <c r="F156" t="e">
        <f>VLOOKUP(A156,Sheet3!B:D,3,0)*100</f>
        <v>#N/A</v>
      </c>
      <c r="R156">
        <v>40</v>
      </c>
      <c r="S156" t="s">
        <v>20</v>
      </c>
      <c r="T156">
        <v>187</v>
      </c>
      <c r="U156">
        <v>3251989599.1599998</v>
      </c>
      <c r="V156">
        <v>9.5791191537736003E-3</v>
      </c>
      <c r="W156">
        <f t="shared" si="5"/>
        <v>10.908257123168742</v>
      </c>
      <c r="Y156" s="9">
        <v>153</v>
      </c>
      <c r="Z156" s="10">
        <v>17.987557545910661</v>
      </c>
    </row>
    <row r="157" spans="1:26" x14ac:dyDescent="0.25">
      <c r="A157">
        <v>156</v>
      </c>
      <c r="B157">
        <v>16233</v>
      </c>
      <c r="C157">
        <v>7873587446.96</v>
      </c>
      <c r="D157">
        <v>1.6222661889360401E-2</v>
      </c>
      <c r="E157">
        <f t="shared" si="4"/>
        <v>17.820826462775543</v>
      </c>
      <c r="F157">
        <f>VLOOKUP(A157,Sheet3!B:D,3,0)*100</f>
        <v>20.169999999999998</v>
      </c>
      <c r="R157">
        <v>40</v>
      </c>
      <c r="S157" t="s">
        <v>21</v>
      </c>
      <c r="T157">
        <v>472</v>
      </c>
      <c r="U157">
        <v>5090202792.6899996</v>
      </c>
      <c r="V157">
        <v>9.6722165761112602E-3</v>
      </c>
      <c r="W157">
        <f t="shared" si="5"/>
        <v>11.008698361129232</v>
      </c>
      <c r="Y157" s="9">
        <v>154</v>
      </c>
      <c r="Z157" s="10">
        <v>17.816180863245446</v>
      </c>
    </row>
    <row r="158" spans="1:26" x14ac:dyDescent="0.25">
      <c r="A158">
        <v>157</v>
      </c>
      <c r="B158">
        <v>16011</v>
      </c>
      <c r="C158">
        <v>7620827158.5600004</v>
      </c>
      <c r="D158">
        <v>1.7353688830571399E-2</v>
      </c>
      <c r="E158">
        <f t="shared" si="4"/>
        <v>18.947439707873048</v>
      </c>
      <c r="F158" t="e">
        <f>VLOOKUP(A158,Sheet3!B:D,3,0)*100</f>
        <v>#N/A</v>
      </c>
      <c r="R158">
        <v>40</v>
      </c>
      <c r="S158" t="s">
        <v>22</v>
      </c>
      <c r="T158">
        <v>247</v>
      </c>
      <c r="U158">
        <v>3228331392.3000002</v>
      </c>
      <c r="V158">
        <v>8.6971582728412999E-3</v>
      </c>
      <c r="W158">
        <f t="shared" si="5"/>
        <v>9.9515557801085013</v>
      </c>
      <c r="Y158" s="9">
        <v>155</v>
      </c>
      <c r="Z158" s="10">
        <v>18.463993661438472</v>
      </c>
    </row>
    <row r="159" spans="1:26" x14ac:dyDescent="0.25">
      <c r="A159">
        <v>158</v>
      </c>
      <c r="B159">
        <v>15745</v>
      </c>
      <c r="C159">
        <v>7231971178.3000002</v>
      </c>
      <c r="D159">
        <v>1.6980652451303702E-2</v>
      </c>
      <c r="E159">
        <f t="shared" si="4"/>
        <v>18.5774335758076</v>
      </c>
      <c r="F159" t="e">
        <f>VLOOKUP(A159,Sheet3!B:D,3,0)*100</f>
        <v>#N/A</v>
      </c>
      <c r="R159">
        <v>41</v>
      </c>
      <c r="S159" t="s">
        <v>19</v>
      </c>
      <c r="T159">
        <v>41720</v>
      </c>
      <c r="U159">
        <v>370105039134.79999</v>
      </c>
      <c r="V159">
        <v>1.88733466884334E-2</v>
      </c>
      <c r="W159">
        <f t="shared" si="5"/>
        <v>20.438880186596332</v>
      </c>
      <c r="Y159" s="9">
        <v>156</v>
      </c>
      <c r="Z159" s="10">
        <v>17.820826462775543</v>
      </c>
    </row>
    <row r="160" spans="1:26" x14ac:dyDescent="0.25">
      <c r="A160">
        <v>159</v>
      </c>
      <c r="B160">
        <v>15480</v>
      </c>
      <c r="C160">
        <v>6853441148.1599998</v>
      </c>
      <c r="D160">
        <v>1.6330480392663799E-2</v>
      </c>
      <c r="E160">
        <f t="shared" si="4"/>
        <v>17.928839886589653</v>
      </c>
      <c r="F160" t="e">
        <f>VLOOKUP(A160,Sheet3!B:D,3,0)*100</f>
        <v>#N/A</v>
      </c>
      <c r="R160">
        <v>41</v>
      </c>
      <c r="S160" t="s">
        <v>20</v>
      </c>
      <c r="T160">
        <v>184</v>
      </c>
      <c r="U160">
        <v>3146404652.2199998</v>
      </c>
      <c r="V160">
        <v>1.16005039679922E-2</v>
      </c>
      <c r="W160">
        <f t="shared" si="5"/>
        <v>13.065895773361969</v>
      </c>
      <c r="Y160" s="9">
        <v>157</v>
      </c>
      <c r="Z160" s="10">
        <v>18.947439707873048</v>
      </c>
    </row>
    <row r="161" spans="1:26" x14ac:dyDescent="0.25">
      <c r="A161">
        <v>160</v>
      </c>
      <c r="B161">
        <v>15181</v>
      </c>
      <c r="C161">
        <v>6112530772.0200005</v>
      </c>
      <c r="D161">
        <v>1.6861609402565401E-2</v>
      </c>
      <c r="E161">
        <f t="shared" si="4"/>
        <v>18.45903205268349</v>
      </c>
      <c r="F161" t="e">
        <f>VLOOKUP(A161,Sheet3!B:D,3,0)*100</f>
        <v>#N/A</v>
      </c>
      <c r="R161">
        <v>41</v>
      </c>
      <c r="S161" t="s">
        <v>21</v>
      </c>
      <c r="T161">
        <v>462</v>
      </c>
      <c r="U161">
        <v>4913859258.04</v>
      </c>
      <c r="V161">
        <v>1.0632964836262601E-2</v>
      </c>
      <c r="W161">
        <f t="shared" si="5"/>
        <v>12.039187659890693</v>
      </c>
      <c r="Y161" s="9">
        <v>158</v>
      </c>
      <c r="Z161" s="10">
        <v>18.5774335758076</v>
      </c>
    </row>
    <row r="162" spans="1:26" x14ac:dyDescent="0.25">
      <c r="A162">
        <v>161</v>
      </c>
      <c r="B162">
        <v>14895</v>
      </c>
      <c r="C162">
        <v>5958246023.2399998</v>
      </c>
      <c r="D162">
        <v>1.5385839137851E-2</v>
      </c>
      <c r="E162">
        <f t="shared" si="4"/>
        <v>16.978049801613516</v>
      </c>
      <c r="F162" t="e">
        <f>VLOOKUP(A162,Sheet3!B:D,3,0)*100</f>
        <v>#N/A</v>
      </c>
      <c r="R162">
        <v>41</v>
      </c>
      <c r="S162" t="s">
        <v>22</v>
      </c>
      <c r="T162">
        <v>235</v>
      </c>
      <c r="U162">
        <v>3164026998.4400001</v>
      </c>
      <c r="V162">
        <v>8.2319602798032396E-3</v>
      </c>
      <c r="W162">
        <f t="shared" si="5"/>
        <v>9.4431503531085319</v>
      </c>
      <c r="Y162" s="9">
        <v>159</v>
      </c>
      <c r="Z162" s="10">
        <v>17.928839886589653</v>
      </c>
    </row>
    <row r="163" spans="1:26" x14ac:dyDescent="0.25">
      <c r="A163">
        <v>162</v>
      </c>
      <c r="B163">
        <v>14643</v>
      </c>
      <c r="C163">
        <v>5623876583.8999996</v>
      </c>
      <c r="D163">
        <v>1.5853707731733901E-2</v>
      </c>
      <c r="E163">
        <f t="shared" si="4"/>
        <v>17.450218599530665</v>
      </c>
      <c r="F163" t="e">
        <f>VLOOKUP(A163,Sheet3!B:D,3,0)*100</f>
        <v>#N/A</v>
      </c>
      <c r="R163">
        <v>42</v>
      </c>
      <c r="S163" t="s">
        <v>19</v>
      </c>
      <c r="T163">
        <v>41570</v>
      </c>
      <c r="U163">
        <v>357068562135.07001</v>
      </c>
      <c r="V163">
        <v>1.9078187234033199E-2</v>
      </c>
      <c r="W163">
        <f t="shared" si="5"/>
        <v>20.637981601200206</v>
      </c>
      <c r="Y163" s="9">
        <v>160</v>
      </c>
      <c r="Z163" s="10">
        <v>18.459295070647897</v>
      </c>
    </row>
    <row r="164" spans="1:26" x14ac:dyDescent="0.25">
      <c r="A164">
        <v>163</v>
      </c>
      <c r="B164">
        <v>14444</v>
      </c>
      <c r="C164">
        <v>5281058457.9300003</v>
      </c>
      <c r="D164">
        <v>1.6212600301151101E-2</v>
      </c>
      <c r="E164">
        <f t="shared" si="4"/>
        <v>17.810740039948712</v>
      </c>
      <c r="F164" t="e">
        <f>VLOOKUP(A164,Sheet3!B:D,3,0)*100</f>
        <v>#N/A</v>
      </c>
      <c r="R164">
        <v>42</v>
      </c>
      <c r="S164" t="s">
        <v>20</v>
      </c>
      <c r="T164">
        <v>175</v>
      </c>
      <c r="U164">
        <v>2877795226.54</v>
      </c>
      <c r="V164">
        <v>1.31882256535E-2</v>
      </c>
      <c r="W164">
        <f t="shared" si="5"/>
        <v>14.726935117777185</v>
      </c>
      <c r="Y164" s="9">
        <v>161</v>
      </c>
      <c r="Z164" s="10">
        <v>16.978049801613516</v>
      </c>
    </row>
    <row r="165" spans="1:26" x14ac:dyDescent="0.25">
      <c r="A165">
        <v>164</v>
      </c>
      <c r="B165">
        <v>14205</v>
      </c>
      <c r="C165">
        <v>4709928047.96</v>
      </c>
      <c r="D165">
        <v>1.5551175159134E-2</v>
      </c>
      <c r="E165">
        <f t="shared" si="4"/>
        <v>17.145187541401086</v>
      </c>
      <c r="F165" t="e">
        <f>VLOOKUP(A165,Sheet3!B:D,3,0)*100</f>
        <v>#N/A</v>
      </c>
      <c r="R165">
        <v>42</v>
      </c>
      <c r="S165" t="s">
        <v>21</v>
      </c>
      <c r="T165">
        <v>438</v>
      </c>
      <c r="U165">
        <v>4713379171.6099997</v>
      </c>
      <c r="V165">
        <v>1.17586957100807E-2</v>
      </c>
      <c r="W165">
        <f t="shared" si="5"/>
        <v>13.232712833785421</v>
      </c>
      <c r="Y165" s="9">
        <v>162</v>
      </c>
      <c r="Z165" s="10">
        <v>17.450218599530665</v>
      </c>
    </row>
    <row r="166" spans="1:26" x14ac:dyDescent="0.25">
      <c r="A166">
        <v>165</v>
      </c>
      <c r="B166">
        <v>14012</v>
      </c>
      <c r="C166">
        <v>4796001969.1800003</v>
      </c>
      <c r="D166">
        <v>1.6163331966683001E-2</v>
      </c>
      <c r="E166">
        <f t="shared" si="4"/>
        <v>17.761333713057393</v>
      </c>
      <c r="F166" t="e">
        <f>VLOOKUP(A166,Sheet3!B:D,3,0)*100</f>
        <v>#N/A</v>
      </c>
      <c r="R166">
        <v>42</v>
      </c>
      <c r="S166" t="s">
        <v>22</v>
      </c>
      <c r="T166">
        <v>219</v>
      </c>
      <c r="U166">
        <v>3029671255.21</v>
      </c>
      <c r="V166">
        <v>6.7199403996422999E-3</v>
      </c>
      <c r="W166">
        <f t="shared" si="5"/>
        <v>7.772464502572296</v>
      </c>
      <c r="Y166" s="9">
        <v>163</v>
      </c>
      <c r="Z166" s="10">
        <v>17.810740039948712</v>
      </c>
    </row>
    <row r="167" spans="1:26" x14ac:dyDescent="0.25">
      <c r="A167">
        <v>166</v>
      </c>
      <c r="B167">
        <v>13835</v>
      </c>
      <c r="C167">
        <v>4646834875.25</v>
      </c>
      <c r="D167">
        <v>1.61546032807224E-2</v>
      </c>
      <c r="E167">
        <f t="shared" si="4"/>
        <v>17.752577741127716</v>
      </c>
      <c r="F167" t="e">
        <f>VLOOKUP(A167,Sheet3!B:D,3,0)*100</f>
        <v>#N/A</v>
      </c>
      <c r="R167">
        <v>43</v>
      </c>
      <c r="S167" t="s">
        <v>19</v>
      </c>
      <c r="T167">
        <v>41394</v>
      </c>
      <c r="U167">
        <v>347388356722.85999</v>
      </c>
      <c r="V167">
        <v>1.9616350274691899E-2</v>
      </c>
      <c r="W167">
        <f t="shared" si="5"/>
        <v>21.158892421456265</v>
      </c>
      <c r="Y167" s="9">
        <v>164</v>
      </c>
      <c r="Z167" s="10">
        <v>17.145187541401086</v>
      </c>
    </row>
    <row r="168" spans="1:26" x14ac:dyDescent="0.25">
      <c r="A168">
        <v>167</v>
      </c>
      <c r="B168">
        <v>13595</v>
      </c>
      <c r="C168">
        <v>4445190182.21</v>
      </c>
      <c r="D168">
        <v>1.4878750775844199E-2</v>
      </c>
      <c r="E168">
        <f t="shared" si="4"/>
        <v>16.46350608358409</v>
      </c>
      <c r="F168" t="e">
        <f>VLOOKUP(A168,Sheet3!B:D,3,0)*100</f>
        <v>#N/A</v>
      </c>
      <c r="R168">
        <v>43</v>
      </c>
      <c r="S168" t="s">
        <v>20</v>
      </c>
      <c r="T168">
        <v>167</v>
      </c>
      <c r="U168">
        <v>2781700546.27</v>
      </c>
      <c r="V168">
        <v>1.33109651050984E-2</v>
      </c>
      <c r="W168">
        <f t="shared" si="5"/>
        <v>14.854123048026501</v>
      </c>
      <c r="Y168" s="9">
        <v>165</v>
      </c>
      <c r="Z168" s="10">
        <v>17.761333713057393</v>
      </c>
    </row>
    <row r="169" spans="1:26" x14ac:dyDescent="0.25">
      <c r="A169">
        <v>168</v>
      </c>
      <c r="B169">
        <v>13383</v>
      </c>
      <c r="C169">
        <v>4337158183.5100002</v>
      </c>
      <c r="D169">
        <v>1.5906217281924401E-2</v>
      </c>
      <c r="E169">
        <f t="shared" si="4"/>
        <v>17.50305684268848</v>
      </c>
      <c r="F169">
        <f>VLOOKUP(A169,Sheet3!B:D,3,0)*100</f>
        <v>18.29</v>
      </c>
      <c r="R169">
        <v>43</v>
      </c>
      <c r="S169" t="s">
        <v>21</v>
      </c>
      <c r="T169">
        <v>417</v>
      </c>
      <c r="U169">
        <v>4509960792.9099998</v>
      </c>
      <c r="V169">
        <v>1.17386399729483E-2</v>
      </c>
      <c r="W169">
        <f t="shared" si="5"/>
        <v>13.211579823301467</v>
      </c>
      <c r="Y169" s="9">
        <v>166</v>
      </c>
      <c r="Z169" s="10">
        <v>17.752577741127716</v>
      </c>
    </row>
    <row r="170" spans="1:26" x14ac:dyDescent="0.25">
      <c r="A170">
        <v>169</v>
      </c>
      <c r="B170">
        <v>13094</v>
      </c>
      <c r="C170">
        <v>4117623426.0300002</v>
      </c>
      <c r="D170">
        <v>1.6603191036236802E-2</v>
      </c>
      <c r="E170">
        <f t="shared" si="4"/>
        <v>18.201462943484479</v>
      </c>
      <c r="F170" t="e">
        <f>VLOOKUP(A170,Sheet3!B:D,3,0)*100</f>
        <v>#N/A</v>
      </c>
      <c r="R170">
        <v>43</v>
      </c>
      <c r="S170" t="s">
        <v>22</v>
      </c>
      <c r="T170">
        <v>206</v>
      </c>
      <c r="U170">
        <v>2803833532.5700002</v>
      </c>
      <c r="V170">
        <v>7.8068384865704697E-3</v>
      </c>
      <c r="W170">
        <f t="shared" si="5"/>
        <v>8.9762438202519839</v>
      </c>
      <c r="Y170" s="9">
        <v>167</v>
      </c>
      <c r="Z170" s="10">
        <v>16.46350608358409</v>
      </c>
    </row>
    <row r="171" spans="1:26" x14ac:dyDescent="0.25">
      <c r="A171">
        <v>170</v>
      </c>
      <c r="B171">
        <v>12887</v>
      </c>
      <c r="C171">
        <v>3682052052.5599999</v>
      </c>
      <c r="D171">
        <v>1.51579289308268E-2</v>
      </c>
      <c r="E171">
        <f t="shared" si="4"/>
        <v>16.7471493155556</v>
      </c>
      <c r="F171" t="e">
        <f>VLOOKUP(A171,Sheet3!B:D,3,0)*100</f>
        <v>#N/A</v>
      </c>
      <c r="R171">
        <v>44</v>
      </c>
      <c r="S171" t="s">
        <v>19</v>
      </c>
      <c r="T171">
        <v>41421</v>
      </c>
      <c r="U171">
        <v>341395996834.17999</v>
      </c>
      <c r="V171">
        <v>1.9801444064974801E-2</v>
      </c>
      <c r="W171">
        <f t="shared" si="5"/>
        <v>21.337326924893883</v>
      </c>
      <c r="Y171" s="9">
        <v>168</v>
      </c>
      <c r="Z171" s="10">
        <v>17.50305684268848</v>
      </c>
    </row>
    <row r="172" spans="1:26" x14ac:dyDescent="0.25">
      <c r="A172">
        <v>171</v>
      </c>
      <c r="B172">
        <v>12639</v>
      </c>
      <c r="C172">
        <v>3794719735.77</v>
      </c>
      <c r="D172">
        <v>1.50905182729217E-2</v>
      </c>
      <c r="E172">
        <f t="shared" si="4"/>
        <v>16.678741482201463</v>
      </c>
      <c r="F172" t="e">
        <f>VLOOKUP(A172,Sheet3!B:D,3,0)*100</f>
        <v>#N/A</v>
      </c>
      <c r="R172">
        <v>44</v>
      </c>
      <c r="S172" t="s">
        <v>20</v>
      </c>
      <c r="T172">
        <v>167</v>
      </c>
      <c r="U172">
        <v>2697675497.8299999</v>
      </c>
      <c r="V172">
        <v>1.2804330926209801E-2</v>
      </c>
      <c r="W172">
        <f t="shared" si="5"/>
        <v>14.328001727855233</v>
      </c>
      <c r="Y172" s="9">
        <v>169</v>
      </c>
      <c r="Z172" s="10">
        <v>18.201462943484479</v>
      </c>
    </row>
    <row r="173" spans="1:26" x14ac:dyDescent="0.25">
      <c r="A173">
        <v>172</v>
      </c>
      <c r="B173">
        <v>12470</v>
      </c>
      <c r="C173">
        <v>3681978035.3699999</v>
      </c>
      <c r="D173">
        <v>1.53177010521761E-2</v>
      </c>
      <c r="E173">
        <f t="shared" si="4"/>
        <v>16.90907930815959</v>
      </c>
      <c r="F173" t="e">
        <f>VLOOKUP(A173,Sheet3!B:D,3,0)*100</f>
        <v>#N/A</v>
      </c>
      <c r="R173">
        <v>44</v>
      </c>
      <c r="S173" t="s">
        <v>21</v>
      </c>
      <c r="T173">
        <v>404</v>
      </c>
      <c r="U173">
        <v>4370231386.4300003</v>
      </c>
      <c r="V173">
        <v>1.3581061418276299E-2</v>
      </c>
      <c r="W173">
        <f t="shared" si="5"/>
        <v>15.133396380038844</v>
      </c>
      <c r="Y173" s="9">
        <v>170</v>
      </c>
      <c r="Z173" s="10">
        <v>16.7471493155556</v>
      </c>
    </row>
    <row r="174" spans="1:26" x14ac:dyDescent="0.25">
      <c r="A174">
        <v>173</v>
      </c>
      <c r="B174">
        <v>12287</v>
      </c>
      <c r="C174">
        <v>3559586949.46</v>
      </c>
      <c r="D174">
        <v>1.55699434744722E-2</v>
      </c>
      <c r="E174">
        <f t="shared" si="4"/>
        <v>17.164140874420298</v>
      </c>
      <c r="F174" t="e">
        <f>VLOOKUP(A174,Sheet3!B:D,3,0)*100</f>
        <v>#N/A</v>
      </c>
      <c r="R174">
        <v>44</v>
      </c>
      <c r="S174" t="s">
        <v>22</v>
      </c>
      <c r="T174">
        <v>184</v>
      </c>
      <c r="U174">
        <v>2524518976.7399998</v>
      </c>
      <c r="V174">
        <v>9.6656589052674293E-3</v>
      </c>
      <c r="W174">
        <f t="shared" si="5"/>
        <v>11.001626800445729</v>
      </c>
      <c r="Y174" s="9">
        <v>171</v>
      </c>
      <c r="Z174" s="10">
        <v>16.678741482201463</v>
      </c>
    </row>
    <row r="175" spans="1:26" x14ac:dyDescent="0.25">
      <c r="A175">
        <v>174</v>
      </c>
      <c r="B175">
        <v>12101</v>
      </c>
      <c r="C175">
        <v>3468838344.9099998</v>
      </c>
      <c r="D175">
        <v>1.51249135674505E-2</v>
      </c>
      <c r="E175">
        <f t="shared" si="4"/>
        <v>16.713652006160551</v>
      </c>
      <c r="F175" t="e">
        <f>VLOOKUP(A175,Sheet3!B:D,3,0)*100</f>
        <v>#N/A</v>
      </c>
      <c r="R175">
        <v>45</v>
      </c>
      <c r="S175" t="s">
        <v>19</v>
      </c>
      <c r="T175">
        <v>41287</v>
      </c>
      <c r="U175">
        <v>331458671362.57001</v>
      </c>
      <c r="V175">
        <v>2.0027088874295901E-2</v>
      </c>
      <c r="W175">
        <f t="shared" si="5"/>
        <v>21.554352762783623</v>
      </c>
      <c r="Y175" s="9">
        <v>172</v>
      </c>
      <c r="Z175" s="10">
        <v>16.90907930815959</v>
      </c>
    </row>
    <row r="176" spans="1:26" x14ac:dyDescent="0.25">
      <c r="A176">
        <v>175</v>
      </c>
      <c r="B176">
        <v>11903</v>
      </c>
      <c r="C176">
        <v>3386391285.21</v>
      </c>
      <c r="D176">
        <v>1.5857157829642601E-2</v>
      </c>
      <c r="E176">
        <f t="shared" si="4"/>
        <v>17.453691245893353</v>
      </c>
      <c r="F176" t="e">
        <f>VLOOKUP(A176,Sheet3!B:D,3,0)*100</f>
        <v>#N/A</v>
      </c>
      <c r="R176">
        <v>45</v>
      </c>
      <c r="S176" t="s">
        <v>20</v>
      </c>
      <c r="T176">
        <v>158</v>
      </c>
      <c r="U176">
        <v>2465837878.52</v>
      </c>
      <c r="V176">
        <v>1.7463156001232098E-2</v>
      </c>
      <c r="W176">
        <f t="shared" si="5"/>
        <v>19.055724775779336</v>
      </c>
      <c r="Y176" s="9">
        <v>173</v>
      </c>
      <c r="Z176" s="10">
        <v>17.164140874420298</v>
      </c>
    </row>
    <row r="177" spans="1:26" x14ac:dyDescent="0.25">
      <c r="A177">
        <v>176</v>
      </c>
      <c r="B177">
        <v>11717</v>
      </c>
      <c r="C177">
        <v>3291679182.71</v>
      </c>
      <c r="D177">
        <v>1.4204104223025199E-2</v>
      </c>
      <c r="E177">
        <f t="shared" si="4"/>
        <v>15.774408742526813</v>
      </c>
      <c r="F177" t="e">
        <f>VLOOKUP(A177,Sheet3!B:D,3,0)*100</f>
        <v>#N/A</v>
      </c>
      <c r="R177">
        <v>45</v>
      </c>
      <c r="S177" t="s">
        <v>21</v>
      </c>
      <c r="T177">
        <v>386</v>
      </c>
      <c r="U177">
        <v>4053653628.2399998</v>
      </c>
      <c r="V177">
        <v>1.09139444206612E-2</v>
      </c>
      <c r="W177">
        <f t="shared" si="5"/>
        <v>12.338489614770154</v>
      </c>
      <c r="Y177" s="9">
        <v>174</v>
      </c>
      <c r="Z177" s="10">
        <v>16.713652006160551</v>
      </c>
    </row>
    <row r="178" spans="1:26" x14ac:dyDescent="0.25">
      <c r="A178">
        <v>177</v>
      </c>
      <c r="B178">
        <v>11518</v>
      </c>
      <c r="C178">
        <v>2985714051.2800002</v>
      </c>
      <c r="D178">
        <v>1.4319545122138001E-2</v>
      </c>
      <c r="E178">
        <f t="shared" si="4"/>
        <v>15.892690647643493</v>
      </c>
      <c r="F178" t="e">
        <f>VLOOKUP(A178,Sheet3!B:D,3,0)*100</f>
        <v>#N/A</v>
      </c>
      <c r="R178">
        <v>45</v>
      </c>
      <c r="S178" t="s">
        <v>22</v>
      </c>
      <c r="T178">
        <v>170</v>
      </c>
      <c r="U178">
        <v>2442058990.4499998</v>
      </c>
      <c r="V178">
        <v>9.8011537564518109E-3</v>
      </c>
      <c r="W178">
        <f t="shared" si="5"/>
        <v>11.147635081885298</v>
      </c>
      <c r="Y178" s="9">
        <v>175</v>
      </c>
      <c r="Z178" s="10">
        <v>17.453691245893353</v>
      </c>
    </row>
    <row r="179" spans="1:26" x14ac:dyDescent="0.25">
      <c r="A179">
        <v>178</v>
      </c>
      <c r="B179">
        <v>11356</v>
      </c>
      <c r="C179">
        <v>3313284493.1999998</v>
      </c>
      <c r="D179">
        <v>1.4510375452025E-2</v>
      </c>
      <c r="E179">
        <f t="shared" si="4"/>
        <v>16.087883473337062</v>
      </c>
      <c r="F179" t="e">
        <f>VLOOKUP(A179,Sheet3!B:D,3,0)*100</f>
        <v>#N/A</v>
      </c>
      <c r="R179">
        <v>46</v>
      </c>
      <c r="S179" t="s">
        <v>19</v>
      </c>
      <c r="T179">
        <v>41355</v>
      </c>
      <c r="U179">
        <v>321654492281.75</v>
      </c>
      <c r="V179">
        <v>2.02970750027715E-2</v>
      </c>
      <c r="W179">
        <f t="shared" si="5"/>
        <v>21.813304905745401</v>
      </c>
      <c r="Y179" s="9">
        <v>176</v>
      </c>
      <c r="Z179" s="10">
        <v>15.774408742526813</v>
      </c>
    </row>
    <row r="180" spans="1:26" x14ac:dyDescent="0.25">
      <c r="A180">
        <v>179</v>
      </c>
      <c r="B180">
        <v>11152</v>
      </c>
      <c r="C180">
        <v>2842120140.6999998</v>
      </c>
      <c r="D180">
        <v>1.4472737189494499E-2</v>
      </c>
      <c r="E180">
        <f t="shared" si="4"/>
        <v>16.049417682857815</v>
      </c>
      <c r="F180" t="e">
        <f>VLOOKUP(A180,Sheet3!B:D,3,0)*100</f>
        <v>#N/A</v>
      </c>
      <c r="R180">
        <v>46</v>
      </c>
      <c r="S180" t="s">
        <v>20</v>
      </c>
      <c r="T180">
        <v>155</v>
      </c>
      <c r="U180">
        <v>2384614532.3600001</v>
      </c>
      <c r="V180">
        <v>1.4808760911247601E-2</v>
      </c>
      <c r="W180">
        <f t="shared" si="5"/>
        <v>16.39225808531155</v>
      </c>
      <c r="Y180" s="9">
        <v>177</v>
      </c>
      <c r="Z180" s="10">
        <v>15.892690647643493</v>
      </c>
    </row>
    <row r="181" spans="1:26" x14ac:dyDescent="0.25">
      <c r="A181">
        <v>180</v>
      </c>
      <c r="B181">
        <v>10942</v>
      </c>
      <c r="C181">
        <v>3086645402.1799998</v>
      </c>
      <c r="D181">
        <v>1.4834332318346501E-2</v>
      </c>
      <c r="E181">
        <f t="shared" si="4"/>
        <v>16.418295617973065</v>
      </c>
      <c r="F181">
        <f>VLOOKUP(A181,Sheet3!B:D,3,0)*100</f>
        <v>18.170000000000002</v>
      </c>
      <c r="R181">
        <v>46</v>
      </c>
      <c r="S181" t="s">
        <v>21</v>
      </c>
      <c r="T181">
        <v>365</v>
      </c>
      <c r="U181">
        <v>3863507409.5</v>
      </c>
      <c r="V181">
        <v>1.29311924025504E-2</v>
      </c>
      <c r="W181">
        <f t="shared" si="5"/>
        <v>14.46002172878147</v>
      </c>
      <c r="Y181" s="9">
        <v>178</v>
      </c>
      <c r="Z181" s="10">
        <v>16.087883473337062</v>
      </c>
    </row>
    <row r="182" spans="1:26" x14ac:dyDescent="0.25">
      <c r="A182">
        <v>181</v>
      </c>
      <c r="B182">
        <v>10742</v>
      </c>
      <c r="C182">
        <v>2820317075.0900002</v>
      </c>
      <c r="D182">
        <v>1.4438879012551101E-2</v>
      </c>
      <c r="E182">
        <f t="shared" si="4"/>
        <v>16.01480127890791</v>
      </c>
      <c r="F182" t="e">
        <f>VLOOKUP(A182,Sheet3!B:D,3,0)*100</f>
        <v>#N/A</v>
      </c>
      <c r="R182">
        <v>46</v>
      </c>
      <c r="S182" t="s">
        <v>22</v>
      </c>
      <c r="T182">
        <v>156</v>
      </c>
      <c r="U182">
        <v>2262463345.6799998</v>
      </c>
      <c r="V182">
        <v>8.9418896456039208E-3</v>
      </c>
      <c r="W182">
        <f t="shared" si="5"/>
        <v>10.217966159557523</v>
      </c>
      <c r="Y182" s="9">
        <v>179</v>
      </c>
      <c r="Z182" s="10">
        <v>16.049417682857815</v>
      </c>
    </row>
    <row r="183" spans="1:26" x14ac:dyDescent="0.25">
      <c r="A183">
        <v>182</v>
      </c>
      <c r="B183">
        <v>10606</v>
      </c>
      <c r="C183">
        <v>2737639042.71</v>
      </c>
      <c r="D183">
        <v>1.45980764843145E-2</v>
      </c>
      <c r="E183">
        <f t="shared" si="4"/>
        <v>16.17745005771506</v>
      </c>
      <c r="F183" t="e">
        <f>VLOOKUP(A183,Sheet3!B:D,3,0)*100</f>
        <v>#N/A</v>
      </c>
      <c r="R183">
        <v>47</v>
      </c>
      <c r="S183" t="s">
        <v>19</v>
      </c>
      <c r="T183">
        <v>41326</v>
      </c>
      <c r="U183">
        <v>312449808096.21002</v>
      </c>
      <c r="V183">
        <v>2.05226649947171E-2</v>
      </c>
      <c r="W183">
        <f t="shared" si="5"/>
        <v>22.029074173546004</v>
      </c>
      <c r="Y183" s="9">
        <v>180</v>
      </c>
      <c r="Z183" s="10">
        <v>16.418295617973065</v>
      </c>
    </row>
    <row r="184" spans="1:26" x14ac:dyDescent="0.25">
      <c r="A184">
        <v>183</v>
      </c>
      <c r="B184">
        <v>10417</v>
      </c>
      <c r="C184">
        <v>2648321713.8699999</v>
      </c>
      <c r="D184">
        <v>1.38125671263704E-2</v>
      </c>
      <c r="E184">
        <f t="shared" si="4"/>
        <v>15.372099367301873</v>
      </c>
      <c r="F184" t="e">
        <f>VLOOKUP(A184,Sheet3!B:D,3,0)*100</f>
        <v>#N/A</v>
      </c>
      <c r="R184">
        <v>47</v>
      </c>
      <c r="S184" t="s">
        <v>20</v>
      </c>
      <c r="T184">
        <v>147</v>
      </c>
      <c r="U184">
        <v>2132422287.1199999</v>
      </c>
      <c r="V184">
        <v>1.93773074712832E-2</v>
      </c>
      <c r="W184">
        <f t="shared" si="5"/>
        <v>20.927900885691631</v>
      </c>
      <c r="Y184" s="9">
        <v>181</v>
      </c>
      <c r="Z184" s="10">
        <v>16.01480127890791</v>
      </c>
    </row>
    <row r="185" spans="1:26" x14ac:dyDescent="0.25">
      <c r="A185">
        <v>184</v>
      </c>
      <c r="B185">
        <v>10266</v>
      </c>
      <c r="C185">
        <v>2613718835.7199998</v>
      </c>
      <c r="D185">
        <v>1.4848376163322999E-2</v>
      </c>
      <c r="E185">
        <f t="shared" si="4"/>
        <v>16.432592297330263</v>
      </c>
      <c r="F185" t="e">
        <f>VLOOKUP(A185,Sheet3!B:D,3,0)*100</f>
        <v>#N/A</v>
      </c>
      <c r="R185">
        <v>47</v>
      </c>
      <c r="S185" t="s">
        <v>21</v>
      </c>
      <c r="T185">
        <v>340</v>
      </c>
      <c r="U185">
        <v>3497293843.0599999</v>
      </c>
      <c r="V185">
        <v>1.31107474557286E-2</v>
      </c>
      <c r="W185">
        <f t="shared" si="5"/>
        <v>14.64655921686926</v>
      </c>
      <c r="Y185" s="9">
        <v>182</v>
      </c>
      <c r="Z185" s="10">
        <v>16.17745005771506</v>
      </c>
    </row>
    <row r="186" spans="1:26" x14ac:dyDescent="0.25">
      <c r="A186">
        <v>185</v>
      </c>
      <c r="B186">
        <v>10077</v>
      </c>
      <c r="C186">
        <v>2358500051.46</v>
      </c>
      <c r="D186">
        <v>1.4568037981118999E-2</v>
      </c>
      <c r="E186">
        <f t="shared" si="4"/>
        <v>16.146782456196917</v>
      </c>
      <c r="F186" t="e">
        <f>VLOOKUP(A186,Sheet3!B:D,3,0)*100</f>
        <v>#N/A</v>
      </c>
      <c r="R186">
        <v>47</v>
      </c>
      <c r="S186" t="s">
        <v>22</v>
      </c>
      <c r="T186">
        <v>133</v>
      </c>
      <c r="U186">
        <v>2133183454.48</v>
      </c>
      <c r="V186">
        <v>1.09212320109617E-2</v>
      </c>
      <c r="W186">
        <f t="shared" si="5"/>
        <v>12.346239985303853</v>
      </c>
      <c r="Y186" s="9">
        <v>183</v>
      </c>
      <c r="Z186" s="10">
        <v>15.374289407146623</v>
      </c>
    </row>
    <row r="187" spans="1:26" x14ac:dyDescent="0.25">
      <c r="A187">
        <v>186</v>
      </c>
      <c r="B187">
        <v>9880</v>
      </c>
      <c r="C187">
        <v>2416372364.8600001</v>
      </c>
      <c r="D187">
        <v>1.5570022031244799E-2</v>
      </c>
      <c r="E187">
        <f t="shared" si="4"/>
        <v>17.164220197251023</v>
      </c>
      <c r="F187" t="e">
        <f>VLOOKUP(A187,Sheet3!B:D,3,0)*100</f>
        <v>#N/A</v>
      </c>
      <c r="R187">
        <v>48</v>
      </c>
      <c r="S187" t="s">
        <v>19</v>
      </c>
      <c r="T187">
        <v>41287</v>
      </c>
      <c r="U187">
        <v>303375958276.83002</v>
      </c>
      <c r="V187">
        <v>2.0474323471542401E-2</v>
      </c>
      <c r="W187">
        <f t="shared" si="5"/>
        <v>21.982883130544938</v>
      </c>
      <c r="Y187" s="9">
        <v>184</v>
      </c>
      <c r="Z187" s="10">
        <v>16.432592297330263</v>
      </c>
    </row>
    <row r="188" spans="1:26" x14ac:dyDescent="0.25">
      <c r="A188">
        <v>187</v>
      </c>
      <c r="B188">
        <v>9720</v>
      </c>
      <c r="C188">
        <v>2384809992.54</v>
      </c>
      <c r="D188">
        <v>1.4296814496739699E-2</v>
      </c>
      <c r="E188">
        <f t="shared" si="4"/>
        <v>15.869412666606497</v>
      </c>
      <c r="F188" t="e">
        <f>VLOOKUP(A188,Sheet3!B:D,3,0)*100</f>
        <v>#N/A</v>
      </c>
      <c r="R188">
        <v>48</v>
      </c>
      <c r="S188" t="s">
        <v>20</v>
      </c>
      <c r="T188">
        <v>136</v>
      </c>
      <c r="U188">
        <v>1601393432.9000001</v>
      </c>
      <c r="V188">
        <v>2.0720491344945701E-2</v>
      </c>
      <c r="W188">
        <f t="shared" si="5"/>
        <v>22.217839102498417</v>
      </c>
      <c r="Y188" s="9">
        <v>185</v>
      </c>
      <c r="Z188" s="10">
        <v>16.147462697558268</v>
      </c>
    </row>
    <row r="189" spans="1:26" x14ac:dyDescent="0.25">
      <c r="A189">
        <v>188</v>
      </c>
      <c r="B189">
        <v>9567</v>
      </c>
      <c r="C189">
        <v>2367134768.46</v>
      </c>
      <c r="D189">
        <v>1.38919734707856E-2</v>
      </c>
      <c r="E189">
        <f t="shared" si="4"/>
        <v>15.453832516665322</v>
      </c>
      <c r="F189" t="e">
        <f>VLOOKUP(A189,Sheet3!B:D,3,0)*100</f>
        <v>#N/A</v>
      </c>
      <c r="R189">
        <v>48</v>
      </c>
      <c r="S189" t="s">
        <v>21</v>
      </c>
      <c r="T189">
        <v>318</v>
      </c>
      <c r="U189">
        <v>3230473114.3000002</v>
      </c>
      <c r="V189">
        <v>1.3151049784732E-2</v>
      </c>
      <c r="W189">
        <f t="shared" si="5"/>
        <v>14.688377525188933</v>
      </c>
      <c r="Y189" s="9">
        <v>186</v>
      </c>
      <c r="Z189" s="10">
        <v>17.164220197251023</v>
      </c>
    </row>
    <row r="190" spans="1:26" x14ac:dyDescent="0.25">
      <c r="A190">
        <v>189</v>
      </c>
      <c r="B190">
        <v>9408</v>
      </c>
      <c r="C190">
        <v>2261479302.4499998</v>
      </c>
      <c r="D190">
        <v>1.3884830929015299E-2</v>
      </c>
      <c r="E190">
        <f t="shared" si="4"/>
        <v>15.446483643228781</v>
      </c>
      <c r="F190" t="e">
        <f>VLOOKUP(A190,Sheet3!B:D,3,0)*100</f>
        <v>#N/A</v>
      </c>
      <c r="R190">
        <v>48</v>
      </c>
      <c r="S190" t="s">
        <v>22</v>
      </c>
      <c r="T190">
        <v>118</v>
      </c>
      <c r="U190">
        <v>1865523377.6199999</v>
      </c>
      <c r="V190">
        <v>1.23725627313633E-2</v>
      </c>
      <c r="W190">
        <f t="shared" si="5"/>
        <v>13.877275819615454</v>
      </c>
      <c r="Y190" s="9">
        <v>187</v>
      </c>
      <c r="Z190" s="10">
        <v>15.869412666606497</v>
      </c>
    </row>
    <row r="191" spans="1:26" x14ac:dyDescent="0.25">
      <c r="A191">
        <v>190</v>
      </c>
      <c r="B191">
        <v>9302</v>
      </c>
      <c r="C191">
        <v>2194825320.98</v>
      </c>
      <c r="D191">
        <v>1.3867653239184E-2</v>
      </c>
      <c r="E191">
        <f t="shared" si="4"/>
        <v>15.428807331747961</v>
      </c>
      <c r="F191" t="e">
        <f>VLOOKUP(A191,Sheet3!B:D,3,0)*100</f>
        <v>#N/A</v>
      </c>
      <c r="R191">
        <v>49</v>
      </c>
      <c r="S191" t="s">
        <v>19</v>
      </c>
      <c r="T191">
        <v>41154</v>
      </c>
      <c r="U191">
        <v>292179350375.09003</v>
      </c>
      <c r="V191">
        <v>2.0883267130139199E-2</v>
      </c>
      <c r="W191">
        <f t="shared" si="5"/>
        <v>22.372844701081096</v>
      </c>
      <c r="Y191" s="9">
        <v>188</v>
      </c>
      <c r="Z191" s="10">
        <v>15.453832516665322</v>
      </c>
    </row>
    <row r="192" spans="1:26" x14ac:dyDescent="0.25">
      <c r="A192">
        <v>191</v>
      </c>
      <c r="B192">
        <v>9190</v>
      </c>
      <c r="C192">
        <v>2173853874.9499998</v>
      </c>
      <c r="D192">
        <v>1.4186248863180999E-2</v>
      </c>
      <c r="E192">
        <f t="shared" si="4"/>
        <v>15.756100351456526</v>
      </c>
      <c r="F192" t="e">
        <f>VLOOKUP(A192,Sheet3!B:D,3,0)*100</f>
        <v>#N/A</v>
      </c>
      <c r="R192">
        <v>49</v>
      </c>
      <c r="S192" t="s">
        <v>20</v>
      </c>
      <c r="T192">
        <v>130</v>
      </c>
      <c r="U192">
        <v>1310099137.9400001</v>
      </c>
      <c r="V192">
        <v>2.32907553882724E-2</v>
      </c>
      <c r="W192">
        <f t="shared" si="5"/>
        <v>24.632591850798814</v>
      </c>
      <c r="Y192" s="9">
        <v>189</v>
      </c>
      <c r="Z192" s="10">
        <v>15.446483643228781</v>
      </c>
    </row>
    <row r="193" spans="1:26" x14ac:dyDescent="0.25">
      <c r="A193">
        <v>192</v>
      </c>
      <c r="B193">
        <v>9036</v>
      </c>
      <c r="C193">
        <v>2098632266.23</v>
      </c>
      <c r="D193">
        <v>1.38433488906878E-2</v>
      </c>
      <c r="E193">
        <f t="shared" si="4"/>
        <v>15.403791707109772</v>
      </c>
      <c r="F193">
        <f>VLOOKUP(A193,Sheet3!B:D,3,0)*100</f>
        <v>17.630000000000003</v>
      </c>
      <c r="R193">
        <v>49</v>
      </c>
      <c r="S193" t="s">
        <v>21</v>
      </c>
      <c r="T193">
        <v>300</v>
      </c>
      <c r="U193">
        <v>2984656217.3800001</v>
      </c>
      <c r="V193">
        <v>1.4229636501019801E-2</v>
      </c>
      <c r="W193">
        <f t="shared" si="5"/>
        <v>15.800582496050964</v>
      </c>
      <c r="Y193" s="9">
        <v>190</v>
      </c>
      <c r="Z193" s="10">
        <v>15.428807331747961</v>
      </c>
    </row>
    <row r="194" spans="1:26" x14ac:dyDescent="0.25">
      <c r="A194">
        <v>193</v>
      </c>
      <c r="B194">
        <v>8919</v>
      </c>
      <c r="C194">
        <v>2058399085.1400001</v>
      </c>
      <c r="D194">
        <v>1.4103328871759401E-2</v>
      </c>
      <c r="E194">
        <f t="shared" si="4"/>
        <v>15.671028671483089</v>
      </c>
      <c r="F194" t="e">
        <f>VLOOKUP(A194,Sheet3!B:D,3,0)*100</f>
        <v>#N/A</v>
      </c>
      <c r="R194">
        <v>49</v>
      </c>
      <c r="S194" t="s">
        <v>22</v>
      </c>
      <c r="T194">
        <v>100</v>
      </c>
      <c r="U194">
        <v>1705515144.71</v>
      </c>
      <c r="V194">
        <v>1.31481111701298E-2</v>
      </c>
      <c r="W194">
        <f t="shared" si="5"/>
        <v>14.685329008974946</v>
      </c>
      <c r="Y194" s="9">
        <v>191</v>
      </c>
      <c r="Z194" s="10">
        <v>15.756100351456526</v>
      </c>
    </row>
    <row r="195" spans="1:26" x14ac:dyDescent="0.25">
      <c r="A195">
        <v>194</v>
      </c>
      <c r="B195">
        <v>8837</v>
      </c>
      <c r="C195">
        <v>2009592531.0999999</v>
      </c>
      <c r="D195">
        <v>1.4341730481918301E-2</v>
      </c>
      <c r="E195">
        <f t="shared" ref="E195:E258" si="6">100*(1-(1-D195)^12)</f>
        <v>15.915404539589439</v>
      </c>
      <c r="F195" t="e">
        <f>VLOOKUP(A195,Sheet3!B:D,3,0)*100</f>
        <v>#N/A</v>
      </c>
      <c r="R195">
        <v>50</v>
      </c>
      <c r="S195" t="s">
        <v>19</v>
      </c>
      <c r="T195">
        <v>40798</v>
      </c>
      <c r="U195">
        <v>282999317593.26001</v>
      </c>
      <c r="V195">
        <v>2.0758250034903E-2</v>
      </c>
      <c r="W195">
        <f t="shared" ref="W195:W258" si="7">100*(1-(1-V195)^12)</f>
        <v>22.253820614062381</v>
      </c>
      <c r="Y195" s="9">
        <v>192</v>
      </c>
      <c r="Z195" s="10">
        <v>15.403791707109772</v>
      </c>
    </row>
    <row r="196" spans="1:26" x14ac:dyDescent="0.25">
      <c r="A196">
        <v>195</v>
      </c>
      <c r="B196">
        <v>8703</v>
      </c>
      <c r="C196">
        <v>1955025773.3099999</v>
      </c>
      <c r="D196">
        <v>1.3281993153072E-2</v>
      </c>
      <c r="E196">
        <f t="shared" si="6"/>
        <v>14.82411674698082</v>
      </c>
      <c r="F196" t="e">
        <f>VLOOKUP(A196,Sheet3!B:D,3,0)*100</f>
        <v>#N/A</v>
      </c>
      <c r="R196">
        <v>50</v>
      </c>
      <c r="S196" t="s">
        <v>20</v>
      </c>
      <c r="T196">
        <v>123</v>
      </c>
      <c r="U196">
        <v>953158955.03999996</v>
      </c>
      <c r="V196">
        <v>1.3001125757572E-2</v>
      </c>
      <c r="W196">
        <f t="shared" si="7"/>
        <v>14.532718997078952</v>
      </c>
      <c r="Y196" s="9">
        <v>193</v>
      </c>
      <c r="Z196" s="10">
        <v>15.671028671483089</v>
      </c>
    </row>
    <row r="197" spans="1:26" x14ac:dyDescent="0.25">
      <c r="A197">
        <v>196</v>
      </c>
      <c r="B197">
        <v>8627</v>
      </c>
      <c r="C197">
        <v>1938271725</v>
      </c>
      <c r="D197">
        <v>1.3758303033632501E-2</v>
      </c>
      <c r="E197">
        <f t="shared" si="6"/>
        <v>15.316203547299246</v>
      </c>
      <c r="F197" t="e">
        <f>VLOOKUP(A197,Sheet3!B:D,3,0)*100</f>
        <v>#N/A</v>
      </c>
      <c r="R197">
        <v>50</v>
      </c>
      <c r="S197" t="s">
        <v>21</v>
      </c>
      <c r="T197">
        <v>282</v>
      </c>
      <c r="U197">
        <v>2821244439.6100001</v>
      </c>
      <c r="V197">
        <v>1.4560432278073399E-2</v>
      </c>
      <c r="W197">
        <f t="shared" si="7"/>
        <v>16.139015834813939</v>
      </c>
      <c r="Y197" s="9">
        <v>194</v>
      </c>
      <c r="Z197" s="10">
        <v>15.915404539589439</v>
      </c>
    </row>
    <row r="198" spans="1:26" x14ac:dyDescent="0.25">
      <c r="A198">
        <v>197</v>
      </c>
      <c r="B198">
        <v>8523</v>
      </c>
      <c r="C198">
        <v>1886585683.4000001</v>
      </c>
      <c r="D198">
        <v>1.27973309820371E-2</v>
      </c>
      <c r="E198">
        <f t="shared" si="6"/>
        <v>14.320711712972345</v>
      </c>
      <c r="F198" t="e">
        <f>VLOOKUP(A198,Sheet3!B:D,3,0)*100</f>
        <v>#N/A</v>
      </c>
      <c r="R198">
        <v>50</v>
      </c>
      <c r="S198" t="s">
        <v>22</v>
      </c>
      <c r="T198">
        <v>85</v>
      </c>
      <c r="U198">
        <v>1474039502.9400001</v>
      </c>
      <c r="V198">
        <v>1.37616466399005E-2</v>
      </c>
      <c r="W198">
        <f t="shared" si="7"/>
        <v>15.319648674316477</v>
      </c>
      <c r="Y198" s="9">
        <v>195</v>
      </c>
      <c r="Z198" s="10">
        <v>14.82411674698082</v>
      </c>
    </row>
    <row r="199" spans="1:26" x14ac:dyDescent="0.25">
      <c r="A199">
        <v>198</v>
      </c>
      <c r="B199">
        <v>8408</v>
      </c>
      <c r="C199">
        <v>1841811679.2</v>
      </c>
      <c r="D199">
        <v>1.39778445064956E-2</v>
      </c>
      <c r="E199">
        <f t="shared" si="6"/>
        <v>15.542138348653767</v>
      </c>
      <c r="F199" t="e">
        <f>VLOOKUP(A199,Sheet3!B:D,3,0)*100</f>
        <v>#N/A</v>
      </c>
      <c r="R199">
        <v>51</v>
      </c>
      <c r="S199" t="s">
        <v>19</v>
      </c>
      <c r="T199">
        <v>40554</v>
      </c>
      <c r="U199">
        <v>271778896303.64999</v>
      </c>
      <c r="V199">
        <v>2.0885070268215299E-2</v>
      </c>
      <c r="W199">
        <f t="shared" si="7"/>
        <v>22.37456017859687</v>
      </c>
      <c r="Y199" s="9">
        <v>196</v>
      </c>
      <c r="Z199" s="10">
        <v>15.316203547299246</v>
      </c>
    </row>
    <row r="200" spans="1:26" x14ac:dyDescent="0.25">
      <c r="A200">
        <v>199</v>
      </c>
      <c r="B200">
        <v>8326</v>
      </c>
      <c r="C200">
        <v>1967870807.74</v>
      </c>
      <c r="D200">
        <v>1.29847926422788E-2</v>
      </c>
      <c r="E200">
        <f t="shared" si="6"/>
        <v>14.515745433474269</v>
      </c>
      <c r="F200" t="e">
        <f>VLOOKUP(A200,Sheet3!B:D,3,0)*100</f>
        <v>#N/A</v>
      </c>
      <c r="R200">
        <v>51</v>
      </c>
      <c r="S200" t="s">
        <v>20</v>
      </c>
      <c r="T200">
        <v>118</v>
      </c>
      <c r="U200">
        <v>875225623.78999996</v>
      </c>
      <c r="V200">
        <v>2.9273721081667901E-2</v>
      </c>
      <c r="W200">
        <f t="shared" si="7"/>
        <v>29.989780237165331</v>
      </c>
      <c r="Y200" s="9">
        <v>197</v>
      </c>
      <c r="Z200" s="10">
        <v>14.320711712972345</v>
      </c>
    </row>
    <row r="201" spans="1:26" x14ac:dyDescent="0.25">
      <c r="A201">
        <v>200</v>
      </c>
      <c r="B201">
        <v>8212</v>
      </c>
      <c r="C201">
        <v>1777989474.4100001</v>
      </c>
      <c r="D201">
        <v>1.395581863803E-2</v>
      </c>
      <c r="E201">
        <f t="shared" si="6"/>
        <v>15.519496021901402</v>
      </c>
      <c r="F201" t="e">
        <f>VLOOKUP(A201,Sheet3!B:D,3,0)*100</f>
        <v>#N/A</v>
      </c>
      <c r="R201">
        <v>51</v>
      </c>
      <c r="S201" t="s">
        <v>21</v>
      </c>
      <c r="T201">
        <v>264</v>
      </c>
      <c r="U201">
        <v>2611340013.02</v>
      </c>
      <c r="V201">
        <v>1.6354799912362699E-2</v>
      </c>
      <c r="W201">
        <f t="shared" si="7"/>
        <v>17.953185377936641</v>
      </c>
      <c r="Y201" s="9">
        <v>198</v>
      </c>
      <c r="Z201" s="10">
        <v>15.542138348653767</v>
      </c>
    </row>
    <row r="202" spans="1:26" x14ac:dyDescent="0.25">
      <c r="A202">
        <v>201</v>
      </c>
      <c r="B202">
        <v>8160</v>
      </c>
      <c r="C202">
        <v>1761208661.6700001</v>
      </c>
      <c r="D202">
        <v>1.36061574541379E-2</v>
      </c>
      <c r="E202">
        <f t="shared" si="6"/>
        <v>15.159302419525901</v>
      </c>
      <c r="F202" t="e">
        <f>VLOOKUP(A202,Sheet3!B:D,3,0)*100</f>
        <v>#N/A</v>
      </c>
      <c r="R202">
        <v>51</v>
      </c>
      <c r="S202" t="s">
        <v>22</v>
      </c>
      <c r="T202">
        <v>64</v>
      </c>
      <c r="U202">
        <v>1199579583.5599999</v>
      </c>
      <c r="V202">
        <v>1.5477201185871399E-2</v>
      </c>
      <c r="W202">
        <f t="shared" si="7"/>
        <v>17.070445616137942</v>
      </c>
      <c r="Y202" s="9">
        <v>199</v>
      </c>
      <c r="Z202" s="10">
        <v>14.515745433474269</v>
      </c>
    </row>
    <row r="203" spans="1:26" x14ac:dyDescent="0.25">
      <c r="A203">
        <v>202</v>
      </c>
      <c r="B203">
        <v>8092</v>
      </c>
      <c r="C203">
        <v>1618622062.6900001</v>
      </c>
      <c r="D203">
        <v>1.47701999746857E-2</v>
      </c>
      <c r="E203">
        <f t="shared" si="6"/>
        <v>16.352980184735046</v>
      </c>
      <c r="F203" t="e">
        <f>VLOOKUP(A203,Sheet3!B:D,3,0)*100</f>
        <v>#N/A</v>
      </c>
      <c r="R203">
        <v>52</v>
      </c>
      <c r="S203" t="s">
        <v>19</v>
      </c>
      <c r="T203">
        <v>40428</v>
      </c>
      <c r="U203">
        <v>265475488842.95999</v>
      </c>
      <c r="V203">
        <v>2.1191007784784201E-2</v>
      </c>
      <c r="W203">
        <f t="shared" si="7"/>
        <v>22.665121742344454</v>
      </c>
      <c r="Y203" s="9">
        <v>200</v>
      </c>
      <c r="Z203" s="10">
        <v>15.519496021901402</v>
      </c>
    </row>
    <row r="204" spans="1:26" x14ac:dyDescent="0.25">
      <c r="A204">
        <v>203</v>
      </c>
      <c r="B204">
        <v>7999</v>
      </c>
      <c r="C204">
        <v>1588061053.1800001</v>
      </c>
      <c r="D204">
        <v>1.4465832774892899E-2</v>
      </c>
      <c r="E204">
        <f t="shared" si="6"/>
        <v>16.042359711154575</v>
      </c>
      <c r="F204" t="e">
        <f>VLOOKUP(A204,Sheet3!B:D,3,0)*100</f>
        <v>#N/A</v>
      </c>
      <c r="R204">
        <v>52</v>
      </c>
      <c r="S204" t="s">
        <v>20</v>
      </c>
      <c r="T204">
        <v>112</v>
      </c>
      <c r="U204">
        <v>682725779.72000003</v>
      </c>
      <c r="V204">
        <v>1.7485048758777599E-2</v>
      </c>
      <c r="W204">
        <f t="shared" si="7"/>
        <v>19.077365200749853</v>
      </c>
      <c r="Y204" s="9">
        <v>201</v>
      </c>
      <c r="Z204" s="10">
        <v>15.159302419525901</v>
      </c>
    </row>
    <row r="205" spans="1:26" x14ac:dyDescent="0.25">
      <c r="A205">
        <v>204</v>
      </c>
      <c r="B205">
        <v>7921</v>
      </c>
      <c r="C205">
        <v>1524106706.3</v>
      </c>
      <c r="D205">
        <v>1.34084266885815E-2</v>
      </c>
      <c r="E205">
        <f t="shared" si="6"/>
        <v>14.954993067465539</v>
      </c>
      <c r="F205">
        <f>VLOOKUP(A205,Sheet3!B:D,3,0)*100</f>
        <v>17</v>
      </c>
      <c r="R205">
        <v>52</v>
      </c>
      <c r="S205" t="s">
        <v>21</v>
      </c>
      <c r="T205">
        <v>249</v>
      </c>
      <c r="U205">
        <v>2492631244.9699998</v>
      </c>
      <c r="V205">
        <v>1.48974689670925E-2</v>
      </c>
      <c r="W205">
        <f t="shared" si="7"/>
        <v>16.482551316907802</v>
      </c>
      <c r="Y205" s="9">
        <v>202</v>
      </c>
      <c r="Z205" s="10">
        <v>16.352980184735046</v>
      </c>
    </row>
    <row r="206" spans="1:26" x14ac:dyDescent="0.25">
      <c r="A206">
        <v>205</v>
      </c>
      <c r="B206">
        <v>7807</v>
      </c>
      <c r="C206">
        <v>1483081573.22</v>
      </c>
      <c r="D206">
        <v>1.45278263545673E-2</v>
      </c>
      <c r="E206">
        <f t="shared" si="6"/>
        <v>16.105712575005516</v>
      </c>
      <c r="F206" t="e">
        <f>VLOOKUP(A206,Sheet3!B:D,3,0)*100</f>
        <v>#N/A</v>
      </c>
      <c r="R206">
        <v>52</v>
      </c>
      <c r="S206" t="s">
        <v>22</v>
      </c>
      <c r="T206">
        <v>45</v>
      </c>
      <c r="U206">
        <v>920368814.71000004</v>
      </c>
      <c r="V206">
        <v>1.56210838252035E-2</v>
      </c>
      <c r="W206">
        <f t="shared" si="7"/>
        <v>17.215765198790745</v>
      </c>
      <c r="Y206" s="9">
        <v>203</v>
      </c>
      <c r="Z206" s="10">
        <v>16.042359711154575</v>
      </c>
    </row>
    <row r="207" spans="1:26" x14ac:dyDescent="0.25">
      <c r="A207">
        <v>206</v>
      </c>
      <c r="B207">
        <v>7718</v>
      </c>
      <c r="C207">
        <v>1467173817.52</v>
      </c>
      <c r="D207">
        <v>1.30226734710919E-2</v>
      </c>
      <c r="E207">
        <f t="shared" si="6"/>
        <v>14.555106905558258</v>
      </c>
      <c r="F207" t="e">
        <f>VLOOKUP(A207,Sheet3!B:D,3,0)*100</f>
        <v>#N/A</v>
      </c>
      <c r="R207">
        <v>53</v>
      </c>
      <c r="S207" t="s">
        <v>19</v>
      </c>
      <c r="T207">
        <v>40303</v>
      </c>
      <c r="U207">
        <v>256434047280.97</v>
      </c>
      <c r="V207">
        <v>2.1474331191212899E-2</v>
      </c>
      <c r="W207">
        <f t="shared" si="7"/>
        <v>22.933316243910074</v>
      </c>
      <c r="Y207" s="9">
        <v>204</v>
      </c>
      <c r="Z207" s="10">
        <v>14.954993067465539</v>
      </c>
    </row>
    <row r="208" spans="1:26" x14ac:dyDescent="0.25">
      <c r="A208">
        <v>207</v>
      </c>
      <c r="B208">
        <v>7593</v>
      </c>
      <c r="C208">
        <v>1414502407.3199999</v>
      </c>
      <c r="D208">
        <v>1.28351505485756E-2</v>
      </c>
      <c r="E208">
        <f t="shared" si="6"/>
        <v>14.360091722498714</v>
      </c>
      <c r="F208" t="e">
        <f>VLOOKUP(A208,Sheet3!B:D,3,0)*100</f>
        <v>#N/A</v>
      </c>
      <c r="R208">
        <v>53</v>
      </c>
      <c r="S208" t="s">
        <v>20</v>
      </c>
      <c r="T208">
        <v>110</v>
      </c>
      <c r="U208">
        <v>679815196.36000001</v>
      </c>
      <c r="V208">
        <v>2.6324423848899599E-2</v>
      </c>
      <c r="W208">
        <f t="shared" si="7"/>
        <v>27.394200054966333</v>
      </c>
      <c r="Y208" s="9">
        <v>205</v>
      </c>
      <c r="Z208" s="10">
        <v>16.105712575005516</v>
      </c>
    </row>
    <row r="209" spans="1:26" x14ac:dyDescent="0.25">
      <c r="A209">
        <v>208</v>
      </c>
      <c r="B209">
        <v>7455</v>
      </c>
      <c r="C209">
        <v>1385638416.24</v>
      </c>
      <c r="D209">
        <v>1.2899681841829399E-2</v>
      </c>
      <c r="E209">
        <f t="shared" si="6"/>
        <v>14.427247284298106</v>
      </c>
      <c r="F209" t="e">
        <f>VLOOKUP(A209,Sheet3!B:D,3,0)*100</f>
        <v>#N/A</v>
      </c>
      <c r="R209">
        <v>53</v>
      </c>
      <c r="S209" t="s">
        <v>21</v>
      </c>
      <c r="T209">
        <v>229</v>
      </c>
      <c r="U209">
        <v>2305463653.8200002</v>
      </c>
      <c r="V209">
        <v>1.73669096758584E-2</v>
      </c>
      <c r="W209">
        <f t="shared" si="7"/>
        <v>18.960524831851789</v>
      </c>
      <c r="Y209" s="9">
        <v>206</v>
      </c>
      <c r="Z209" s="10">
        <v>14.555106905558258</v>
      </c>
    </row>
    <row r="210" spans="1:26" x14ac:dyDescent="0.25">
      <c r="A210">
        <v>209</v>
      </c>
      <c r="B210">
        <v>7349</v>
      </c>
      <c r="C210">
        <v>1362998466.3800001</v>
      </c>
      <c r="D210">
        <v>1.4265273395040299E-2</v>
      </c>
      <c r="E210">
        <f t="shared" si="6"/>
        <v>15.837102269223557</v>
      </c>
      <c r="F210" t="e">
        <f>VLOOKUP(A210,Sheet3!B:D,3,0)*100</f>
        <v>#N/A</v>
      </c>
      <c r="R210">
        <v>53</v>
      </c>
      <c r="S210" t="s">
        <v>22</v>
      </c>
      <c r="T210">
        <v>29</v>
      </c>
      <c r="U210">
        <v>593969174.14999998</v>
      </c>
      <c r="V210">
        <v>1.36558775082014E-2</v>
      </c>
      <c r="W210">
        <f t="shared" si="7"/>
        <v>15.210605839805236</v>
      </c>
      <c r="Y210" s="9">
        <v>207</v>
      </c>
      <c r="Z210" s="10">
        <v>14.360091722498714</v>
      </c>
    </row>
    <row r="211" spans="1:26" x14ac:dyDescent="0.25">
      <c r="A211">
        <v>210</v>
      </c>
      <c r="B211">
        <v>7218</v>
      </c>
      <c r="C211">
        <v>1317632623.6800001</v>
      </c>
      <c r="D211">
        <v>1.31709631482559E-2</v>
      </c>
      <c r="E211">
        <f t="shared" si="6"/>
        <v>14.709033000224503</v>
      </c>
      <c r="F211" t="e">
        <f>VLOOKUP(A211,Sheet3!B:D,3,0)*100</f>
        <v>#N/A</v>
      </c>
      <c r="R211">
        <v>54</v>
      </c>
      <c r="S211" t="s">
        <v>19</v>
      </c>
      <c r="T211">
        <v>40170</v>
      </c>
      <c r="U211">
        <v>251191390407.91</v>
      </c>
      <c r="V211">
        <v>2.1668083221247501E-2</v>
      </c>
      <c r="W211">
        <f t="shared" si="7"/>
        <v>23.116231131545895</v>
      </c>
      <c r="Y211" s="9">
        <v>208</v>
      </c>
      <c r="Z211" s="10">
        <v>14.427247284298106</v>
      </c>
    </row>
    <row r="212" spans="1:26" x14ac:dyDescent="0.25">
      <c r="A212">
        <v>211</v>
      </c>
      <c r="B212">
        <v>7049</v>
      </c>
      <c r="C212">
        <v>1282022286.5799999</v>
      </c>
      <c r="D212">
        <v>1.43402796019236E-2</v>
      </c>
      <c r="E212">
        <f t="shared" si="6"/>
        <v>15.913919266461306</v>
      </c>
      <c r="F212" t="e">
        <f>VLOOKUP(A212,Sheet3!B:D,3,0)*100</f>
        <v>#N/A</v>
      </c>
      <c r="R212">
        <v>54</v>
      </c>
      <c r="S212" t="s">
        <v>20</v>
      </c>
      <c r="T212">
        <v>107</v>
      </c>
      <c r="U212">
        <v>610446388.07000005</v>
      </c>
      <c r="V212">
        <v>2.40687786516906E-2</v>
      </c>
      <c r="W212">
        <f t="shared" si="7"/>
        <v>25.349874422413134</v>
      </c>
      <c r="Y212" s="9">
        <v>209</v>
      </c>
      <c r="Z212" s="10">
        <v>15.837102269223557</v>
      </c>
    </row>
    <row r="213" spans="1:26" x14ac:dyDescent="0.25">
      <c r="A213">
        <v>212</v>
      </c>
      <c r="B213">
        <v>6871</v>
      </c>
      <c r="C213">
        <v>1221153968.0799999</v>
      </c>
      <c r="D213">
        <v>1.33158423742209E-2</v>
      </c>
      <c r="E213">
        <f t="shared" si="6"/>
        <v>14.8591734910973</v>
      </c>
      <c r="F213" t="e">
        <f>VLOOKUP(A213,Sheet3!B:D,3,0)*100</f>
        <v>#N/A</v>
      </c>
      <c r="R213">
        <v>54</v>
      </c>
      <c r="S213" t="s">
        <v>21</v>
      </c>
      <c r="T213">
        <v>215</v>
      </c>
      <c r="U213">
        <v>2187937645.6599998</v>
      </c>
      <c r="V213">
        <v>1.8330873729086001E-2</v>
      </c>
      <c r="W213">
        <f t="shared" si="7"/>
        <v>19.909392009698834</v>
      </c>
      <c r="Y213" s="9">
        <v>210</v>
      </c>
      <c r="Z213" s="10">
        <v>14.709033000224503</v>
      </c>
    </row>
    <row r="214" spans="1:26" x14ac:dyDescent="0.25">
      <c r="A214">
        <v>213</v>
      </c>
      <c r="B214">
        <v>6657</v>
      </c>
      <c r="C214">
        <v>1160849800.51</v>
      </c>
      <c r="D214">
        <v>1.22979828304648E-2</v>
      </c>
      <c r="E214">
        <f t="shared" si="6"/>
        <v>13.799201529741634</v>
      </c>
      <c r="F214" t="e">
        <f>VLOOKUP(A214,Sheet3!B:D,3,0)*100</f>
        <v>#N/A</v>
      </c>
      <c r="R214">
        <v>54</v>
      </c>
      <c r="S214" t="s">
        <v>22</v>
      </c>
      <c r="T214">
        <v>18</v>
      </c>
      <c r="U214">
        <v>393852608.19999999</v>
      </c>
      <c r="V214">
        <v>1.9523138018341501E-2</v>
      </c>
      <c r="W214">
        <f t="shared" si="7"/>
        <v>21.068893347645556</v>
      </c>
      <c r="Y214" s="9">
        <v>211</v>
      </c>
      <c r="Z214" s="10">
        <v>15.913919266461306</v>
      </c>
    </row>
    <row r="215" spans="1:26" x14ac:dyDescent="0.25">
      <c r="A215">
        <v>214</v>
      </c>
      <c r="B215">
        <v>6493</v>
      </c>
      <c r="C215">
        <v>1138603738.45</v>
      </c>
      <c r="D215">
        <v>1.39701227500038E-2</v>
      </c>
      <c r="E215">
        <f t="shared" si="6"/>
        <v>15.534201109576051</v>
      </c>
      <c r="F215" t="e">
        <f>VLOOKUP(A215,Sheet3!B:D,3,0)*100</f>
        <v>#N/A</v>
      </c>
      <c r="R215">
        <v>55</v>
      </c>
      <c r="S215" t="s">
        <v>19</v>
      </c>
      <c r="T215">
        <v>40125</v>
      </c>
      <c r="U215">
        <v>244065179958.20999</v>
      </c>
      <c r="V215">
        <v>2.1736920403279202E-2</v>
      </c>
      <c r="W215">
        <f t="shared" si="7"/>
        <v>23.181122168055911</v>
      </c>
      <c r="Y215" s="9">
        <v>212</v>
      </c>
      <c r="Z215" s="10">
        <v>14.8591734910973</v>
      </c>
    </row>
    <row r="216" spans="1:26" x14ac:dyDescent="0.25">
      <c r="A216">
        <v>215</v>
      </c>
      <c r="B216">
        <v>6294</v>
      </c>
      <c r="C216">
        <v>1060022468.79</v>
      </c>
      <c r="D216">
        <v>1.30124984393543E-2</v>
      </c>
      <c r="E216">
        <f t="shared" si="6"/>
        <v>14.544535795885771</v>
      </c>
      <c r="F216" t="e">
        <f>VLOOKUP(A216,Sheet3!B:D,3,0)*100</f>
        <v>#N/A</v>
      </c>
      <c r="R216">
        <v>55</v>
      </c>
      <c r="S216" t="s">
        <v>20</v>
      </c>
      <c r="T216">
        <v>99</v>
      </c>
      <c r="U216">
        <v>538995095.47000003</v>
      </c>
      <c r="V216">
        <v>2.0321315470975002E-2</v>
      </c>
      <c r="W216">
        <f t="shared" si="7"/>
        <v>21.836516319945421</v>
      </c>
      <c r="Y216" s="9">
        <v>213</v>
      </c>
      <c r="Z216" s="10">
        <v>13.799201529741634</v>
      </c>
    </row>
    <row r="217" spans="1:26" x14ac:dyDescent="0.25">
      <c r="A217">
        <v>216</v>
      </c>
      <c r="B217">
        <v>6145</v>
      </c>
      <c r="C217">
        <v>1048165370.78</v>
      </c>
      <c r="D217">
        <v>1.3717615912830401E-2</v>
      </c>
      <c r="E217">
        <f t="shared" si="6"/>
        <v>15.274270762215181</v>
      </c>
      <c r="F217">
        <f>VLOOKUP(A217,Sheet3!B:D,3,0)*100</f>
        <v>16.350000000000001</v>
      </c>
      <c r="R217">
        <v>55</v>
      </c>
      <c r="S217" t="s">
        <v>21</v>
      </c>
      <c r="T217">
        <v>203</v>
      </c>
      <c r="U217">
        <v>2056123264.9400001</v>
      </c>
      <c r="V217">
        <v>1.86612536332545E-2</v>
      </c>
      <c r="W217">
        <f t="shared" si="7"/>
        <v>20.232247069355747</v>
      </c>
      <c r="Y217" s="9">
        <v>214</v>
      </c>
      <c r="Z217" s="10">
        <v>15.534201109576051</v>
      </c>
    </row>
    <row r="218" spans="1:26" x14ac:dyDescent="0.25">
      <c r="A218">
        <v>217</v>
      </c>
      <c r="B218">
        <v>5933</v>
      </c>
      <c r="C218">
        <v>947023087.90999997</v>
      </c>
      <c r="D218">
        <v>1.4077630422575999E-2</v>
      </c>
      <c r="E218">
        <f t="shared" si="6"/>
        <v>15.644647393675726</v>
      </c>
      <c r="F218" t="e">
        <f>VLOOKUP(A218,Sheet3!B:D,3,0)*100</f>
        <v>#N/A</v>
      </c>
      <c r="R218">
        <v>56</v>
      </c>
      <c r="S218" t="s">
        <v>19</v>
      </c>
      <c r="T218">
        <v>40028</v>
      </c>
      <c r="U218">
        <v>242028198202.97</v>
      </c>
      <c r="V218">
        <v>2.19687847157931E-2</v>
      </c>
      <c r="W218">
        <f t="shared" si="7"/>
        <v>23.399325504641986</v>
      </c>
      <c r="Y218" s="9">
        <v>215</v>
      </c>
      <c r="Z218" s="10">
        <v>14.544535795885771</v>
      </c>
    </row>
    <row r="219" spans="1:26" x14ac:dyDescent="0.25">
      <c r="A219">
        <v>218</v>
      </c>
      <c r="B219">
        <v>5761</v>
      </c>
      <c r="C219">
        <v>910362094.26999998</v>
      </c>
      <c r="D219">
        <v>1.39130059741295E-2</v>
      </c>
      <c r="E219">
        <f t="shared" si="6"/>
        <v>15.475469200485993</v>
      </c>
      <c r="F219" t="e">
        <f>VLOOKUP(A219,Sheet3!B:D,3,0)*100</f>
        <v>#N/A</v>
      </c>
      <c r="R219">
        <v>56</v>
      </c>
      <c r="S219" t="s">
        <v>20</v>
      </c>
      <c r="T219">
        <v>89</v>
      </c>
      <c r="U219">
        <v>455985924.69</v>
      </c>
      <c r="V219">
        <v>3.9859590309975199E-2</v>
      </c>
      <c r="W219">
        <f t="shared" si="7"/>
        <v>38.62139973412124</v>
      </c>
      <c r="Y219" s="9">
        <v>216</v>
      </c>
      <c r="Z219" s="10">
        <v>15.274270762215181</v>
      </c>
    </row>
    <row r="220" spans="1:26" x14ac:dyDescent="0.25">
      <c r="A220">
        <v>219</v>
      </c>
      <c r="B220">
        <v>5634</v>
      </c>
      <c r="C220">
        <v>888972450.5</v>
      </c>
      <c r="D220">
        <v>1.46027443467023E-2</v>
      </c>
      <c r="E220">
        <f t="shared" si="6"/>
        <v>16.182214756361212</v>
      </c>
      <c r="F220" t="e">
        <f>VLOOKUP(A220,Sheet3!B:D,3,0)*100</f>
        <v>#N/A</v>
      </c>
      <c r="R220">
        <v>56</v>
      </c>
      <c r="S220" t="s">
        <v>21</v>
      </c>
      <c r="T220">
        <v>179</v>
      </c>
      <c r="U220">
        <v>1794714439.73</v>
      </c>
      <c r="V220">
        <v>1.74748501903834E-2</v>
      </c>
      <c r="W220">
        <f t="shared" si="7"/>
        <v>19.06728483941653</v>
      </c>
      <c r="Y220" s="9">
        <v>217</v>
      </c>
      <c r="Z220" s="10">
        <v>15.644647393675726</v>
      </c>
    </row>
    <row r="221" spans="1:26" x14ac:dyDescent="0.25">
      <c r="A221">
        <v>220</v>
      </c>
      <c r="B221">
        <v>5509</v>
      </c>
      <c r="C221">
        <v>882739243.87</v>
      </c>
      <c r="D221">
        <v>1.3972162627668899E-2</v>
      </c>
      <c r="E221">
        <f t="shared" si="6"/>
        <v>15.536297978323754</v>
      </c>
      <c r="F221" t="e">
        <f>VLOOKUP(A221,Sheet3!B:D,3,0)*100</f>
        <v>#N/A</v>
      </c>
      <c r="R221">
        <v>57</v>
      </c>
      <c r="S221" t="s">
        <v>19</v>
      </c>
      <c r="T221">
        <v>39716</v>
      </c>
      <c r="U221">
        <v>230800281751.12</v>
      </c>
      <c r="V221">
        <v>2.2391320015554699E-2</v>
      </c>
      <c r="W221">
        <f t="shared" si="7"/>
        <v>23.795505401047123</v>
      </c>
      <c r="Y221" s="9">
        <v>218</v>
      </c>
      <c r="Z221" s="10">
        <v>15.475469200485993</v>
      </c>
    </row>
    <row r="222" spans="1:26" x14ac:dyDescent="0.25">
      <c r="A222">
        <v>221</v>
      </c>
      <c r="B222">
        <v>5369</v>
      </c>
      <c r="C222">
        <v>829997601.38999999</v>
      </c>
      <c r="D222">
        <v>1.44702816608863E-2</v>
      </c>
      <c r="E222">
        <f t="shared" si="6"/>
        <v>16.046907604576376</v>
      </c>
      <c r="F222" t="e">
        <f>VLOOKUP(A222,Sheet3!B:D,3,0)*100</f>
        <v>#N/A</v>
      </c>
      <c r="R222">
        <v>57</v>
      </c>
      <c r="S222" t="s">
        <v>20</v>
      </c>
      <c r="T222">
        <v>81</v>
      </c>
      <c r="U222">
        <v>386928057.89999998</v>
      </c>
      <c r="V222">
        <v>2.3568458970548399E-2</v>
      </c>
      <c r="W222">
        <f t="shared" si="7"/>
        <v>24.889336840173502</v>
      </c>
      <c r="Y222" s="9">
        <v>219</v>
      </c>
      <c r="Z222" s="10">
        <v>16.182214756361212</v>
      </c>
    </row>
    <row r="223" spans="1:26" x14ac:dyDescent="0.25">
      <c r="A223">
        <v>222</v>
      </c>
      <c r="B223">
        <v>5226</v>
      </c>
      <c r="C223">
        <v>772069987.30999994</v>
      </c>
      <c r="D223">
        <v>1.32804007544831E-2</v>
      </c>
      <c r="E223">
        <f t="shared" si="6"/>
        <v>14.822467215999124</v>
      </c>
      <c r="F223" t="e">
        <f>VLOOKUP(A223,Sheet3!B:D,3,0)*100</f>
        <v>#N/A</v>
      </c>
      <c r="R223">
        <v>57</v>
      </c>
      <c r="S223" t="s">
        <v>21</v>
      </c>
      <c r="T223">
        <v>166</v>
      </c>
      <c r="U223">
        <v>1672482117.6700001</v>
      </c>
      <c r="V223">
        <v>1.4885557951984501E-2</v>
      </c>
      <c r="W223">
        <f t="shared" si="7"/>
        <v>16.470432654514433</v>
      </c>
      <c r="Y223" s="9">
        <v>220</v>
      </c>
      <c r="Z223" s="10">
        <v>15.541298483455623</v>
      </c>
    </row>
    <row r="224" spans="1:26" x14ac:dyDescent="0.25">
      <c r="A224">
        <v>223</v>
      </c>
      <c r="B224">
        <v>5115</v>
      </c>
      <c r="C224">
        <v>762573767.78999996</v>
      </c>
      <c r="D224">
        <v>1.47891184460331E-2</v>
      </c>
      <c r="E224">
        <f t="shared" si="6"/>
        <v>16.372252520560682</v>
      </c>
      <c r="F224" t="e">
        <f>VLOOKUP(A224,Sheet3!B:D,3,0)*100</f>
        <v>#N/A</v>
      </c>
      <c r="R224">
        <v>58</v>
      </c>
      <c r="S224" t="s">
        <v>19</v>
      </c>
      <c r="T224">
        <v>39555</v>
      </c>
      <c r="U224">
        <v>223917145243.63</v>
      </c>
      <c r="V224">
        <v>2.25916389574282E-2</v>
      </c>
      <c r="W224">
        <f t="shared" si="7"/>
        <v>23.982672459590614</v>
      </c>
      <c r="Y224" s="9">
        <v>221</v>
      </c>
      <c r="Z224" s="10">
        <v>16.046907604576376</v>
      </c>
    </row>
    <row r="225" spans="1:26" x14ac:dyDescent="0.25">
      <c r="A225">
        <v>224</v>
      </c>
      <c r="B225">
        <v>4961</v>
      </c>
      <c r="C225">
        <v>695028506.92999995</v>
      </c>
      <c r="D225">
        <v>1.14962413477119E-2</v>
      </c>
      <c r="E225">
        <f t="shared" si="6"/>
        <v>12.955787606674196</v>
      </c>
      <c r="F225" t="e">
        <f>VLOOKUP(A225,Sheet3!B:D,3,0)*100</f>
        <v>#N/A</v>
      </c>
      <c r="R225">
        <v>58</v>
      </c>
      <c r="S225" t="s">
        <v>20</v>
      </c>
      <c r="T225">
        <v>77</v>
      </c>
      <c r="U225">
        <v>352817993.47000003</v>
      </c>
      <c r="V225">
        <v>2.4013748101376398E-2</v>
      </c>
      <c r="W225">
        <f t="shared" si="7"/>
        <v>25.299346536710608</v>
      </c>
      <c r="Y225" s="9">
        <v>222</v>
      </c>
      <c r="Z225" s="10">
        <v>14.822467215999124</v>
      </c>
    </row>
    <row r="226" spans="1:26" x14ac:dyDescent="0.25">
      <c r="A226">
        <v>225</v>
      </c>
      <c r="B226">
        <v>4850</v>
      </c>
      <c r="C226">
        <v>686979761.11000001</v>
      </c>
      <c r="D226">
        <v>1.41831398452204E-2</v>
      </c>
      <c r="E226">
        <f t="shared" si="6"/>
        <v>15.752912077729164</v>
      </c>
      <c r="F226" t="e">
        <f>VLOOKUP(A226,Sheet3!B:D,3,0)*100</f>
        <v>#N/A</v>
      </c>
      <c r="R226">
        <v>58</v>
      </c>
      <c r="S226" t="s">
        <v>21</v>
      </c>
      <c r="T226">
        <v>157</v>
      </c>
      <c r="U226">
        <v>1583773101.47</v>
      </c>
      <c r="V226">
        <v>1.7487959358696001E-2</v>
      </c>
      <c r="W226">
        <f t="shared" si="7"/>
        <v>19.080241854094016</v>
      </c>
      <c r="Y226" s="9">
        <v>223</v>
      </c>
      <c r="Z226" s="10">
        <v>16.372252520560682</v>
      </c>
    </row>
    <row r="227" spans="1:26" x14ac:dyDescent="0.25">
      <c r="A227">
        <v>226</v>
      </c>
      <c r="B227">
        <v>4764</v>
      </c>
      <c r="C227">
        <v>663371798.12</v>
      </c>
      <c r="D227">
        <v>1.1971665319148001E-2</v>
      </c>
      <c r="E227">
        <f t="shared" si="6"/>
        <v>13.456831075071996</v>
      </c>
      <c r="F227" t="e">
        <f>VLOOKUP(A227,Sheet3!B:D,3,0)*100</f>
        <v>#N/A</v>
      </c>
      <c r="R227">
        <v>59</v>
      </c>
      <c r="S227" t="s">
        <v>19</v>
      </c>
      <c r="T227">
        <v>39518</v>
      </c>
      <c r="U227">
        <v>215016901686.89001</v>
      </c>
      <c r="V227">
        <v>2.2247323468922699E-2</v>
      </c>
      <c r="W227">
        <f t="shared" si="7"/>
        <v>23.660702039485471</v>
      </c>
      <c r="Y227" s="9">
        <v>224</v>
      </c>
      <c r="Z227" s="10">
        <v>12.955787606674196</v>
      </c>
    </row>
    <row r="228" spans="1:26" x14ac:dyDescent="0.25">
      <c r="A228">
        <v>227</v>
      </c>
      <c r="B228">
        <v>4683</v>
      </c>
      <c r="C228">
        <v>674169097.75999999</v>
      </c>
      <c r="D228">
        <v>1.42477398665038E-2</v>
      </c>
      <c r="E228">
        <f t="shared" si="6"/>
        <v>15.819136174661097</v>
      </c>
      <c r="F228" t="e">
        <f>VLOOKUP(A228,Sheet3!B:D,3,0)*100</f>
        <v>#N/A</v>
      </c>
      <c r="R228">
        <v>59</v>
      </c>
      <c r="S228" t="s">
        <v>20</v>
      </c>
      <c r="T228">
        <v>73</v>
      </c>
      <c r="U228">
        <v>250115570.13999999</v>
      </c>
      <c r="V228">
        <v>3.5367779722996998E-2</v>
      </c>
      <c r="W228">
        <f t="shared" si="7"/>
        <v>35.085582017508777</v>
      </c>
      <c r="Y228" s="9">
        <v>225</v>
      </c>
      <c r="Z228" s="10">
        <v>15.752912077729164</v>
      </c>
    </row>
    <row r="229" spans="1:26" x14ac:dyDescent="0.25">
      <c r="A229">
        <v>228</v>
      </c>
      <c r="B229">
        <v>4602</v>
      </c>
      <c r="C229">
        <v>607541832.10000002</v>
      </c>
      <c r="D229">
        <v>1.30373445305847E-2</v>
      </c>
      <c r="E229">
        <f t="shared" si="6"/>
        <v>14.570346947192336</v>
      </c>
      <c r="F229">
        <f>VLOOKUP(A229,Sheet3!B:D,3,0)*100</f>
        <v>15.690000000000001</v>
      </c>
      <c r="R229">
        <v>59</v>
      </c>
      <c r="S229" t="s">
        <v>21</v>
      </c>
      <c r="T229">
        <v>148</v>
      </c>
      <c r="U229">
        <v>1473166726.51</v>
      </c>
      <c r="V229">
        <v>1.7370286697467499E-2</v>
      </c>
      <c r="W229">
        <f t="shared" si="7"/>
        <v>18.963866875452862</v>
      </c>
      <c r="Y229" s="9">
        <v>226</v>
      </c>
      <c r="Z229" s="10">
        <v>13.456831075071996</v>
      </c>
    </row>
    <row r="230" spans="1:26" x14ac:dyDescent="0.25">
      <c r="A230">
        <v>229</v>
      </c>
      <c r="B230">
        <v>4522</v>
      </c>
      <c r="C230">
        <v>614160850.36000001</v>
      </c>
      <c r="D230">
        <v>1.45159573415379E-2</v>
      </c>
      <c r="E230">
        <f t="shared" si="6"/>
        <v>16.093586712341335</v>
      </c>
      <c r="F230" t="e">
        <f>VLOOKUP(A230,Sheet3!B:D,3,0)*100</f>
        <v>#N/A</v>
      </c>
      <c r="R230">
        <v>60</v>
      </c>
      <c r="S230" t="s">
        <v>19</v>
      </c>
      <c r="T230">
        <v>39346</v>
      </c>
      <c r="U230">
        <v>208930169078.17001</v>
      </c>
      <c r="V230">
        <v>2.2878804549894501E-2</v>
      </c>
      <c r="W230">
        <f t="shared" si="7"/>
        <v>24.250249307117677</v>
      </c>
      <c r="Y230" s="9">
        <v>227</v>
      </c>
      <c r="Z230" s="10">
        <v>15.819136174661097</v>
      </c>
    </row>
    <row r="231" spans="1:26" x14ac:dyDescent="0.25">
      <c r="A231">
        <v>230</v>
      </c>
      <c r="B231">
        <v>4452</v>
      </c>
      <c r="C231">
        <v>603347554.52999997</v>
      </c>
      <c r="D231">
        <v>1.43412480416763E-2</v>
      </c>
      <c r="E231">
        <f t="shared" si="6"/>
        <v>15.914910665762571</v>
      </c>
      <c r="F231" t="e">
        <f>VLOOKUP(A231,Sheet3!B:D,3,0)*100</f>
        <v>#N/A</v>
      </c>
      <c r="R231">
        <v>60</v>
      </c>
      <c r="S231" t="s">
        <v>20</v>
      </c>
      <c r="T231">
        <v>67</v>
      </c>
      <c r="U231">
        <v>207799575.59</v>
      </c>
      <c r="V231">
        <v>2.82217870793945E-2</v>
      </c>
      <c r="W231">
        <f t="shared" si="7"/>
        <v>29.073929981331638</v>
      </c>
      <c r="Y231" s="9">
        <v>228</v>
      </c>
      <c r="Z231" s="10">
        <v>14.570346947192336</v>
      </c>
    </row>
    <row r="232" spans="1:26" x14ac:dyDescent="0.25">
      <c r="A232">
        <v>231</v>
      </c>
      <c r="B232">
        <v>4330</v>
      </c>
      <c r="C232">
        <v>577654607.38999999</v>
      </c>
      <c r="D232">
        <v>1.5010055049561899E-2</v>
      </c>
      <c r="E232">
        <f t="shared" si="6"/>
        <v>16.597020547513686</v>
      </c>
      <c r="F232" t="e">
        <f>VLOOKUP(A232,Sheet3!B:D,3,0)*100</f>
        <v>#N/A</v>
      </c>
      <c r="R232">
        <v>60</v>
      </c>
      <c r="S232" t="s">
        <v>21</v>
      </c>
      <c r="T232">
        <v>139</v>
      </c>
      <c r="U232">
        <v>1266305407.8499999</v>
      </c>
      <c r="V232">
        <v>1.60599983683418E-2</v>
      </c>
      <c r="W232">
        <f t="shared" si="7"/>
        <v>17.657622253161776</v>
      </c>
      <c r="Y232" s="9">
        <v>229</v>
      </c>
      <c r="Z232" s="10">
        <v>16.093586712341335</v>
      </c>
    </row>
    <row r="233" spans="1:26" x14ac:dyDescent="0.25">
      <c r="A233">
        <v>232</v>
      </c>
      <c r="B233">
        <v>4282</v>
      </c>
      <c r="C233">
        <v>561874475.52999997</v>
      </c>
      <c r="D233">
        <v>1.3280895659415599E-2</v>
      </c>
      <c r="E233">
        <f t="shared" si="6"/>
        <v>14.822979880365239</v>
      </c>
      <c r="F233" t="e">
        <f>VLOOKUP(A233,Sheet3!B:D,3,0)*100</f>
        <v>#N/A</v>
      </c>
      <c r="R233">
        <v>61</v>
      </c>
      <c r="S233" t="s">
        <v>19</v>
      </c>
      <c r="T233">
        <v>39303</v>
      </c>
      <c r="U233">
        <v>200789657735.82001</v>
      </c>
      <c r="V233">
        <v>2.3344609121759199E-2</v>
      </c>
      <c r="W233">
        <f t="shared" si="7"/>
        <v>24.682443972372859</v>
      </c>
      <c r="Y233" s="9">
        <v>230</v>
      </c>
      <c r="Z233" s="10">
        <v>15.914910665762571</v>
      </c>
    </row>
    <row r="234" spans="1:26" x14ac:dyDescent="0.25">
      <c r="A234">
        <v>233</v>
      </c>
      <c r="B234">
        <v>4209</v>
      </c>
      <c r="C234">
        <v>561560352.85000002</v>
      </c>
      <c r="D234">
        <v>1.34948486096306E-2</v>
      </c>
      <c r="E234">
        <f t="shared" si="6"/>
        <v>15.044345700993089</v>
      </c>
      <c r="F234" t="e">
        <f>VLOOKUP(A234,Sheet3!B:D,3,0)*100</f>
        <v>#N/A</v>
      </c>
      <c r="R234">
        <v>61</v>
      </c>
      <c r="S234" t="s">
        <v>20</v>
      </c>
      <c r="T234">
        <v>62</v>
      </c>
      <c r="U234">
        <v>153195484.80000001</v>
      </c>
      <c r="V234">
        <v>4.9043558416034597E-2</v>
      </c>
      <c r="W234">
        <f t="shared" si="7"/>
        <v>45.30753529636393</v>
      </c>
      <c r="Y234" s="9">
        <v>231</v>
      </c>
      <c r="Z234" s="10">
        <v>16.597020547513686</v>
      </c>
    </row>
    <row r="235" spans="1:26" x14ac:dyDescent="0.25">
      <c r="A235">
        <v>234</v>
      </c>
      <c r="B235">
        <v>4151</v>
      </c>
      <c r="C235">
        <v>544211005.41999996</v>
      </c>
      <c r="D235">
        <v>1.4083017794290199E-2</v>
      </c>
      <c r="E235">
        <f t="shared" si="6"/>
        <v>15.650178538887882</v>
      </c>
      <c r="F235" t="e">
        <f>VLOOKUP(A235,Sheet3!B:D,3,0)*100</f>
        <v>#N/A</v>
      </c>
      <c r="R235">
        <v>61</v>
      </c>
      <c r="S235" t="s">
        <v>21</v>
      </c>
      <c r="T235">
        <v>132</v>
      </c>
      <c r="U235">
        <v>1224420065.9000001</v>
      </c>
      <c r="V235">
        <v>1.5466458053172399E-2</v>
      </c>
      <c r="W235">
        <f t="shared" si="7"/>
        <v>17.059585816687751</v>
      </c>
      <c r="Y235" s="9">
        <v>232</v>
      </c>
      <c r="Z235" s="10">
        <v>14.822979880365239</v>
      </c>
    </row>
    <row r="236" spans="1:26" x14ac:dyDescent="0.25">
      <c r="A236">
        <v>235</v>
      </c>
      <c r="B236">
        <v>4112</v>
      </c>
      <c r="C236">
        <v>546700756.12</v>
      </c>
      <c r="D236">
        <v>1.38288213828687E-2</v>
      </c>
      <c r="E236">
        <f t="shared" si="6"/>
        <v>15.388835807486389</v>
      </c>
      <c r="F236" t="e">
        <f>VLOOKUP(A236,Sheet3!B:D,3,0)*100</f>
        <v>#N/A</v>
      </c>
      <c r="R236">
        <v>62</v>
      </c>
      <c r="S236" t="s">
        <v>19</v>
      </c>
      <c r="T236">
        <v>39151</v>
      </c>
      <c r="U236">
        <v>198548676069.48001</v>
      </c>
      <c r="V236">
        <v>2.3148969880285499E-2</v>
      </c>
      <c r="W236">
        <f t="shared" si="7"/>
        <v>24.501197059761282</v>
      </c>
      <c r="Y236" s="9">
        <v>233</v>
      </c>
      <c r="Z236" s="10">
        <v>15.044345700993089</v>
      </c>
    </row>
    <row r="237" spans="1:26" x14ac:dyDescent="0.25">
      <c r="A237">
        <v>236</v>
      </c>
      <c r="B237">
        <v>4028</v>
      </c>
      <c r="C237">
        <v>525033915.33999997</v>
      </c>
      <c r="D237">
        <v>1.4177170205025199E-2</v>
      </c>
      <c r="E237">
        <f t="shared" si="6"/>
        <v>15.746789948074136</v>
      </c>
      <c r="F237" t="e">
        <f>VLOOKUP(A237,Sheet3!B:D,3,0)*100</f>
        <v>#N/A</v>
      </c>
      <c r="R237">
        <v>62</v>
      </c>
      <c r="S237" t="s">
        <v>20</v>
      </c>
      <c r="T237">
        <v>53</v>
      </c>
      <c r="U237">
        <v>138168901.81</v>
      </c>
      <c r="V237">
        <v>3.6922597229466801E-2</v>
      </c>
      <c r="W237">
        <f t="shared" si="7"/>
        <v>36.330078473500983</v>
      </c>
      <c r="Y237" s="9">
        <v>234</v>
      </c>
      <c r="Z237" s="10">
        <v>15.650178538887882</v>
      </c>
    </row>
    <row r="238" spans="1:26" x14ac:dyDescent="0.25">
      <c r="A238">
        <v>237</v>
      </c>
      <c r="B238">
        <v>3972</v>
      </c>
      <c r="C238">
        <v>494969816.56</v>
      </c>
      <c r="D238">
        <v>1.23444130069907E-2</v>
      </c>
      <c r="E238">
        <f t="shared" si="6"/>
        <v>13.847814778684386</v>
      </c>
      <c r="F238" t="e">
        <f>VLOOKUP(A238,Sheet3!B:D,3,0)*100</f>
        <v>#N/A</v>
      </c>
      <c r="R238">
        <v>62</v>
      </c>
      <c r="S238" t="s">
        <v>21</v>
      </c>
      <c r="T238">
        <v>127</v>
      </c>
      <c r="U238">
        <v>1079918192.8800001</v>
      </c>
      <c r="V238">
        <v>1.9633487735802899E-2</v>
      </c>
      <c r="W238">
        <f t="shared" si="7"/>
        <v>21.175428884773375</v>
      </c>
      <c r="Y238" s="9">
        <v>235</v>
      </c>
      <c r="Z238" s="10">
        <v>15.388835807486389</v>
      </c>
    </row>
    <row r="239" spans="1:26" x14ac:dyDescent="0.25">
      <c r="A239">
        <v>238</v>
      </c>
      <c r="B239">
        <v>3906</v>
      </c>
      <c r="C239">
        <v>515617361.31</v>
      </c>
      <c r="D239">
        <v>1.2169788813375401E-2</v>
      </c>
      <c r="E239">
        <f t="shared" si="6"/>
        <v>13.664849449991323</v>
      </c>
      <c r="F239" t="e">
        <f>VLOOKUP(A239,Sheet3!B:D,3,0)*100</f>
        <v>#N/A</v>
      </c>
      <c r="R239">
        <v>63</v>
      </c>
      <c r="S239" t="s">
        <v>19</v>
      </c>
      <c r="T239">
        <v>38929</v>
      </c>
      <c r="U239">
        <v>192772095797.70001</v>
      </c>
      <c r="V239">
        <v>2.26419828759622E-2</v>
      </c>
      <c r="W239">
        <f t="shared" si="7"/>
        <v>24.029644754779667</v>
      </c>
      <c r="Y239" s="9">
        <v>236</v>
      </c>
      <c r="Z239" s="10">
        <v>15.746789948074136</v>
      </c>
    </row>
    <row r="240" spans="1:26" x14ac:dyDescent="0.25">
      <c r="A240">
        <v>239</v>
      </c>
      <c r="B240">
        <v>3825</v>
      </c>
      <c r="C240">
        <v>478980228.92000002</v>
      </c>
      <c r="D240">
        <v>1.4989475822310701E-2</v>
      </c>
      <c r="E240">
        <f t="shared" si="6"/>
        <v>16.576107853502553</v>
      </c>
      <c r="F240" t="e">
        <f>VLOOKUP(A240,Sheet3!B:D,3,0)*100</f>
        <v>#N/A</v>
      </c>
      <c r="R240">
        <v>63</v>
      </c>
      <c r="S240" t="s">
        <v>20</v>
      </c>
      <c r="T240">
        <v>55</v>
      </c>
      <c r="U240">
        <v>168824049.13</v>
      </c>
      <c r="V240">
        <v>3.0739982158181699E-2</v>
      </c>
      <c r="W240">
        <f t="shared" si="7"/>
        <v>31.248277956695592</v>
      </c>
      <c r="Y240" s="9">
        <v>237</v>
      </c>
      <c r="Z240" s="10">
        <v>13.847814778684386</v>
      </c>
    </row>
    <row r="241" spans="1:26" x14ac:dyDescent="0.25">
      <c r="A241">
        <v>240</v>
      </c>
      <c r="B241">
        <v>3740</v>
      </c>
      <c r="C241">
        <v>492681189.27999997</v>
      </c>
      <c r="D241">
        <v>1.3978260670869999E-2</v>
      </c>
      <c r="E241">
        <f t="shared" si="6"/>
        <v>15.542566107052957</v>
      </c>
      <c r="F241">
        <f>VLOOKUP(A241,Sheet3!B:D,3,0)*100</f>
        <v>16.009999999999998</v>
      </c>
      <c r="R241">
        <v>63</v>
      </c>
      <c r="S241" t="s">
        <v>21</v>
      </c>
      <c r="T241">
        <v>122</v>
      </c>
      <c r="U241">
        <v>1023517682.49</v>
      </c>
      <c r="V241">
        <v>1.8576885471506099E-2</v>
      </c>
      <c r="W241">
        <f t="shared" si="7"/>
        <v>20.149914131933365</v>
      </c>
      <c r="Y241" s="9">
        <v>238</v>
      </c>
      <c r="Z241" s="10">
        <v>13.664849449991323</v>
      </c>
    </row>
    <row r="242" spans="1:26" x14ac:dyDescent="0.25">
      <c r="A242">
        <v>241</v>
      </c>
      <c r="B242">
        <v>3678</v>
      </c>
      <c r="C242">
        <v>454151263.98000002</v>
      </c>
      <c r="D242">
        <v>1.1096316002944501E-2</v>
      </c>
      <c r="E242">
        <f t="shared" si="6"/>
        <v>12.532253532320169</v>
      </c>
      <c r="F242" t="e">
        <f>VLOOKUP(A242,Sheet3!B:D,3,0)*100</f>
        <v>#N/A</v>
      </c>
      <c r="R242">
        <v>64</v>
      </c>
      <c r="S242" t="s">
        <v>19</v>
      </c>
      <c r="T242">
        <v>38786</v>
      </c>
      <c r="U242">
        <v>187126221174.10001</v>
      </c>
      <c r="V242">
        <v>2.2805231046318399E-2</v>
      </c>
      <c r="W242">
        <f t="shared" si="7"/>
        <v>24.181776943538104</v>
      </c>
      <c r="Y242" s="9">
        <v>239</v>
      </c>
      <c r="Z242" s="10">
        <v>16.576107853502553</v>
      </c>
    </row>
    <row r="243" spans="1:26" x14ac:dyDescent="0.25">
      <c r="A243">
        <v>242</v>
      </c>
      <c r="B243">
        <v>3624</v>
      </c>
      <c r="C243">
        <v>458826399.22000003</v>
      </c>
      <c r="D243">
        <v>1.40221553835319E-2</v>
      </c>
      <c r="E243">
        <f t="shared" si="6"/>
        <v>15.58767254340523</v>
      </c>
      <c r="F243" t="e">
        <f>VLOOKUP(A243,Sheet3!B:D,3,0)*100</f>
        <v>#N/A</v>
      </c>
      <c r="R243">
        <v>64</v>
      </c>
      <c r="S243" t="s">
        <v>20</v>
      </c>
      <c r="T243">
        <v>49</v>
      </c>
      <c r="U243">
        <v>129804372.47</v>
      </c>
      <c r="V243">
        <v>3.26473147864293E-2</v>
      </c>
      <c r="W243">
        <f t="shared" si="7"/>
        <v>32.85431661110163</v>
      </c>
      <c r="Y243" s="9">
        <v>240</v>
      </c>
      <c r="Z243" s="10">
        <v>15.542566107052957</v>
      </c>
    </row>
    <row r="244" spans="1:26" x14ac:dyDescent="0.25">
      <c r="A244">
        <v>243</v>
      </c>
      <c r="B244">
        <v>3570</v>
      </c>
      <c r="C244">
        <v>452392312.44999999</v>
      </c>
      <c r="D244">
        <v>1.40941098885483E-2</v>
      </c>
      <c r="E244">
        <f t="shared" si="6"/>
        <v>15.661565602448169</v>
      </c>
      <c r="F244" t="e">
        <f>VLOOKUP(A244,Sheet3!B:D,3,0)*100</f>
        <v>#N/A</v>
      </c>
      <c r="R244">
        <v>64</v>
      </c>
      <c r="S244" t="s">
        <v>21</v>
      </c>
      <c r="T244">
        <v>113</v>
      </c>
      <c r="U244">
        <v>897164154.78999996</v>
      </c>
      <c r="V244">
        <v>2.1278040829880201E-2</v>
      </c>
      <c r="W244">
        <f t="shared" si="7"/>
        <v>22.747598295357186</v>
      </c>
      <c r="Y244" s="9">
        <v>241</v>
      </c>
      <c r="Z244" s="10">
        <v>12.532253532320169</v>
      </c>
    </row>
    <row r="245" spans="1:26" x14ac:dyDescent="0.25">
      <c r="A245">
        <v>244</v>
      </c>
      <c r="B245">
        <v>3493</v>
      </c>
      <c r="C245">
        <v>425704271.25</v>
      </c>
      <c r="D245">
        <v>1.19390492671958E-2</v>
      </c>
      <c r="E245">
        <f t="shared" si="6"/>
        <v>13.422542070048749</v>
      </c>
      <c r="F245" t="e">
        <f>VLOOKUP(A245,Sheet3!B:D,3,0)*100</f>
        <v>#N/A</v>
      </c>
      <c r="R245">
        <v>65</v>
      </c>
      <c r="S245" t="s">
        <v>19</v>
      </c>
      <c r="T245">
        <v>38638</v>
      </c>
      <c r="U245">
        <v>181087477432.09</v>
      </c>
      <c r="V245">
        <v>2.2673672213893201E-2</v>
      </c>
      <c r="W245">
        <f t="shared" si="7"/>
        <v>24.059198154200523</v>
      </c>
      <c r="Y245" s="9">
        <v>242</v>
      </c>
      <c r="Z245" s="10">
        <v>15.58767254340523</v>
      </c>
    </row>
    <row r="246" spans="1:26" x14ac:dyDescent="0.25">
      <c r="A246">
        <v>245</v>
      </c>
      <c r="B246">
        <v>3421</v>
      </c>
      <c r="C246">
        <v>420190341.13999999</v>
      </c>
      <c r="D246">
        <v>1.35046659903227E-2</v>
      </c>
      <c r="E246">
        <f t="shared" si="6"/>
        <v>15.054490560549894</v>
      </c>
      <c r="F246" t="e">
        <f>VLOOKUP(A246,Sheet3!B:D,3,0)*100</f>
        <v>#N/A</v>
      </c>
      <c r="R246">
        <v>65</v>
      </c>
      <c r="S246" t="s">
        <v>20</v>
      </c>
      <c r="T246">
        <v>40</v>
      </c>
      <c r="U246">
        <v>100648344.72</v>
      </c>
      <c r="V246">
        <v>1.09824067357201E-2</v>
      </c>
      <c r="W246">
        <f t="shared" si="7"/>
        <v>12.411274695603868</v>
      </c>
      <c r="Y246" s="9">
        <v>243</v>
      </c>
      <c r="Z246" s="10">
        <v>15.661565602448169</v>
      </c>
    </row>
    <row r="247" spans="1:26" x14ac:dyDescent="0.25">
      <c r="A247">
        <v>246</v>
      </c>
      <c r="B247">
        <v>3336</v>
      </c>
      <c r="C247">
        <v>403815338.50999999</v>
      </c>
      <c r="D247">
        <v>1.2131956182913701E-2</v>
      </c>
      <c r="E247">
        <f t="shared" si="6"/>
        <v>13.62516278419551</v>
      </c>
      <c r="F247" t="e">
        <f>VLOOKUP(A247,Sheet3!B:D,3,0)*100</f>
        <v>#N/A</v>
      </c>
      <c r="R247">
        <v>65</v>
      </c>
      <c r="S247" t="s">
        <v>21</v>
      </c>
      <c r="T247">
        <v>110</v>
      </c>
      <c r="U247">
        <v>870409433.19000006</v>
      </c>
      <c r="V247">
        <v>2.05923303361654E-2</v>
      </c>
      <c r="W247">
        <f t="shared" si="7"/>
        <v>22.095596347359969</v>
      </c>
      <c r="Y247" s="9">
        <v>244</v>
      </c>
      <c r="Z247" s="10">
        <v>13.422542070048749</v>
      </c>
    </row>
    <row r="248" spans="1:26" x14ac:dyDescent="0.25">
      <c r="A248">
        <v>247</v>
      </c>
      <c r="B248">
        <v>3283</v>
      </c>
      <c r="C248">
        <v>400268395.19999999</v>
      </c>
      <c r="D248">
        <v>1.7388508380733799E-2</v>
      </c>
      <c r="E248">
        <f t="shared" si="6"/>
        <v>18.981897644997282</v>
      </c>
      <c r="F248" t="e">
        <f>VLOOKUP(A248,Sheet3!B:D,3,0)*100</f>
        <v>#N/A</v>
      </c>
      <c r="R248">
        <v>66</v>
      </c>
      <c r="S248" t="s">
        <v>19</v>
      </c>
      <c r="T248">
        <v>38466</v>
      </c>
      <c r="U248">
        <v>176411870007.72</v>
      </c>
      <c r="V248">
        <v>2.25421543802026E-2</v>
      </c>
      <c r="W248">
        <f t="shared" si="7"/>
        <v>23.93647601062716</v>
      </c>
      <c r="Y248" s="9">
        <v>245</v>
      </c>
      <c r="Z248" s="10">
        <v>15.054490560549894</v>
      </c>
    </row>
    <row r="249" spans="1:26" x14ac:dyDescent="0.25">
      <c r="A249">
        <v>248</v>
      </c>
      <c r="B249">
        <v>3208</v>
      </c>
      <c r="C249">
        <v>379590774.61000001</v>
      </c>
      <c r="D249">
        <v>1.47074976244559E-2</v>
      </c>
      <c r="E249">
        <f t="shared" si="6"/>
        <v>16.289075893608228</v>
      </c>
      <c r="F249" t="e">
        <f>VLOOKUP(A249,Sheet3!B:D,3,0)*100</f>
        <v>#N/A</v>
      </c>
      <c r="R249">
        <v>66</v>
      </c>
      <c r="S249" t="s">
        <v>20</v>
      </c>
      <c r="T249">
        <v>36</v>
      </c>
      <c r="U249">
        <v>99072238</v>
      </c>
      <c r="V249">
        <v>3.1693712611858799E-2</v>
      </c>
      <c r="W249">
        <f t="shared" si="7"/>
        <v>32.055701075540078</v>
      </c>
      <c r="Y249" s="9">
        <v>246</v>
      </c>
      <c r="Z249" s="10">
        <v>13.62516278419551</v>
      </c>
    </row>
    <row r="250" spans="1:26" x14ac:dyDescent="0.25">
      <c r="A250">
        <v>249</v>
      </c>
      <c r="B250">
        <v>3122</v>
      </c>
      <c r="C250">
        <v>362310000.31</v>
      </c>
      <c r="D250">
        <v>1.34823956275221E-2</v>
      </c>
      <c r="E250">
        <f t="shared" si="6"/>
        <v>15.031475726257938</v>
      </c>
      <c r="F250" t="e">
        <f>VLOOKUP(A250,Sheet3!B:D,3,0)*100</f>
        <v>#N/A</v>
      </c>
      <c r="R250">
        <v>66</v>
      </c>
      <c r="S250" t="s">
        <v>21</v>
      </c>
      <c r="T250">
        <v>104</v>
      </c>
      <c r="U250">
        <v>844526061.33000004</v>
      </c>
      <c r="V250">
        <v>2.32912351350173E-2</v>
      </c>
      <c r="W250">
        <f t="shared" si="7"/>
        <v>24.633036083363457</v>
      </c>
      <c r="Y250" s="9">
        <v>247</v>
      </c>
      <c r="Z250" s="10">
        <v>18.981897644997282</v>
      </c>
    </row>
    <row r="251" spans="1:26" x14ac:dyDescent="0.25">
      <c r="A251">
        <v>250</v>
      </c>
      <c r="B251">
        <v>3054</v>
      </c>
      <c r="C251">
        <v>355581150.32999998</v>
      </c>
      <c r="D251">
        <v>1.22998643559479E-2</v>
      </c>
      <c r="E251">
        <f t="shared" si="6"/>
        <v>13.80117201027381</v>
      </c>
      <c r="F251" t="e">
        <f>VLOOKUP(A251,Sheet3!B:D,3,0)*100</f>
        <v>#N/A</v>
      </c>
      <c r="R251">
        <v>67</v>
      </c>
      <c r="S251" t="s">
        <v>19</v>
      </c>
      <c r="T251">
        <v>38292</v>
      </c>
      <c r="U251">
        <v>171861604390.06</v>
      </c>
      <c r="V251">
        <v>2.27657559044128E-2</v>
      </c>
      <c r="W251">
        <f t="shared" si="7"/>
        <v>24.145015385622127</v>
      </c>
      <c r="Y251" s="9">
        <v>248</v>
      </c>
      <c r="Z251" s="10">
        <v>16.289075893608228</v>
      </c>
    </row>
    <row r="252" spans="1:26" x14ac:dyDescent="0.25">
      <c r="A252">
        <v>251</v>
      </c>
      <c r="B252">
        <v>2991</v>
      </c>
      <c r="C252">
        <v>357422053.31999999</v>
      </c>
      <c r="D252">
        <v>1.36843614642426E-2</v>
      </c>
      <c r="E252">
        <f t="shared" si="6"/>
        <v>15.239984071112255</v>
      </c>
      <c r="F252" t="e">
        <f>VLOOKUP(A252,Sheet3!B:D,3,0)*100</f>
        <v>#N/A</v>
      </c>
      <c r="R252">
        <v>67</v>
      </c>
      <c r="S252" t="s">
        <v>20</v>
      </c>
      <c r="T252">
        <v>30</v>
      </c>
      <c r="U252">
        <v>87853012.930000007</v>
      </c>
      <c r="V252">
        <v>3.3324385669698302E-2</v>
      </c>
      <c r="W252">
        <f t="shared" si="7"/>
        <v>33.416111104154652</v>
      </c>
      <c r="Y252" s="9">
        <v>249</v>
      </c>
      <c r="Z252" s="10">
        <v>15.031475726257938</v>
      </c>
    </row>
    <row r="253" spans="1:26" x14ac:dyDescent="0.25">
      <c r="A253">
        <v>252</v>
      </c>
      <c r="B253">
        <v>2915</v>
      </c>
      <c r="C253">
        <v>338876636.73000002</v>
      </c>
      <c r="D253">
        <v>1.4503202318080799E-2</v>
      </c>
      <c r="E253">
        <f t="shared" si="6"/>
        <v>16.08055387472811</v>
      </c>
      <c r="F253">
        <f>VLOOKUP(A253,Sheet3!B:D,3,0)*100</f>
        <v>15.47</v>
      </c>
      <c r="R253">
        <v>67</v>
      </c>
      <c r="S253" t="s">
        <v>21</v>
      </c>
      <c r="T253">
        <v>99</v>
      </c>
      <c r="U253">
        <v>808717345.22000003</v>
      </c>
      <c r="V253">
        <v>2.0173607642996999E-2</v>
      </c>
      <c r="W253">
        <f t="shared" si="7"/>
        <v>21.694980888123162</v>
      </c>
      <c r="Y253" s="9">
        <v>250</v>
      </c>
      <c r="Z253" s="10">
        <v>13.80117201027381</v>
      </c>
    </row>
    <row r="254" spans="1:26" x14ac:dyDescent="0.25">
      <c r="A254">
        <v>253</v>
      </c>
      <c r="B254">
        <v>2832</v>
      </c>
      <c r="C254">
        <v>308341971.62</v>
      </c>
      <c r="D254">
        <v>1.38093761545243E-2</v>
      </c>
      <c r="E254">
        <f t="shared" si="6"/>
        <v>15.368813378714341</v>
      </c>
      <c r="F254" t="e">
        <f>VLOOKUP(A254,Sheet3!B:D,3,0)*100</f>
        <v>#N/A</v>
      </c>
      <c r="R254">
        <v>68</v>
      </c>
      <c r="S254" t="s">
        <v>19</v>
      </c>
      <c r="T254">
        <v>38314</v>
      </c>
      <c r="U254">
        <v>167726227667.16</v>
      </c>
      <c r="V254">
        <v>2.2351891208749801E-2</v>
      </c>
      <c r="W254">
        <f t="shared" si="7"/>
        <v>23.758615562142658</v>
      </c>
      <c r="Y254" s="9">
        <v>251</v>
      </c>
      <c r="Z254" s="10">
        <v>15.239984071112255</v>
      </c>
    </row>
    <row r="255" spans="1:26" x14ac:dyDescent="0.25">
      <c r="A255">
        <v>254</v>
      </c>
      <c r="B255">
        <v>2774</v>
      </c>
      <c r="C255">
        <v>312124911.57999998</v>
      </c>
      <c r="D255">
        <v>1.32418436933171E-2</v>
      </c>
      <c r="E255">
        <f t="shared" si="6"/>
        <v>14.782517857310562</v>
      </c>
      <c r="F255" t="e">
        <f>VLOOKUP(A255,Sheet3!B:D,3,0)*100</f>
        <v>#N/A</v>
      </c>
      <c r="R255">
        <v>68</v>
      </c>
      <c r="S255" t="s">
        <v>20</v>
      </c>
      <c r="T255">
        <v>24</v>
      </c>
      <c r="U255">
        <v>68493812.230000004</v>
      </c>
      <c r="V255">
        <v>3.2558118721048197E-2</v>
      </c>
      <c r="W255">
        <f t="shared" si="7"/>
        <v>32.779983817011249</v>
      </c>
      <c r="Y255" s="9">
        <v>252</v>
      </c>
      <c r="Z255" s="10">
        <v>16.08055387472811</v>
      </c>
    </row>
    <row r="256" spans="1:26" x14ac:dyDescent="0.25">
      <c r="A256">
        <v>255</v>
      </c>
      <c r="B256">
        <v>2702</v>
      </c>
      <c r="C256">
        <v>290175410.88</v>
      </c>
      <c r="D256">
        <v>1.4934751585220099E-2</v>
      </c>
      <c r="E256">
        <f t="shared" si="6"/>
        <v>16.520473474079399</v>
      </c>
      <c r="F256" t="e">
        <f>VLOOKUP(A256,Sheet3!B:D,3,0)*100</f>
        <v>#N/A</v>
      </c>
      <c r="R256">
        <v>68</v>
      </c>
      <c r="S256" t="s">
        <v>21</v>
      </c>
      <c r="T256">
        <v>84</v>
      </c>
      <c r="U256">
        <v>613517552.95000005</v>
      </c>
      <c r="V256">
        <v>2.27191293237985E-2</v>
      </c>
      <c r="W256">
        <f t="shared" si="7"/>
        <v>24.101572943428618</v>
      </c>
      <c r="Y256" s="9">
        <v>253</v>
      </c>
      <c r="Z256" s="10">
        <v>15.368813378714341</v>
      </c>
    </row>
    <row r="257" spans="1:26" x14ac:dyDescent="0.25">
      <c r="A257">
        <v>256</v>
      </c>
      <c r="B257">
        <v>2608</v>
      </c>
      <c r="C257">
        <v>294774380.23000002</v>
      </c>
      <c r="D257">
        <v>1.3958600587645901E-2</v>
      </c>
      <c r="E257">
        <f t="shared" si="6"/>
        <v>15.522356139488746</v>
      </c>
      <c r="F257" t="e">
        <f>VLOOKUP(A257,Sheet3!B:D,3,0)*100</f>
        <v>#N/A</v>
      </c>
      <c r="R257">
        <v>69</v>
      </c>
      <c r="S257" t="s">
        <v>19</v>
      </c>
      <c r="T257">
        <v>38137</v>
      </c>
      <c r="U257">
        <v>163253367907.23001</v>
      </c>
      <c r="V257">
        <v>2.2751822870369399E-2</v>
      </c>
      <c r="W257">
        <f t="shared" si="7"/>
        <v>24.132036229747868</v>
      </c>
      <c r="Y257" s="9">
        <v>254</v>
      </c>
      <c r="Z257" s="10">
        <v>14.782517857310562</v>
      </c>
    </row>
    <row r="258" spans="1:26" x14ac:dyDescent="0.25">
      <c r="A258">
        <v>257</v>
      </c>
      <c r="B258">
        <v>2541</v>
      </c>
      <c r="C258">
        <v>284436060.94</v>
      </c>
      <c r="D258">
        <v>1.23616698459995E-2</v>
      </c>
      <c r="E258">
        <f t="shared" si="6"/>
        <v>13.865876599589122</v>
      </c>
      <c r="F258" t="e">
        <f>VLOOKUP(A258,Sheet3!B:D,3,0)*100</f>
        <v>#N/A</v>
      </c>
      <c r="R258">
        <v>69</v>
      </c>
      <c r="S258" t="s">
        <v>20</v>
      </c>
      <c r="T258">
        <v>19</v>
      </c>
      <c r="U258">
        <v>55452829.630000003</v>
      </c>
      <c r="V258">
        <v>5.9187637371229597E-2</v>
      </c>
      <c r="W258">
        <f t="shared" si="7"/>
        <v>51.912058486832869</v>
      </c>
      <c r="Y258" s="9">
        <v>255</v>
      </c>
      <c r="Z258" s="10">
        <v>16.520473474079399</v>
      </c>
    </row>
    <row r="259" spans="1:26" x14ac:dyDescent="0.25">
      <c r="A259">
        <v>258</v>
      </c>
      <c r="B259">
        <v>2510</v>
      </c>
      <c r="C259">
        <v>277017398.76999998</v>
      </c>
      <c r="D259">
        <v>1.3166118615049601E-2</v>
      </c>
      <c r="E259">
        <f t="shared" ref="E259:E322" si="8">100*(1-(1-D259)^12)</f>
        <v>14.704008347770126</v>
      </c>
      <c r="F259" t="e">
        <f>VLOOKUP(A259,Sheet3!B:D,3,0)*100</f>
        <v>#N/A</v>
      </c>
      <c r="R259">
        <v>69</v>
      </c>
      <c r="S259" t="s">
        <v>21</v>
      </c>
      <c r="T259">
        <v>75</v>
      </c>
      <c r="U259">
        <v>572204901.32000005</v>
      </c>
      <c r="V259">
        <v>2.3278215044517402E-2</v>
      </c>
      <c r="W259">
        <f t="shared" ref="W259:W322" si="9">100*(1-(1-V259)^12)</f>
        <v>24.62097897882558</v>
      </c>
      <c r="Y259" s="9">
        <v>256</v>
      </c>
      <c r="Z259" s="10">
        <v>15.522356139488746</v>
      </c>
    </row>
    <row r="260" spans="1:26" x14ac:dyDescent="0.25">
      <c r="A260">
        <v>259</v>
      </c>
      <c r="B260">
        <v>2469</v>
      </c>
      <c r="C260">
        <v>298421868.24000001</v>
      </c>
      <c r="D260">
        <v>1.44978636800417E-2</v>
      </c>
      <c r="E260">
        <f t="shared" si="8"/>
        <v>16.075098406212518</v>
      </c>
      <c r="F260" t="e">
        <f>VLOOKUP(A260,Sheet3!B:D,3,0)*100</f>
        <v>#N/A</v>
      </c>
      <c r="R260">
        <v>70</v>
      </c>
      <c r="S260" t="s">
        <v>19</v>
      </c>
      <c r="T260">
        <v>38052</v>
      </c>
      <c r="U260">
        <v>159738828812.70999</v>
      </c>
      <c r="V260">
        <v>2.3359994146822501E-2</v>
      </c>
      <c r="W260">
        <f t="shared" si="9"/>
        <v>24.696680258061988</v>
      </c>
      <c r="Y260" s="9">
        <v>257</v>
      </c>
      <c r="Z260" s="10">
        <v>13.865876599589122</v>
      </c>
    </row>
    <row r="261" spans="1:26" x14ac:dyDescent="0.25">
      <c r="A261">
        <v>260</v>
      </c>
      <c r="B261">
        <v>2420</v>
      </c>
      <c r="C261">
        <v>269877561.58999997</v>
      </c>
      <c r="D261">
        <v>1.4823687402127301E-2</v>
      </c>
      <c r="E261">
        <f t="shared" si="8"/>
        <v>16.40745756528954</v>
      </c>
      <c r="F261" t="e">
        <f>VLOOKUP(A261,Sheet3!B:D,3,0)*100</f>
        <v>#N/A</v>
      </c>
      <c r="R261">
        <v>70</v>
      </c>
      <c r="S261" t="s">
        <v>20</v>
      </c>
      <c r="T261">
        <v>15</v>
      </c>
      <c r="U261">
        <v>50146960.840000004</v>
      </c>
      <c r="V261">
        <v>4.76556398342496E-2</v>
      </c>
      <c r="W261">
        <f t="shared" si="9"/>
        <v>44.341926410025977</v>
      </c>
      <c r="Y261" s="9">
        <v>258</v>
      </c>
      <c r="Z261" s="10">
        <v>14.704008347770126</v>
      </c>
    </row>
    <row r="262" spans="1:26" x14ac:dyDescent="0.25">
      <c r="A262">
        <v>261</v>
      </c>
      <c r="B262">
        <v>2401</v>
      </c>
      <c r="C262">
        <v>267050868.49000001</v>
      </c>
      <c r="D262">
        <v>1.1267456339680499E-2</v>
      </c>
      <c r="E262">
        <f t="shared" si="8"/>
        <v>12.713727459010538</v>
      </c>
      <c r="F262" t="e">
        <f>VLOOKUP(A262,Sheet3!B:D,3,0)*100</f>
        <v>#N/A</v>
      </c>
      <c r="R262">
        <v>70</v>
      </c>
      <c r="S262" t="s">
        <v>21</v>
      </c>
      <c r="T262">
        <v>68</v>
      </c>
      <c r="U262">
        <v>403186644.77999997</v>
      </c>
      <c r="V262">
        <v>2.65316351179237E-2</v>
      </c>
      <c r="W262">
        <f t="shared" si="9"/>
        <v>27.579401080706766</v>
      </c>
      <c r="Y262" s="9">
        <v>259</v>
      </c>
      <c r="Z262" s="10">
        <v>16.075098406212518</v>
      </c>
    </row>
    <row r="263" spans="1:26" x14ac:dyDescent="0.25">
      <c r="A263">
        <v>262</v>
      </c>
      <c r="B263">
        <v>2357</v>
      </c>
      <c r="C263">
        <v>252942106.43000001</v>
      </c>
      <c r="D263">
        <v>1.1469972302056399E-2</v>
      </c>
      <c r="E263">
        <f t="shared" si="8"/>
        <v>12.928025616649219</v>
      </c>
      <c r="F263" t="e">
        <f>VLOOKUP(A263,Sheet3!B:D,3,0)*100</f>
        <v>#N/A</v>
      </c>
      <c r="R263">
        <v>71</v>
      </c>
      <c r="S263" t="s">
        <v>19</v>
      </c>
      <c r="T263">
        <v>37859</v>
      </c>
      <c r="U263">
        <v>151623489375.45999</v>
      </c>
      <c r="V263">
        <v>2.3596949078679E-2</v>
      </c>
      <c r="W263">
        <f t="shared" si="9"/>
        <v>24.915631372258495</v>
      </c>
      <c r="Y263" s="9">
        <v>260</v>
      </c>
      <c r="Z263" s="10">
        <v>16.40745756528954</v>
      </c>
    </row>
    <row r="264" spans="1:26" x14ac:dyDescent="0.25">
      <c r="A264">
        <v>263</v>
      </c>
      <c r="B264">
        <v>2314</v>
      </c>
      <c r="C264">
        <v>249981129.75999999</v>
      </c>
      <c r="D264">
        <v>1.24379612870696E-2</v>
      </c>
      <c r="E264">
        <f t="shared" si="8"/>
        <v>13.94568523079317</v>
      </c>
      <c r="F264" t="e">
        <f>VLOOKUP(A264,Sheet3!B:D,3,0)*100</f>
        <v>#N/A</v>
      </c>
      <c r="R264">
        <v>71</v>
      </c>
      <c r="S264" t="s">
        <v>21</v>
      </c>
      <c r="T264">
        <v>62</v>
      </c>
      <c r="U264">
        <v>353359111.75</v>
      </c>
      <c r="V264">
        <v>2.5772129077227399E-2</v>
      </c>
      <c r="W264">
        <f t="shared" si="9"/>
        <v>26.898447965549632</v>
      </c>
      <c r="Y264" s="9">
        <v>261</v>
      </c>
      <c r="Z264" s="10">
        <v>12.713727459010538</v>
      </c>
    </row>
    <row r="265" spans="1:26" x14ac:dyDescent="0.25">
      <c r="A265">
        <v>264</v>
      </c>
      <c r="B265">
        <v>2287</v>
      </c>
      <c r="C265">
        <v>235683560.38999999</v>
      </c>
      <c r="D265">
        <v>1.21305113713973E-2</v>
      </c>
      <c r="E265">
        <f t="shared" si="8"/>
        <v>13.623646836422697</v>
      </c>
      <c r="F265">
        <f>VLOOKUP(A265,Sheet3!B:D,3,0)*100</f>
        <v>15.559999999999999</v>
      </c>
      <c r="R265">
        <v>72</v>
      </c>
      <c r="S265" t="s">
        <v>19</v>
      </c>
      <c r="T265">
        <v>37679</v>
      </c>
      <c r="U265">
        <v>150523984774.91</v>
      </c>
      <c r="V265">
        <v>2.4279325944473702E-2</v>
      </c>
      <c r="W265">
        <f t="shared" si="9"/>
        <v>25.542905387840587</v>
      </c>
      <c r="Y265" s="9">
        <v>262</v>
      </c>
      <c r="Z265" s="10">
        <v>12.928025616649219</v>
      </c>
    </row>
    <row r="266" spans="1:26" x14ac:dyDescent="0.25">
      <c r="A266">
        <v>265</v>
      </c>
      <c r="B266">
        <v>2252</v>
      </c>
      <c r="C266">
        <v>223454294.49000001</v>
      </c>
      <c r="D266">
        <v>1.30341191717969E-2</v>
      </c>
      <c r="E266">
        <f t="shared" si="8"/>
        <v>14.56699671423346</v>
      </c>
      <c r="F266" t="e">
        <f>VLOOKUP(A266,Sheet3!B:D,3,0)*100</f>
        <v>#N/A</v>
      </c>
      <c r="R266">
        <v>72</v>
      </c>
      <c r="S266" t="s">
        <v>21</v>
      </c>
      <c r="T266">
        <v>54</v>
      </c>
      <c r="U266">
        <v>276796547.75</v>
      </c>
      <c r="V266">
        <v>2.0429271395744599E-2</v>
      </c>
      <c r="W266">
        <f t="shared" si="9"/>
        <v>21.939812623066778</v>
      </c>
      <c r="Y266" s="9">
        <v>263</v>
      </c>
      <c r="Z266" s="10">
        <v>13.94568523079317</v>
      </c>
    </row>
    <row r="267" spans="1:26" x14ac:dyDescent="0.25">
      <c r="A267">
        <v>266</v>
      </c>
      <c r="B267">
        <v>2227</v>
      </c>
      <c r="C267">
        <v>228139667.02000001</v>
      </c>
      <c r="D267">
        <v>1.2072563518649E-2</v>
      </c>
      <c r="E267">
        <f t="shared" si="8"/>
        <v>13.562825773487075</v>
      </c>
      <c r="F267" t="e">
        <f>VLOOKUP(A267,Sheet3!B:D,3,0)*100</f>
        <v>#N/A</v>
      </c>
      <c r="R267">
        <v>73</v>
      </c>
      <c r="S267" t="s">
        <v>19</v>
      </c>
      <c r="T267">
        <v>37497</v>
      </c>
      <c r="U267">
        <v>142627337577.48999</v>
      </c>
      <c r="V267">
        <v>2.4321849733240801E-2</v>
      </c>
      <c r="W267">
        <f t="shared" si="9"/>
        <v>25.581835860690695</v>
      </c>
      <c r="Y267" s="9">
        <v>264</v>
      </c>
      <c r="Z267" s="10">
        <v>13.623646836422697</v>
      </c>
    </row>
    <row r="268" spans="1:26" x14ac:dyDescent="0.25">
      <c r="A268">
        <v>267</v>
      </c>
      <c r="B268">
        <v>2179</v>
      </c>
      <c r="C268">
        <v>213670717.97</v>
      </c>
      <c r="D268">
        <v>1.37040553731858E-2</v>
      </c>
      <c r="E268">
        <f t="shared" si="8"/>
        <v>15.260290828902656</v>
      </c>
      <c r="F268" t="e">
        <f>VLOOKUP(A268,Sheet3!B:D,3,0)*100</f>
        <v>#N/A</v>
      </c>
      <c r="R268">
        <v>73</v>
      </c>
      <c r="S268" t="s">
        <v>21</v>
      </c>
      <c r="T268">
        <v>52</v>
      </c>
      <c r="U268">
        <v>268912947.47000003</v>
      </c>
      <c r="V268">
        <v>2.3451146661724501E-2</v>
      </c>
      <c r="W268">
        <f t="shared" si="9"/>
        <v>24.780976184747427</v>
      </c>
      <c r="Y268" s="9">
        <v>265</v>
      </c>
      <c r="Z268" s="10">
        <v>14.56699671423346</v>
      </c>
    </row>
    <row r="269" spans="1:26" x14ac:dyDescent="0.25">
      <c r="A269">
        <v>268</v>
      </c>
      <c r="B269">
        <v>2137</v>
      </c>
      <c r="C269">
        <v>207210646.97</v>
      </c>
      <c r="D269">
        <v>1.50224862231814E-2</v>
      </c>
      <c r="E269">
        <f t="shared" si="8"/>
        <v>16.609650828162714</v>
      </c>
      <c r="F269" t="e">
        <f>VLOOKUP(A269,Sheet3!B:D,3,0)*100</f>
        <v>#N/A</v>
      </c>
      <c r="R269">
        <v>74</v>
      </c>
      <c r="S269" t="s">
        <v>19</v>
      </c>
      <c r="T269">
        <v>37319</v>
      </c>
      <c r="U269">
        <v>137144402599.91</v>
      </c>
      <c r="V269">
        <v>2.4455264173249201E-2</v>
      </c>
      <c r="W269">
        <f t="shared" si="9"/>
        <v>25.703855535164365</v>
      </c>
      <c r="Y269" s="9">
        <v>266</v>
      </c>
      <c r="Z269" s="10">
        <v>13.562825773487075</v>
      </c>
    </row>
    <row r="270" spans="1:26" x14ac:dyDescent="0.25">
      <c r="A270">
        <v>269</v>
      </c>
      <c r="B270">
        <v>2089</v>
      </c>
      <c r="C270">
        <v>202401006.50999999</v>
      </c>
      <c r="D270">
        <v>1.2398047182938E-2</v>
      </c>
      <c r="E270">
        <f t="shared" si="8"/>
        <v>13.903939464455206</v>
      </c>
      <c r="F270" t="e">
        <f>VLOOKUP(A270,Sheet3!B:D,3,0)*100</f>
        <v>#N/A</v>
      </c>
      <c r="R270">
        <v>74</v>
      </c>
      <c r="S270" t="s">
        <v>21</v>
      </c>
      <c r="T270">
        <v>43</v>
      </c>
      <c r="U270">
        <v>216231882.22</v>
      </c>
      <c r="V270">
        <v>3.3276738336129298E-2</v>
      </c>
      <c r="W270">
        <f t="shared" si="9"/>
        <v>33.376717476121797</v>
      </c>
      <c r="Y270" s="9">
        <v>267</v>
      </c>
      <c r="Z270" s="10">
        <v>15.260290828902656</v>
      </c>
    </row>
    <row r="271" spans="1:26" x14ac:dyDescent="0.25">
      <c r="A271">
        <v>270</v>
      </c>
      <c r="B271">
        <v>2051</v>
      </c>
      <c r="C271">
        <v>201166393.02000001</v>
      </c>
      <c r="D271">
        <v>1.08138708419242E-2</v>
      </c>
      <c r="E271">
        <f t="shared" si="8"/>
        <v>12.231997552701513</v>
      </c>
      <c r="F271" t="e">
        <f>VLOOKUP(A271,Sheet3!B:D,3,0)*100</f>
        <v>#N/A</v>
      </c>
      <c r="R271">
        <v>75</v>
      </c>
      <c r="S271" t="s">
        <v>19</v>
      </c>
      <c r="T271">
        <v>37144</v>
      </c>
      <c r="U271">
        <v>133305433659.09</v>
      </c>
      <c r="V271">
        <v>2.4386759154014899E-2</v>
      </c>
      <c r="W271">
        <f t="shared" si="9"/>
        <v>25.64122437346348</v>
      </c>
      <c r="Y271" s="9">
        <v>268</v>
      </c>
      <c r="Z271" s="10">
        <v>16.609650828162714</v>
      </c>
    </row>
    <row r="272" spans="1:26" x14ac:dyDescent="0.25">
      <c r="A272">
        <v>271</v>
      </c>
      <c r="B272">
        <v>1991</v>
      </c>
      <c r="C272">
        <v>196068110.75</v>
      </c>
      <c r="D272">
        <v>1.29126754781587E-2</v>
      </c>
      <c r="E272">
        <f t="shared" si="8"/>
        <v>14.440763487801734</v>
      </c>
      <c r="F272" t="e">
        <f>VLOOKUP(A272,Sheet3!B:D,3,0)*100</f>
        <v>#N/A</v>
      </c>
      <c r="R272">
        <v>75</v>
      </c>
      <c r="S272" t="s">
        <v>21</v>
      </c>
      <c r="T272">
        <v>34</v>
      </c>
      <c r="U272">
        <v>161181646.47999999</v>
      </c>
      <c r="V272">
        <v>1.2949027365864001E-2</v>
      </c>
      <c r="W272">
        <f t="shared" si="9"/>
        <v>14.4785669498809</v>
      </c>
      <c r="Y272" s="9">
        <v>269</v>
      </c>
      <c r="Z272" s="10">
        <v>13.903939464455206</v>
      </c>
    </row>
    <row r="273" spans="1:26" x14ac:dyDescent="0.25">
      <c r="A273">
        <v>272</v>
      </c>
      <c r="B273">
        <v>1894</v>
      </c>
      <c r="C273">
        <v>180337874.19</v>
      </c>
      <c r="D273">
        <v>1.07227310182577E-2</v>
      </c>
      <c r="E273">
        <f t="shared" si="8"/>
        <v>12.13490906944925</v>
      </c>
      <c r="F273" t="e">
        <f>VLOOKUP(A273,Sheet3!B:D,3,0)*100</f>
        <v>#N/A</v>
      </c>
      <c r="R273">
        <v>76</v>
      </c>
      <c r="S273" t="s">
        <v>19</v>
      </c>
      <c r="T273">
        <v>37027</v>
      </c>
      <c r="U273">
        <v>129169715490.71001</v>
      </c>
      <c r="V273">
        <v>2.4292975783588099E-2</v>
      </c>
      <c r="W273">
        <f t="shared" si="9"/>
        <v>25.555403831642</v>
      </c>
      <c r="Y273" s="9">
        <v>270</v>
      </c>
      <c r="Z273" s="10">
        <v>12.231997552701513</v>
      </c>
    </row>
    <row r="274" spans="1:26" x14ac:dyDescent="0.25">
      <c r="A274">
        <v>273</v>
      </c>
      <c r="B274">
        <v>1799</v>
      </c>
      <c r="C274">
        <v>177472287.16</v>
      </c>
      <c r="D274">
        <v>1.24774569504306E-2</v>
      </c>
      <c r="E274">
        <f t="shared" si="8"/>
        <v>13.986975089404464</v>
      </c>
      <c r="F274" t="e">
        <f>VLOOKUP(A274,Sheet3!B:D,3,0)*100</f>
        <v>#N/A</v>
      </c>
      <c r="R274">
        <v>76</v>
      </c>
      <c r="S274" t="s">
        <v>21</v>
      </c>
      <c r="T274">
        <v>32</v>
      </c>
      <c r="U274">
        <v>152848696.62</v>
      </c>
      <c r="V274">
        <v>1.97740184613086E-2</v>
      </c>
      <c r="W274">
        <f t="shared" si="9"/>
        <v>21.310911419913726</v>
      </c>
      <c r="Y274" s="9">
        <v>271</v>
      </c>
      <c r="Z274" s="10">
        <v>14.440763487801734</v>
      </c>
    </row>
    <row r="275" spans="1:26" x14ac:dyDescent="0.25">
      <c r="A275">
        <v>274</v>
      </c>
      <c r="B275">
        <v>1711</v>
      </c>
      <c r="C275">
        <v>164467847.72999999</v>
      </c>
      <c r="D275">
        <v>1.4654309679493599E-2</v>
      </c>
      <c r="E275">
        <f t="shared" si="8"/>
        <v>16.234833310732554</v>
      </c>
      <c r="F275" t="e">
        <f>VLOOKUP(A275,Sheet3!B:D,3,0)*100</f>
        <v>#N/A</v>
      </c>
      <c r="R275">
        <v>77</v>
      </c>
      <c r="S275" t="s">
        <v>19</v>
      </c>
      <c r="T275">
        <v>37076</v>
      </c>
      <c r="U275">
        <v>123773165756.58</v>
      </c>
      <c r="V275">
        <v>2.47718201965841E-2</v>
      </c>
      <c r="W275">
        <f t="shared" si="9"/>
        <v>25.992641428383202</v>
      </c>
      <c r="Y275" s="9">
        <v>272</v>
      </c>
      <c r="Z275" s="10">
        <v>12.13490906944925</v>
      </c>
    </row>
    <row r="276" spans="1:26" x14ac:dyDescent="0.25">
      <c r="A276">
        <v>275</v>
      </c>
      <c r="B276">
        <v>1580</v>
      </c>
      <c r="C276">
        <v>155017753.84</v>
      </c>
      <c r="D276">
        <v>1.1730036795526999E-2</v>
      </c>
      <c r="E276">
        <f t="shared" si="8"/>
        <v>13.202513089042611</v>
      </c>
      <c r="F276" t="e">
        <f>VLOOKUP(A276,Sheet3!B:D,3,0)*100</f>
        <v>#N/A</v>
      </c>
      <c r="R276">
        <v>77</v>
      </c>
      <c r="S276" t="s">
        <v>21</v>
      </c>
      <c r="T276">
        <v>32</v>
      </c>
      <c r="U276">
        <v>149404031.69999999</v>
      </c>
      <c r="V276">
        <v>1.9625632215149701E-2</v>
      </c>
      <c r="W276">
        <f t="shared" si="9"/>
        <v>21.167849245996518</v>
      </c>
      <c r="Y276" s="9">
        <v>273</v>
      </c>
      <c r="Z276" s="10">
        <v>13.986975089404464</v>
      </c>
    </row>
    <row r="277" spans="1:26" x14ac:dyDescent="0.25">
      <c r="A277">
        <v>276</v>
      </c>
      <c r="B277">
        <v>1420</v>
      </c>
      <c r="C277">
        <v>132719032.02</v>
      </c>
      <c r="D277">
        <v>1.0602530046447799E-2</v>
      </c>
      <c r="E277">
        <f t="shared" si="8"/>
        <v>12.006712086466765</v>
      </c>
      <c r="F277">
        <f>VLOOKUP(A277,Sheet3!B:D,3,0)*100</f>
        <v>16.11</v>
      </c>
      <c r="R277">
        <v>78</v>
      </c>
      <c r="S277" t="s">
        <v>19</v>
      </c>
      <c r="T277">
        <v>36941</v>
      </c>
      <c r="U277">
        <v>122770370116.63</v>
      </c>
      <c r="V277">
        <v>2.4252817999606401E-2</v>
      </c>
      <c r="W277">
        <f t="shared" si="9"/>
        <v>25.518627954118234</v>
      </c>
      <c r="Y277" s="9">
        <v>274</v>
      </c>
      <c r="Z277" s="10">
        <v>16.234833310732554</v>
      </c>
    </row>
    <row r="278" spans="1:26" x14ac:dyDescent="0.25">
      <c r="A278">
        <v>277</v>
      </c>
      <c r="B278">
        <v>1251</v>
      </c>
      <c r="C278">
        <v>116162686.7</v>
      </c>
      <c r="D278">
        <v>1.41412670130109E-2</v>
      </c>
      <c r="E278">
        <f t="shared" si="8"/>
        <v>15.709961036241438</v>
      </c>
      <c r="F278" t="e">
        <f>VLOOKUP(A278,Sheet3!B:D,3,0)*100</f>
        <v>#N/A</v>
      </c>
      <c r="R278">
        <v>78</v>
      </c>
      <c r="S278" t="s">
        <v>21</v>
      </c>
      <c r="T278">
        <v>26</v>
      </c>
      <c r="U278">
        <v>139379889.09</v>
      </c>
      <c r="V278">
        <v>2.4893491175036701E-2</v>
      </c>
      <c r="W278">
        <f t="shared" si="9"/>
        <v>26.103364703219366</v>
      </c>
      <c r="Y278" s="9">
        <v>275</v>
      </c>
      <c r="Z278" s="10">
        <v>13.202513089042611</v>
      </c>
    </row>
    <row r="279" spans="1:26" x14ac:dyDescent="0.25">
      <c r="A279">
        <v>278</v>
      </c>
      <c r="B279">
        <v>1153</v>
      </c>
      <c r="C279">
        <v>103793931.52</v>
      </c>
      <c r="D279">
        <v>1.4065831104282001E-2</v>
      </c>
      <c r="E279">
        <f t="shared" si="8"/>
        <v>15.632532023893386</v>
      </c>
      <c r="F279" t="e">
        <f>VLOOKUP(A279,Sheet3!B:D,3,0)*100</f>
        <v>#N/A</v>
      </c>
      <c r="R279">
        <v>79</v>
      </c>
      <c r="S279" t="s">
        <v>19</v>
      </c>
      <c r="T279">
        <v>36782</v>
      </c>
      <c r="U279">
        <v>117414613300.07001</v>
      </c>
      <c r="V279">
        <v>2.4769445700154401E-2</v>
      </c>
      <c r="W279">
        <f t="shared" si="9"/>
        <v>25.990479072139074</v>
      </c>
      <c r="Y279" s="9">
        <v>276</v>
      </c>
      <c r="Z279" s="10">
        <v>12.006712086466765</v>
      </c>
    </row>
    <row r="280" spans="1:26" x14ac:dyDescent="0.25">
      <c r="A280">
        <v>279</v>
      </c>
      <c r="B280">
        <v>1066</v>
      </c>
      <c r="C280">
        <v>97311506.019999996</v>
      </c>
      <c r="D280">
        <v>1.6799049034843801E-2</v>
      </c>
      <c r="E280">
        <f t="shared" si="8"/>
        <v>18.396745578513752</v>
      </c>
      <c r="F280" t="e">
        <f>VLOOKUP(A280,Sheet3!B:D,3,0)*100</f>
        <v>#N/A</v>
      </c>
      <c r="R280">
        <v>79</v>
      </c>
      <c r="S280" t="s">
        <v>21</v>
      </c>
      <c r="T280">
        <v>23</v>
      </c>
      <c r="U280">
        <v>80489859.209999993</v>
      </c>
      <c r="V280">
        <v>3.8754212343836199E-2</v>
      </c>
      <c r="W280">
        <f t="shared" si="9"/>
        <v>37.768051951614432</v>
      </c>
      <c r="Y280" s="9">
        <v>277</v>
      </c>
      <c r="Z280" s="10">
        <v>15.709961036241438</v>
      </c>
    </row>
    <row r="281" spans="1:26" x14ac:dyDescent="0.25">
      <c r="A281">
        <v>280</v>
      </c>
      <c r="B281">
        <v>986</v>
      </c>
      <c r="C281">
        <v>90959899.170000002</v>
      </c>
      <c r="D281">
        <v>1.6419477616407899E-2</v>
      </c>
      <c r="E281">
        <f t="shared" si="8"/>
        <v>18.017899942802408</v>
      </c>
      <c r="F281" t="e">
        <f>VLOOKUP(A281,Sheet3!B:D,3,0)*100</f>
        <v>#N/A</v>
      </c>
      <c r="R281">
        <v>80</v>
      </c>
      <c r="S281" t="s">
        <v>19</v>
      </c>
      <c r="T281">
        <v>36694</v>
      </c>
      <c r="U281">
        <v>113812665748.34</v>
      </c>
      <c r="V281">
        <v>2.4608852692567601E-2</v>
      </c>
      <c r="W281">
        <f t="shared" si="9"/>
        <v>25.844099137998221</v>
      </c>
      <c r="Y281" s="9">
        <v>278</v>
      </c>
      <c r="Z281" s="10">
        <v>15.632532023893386</v>
      </c>
    </row>
    <row r="282" spans="1:26" x14ac:dyDescent="0.25">
      <c r="A282">
        <v>281</v>
      </c>
      <c r="B282">
        <v>904</v>
      </c>
      <c r="C282">
        <v>79966195</v>
      </c>
      <c r="D282">
        <v>1.19075171797623E-2</v>
      </c>
      <c r="E282">
        <f t="shared" si="8"/>
        <v>13.389380789562189</v>
      </c>
      <c r="F282" t="e">
        <f>VLOOKUP(A282,Sheet3!B:D,3,0)*100</f>
        <v>#N/A</v>
      </c>
      <c r="R282">
        <v>80</v>
      </c>
      <c r="S282" t="s">
        <v>21</v>
      </c>
      <c r="T282">
        <v>14</v>
      </c>
      <c r="U282">
        <v>38498105.009999998</v>
      </c>
      <c r="V282">
        <v>2.88963559188333E-2</v>
      </c>
      <c r="W282">
        <f t="shared" si="9"/>
        <v>29.662487415676964</v>
      </c>
      <c r="Y282" s="9">
        <v>279</v>
      </c>
      <c r="Z282" s="10">
        <v>18.396745578513752</v>
      </c>
    </row>
    <row r="283" spans="1:26" x14ac:dyDescent="0.25">
      <c r="A283">
        <v>282</v>
      </c>
      <c r="B283">
        <v>836</v>
      </c>
      <c r="C283">
        <v>77341804.640000001</v>
      </c>
      <c r="D283">
        <v>1.42260293937258E-2</v>
      </c>
      <c r="E283">
        <f t="shared" si="8"/>
        <v>15.7968852157497</v>
      </c>
      <c r="F283" t="e">
        <f>VLOOKUP(A283,Sheet3!B:D,3,0)*100</f>
        <v>#N/A</v>
      </c>
      <c r="R283">
        <v>81</v>
      </c>
      <c r="S283" t="s">
        <v>19</v>
      </c>
      <c r="T283">
        <v>36466</v>
      </c>
      <c r="U283">
        <v>111135641400.53999</v>
      </c>
      <c r="V283">
        <v>2.4143882133281499E-2</v>
      </c>
      <c r="W283">
        <f t="shared" si="9"/>
        <v>25.41878229425053</v>
      </c>
      <c r="Y283" s="9">
        <v>280</v>
      </c>
      <c r="Z283" s="10">
        <v>18.017899942802408</v>
      </c>
    </row>
    <row r="284" spans="1:26" x14ac:dyDescent="0.25">
      <c r="A284">
        <v>283</v>
      </c>
      <c r="B284">
        <v>767</v>
      </c>
      <c r="C284">
        <v>75551360.859999999</v>
      </c>
      <c r="D284">
        <v>1.8191499142161699E-2</v>
      </c>
      <c r="E284">
        <f t="shared" si="8"/>
        <v>19.772832969790166</v>
      </c>
      <c r="F284" t="e">
        <f>VLOOKUP(A284,Sheet3!B:D,3,0)*100</f>
        <v>#N/A</v>
      </c>
      <c r="R284">
        <v>81</v>
      </c>
      <c r="S284" t="s">
        <v>21</v>
      </c>
      <c r="T284">
        <v>12</v>
      </c>
      <c r="U284">
        <v>35867567.789999999</v>
      </c>
      <c r="V284">
        <v>5.2309962671129299E-2</v>
      </c>
      <c r="W284">
        <f t="shared" si="9"/>
        <v>47.519763790378065</v>
      </c>
      <c r="Y284" s="9">
        <v>281</v>
      </c>
      <c r="Z284" s="10">
        <v>13.389380789562189</v>
      </c>
    </row>
    <row r="285" spans="1:26" x14ac:dyDescent="0.25">
      <c r="A285">
        <v>284</v>
      </c>
      <c r="B285">
        <v>723</v>
      </c>
      <c r="C285">
        <v>64273876.57</v>
      </c>
      <c r="D285">
        <v>1.64565938360417E-2</v>
      </c>
      <c r="E285">
        <f t="shared" si="8"/>
        <v>18.055016182145465</v>
      </c>
      <c r="F285" t="e">
        <f>VLOOKUP(A285,Sheet3!B:D,3,0)*100</f>
        <v>#N/A</v>
      </c>
      <c r="R285">
        <v>82</v>
      </c>
      <c r="S285" t="s">
        <v>19</v>
      </c>
      <c r="T285">
        <v>36345</v>
      </c>
      <c r="U285">
        <v>107276862834.87</v>
      </c>
      <c r="V285">
        <v>2.41113999496744E-2</v>
      </c>
      <c r="W285">
        <f t="shared" si="9"/>
        <v>25.388986864593409</v>
      </c>
      <c r="Y285" s="9">
        <v>282</v>
      </c>
      <c r="Z285" s="10">
        <v>15.7968852157497</v>
      </c>
    </row>
    <row r="286" spans="1:26" x14ac:dyDescent="0.25">
      <c r="A286">
        <v>285</v>
      </c>
      <c r="B286">
        <v>686</v>
      </c>
      <c r="C286">
        <v>61795527.350000001</v>
      </c>
      <c r="D286">
        <v>1.57943859388117E-2</v>
      </c>
      <c r="E286">
        <f t="shared" si="8"/>
        <v>17.390488152322114</v>
      </c>
      <c r="F286" t="e">
        <f>VLOOKUP(A286,Sheet3!B:D,3,0)*100</f>
        <v>#N/A</v>
      </c>
      <c r="R286">
        <v>83</v>
      </c>
      <c r="S286" t="s">
        <v>19</v>
      </c>
      <c r="T286">
        <v>36061</v>
      </c>
      <c r="U286">
        <v>103281170196.71001</v>
      </c>
      <c r="V286">
        <v>2.3781004017668E-2</v>
      </c>
      <c r="W286">
        <f t="shared" si="9"/>
        <v>25.085298971568115</v>
      </c>
      <c r="Y286" s="9">
        <v>283</v>
      </c>
      <c r="Z286" s="10">
        <v>19.772832969790166</v>
      </c>
    </row>
    <row r="287" spans="1:26" x14ac:dyDescent="0.25">
      <c r="A287">
        <v>286</v>
      </c>
      <c r="B287">
        <v>660</v>
      </c>
      <c r="C287">
        <v>60775270.600000001</v>
      </c>
      <c r="D287">
        <v>1.27876179960205E-2</v>
      </c>
      <c r="E287">
        <f t="shared" si="8"/>
        <v>14.310595288570138</v>
      </c>
      <c r="F287" t="e">
        <f>VLOOKUP(A287,Sheet3!B:D,3,0)*100</f>
        <v>#N/A</v>
      </c>
      <c r="R287">
        <v>84</v>
      </c>
      <c r="S287" t="s">
        <v>19</v>
      </c>
      <c r="T287">
        <v>35938</v>
      </c>
      <c r="U287">
        <v>100083769764.63</v>
      </c>
      <c r="V287">
        <v>2.4650901262851799E-2</v>
      </c>
      <c r="W287">
        <f t="shared" si="9"/>
        <v>25.882451879725</v>
      </c>
      <c r="Y287" s="9">
        <v>284</v>
      </c>
      <c r="Z287" s="10">
        <v>18.055016182145465</v>
      </c>
    </row>
    <row r="288" spans="1:26" x14ac:dyDescent="0.25">
      <c r="A288">
        <v>287</v>
      </c>
      <c r="B288">
        <v>611</v>
      </c>
      <c r="C288">
        <v>55321250.840000004</v>
      </c>
      <c r="D288">
        <v>1.32678443944695E-2</v>
      </c>
      <c r="E288">
        <f t="shared" si="8"/>
        <v>14.809459330567588</v>
      </c>
      <c r="F288" t="e">
        <f>VLOOKUP(A288,Sheet3!B:D,3,0)*100</f>
        <v>#N/A</v>
      </c>
      <c r="R288">
        <v>85</v>
      </c>
      <c r="S288" t="s">
        <v>19</v>
      </c>
      <c r="T288">
        <v>35779</v>
      </c>
      <c r="U288">
        <v>96085768997.789993</v>
      </c>
      <c r="V288">
        <v>2.4671921271267602E-2</v>
      </c>
      <c r="W288">
        <f t="shared" si="9"/>
        <v>25.901617532312173</v>
      </c>
      <c r="Y288" s="9">
        <v>285</v>
      </c>
      <c r="Z288" s="10">
        <v>17.390488152322114</v>
      </c>
    </row>
    <row r="289" spans="1:26" x14ac:dyDescent="0.25">
      <c r="A289">
        <v>288</v>
      </c>
      <c r="B289">
        <v>584</v>
      </c>
      <c r="C289">
        <v>55647821.810000002</v>
      </c>
      <c r="D289">
        <v>1.59928874611431E-2</v>
      </c>
      <c r="E289">
        <f t="shared" si="8"/>
        <v>17.590201737829435</v>
      </c>
      <c r="F289">
        <f>VLOOKUP(A289,Sheet3!B:D,3,0)*100</f>
        <v>16.580000000000002</v>
      </c>
      <c r="R289">
        <v>86</v>
      </c>
      <c r="S289" t="s">
        <v>19</v>
      </c>
      <c r="T289">
        <v>35588</v>
      </c>
      <c r="U289">
        <v>93064172235.75</v>
      </c>
      <c r="V289">
        <v>2.5787071309178101E-2</v>
      </c>
      <c r="W289">
        <f t="shared" si="9"/>
        <v>26.911901182087561</v>
      </c>
      <c r="Y289" s="9">
        <v>286</v>
      </c>
      <c r="Z289" s="10">
        <v>14.310595288570138</v>
      </c>
    </row>
    <row r="290" spans="1:26" x14ac:dyDescent="0.25">
      <c r="A290">
        <v>289</v>
      </c>
      <c r="B290">
        <v>538</v>
      </c>
      <c r="C290">
        <v>45493656.93</v>
      </c>
      <c r="D290">
        <v>1.7130888366954498E-2</v>
      </c>
      <c r="E290">
        <f t="shared" si="8"/>
        <v>18.726634912178909</v>
      </c>
      <c r="F290" t="e">
        <f>VLOOKUP(A290,Sheet3!B:D,3,0)*100</f>
        <v>#N/A</v>
      </c>
      <c r="R290">
        <v>87</v>
      </c>
      <c r="S290" t="s">
        <v>19</v>
      </c>
      <c r="T290">
        <v>35409</v>
      </c>
      <c r="U290">
        <v>89818275441.369995</v>
      </c>
      <c r="V290">
        <v>2.6400778772721401E-2</v>
      </c>
      <c r="W290">
        <f t="shared" si="9"/>
        <v>27.462494916285962</v>
      </c>
      <c r="Y290" s="9">
        <v>287</v>
      </c>
      <c r="Z290" s="10">
        <v>14.809459330567588</v>
      </c>
    </row>
    <row r="291" spans="1:26" x14ac:dyDescent="0.25">
      <c r="A291">
        <v>290</v>
      </c>
      <c r="B291">
        <v>511</v>
      </c>
      <c r="C291">
        <v>43863240.899999999</v>
      </c>
      <c r="D291">
        <v>1.6119412666829602E-2</v>
      </c>
      <c r="E291">
        <f t="shared" si="8"/>
        <v>17.717268452690405</v>
      </c>
      <c r="F291" t="e">
        <f>VLOOKUP(A291,Sheet3!B:D,3,0)*100</f>
        <v>#N/A</v>
      </c>
      <c r="R291">
        <v>88</v>
      </c>
      <c r="S291" t="s">
        <v>19</v>
      </c>
      <c r="T291">
        <v>35181</v>
      </c>
      <c r="U291">
        <v>86741879971.050003</v>
      </c>
      <c r="V291">
        <v>2.7156123198415299E-2</v>
      </c>
      <c r="W291">
        <f t="shared" si="9"/>
        <v>28.134939275700045</v>
      </c>
      <c r="Y291" s="9">
        <v>288</v>
      </c>
      <c r="Z291" s="10">
        <v>17.590201737829435</v>
      </c>
    </row>
    <row r="292" spans="1:26" x14ac:dyDescent="0.25">
      <c r="A292">
        <v>291</v>
      </c>
      <c r="B292">
        <v>491</v>
      </c>
      <c r="C292">
        <v>40282955.020000003</v>
      </c>
      <c r="D292">
        <v>1.6316279790235401E-2</v>
      </c>
      <c r="E292">
        <f t="shared" si="8"/>
        <v>17.914621056777914</v>
      </c>
      <c r="F292" t="e">
        <f>VLOOKUP(A292,Sheet3!B:D,3,0)*100</f>
        <v>#N/A</v>
      </c>
      <c r="R292">
        <v>89</v>
      </c>
      <c r="S292" t="s">
        <v>19</v>
      </c>
      <c r="T292">
        <v>34903</v>
      </c>
      <c r="U292">
        <v>82740128417.820007</v>
      </c>
      <c r="V292">
        <v>2.7077802927349199E-2</v>
      </c>
      <c r="W292">
        <f t="shared" si="9"/>
        <v>28.065481258164915</v>
      </c>
      <c r="Y292" s="9">
        <v>289</v>
      </c>
      <c r="Z292" s="10">
        <v>18.726634912178909</v>
      </c>
    </row>
    <row r="293" spans="1:26" x14ac:dyDescent="0.25">
      <c r="A293">
        <v>292</v>
      </c>
      <c r="B293">
        <v>464</v>
      </c>
      <c r="C293">
        <v>40006966.5</v>
      </c>
      <c r="D293">
        <v>2.1547905940678801E-2</v>
      </c>
      <c r="E293">
        <f t="shared" si="8"/>
        <v>23.002822659976264</v>
      </c>
      <c r="F293" t="e">
        <f>VLOOKUP(A293,Sheet3!B:D,3,0)*100</f>
        <v>#N/A</v>
      </c>
      <c r="R293">
        <v>90</v>
      </c>
      <c r="S293" t="s">
        <v>19</v>
      </c>
      <c r="T293">
        <v>34643</v>
      </c>
      <c r="U293">
        <v>79330979537.770004</v>
      </c>
      <c r="V293">
        <v>2.6625458801251198E-2</v>
      </c>
      <c r="W293">
        <f t="shared" si="9"/>
        <v>27.663116178667259</v>
      </c>
      <c r="Y293" s="9">
        <v>290</v>
      </c>
      <c r="Z293" s="10">
        <v>17.717268452690405</v>
      </c>
    </row>
    <row r="294" spans="1:26" x14ac:dyDescent="0.25">
      <c r="A294">
        <v>293</v>
      </c>
      <c r="B294">
        <v>442</v>
      </c>
      <c r="C294">
        <v>35450532.350000001</v>
      </c>
      <c r="D294">
        <v>1.8308333467433199E-2</v>
      </c>
      <c r="E294">
        <f t="shared" si="8"/>
        <v>19.887321543681391</v>
      </c>
      <c r="F294" t="e">
        <f>VLOOKUP(A294,Sheet3!B:D,3,0)*100</f>
        <v>#N/A</v>
      </c>
      <c r="R294">
        <v>91</v>
      </c>
      <c r="S294" t="s">
        <v>19</v>
      </c>
      <c r="T294">
        <v>34453</v>
      </c>
      <c r="U294">
        <v>76052454737.740005</v>
      </c>
      <c r="V294">
        <v>2.6012233355073699E-2</v>
      </c>
      <c r="W294">
        <f t="shared" si="9"/>
        <v>27.114350920712049</v>
      </c>
      <c r="Y294" s="9">
        <v>291</v>
      </c>
      <c r="Z294" s="10">
        <v>17.914621056777914</v>
      </c>
    </row>
    <row r="295" spans="1:26" x14ac:dyDescent="0.25">
      <c r="A295">
        <v>294</v>
      </c>
      <c r="B295">
        <v>417</v>
      </c>
      <c r="C295">
        <v>32019240.719999999</v>
      </c>
      <c r="D295">
        <v>1.40419732764671E-2</v>
      </c>
      <c r="E295">
        <f t="shared" si="8"/>
        <v>15.608030277270746</v>
      </c>
      <c r="F295" t="e">
        <f>VLOOKUP(A295,Sheet3!B:D,3,0)*100</f>
        <v>#N/A</v>
      </c>
      <c r="R295">
        <v>92</v>
      </c>
      <c r="S295" t="s">
        <v>19</v>
      </c>
      <c r="T295">
        <v>34161</v>
      </c>
      <c r="U295">
        <v>73010158224.610001</v>
      </c>
      <c r="V295">
        <v>2.59275383726052E-2</v>
      </c>
      <c r="W295">
        <f t="shared" si="9"/>
        <v>27.038259591685389</v>
      </c>
      <c r="Y295" s="9">
        <v>292</v>
      </c>
      <c r="Z295" s="10">
        <v>23.002822659976264</v>
      </c>
    </row>
    <row r="296" spans="1:26" x14ac:dyDescent="0.25">
      <c r="A296">
        <v>295</v>
      </c>
      <c r="B296">
        <v>387</v>
      </c>
      <c r="C296">
        <v>28208364.02</v>
      </c>
      <c r="D296">
        <v>1.6023627931361299E-2</v>
      </c>
      <c r="E296">
        <f t="shared" si="8"/>
        <v>17.621090303815802</v>
      </c>
      <c r="F296" t="e">
        <f>VLOOKUP(A296,Sheet3!B:D,3,0)*100</f>
        <v>#N/A</v>
      </c>
      <c r="R296">
        <v>93</v>
      </c>
      <c r="S296" t="s">
        <v>19</v>
      </c>
      <c r="T296">
        <v>34066</v>
      </c>
      <c r="U296">
        <v>70566537926.75</v>
      </c>
      <c r="V296">
        <v>2.51836264437241E-2</v>
      </c>
      <c r="W296">
        <f t="shared" si="9"/>
        <v>26.36678169634914</v>
      </c>
      <c r="Y296" s="9">
        <v>293</v>
      </c>
      <c r="Z296" s="10">
        <v>19.887321543681391</v>
      </c>
    </row>
    <row r="297" spans="1:26" x14ac:dyDescent="0.25">
      <c r="A297">
        <v>296</v>
      </c>
      <c r="B297">
        <v>367</v>
      </c>
      <c r="C297">
        <v>32540689.25</v>
      </c>
      <c r="D297">
        <v>2.2512476345653901E-2</v>
      </c>
      <c r="E297">
        <f t="shared" si="8"/>
        <v>23.908757664530565</v>
      </c>
      <c r="F297" t="e">
        <f>VLOOKUP(A297,Sheet3!B:D,3,0)*100</f>
        <v>#N/A</v>
      </c>
      <c r="R297">
        <v>94</v>
      </c>
      <c r="S297" t="s">
        <v>19</v>
      </c>
      <c r="T297">
        <v>33784</v>
      </c>
      <c r="U297">
        <v>68145209811.099998</v>
      </c>
      <c r="V297">
        <v>2.47843580016519E-2</v>
      </c>
      <c r="W297">
        <f t="shared" si="9"/>
        <v>26.004058131633478</v>
      </c>
      <c r="Y297" s="9">
        <v>294</v>
      </c>
      <c r="Z297" s="10">
        <v>15.608030277270746</v>
      </c>
    </row>
    <row r="298" spans="1:26" x14ac:dyDescent="0.25">
      <c r="A298">
        <v>297</v>
      </c>
      <c r="B298">
        <v>337</v>
      </c>
      <c r="C298">
        <v>27824887.57</v>
      </c>
      <c r="D298">
        <v>1.8535863328027001E-2</v>
      </c>
      <c r="E298">
        <f t="shared" si="8"/>
        <v>20.109853430979861</v>
      </c>
      <c r="F298" t="e">
        <f>VLOOKUP(A298,Sheet3!B:D,3,0)*100</f>
        <v>#N/A</v>
      </c>
      <c r="R298">
        <v>95</v>
      </c>
      <c r="S298" t="s">
        <v>19</v>
      </c>
      <c r="T298">
        <v>33635</v>
      </c>
      <c r="U298">
        <v>66191223923.970001</v>
      </c>
      <c r="V298">
        <v>2.46446964072152E-2</v>
      </c>
      <c r="W298">
        <f t="shared" si="9"/>
        <v>25.876793539198939</v>
      </c>
      <c r="Y298" s="9">
        <v>295</v>
      </c>
      <c r="Z298" s="10">
        <v>17.621090303815802</v>
      </c>
    </row>
    <row r="299" spans="1:26" x14ac:dyDescent="0.25">
      <c r="A299">
        <v>298</v>
      </c>
      <c r="B299">
        <v>318</v>
      </c>
      <c r="C299">
        <v>22891032.399999999</v>
      </c>
      <c r="D299">
        <v>1.5770852492178099E-2</v>
      </c>
      <c r="E299">
        <f t="shared" si="8"/>
        <v>17.366781615394832</v>
      </c>
      <c r="F299" t="e">
        <f>VLOOKUP(A299,Sheet3!B:D,3,0)*100</f>
        <v>#N/A</v>
      </c>
      <c r="R299">
        <v>96</v>
      </c>
      <c r="S299" t="s">
        <v>19</v>
      </c>
      <c r="T299">
        <v>33459</v>
      </c>
      <c r="U299">
        <v>64193163988.5</v>
      </c>
      <c r="V299">
        <v>2.4830865563517601E-2</v>
      </c>
      <c r="W299">
        <f t="shared" si="9"/>
        <v>26.046392994131939</v>
      </c>
      <c r="Y299" s="9">
        <v>296</v>
      </c>
      <c r="Z299" s="10">
        <v>23.908757664530565</v>
      </c>
    </row>
    <row r="300" spans="1:26" x14ac:dyDescent="0.25">
      <c r="A300">
        <v>299</v>
      </c>
      <c r="B300">
        <v>310</v>
      </c>
      <c r="C300">
        <v>23029362.640000001</v>
      </c>
      <c r="D300">
        <v>1.31755401009699E-2</v>
      </c>
      <c r="E300">
        <f t="shared" si="8"/>
        <v>14.713779874307376</v>
      </c>
      <c r="F300" t="e">
        <f>VLOOKUP(A300,Sheet3!B:D,3,0)*100</f>
        <v>#N/A</v>
      </c>
      <c r="R300">
        <v>97</v>
      </c>
      <c r="S300" t="s">
        <v>19</v>
      </c>
      <c r="T300">
        <v>33312</v>
      </c>
      <c r="U300">
        <v>62738153616.400002</v>
      </c>
      <c r="V300">
        <v>2.4683019194771099E-2</v>
      </c>
      <c r="W300">
        <f t="shared" si="9"/>
        <v>25.911734579933466</v>
      </c>
      <c r="Y300" s="9">
        <v>297</v>
      </c>
      <c r="Z300" s="10">
        <v>20.109853430979861</v>
      </c>
    </row>
    <row r="301" spans="1:26" x14ac:dyDescent="0.25">
      <c r="A301">
        <v>300</v>
      </c>
      <c r="B301">
        <v>291</v>
      </c>
      <c r="C301">
        <v>19602030.030000001</v>
      </c>
      <c r="D301">
        <v>1.9250698308430701E-2</v>
      </c>
      <c r="E301">
        <f t="shared" si="8"/>
        <v>20.805304933076652</v>
      </c>
      <c r="F301">
        <f>VLOOKUP(A301,Sheet3!B:D,3,0)*100</f>
        <v>17.84</v>
      </c>
      <c r="R301">
        <v>98</v>
      </c>
      <c r="S301" t="s">
        <v>19</v>
      </c>
      <c r="T301">
        <v>33041</v>
      </c>
      <c r="U301">
        <v>60935704280.110001</v>
      </c>
      <c r="V301">
        <v>2.4246547330773301E-2</v>
      </c>
      <c r="W301">
        <f t="shared" si="9"/>
        <v>25.512883869557601</v>
      </c>
      <c r="Y301" s="9">
        <v>298</v>
      </c>
      <c r="Z301" s="10">
        <v>17.366781615394832</v>
      </c>
    </row>
    <row r="302" spans="1:26" x14ac:dyDescent="0.25">
      <c r="A302">
        <v>301</v>
      </c>
      <c r="B302">
        <v>286</v>
      </c>
      <c r="C302">
        <v>19875854.809999999</v>
      </c>
      <c r="D302">
        <v>2.4771610524039599E-2</v>
      </c>
      <c r="E302">
        <f t="shared" si="8"/>
        <v>25.992450490551246</v>
      </c>
      <c r="F302" t="e">
        <f>VLOOKUP(A302,Sheet3!B:D,3,0)*100</f>
        <v>#N/A</v>
      </c>
      <c r="R302">
        <v>99</v>
      </c>
      <c r="S302" t="s">
        <v>19</v>
      </c>
      <c r="T302">
        <v>32863</v>
      </c>
      <c r="U302">
        <v>59367660800.239998</v>
      </c>
      <c r="V302">
        <v>2.4261118318604901E-2</v>
      </c>
      <c r="W302">
        <f t="shared" si="9"/>
        <v>25.526230622949207</v>
      </c>
      <c r="Y302" s="9">
        <v>299</v>
      </c>
      <c r="Z302" s="10">
        <v>14.713779874307376</v>
      </c>
    </row>
    <row r="303" spans="1:26" x14ac:dyDescent="0.25">
      <c r="A303">
        <v>302</v>
      </c>
      <c r="B303">
        <v>272</v>
      </c>
      <c r="C303">
        <v>21572215.030000001</v>
      </c>
      <c r="D303">
        <v>2.6422119737740699E-2</v>
      </c>
      <c r="E303">
        <f t="shared" si="8"/>
        <v>27.481572586588289</v>
      </c>
      <c r="F303" t="e">
        <f>VLOOKUP(A303,Sheet3!B:D,3,0)*100</f>
        <v>#N/A</v>
      </c>
      <c r="R303">
        <v>100</v>
      </c>
      <c r="S303" t="s">
        <v>19</v>
      </c>
      <c r="T303">
        <v>32651</v>
      </c>
      <c r="U303">
        <v>57490663371.93</v>
      </c>
      <c r="V303">
        <v>2.4838813032511901E-2</v>
      </c>
      <c r="W303">
        <f t="shared" si="9"/>
        <v>26.053625187607597</v>
      </c>
      <c r="Y303" s="9">
        <v>300</v>
      </c>
      <c r="Z303" s="10">
        <v>20.805304933076652</v>
      </c>
    </row>
    <row r="304" spans="1:26" x14ac:dyDescent="0.25">
      <c r="A304">
        <v>303</v>
      </c>
      <c r="B304">
        <v>267</v>
      </c>
      <c r="C304">
        <v>20705523.629999999</v>
      </c>
      <c r="D304">
        <v>2.2071804788578502E-2</v>
      </c>
      <c r="E304">
        <f t="shared" si="8"/>
        <v>23.4960934206781</v>
      </c>
      <c r="F304" t="e">
        <f>VLOOKUP(A304,Sheet3!B:D,3,0)*100</f>
        <v>#N/A</v>
      </c>
      <c r="R304">
        <v>101</v>
      </c>
      <c r="S304" t="s">
        <v>19</v>
      </c>
      <c r="T304">
        <v>32399</v>
      </c>
      <c r="U304">
        <v>56060203561.18</v>
      </c>
      <c r="V304">
        <v>2.5213801489691899E-2</v>
      </c>
      <c r="W304">
        <f t="shared" si="9"/>
        <v>26.394128477585554</v>
      </c>
      <c r="Y304" s="9">
        <v>301</v>
      </c>
      <c r="Z304" s="10">
        <v>25.992450490551246</v>
      </c>
    </row>
    <row r="305" spans="1:26" x14ac:dyDescent="0.25">
      <c r="A305">
        <v>304</v>
      </c>
      <c r="B305">
        <v>272</v>
      </c>
      <c r="C305">
        <v>24358139.579999998</v>
      </c>
      <c r="D305">
        <v>2.1313134673496201E-2</v>
      </c>
      <c r="E305">
        <f t="shared" si="8"/>
        <v>22.780832033500698</v>
      </c>
      <c r="F305" t="e">
        <f>VLOOKUP(A305,Sheet3!B:D,3,0)*100</f>
        <v>#N/A</v>
      </c>
      <c r="R305">
        <v>102</v>
      </c>
      <c r="S305" t="s">
        <v>19</v>
      </c>
      <c r="T305">
        <v>32116</v>
      </c>
      <c r="U305">
        <v>54200831044.169998</v>
      </c>
      <c r="V305">
        <v>2.4670796219869999E-2</v>
      </c>
      <c r="W305">
        <f t="shared" si="9"/>
        <v>25.900591846459776</v>
      </c>
      <c r="Y305" s="9">
        <v>302</v>
      </c>
      <c r="Z305" s="10">
        <v>27.481572586588289</v>
      </c>
    </row>
    <row r="306" spans="1:26" x14ac:dyDescent="0.25">
      <c r="A306">
        <v>305</v>
      </c>
      <c r="B306">
        <v>258</v>
      </c>
      <c r="C306">
        <v>19417605.260000002</v>
      </c>
      <c r="D306">
        <v>1.5654421306091001E-2</v>
      </c>
      <c r="E306">
        <f t="shared" si="8"/>
        <v>17.249402292780726</v>
      </c>
      <c r="F306" t="e">
        <f>VLOOKUP(A306,Sheet3!B:D,3,0)*100</f>
        <v>#N/A</v>
      </c>
      <c r="R306">
        <v>103</v>
      </c>
      <c r="S306" t="s">
        <v>19</v>
      </c>
      <c r="T306">
        <v>31921</v>
      </c>
      <c r="U306">
        <v>52683087691.790001</v>
      </c>
      <c r="V306">
        <v>2.4902234491251399E-2</v>
      </c>
      <c r="W306">
        <f t="shared" si="9"/>
        <v>26.111315462833385</v>
      </c>
      <c r="Y306" s="9">
        <v>303</v>
      </c>
      <c r="Z306" s="10">
        <v>23.4960934206781</v>
      </c>
    </row>
    <row r="307" spans="1:26" x14ac:dyDescent="0.25">
      <c r="A307">
        <v>306</v>
      </c>
      <c r="B307">
        <v>228</v>
      </c>
      <c r="C307">
        <v>16514628.720000001</v>
      </c>
      <c r="D307">
        <v>1.8943742854172899E-2</v>
      </c>
      <c r="E307">
        <f t="shared" si="8"/>
        <v>20.507355603848097</v>
      </c>
      <c r="F307" t="e">
        <f>VLOOKUP(A307,Sheet3!B:D,3,0)*100</f>
        <v>#N/A</v>
      </c>
      <c r="R307">
        <v>104</v>
      </c>
      <c r="S307" t="s">
        <v>19</v>
      </c>
      <c r="T307">
        <v>31566</v>
      </c>
      <c r="U307">
        <v>50968430571.290001</v>
      </c>
      <c r="V307">
        <v>2.52631366460013E-2</v>
      </c>
      <c r="W307">
        <f t="shared" si="9"/>
        <v>26.43881946547214</v>
      </c>
      <c r="Y307" s="9">
        <v>304</v>
      </c>
      <c r="Z307" s="10">
        <v>22.780832033500698</v>
      </c>
    </row>
    <row r="308" spans="1:26" x14ac:dyDescent="0.25">
      <c r="A308">
        <v>307</v>
      </c>
      <c r="B308">
        <v>231</v>
      </c>
      <c r="C308">
        <v>16564941.609999999</v>
      </c>
      <c r="D308">
        <v>2.7950593808288099E-2</v>
      </c>
      <c r="E308">
        <f t="shared" si="8"/>
        <v>28.836045784196319</v>
      </c>
      <c r="F308" t="e">
        <f>VLOOKUP(A308,Sheet3!B:D,3,0)*100</f>
        <v>#N/A</v>
      </c>
      <c r="R308">
        <v>105</v>
      </c>
      <c r="S308" t="s">
        <v>19</v>
      </c>
      <c r="T308">
        <v>31233</v>
      </c>
      <c r="U308">
        <v>49042930960.129997</v>
      </c>
      <c r="V308">
        <v>2.5863555947109901E-2</v>
      </c>
      <c r="W308">
        <f t="shared" si="9"/>
        <v>26.980728479624304</v>
      </c>
      <c r="Y308" s="9">
        <v>305</v>
      </c>
      <c r="Z308" s="10">
        <v>17.249402292780726</v>
      </c>
    </row>
    <row r="309" spans="1:26" x14ac:dyDescent="0.25">
      <c r="A309">
        <v>308</v>
      </c>
      <c r="B309">
        <v>226</v>
      </c>
      <c r="C309">
        <v>15589648.65</v>
      </c>
      <c r="D309">
        <v>1.9537767288592401E-2</v>
      </c>
      <c r="E309">
        <f t="shared" si="8"/>
        <v>21.083024549895178</v>
      </c>
      <c r="F309" t="e">
        <f>VLOOKUP(A309,Sheet3!B:D,3,0)*100</f>
        <v>#N/A</v>
      </c>
      <c r="R309">
        <v>106</v>
      </c>
      <c r="S309" t="s">
        <v>19</v>
      </c>
      <c r="T309">
        <v>30909</v>
      </c>
      <c r="U309">
        <v>47532428610.830002</v>
      </c>
      <c r="V309">
        <v>2.64521559201874E-2</v>
      </c>
      <c r="W309">
        <f t="shared" si="9"/>
        <v>27.508415519656115</v>
      </c>
      <c r="Y309" s="9">
        <v>306</v>
      </c>
      <c r="Z309" s="10">
        <v>20.507355603848097</v>
      </c>
    </row>
    <row r="310" spans="1:26" x14ac:dyDescent="0.25">
      <c r="A310">
        <v>309</v>
      </c>
      <c r="B310">
        <v>224</v>
      </c>
      <c r="C310">
        <v>15693539.869999999</v>
      </c>
      <c r="D310">
        <v>2.2540230269598099E-2</v>
      </c>
      <c r="E310">
        <f t="shared" si="8"/>
        <v>23.934679232771362</v>
      </c>
      <c r="F310" t="e">
        <f>VLOOKUP(A310,Sheet3!B:D,3,0)*100</f>
        <v>#N/A</v>
      </c>
      <c r="R310">
        <v>107</v>
      </c>
      <c r="S310" t="s">
        <v>19</v>
      </c>
      <c r="T310">
        <v>30621</v>
      </c>
      <c r="U310">
        <v>45730878914.800003</v>
      </c>
      <c r="V310">
        <v>2.7312182493776201E-2</v>
      </c>
      <c r="W310">
        <f t="shared" si="9"/>
        <v>28.273156573772141</v>
      </c>
      <c r="Y310" s="9">
        <v>307</v>
      </c>
      <c r="Z310" s="10">
        <v>28.836045784196319</v>
      </c>
    </row>
    <row r="311" spans="1:26" x14ac:dyDescent="0.25">
      <c r="A311">
        <v>310</v>
      </c>
      <c r="B311">
        <v>218</v>
      </c>
      <c r="C311">
        <v>13539825.18</v>
      </c>
      <c r="D311">
        <v>1.98660552668324E-2</v>
      </c>
      <c r="E311">
        <f t="shared" si="8"/>
        <v>21.399526334774777</v>
      </c>
      <c r="F311" t="e">
        <f>VLOOKUP(A311,Sheet3!B:D,3,0)*100</f>
        <v>#N/A</v>
      </c>
      <c r="R311">
        <v>108</v>
      </c>
      <c r="S311" t="s">
        <v>19</v>
      </c>
      <c r="T311">
        <v>30326</v>
      </c>
      <c r="U311">
        <v>43812817479.699997</v>
      </c>
      <c r="V311">
        <v>2.7776740267007501E-2</v>
      </c>
      <c r="W311">
        <f t="shared" si="9"/>
        <v>28.683161172309603</v>
      </c>
      <c r="Y311" s="9">
        <v>308</v>
      </c>
      <c r="Z311" s="10">
        <v>21.083024549895178</v>
      </c>
    </row>
    <row r="312" spans="1:26" x14ac:dyDescent="0.25">
      <c r="A312">
        <v>311</v>
      </c>
      <c r="B312">
        <v>206</v>
      </c>
      <c r="C312">
        <v>12702326.390000001</v>
      </c>
      <c r="D312">
        <v>2.0688001976793002E-2</v>
      </c>
      <c r="E312">
        <f t="shared" si="8"/>
        <v>22.186866685557316</v>
      </c>
      <c r="F312" t="e">
        <f>VLOOKUP(A312,Sheet3!B:D,3,0)*100</f>
        <v>#N/A</v>
      </c>
      <c r="R312">
        <v>109</v>
      </c>
      <c r="S312" t="s">
        <v>19</v>
      </c>
      <c r="T312">
        <v>30017</v>
      </c>
      <c r="U312">
        <v>43062184161.25</v>
      </c>
      <c r="V312">
        <v>2.8992524439133801E-2</v>
      </c>
      <c r="W312">
        <f t="shared" si="9"/>
        <v>29.746028300398397</v>
      </c>
      <c r="Y312" s="9">
        <v>309</v>
      </c>
      <c r="Z312" s="10">
        <v>23.934679232771362</v>
      </c>
    </row>
    <row r="313" spans="1:26" x14ac:dyDescent="0.25">
      <c r="A313">
        <v>312</v>
      </c>
      <c r="B313">
        <v>190</v>
      </c>
      <c r="C313">
        <v>12075892.17</v>
      </c>
      <c r="D313">
        <v>2.0322792508167101E-2</v>
      </c>
      <c r="E313">
        <f t="shared" si="8"/>
        <v>21.837930449908004</v>
      </c>
      <c r="F313">
        <f>VLOOKUP(A313,Sheet3!B:D,3,0)*100</f>
        <v>18.88</v>
      </c>
      <c r="R313">
        <v>110</v>
      </c>
      <c r="S313" t="s">
        <v>19</v>
      </c>
      <c r="T313">
        <v>29780</v>
      </c>
      <c r="U313">
        <v>41673852912.010002</v>
      </c>
      <c r="V313">
        <v>2.9455711087184502E-2</v>
      </c>
      <c r="W313">
        <f t="shared" si="9"/>
        <v>30.147122602000621</v>
      </c>
      <c r="Y313" s="9">
        <v>310</v>
      </c>
      <c r="Z313" s="10">
        <v>21.399526334774777</v>
      </c>
    </row>
    <row r="314" spans="1:26" x14ac:dyDescent="0.25">
      <c r="A314">
        <v>313</v>
      </c>
      <c r="B314">
        <v>181</v>
      </c>
      <c r="C314">
        <v>12054495.58</v>
      </c>
      <c r="D314">
        <v>2.92440343159759E-2</v>
      </c>
      <c r="E314">
        <f t="shared" si="8"/>
        <v>29.96408327204313</v>
      </c>
      <c r="F314" t="e">
        <f>VLOOKUP(A314,Sheet3!B:D,3,0)*100</f>
        <v>#N/A</v>
      </c>
      <c r="R314">
        <v>111</v>
      </c>
      <c r="S314" t="s">
        <v>19</v>
      </c>
      <c r="T314">
        <v>29500</v>
      </c>
      <c r="U314">
        <v>40083223008.470001</v>
      </c>
      <c r="V314">
        <v>2.9407186512873201E-2</v>
      </c>
      <c r="W314">
        <f t="shared" si="9"/>
        <v>30.105201629387512</v>
      </c>
      <c r="Y314" s="9">
        <v>311</v>
      </c>
      <c r="Z314" s="10">
        <v>22.186866685557316</v>
      </c>
    </row>
    <row r="315" spans="1:26" x14ac:dyDescent="0.25">
      <c r="A315">
        <v>314</v>
      </c>
      <c r="B315">
        <v>167</v>
      </c>
      <c r="C315">
        <v>10212210.789999999</v>
      </c>
      <c r="D315">
        <v>1.8969510321307202E-2</v>
      </c>
      <c r="E315">
        <f t="shared" si="8"/>
        <v>20.53240650037106</v>
      </c>
      <c r="F315" t="e">
        <f>VLOOKUP(A315,Sheet3!B:D,3,0)*100</f>
        <v>#N/A</v>
      </c>
      <c r="R315">
        <v>112</v>
      </c>
      <c r="S315" t="s">
        <v>19</v>
      </c>
      <c r="T315">
        <v>29187</v>
      </c>
      <c r="U315">
        <v>39193234910.639999</v>
      </c>
      <c r="V315">
        <v>2.9802761041022099E-2</v>
      </c>
      <c r="W315">
        <f t="shared" si="9"/>
        <v>30.446272065262924</v>
      </c>
      <c r="Y315" s="9">
        <v>312</v>
      </c>
      <c r="Z315" s="10">
        <v>21.837930449908004</v>
      </c>
    </row>
    <row r="316" spans="1:26" x14ac:dyDescent="0.25">
      <c r="A316">
        <v>315</v>
      </c>
      <c r="B316">
        <v>164</v>
      </c>
      <c r="C316">
        <v>11353501.199999999</v>
      </c>
      <c r="D316">
        <v>2.2952172468288401E-2</v>
      </c>
      <c r="E316">
        <f t="shared" si="8"/>
        <v>24.318473887581927</v>
      </c>
      <c r="F316" t="e">
        <f>VLOOKUP(A316,Sheet3!B:D,3,0)*100</f>
        <v>#N/A</v>
      </c>
      <c r="R316">
        <v>113</v>
      </c>
      <c r="S316" t="s">
        <v>19</v>
      </c>
      <c r="T316">
        <v>28848</v>
      </c>
      <c r="U316">
        <v>37337878995.169998</v>
      </c>
      <c r="V316">
        <v>3.06394003479948E-2</v>
      </c>
      <c r="W316">
        <f t="shared" si="9"/>
        <v>31.162615236363045</v>
      </c>
      <c r="Y316" s="9">
        <v>313</v>
      </c>
      <c r="Z316" s="10">
        <v>29.96408327204313</v>
      </c>
    </row>
    <row r="317" spans="1:26" x14ac:dyDescent="0.25">
      <c r="A317">
        <v>316</v>
      </c>
      <c r="B317">
        <v>176</v>
      </c>
      <c r="C317">
        <v>9475607.5500000007</v>
      </c>
      <c r="D317">
        <v>2.0611250520468201E-2</v>
      </c>
      <c r="E317">
        <f t="shared" si="8"/>
        <v>22.113653903455223</v>
      </c>
      <c r="F317" t="e">
        <f>VLOOKUP(A317,Sheet3!B:D,3,0)*100</f>
        <v>#N/A</v>
      </c>
      <c r="R317">
        <v>114</v>
      </c>
      <c r="S317" t="s">
        <v>19</v>
      </c>
      <c r="T317">
        <v>28525</v>
      </c>
      <c r="U317">
        <v>35830398204.120003</v>
      </c>
      <c r="V317">
        <v>3.0049603135302302E-2</v>
      </c>
      <c r="W317">
        <f t="shared" si="9"/>
        <v>30.658329358121716</v>
      </c>
      <c r="Y317" s="9">
        <v>314</v>
      </c>
      <c r="Z317" s="10">
        <v>20.53240650037106</v>
      </c>
    </row>
    <row r="318" spans="1:26" x14ac:dyDescent="0.25">
      <c r="A318">
        <v>317</v>
      </c>
      <c r="B318">
        <v>155</v>
      </c>
      <c r="C318">
        <v>7108107.54</v>
      </c>
      <c r="D318">
        <v>1.5133399182992601E-2</v>
      </c>
      <c r="E318">
        <f t="shared" si="8"/>
        <v>16.722262670994859</v>
      </c>
      <c r="F318" t="e">
        <f>VLOOKUP(A318,Sheet3!B:D,3,0)*100</f>
        <v>#N/A</v>
      </c>
      <c r="R318">
        <v>115</v>
      </c>
      <c r="S318" t="s">
        <v>19</v>
      </c>
      <c r="T318">
        <v>28150</v>
      </c>
      <c r="U318">
        <v>34387212993.269997</v>
      </c>
      <c r="V318">
        <v>2.9449011766442601E-2</v>
      </c>
      <c r="W318">
        <f t="shared" si="9"/>
        <v>30.141336348629178</v>
      </c>
      <c r="Y318" s="9">
        <v>315</v>
      </c>
      <c r="Z318" s="10">
        <v>24.318473887581927</v>
      </c>
    </row>
    <row r="319" spans="1:26" x14ac:dyDescent="0.25">
      <c r="A319">
        <v>318</v>
      </c>
      <c r="B319">
        <v>160</v>
      </c>
      <c r="C319">
        <v>6962583.04</v>
      </c>
      <c r="D319">
        <v>2.48055888098535E-2</v>
      </c>
      <c r="E319">
        <f t="shared" si="8"/>
        <v>26.023386848147357</v>
      </c>
      <c r="F319" t="e">
        <f>VLOOKUP(A319,Sheet3!B:D,3,0)*100</f>
        <v>#N/A</v>
      </c>
      <c r="R319">
        <v>116</v>
      </c>
      <c r="S319" t="s">
        <v>19</v>
      </c>
      <c r="T319">
        <v>27890</v>
      </c>
      <c r="U319">
        <v>33072619725.18</v>
      </c>
      <c r="V319">
        <v>2.9560556443981301E-2</v>
      </c>
      <c r="W319">
        <f t="shared" si="9"/>
        <v>30.237621099727019</v>
      </c>
      <c r="Y319" s="9">
        <v>316</v>
      </c>
      <c r="Z319" s="10">
        <v>22.113653903455223</v>
      </c>
    </row>
    <row r="320" spans="1:26" x14ac:dyDescent="0.25">
      <c r="A320">
        <v>319</v>
      </c>
      <c r="B320">
        <v>163</v>
      </c>
      <c r="C320">
        <v>8211817.9900000002</v>
      </c>
      <c r="D320">
        <v>2.80232430123162E-2</v>
      </c>
      <c r="E320">
        <f t="shared" si="8"/>
        <v>28.899843528759096</v>
      </c>
      <c r="F320" t="e">
        <f>VLOOKUP(A320,Sheet3!B:D,3,0)*100</f>
        <v>#N/A</v>
      </c>
      <c r="R320">
        <v>117</v>
      </c>
      <c r="S320" t="s">
        <v>19</v>
      </c>
      <c r="T320">
        <v>27584</v>
      </c>
      <c r="U320">
        <v>31782749400.830002</v>
      </c>
      <c r="V320">
        <v>2.96948470166504E-2</v>
      </c>
      <c r="W320">
        <f t="shared" si="9"/>
        <v>30.353378589389322</v>
      </c>
      <c r="Y320" s="9">
        <v>317</v>
      </c>
      <c r="Z320" s="10">
        <v>16.722262670994859</v>
      </c>
    </row>
    <row r="321" spans="1:26" x14ac:dyDescent="0.25">
      <c r="A321">
        <v>320</v>
      </c>
      <c r="B321">
        <v>154</v>
      </c>
      <c r="C321">
        <v>6292079.8600000003</v>
      </c>
      <c r="D321">
        <v>9.1782334608877594E-3</v>
      </c>
      <c r="E321">
        <f t="shared" si="8"/>
        <v>10.474560018180924</v>
      </c>
      <c r="F321" t="e">
        <f>VLOOKUP(A321,Sheet3!B:D,3,0)*100</f>
        <v>#N/A</v>
      </c>
      <c r="R321">
        <v>118</v>
      </c>
      <c r="S321" t="s">
        <v>19</v>
      </c>
      <c r="T321">
        <v>27268</v>
      </c>
      <c r="U321">
        <v>30579966062.849998</v>
      </c>
      <c r="V321">
        <v>2.9342618340618899E-2</v>
      </c>
      <c r="W321">
        <f t="shared" si="9"/>
        <v>30.049384636960607</v>
      </c>
      <c r="Y321" s="9">
        <v>318</v>
      </c>
      <c r="Z321" s="10">
        <v>26.023386848147357</v>
      </c>
    </row>
    <row r="322" spans="1:26" x14ac:dyDescent="0.25">
      <c r="A322">
        <v>321</v>
      </c>
      <c r="B322">
        <v>163</v>
      </c>
      <c r="C322">
        <v>6839162.4299999997</v>
      </c>
      <c r="D322">
        <v>1.79630954176285E-2</v>
      </c>
      <c r="E322">
        <f t="shared" si="8"/>
        <v>19.548581731456938</v>
      </c>
      <c r="F322" t="e">
        <f>VLOOKUP(A322,Sheet3!B:D,3,0)*100</f>
        <v>#N/A</v>
      </c>
      <c r="R322">
        <v>119</v>
      </c>
      <c r="S322" t="s">
        <v>19</v>
      </c>
      <c r="T322">
        <v>26947</v>
      </c>
      <c r="U322">
        <v>29470922836.060001</v>
      </c>
      <c r="V322">
        <v>2.9725547326386E-2</v>
      </c>
      <c r="W322">
        <f t="shared" si="9"/>
        <v>30.379817292293431</v>
      </c>
      <c r="Y322" s="9">
        <v>319</v>
      </c>
      <c r="Z322" s="10">
        <v>28.899843528759096</v>
      </c>
    </row>
    <row r="323" spans="1:26" x14ac:dyDescent="0.25">
      <c r="A323">
        <v>322</v>
      </c>
      <c r="B323">
        <v>163</v>
      </c>
      <c r="C323">
        <v>6113157.79</v>
      </c>
      <c r="D323">
        <v>1.7422550459907201E-2</v>
      </c>
      <c r="E323">
        <f t="shared" ref="E323:E360" si="10">100*(1-(1-D323)^12)</f>
        <v>19.015573202981308</v>
      </c>
      <c r="F323" t="e">
        <f>VLOOKUP(A323,Sheet3!B:D,3,0)*100</f>
        <v>#N/A</v>
      </c>
      <c r="R323">
        <v>120</v>
      </c>
      <c r="S323" t="s">
        <v>19</v>
      </c>
      <c r="T323">
        <v>26651</v>
      </c>
      <c r="U323">
        <v>28360171206.630001</v>
      </c>
      <c r="V323">
        <v>2.9175120015586101E-2</v>
      </c>
      <c r="W323">
        <f t="shared" ref="W323:W386" si="11">100*(1-(1-V323)^12)</f>
        <v>29.904397485260926</v>
      </c>
      <c r="Y323" s="9">
        <v>320</v>
      </c>
      <c r="Z323" s="10">
        <v>10.474560018180924</v>
      </c>
    </row>
    <row r="324" spans="1:26" x14ac:dyDescent="0.25">
      <c r="A324">
        <v>323</v>
      </c>
      <c r="B324">
        <v>158</v>
      </c>
      <c r="C324">
        <v>5884903.6399999997</v>
      </c>
      <c r="D324">
        <v>1.56215243650684E-2</v>
      </c>
      <c r="E324">
        <f t="shared" si="10"/>
        <v>17.216209779615156</v>
      </c>
      <c r="F324" t="e">
        <f>VLOOKUP(A324,Sheet3!B:D,3,0)*100</f>
        <v>#N/A</v>
      </c>
      <c r="R324">
        <v>121</v>
      </c>
      <c r="S324" t="s">
        <v>19</v>
      </c>
      <c r="T324">
        <v>26338</v>
      </c>
      <c r="U324">
        <v>27210019017.950001</v>
      </c>
      <c r="V324">
        <v>2.8487131827445999E-2</v>
      </c>
      <c r="W324">
        <f t="shared" si="11"/>
        <v>29.305978270135803</v>
      </c>
      <c r="Y324" s="9">
        <v>321</v>
      </c>
      <c r="Z324" s="10">
        <v>19.548581731456938</v>
      </c>
    </row>
    <row r="325" spans="1:26" x14ac:dyDescent="0.25">
      <c r="A325">
        <v>324</v>
      </c>
      <c r="B325">
        <v>155</v>
      </c>
      <c r="C325">
        <v>5760653.3899999997</v>
      </c>
      <c r="D325">
        <v>3.1868006580975702E-2</v>
      </c>
      <c r="E325">
        <f t="shared" si="10"/>
        <v>32.202314579263188</v>
      </c>
      <c r="F325">
        <f>VLOOKUP(A325,Sheet3!B:D,3,0)*100</f>
        <v>19.939999999999998</v>
      </c>
      <c r="R325">
        <v>122</v>
      </c>
      <c r="S325" t="s">
        <v>19</v>
      </c>
      <c r="T325">
        <v>26077</v>
      </c>
      <c r="U325">
        <v>26136607545.860001</v>
      </c>
      <c r="V325">
        <v>2.69143460751167E-2</v>
      </c>
      <c r="W325">
        <f t="shared" si="11"/>
        <v>27.920321929898218</v>
      </c>
      <c r="Y325" s="9">
        <v>322</v>
      </c>
      <c r="Z325" s="10">
        <v>19.015573202981308</v>
      </c>
    </row>
    <row r="326" spans="1:26" x14ac:dyDescent="0.25">
      <c r="A326">
        <v>325</v>
      </c>
      <c r="B326">
        <v>154</v>
      </c>
      <c r="C326">
        <v>5600121.3600000003</v>
      </c>
      <c r="D326">
        <v>2.4942234438679999E-2</v>
      </c>
      <c r="E326">
        <f t="shared" si="10"/>
        <v>26.147679530543865</v>
      </c>
      <c r="F326" t="e">
        <f>VLOOKUP(A326,Sheet3!B:D,3,0)*100</f>
        <v>#N/A</v>
      </c>
      <c r="R326">
        <v>123</v>
      </c>
      <c r="S326" t="s">
        <v>19</v>
      </c>
      <c r="T326">
        <v>25779</v>
      </c>
      <c r="U326">
        <v>25592312991.540001</v>
      </c>
      <c r="V326">
        <v>2.6373038292142999E-2</v>
      </c>
      <c r="W326">
        <f t="shared" si="11"/>
        <v>27.43768954784256</v>
      </c>
      <c r="Y326" s="9">
        <v>323</v>
      </c>
      <c r="Z326" s="10">
        <v>17.216209779615156</v>
      </c>
    </row>
    <row r="327" spans="1:26" x14ac:dyDescent="0.25">
      <c r="A327">
        <v>326</v>
      </c>
      <c r="B327">
        <v>154</v>
      </c>
      <c r="C327">
        <v>5762863.4900000002</v>
      </c>
      <c r="D327">
        <v>2.18265348447374E-2</v>
      </c>
      <c r="E327">
        <f t="shared" si="10"/>
        <v>23.265524169336615</v>
      </c>
      <c r="F327" t="e">
        <f>VLOOKUP(A327,Sheet3!B:D,3,0)*100</f>
        <v>#N/A</v>
      </c>
      <c r="R327">
        <v>124</v>
      </c>
      <c r="S327" t="s">
        <v>19</v>
      </c>
      <c r="T327">
        <v>25477</v>
      </c>
      <c r="U327">
        <v>24378897730.349998</v>
      </c>
      <c r="V327">
        <v>2.5181562692651999E-2</v>
      </c>
      <c r="W327">
        <f t="shared" si="11"/>
        <v>26.364911037545014</v>
      </c>
      <c r="Y327" s="9">
        <v>324</v>
      </c>
      <c r="Z327" s="10">
        <v>32.202314579263188</v>
      </c>
    </row>
    <row r="328" spans="1:26" x14ac:dyDescent="0.25">
      <c r="A328">
        <v>327</v>
      </c>
      <c r="B328">
        <v>150</v>
      </c>
      <c r="C328">
        <v>5078813.29</v>
      </c>
      <c r="D328">
        <v>1.2904889657751099E-2</v>
      </c>
      <c r="E328">
        <f t="shared" si="10"/>
        <v>14.432664778807213</v>
      </c>
      <c r="F328" t="e">
        <f>VLOOKUP(A328,Sheet3!B:D,3,0)*100</f>
        <v>#N/A</v>
      </c>
      <c r="R328">
        <v>125</v>
      </c>
      <c r="S328" t="s">
        <v>19</v>
      </c>
      <c r="T328">
        <v>25195</v>
      </c>
      <c r="U328">
        <v>23572543491.400002</v>
      </c>
      <c r="V328">
        <v>2.4931092640411399E-2</v>
      </c>
      <c r="W328">
        <f t="shared" si="11"/>
        <v>26.137552138285656</v>
      </c>
      <c r="Y328" s="9">
        <v>325</v>
      </c>
      <c r="Z328" s="10">
        <v>26.147679530543865</v>
      </c>
    </row>
    <row r="329" spans="1:26" x14ac:dyDescent="0.25">
      <c r="A329">
        <v>328</v>
      </c>
      <c r="B329">
        <v>146</v>
      </c>
      <c r="C329">
        <v>4740287.9800000004</v>
      </c>
      <c r="D329">
        <v>2.3749438542328801E-2</v>
      </c>
      <c r="E329">
        <f t="shared" si="10"/>
        <v>25.056225920425625</v>
      </c>
      <c r="F329" t="e">
        <f>VLOOKUP(A329,Sheet3!B:D,3,0)*100</f>
        <v>#N/A</v>
      </c>
      <c r="R329">
        <v>126</v>
      </c>
      <c r="S329" t="s">
        <v>19</v>
      </c>
      <c r="T329">
        <v>24884</v>
      </c>
      <c r="U329">
        <v>22848116370.169998</v>
      </c>
      <c r="V329">
        <v>2.4402540992657502E-2</v>
      </c>
      <c r="W329">
        <f t="shared" si="11"/>
        <v>25.655657311608504</v>
      </c>
      <c r="Y329" s="9">
        <v>326</v>
      </c>
      <c r="Z329" s="10">
        <v>23.265524169336615</v>
      </c>
    </row>
    <row r="330" spans="1:26" x14ac:dyDescent="0.25">
      <c r="A330">
        <v>329</v>
      </c>
      <c r="B330">
        <v>144</v>
      </c>
      <c r="C330">
        <v>4630135.21</v>
      </c>
      <c r="D330">
        <v>3.8541661351351703E-2</v>
      </c>
      <c r="E330">
        <f t="shared" si="10"/>
        <v>37.602721988060885</v>
      </c>
      <c r="F330" t="e">
        <f>VLOOKUP(A330,Sheet3!B:D,3,0)*100</f>
        <v>#N/A</v>
      </c>
      <c r="R330">
        <v>127</v>
      </c>
      <c r="S330" t="s">
        <v>19</v>
      </c>
      <c r="T330">
        <v>24613</v>
      </c>
      <c r="U330">
        <v>22113575029.540001</v>
      </c>
      <c r="V330">
        <v>2.3578765493687402E-2</v>
      </c>
      <c r="W330">
        <f t="shared" si="11"/>
        <v>24.898850070528788</v>
      </c>
      <c r="Y330" s="9">
        <v>327</v>
      </c>
      <c r="Z330" s="10">
        <v>14.432664778807213</v>
      </c>
    </row>
    <row r="331" spans="1:26" x14ac:dyDescent="0.25">
      <c r="A331">
        <v>330</v>
      </c>
      <c r="B331">
        <v>135</v>
      </c>
      <c r="C331">
        <v>4013362.42</v>
      </c>
      <c r="D331">
        <v>3.0008646933485698E-2</v>
      </c>
      <c r="E331">
        <f t="shared" si="10"/>
        <v>30.623185732949811</v>
      </c>
      <c r="F331" t="e">
        <f>VLOOKUP(A331,Sheet3!B:D,3,0)*100</f>
        <v>#N/A</v>
      </c>
      <c r="R331">
        <v>128</v>
      </c>
      <c r="S331" t="s">
        <v>19</v>
      </c>
      <c r="T331">
        <v>24358</v>
      </c>
      <c r="U331">
        <v>21325859250.389999</v>
      </c>
      <c r="V331">
        <v>2.3182900882128599E-2</v>
      </c>
      <c r="W331">
        <f t="shared" si="11"/>
        <v>24.532660534888294</v>
      </c>
      <c r="Y331" s="9">
        <v>328</v>
      </c>
      <c r="Z331" s="10">
        <v>25.056225920425625</v>
      </c>
    </row>
    <row r="332" spans="1:26" x14ac:dyDescent="0.25">
      <c r="A332">
        <v>331</v>
      </c>
      <c r="B332">
        <v>151</v>
      </c>
      <c r="C332">
        <v>4595999.46</v>
      </c>
      <c r="D332">
        <v>7.7211331256092003E-2</v>
      </c>
      <c r="E332">
        <f t="shared" si="10"/>
        <v>61.873491461848218</v>
      </c>
      <c r="F332" t="e">
        <f>VLOOKUP(A332,Sheet3!B:D,3,0)*100</f>
        <v>#N/A</v>
      </c>
      <c r="R332">
        <v>129</v>
      </c>
      <c r="S332" t="s">
        <v>19</v>
      </c>
      <c r="T332">
        <v>24060</v>
      </c>
      <c r="U332">
        <v>20740863146.82</v>
      </c>
      <c r="V332">
        <v>2.28964658783752E-2</v>
      </c>
      <c r="W332">
        <f t="shared" si="11"/>
        <v>24.266677667240643</v>
      </c>
      <c r="Y332" s="9">
        <v>329</v>
      </c>
      <c r="Z332" s="10">
        <v>37.602721988060885</v>
      </c>
    </row>
    <row r="333" spans="1:26" x14ac:dyDescent="0.25">
      <c r="A333">
        <v>332</v>
      </c>
      <c r="B333">
        <v>141</v>
      </c>
      <c r="C333">
        <v>4041122.24</v>
      </c>
      <c r="D333">
        <v>2.2632206744918899E-2</v>
      </c>
      <c r="E333">
        <f t="shared" si="10"/>
        <v>24.020525431106154</v>
      </c>
      <c r="F333" t="e">
        <f>VLOOKUP(A333,Sheet3!B:D,3,0)*100</f>
        <v>#N/A</v>
      </c>
      <c r="R333">
        <v>130</v>
      </c>
      <c r="S333" t="s">
        <v>19</v>
      </c>
      <c r="T333">
        <v>23821</v>
      </c>
      <c r="U333">
        <v>20004150119.540001</v>
      </c>
      <c r="V333">
        <v>2.20164797518679E-2</v>
      </c>
      <c r="W333">
        <f t="shared" si="11"/>
        <v>23.444139929205367</v>
      </c>
      <c r="Y333" s="9">
        <v>330</v>
      </c>
      <c r="Z333" s="10">
        <v>30.623185732949811</v>
      </c>
    </row>
    <row r="334" spans="1:26" x14ac:dyDescent="0.25">
      <c r="A334">
        <v>333</v>
      </c>
      <c r="B334">
        <v>126</v>
      </c>
      <c r="C334">
        <v>3369055.67</v>
      </c>
      <c r="D334">
        <v>2.3393095444302899E-2</v>
      </c>
      <c r="E334">
        <f t="shared" si="10"/>
        <v>24.727301649388366</v>
      </c>
      <c r="F334" t="e">
        <f>VLOOKUP(A334,Sheet3!B:D,3,0)*100</f>
        <v>#N/A</v>
      </c>
      <c r="R334">
        <v>131</v>
      </c>
      <c r="S334" t="s">
        <v>19</v>
      </c>
      <c r="T334">
        <v>23407</v>
      </c>
      <c r="U334">
        <v>19274403153.740002</v>
      </c>
      <c r="V334">
        <v>2.1664595820581001E-2</v>
      </c>
      <c r="W334">
        <f t="shared" si="11"/>
        <v>23.112942311966655</v>
      </c>
      <c r="Y334" s="9">
        <v>331</v>
      </c>
      <c r="Z334" s="10">
        <v>61.873491461848218</v>
      </c>
    </row>
    <row r="335" spans="1:26" x14ac:dyDescent="0.25">
      <c r="A335">
        <v>334</v>
      </c>
      <c r="B335">
        <v>123</v>
      </c>
      <c r="C335">
        <v>2924975.56</v>
      </c>
      <c r="D335">
        <v>2.6405991814881999E-2</v>
      </c>
      <c r="E335">
        <f t="shared" si="10"/>
        <v>27.467155519066555</v>
      </c>
      <c r="F335" t="e">
        <f>VLOOKUP(A335,Sheet3!B:D,3,0)*100</f>
        <v>#N/A</v>
      </c>
      <c r="R335">
        <v>132</v>
      </c>
      <c r="S335" t="s">
        <v>19</v>
      </c>
      <c r="T335">
        <v>23108</v>
      </c>
      <c r="U335">
        <v>18753447416.939999</v>
      </c>
      <c r="V335">
        <v>2.2066495611813699E-2</v>
      </c>
      <c r="W335">
        <f t="shared" si="11"/>
        <v>23.491109191035562</v>
      </c>
      <c r="Y335" s="9">
        <v>332</v>
      </c>
      <c r="Z335" s="10">
        <v>24.020525431106154</v>
      </c>
    </row>
    <row r="336" spans="1:26" x14ac:dyDescent="0.25">
      <c r="A336">
        <v>335</v>
      </c>
      <c r="B336">
        <v>119</v>
      </c>
      <c r="C336">
        <v>2700678.4</v>
      </c>
      <c r="D336">
        <v>2.59248100204304E-2</v>
      </c>
      <c r="E336">
        <f t="shared" si="10"/>
        <v>27.035807186169368</v>
      </c>
      <c r="F336" t="e">
        <f>VLOOKUP(A336,Sheet3!B:D,3,0)*100</f>
        <v>#N/A</v>
      </c>
      <c r="R336">
        <v>133</v>
      </c>
      <c r="S336" t="s">
        <v>19</v>
      </c>
      <c r="T336">
        <v>22701</v>
      </c>
      <c r="U336">
        <v>18077610623.709999</v>
      </c>
      <c r="V336">
        <v>2.18324015044867E-2</v>
      </c>
      <c r="W336">
        <f t="shared" si="11"/>
        <v>23.271046628008683</v>
      </c>
      <c r="Y336" s="9">
        <v>333</v>
      </c>
      <c r="Z336" s="10">
        <v>24.727301649388366</v>
      </c>
    </row>
    <row r="337" spans="1:26" x14ac:dyDescent="0.25">
      <c r="A337">
        <v>336</v>
      </c>
      <c r="B337">
        <v>120</v>
      </c>
      <c r="C337">
        <v>2680365.2200000002</v>
      </c>
      <c r="D337">
        <v>2.8220508781273398E-2</v>
      </c>
      <c r="E337">
        <f t="shared" si="10"/>
        <v>29.072810400956783</v>
      </c>
      <c r="F337">
        <f>VLOOKUP(A337,Sheet3!B:D,3,0)*100</f>
        <v>21.060000000000002</v>
      </c>
      <c r="R337">
        <v>134</v>
      </c>
      <c r="S337" t="s">
        <v>19</v>
      </c>
      <c r="T337">
        <v>22418</v>
      </c>
      <c r="U337">
        <v>17822028872.990002</v>
      </c>
      <c r="V337">
        <v>2.09396948259482E-2</v>
      </c>
      <c r="W337">
        <f t="shared" si="11"/>
        <v>22.42651266348815</v>
      </c>
      <c r="Y337" s="9">
        <v>334</v>
      </c>
      <c r="Z337" s="10">
        <v>27.467155519066555</v>
      </c>
    </row>
    <row r="338" spans="1:26" x14ac:dyDescent="0.25">
      <c r="A338">
        <v>337</v>
      </c>
      <c r="B338">
        <v>117</v>
      </c>
      <c r="C338">
        <v>2308156.48</v>
      </c>
      <c r="D338">
        <v>2.8386864418455698E-2</v>
      </c>
      <c r="E338">
        <f t="shared" si="10"/>
        <v>29.218374719569653</v>
      </c>
      <c r="F338" t="e">
        <f>VLOOKUP(A338,Sheet3!B:D,3,0)*100</f>
        <v>#N/A</v>
      </c>
      <c r="R338">
        <v>135</v>
      </c>
      <c r="S338" t="s">
        <v>19</v>
      </c>
      <c r="T338">
        <v>22078</v>
      </c>
      <c r="U338">
        <v>17558891187.150002</v>
      </c>
      <c r="V338">
        <v>1.9949954022046901E-2</v>
      </c>
      <c r="W338">
        <f t="shared" si="11"/>
        <v>21.480226057482287</v>
      </c>
      <c r="Y338" s="9">
        <v>335</v>
      </c>
      <c r="Z338" s="10">
        <v>27.035807186169368</v>
      </c>
    </row>
    <row r="339" spans="1:26" x14ac:dyDescent="0.25">
      <c r="A339">
        <v>338</v>
      </c>
      <c r="B339">
        <v>109</v>
      </c>
      <c r="C339">
        <v>2775121.9199999999</v>
      </c>
      <c r="D339">
        <v>1.5866022146475599E-2</v>
      </c>
      <c r="E339">
        <f t="shared" si="10"/>
        <v>17.462612882329054</v>
      </c>
      <c r="F339" t="e">
        <f>VLOOKUP(A339,Sheet3!B:D,3,0)*100</f>
        <v>#N/A</v>
      </c>
      <c r="R339">
        <v>136</v>
      </c>
      <c r="S339" t="s">
        <v>19</v>
      </c>
      <c r="T339">
        <v>21745</v>
      </c>
      <c r="U339">
        <v>16426144644.77</v>
      </c>
      <c r="V339">
        <v>2.0473022698270602E-2</v>
      </c>
      <c r="W339">
        <f t="shared" si="11"/>
        <v>21.981639875887961</v>
      </c>
      <c r="Y339" s="9">
        <v>336</v>
      </c>
      <c r="Z339" s="10">
        <v>29.072810400956783</v>
      </c>
    </row>
    <row r="340" spans="1:26" x14ac:dyDescent="0.25">
      <c r="A340">
        <v>339</v>
      </c>
      <c r="B340">
        <v>110</v>
      </c>
      <c r="C340">
        <v>2105721.19</v>
      </c>
      <c r="D340">
        <v>3.8725319363433798E-2</v>
      </c>
      <c r="E340">
        <f t="shared" si="10"/>
        <v>37.745601538686188</v>
      </c>
      <c r="F340" t="e">
        <f>VLOOKUP(A340,Sheet3!B:D,3,0)*100</f>
        <v>#N/A</v>
      </c>
      <c r="R340">
        <v>137</v>
      </c>
      <c r="S340" t="s">
        <v>19</v>
      </c>
      <c r="T340">
        <v>21409</v>
      </c>
      <c r="U340">
        <v>15724233301.860001</v>
      </c>
      <c r="V340">
        <v>2.0546822728663601E-2</v>
      </c>
      <c r="W340">
        <f t="shared" si="11"/>
        <v>22.052147851584149</v>
      </c>
      <c r="Y340" s="9">
        <v>337</v>
      </c>
      <c r="Z340" s="10">
        <v>29.218374719569653</v>
      </c>
    </row>
    <row r="341" spans="1:26" x14ac:dyDescent="0.25">
      <c r="A341">
        <v>340</v>
      </c>
      <c r="B341">
        <v>104</v>
      </c>
      <c r="C341">
        <v>2005442.3</v>
      </c>
      <c r="D341">
        <v>2.1339814588721799E-2</v>
      </c>
      <c r="E341">
        <f t="shared" si="10"/>
        <v>22.806089043394952</v>
      </c>
      <c r="F341" t="e">
        <f>VLOOKUP(A341,Sheet3!B:D,3,0)*100</f>
        <v>#N/A</v>
      </c>
      <c r="R341">
        <v>138</v>
      </c>
      <c r="S341" t="s">
        <v>19</v>
      </c>
      <c r="T341">
        <v>21107</v>
      </c>
      <c r="U341">
        <v>15304133970.059999</v>
      </c>
      <c r="V341">
        <v>1.9904728288248099E-2</v>
      </c>
      <c r="W341">
        <f t="shared" si="11"/>
        <v>21.436734207189357</v>
      </c>
      <c r="Y341" s="9">
        <v>338</v>
      </c>
      <c r="Z341" s="10">
        <v>17.462612882329054</v>
      </c>
    </row>
    <row r="342" spans="1:26" x14ac:dyDescent="0.25">
      <c r="A342">
        <v>341</v>
      </c>
      <c r="B342">
        <v>102</v>
      </c>
      <c r="C342">
        <v>2064071.18</v>
      </c>
      <c r="D342">
        <v>2.7602311450988799E-2</v>
      </c>
      <c r="E342">
        <f t="shared" si="10"/>
        <v>28.529468150666148</v>
      </c>
      <c r="F342" t="e">
        <f>VLOOKUP(A342,Sheet3!B:D,3,0)*100</f>
        <v>#N/A</v>
      </c>
      <c r="R342">
        <v>139</v>
      </c>
      <c r="S342" t="s">
        <v>19</v>
      </c>
      <c r="T342">
        <v>20803</v>
      </c>
      <c r="U342">
        <v>14761449588.41</v>
      </c>
      <c r="V342">
        <v>1.9252891678674201E-2</v>
      </c>
      <c r="W342">
        <f t="shared" si="11"/>
        <v>20.807430260934122</v>
      </c>
      <c r="Y342" s="9">
        <v>339</v>
      </c>
      <c r="Z342" s="10">
        <v>37.745601538686188</v>
      </c>
    </row>
    <row r="343" spans="1:26" x14ac:dyDescent="0.25">
      <c r="A343">
        <v>342</v>
      </c>
      <c r="B343">
        <v>112</v>
      </c>
      <c r="C343">
        <v>2730287.33</v>
      </c>
      <c r="D343">
        <v>3.3094567793075402E-2</v>
      </c>
      <c r="E343">
        <f t="shared" si="10"/>
        <v>33.225906336893516</v>
      </c>
      <c r="F343" t="e">
        <f>VLOOKUP(A343,Sheet3!B:D,3,0)*100</f>
        <v>#N/A</v>
      </c>
      <c r="R343">
        <v>140</v>
      </c>
      <c r="S343" t="s">
        <v>19</v>
      </c>
      <c r="T343">
        <v>20479</v>
      </c>
      <c r="U343">
        <v>14690303907.9</v>
      </c>
      <c r="V343">
        <v>1.93348961300117E-2</v>
      </c>
      <c r="W343">
        <f t="shared" si="11"/>
        <v>20.886853274168928</v>
      </c>
      <c r="Y343" s="9">
        <v>340</v>
      </c>
      <c r="Z343" s="10">
        <v>22.806089043394952</v>
      </c>
    </row>
    <row r="344" spans="1:26" x14ac:dyDescent="0.25">
      <c r="A344">
        <v>343</v>
      </c>
      <c r="B344">
        <v>104</v>
      </c>
      <c r="C344">
        <v>1963129.01</v>
      </c>
      <c r="D344">
        <v>3.1292156529345902E-2</v>
      </c>
      <c r="E344">
        <f t="shared" si="10"/>
        <v>31.716811255291677</v>
      </c>
      <c r="F344" t="e">
        <f>VLOOKUP(A344,Sheet3!B:D,3,0)*100</f>
        <v>#N/A</v>
      </c>
      <c r="R344">
        <v>141</v>
      </c>
      <c r="S344" t="s">
        <v>19</v>
      </c>
      <c r="T344">
        <v>20191</v>
      </c>
      <c r="U344">
        <v>13678352715.870001</v>
      </c>
      <c r="V344">
        <v>1.9553933538710402E-2</v>
      </c>
      <c r="W344">
        <f t="shared" si="11"/>
        <v>21.098637706598044</v>
      </c>
      <c r="Y344" s="9">
        <v>341</v>
      </c>
      <c r="Z344" s="10">
        <v>28.529468150666148</v>
      </c>
    </row>
    <row r="345" spans="1:26" x14ac:dyDescent="0.25">
      <c r="A345">
        <v>344</v>
      </c>
      <c r="B345">
        <v>99</v>
      </c>
      <c r="C345">
        <v>1363652.01</v>
      </c>
      <c r="D345">
        <v>1.54884982143941E-2</v>
      </c>
      <c r="E345">
        <f t="shared" si="10"/>
        <v>17.08186392054888</v>
      </c>
      <c r="F345" t="e">
        <f>VLOOKUP(A345,Sheet3!B:D,3,0)*100</f>
        <v>#N/A</v>
      </c>
      <c r="R345">
        <v>142</v>
      </c>
      <c r="S345" t="s">
        <v>19</v>
      </c>
      <c r="T345">
        <v>19876</v>
      </c>
      <c r="U345">
        <v>13285238357.49</v>
      </c>
      <c r="V345">
        <v>1.89344604195699E-2</v>
      </c>
      <c r="W345">
        <f t="shared" si="11"/>
        <v>20.498329532189217</v>
      </c>
      <c r="Y345" s="9">
        <v>342</v>
      </c>
      <c r="Z345" s="10">
        <v>33.225906336893516</v>
      </c>
    </row>
    <row r="346" spans="1:26" x14ac:dyDescent="0.25">
      <c r="A346">
        <v>345</v>
      </c>
      <c r="B346">
        <v>97</v>
      </c>
      <c r="C346">
        <v>1513885.2</v>
      </c>
      <c r="D346">
        <v>3.2906205139748998E-2</v>
      </c>
      <c r="E346">
        <f t="shared" si="10"/>
        <v>33.069640001851852</v>
      </c>
      <c r="F346" t="e">
        <f>VLOOKUP(A346,Sheet3!B:D,3,0)*100</f>
        <v>#N/A</v>
      </c>
      <c r="R346">
        <v>143</v>
      </c>
      <c r="S346" t="s">
        <v>19</v>
      </c>
      <c r="T346">
        <v>19577</v>
      </c>
      <c r="U346">
        <v>12719434110.049999</v>
      </c>
      <c r="V346">
        <v>1.8994429256767701E-2</v>
      </c>
      <c r="W346">
        <f t="shared" si="11"/>
        <v>20.556625578927324</v>
      </c>
      <c r="Y346" s="9">
        <v>343</v>
      </c>
      <c r="Z346" s="10">
        <v>31.716811255291677</v>
      </c>
    </row>
    <row r="347" spans="1:26" x14ac:dyDescent="0.25">
      <c r="A347">
        <v>346</v>
      </c>
      <c r="B347">
        <v>96</v>
      </c>
      <c r="C347">
        <v>1164061.67</v>
      </c>
      <c r="D347">
        <v>3.26900354539119E-2</v>
      </c>
      <c r="E347">
        <f t="shared" si="10"/>
        <v>32.889891786327595</v>
      </c>
      <c r="F347" t="e">
        <f>VLOOKUP(A347,Sheet3!B:D,3,0)*100</f>
        <v>#N/A</v>
      </c>
      <c r="R347">
        <v>144</v>
      </c>
      <c r="S347" t="s">
        <v>19</v>
      </c>
      <c r="T347">
        <v>19265</v>
      </c>
      <c r="U347">
        <v>12307333384.790001</v>
      </c>
      <c r="V347">
        <v>1.9017458135489499E-2</v>
      </c>
      <c r="W347">
        <f t="shared" si="11"/>
        <v>20.579001667706741</v>
      </c>
      <c r="Y347" s="9">
        <v>344</v>
      </c>
      <c r="Z347" s="10">
        <v>17.08186392054888</v>
      </c>
    </row>
    <row r="348" spans="1:26" x14ac:dyDescent="0.25">
      <c r="A348">
        <v>347</v>
      </c>
      <c r="B348">
        <v>92</v>
      </c>
      <c r="C348">
        <v>929073.06</v>
      </c>
      <c r="D348">
        <v>3.1798502865221297E-2</v>
      </c>
      <c r="E348">
        <f t="shared" si="10"/>
        <v>32.143883883951894</v>
      </c>
      <c r="F348" t="e">
        <f>VLOOKUP(A348,Sheet3!B:D,3,0)*100</f>
        <v>#N/A</v>
      </c>
      <c r="R348">
        <v>145</v>
      </c>
      <c r="S348" t="s">
        <v>19</v>
      </c>
      <c r="T348">
        <v>18995</v>
      </c>
      <c r="U348">
        <v>11879768208.040001</v>
      </c>
      <c r="V348">
        <v>1.8613174204863601E-2</v>
      </c>
      <c r="W348">
        <f t="shared" si="11"/>
        <v>20.185337009825833</v>
      </c>
      <c r="Y348" s="9">
        <v>345</v>
      </c>
      <c r="Z348" s="10">
        <v>33.069640001851852</v>
      </c>
    </row>
    <row r="349" spans="1:26" x14ac:dyDescent="0.25">
      <c r="A349">
        <v>348</v>
      </c>
      <c r="B349">
        <v>92</v>
      </c>
      <c r="C349">
        <v>1174671.99</v>
      </c>
      <c r="D349">
        <v>7.6869694069022595E-2</v>
      </c>
      <c r="E349">
        <f t="shared" si="10"/>
        <v>61.703762608024817</v>
      </c>
      <c r="F349">
        <f>VLOOKUP(A349,Sheet3!B:D,3,0)*100</f>
        <v>25.15</v>
      </c>
      <c r="R349">
        <v>146</v>
      </c>
      <c r="S349" t="s">
        <v>19</v>
      </c>
      <c r="T349">
        <v>18698</v>
      </c>
      <c r="U349">
        <v>11519511841.549999</v>
      </c>
      <c r="V349">
        <v>1.9291149495075099E-2</v>
      </c>
      <c r="W349">
        <f t="shared" si="11"/>
        <v>20.844492841001493</v>
      </c>
      <c r="Y349" s="9">
        <v>346</v>
      </c>
      <c r="Z349" s="10">
        <v>32.889891786327595</v>
      </c>
    </row>
    <row r="350" spans="1:26" x14ac:dyDescent="0.25">
      <c r="A350">
        <v>349</v>
      </c>
      <c r="B350">
        <v>89</v>
      </c>
      <c r="C350">
        <v>817402.58</v>
      </c>
      <c r="D350">
        <v>4.6071346506087602E-2</v>
      </c>
      <c r="E350">
        <f t="shared" si="10"/>
        <v>43.220609209284774</v>
      </c>
      <c r="F350" t="e">
        <f>VLOOKUP(A350,Sheet3!B:D,3,0)*100</f>
        <v>#N/A</v>
      </c>
      <c r="R350">
        <v>147</v>
      </c>
      <c r="S350" t="s">
        <v>19</v>
      </c>
      <c r="T350">
        <v>18415</v>
      </c>
      <c r="U350">
        <v>11194628582.75</v>
      </c>
      <c r="V350">
        <v>1.7677361689938401E-2</v>
      </c>
      <c r="W350">
        <f t="shared" si="11"/>
        <v>19.267233778044879</v>
      </c>
      <c r="Y350" s="9">
        <v>347</v>
      </c>
      <c r="Z350" s="10">
        <v>32.143883883951894</v>
      </c>
    </row>
    <row r="351" spans="1:26" x14ac:dyDescent="0.25">
      <c r="A351">
        <v>350</v>
      </c>
      <c r="B351">
        <v>82</v>
      </c>
      <c r="C351">
        <v>664915.34</v>
      </c>
      <c r="D351">
        <v>5.3661510207329503E-2</v>
      </c>
      <c r="E351">
        <f t="shared" si="10"/>
        <v>48.410888216424411</v>
      </c>
      <c r="F351" t="e">
        <f>VLOOKUP(A351,Sheet3!B:D,3,0)*100</f>
        <v>#N/A</v>
      </c>
      <c r="R351">
        <v>148</v>
      </c>
      <c r="S351" t="s">
        <v>19</v>
      </c>
      <c r="T351">
        <v>18227</v>
      </c>
      <c r="U351">
        <v>10845003578.58</v>
      </c>
      <c r="V351">
        <v>1.7888783016938099E-2</v>
      </c>
      <c r="W351">
        <f t="shared" si="11"/>
        <v>19.475496573080299</v>
      </c>
      <c r="Y351" s="9">
        <v>348</v>
      </c>
      <c r="Z351" s="10">
        <v>61.703762608024817</v>
      </c>
    </row>
    <row r="352" spans="1:26" x14ac:dyDescent="0.25">
      <c r="A352">
        <v>351</v>
      </c>
      <c r="B352">
        <v>78</v>
      </c>
      <c r="C352">
        <v>498854.74</v>
      </c>
      <c r="D352">
        <v>3.5092709659088298E-2</v>
      </c>
      <c r="E352">
        <f t="shared" si="10"/>
        <v>34.863104966593937</v>
      </c>
      <c r="F352" t="e">
        <f>VLOOKUP(A352,Sheet3!B:D,3,0)*100</f>
        <v>#N/A</v>
      </c>
      <c r="R352">
        <v>149</v>
      </c>
      <c r="S352" t="s">
        <v>19</v>
      </c>
      <c r="T352">
        <v>17996</v>
      </c>
      <c r="U352">
        <v>10481187992.26</v>
      </c>
      <c r="V352">
        <v>1.7660145647564601E-2</v>
      </c>
      <c r="W352">
        <f t="shared" si="11"/>
        <v>19.25025321398288</v>
      </c>
      <c r="Y352" s="9">
        <v>349</v>
      </c>
      <c r="Z352" s="10">
        <v>43.220609209284774</v>
      </c>
    </row>
    <row r="353" spans="1:26" x14ac:dyDescent="0.25">
      <c r="A353">
        <v>352</v>
      </c>
      <c r="B353">
        <v>80</v>
      </c>
      <c r="C353">
        <v>478253.37</v>
      </c>
      <c r="D353">
        <v>0.33736267958063698</v>
      </c>
      <c r="E353">
        <f t="shared" si="10"/>
        <v>99.283344058479912</v>
      </c>
      <c r="F353" t="e">
        <f>VLOOKUP(A353,Sheet3!B:D,3,0)*100</f>
        <v>#N/A</v>
      </c>
      <c r="R353">
        <v>150</v>
      </c>
      <c r="S353" t="s">
        <v>19</v>
      </c>
      <c r="T353">
        <v>17713</v>
      </c>
      <c r="U353">
        <v>10463160802.76</v>
      </c>
      <c r="V353">
        <v>1.6391241904319499E-2</v>
      </c>
      <c r="W353">
        <f t="shared" si="11"/>
        <v>17.989653895541124</v>
      </c>
      <c r="Y353" s="9">
        <v>350</v>
      </c>
      <c r="Z353" s="10">
        <v>48.410888216424411</v>
      </c>
    </row>
    <row r="354" spans="1:26" x14ac:dyDescent="0.25">
      <c r="A354">
        <v>353</v>
      </c>
      <c r="B354">
        <v>73</v>
      </c>
      <c r="C354">
        <v>299911.88</v>
      </c>
      <c r="D354">
        <v>4.2140049102823103E-2</v>
      </c>
      <c r="E354">
        <f t="shared" si="10"/>
        <v>40.348113326704194</v>
      </c>
      <c r="F354" t="e">
        <f>VLOOKUP(A354,Sheet3!B:D,3,0)*100</f>
        <v>#N/A</v>
      </c>
      <c r="R354">
        <v>151</v>
      </c>
      <c r="S354" t="s">
        <v>19</v>
      </c>
      <c r="T354">
        <v>17438</v>
      </c>
      <c r="U354">
        <v>9504050421.2900009</v>
      </c>
      <c r="V354">
        <v>1.74430313054737E-2</v>
      </c>
      <c r="W354">
        <f t="shared" si="11"/>
        <v>19.035827354800738</v>
      </c>
      <c r="Y354" s="9">
        <v>351</v>
      </c>
      <c r="Z354" s="10">
        <v>34.863104966593937</v>
      </c>
    </row>
    <row r="355" spans="1:26" x14ac:dyDescent="0.25">
      <c r="A355">
        <v>354</v>
      </c>
      <c r="B355">
        <v>73</v>
      </c>
      <c r="C355">
        <v>213237.58</v>
      </c>
      <c r="D355">
        <v>0.115866632574333</v>
      </c>
      <c r="E355">
        <f t="shared" si="10"/>
        <v>77.185372874718226</v>
      </c>
      <c r="F355" t="e">
        <f>VLOOKUP(A355,Sheet3!B:D,3,0)*100</f>
        <v>#N/A</v>
      </c>
      <c r="R355">
        <v>152</v>
      </c>
      <c r="S355" t="s">
        <v>19</v>
      </c>
      <c r="T355">
        <v>17120</v>
      </c>
      <c r="U355">
        <v>9142901164.2299995</v>
      </c>
      <c r="V355">
        <v>1.6349640705838601E-2</v>
      </c>
      <c r="W355">
        <f t="shared" si="11"/>
        <v>17.948021215015299</v>
      </c>
      <c r="Y355" s="9">
        <v>352</v>
      </c>
      <c r="Z355" s="10">
        <v>99.283344058479912</v>
      </c>
    </row>
    <row r="356" spans="1:26" x14ac:dyDescent="0.25">
      <c r="A356">
        <v>355</v>
      </c>
      <c r="B356">
        <v>65</v>
      </c>
      <c r="C356">
        <v>181090.39</v>
      </c>
      <c r="D356">
        <v>0.13276746264641601</v>
      </c>
      <c r="E356">
        <f t="shared" si="10"/>
        <v>81.902159204068298</v>
      </c>
      <c r="F356" t="e">
        <f>VLOOKUP(A356,Sheet3!B:D,3,0)*100</f>
        <v>#N/A</v>
      </c>
      <c r="R356">
        <v>153</v>
      </c>
      <c r="S356" t="s">
        <v>19</v>
      </c>
      <c r="T356">
        <v>16902</v>
      </c>
      <c r="U356">
        <v>8873009164.4099998</v>
      </c>
      <c r="V356">
        <v>1.6389146677114701E-2</v>
      </c>
      <c r="W356">
        <f t="shared" si="11"/>
        <v>17.987557545910661</v>
      </c>
      <c r="Y356" s="9">
        <v>353</v>
      </c>
      <c r="Z356" s="10">
        <v>40.348113326704194</v>
      </c>
    </row>
    <row r="357" spans="1:26" x14ac:dyDescent="0.25">
      <c r="A357">
        <v>356</v>
      </c>
      <c r="B357">
        <v>56</v>
      </c>
      <c r="C357">
        <v>112118.33</v>
      </c>
      <c r="D357">
        <v>0.10986562676905701</v>
      </c>
      <c r="E357">
        <f t="shared" si="10"/>
        <v>75.256173388613519</v>
      </c>
      <c r="F357" t="e">
        <f>VLOOKUP(A357,Sheet3!B:D,3,0)*100</f>
        <v>#N/A</v>
      </c>
      <c r="R357">
        <v>154</v>
      </c>
      <c r="S357" t="s">
        <v>19</v>
      </c>
      <c r="T357">
        <v>16647</v>
      </c>
      <c r="U357">
        <v>8492279302.3999996</v>
      </c>
      <c r="V357">
        <v>1.6218027587531401E-2</v>
      </c>
      <c r="W357">
        <f t="shared" si="11"/>
        <v>17.816180863245446</v>
      </c>
      <c r="Y357" s="9">
        <v>354</v>
      </c>
      <c r="Z357" s="10">
        <v>77.185372874718226</v>
      </c>
    </row>
    <row r="358" spans="1:26" x14ac:dyDescent="0.25">
      <c r="A358">
        <v>357</v>
      </c>
      <c r="B358">
        <v>54</v>
      </c>
      <c r="C358">
        <v>104825.74</v>
      </c>
      <c r="D358">
        <v>0.44455857835050799</v>
      </c>
      <c r="E358">
        <f t="shared" si="10"/>
        <v>99.913769845170549</v>
      </c>
      <c r="F358" t="e">
        <f>VLOOKUP(A358,Sheet3!B:D,3,0)*100</f>
        <v>#N/A</v>
      </c>
      <c r="R358">
        <v>155</v>
      </c>
      <c r="S358" t="s">
        <v>19</v>
      </c>
      <c r="T358">
        <v>16480</v>
      </c>
      <c r="U358">
        <v>7915281233.3699999</v>
      </c>
      <c r="V358">
        <v>1.6866594712622598E-2</v>
      </c>
      <c r="W358">
        <f t="shared" si="11"/>
        <v>18.463993661438472</v>
      </c>
      <c r="Y358" s="9">
        <v>355</v>
      </c>
      <c r="Z358" s="10">
        <v>81.902159204068298</v>
      </c>
    </row>
    <row r="359" spans="1:26" x14ac:dyDescent="0.25">
      <c r="A359">
        <v>358</v>
      </c>
      <c r="B359">
        <v>44</v>
      </c>
      <c r="C359">
        <v>30677.599999999999</v>
      </c>
      <c r="D359">
        <v>5.7690944748937302E-2</v>
      </c>
      <c r="E359">
        <f t="shared" si="10"/>
        <v>50.985974247805466</v>
      </c>
      <c r="F359" t="e">
        <f>VLOOKUP(A359,Sheet3!B:D,3,0)*100</f>
        <v>#N/A</v>
      </c>
      <c r="R359">
        <v>156</v>
      </c>
      <c r="S359" t="s">
        <v>19</v>
      </c>
      <c r="T359">
        <v>16233</v>
      </c>
      <c r="U359">
        <v>7873587446.96</v>
      </c>
      <c r="V359">
        <v>1.6222661889360401E-2</v>
      </c>
      <c r="W359">
        <f t="shared" si="11"/>
        <v>17.820826462775543</v>
      </c>
      <c r="Y359" s="9">
        <v>356</v>
      </c>
      <c r="Z359" s="10">
        <v>75.256173388613519</v>
      </c>
    </row>
    <row r="360" spans="1:26" x14ac:dyDescent="0.25">
      <c r="A360">
        <v>359</v>
      </c>
      <c r="B360">
        <v>21</v>
      </c>
      <c r="C360">
        <v>10431.66</v>
      </c>
      <c r="D360">
        <v>7.9117504043460005E-2</v>
      </c>
      <c r="E360">
        <f t="shared" si="10"/>
        <v>62.80790724690749</v>
      </c>
      <c r="F360" t="e">
        <f>VLOOKUP(A360,Sheet3!B:D,3,0)*100</f>
        <v>#N/A</v>
      </c>
      <c r="R360">
        <v>157</v>
      </c>
      <c r="S360" t="s">
        <v>19</v>
      </c>
      <c r="T360">
        <v>16011</v>
      </c>
      <c r="U360">
        <v>7620827158.5600004</v>
      </c>
      <c r="V360">
        <v>1.7353688830571399E-2</v>
      </c>
      <c r="W360">
        <f t="shared" si="11"/>
        <v>18.947439707873048</v>
      </c>
      <c r="Y360" s="9">
        <v>357</v>
      </c>
      <c r="Z360" s="10">
        <v>99.913769845170549</v>
      </c>
    </row>
    <row r="361" spans="1:26" x14ac:dyDescent="0.25">
      <c r="A361">
        <v>360</v>
      </c>
      <c r="F361">
        <f>VLOOKUP(A361,Sheet3!B:D,3,0)*100</f>
        <v>30.78</v>
      </c>
      <c r="R361">
        <v>158</v>
      </c>
      <c r="S361" t="s">
        <v>19</v>
      </c>
      <c r="T361">
        <v>15745</v>
      </c>
      <c r="U361">
        <v>7231971178.3000002</v>
      </c>
      <c r="V361">
        <v>1.6980652451303702E-2</v>
      </c>
      <c r="W361">
        <f t="shared" si="11"/>
        <v>18.5774335758076</v>
      </c>
      <c r="Y361" s="9">
        <v>358</v>
      </c>
      <c r="Z361" s="10">
        <v>50.985974247805466</v>
      </c>
    </row>
    <row r="362" spans="1:26" x14ac:dyDescent="0.25">
      <c r="R362">
        <v>159</v>
      </c>
      <c r="S362" t="s">
        <v>19</v>
      </c>
      <c r="T362">
        <v>15480</v>
      </c>
      <c r="U362">
        <v>6853441148.1599998</v>
      </c>
      <c r="V362">
        <v>1.6330480392663799E-2</v>
      </c>
      <c r="W362">
        <f t="shared" si="11"/>
        <v>17.928839886589653</v>
      </c>
      <c r="Y362" s="9">
        <v>359</v>
      </c>
      <c r="Z362" s="10">
        <v>62.80790724690749</v>
      </c>
    </row>
    <row r="363" spans="1:26" x14ac:dyDescent="0.25">
      <c r="R363">
        <v>160</v>
      </c>
      <c r="S363" t="s">
        <v>19</v>
      </c>
      <c r="T363">
        <v>15180</v>
      </c>
      <c r="U363">
        <v>6112426743.4399996</v>
      </c>
      <c r="V363">
        <v>1.6861873669970901E-2</v>
      </c>
      <c r="W363">
        <f t="shared" si="11"/>
        <v>18.459295070647897</v>
      </c>
      <c r="Y363" s="9" t="s">
        <v>14</v>
      </c>
      <c r="Z363" s="10">
        <v>7790.3404798053934</v>
      </c>
    </row>
    <row r="364" spans="1:26" x14ac:dyDescent="0.25">
      <c r="R364">
        <v>161</v>
      </c>
      <c r="S364" t="s">
        <v>19</v>
      </c>
      <c r="T364">
        <v>14895</v>
      </c>
      <c r="U364">
        <v>5958246023.2399998</v>
      </c>
      <c r="V364">
        <v>1.5385839137851E-2</v>
      </c>
      <c r="W364">
        <f t="shared" si="11"/>
        <v>16.978049801613516</v>
      </c>
    </row>
    <row r="365" spans="1:26" x14ac:dyDescent="0.25">
      <c r="R365">
        <v>162</v>
      </c>
      <c r="S365" t="s">
        <v>19</v>
      </c>
      <c r="T365">
        <v>14643</v>
      </c>
      <c r="U365">
        <v>5623876583.8999996</v>
      </c>
      <c r="V365">
        <v>1.5853707731733901E-2</v>
      </c>
      <c r="W365">
        <f t="shared" si="11"/>
        <v>17.450218599530665</v>
      </c>
    </row>
    <row r="366" spans="1:26" x14ac:dyDescent="0.25">
      <c r="R366">
        <v>163</v>
      </c>
      <c r="S366" t="s">
        <v>19</v>
      </c>
      <c r="T366">
        <v>14444</v>
      </c>
      <c r="U366">
        <v>5281058457.9300003</v>
      </c>
      <c r="V366">
        <v>1.6212600301151101E-2</v>
      </c>
      <c r="W366">
        <f t="shared" si="11"/>
        <v>17.810740039948712</v>
      </c>
    </row>
    <row r="367" spans="1:26" x14ac:dyDescent="0.25">
      <c r="R367">
        <v>164</v>
      </c>
      <c r="S367" t="s">
        <v>19</v>
      </c>
      <c r="T367">
        <v>14205</v>
      </c>
      <c r="U367">
        <v>4709928047.96</v>
      </c>
      <c r="V367">
        <v>1.5551175159134E-2</v>
      </c>
      <c r="W367">
        <f t="shared" si="11"/>
        <v>17.145187541401086</v>
      </c>
    </row>
    <row r="368" spans="1:26" x14ac:dyDescent="0.25">
      <c r="R368">
        <v>165</v>
      </c>
      <c r="S368" t="s">
        <v>19</v>
      </c>
      <c r="T368">
        <v>14012</v>
      </c>
      <c r="U368">
        <v>4796001969.1800003</v>
      </c>
      <c r="V368">
        <v>1.6163331966683001E-2</v>
      </c>
      <c r="W368">
        <f t="shared" si="11"/>
        <v>17.761333713057393</v>
      </c>
    </row>
    <row r="369" spans="18:23" x14ac:dyDescent="0.25">
      <c r="R369">
        <v>166</v>
      </c>
      <c r="S369" t="s">
        <v>19</v>
      </c>
      <c r="T369">
        <v>13835</v>
      </c>
      <c r="U369">
        <v>4646834875.25</v>
      </c>
      <c r="V369">
        <v>1.61546032807224E-2</v>
      </c>
      <c r="W369">
        <f t="shared" si="11"/>
        <v>17.752577741127716</v>
      </c>
    </row>
    <row r="370" spans="18:23" x14ac:dyDescent="0.25">
      <c r="R370">
        <v>167</v>
      </c>
      <c r="S370" t="s">
        <v>19</v>
      </c>
      <c r="T370">
        <v>13595</v>
      </c>
      <c r="U370">
        <v>4445190182.21</v>
      </c>
      <c r="V370">
        <v>1.4878750775844199E-2</v>
      </c>
      <c r="W370">
        <f t="shared" si="11"/>
        <v>16.46350608358409</v>
      </c>
    </row>
    <row r="371" spans="18:23" x14ac:dyDescent="0.25">
      <c r="R371">
        <v>168</v>
      </c>
      <c r="S371" t="s">
        <v>19</v>
      </c>
      <c r="T371">
        <v>13383</v>
      </c>
      <c r="U371">
        <v>4337158183.5100002</v>
      </c>
      <c r="V371">
        <v>1.5906217281924401E-2</v>
      </c>
      <c r="W371">
        <f t="shared" si="11"/>
        <v>17.50305684268848</v>
      </c>
    </row>
    <row r="372" spans="18:23" x14ac:dyDescent="0.25">
      <c r="R372">
        <v>169</v>
      </c>
      <c r="S372" t="s">
        <v>19</v>
      </c>
      <c r="T372">
        <v>13094</v>
      </c>
      <c r="U372">
        <v>4117623426.0300002</v>
      </c>
      <c r="V372">
        <v>1.6603191036236802E-2</v>
      </c>
      <c r="W372">
        <f t="shared" si="11"/>
        <v>18.201462943484479</v>
      </c>
    </row>
    <row r="373" spans="18:23" x14ac:dyDescent="0.25">
      <c r="R373">
        <v>170</v>
      </c>
      <c r="S373" t="s">
        <v>19</v>
      </c>
      <c r="T373">
        <v>12887</v>
      </c>
      <c r="U373">
        <v>3682052052.5599999</v>
      </c>
      <c r="V373">
        <v>1.51579289308268E-2</v>
      </c>
      <c r="W373">
        <f t="shared" si="11"/>
        <v>16.7471493155556</v>
      </c>
    </row>
    <row r="374" spans="18:23" x14ac:dyDescent="0.25">
      <c r="R374">
        <v>171</v>
      </c>
      <c r="S374" t="s">
        <v>19</v>
      </c>
      <c r="T374">
        <v>12639</v>
      </c>
      <c r="U374">
        <v>3794719735.77</v>
      </c>
      <c r="V374">
        <v>1.50905182729217E-2</v>
      </c>
      <c r="W374">
        <f t="shared" si="11"/>
        <v>16.678741482201463</v>
      </c>
    </row>
    <row r="375" spans="18:23" x14ac:dyDescent="0.25">
      <c r="R375">
        <v>172</v>
      </c>
      <c r="S375" t="s">
        <v>19</v>
      </c>
      <c r="T375">
        <v>12470</v>
      </c>
      <c r="U375">
        <v>3681978035.3699999</v>
      </c>
      <c r="V375">
        <v>1.53177010521761E-2</v>
      </c>
      <c r="W375">
        <f t="shared" si="11"/>
        <v>16.90907930815959</v>
      </c>
    </row>
    <row r="376" spans="18:23" x14ac:dyDescent="0.25">
      <c r="R376">
        <v>173</v>
      </c>
      <c r="S376" t="s">
        <v>19</v>
      </c>
      <c r="T376">
        <v>12287</v>
      </c>
      <c r="U376">
        <v>3559586949.46</v>
      </c>
      <c r="V376">
        <v>1.55699434744722E-2</v>
      </c>
      <c r="W376">
        <f t="shared" si="11"/>
        <v>17.164140874420298</v>
      </c>
    </row>
    <row r="377" spans="18:23" x14ac:dyDescent="0.25">
      <c r="R377">
        <v>174</v>
      </c>
      <c r="S377" t="s">
        <v>19</v>
      </c>
      <c r="T377">
        <v>12101</v>
      </c>
      <c r="U377">
        <v>3468838344.9099998</v>
      </c>
      <c r="V377">
        <v>1.51249135674505E-2</v>
      </c>
      <c r="W377">
        <f t="shared" si="11"/>
        <v>16.713652006160551</v>
      </c>
    </row>
    <row r="378" spans="18:23" x14ac:dyDescent="0.25">
      <c r="R378">
        <v>175</v>
      </c>
      <c r="S378" t="s">
        <v>19</v>
      </c>
      <c r="T378">
        <v>11903</v>
      </c>
      <c r="U378">
        <v>3386391285.21</v>
      </c>
      <c r="V378">
        <v>1.5857157829642601E-2</v>
      </c>
      <c r="W378">
        <f t="shared" si="11"/>
        <v>17.453691245893353</v>
      </c>
    </row>
    <row r="379" spans="18:23" x14ac:dyDescent="0.25">
      <c r="R379">
        <v>176</v>
      </c>
      <c r="S379" t="s">
        <v>19</v>
      </c>
      <c r="T379">
        <v>11717</v>
      </c>
      <c r="U379">
        <v>3291679182.71</v>
      </c>
      <c r="V379">
        <v>1.4204104223025199E-2</v>
      </c>
      <c r="W379">
        <f t="shared" si="11"/>
        <v>15.774408742526813</v>
      </c>
    </row>
    <row r="380" spans="18:23" x14ac:dyDescent="0.25">
      <c r="R380">
        <v>177</v>
      </c>
      <c r="S380" t="s">
        <v>19</v>
      </c>
      <c r="T380">
        <v>11518</v>
      </c>
      <c r="U380">
        <v>2985714051.2800002</v>
      </c>
      <c r="V380">
        <v>1.4319545122138001E-2</v>
      </c>
      <c r="W380">
        <f t="shared" si="11"/>
        <v>15.892690647643493</v>
      </c>
    </row>
    <row r="381" spans="18:23" x14ac:dyDescent="0.25">
      <c r="R381">
        <v>178</v>
      </c>
      <c r="S381" t="s">
        <v>19</v>
      </c>
      <c r="T381">
        <v>11356</v>
      </c>
      <c r="U381">
        <v>3313284493.1999998</v>
      </c>
      <c r="V381">
        <v>1.4510375452025E-2</v>
      </c>
      <c r="W381">
        <f t="shared" si="11"/>
        <v>16.087883473337062</v>
      </c>
    </row>
    <row r="382" spans="18:23" x14ac:dyDescent="0.25">
      <c r="R382">
        <v>179</v>
      </c>
      <c r="S382" t="s">
        <v>19</v>
      </c>
      <c r="T382">
        <v>11152</v>
      </c>
      <c r="U382">
        <v>2842120140.6999998</v>
      </c>
      <c r="V382">
        <v>1.4472737189494499E-2</v>
      </c>
      <c r="W382">
        <f t="shared" si="11"/>
        <v>16.049417682857815</v>
      </c>
    </row>
    <row r="383" spans="18:23" x14ac:dyDescent="0.25">
      <c r="R383">
        <v>180</v>
      </c>
      <c r="S383" t="s">
        <v>19</v>
      </c>
      <c r="T383">
        <v>10942</v>
      </c>
      <c r="U383">
        <v>3086645402.1799998</v>
      </c>
      <c r="V383">
        <v>1.4834332318346501E-2</v>
      </c>
      <c r="W383">
        <f t="shared" si="11"/>
        <v>16.418295617973065</v>
      </c>
    </row>
    <row r="384" spans="18:23" x14ac:dyDescent="0.25">
      <c r="R384">
        <v>181</v>
      </c>
      <c r="S384" t="s">
        <v>19</v>
      </c>
      <c r="T384">
        <v>10742</v>
      </c>
      <c r="U384">
        <v>2820317075.0900002</v>
      </c>
      <c r="V384">
        <v>1.4438879012551101E-2</v>
      </c>
      <c r="W384">
        <f t="shared" si="11"/>
        <v>16.01480127890791</v>
      </c>
    </row>
    <row r="385" spans="18:23" x14ac:dyDescent="0.25">
      <c r="R385">
        <v>182</v>
      </c>
      <c r="S385" t="s">
        <v>19</v>
      </c>
      <c r="T385">
        <v>10606</v>
      </c>
      <c r="U385">
        <v>2737639042.71</v>
      </c>
      <c r="V385">
        <v>1.45980764843145E-2</v>
      </c>
      <c r="W385">
        <f t="shared" si="11"/>
        <v>16.17745005771506</v>
      </c>
    </row>
    <row r="386" spans="18:23" x14ac:dyDescent="0.25">
      <c r="R386">
        <v>183</v>
      </c>
      <c r="S386" t="s">
        <v>19</v>
      </c>
      <c r="T386">
        <v>10416</v>
      </c>
      <c r="U386">
        <v>2647904397.75</v>
      </c>
      <c r="V386">
        <v>1.38146939026993E-2</v>
      </c>
      <c r="W386">
        <f t="shared" si="11"/>
        <v>15.374289407146623</v>
      </c>
    </row>
    <row r="387" spans="18:23" x14ac:dyDescent="0.25">
      <c r="R387">
        <v>184</v>
      </c>
      <c r="S387" t="s">
        <v>19</v>
      </c>
      <c r="T387">
        <v>10266</v>
      </c>
      <c r="U387">
        <v>2613718835.7199998</v>
      </c>
      <c r="V387">
        <v>1.4848376163322999E-2</v>
      </c>
      <c r="W387">
        <f t="shared" ref="W387:W450" si="12">100*(1-(1-V387)^12)</f>
        <v>16.432592297330263</v>
      </c>
    </row>
    <row r="388" spans="18:23" x14ac:dyDescent="0.25">
      <c r="R388">
        <v>185</v>
      </c>
      <c r="S388" t="s">
        <v>19</v>
      </c>
      <c r="T388">
        <v>10076</v>
      </c>
      <c r="U388">
        <v>2358388964.5100002</v>
      </c>
      <c r="V388">
        <v>1.45687041591655E-2</v>
      </c>
      <c r="W388">
        <f t="shared" si="12"/>
        <v>16.147462697558268</v>
      </c>
    </row>
    <row r="389" spans="18:23" x14ac:dyDescent="0.25">
      <c r="R389">
        <v>186</v>
      </c>
      <c r="S389" t="s">
        <v>19</v>
      </c>
      <c r="T389">
        <v>9880</v>
      </c>
      <c r="U389">
        <v>2416372364.8600001</v>
      </c>
      <c r="V389">
        <v>1.5570022031244799E-2</v>
      </c>
      <c r="W389">
        <f t="shared" si="12"/>
        <v>17.164220197251023</v>
      </c>
    </row>
    <row r="390" spans="18:23" x14ac:dyDescent="0.25">
      <c r="R390">
        <v>187</v>
      </c>
      <c r="S390" t="s">
        <v>19</v>
      </c>
      <c r="T390">
        <v>9720</v>
      </c>
      <c r="U390">
        <v>2384809992.54</v>
      </c>
      <c r="V390">
        <v>1.4296814496739699E-2</v>
      </c>
      <c r="W390">
        <f t="shared" si="12"/>
        <v>15.869412666606497</v>
      </c>
    </row>
    <row r="391" spans="18:23" x14ac:dyDescent="0.25">
      <c r="R391">
        <v>188</v>
      </c>
      <c r="S391" t="s">
        <v>19</v>
      </c>
      <c r="T391">
        <v>9567</v>
      </c>
      <c r="U391">
        <v>2367134768.46</v>
      </c>
      <c r="V391">
        <v>1.38919734707856E-2</v>
      </c>
      <c r="W391">
        <f t="shared" si="12"/>
        <v>15.453832516665322</v>
      </c>
    </row>
    <row r="392" spans="18:23" x14ac:dyDescent="0.25">
      <c r="R392">
        <v>189</v>
      </c>
      <c r="S392" t="s">
        <v>19</v>
      </c>
      <c r="T392">
        <v>9408</v>
      </c>
      <c r="U392">
        <v>2261479302.4499998</v>
      </c>
      <c r="V392">
        <v>1.3884830929015299E-2</v>
      </c>
      <c r="W392">
        <f t="shared" si="12"/>
        <v>15.446483643228781</v>
      </c>
    </row>
    <row r="393" spans="18:23" x14ac:dyDescent="0.25">
      <c r="R393">
        <v>190</v>
      </c>
      <c r="S393" t="s">
        <v>19</v>
      </c>
      <c r="T393">
        <v>9302</v>
      </c>
      <c r="U393">
        <v>2194825320.98</v>
      </c>
      <c r="V393">
        <v>1.3867653239184E-2</v>
      </c>
      <c r="W393">
        <f t="shared" si="12"/>
        <v>15.428807331747961</v>
      </c>
    </row>
    <row r="394" spans="18:23" x14ac:dyDescent="0.25">
      <c r="R394">
        <v>191</v>
      </c>
      <c r="S394" t="s">
        <v>19</v>
      </c>
      <c r="T394">
        <v>9190</v>
      </c>
      <c r="U394">
        <v>2173853874.9499998</v>
      </c>
      <c r="V394">
        <v>1.4186248863180999E-2</v>
      </c>
      <c r="W394">
        <f t="shared" si="12"/>
        <v>15.756100351456526</v>
      </c>
    </row>
    <row r="395" spans="18:23" x14ac:dyDescent="0.25">
      <c r="R395">
        <v>192</v>
      </c>
      <c r="S395" t="s">
        <v>19</v>
      </c>
      <c r="T395">
        <v>9036</v>
      </c>
      <c r="U395">
        <v>2098632266.23</v>
      </c>
      <c r="V395">
        <v>1.38433488906878E-2</v>
      </c>
      <c r="W395">
        <f t="shared" si="12"/>
        <v>15.403791707109772</v>
      </c>
    </row>
    <row r="396" spans="18:23" x14ac:dyDescent="0.25">
      <c r="R396">
        <v>193</v>
      </c>
      <c r="S396" t="s">
        <v>19</v>
      </c>
      <c r="T396">
        <v>8919</v>
      </c>
      <c r="U396">
        <v>2058399085.1400001</v>
      </c>
      <c r="V396">
        <v>1.4103328871759401E-2</v>
      </c>
      <c r="W396">
        <f t="shared" si="12"/>
        <v>15.671028671483089</v>
      </c>
    </row>
    <row r="397" spans="18:23" x14ac:dyDescent="0.25">
      <c r="R397">
        <v>194</v>
      </c>
      <c r="S397" t="s">
        <v>19</v>
      </c>
      <c r="T397">
        <v>8837</v>
      </c>
      <c r="U397">
        <v>2009592531.0999999</v>
      </c>
      <c r="V397">
        <v>1.4341730481918301E-2</v>
      </c>
      <c r="W397">
        <f t="shared" si="12"/>
        <v>15.915404539589439</v>
      </c>
    </row>
    <row r="398" spans="18:23" x14ac:dyDescent="0.25">
      <c r="R398">
        <v>195</v>
      </c>
      <c r="S398" t="s">
        <v>19</v>
      </c>
      <c r="T398">
        <v>8703</v>
      </c>
      <c r="U398">
        <v>1955025773.3099999</v>
      </c>
      <c r="V398">
        <v>1.3281993153072E-2</v>
      </c>
      <c r="W398">
        <f t="shared" si="12"/>
        <v>14.82411674698082</v>
      </c>
    </row>
    <row r="399" spans="18:23" x14ac:dyDescent="0.25">
      <c r="R399">
        <v>196</v>
      </c>
      <c r="S399" t="s">
        <v>19</v>
      </c>
      <c r="T399">
        <v>8627</v>
      </c>
      <c r="U399">
        <v>1938271725</v>
      </c>
      <c r="V399">
        <v>1.3758303033632501E-2</v>
      </c>
      <c r="W399">
        <f t="shared" si="12"/>
        <v>15.316203547299246</v>
      </c>
    </row>
    <row r="400" spans="18:23" x14ac:dyDescent="0.25">
      <c r="R400">
        <v>197</v>
      </c>
      <c r="S400" t="s">
        <v>19</v>
      </c>
      <c r="T400">
        <v>8523</v>
      </c>
      <c r="U400">
        <v>1886585683.4000001</v>
      </c>
      <c r="V400">
        <v>1.27973309820371E-2</v>
      </c>
      <c r="W400">
        <f t="shared" si="12"/>
        <v>14.320711712972345</v>
      </c>
    </row>
    <row r="401" spans="18:23" x14ac:dyDescent="0.25">
      <c r="R401">
        <v>198</v>
      </c>
      <c r="S401" t="s">
        <v>19</v>
      </c>
      <c r="T401">
        <v>8408</v>
      </c>
      <c r="U401">
        <v>1841811679.2</v>
      </c>
      <c r="V401">
        <v>1.39778445064956E-2</v>
      </c>
      <c r="W401">
        <f t="shared" si="12"/>
        <v>15.542138348653767</v>
      </c>
    </row>
    <row r="402" spans="18:23" x14ac:dyDescent="0.25">
      <c r="R402">
        <v>199</v>
      </c>
      <c r="S402" t="s">
        <v>19</v>
      </c>
      <c r="T402">
        <v>8326</v>
      </c>
      <c r="U402">
        <v>1967870807.74</v>
      </c>
      <c r="V402">
        <v>1.29847926422788E-2</v>
      </c>
      <c r="W402">
        <f t="shared" si="12"/>
        <v>14.515745433474269</v>
      </c>
    </row>
    <row r="403" spans="18:23" x14ac:dyDescent="0.25">
      <c r="R403">
        <v>200</v>
      </c>
      <c r="S403" t="s">
        <v>19</v>
      </c>
      <c r="T403">
        <v>8212</v>
      </c>
      <c r="U403">
        <v>1777989474.4100001</v>
      </c>
      <c r="V403">
        <v>1.395581863803E-2</v>
      </c>
      <c r="W403">
        <f t="shared" si="12"/>
        <v>15.519496021901402</v>
      </c>
    </row>
    <row r="404" spans="18:23" x14ac:dyDescent="0.25">
      <c r="R404">
        <v>201</v>
      </c>
      <c r="S404" t="s">
        <v>19</v>
      </c>
      <c r="T404">
        <v>8160</v>
      </c>
      <c r="U404">
        <v>1761208661.6700001</v>
      </c>
      <c r="V404">
        <v>1.36061574541379E-2</v>
      </c>
      <c r="W404">
        <f t="shared" si="12"/>
        <v>15.159302419525901</v>
      </c>
    </row>
    <row r="405" spans="18:23" x14ac:dyDescent="0.25">
      <c r="R405">
        <v>202</v>
      </c>
      <c r="S405" t="s">
        <v>19</v>
      </c>
      <c r="T405">
        <v>8092</v>
      </c>
      <c r="U405">
        <v>1618622062.6900001</v>
      </c>
      <c r="V405">
        <v>1.47701999746857E-2</v>
      </c>
      <c r="W405">
        <f t="shared" si="12"/>
        <v>16.352980184735046</v>
      </c>
    </row>
    <row r="406" spans="18:23" x14ac:dyDescent="0.25">
      <c r="R406">
        <v>203</v>
      </c>
      <c r="S406" t="s">
        <v>19</v>
      </c>
      <c r="T406">
        <v>7999</v>
      </c>
      <c r="U406">
        <v>1588061053.1800001</v>
      </c>
      <c r="V406">
        <v>1.4465832774892899E-2</v>
      </c>
      <c r="W406">
        <f t="shared" si="12"/>
        <v>16.042359711154575</v>
      </c>
    </row>
    <row r="407" spans="18:23" x14ac:dyDescent="0.25">
      <c r="R407">
        <v>204</v>
      </c>
      <c r="S407" t="s">
        <v>19</v>
      </c>
      <c r="T407">
        <v>7921</v>
      </c>
      <c r="U407">
        <v>1524106706.3</v>
      </c>
      <c r="V407">
        <v>1.34084266885815E-2</v>
      </c>
      <c r="W407">
        <f t="shared" si="12"/>
        <v>14.954993067465539</v>
      </c>
    </row>
    <row r="408" spans="18:23" x14ac:dyDescent="0.25">
      <c r="R408">
        <v>205</v>
      </c>
      <c r="S408" t="s">
        <v>19</v>
      </c>
      <c r="T408">
        <v>7807</v>
      </c>
      <c r="U408">
        <v>1483081573.22</v>
      </c>
      <c r="V408">
        <v>1.45278263545673E-2</v>
      </c>
      <c r="W408">
        <f t="shared" si="12"/>
        <v>16.105712575005516</v>
      </c>
    </row>
    <row r="409" spans="18:23" x14ac:dyDescent="0.25">
      <c r="R409">
        <v>206</v>
      </c>
      <c r="S409" t="s">
        <v>19</v>
      </c>
      <c r="T409">
        <v>7718</v>
      </c>
      <c r="U409">
        <v>1467173817.52</v>
      </c>
      <c r="V409">
        <v>1.30226734710919E-2</v>
      </c>
      <c r="W409">
        <f t="shared" si="12"/>
        <v>14.555106905558258</v>
      </c>
    </row>
    <row r="410" spans="18:23" x14ac:dyDescent="0.25">
      <c r="R410">
        <v>207</v>
      </c>
      <c r="S410" t="s">
        <v>19</v>
      </c>
      <c r="T410">
        <v>7593</v>
      </c>
      <c r="U410">
        <v>1414502407.3199999</v>
      </c>
      <c r="V410">
        <v>1.28351505485756E-2</v>
      </c>
      <c r="W410">
        <f t="shared" si="12"/>
        <v>14.360091722498714</v>
      </c>
    </row>
    <row r="411" spans="18:23" x14ac:dyDescent="0.25">
      <c r="R411">
        <v>208</v>
      </c>
      <c r="S411" t="s">
        <v>19</v>
      </c>
      <c r="T411">
        <v>7455</v>
      </c>
      <c r="U411">
        <v>1385638416.24</v>
      </c>
      <c r="V411">
        <v>1.2899681841829399E-2</v>
      </c>
      <c r="W411">
        <f t="shared" si="12"/>
        <v>14.427247284298106</v>
      </c>
    </row>
    <row r="412" spans="18:23" x14ac:dyDescent="0.25">
      <c r="R412">
        <v>209</v>
      </c>
      <c r="S412" t="s">
        <v>19</v>
      </c>
      <c r="T412">
        <v>7349</v>
      </c>
      <c r="U412">
        <v>1362998466.3800001</v>
      </c>
      <c r="V412">
        <v>1.4265273395040299E-2</v>
      </c>
      <c r="W412">
        <f t="shared" si="12"/>
        <v>15.837102269223557</v>
      </c>
    </row>
    <row r="413" spans="18:23" x14ac:dyDescent="0.25">
      <c r="R413">
        <v>210</v>
      </c>
      <c r="S413" t="s">
        <v>19</v>
      </c>
      <c r="T413">
        <v>7218</v>
      </c>
      <c r="U413">
        <v>1317632623.6800001</v>
      </c>
      <c r="V413">
        <v>1.31709631482559E-2</v>
      </c>
      <c r="W413">
        <f t="shared" si="12"/>
        <v>14.709033000224503</v>
      </c>
    </row>
    <row r="414" spans="18:23" x14ac:dyDescent="0.25">
      <c r="R414">
        <v>211</v>
      </c>
      <c r="S414" t="s">
        <v>19</v>
      </c>
      <c r="T414">
        <v>7049</v>
      </c>
      <c r="U414">
        <v>1282022286.5799999</v>
      </c>
      <c r="V414">
        <v>1.43402796019236E-2</v>
      </c>
      <c r="W414">
        <f t="shared" si="12"/>
        <v>15.913919266461306</v>
      </c>
    </row>
    <row r="415" spans="18:23" x14ac:dyDescent="0.25">
      <c r="R415">
        <v>212</v>
      </c>
      <c r="S415" t="s">
        <v>19</v>
      </c>
      <c r="T415">
        <v>6871</v>
      </c>
      <c r="U415">
        <v>1221153968.0799999</v>
      </c>
      <c r="V415">
        <v>1.33158423742209E-2</v>
      </c>
      <c r="W415">
        <f t="shared" si="12"/>
        <v>14.8591734910973</v>
      </c>
    </row>
    <row r="416" spans="18:23" x14ac:dyDescent="0.25">
      <c r="R416">
        <v>213</v>
      </c>
      <c r="S416" t="s">
        <v>19</v>
      </c>
      <c r="T416">
        <v>6657</v>
      </c>
      <c r="U416">
        <v>1160849800.51</v>
      </c>
      <c r="V416">
        <v>1.22979828304648E-2</v>
      </c>
      <c r="W416">
        <f t="shared" si="12"/>
        <v>13.799201529741634</v>
      </c>
    </row>
    <row r="417" spans="18:23" x14ac:dyDescent="0.25">
      <c r="R417">
        <v>214</v>
      </c>
      <c r="S417" t="s">
        <v>19</v>
      </c>
      <c r="T417">
        <v>6493</v>
      </c>
      <c r="U417">
        <v>1138603738.45</v>
      </c>
      <c r="V417">
        <v>1.39701227500038E-2</v>
      </c>
      <c r="W417">
        <f t="shared" si="12"/>
        <v>15.534201109576051</v>
      </c>
    </row>
    <row r="418" spans="18:23" x14ac:dyDescent="0.25">
      <c r="R418">
        <v>215</v>
      </c>
      <c r="S418" t="s">
        <v>19</v>
      </c>
      <c r="T418">
        <v>6294</v>
      </c>
      <c r="U418">
        <v>1060022468.79</v>
      </c>
      <c r="V418">
        <v>1.30124984393543E-2</v>
      </c>
      <c r="W418">
        <f t="shared" si="12"/>
        <v>14.544535795885771</v>
      </c>
    </row>
    <row r="419" spans="18:23" x14ac:dyDescent="0.25">
      <c r="R419">
        <v>216</v>
      </c>
      <c r="S419" t="s">
        <v>19</v>
      </c>
      <c r="T419">
        <v>6145</v>
      </c>
      <c r="U419">
        <v>1048165370.78</v>
      </c>
      <c r="V419">
        <v>1.3717615912830401E-2</v>
      </c>
      <c r="W419">
        <f t="shared" si="12"/>
        <v>15.274270762215181</v>
      </c>
    </row>
    <row r="420" spans="18:23" x14ac:dyDescent="0.25">
      <c r="R420">
        <v>217</v>
      </c>
      <c r="S420" t="s">
        <v>19</v>
      </c>
      <c r="T420">
        <v>5933</v>
      </c>
      <c r="U420">
        <v>947023087.90999997</v>
      </c>
      <c r="V420">
        <v>1.4077630422575999E-2</v>
      </c>
      <c r="W420">
        <f t="shared" si="12"/>
        <v>15.644647393675726</v>
      </c>
    </row>
    <row r="421" spans="18:23" x14ac:dyDescent="0.25">
      <c r="R421">
        <v>218</v>
      </c>
      <c r="S421" t="s">
        <v>19</v>
      </c>
      <c r="T421">
        <v>5761</v>
      </c>
      <c r="U421">
        <v>910362094.26999998</v>
      </c>
      <c r="V421">
        <v>1.39130059741295E-2</v>
      </c>
      <c r="W421">
        <f t="shared" si="12"/>
        <v>15.475469200485993</v>
      </c>
    </row>
    <row r="422" spans="18:23" x14ac:dyDescent="0.25">
      <c r="R422">
        <v>219</v>
      </c>
      <c r="S422" t="s">
        <v>19</v>
      </c>
      <c r="T422">
        <v>5634</v>
      </c>
      <c r="U422">
        <v>888972450.5</v>
      </c>
      <c r="V422">
        <v>1.46027443467023E-2</v>
      </c>
      <c r="W422">
        <f t="shared" si="12"/>
        <v>16.182214756361212</v>
      </c>
    </row>
    <row r="423" spans="18:23" x14ac:dyDescent="0.25">
      <c r="R423">
        <v>220</v>
      </c>
      <c r="S423" t="s">
        <v>19</v>
      </c>
      <c r="T423">
        <v>5508</v>
      </c>
      <c r="U423">
        <v>882412976.88999999</v>
      </c>
      <c r="V423">
        <v>1.39770274107447E-2</v>
      </c>
      <c r="W423">
        <f t="shared" si="12"/>
        <v>15.541298483455623</v>
      </c>
    </row>
    <row r="424" spans="18:23" x14ac:dyDescent="0.25">
      <c r="R424">
        <v>221</v>
      </c>
      <c r="S424" t="s">
        <v>19</v>
      </c>
      <c r="T424">
        <v>5369</v>
      </c>
      <c r="U424">
        <v>829997601.38999999</v>
      </c>
      <c r="V424">
        <v>1.44702816608863E-2</v>
      </c>
      <c r="W424">
        <f t="shared" si="12"/>
        <v>16.046907604576376</v>
      </c>
    </row>
    <row r="425" spans="18:23" x14ac:dyDescent="0.25">
      <c r="R425">
        <v>222</v>
      </c>
      <c r="S425" t="s">
        <v>19</v>
      </c>
      <c r="T425">
        <v>5226</v>
      </c>
      <c r="U425">
        <v>772069987.30999994</v>
      </c>
      <c r="V425">
        <v>1.32804007544831E-2</v>
      </c>
      <c r="W425">
        <f t="shared" si="12"/>
        <v>14.822467215999124</v>
      </c>
    </row>
    <row r="426" spans="18:23" x14ac:dyDescent="0.25">
      <c r="R426">
        <v>223</v>
      </c>
      <c r="S426" t="s">
        <v>19</v>
      </c>
      <c r="T426">
        <v>5115</v>
      </c>
      <c r="U426">
        <v>762573767.78999996</v>
      </c>
      <c r="V426">
        <v>1.47891184460331E-2</v>
      </c>
      <c r="W426">
        <f t="shared" si="12"/>
        <v>16.372252520560682</v>
      </c>
    </row>
    <row r="427" spans="18:23" x14ac:dyDescent="0.25">
      <c r="R427">
        <v>224</v>
      </c>
      <c r="S427" t="s">
        <v>19</v>
      </c>
      <c r="T427">
        <v>4961</v>
      </c>
      <c r="U427">
        <v>695028506.92999995</v>
      </c>
      <c r="V427">
        <v>1.14962413477119E-2</v>
      </c>
      <c r="W427">
        <f t="shared" si="12"/>
        <v>12.955787606674196</v>
      </c>
    </row>
    <row r="428" spans="18:23" x14ac:dyDescent="0.25">
      <c r="R428">
        <v>225</v>
      </c>
      <c r="S428" t="s">
        <v>19</v>
      </c>
      <c r="T428">
        <v>4850</v>
      </c>
      <c r="U428">
        <v>686979761.11000001</v>
      </c>
      <c r="V428">
        <v>1.41831398452204E-2</v>
      </c>
      <c r="W428">
        <f t="shared" si="12"/>
        <v>15.752912077729164</v>
      </c>
    </row>
    <row r="429" spans="18:23" x14ac:dyDescent="0.25">
      <c r="R429">
        <v>226</v>
      </c>
      <c r="S429" t="s">
        <v>19</v>
      </c>
      <c r="T429">
        <v>4764</v>
      </c>
      <c r="U429">
        <v>663371798.12</v>
      </c>
      <c r="V429">
        <v>1.1971665319148001E-2</v>
      </c>
      <c r="W429">
        <f t="shared" si="12"/>
        <v>13.456831075071996</v>
      </c>
    </row>
    <row r="430" spans="18:23" x14ac:dyDescent="0.25">
      <c r="R430">
        <v>227</v>
      </c>
      <c r="S430" t="s">
        <v>19</v>
      </c>
      <c r="T430">
        <v>4683</v>
      </c>
      <c r="U430">
        <v>674169097.75999999</v>
      </c>
      <c r="V430">
        <v>1.42477398665038E-2</v>
      </c>
      <c r="W430">
        <f t="shared" si="12"/>
        <v>15.819136174661097</v>
      </c>
    </row>
    <row r="431" spans="18:23" x14ac:dyDescent="0.25">
      <c r="R431">
        <v>228</v>
      </c>
      <c r="S431" t="s">
        <v>19</v>
      </c>
      <c r="T431">
        <v>4602</v>
      </c>
      <c r="U431">
        <v>607541832.10000002</v>
      </c>
      <c r="V431">
        <v>1.30373445305847E-2</v>
      </c>
      <c r="W431">
        <f t="shared" si="12"/>
        <v>14.570346947192336</v>
      </c>
    </row>
    <row r="432" spans="18:23" x14ac:dyDescent="0.25">
      <c r="R432">
        <v>229</v>
      </c>
      <c r="S432" t="s">
        <v>19</v>
      </c>
      <c r="T432">
        <v>4522</v>
      </c>
      <c r="U432">
        <v>614160850.36000001</v>
      </c>
      <c r="V432">
        <v>1.45159573415379E-2</v>
      </c>
      <c r="W432">
        <f t="shared" si="12"/>
        <v>16.093586712341335</v>
      </c>
    </row>
    <row r="433" spans="18:23" x14ac:dyDescent="0.25">
      <c r="R433">
        <v>230</v>
      </c>
      <c r="S433" t="s">
        <v>19</v>
      </c>
      <c r="T433">
        <v>4452</v>
      </c>
      <c r="U433">
        <v>603347554.52999997</v>
      </c>
      <c r="V433">
        <v>1.43412480416763E-2</v>
      </c>
      <c r="W433">
        <f t="shared" si="12"/>
        <v>15.914910665762571</v>
      </c>
    </row>
    <row r="434" spans="18:23" x14ac:dyDescent="0.25">
      <c r="R434">
        <v>231</v>
      </c>
      <c r="S434" t="s">
        <v>19</v>
      </c>
      <c r="T434">
        <v>4330</v>
      </c>
      <c r="U434">
        <v>577654607.38999999</v>
      </c>
      <c r="V434">
        <v>1.5010055049561899E-2</v>
      </c>
      <c r="W434">
        <f t="shared" si="12"/>
        <v>16.597020547513686</v>
      </c>
    </row>
    <row r="435" spans="18:23" x14ac:dyDescent="0.25">
      <c r="R435">
        <v>232</v>
      </c>
      <c r="S435" t="s">
        <v>19</v>
      </c>
      <c r="T435">
        <v>4282</v>
      </c>
      <c r="U435">
        <v>561874475.52999997</v>
      </c>
      <c r="V435">
        <v>1.3280895659415599E-2</v>
      </c>
      <c r="W435">
        <f t="shared" si="12"/>
        <v>14.822979880365239</v>
      </c>
    </row>
    <row r="436" spans="18:23" x14ac:dyDescent="0.25">
      <c r="R436">
        <v>233</v>
      </c>
      <c r="S436" t="s">
        <v>19</v>
      </c>
      <c r="T436">
        <v>4209</v>
      </c>
      <c r="U436">
        <v>561560352.85000002</v>
      </c>
      <c r="V436">
        <v>1.34948486096306E-2</v>
      </c>
      <c r="W436">
        <f t="shared" si="12"/>
        <v>15.044345700993089</v>
      </c>
    </row>
    <row r="437" spans="18:23" x14ac:dyDescent="0.25">
      <c r="R437">
        <v>234</v>
      </c>
      <c r="S437" t="s">
        <v>19</v>
      </c>
      <c r="T437">
        <v>4151</v>
      </c>
      <c r="U437">
        <v>544211005.41999996</v>
      </c>
      <c r="V437">
        <v>1.4083017794290199E-2</v>
      </c>
      <c r="W437">
        <f t="shared" si="12"/>
        <v>15.650178538887882</v>
      </c>
    </row>
    <row r="438" spans="18:23" x14ac:dyDescent="0.25">
      <c r="R438">
        <v>235</v>
      </c>
      <c r="S438" t="s">
        <v>19</v>
      </c>
      <c r="T438">
        <v>4112</v>
      </c>
      <c r="U438">
        <v>546700756.12</v>
      </c>
      <c r="V438">
        <v>1.38288213828687E-2</v>
      </c>
      <c r="W438">
        <f t="shared" si="12"/>
        <v>15.388835807486389</v>
      </c>
    </row>
    <row r="439" spans="18:23" x14ac:dyDescent="0.25">
      <c r="R439">
        <v>236</v>
      </c>
      <c r="S439" t="s">
        <v>19</v>
      </c>
      <c r="T439">
        <v>4028</v>
      </c>
      <c r="U439">
        <v>525033915.33999997</v>
      </c>
      <c r="V439">
        <v>1.4177170205025199E-2</v>
      </c>
      <c r="W439">
        <f t="shared" si="12"/>
        <v>15.746789948074136</v>
      </c>
    </row>
    <row r="440" spans="18:23" x14ac:dyDescent="0.25">
      <c r="R440">
        <v>237</v>
      </c>
      <c r="S440" t="s">
        <v>19</v>
      </c>
      <c r="T440">
        <v>3972</v>
      </c>
      <c r="U440">
        <v>494969816.56</v>
      </c>
      <c r="V440">
        <v>1.23444130069907E-2</v>
      </c>
      <c r="W440">
        <f t="shared" si="12"/>
        <v>13.847814778684386</v>
      </c>
    </row>
    <row r="441" spans="18:23" x14ac:dyDescent="0.25">
      <c r="R441">
        <v>238</v>
      </c>
      <c r="S441" t="s">
        <v>19</v>
      </c>
      <c r="T441">
        <v>3906</v>
      </c>
      <c r="U441">
        <v>515617361.31</v>
      </c>
      <c r="V441">
        <v>1.2169788813375401E-2</v>
      </c>
      <c r="W441">
        <f t="shared" si="12"/>
        <v>13.664849449991323</v>
      </c>
    </row>
    <row r="442" spans="18:23" x14ac:dyDescent="0.25">
      <c r="R442">
        <v>239</v>
      </c>
      <c r="S442" t="s">
        <v>19</v>
      </c>
      <c r="T442">
        <v>3825</v>
      </c>
      <c r="U442">
        <v>478980228.92000002</v>
      </c>
      <c r="V442">
        <v>1.4989475822310701E-2</v>
      </c>
      <c r="W442">
        <f t="shared" si="12"/>
        <v>16.576107853502553</v>
      </c>
    </row>
    <row r="443" spans="18:23" x14ac:dyDescent="0.25">
      <c r="R443">
        <v>240</v>
      </c>
      <c r="S443" t="s">
        <v>19</v>
      </c>
      <c r="T443">
        <v>3740</v>
      </c>
      <c r="U443">
        <v>492681189.27999997</v>
      </c>
      <c r="V443">
        <v>1.3978260670869999E-2</v>
      </c>
      <c r="W443">
        <f t="shared" si="12"/>
        <v>15.542566107052957</v>
      </c>
    </row>
    <row r="444" spans="18:23" x14ac:dyDescent="0.25">
      <c r="R444">
        <v>241</v>
      </c>
      <c r="S444" t="s">
        <v>19</v>
      </c>
      <c r="T444">
        <v>3678</v>
      </c>
      <c r="U444">
        <v>454151263.98000002</v>
      </c>
      <c r="V444">
        <v>1.1096316002944501E-2</v>
      </c>
      <c r="W444">
        <f t="shared" si="12"/>
        <v>12.532253532320169</v>
      </c>
    </row>
    <row r="445" spans="18:23" x14ac:dyDescent="0.25">
      <c r="R445">
        <v>242</v>
      </c>
      <c r="S445" t="s">
        <v>19</v>
      </c>
      <c r="T445">
        <v>3624</v>
      </c>
      <c r="U445">
        <v>458826399.22000003</v>
      </c>
      <c r="V445">
        <v>1.40221553835319E-2</v>
      </c>
      <c r="W445">
        <f t="shared" si="12"/>
        <v>15.58767254340523</v>
      </c>
    </row>
    <row r="446" spans="18:23" x14ac:dyDescent="0.25">
      <c r="R446">
        <v>243</v>
      </c>
      <c r="S446" t="s">
        <v>19</v>
      </c>
      <c r="T446">
        <v>3570</v>
      </c>
      <c r="U446">
        <v>452392312.44999999</v>
      </c>
      <c r="V446">
        <v>1.40941098885483E-2</v>
      </c>
      <c r="W446">
        <f t="shared" si="12"/>
        <v>15.661565602448169</v>
      </c>
    </row>
    <row r="447" spans="18:23" x14ac:dyDescent="0.25">
      <c r="R447">
        <v>244</v>
      </c>
      <c r="S447" t="s">
        <v>19</v>
      </c>
      <c r="T447">
        <v>3493</v>
      </c>
      <c r="U447">
        <v>425704271.25</v>
      </c>
      <c r="V447">
        <v>1.19390492671958E-2</v>
      </c>
      <c r="W447">
        <f t="shared" si="12"/>
        <v>13.422542070048749</v>
      </c>
    </row>
    <row r="448" spans="18:23" x14ac:dyDescent="0.25">
      <c r="R448">
        <v>245</v>
      </c>
      <c r="S448" t="s">
        <v>19</v>
      </c>
      <c r="T448">
        <v>3421</v>
      </c>
      <c r="U448">
        <v>420190341.13999999</v>
      </c>
      <c r="V448">
        <v>1.35046659903227E-2</v>
      </c>
      <c r="W448">
        <f t="shared" si="12"/>
        <v>15.054490560549894</v>
      </c>
    </row>
    <row r="449" spans="18:23" x14ac:dyDescent="0.25">
      <c r="R449">
        <v>246</v>
      </c>
      <c r="S449" t="s">
        <v>19</v>
      </c>
      <c r="T449">
        <v>3336</v>
      </c>
      <c r="U449">
        <v>403815338.50999999</v>
      </c>
      <c r="V449">
        <v>1.2131956182913701E-2</v>
      </c>
      <c r="W449">
        <f t="shared" si="12"/>
        <v>13.62516278419551</v>
      </c>
    </row>
    <row r="450" spans="18:23" x14ac:dyDescent="0.25">
      <c r="R450">
        <v>247</v>
      </c>
      <c r="S450" t="s">
        <v>19</v>
      </c>
      <c r="T450">
        <v>3283</v>
      </c>
      <c r="U450">
        <v>400268395.19999999</v>
      </c>
      <c r="V450">
        <v>1.7388508380733799E-2</v>
      </c>
      <c r="W450">
        <f t="shared" si="12"/>
        <v>18.981897644997282</v>
      </c>
    </row>
    <row r="451" spans="18:23" x14ac:dyDescent="0.25">
      <c r="R451">
        <v>248</v>
      </c>
      <c r="S451" t="s">
        <v>19</v>
      </c>
      <c r="T451">
        <v>3208</v>
      </c>
      <c r="U451">
        <v>379590774.61000001</v>
      </c>
      <c r="V451">
        <v>1.47074976244559E-2</v>
      </c>
      <c r="W451">
        <f t="shared" ref="W451:W514" si="13">100*(1-(1-V451)^12)</f>
        <v>16.289075893608228</v>
      </c>
    </row>
    <row r="452" spans="18:23" x14ac:dyDescent="0.25">
      <c r="R452">
        <v>249</v>
      </c>
      <c r="S452" t="s">
        <v>19</v>
      </c>
      <c r="T452">
        <v>3122</v>
      </c>
      <c r="U452">
        <v>362310000.31</v>
      </c>
      <c r="V452">
        <v>1.34823956275221E-2</v>
      </c>
      <c r="W452">
        <f t="shared" si="13"/>
        <v>15.031475726257938</v>
      </c>
    </row>
    <row r="453" spans="18:23" x14ac:dyDescent="0.25">
      <c r="R453">
        <v>250</v>
      </c>
      <c r="S453" t="s">
        <v>19</v>
      </c>
      <c r="T453">
        <v>3054</v>
      </c>
      <c r="U453">
        <v>355581150.32999998</v>
      </c>
      <c r="V453">
        <v>1.22998643559479E-2</v>
      </c>
      <c r="W453">
        <f t="shared" si="13"/>
        <v>13.80117201027381</v>
      </c>
    </row>
    <row r="454" spans="18:23" x14ac:dyDescent="0.25">
      <c r="R454">
        <v>251</v>
      </c>
      <c r="S454" t="s">
        <v>19</v>
      </c>
      <c r="T454">
        <v>2991</v>
      </c>
      <c r="U454">
        <v>357422053.31999999</v>
      </c>
      <c r="V454">
        <v>1.36843614642426E-2</v>
      </c>
      <c r="W454">
        <f t="shared" si="13"/>
        <v>15.239984071112255</v>
      </c>
    </row>
    <row r="455" spans="18:23" x14ac:dyDescent="0.25">
      <c r="R455">
        <v>252</v>
      </c>
      <c r="S455" t="s">
        <v>19</v>
      </c>
      <c r="T455">
        <v>2915</v>
      </c>
      <c r="U455">
        <v>338876636.73000002</v>
      </c>
      <c r="V455">
        <v>1.4503202318080799E-2</v>
      </c>
      <c r="W455">
        <f t="shared" si="13"/>
        <v>16.08055387472811</v>
      </c>
    </row>
    <row r="456" spans="18:23" x14ac:dyDescent="0.25">
      <c r="R456">
        <v>253</v>
      </c>
      <c r="S456" t="s">
        <v>19</v>
      </c>
      <c r="T456">
        <v>2832</v>
      </c>
      <c r="U456">
        <v>308341971.62</v>
      </c>
      <c r="V456">
        <v>1.38093761545243E-2</v>
      </c>
      <c r="W456">
        <f t="shared" si="13"/>
        <v>15.368813378714341</v>
      </c>
    </row>
    <row r="457" spans="18:23" x14ac:dyDescent="0.25">
      <c r="R457">
        <v>254</v>
      </c>
      <c r="S457" t="s">
        <v>19</v>
      </c>
      <c r="T457">
        <v>2774</v>
      </c>
      <c r="U457">
        <v>312124911.57999998</v>
      </c>
      <c r="V457">
        <v>1.32418436933171E-2</v>
      </c>
      <c r="W457">
        <f t="shared" si="13"/>
        <v>14.782517857310562</v>
      </c>
    </row>
    <row r="458" spans="18:23" x14ac:dyDescent="0.25">
      <c r="R458">
        <v>255</v>
      </c>
      <c r="S458" t="s">
        <v>19</v>
      </c>
      <c r="T458">
        <v>2702</v>
      </c>
      <c r="U458">
        <v>290175410.88</v>
      </c>
      <c r="V458">
        <v>1.4934751585220099E-2</v>
      </c>
      <c r="W458">
        <f t="shared" si="13"/>
        <v>16.520473474079399</v>
      </c>
    </row>
    <row r="459" spans="18:23" x14ac:dyDescent="0.25">
      <c r="R459">
        <v>256</v>
      </c>
      <c r="S459" t="s">
        <v>19</v>
      </c>
      <c r="T459">
        <v>2608</v>
      </c>
      <c r="U459">
        <v>294774380.23000002</v>
      </c>
      <c r="V459">
        <v>1.3958600587645901E-2</v>
      </c>
      <c r="W459">
        <f t="shared" si="13"/>
        <v>15.522356139488746</v>
      </c>
    </row>
    <row r="460" spans="18:23" x14ac:dyDescent="0.25">
      <c r="R460">
        <v>257</v>
      </c>
      <c r="S460" t="s">
        <v>19</v>
      </c>
      <c r="T460">
        <v>2541</v>
      </c>
      <c r="U460">
        <v>284436060.94</v>
      </c>
      <c r="V460">
        <v>1.23616698459995E-2</v>
      </c>
      <c r="W460">
        <f t="shared" si="13"/>
        <v>13.865876599589122</v>
      </c>
    </row>
    <row r="461" spans="18:23" x14ac:dyDescent="0.25">
      <c r="R461">
        <v>258</v>
      </c>
      <c r="S461" t="s">
        <v>19</v>
      </c>
      <c r="T461">
        <v>2510</v>
      </c>
      <c r="U461">
        <v>277017398.76999998</v>
      </c>
      <c r="V461">
        <v>1.3166118615049601E-2</v>
      </c>
      <c r="W461">
        <f t="shared" si="13"/>
        <v>14.704008347770126</v>
      </c>
    </row>
    <row r="462" spans="18:23" x14ac:dyDescent="0.25">
      <c r="R462">
        <v>259</v>
      </c>
      <c r="S462" t="s">
        <v>19</v>
      </c>
      <c r="T462">
        <v>2469</v>
      </c>
      <c r="U462">
        <v>298421868.24000001</v>
      </c>
      <c r="V462">
        <v>1.44978636800417E-2</v>
      </c>
      <c r="W462">
        <f t="shared" si="13"/>
        <v>16.075098406212518</v>
      </c>
    </row>
    <row r="463" spans="18:23" x14ac:dyDescent="0.25">
      <c r="R463">
        <v>260</v>
      </c>
      <c r="S463" t="s">
        <v>19</v>
      </c>
      <c r="T463">
        <v>2420</v>
      </c>
      <c r="U463">
        <v>269877561.58999997</v>
      </c>
      <c r="V463">
        <v>1.4823687402127301E-2</v>
      </c>
      <c r="W463">
        <f t="shared" si="13"/>
        <v>16.40745756528954</v>
      </c>
    </row>
    <row r="464" spans="18:23" x14ac:dyDescent="0.25">
      <c r="R464">
        <v>261</v>
      </c>
      <c r="S464" t="s">
        <v>19</v>
      </c>
      <c r="T464">
        <v>2401</v>
      </c>
      <c r="U464">
        <v>267050868.49000001</v>
      </c>
      <c r="V464">
        <v>1.1267456339680499E-2</v>
      </c>
      <c r="W464">
        <f t="shared" si="13"/>
        <v>12.713727459010538</v>
      </c>
    </row>
    <row r="465" spans="18:23" x14ac:dyDescent="0.25">
      <c r="R465">
        <v>262</v>
      </c>
      <c r="S465" t="s">
        <v>19</v>
      </c>
      <c r="T465">
        <v>2357</v>
      </c>
      <c r="U465">
        <v>252942106.43000001</v>
      </c>
      <c r="V465">
        <v>1.1469972302056399E-2</v>
      </c>
      <c r="W465">
        <f t="shared" si="13"/>
        <v>12.928025616649219</v>
      </c>
    </row>
    <row r="466" spans="18:23" x14ac:dyDescent="0.25">
      <c r="R466">
        <v>263</v>
      </c>
      <c r="S466" t="s">
        <v>19</v>
      </c>
      <c r="T466">
        <v>2314</v>
      </c>
      <c r="U466">
        <v>249981129.75999999</v>
      </c>
      <c r="V466">
        <v>1.24379612870696E-2</v>
      </c>
      <c r="W466">
        <f t="shared" si="13"/>
        <v>13.94568523079317</v>
      </c>
    </row>
    <row r="467" spans="18:23" x14ac:dyDescent="0.25">
      <c r="R467">
        <v>264</v>
      </c>
      <c r="S467" t="s">
        <v>19</v>
      </c>
      <c r="T467">
        <v>2287</v>
      </c>
      <c r="U467">
        <v>235683560.38999999</v>
      </c>
      <c r="V467">
        <v>1.21305113713973E-2</v>
      </c>
      <c r="W467">
        <f t="shared" si="13"/>
        <v>13.623646836422697</v>
      </c>
    </row>
    <row r="468" spans="18:23" x14ac:dyDescent="0.25">
      <c r="R468">
        <v>265</v>
      </c>
      <c r="S468" t="s">
        <v>19</v>
      </c>
      <c r="T468">
        <v>2252</v>
      </c>
      <c r="U468">
        <v>223454294.49000001</v>
      </c>
      <c r="V468">
        <v>1.30341191717969E-2</v>
      </c>
      <c r="W468">
        <f t="shared" si="13"/>
        <v>14.56699671423346</v>
      </c>
    </row>
    <row r="469" spans="18:23" x14ac:dyDescent="0.25">
      <c r="R469">
        <v>266</v>
      </c>
      <c r="S469" t="s">
        <v>19</v>
      </c>
      <c r="T469">
        <v>2227</v>
      </c>
      <c r="U469">
        <v>228139667.02000001</v>
      </c>
      <c r="V469">
        <v>1.2072563518649E-2</v>
      </c>
      <c r="W469">
        <f t="shared" si="13"/>
        <v>13.562825773487075</v>
      </c>
    </row>
    <row r="470" spans="18:23" x14ac:dyDescent="0.25">
      <c r="R470">
        <v>267</v>
      </c>
      <c r="S470" t="s">
        <v>19</v>
      </c>
      <c r="T470">
        <v>2179</v>
      </c>
      <c r="U470">
        <v>213670717.97</v>
      </c>
      <c r="V470">
        <v>1.37040553731858E-2</v>
      </c>
      <c r="W470">
        <f t="shared" si="13"/>
        <v>15.260290828902656</v>
      </c>
    </row>
    <row r="471" spans="18:23" x14ac:dyDescent="0.25">
      <c r="R471">
        <v>268</v>
      </c>
      <c r="S471" t="s">
        <v>19</v>
      </c>
      <c r="T471">
        <v>2137</v>
      </c>
      <c r="U471">
        <v>207210646.97</v>
      </c>
      <c r="V471">
        <v>1.50224862231814E-2</v>
      </c>
      <c r="W471">
        <f t="shared" si="13"/>
        <v>16.609650828162714</v>
      </c>
    </row>
    <row r="472" spans="18:23" x14ac:dyDescent="0.25">
      <c r="R472">
        <v>269</v>
      </c>
      <c r="S472" t="s">
        <v>19</v>
      </c>
      <c r="T472">
        <v>2089</v>
      </c>
      <c r="U472">
        <v>202401006.50999999</v>
      </c>
      <c r="V472">
        <v>1.2398047182938E-2</v>
      </c>
      <c r="W472">
        <f t="shared" si="13"/>
        <v>13.903939464455206</v>
      </c>
    </row>
    <row r="473" spans="18:23" x14ac:dyDescent="0.25">
      <c r="R473">
        <v>270</v>
      </c>
      <c r="S473" t="s">
        <v>19</v>
      </c>
      <c r="T473">
        <v>2051</v>
      </c>
      <c r="U473">
        <v>201166393.02000001</v>
      </c>
      <c r="V473">
        <v>1.08138708419242E-2</v>
      </c>
      <c r="W473">
        <f t="shared" si="13"/>
        <v>12.231997552701513</v>
      </c>
    </row>
    <row r="474" spans="18:23" x14ac:dyDescent="0.25">
      <c r="R474">
        <v>271</v>
      </c>
      <c r="S474" t="s">
        <v>19</v>
      </c>
      <c r="T474">
        <v>1991</v>
      </c>
      <c r="U474">
        <v>196068110.75</v>
      </c>
      <c r="V474">
        <v>1.29126754781587E-2</v>
      </c>
      <c r="W474">
        <f t="shared" si="13"/>
        <v>14.440763487801734</v>
      </c>
    </row>
    <row r="475" spans="18:23" x14ac:dyDescent="0.25">
      <c r="R475">
        <v>272</v>
      </c>
      <c r="S475" t="s">
        <v>19</v>
      </c>
      <c r="T475">
        <v>1894</v>
      </c>
      <c r="U475">
        <v>180337874.19</v>
      </c>
      <c r="V475">
        <v>1.07227310182577E-2</v>
      </c>
      <c r="W475">
        <f t="shared" si="13"/>
        <v>12.13490906944925</v>
      </c>
    </row>
    <row r="476" spans="18:23" x14ac:dyDescent="0.25">
      <c r="R476">
        <v>273</v>
      </c>
      <c r="S476" t="s">
        <v>19</v>
      </c>
      <c r="T476">
        <v>1799</v>
      </c>
      <c r="U476">
        <v>177472287.16</v>
      </c>
      <c r="V476">
        <v>1.24774569504306E-2</v>
      </c>
      <c r="W476">
        <f t="shared" si="13"/>
        <v>13.986975089404464</v>
      </c>
    </row>
    <row r="477" spans="18:23" x14ac:dyDescent="0.25">
      <c r="R477">
        <v>274</v>
      </c>
      <c r="S477" t="s">
        <v>19</v>
      </c>
      <c r="T477">
        <v>1711</v>
      </c>
      <c r="U477">
        <v>164467847.72999999</v>
      </c>
      <c r="V477">
        <v>1.4654309679493599E-2</v>
      </c>
      <c r="W477">
        <f t="shared" si="13"/>
        <v>16.234833310732554</v>
      </c>
    </row>
    <row r="478" spans="18:23" x14ac:dyDescent="0.25">
      <c r="R478">
        <v>275</v>
      </c>
      <c r="S478" t="s">
        <v>19</v>
      </c>
      <c r="T478">
        <v>1580</v>
      </c>
      <c r="U478">
        <v>155017753.84</v>
      </c>
      <c r="V478">
        <v>1.1730036795526999E-2</v>
      </c>
      <c r="W478">
        <f t="shared" si="13"/>
        <v>13.202513089042611</v>
      </c>
    </row>
    <row r="479" spans="18:23" x14ac:dyDescent="0.25">
      <c r="R479">
        <v>276</v>
      </c>
      <c r="S479" t="s">
        <v>19</v>
      </c>
      <c r="T479">
        <v>1420</v>
      </c>
      <c r="U479">
        <v>132719032.02</v>
      </c>
      <c r="V479">
        <v>1.0602530046447799E-2</v>
      </c>
      <c r="W479">
        <f t="shared" si="13"/>
        <v>12.006712086466765</v>
      </c>
    </row>
    <row r="480" spans="18:23" x14ac:dyDescent="0.25">
      <c r="R480">
        <v>277</v>
      </c>
      <c r="S480" t="s">
        <v>19</v>
      </c>
      <c r="T480">
        <v>1251</v>
      </c>
      <c r="U480">
        <v>116162686.7</v>
      </c>
      <c r="V480">
        <v>1.41412670130109E-2</v>
      </c>
      <c r="W480">
        <f t="shared" si="13"/>
        <v>15.709961036241438</v>
      </c>
    </row>
    <row r="481" spans="18:23" x14ac:dyDescent="0.25">
      <c r="R481">
        <v>278</v>
      </c>
      <c r="S481" t="s">
        <v>19</v>
      </c>
      <c r="T481">
        <v>1153</v>
      </c>
      <c r="U481">
        <v>103793931.52</v>
      </c>
      <c r="V481">
        <v>1.4065831104282001E-2</v>
      </c>
      <c r="W481">
        <f t="shared" si="13"/>
        <v>15.632532023893386</v>
      </c>
    </row>
    <row r="482" spans="18:23" x14ac:dyDescent="0.25">
      <c r="R482">
        <v>279</v>
      </c>
      <c r="S482" t="s">
        <v>19</v>
      </c>
      <c r="T482">
        <v>1066</v>
      </c>
      <c r="U482">
        <v>97311506.019999996</v>
      </c>
      <c r="V482">
        <v>1.6799049034843801E-2</v>
      </c>
      <c r="W482">
        <f t="shared" si="13"/>
        <v>18.396745578513752</v>
      </c>
    </row>
    <row r="483" spans="18:23" x14ac:dyDescent="0.25">
      <c r="R483">
        <v>280</v>
      </c>
      <c r="S483" t="s">
        <v>19</v>
      </c>
      <c r="T483">
        <v>986</v>
      </c>
      <c r="U483">
        <v>90959899.170000002</v>
      </c>
      <c r="V483">
        <v>1.6419477616407899E-2</v>
      </c>
      <c r="W483">
        <f t="shared" si="13"/>
        <v>18.017899942802408</v>
      </c>
    </row>
    <row r="484" spans="18:23" x14ac:dyDescent="0.25">
      <c r="R484">
        <v>281</v>
      </c>
      <c r="S484" t="s">
        <v>19</v>
      </c>
      <c r="T484">
        <v>904</v>
      </c>
      <c r="U484">
        <v>79966195</v>
      </c>
      <c r="V484">
        <v>1.19075171797623E-2</v>
      </c>
      <c r="W484">
        <f t="shared" si="13"/>
        <v>13.389380789562189</v>
      </c>
    </row>
    <row r="485" spans="18:23" x14ac:dyDescent="0.25">
      <c r="R485">
        <v>282</v>
      </c>
      <c r="S485" t="s">
        <v>19</v>
      </c>
      <c r="T485">
        <v>836</v>
      </c>
      <c r="U485">
        <v>77341804.640000001</v>
      </c>
      <c r="V485">
        <v>1.42260293937258E-2</v>
      </c>
      <c r="W485">
        <f t="shared" si="13"/>
        <v>15.7968852157497</v>
      </c>
    </row>
    <row r="486" spans="18:23" x14ac:dyDescent="0.25">
      <c r="R486">
        <v>283</v>
      </c>
      <c r="S486" t="s">
        <v>19</v>
      </c>
      <c r="T486">
        <v>767</v>
      </c>
      <c r="U486">
        <v>75551360.859999999</v>
      </c>
      <c r="V486">
        <v>1.8191499142161699E-2</v>
      </c>
      <c r="W486">
        <f t="shared" si="13"/>
        <v>19.772832969790166</v>
      </c>
    </row>
    <row r="487" spans="18:23" x14ac:dyDescent="0.25">
      <c r="R487">
        <v>284</v>
      </c>
      <c r="S487" t="s">
        <v>19</v>
      </c>
      <c r="T487">
        <v>723</v>
      </c>
      <c r="U487">
        <v>64273876.57</v>
      </c>
      <c r="V487">
        <v>1.64565938360417E-2</v>
      </c>
      <c r="W487">
        <f t="shared" si="13"/>
        <v>18.055016182145465</v>
      </c>
    </row>
    <row r="488" spans="18:23" x14ac:dyDescent="0.25">
      <c r="R488">
        <v>285</v>
      </c>
      <c r="S488" t="s">
        <v>19</v>
      </c>
      <c r="T488">
        <v>686</v>
      </c>
      <c r="U488">
        <v>61795527.350000001</v>
      </c>
      <c r="V488">
        <v>1.57943859388117E-2</v>
      </c>
      <c r="W488">
        <f t="shared" si="13"/>
        <v>17.390488152322114</v>
      </c>
    </row>
    <row r="489" spans="18:23" x14ac:dyDescent="0.25">
      <c r="R489">
        <v>286</v>
      </c>
      <c r="S489" t="s">
        <v>19</v>
      </c>
      <c r="T489">
        <v>660</v>
      </c>
      <c r="U489">
        <v>60775270.600000001</v>
      </c>
      <c r="V489">
        <v>1.27876179960205E-2</v>
      </c>
      <c r="W489">
        <f t="shared" si="13"/>
        <v>14.310595288570138</v>
      </c>
    </row>
    <row r="490" spans="18:23" x14ac:dyDescent="0.25">
      <c r="R490">
        <v>287</v>
      </c>
      <c r="S490" t="s">
        <v>19</v>
      </c>
      <c r="T490">
        <v>611</v>
      </c>
      <c r="U490">
        <v>55321250.840000004</v>
      </c>
      <c r="V490">
        <v>1.32678443944695E-2</v>
      </c>
      <c r="W490">
        <f t="shared" si="13"/>
        <v>14.809459330567588</v>
      </c>
    </row>
    <row r="491" spans="18:23" x14ac:dyDescent="0.25">
      <c r="R491">
        <v>288</v>
      </c>
      <c r="S491" t="s">
        <v>19</v>
      </c>
      <c r="T491">
        <v>584</v>
      </c>
      <c r="U491">
        <v>55647821.810000002</v>
      </c>
      <c r="V491">
        <v>1.59928874611431E-2</v>
      </c>
      <c r="W491">
        <f t="shared" si="13"/>
        <v>17.590201737829435</v>
      </c>
    </row>
    <row r="492" spans="18:23" x14ac:dyDescent="0.25">
      <c r="R492">
        <v>289</v>
      </c>
      <c r="S492" t="s">
        <v>19</v>
      </c>
      <c r="T492">
        <v>538</v>
      </c>
      <c r="U492">
        <v>45493656.93</v>
      </c>
      <c r="V492">
        <v>1.7130888366954498E-2</v>
      </c>
      <c r="W492">
        <f t="shared" si="13"/>
        <v>18.726634912178909</v>
      </c>
    </row>
    <row r="493" spans="18:23" x14ac:dyDescent="0.25">
      <c r="R493">
        <v>290</v>
      </c>
      <c r="S493" t="s">
        <v>19</v>
      </c>
      <c r="T493">
        <v>511</v>
      </c>
      <c r="U493">
        <v>43863240.899999999</v>
      </c>
      <c r="V493">
        <v>1.6119412666829602E-2</v>
      </c>
      <c r="W493">
        <f t="shared" si="13"/>
        <v>17.717268452690405</v>
      </c>
    </row>
    <row r="494" spans="18:23" x14ac:dyDescent="0.25">
      <c r="R494">
        <v>291</v>
      </c>
      <c r="S494" t="s">
        <v>19</v>
      </c>
      <c r="T494">
        <v>491</v>
      </c>
      <c r="U494">
        <v>40282955.020000003</v>
      </c>
      <c r="V494">
        <v>1.6316279790235401E-2</v>
      </c>
      <c r="W494">
        <f t="shared" si="13"/>
        <v>17.914621056777914</v>
      </c>
    </row>
    <row r="495" spans="18:23" x14ac:dyDescent="0.25">
      <c r="R495">
        <v>292</v>
      </c>
      <c r="S495" t="s">
        <v>19</v>
      </c>
      <c r="T495">
        <v>464</v>
      </c>
      <c r="U495">
        <v>40006966.5</v>
      </c>
      <c r="V495">
        <v>2.1547905940678801E-2</v>
      </c>
      <c r="W495">
        <f t="shared" si="13"/>
        <v>23.002822659976264</v>
      </c>
    </row>
    <row r="496" spans="18:23" x14ac:dyDescent="0.25">
      <c r="R496">
        <v>293</v>
      </c>
      <c r="S496" t="s">
        <v>19</v>
      </c>
      <c r="T496">
        <v>442</v>
      </c>
      <c r="U496">
        <v>35450532.350000001</v>
      </c>
      <c r="V496">
        <v>1.8308333467433199E-2</v>
      </c>
      <c r="W496">
        <f t="shared" si="13"/>
        <v>19.887321543681391</v>
      </c>
    </row>
    <row r="497" spans="18:23" x14ac:dyDescent="0.25">
      <c r="R497">
        <v>294</v>
      </c>
      <c r="S497" t="s">
        <v>19</v>
      </c>
      <c r="T497">
        <v>417</v>
      </c>
      <c r="U497">
        <v>32019240.719999999</v>
      </c>
      <c r="V497">
        <v>1.40419732764671E-2</v>
      </c>
      <c r="W497">
        <f t="shared" si="13"/>
        <v>15.608030277270746</v>
      </c>
    </row>
    <row r="498" spans="18:23" x14ac:dyDescent="0.25">
      <c r="R498">
        <v>295</v>
      </c>
      <c r="S498" t="s">
        <v>19</v>
      </c>
      <c r="T498">
        <v>387</v>
      </c>
      <c r="U498">
        <v>28208364.02</v>
      </c>
      <c r="V498">
        <v>1.6023627931361299E-2</v>
      </c>
      <c r="W498">
        <f t="shared" si="13"/>
        <v>17.621090303815802</v>
      </c>
    </row>
    <row r="499" spans="18:23" x14ac:dyDescent="0.25">
      <c r="R499">
        <v>296</v>
      </c>
      <c r="S499" t="s">
        <v>19</v>
      </c>
      <c r="T499">
        <v>367</v>
      </c>
      <c r="U499">
        <v>32540689.25</v>
      </c>
      <c r="V499">
        <v>2.2512476345653901E-2</v>
      </c>
      <c r="W499">
        <f t="shared" si="13"/>
        <v>23.908757664530565</v>
      </c>
    </row>
    <row r="500" spans="18:23" x14ac:dyDescent="0.25">
      <c r="R500">
        <v>297</v>
      </c>
      <c r="S500" t="s">
        <v>19</v>
      </c>
      <c r="T500">
        <v>337</v>
      </c>
      <c r="U500">
        <v>27824887.57</v>
      </c>
      <c r="V500">
        <v>1.8535863328027001E-2</v>
      </c>
      <c r="W500">
        <f t="shared" si="13"/>
        <v>20.109853430979861</v>
      </c>
    </row>
    <row r="501" spans="18:23" x14ac:dyDescent="0.25">
      <c r="R501">
        <v>298</v>
      </c>
      <c r="S501" t="s">
        <v>19</v>
      </c>
      <c r="T501">
        <v>318</v>
      </c>
      <c r="U501">
        <v>22891032.399999999</v>
      </c>
      <c r="V501">
        <v>1.5770852492178099E-2</v>
      </c>
      <c r="W501">
        <f t="shared" si="13"/>
        <v>17.366781615394832</v>
      </c>
    </row>
    <row r="502" spans="18:23" x14ac:dyDescent="0.25">
      <c r="R502">
        <v>299</v>
      </c>
      <c r="S502" t="s">
        <v>19</v>
      </c>
      <c r="T502">
        <v>310</v>
      </c>
      <c r="U502">
        <v>23029362.640000001</v>
      </c>
      <c r="V502">
        <v>1.31755401009699E-2</v>
      </c>
      <c r="W502">
        <f t="shared" si="13"/>
        <v>14.713779874307376</v>
      </c>
    </row>
    <row r="503" spans="18:23" x14ac:dyDescent="0.25">
      <c r="R503">
        <v>300</v>
      </c>
      <c r="S503" t="s">
        <v>19</v>
      </c>
      <c r="T503">
        <v>291</v>
      </c>
      <c r="U503">
        <v>19602030.030000001</v>
      </c>
      <c r="V503">
        <v>1.9250698308430701E-2</v>
      </c>
      <c r="W503">
        <f t="shared" si="13"/>
        <v>20.805304933076652</v>
      </c>
    </row>
    <row r="504" spans="18:23" x14ac:dyDescent="0.25">
      <c r="R504">
        <v>301</v>
      </c>
      <c r="S504" t="s">
        <v>19</v>
      </c>
      <c r="T504">
        <v>286</v>
      </c>
      <c r="U504">
        <v>19875854.809999999</v>
      </c>
      <c r="V504">
        <v>2.4771610524039599E-2</v>
      </c>
      <c r="W504">
        <f t="shared" si="13"/>
        <v>25.992450490551246</v>
      </c>
    </row>
    <row r="505" spans="18:23" x14ac:dyDescent="0.25">
      <c r="R505">
        <v>302</v>
      </c>
      <c r="S505" t="s">
        <v>19</v>
      </c>
      <c r="T505">
        <v>272</v>
      </c>
      <c r="U505">
        <v>21572215.030000001</v>
      </c>
      <c r="V505">
        <v>2.6422119737740699E-2</v>
      </c>
      <c r="W505">
        <f t="shared" si="13"/>
        <v>27.481572586588289</v>
      </c>
    </row>
    <row r="506" spans="18:23" x14ac:dyDescent="0.25">
      <c r="R506">
        <v>303</v>
      </c>
      <c r="S506" t="s">
        <v>19</v>
      </c>
      <c r="T506">
        <v>267</v>
      </c>
      <c r="U506">
        <v>20705523.629999999</v>
      </c>
      <c r="V506">
        <v>2.2071804788578502E-2</v>
      </c>
      <c r="W506">
        <f t="shared" si="13"/>
        <v>23.4960934206781</v>
      </c>
    </row>
    <row r="507" spans="18:23" x14ac:dyDescent="0.25">
      <c r="R507">
        <v>304</v>
      </c>
      <c r="S507" t="s">
        <v>19</v>
      </c>
      <c r="T507">
        <v>272</v>
      </c>
      <c r="U507">
        <v>24358139.579999998</v>
      </c>
      <c r="V507">
        <v>2.1313134673496201E-2</v>
      </c>
      <c r="W507">
        <f t="shared" si="13"/>
        <v>22.780832033500698</v>
      </c>
    </row>
    <row r="508" spans="18:23" x14ac:dyDescent="0.25">
      <c r="R508">
        <v>305</v>
      </c>
      <c r="S508" t="s">
        <v>19</v>
      </c>
      <c r="T508">
        <v>258</v>
      </c>
      <c r="U508">
        <v>19417605.260000002</v>
      </c>
      <c r="V508">
        <v>1.5654421306091001E-2</v>
      </c>
      <c r="W508">
        <f t="shared" si="13"/>
        <v>17.249402292780726</v>
      </c>
    </row>
    <row r="509" spans="18:23" x14ac:dyDescent="0.25">
      <c r="R509">
        <v>306</v>
      </c>
      <c r="S509" t="s">
        <v>19</v>
      </c>
      <c r="T509">
        <v>228</v>
      </c>
      <c r="U509">
        <v>16514628.720000001</v>
      </c>
      <c r="V509">
        <v>1.8943742854172899E-2</v>
      </c>
      <c r="W509">
        <f t="shared" si="13"/>
        <v>20.507355603848097</v>
      </c>
    </row>
    <row r="510" spans="18:23" x14ac:dyDescent="0.25">
      <c r="R510">
        <v>307</v>
      </c>
      <c r="S510" t="s">
        <v>19</v>
      </c>
      <c r="T510">
        <v>231</v>
      </c>
      <c r="U510">
        <v>16564941.609999999</v>
      </c>
      <c r="V510">
        <v>2.7950593808288099E-2</v>
      </c>
      <c r="W510">
        <f t="shared" si="13"/>
        <v>28.836045784196319</v>
      </c>
    </row>
    <row r="511" spans="18:23" x14ac:dyDescent="0.25">
      <c r="R511">
        <v>308</v>
      </c>
      <c r="S511" t="s">
        <v>19</v>
      </c>
      <c r="T511">
        <v>226</v>
      </c>
      <c r="U511">
        <v>15589648.65</v>
      </c>
      <c r="V511">
        <v>1.9537767288592401E-2</v>
      </c>
      <c r="W511">
        <f t="shared" si="13"/>
        <v>21.083024549895178</v>
      </c>
    </row>
    <row r="512" spans="18:23" x14ac:dyDescent="0.25">
      <c r="R512">
        <v>309</v>
      </c>
      <c r="S512" t="s">
        <v>19</v>
      </c>
      <c r="T512">
        <v>224</v>
      </c>
      <c r="U512">
        <v>15693539.869999999</v>
      </c>
      <c r="V512">
        <v>2.2540230269598099E-2</v>
      </c>
      <c r="W512">
        <f t="shared" si="13"/>
        <v>23.934679232771362</v>
      </c>
    </row>
    <row r="513" spans="18:23" x14ac:dyDescent="0.25">
      <c r="R513">
        <v>310</v>
      </c>
      <c r="S513" t="s">
        <v>19</v>
      </c>
      <c r="T513">
        <v>218</v>
      </c>
      <c r="U513">
        <v>13539825.18</v>
      </c>
      <c r="V513">
        <v>1.98660552668324E-2</v>
      </c>
      <c r="W513">
        <f t="shared" si="13"/>
        <v>21.399526334774777</v>
      </c>
    </row>
    <row r="514" spans="18:23" x14ac:dyDescent="0.25">
      <c r="R514">
        <v>311</v>
      </c>
      <c r="S514" t="s">
        <v>19</v>
      </c>
      <c r="T514">
        <v>206</v>
      </c>
      <c r="U514">
        <v>12702326.390000001</v>
      </c>
      <c r="V514">
        <v>2.0688001976793002E-2</v>
      </c>
      <c r="W514">
        <f t="shared" si="13"/>
        <v>22.186866685557316</v>
      </c>
    </row>
    <row r="515" spans="18:23" x14ac:dyDescent="0.25">
      <c r="R515">
        <v>312</v>
      </c>
      <c r="S515" t="s">
        <v>19</v>
      </c>
      <c r="T515">
        <v>190</v>
      </c>
      <c r="U515">
        <v>12075892.17</v>
      </c>
      <c r="V515">
        <v>2.0322792508167101E-2</v>
      </c>
      <c r="W515">
        <f t="shared" ref="W515:W562" si="14">100*(1-(1-V515)^12)</f>
        <v>21.837930449908004</v>
      </c>
    </row>
    <row r="516" spans="18:23" x14ac:dyDescent="0.25">
      <c r="R516">
        <v>313</v>
      </c>
      <c r="S516" t="s">
        <v>19</v>
      </c>
      <c r="T516">
        <v>181</v>
      </c>
      <c r="U516">
        <v>12054495.58</v>
      </c>
      <c r="V516">
        <v>2.92440343159759E-2</v>
      </c>
      <c r="W516">
        <f t="shared" si="14"/>
        <v>29.96408327204313</v>
      </c>
    </row>
    <row r="517" spans="18:23" x14ac:dyDescent="0.25">
      <c r="R517">
        <v>314</v>
      </c>
      <c r="S517" t="s">
        <v>19</v>
      </c>
      <c r="T517">
        <v>167</v>
      </c>
      <c r="U517">
        <v>10212210.789999999</v>
      </c>
      <c r="V517">
        <v>1.8969510321307202E-2</v>
      </c>
      <c r="W517">
        <f t="shared" si="14"/>
        <v>20.53240650037106</v>
      </c>
    </row>
    <row r="518" spans="18:23" x14ac:dyDescent="0.25">
      <c r="R518">
        <v>315</v>
      </c>
      <c r="S518" t="s">
        <v>19</v>
      </c>
      <c r="T518">
        <v>164</v>
      </c>
      <c r="U518">
        <v>11353501.199999999</v>
      </c>
      <c r="V518">
        <v>2.2952172468288401E-2</v>
      </c>
      <c r="W518">
        <f t="shared" si="14"/>
        <v>24.318473887581927</v>
      </c>
    </row>
    <row r="519" spans="18:23" x14ac:dyDescent="0.25">
      <c r="R519">
        <v>316</v>
      </c>
      <c r="S519" t="s">
        <v>19</v>
      </c>
      <c r="T519">
        <v>176</v>
      </c>
      <c r="U519">
        <v>9475607.5500000007</v>
      </c>
      <c r="V519">
        <v>2.0611250520468201E-2</v>
      </c>
      <c r="W519">
        <f t="shared" si="14"/>
        <v>22.113653903455223</v>
      </c>
    </row>
    <row r="520" spans="18:23" x14ac:dyDescent="0.25">
      <c r="R520">
        <v>317</v>
      </c>
      <c r="S520" t="s">
        <v>19</v>
      </c>
      <c r="T520">
        <v>155</v>
      </c>
      <c r="U520">
        <v>7108107.54</v>
      </c>
      <c r="V520">
        <v>1.5133399182992601E-2</v>
      </c>
      <c r="W520">
        <f t="shared" si="14"/>
        <v>16.722262670994859</v>
      </c>
    </row>
    <row r="521" spans="18:23" x14ac:dyDescent="0.25">
      <c r="R521">
        <v>318</v>
      </c>
      <c r="S521" t="s">
        <v>19</v>
      </c>
      <c r="T521">
        <v>160</v>
      </c>
      <c r="U521">
        <v>6962583.04</v>
      </c>
      <c r="V521">
        <v>2.48055888098535E-2</v>
      </c>
      <c r="W521">
        <f t="shared" si="14"/>
        <v>26.023386848147357</v>
      </c>
    </row>
    <row r="522" spans="18:23" x14ac:dyDescent="0.25">
      <c r="R522">
        <v>319</v>
      </c>
      <c r="S522" t="s">
        <v>19</v>
      </c>
      <c r="T522">
        <v>163</v>
      </c>
      <c r="U522">
        <v>8211817.9900000002</v>
      </c>
      <c r="V522">
        <v>2.80232430123162E-2</v>
      </c>
      <c r="W522">
        <f t="shared" si="14"/>
        <v>28.899843528759096</v>
      </c>
    </row>
    <row r="523" spans="18:23" x14ac:dyDescent="0.25">
      <c r="R523">
        <v>320</v>
      </c>
      <c r="S523" t="s">
        <v>19</v>
      </c>
      <c r="T523">
        <v>154</v>
      </c>
      <c r="U523">
        <v>6292079.8600000003</v>
      </c>
      <c r="V523">
        <v>9.1782334608877594E-3</v>
      </c>
      <c r="W523">
        <f t="shared" si="14"/>
        <v>10.474560018180924</v>
      </c>
    </row>
    <row r="524" spans="18:23" x14ac:dyDescent="0.25">
      <c r="R524">
        <v>321</v>
      </c>
      <c r="S524" t="s">
        <v>19</v>
      </c>
      <c r="T524">
        <v>163</v>
      </c>
      <c r="U524">
        <v>6839162.4299999997</v>
      </c>
      <c r="V524">
        <v>1.79630954176285E-2</v>
      </c>
      <c r="W524">
        <f t="shared" si="14"/>
        <v>19.548581731456938</v>
      </c>
    </row>
    <row r="525" spans="18:23" x14ac:dyDescent="0.25">
      <c r="R525">
        <v>322</v>
      </c>
      <c r="S525" t="s">
        <v>19</v>
      </c>
      <c r="T525">
        <v>163</v>
      </c>
      <c r="U525">
        <v>6113157.79</v>
      </c>
      <c r="V525">
        <v>1.7422550459907201E-2</v>
      </c>
      <c r="W525">
        <f t="shared" si="14"/>
        <v>19.015573202981308</v>
      </c>
    </row>
    <row r="526" spans="18:23" x14ac:dyDescent="0.25">
      <c r="R526">
        <v>323</v>
      </c>
      <c r="S526" t="s">
        <v>19</v>
      </c>
      <c r="T526">
        <v>158</v>
      </c>
      <c r="U526">
        <v>5884903.6399999997</v>
      </c>
      <c r="V526">
        <v>1.56215243650684E-2</v>
      </c>
      <c r="W526">
        <f t="shared" si="14"/>
        <v>17.216209779615156</v>
      </c>
    </row>
    <row r="527" spans="18:23" x14ac:dyDescent="0.25">
      <c r="R527">
        <v>324</v>
      </c>
      <c r="S527" t="s">
        <v>19</v>
      </c>
      <c r="T527">
        <v>155</v>
      </c>
      <c r="U527">
        <v>5760653.3899999997</v>
      </c>
      <c r="V527">
        <v>3.1868006580975702E-2</v>
      </c>
      <c r="W527">
        <f t="shared" si="14"/>
        <v>32.202314579263188</v>
      </c>
    </row>
    <row r="528" spans="18:23" x14ac:dyDescent="0.25">
      <c r="R528">
        <v>325</v>
      </c>
      <c r="S528" t="s">
        <v>19</v>
      </c>
      <c r="T528">
        <v>154</v>
      </c>
      <c r="U528">
        <v>5600121.3600000003</v>
      </c>
      <c r="V528">
        <v>2.4942234438679999E-2</v>
      </c>
      <c r="W528">
        <f t="shared" si="14"/>
        <v>26.147679530543865</v>
      </c>
    </row>
    <row r="529" spans="18:23" x14ac:dyDescent="0.25">
      <c r="R529">
        <v>326</v>
      </c>
      <c r="S529" t="s">
        <v>19</v>
      </c>
      <c r="T529">
        <v>154</v>
      </c>
      <c r="U529">
        <v>5762863.4900000002</v>
      </c>
      <c r="V529">
        <v>2.18265348447374E-2</v>
      </c>
      <c r="W529">
        <f t="shared" si="14"/>
        <v>23.265524169336615</v>
      </c>
    </row>
    <row r="530" spans="18:23" x14ac:dyDescent="0.25">
      <c r="R530">
        <v>327</v>
      </c>
      <c r="S530" t="s">
        <v>19</v>
      </c>
      <c r="T530">
        <v>150</v>
      </c>
      <c r="U530">
        <v>5078813.29</v>
      </c>
      <c r="V530">
        <v>1.2904889657751099E-2</v>
      </c>
      <c r="W530">
        <f t="shared" si="14"/>
        <v>14.432664778807213</v>
      </c>
    </row>
    <row r="531" spans="18:23" x14ac:dyDescent="0.25">
      <c r="R531">
        <v>328</v>
      </c>
      <c r="S531" t="s">
        <v>19</v>
      </c>
      <c r="T531">
        <v>146</v>
      </c>
      <c r="U531">
        <v>4740287.9800000004</v>
      </c>
      <c r="V531">
        <v>2.3749438542328801E-2</v>
      </c>
      <c r="W531">
        <f t="shared" si="14"/>
        <v>25.056225920425625</v>
      </c>
    </row>
    <row r="532" spans="18:23" x14ac:dyDescent="0.25">
      <c r="R532">
        <v>329</v>
      </c>
      <c r="S532" t="s">
        <v>19</v>
      </c>
      <c r="T532">
        <v>144</v>
      </c>
      <c r="U532">
        <v>4630135.21</v>
      </c>
      <c r="V532">
        <v>3.8541661351351703E-2</v>
      </c>
      <c r="W532">
        <f t="shared" si="14"/>
        <v>37.602721988060885</v>
      </c>
    </row>
    <row r="533" spans="18:23" x14ac:dyDescent="0.25">
      <c r="R533">
        <v>330</v>
      </c>
      <c r="S533" t="s">
        <v>19</v>
      </c>
      <c r="T533">
        <v>135</v>
      </c>
      <c r="U533">
        <v>4013362.42</v>
      </c>
      <c r="V533">
        <v>3.0008646933485698E-2</v>
      </c>
      <c r="W533">
        <f t="shared" si="14"/>
        <v>30.623185732949811</v>
      </c>
    </row>
    <row r="534" spans="18:23" x14ac:dyDescent="0.25">
      <c r="R534">
        <v>331</v>
      </c>
      <c r="S534" t="s">
        <v>19</v>
      </c>
      <c r="T534">
        <v>151</v>
      </c>
      <c r="U534">
        <v>4595999.46</v>
      </c>
      <c r="V534">
        <v>7.7211331256092003E-2</v>
      </c>
      <c r="W534">
        <f t="shared" si="14"/>
        <v>61.873491461848218</v>
      </c>
    </row>
    <row r="535" spans="18:23" x14ac:dyDescent="0.25">
      <c r="R535">
        <v>332</v>
      </c>
      <c r="S535" t="s">
        <v>19</v>
      </c>
      <c r="T535">
        <v>141</v>
      </c>
      <c r="U535">
        <v>4041122.24</v>
      </c>
      <c r="V535">
        <v>2.2632206744918899E-2</v>
      </c>
      <c r="W535">
        <f t="shared" si="14"/>
        <v>24.020525431106154</v>
      </c>
    </row>
    <row r="536" spans="18:23" x14ac:dyDescent="0.25">
      <c r="R536">
        <v>333</v>
      </c>
      <c r="S536" t="s">
        <v>19</v>
      </c>
      <c r="T536">
        <v>126</v>
      </c>
      <c r="U536">
        <v>3369055.67</v>
      </c>
      <c r="V536">
        <v>2.3393095444302899E-2</v>
      </c>
      <c r="W536">
        <f t="shared" si="14"/>
        <v>24.727301649388366</v>
      </c>
    </row>
    <row r="537" spans="18:23" x14ac:dyDescent="0.25">
      <c r="R537">
        <v>334</v>
      </c>
      <c r="S537" t="s">
        <v>19</v>
      </c>
      <c r="T537">
        <v>123</v>
      </c>
      <c r="U537">
        <v>2924975.56</v>
      </c>
      <c r="V537">
        <v>2.6405991814881999E-2</v>
      </c>
      <c r="W537">
        <f t="shared" si="14"/>
        <v>27.467155519066555</v>
      </c>
    </row>
    <row r="538" spans="18:23" x14ac:dyDescent="0.25">
      <c r="R538">
        <v>335</v>
      </c>
      <c r="S538" t="s">
        <v>19</v>
      </c>
      <c r="T538">
        <v>119</v>
      </c>
      <c r="U538">
        <v>2700678.4</v>
      </c>
      <c r="V538">
        <v>2.59248100204304E-2</v>
      </c>
      <c r="W538">
        <f t="shared" si="14"/>
        <v>27.035807186169368</v>
      </c>
    </row>
    <row r="539" spans="18:23" x14ac:dyDescent="0.25">
      <c r="R539">
        <v>336</v>
      </c>
      <c r="S539" t="s">
        <v>19</v>
      </c>
      <c r="T539">
        <v>120</v>
      </c>
      <c r="U539">
        <v>2680365.2200000002</v>
      </c>
      <c r="V539">
        <v>2.8220508781273398E-2</v>
      </c>
      <c r="W539">
        <f t="shared" si="14"/>
        <v>29.072810400956783</v>
      </c>
    </row>
    <row r="540" spans="18:23" x14ac:dyDescent="0.25">
      <c r="R540">
        <v>337</v>
      </c>
      <c r="S540" t="s">
        <v>19</v>
      </c>
      <c r="T540">
        <v>117</v>
      </c>
      <c r="U540">
        <v>2308156.48</v>
      </c>
      <c r="V540">
        <v>2.8386864418455698E-2</v>
      </c>
      <c r="W540">
        <f t="shared" si="14"/>
        <v>29.218374719569653</v>
      </c>
    </row>
    <row r="541" spans="18:23" x14ac:dyDescent="0.25">
      <c r="R541">
        <v>338</v>
      </c>
      <c r="S541" t="s">
        <v>19</v>
      </c>
      <c r="T541">
        <v>109</v>
      </c>
      <c r="U541">
        <v>2775121.9199999999</v>
      </c>
      <c r="V541">
        <v>1.5866022146475599E-2</v>
      </c>
      <c r="W541">
        <f t="shared" si="14"/>
        <v>17.462612882329054</v>
      </c>
    </row>
    <row r="542" spans="18:23" x14ac:dyDescent="0.25">
      <c r="R542">
        <v>339</v>
      </c>
      <c r="S542" t="s">
        <v>19</v>
      </c>
      <c r="T542">
        <v>110</v>
      </c>
      <c r="U542">
        <v>2105721.19</v>
      </c>
      <c r="V542">
        <v>3.8725319363433798E-2</v>
      </c>
      <c r="W542">
        <f t="shared" si="14"/>
        <v>37.745601538686188</v>
      </c>
    </row>
    <row r="543" spans="18:23" x14ac:dyDescent="0.25">
      <c r="R543">
        <v>340</v>
      </c>
      <c r="S543" t="s">
        <v>19</v>
      </c>
      <c r="T543">
        <v>104</v>
      </c>
      <c r="U543">
        <v>2005442.3</v>
      </c>
      <c r="V543">
        <v>2.1339814588721799E-2</v>
      </c>
      <c r="W543">
        <f t="shared" si="14"/>
        <v>22.806089043394952</v>
      </c>
    </row>
    <row r="544" spans="18:23" x14ac:dyDescent="0.25">
      <c r="R544">
        <v>341</v>
      </c>
      <c r="S544" t="s">
        <v>19</v>
      </c>
      <c r="T544">
        <v>102</v>
      </c>
      <c r="U544">
        <v>2064071.18</v>
      </c>
      <c r="V544">
        <v>2.7602311450988799E-2</v>
      </c>
      <c r="W544">
        <f t="shared" si="14"/>
        <v>28.529468150666148</v>
      </c>
    </row>
    <row r="545" spans="18:23" x14ac:dyDescent="0.25">
      <c r="R545">
        <v>342</v>
      </c>
      <c r="S545" t="s">
        <v>19</v>
      </c>
      <c r="T545">
        <v>112</v>
      </c>
      <c r="U545">
        <v>2730287.33</v>
      </c>
      <c r="V545">
        <v>3.3094567793075402E-2</v>
      </c>
      <c r="W545">
        <f t="shared" si="14"/>
        <v>33.225906336893516</v>
      </c>
    </row>
    <row r="546" spans="18:23" x14ac:dyDescent="0.25">
      <c r="R546">
        <v>343</v>
      </c>
      <c r="S546" t="s">
        <v>19</v>
      </c>
      <c r="T546">
        <v>104</v>
      </c>
      <c r="U546">
        <v>1963129.01</v>
      </c>
      <c r="V546">
        <v>3.1292156529345902E-2</v>
      </c>
      <c r="W546">
        <f t="shared" si="14"/>
        <v>31.716811255291677</v>
      </c>
    </row>
    <row r="547" spans="18:23" x14ac:dyDescent="0.25">
      <c r="R547">
        <v>344</v>
      </c>
      <c r="S547" t="s">
        <v>19</v>
      </c>
      <c r="T547">
        <v>99</v>
      </c>
      <c r="U547">
        <v>1363652.01</v>
      </c>
      <c r="V547">
        <v>1.54884982143941E-2</v>
      </c>
      <c r="W547">
        <f t="shared" si="14"/>
        <v>17.08186392054888</v>
      </c>
    </row>
    <row r="548" spans="18:23" x14ac:dyDescent="0.25">
      <c r="R548">
        <v>345</v>
      </c>
      <c r="S548" t="s">
        <v>19</v>
      </c>
      <c r="T548">
        <v>97</v>
      </c>
      <c r="U548">
        <v>1513885.2</v>
      </c>
      <c r="V548">
        <v>3.2906205139748998E-2</v>
      </c>
      <c r="W548">
        <f t="shared" si="14"/>
        <v>33.069640001851852</v>
      </c>
    </row>
    <row r="549" spans="18:23" x14ac:dyDescent="0.25">
      <c r="R549">
        <v>346</v>
      </c>
      <c r="S549" t="s">
        <v>19</v>
      </c>
      <c r="T549">
        <v>96</v>
      </c>
      <c r="U549">
        <v>1164061.67</v>
      </c>
      <c r="V549">
        <v>3.26900354539119E-2</v>
      </c>
      <c r="W549">
        <f t="shared" si="14"/>
        <v>32.889891786327595</v>
      </c>
    </row>
    <row r="550" spans="18:23" x14ac:dyDescent="0.25">
      <c r="R550">
        <v>347</v>
      </c>
      <c r="S550" t="s">
        <v>19</v>
      </c>
      <c r="T550">
        <v>92</v>
      </c>
      <c r="U550">
        <v>929073.06</v>
      </c>
      <c r="V550">
        <v>3.1798502865221297E-2</v>
      </c>
      <c r="W550">
        <f t="shared" si="14"/>
        <v>32.143883883951894</v>
      </c>
    </row>
    <row r="551" spans="18:23" x14ac:dyDescent="0.25">
      <c r="R551">
        <v>348</v>
      </c>
      <c r="S551" t="s">
        <v>19</v>
      </c>
      <c r="T551">
        <v>92</v>
      </c>
      <c r="U551">
        <v>1174671.99</v>
      </c>
      <c r="V551">
        <v>7.6869694069022595E-2</v>
      </c>
      <c r="W551">
        <f t="shared" si="14"/>
        <v>61.703762608024817</v>
      </c>
    </row>
    <row r="552" spans="18:23" x14ac:dyDescent="0.25">
      <c r="R552">
        <v>349</v>
      </c>
      <c r="S552" t="s">
        <v>19</v>
      </c>
      <c r="T552">
        <v>89</v>
      </c>
      <c r="U552">
        <v>817402.58</v>
      </c>
      <c r="V552">
        <v>4.6071346506087602E-2</v>
      </c>
      <c r="W552">
        <f t="shared" si="14"/>
        <v>43.220609209284774</v>
      </c>
    </row>
    <row r="553" spans="18:23" x14ac:dyDescent="0.25">
      <c r="R553">
        <v>350</v>
      </c>
      <c r="S553" t="s">
        <v>19</v>
      </c>
      <c r="T553">
        <v>82</v>
      </c>
      <c r="U553">
        <v>664915.34</v>
      </c>
      <c r="V553">
        <v>5.3661510207329503E-2</v>
      </c>
      <c r="W553">
        <f t="shared" si="14"/>
        <v>48.410888216424411</v>
      </c>
    </row>
    <row r="554" spans="18:23" x14ac:dyDescent="0.25">
      <c r="R554">
        <v>351</v>
      </c>
      <c r="S554" t="s">
        <v>19</v>
      </c>
      <c r="T554">
        <v>78</v>
      </c>
      <c r="U554">
        <v>498854.74</v>
      </c>
      <c r="V554">
        <v>3.5092709659088298E-2</v>
      </c>
      <c r="W554">
        <f t="shared" si="14"/>
        <v>34.863104966593937</v>
      </c>
    </row>
    <row r="555" spans="18:23" x14ac:dyDescent="0.25">
      <c r="R555">
        <v>352</v>
      </c>
      <c r="S555" t="s">
        <v>19</v>
      </c>
      <c r="T555">
        <v>80</v>
      </c>
      <c r="U555">
        <v>478253.37</v>
      </c>
      <c r="V555">
        <v>0.33736267958063698</v>
      </c>
      <c r="W555">
        <f t="shared" si="14"/>
        <v>99.283344058479912</v>
      </c>
    </row>
    <row r="556" spans="18:23" x14ac:dyDescent="0.25">
      <c r="R556">
        <v>353</v>
      </c>
      <c r="S556" t="s">
        <v>19</v>
      </c>
      <c r="T556">
        <v>73</v>
      </c>
      <c r="U556">
        <v>299911.88</v>
      </c>
      <c r="V556">
        <v>4.2140049102823103E-2</v>
      </c>
      <c r="W556">
        <f t="shared" si="14"/>
        <v>40.348113326704194</v>
      </c>
    </row>
    <row r="557" spans="18:23" x14ac:dyDescent="0.25">
      <c r="R557">
        <v>354</v>
      </c>
      <c r="S557" t="s">
        <v>19</v>
      </c>
      <c r="T557">
        <v>73</v>
      </c>
      <c r="U557">
        <v>213237.58</v>
      </c>
      <c r="V557">
        <v>0.115866632574333</v>
      </c>
      <c r="W557">
        <f t="shared" si="14"/>
        <v>77.185372874718226</v>
      </c>
    </row>
    <row r="558" spans="18:23" x14ac:dyDescent="0.25">
      <c r="R558">
        <v>355</v>
      </c>
      <c r="S558" t="s">
        <v>19</v>
      </c>
      <c r="T558">
        <v>65</v>
      </c>
      <c r="U558">
        <v>181090.39</v>
      </c>
      <c r="V558">
        <v>0.13276746264641601</v>
      </c>
      <c r="W558">
        <f t="shared" si="14"/>
        <v>81.902159204068298</v>
      </c>
    </row>
    <row r="559" spans="18:23" x14ac:dyDescent="0.25">
      <c r="R559">
        <v>356</v>
      </c>
      <c r="S559" t="s">
        <v>19</v>
      </c>
      <c r="T559">
        <v>56</v>
      </c>
      <c r="U559">
        <v>112118.33</v>
      </c>
      <c r="V559">
        <v>0.10986562676905701</v>
      </c>
      <c r="W559">
        <f t="shared" si="14"/>
        <v>75.256173388613519</v>
      </c>
    </row>
    <row r="560" spans="18:23" x14ac:dyDescent="0.25">
      <c r="R560">
        <v>357</v>
      </c>
      <c r="S560" t="s">
        <v>19</v>
      </c>
      <c r="T560">
        <v>54</v>
      </c>
      <c r="U560">
        <v>104825.74</v>
      </c>
      <c r="V560">
        <v>0.44455857835050799</v>
      </c>
      <c r="W560">
        <f t="shared" si="14"/>
        <v>99.913769845170549</v>
      </c>
    </row>
    <row r="561" spans="18:23" x14ac:dyDescent="0.25">
      <c r="R561">
        <v>358</v>
      </c>
      <c r="S561" t="s">
        <v>19</v>
      </c>
      <c r="T561">
        <v>44</v>
      </c>
      <c r="U561">
        <v>30677.599999999999</v>
      </c>
      <c r="V561">
        <v>5.7690944748937302E-2</v>
      </c>
      <c r="W561">
        <f t="shared" si="14"/>
        <v>50.985974247805466</v>
      </c>
    </row>
    <row r="562" spans="18:23" x14ac:dyDescent="0.25">
      <c r="R562">
        <v>359</v>
      </c>
      <c r="S562" t="s">
        <v>19</v>
      </c>
      <c r="T562">
        <v>21</v>
      </c>
      <c r="U562">
        <v>10431.66</v>
      </c>
      <c r="V562">
        <v>7.9117504043460005E-2</v>
      </c>
      <c r="W562">
        <f t="shared" si="14"/>
        <v>62.80790724690749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41"/>
  <sheetViews>
    <sheetView topLeftCell="F1" zoomScaleNormal="100" workbookViewId="0">
      <selection activeCell="T49" sqref="T49"/>
    </sheetView>
  </sheetViews>
  <sheetFormatPr defaultRowHeight="15" x14ac:dyDescent="0.25"/>
  <cols>
    <col min="45" max="45" width="9.140625" style="1"/>
  </cols>
  <sheetData>
    <row r="1" spans="1:45" x14ac:dyDescent="0.25">
      <c r="A1" t="s">
        <v>24</v>
      </c>
      <c r="B1" t="s">
        <v>25</v>
      </c>
      <c r="C1" t="s">
        <v>26</v>
      </c>
      <c r="D1" t="s">
        <v>7</v>
      </c>
      <c r="E1" t="s">
        <v>4</v>
      </c>
      <c r="X1" t="s">
        <v>18</v>
      </c>
      <c r="Y1" t="s">
        <v>24</v>
      </c>
      <c r="Z1" t="s">
        <v>25</v>
      </c>
      <c r="AA1" t="s">
        <v>26</v>
      </c>
      <c r="AC1" t="s">
        <v>4</v>
      </c>
      <c r="AF1" t="s">
        <v>18</v>
      </c>
      <c r="AG1" t="s">
        <v>24</v>
      </c>
      <c r="AH1" t="s">
        <v>25</v>
      </c>
      <c r="AI1" t="s">
        <v>26</v>
      </c>
      <c r="AJ1" t="s">
        <v>7</v>
      </c>
      <c r="AK1" t="s">
        <v>4</v>
      </c>
      <c r="AO1" t="s">
        <v>24</v>
      </c>
      <c r="AQ1" t="s">
        <v>28</v>
      </c>
      <c r="AR1" t="s">
        <v>29</v>
      </c>
      <c r="AS1" s="1" t="s">
        <v>30</v>
      </c>
    </row>
    <row r="2" spans="1:45" x14ac:dyDescent="0.25">
      <c r="A2">
        <v>1</v>
      </c>
      <c r="B2">
        <v>5.6840000000000002</v>
      </c>
      <c r="C2">
        <v>114824290697104</v>
      </c>
      <c r="D2">
        <v>6.1</v>
      </c>
      <c r="E2">
        <v>10.78</v>
      </c>
      <c r="X2" t="s">
        <v>27</v>
      </c>
      <c r="Y2">
        <v>1</v>
      </c>
      <c r="Z2">
        <v>5.6509999999999998</v>
      </c>
      <c r="AA2">
        <v>69136893824721.398</v>
      </c>
      <c r="AB2">
        <v>6.1</v>
      </c>
      <c r="AC2">
        <v>10.94</v>
      </c>
      <c r="AD2" s="1">
        <f>AA2/C2</f>
        <v>0.60211034969158417</v>
      </c>
      <c r="AF2" t="s">
        <v>19</v>
      </c>
      <c r="AG2">
        <v>1</v>
      </c>
      <c r="AH2">
        <v>5.7359999999999998</v>
      </c>
      <c r="AI2">
        <v>45687396872383.398</v>
      </c>
      <c r="AJ2">
        <v>6.1</v>
      </c>
      <c r="AK2">
        <v>10.54</v>
      </c>
      <c r="AO2">
        <v>1</v>
      </c>
      <c r="AP2">
        <f>AO2*12-12</f>
        <v>0</v>
      </c>
      <c r="AQ2">
        <v>10.54</v>
      </c>
      <c r="AR2">
        <v>10.94</v>
      </c>
      <c r="AS2" s="1">
        <v>0.60211034969158417</v>
      </c>
    </row>
    <row r="3" spans="1:45" x14ac:dyDescent="0.25">
      <c r="A3">
        <v>2</v>
      </c>
      <c r="B3">
        <v>5.7629999999999999</v>
      </c>
      <c r="C3">
        <v>108912849030637</v>
      </c>
      <c r="D3">
        <v>17.2</v>
      </c>
      <c r="E3">
        <v>19.22</v>
      </c>
      <c r="X3" t="s">
        <v>27</v>
      </c>
      <c r="Y3">
        <v>2</v>
      </c>
      <c r="Z3">
        <v>5.7309999999999999</v>
      </c>
      <c r="AA3">
        <v>65522587605816.398</v>
      </c>
      <c r="AB3">
        <v>17.2</v>
      </c>
      <c r="AC3">
        <v>19.239999999999998</v>
      </c>
      <c r="AD3" s="1">
        <f t="shared" ref="AD3:AD41" si="0">AA3/C3</f>
        <v>0.6016056708550982</v>
      </c>
      <c r="AF3" t="s">
        <v>19</v>
      </c>
      <c r="AG3">
        <v>2</v>
      </c>
      <c r="AH3">
        <v>5.8109999999999999</v>
      </c>
      <c r="AI3">
        <v>43390261424821.5</v>
      </c>
      <c r="AJ3">
        <v>17.2</v>
      </c>
      <c r="AK3">
        <v>19.190000000000001</v>
      </c>
      <c r="AO3">
        <v>2</v>
      </c>
      <c r="AP3">
        <f t="shared" ref="AP3:AP32" si="1">AO3*12-12</f>
        <v>12</v>
      </c>
      <c r="AQ3">
        <v>19.190000000000001</v>
      </c>
      <c r="AR3">
        <v>19.239999999999998</v>
      </c>
      <c r="AS3" s="1">
        <v>0.6016056708550982</v>
      </c>
    </row>
    <row r="4" spans="1:45" x14ac:dyDescent="0.25">
      <c r="A4">
        <v>3</v>
      </c>
      <c r="B4">
        <v>5.79</v>
      </c>
      <c r="C4">
        <v>83638000653949.594</v>
      </c>
      <c r="D4">
        <v>29.2</v>
      </c>
      <c r="E4">
        <v>20.02</v>
      </c>
      <c r="X4" t="s">
        <v>27</v>
      </c>
      <c r="Y4">
        <v>3</v>
      </c>
      <c r="Z4">
        <v>5.75</v>
      </c>
      <c r="AA4">
        <v>50238291417450</v>
      </c>
      <c r="AB4">
        <v>29.2</v>
      </c>
      <c r="AC4">
        <v>20.02</v>
      </c>
      <c r="AD4" s="1">
        <f t="shared" si="0"/>
        <v>0.6006634666616415</v>
      </c>
      <c r="AF4" t="s">
        <v>19</v>
      </c>
      <c r="AG4">
        <v>3</v>
      </c>
      <c r="AH4">
        <v>5.85</v>
      </c>
      <c r="AI4">
        <v>33399709236499.602</v>
      </c>
      <c r="AJ4">
        <v>29.2</v>
      </c>
      <c r="AK4">
        <v>20.02</v>
      </c>
      <c r="AO4">
        <v>3</v>
      </c>
      <c r="AP4">
        <f t="shared" si="1"/>
        <v>24</v>
      </c>
      <c r="AQ4">
        <v>20.02</v>
      </c>
      <c r="AR4">
        <v>20.02</v>
      </c>
      <c r="AS4" s="1">
        <v>0.6006634666616415</v>
      </c>
    </row>
    <row r="5" spans="1:45" x14ac:dyDescent="0.25">
      <c r="A5">
        <v>4</v>
      </c>
      <c r="B5">
        <v>5.84</v>
      </c>
      <c r="C5">
        <v>62955734899038.703</v>
      </c>
      <c r="D5">
        <v>41.1</v>
      </c>
      <c r="E5">
        <v>20.3</v>
      </c>
      <c r="X5" t="s">
        <v>27</v>
      </c>
      <c r="Y5">
        <v>4</v>
      </c>
      <c r="Z5">
        <v>5.798</v>
      </c>
      <c r="AA5">
        <v>37852561639596.5</v>
      </c>
      <c r="AB5">
        <v>41.1</v>
      </c>
      <c r="AC5">
        <v>20.11</v>
      </c>
      <c r="AD5" s="1">
        <f t="shared" si="0"/>
        <v>0.60125676716029386</v>
      </c>
      <c r="AF5" t="s">
        <v>19</v>
      </c>
      <c r="AG5">
        <v>4</v>
      </c>
      <c r="AH5">
        <v>5.9050000000000002</v>
      </c>
      <c r="AI5">
        <v>25103173259442.102</v>
      </c>
      <c r="AJ5">
        <v>41.1</v>
      </c>
      <c r="AK5">
        <v>20.58</v>
      </c>
      <c r="AO5">
        <v>4</v>
      </c>
      <c r="AP5">
        <f t="shared" si="1"/>
        <v>36</v>
      </c>
      <c r="AQ5">
        <v>20.58</v>
      </c>
      <c r="AR5">
        <v>20.11</v>
      </c>
      <c r="AS5" s="1">
        <v>0.60125676716029386</v>
      </c>
    </row>
    <row r="6" spans="1:45" x14ac:dyDescent="0.25">
      <c r="A6">
        <v>5</v>
      </c>
      <c r="B6">
        <v>6.0640000000000001</v>
      </c>
      <c r="C6">
        <v>43866466856099.703</v>
      </c>
      <c r="D6">
        <v>53.1</v>
      </c>
      <c r="E6">
        <v>22.23</v>
      </c>
      <c r="X6" t="s">
        <v>27</v>
      </c>
      <c r="Y6">
        <v>5</v>
      </c>
      <c r="Z6">
        <v>6.0449999999999999</v>
      </c>
      <c r="AA6">
        <v>26251743124293.199</v>
      </c>
      <c r="AB6">
        <v>53.1</v>
      </c>
      <c r="AC6">
        <v>21.85</v>
      </c>
      <c r="AD6" s="1">
        <f t="shared" si="0"/>
        <v>0.59844671809128969</v>
      </c>
      <c r="AF6" t="s">
        <v>19</v>
      </c>
      <c r="AG6">
        <v>5</v>
      </c>
      <c r="AH6">
        <v>6.0940000000000003</v>
      </c>
      <c r="AI6">
        <v>17614723731806.5</v>
      </c>
      <c r="AJ6">
        <v>53.1</v>
      </c>
      <c r="AK6">
        <v>22.8</v>
      </c>
      <c r="AO6">
        <v>5</v>
      </c>
      <c r="AP6">
        <f t="shared" si="1"/>
        <v>48</v>
      </c>
      <c r="AQ6">
        <v>22.8</v>
      </c>
      <c r="AR6">
        <v>21.85</v>
      </c>
      <c r="AS6" s="1">
        <v>0.59844671809128969</v>
      </c>
    </row>
    <row r="7" spans="1:45" x14ac:dyDescent="0.25">
      <c r="A7">
        <v>6</v>
      </c>
      <c r="B7">
        <v>6.181</v>
      </c>
      <c r="C7">
        <v>31174821131241.602</v>
      </c>
      <c r="D7">
        <v>65.099999999999994</v>
      </c>
      <c r="E7">
        <v>23</v>
      </c>
      <c r="X7" t="s">
        <v>27</v>
      </c>
      <c r="Y7">
        <v>6</v>
      </c>
      <c r="Z7">
        <v>6.1840000000000002</v>
      </c>
      <c r="AA7">
        <v>18678071163980.602</v>
      </c>
      <c r="AB7">
        <v>65.2</v>
      </c>
      <c r="AC7">
        <v>22.46</v>
      </c>
      <c r="AD7" s="1">
        <f t="shared" si="0"/>
        <v>0.59913964174320533</v>
      </c>
      <c r="AF7" t="s">
        <v>19</v>
      </c>
      <c r="AG7">
        <v>6</v>
      </c>
      <c r="AH7">
        <v>6.1749999999999998</v>
      </c>
      <c r="AI7">
        <v>12496749967260.9</v>
      </c>
      <c r="AJ7">
        <v>65.099999999999994</v>
      </c>
      <c r="AK7">
        <v>23.81</v>
      </c>
      <c r="AO7">
        <v>6</v>
      </c>
      <c r="AP7">
        <f t="shared" si="1"/>
        <v>60</v>
      </c>
      <c r="AQ7">
        <v>23.81</v>
      </c>
      <c r="AR7">
        <v>22.46</v>
      </c>
      <c r="AS7" s="1">
        <v>0.59913964174320533</v>
      </c>
    </row>
    <row r="8" spans="1:45" x14ac:dyDescent="0.25">
      <c r="A8">
        <v>7</v>
      </c>
      <c r="B8">
        <v>6.2759999999999998</v>
      </c>
      <c r="C8">
        <v>21976561612107.398</v>
      </c>
      <c r="D8">
        <v>77.099999999999994</v>
      </c>
      <c r="E8">
        <v>24.39</v>
      </c>
      <c r="X8" t="s">
        <v>27</v>
      </c>
      <c r="Y8">
        <v>7</v>
      </c>
      <c r="Z8">
        <v>6.2839999999999998</v>
      </c>
      <c r="AA8">
        <v>13349608236629.301</v>
      </c>
      <c r="AB8">
        <v>77.099999999999994</v>
      </c>
      <c r="AC8">
        <v>23.86</v>
      </c>
      <c r="AD8" s="1">
        <f t="shared" si="0"/>
        <v>0.60744753762002024</v>
      </c>
      <c r="AF8" t="s">
        <v>19</v>
      </c>
      <c r="AG8">
        <v>7</v>
      </c>
      <c r="AH8">
        <v>6.2649999999999997</v>
      </c>
      <c r="AI8">
        <v>8626953375478.0996</v>
      </c>
      <c r="AJ8">
        <v>77.099999999999994</v>
      </c>
      <c r="AK8">
        <v>25.21</v>
      </c>
      <c r="AO8">
        <v>7</v>
      </c>
      <c r="AP8">
        <f t="shared" si="1"/>
        <v>72</v>
      </c>
      <c r="AQ8">
        <v>25.21</v>
      </c>
      <c r="AR8">
        <v>23.86</v>
      </c>
      <c r="AS8" s="1">
        <v>0.60744753762002024</v>
      </c>
    </row>
    <row r="9" spans="1:45" x14ac:dyDescent="0.25">
      <c r="A9">
        <v>8</v>
      </c>
      <c r="B9">
        <v>6.4080000000000004</v>
      </c>
      <c r="C9">
        <v>15014736934820.6</v>
      </c>
      <c r="D9">
        <v>89</v>
      </c>
      <c r="E9">
        <v>26.08</v>
      </c>
      <c r="X9" t="s">
        <v>27</v>
      </c>
      <c r="Y9">
        <v>8</v>
      </c>
      <c r="Z9">
        <v>6.4219999999999997</v>
      </c>
      <c r="AA9">
        <v>9305645161858.4609</v>
      </c>
      <c r="AB9">
        <v>89</v>
      </c>
      <c r="AC9">
        <v>25.58</v>
      </c>
      <c r="AD9" s="1">
        <f t="shared" si="0"/>
        <v>0.6197674459602277</v>
      </c>
      <c r="AF9" t="s">
        <v>19</v>
      </c>
      <c r="AG9">
        <v>8</v>
      </c>
      <c r="AH9">
        <v>6.3860000000000001</v>
      </c>
      <c r="AI9">
        <v>5709091772962.21</v>
      </c>
      <c r="AJ9">
        <v>89</v>
      </c>
      <c r="AK9">
        <v>26.89</v>
      </c>
      <c r="AO9">
        <v>8</v>
      </c>
      <c r="AP9">
        <f t="shared" si="1"/>
        <v>84</v>
      </c>
      <c r="AQ9">
        <v>26.89</v>
      </c>
      <c r="AR9">
        <v>25.58</v>
      </c>
      <c r="AS9" s="1">
        <v>0.6197674459602277</v>
      </c>
    </row>
    <row r="10" spans="1:45" x14ac:dyDescent="0.25">
      <c r="A10">
        <v>9</v>
      </c>
      <c r="B10">
        <v>6.5339999999999998</v>
      </c>
      <c r="C10">
        <v>10273662578194.9</v>
      </c>
      <c r="D10">
        <v>101.1</v>
      </c>
      <c r="E10">
        <v>26.21</v>
      </c>
      <c r="X10" t="s">
        <v>27</v>
      </c>
      <c r="Y10">
        <v>9</v>
      </c>
      <c r="Z10">
        <v>6.5549999999999997</v>
      </c>
      <c r="AA10">
        <v>6435359948289.7803</v>
      </c>
      <c r="AB10">
        <v>101.1</v>
      </c>
      <c r="AC10">
        <v>26.11</v>
      </c>
      <c r="AD10" s="1">
        <f t="shared" si="0"/>
        <v>0.62639393685640044</v>
      </c>
      <c r="AF10" t="s">
        <v>19</v>
      </c>
      <c r="AG10">
        <v>9</v>
      </c>
      <c r="AH10">
        <v>6.4989999999999997</v>
      </c>
      <c r="AI10">
        <v>3838302629905.1699</v>
      </c>
      <c r="AJ10">
        <v>101.1</v>
      </c>
      <c r="AK10">
        <v>26.38</v>
      </c>
      <c r="AO10">
        <v>9</v>
      </c>
      <c r="AP10">
        <f t="shared" si="1"/>
        <v>96</v>
      </c>
      <c r="AQ10">
        <v>26.38</v>
      </c>
      <c r="AR10">
        <v>26.11</v>
      </c>
      <c r="AS10" s="1">
        <v>0.62639393685640044</v>
      </c>
    </row>
    <row r="11" spans="1:45" x14ac:dyDescent="0.25">
      <c r="A11">
        <v>10</v>
      </c>
      <c r="B11">
        <v>6.57</v>
      </c>
      <c r="C11">
        <v>6885170175238.4004</v>
      </c>
      <c r="D11">
        <v>113</v>
      </c>
      <c r="E11">
        <v>30.06</v>
      </c>
      <c r="X11" t="s">
        <v>27</v>
      </c>
      <c r="Y11">
        <v>10</v>
      </c>
      <c r="Z11">
        <v>6.5990000000000002</v>
      </c>
      <c r="AA11">
        <v>4327028005919.4902</v>
      </c>
      <c r="AB11">
        <v>113</v>
      </c>
      <c r="AC11">
        <v>29.88</v>
      </c>
      <c r="AD11" s="1">
        <f t="shared" si="0"/>
        <v>0.62845621760825487</v>
      </c>
      <c r="AF11" t="s">
        <v>19</v>
      </c>
      <c r="AG11">
        <v>10</v>
      </c>
      <c r="AH11">
        <v>6.52</v>
      </c>
      <c r="AI11">
        <v>2558142169318.9102</v>
      </c>
      <c r="AJ11">
        <v>113</v>
      </c>
      <c r="AK11">
        <v>30.37</v>
      </c>
      <c r="AO11">
        <v>10</v>
      </c>
      <c r="AP11">
        <f t="shared" si="1"/>
        <v>108</v>
      </c>
      <c r="AQ11">
        <v>30.37</v>
      </c>
      <c r="AR11">
        <v>29.88</v>
      </c>
      <c r="AS11" s="1">
        <v>0.62845621760825487</v>
      </c>
    </row>
    <row r="12" spans="1:45" x14ac:dyDescent="0.25">
      <c r="A12">
        <v>11</v>
      </c>
      <c r="B12">
        <v>6.5720000000000001</v>
      </c>
      <c r="C12">
        <v>4480146749213.5801</v>
      </c>
      <c r="D12">
        <v>125.1</v>
      </c>
      <c r="E12">
        <v>25.89</v>
      </c>
      <c r="X12" t="s">
        <v>27</v>
      </c>
      <c r="Y12">
        <v>11</v>
      </c>
      <c r="Z12">
        <v>6.6159999999999997</v>
      </c>
      <c r="AA12">
        <v>2836973528420.7402</v>
      </c>
      <c r="AB12">
        <v>125.1</v>
      </c>
      <c r="AC12">
        <v>25.67</v>
      </c>
      <c r="AD12" s="1">
        <f t="shared" si="0"/>
        <v>0.63323227725045539</v>
      </c>
      <c r="AF12" t="s">
        <v>19</v>
      </c>
      <c r="AG12">
        <v>11</v>
      </c>
      <c r="AH12">
        <v>6.4960000000000004</v>
      </c>
      <c r="AI12">
        <v>1643173220792.8401</v>
      </c>
      <c r="AJ12">
        <v>125.1</v>
      </c>
      <c r="AK12">
        <v>26.26</v>
      </c>
      <c r="AO12">
        <v>11</v>
      </c>
      <c r="AP12">
        <f t="shared" si="1"/>
        <v>120</v>
      </c>
      <c r="AQ12">
        <v>26.26</v>
      </c>
      <c r="AR12">
        <v>25.67</v>
      </c>
      <c r="AS12" s="1">
        <v>0.63323227725045539</v>
      </c>
    </row>
    <row r="13" spans="1:45" x14ac:dyDescent="0.25">
      <c r="A13">
        <v>12</v>
      </c>
      <c r="B13">
        <v>6.601</v>
      </c>
      <c r="C13">
        <v>2998893297269.5</v>
      </c>
      <c r="D13">
        <v>137</v>
      </c>
      <c r="E13">
        <v>21.53</v>
      </c>
      <c r="X13" t="s">
        <v>27</v>
      </c>
      <c r="Y13">
        <v>12</v>
      </c>
      <c r="Z13">
        <v>6.6479999999999997</v>
      </c>
      <c r="AA13">
        <v>1918054322370.8899</v>
      </c>
      <c r="AB13">
        <v>137</v>
      </c>
      <c r="AC13">
        <v>21.4</v>
      </c>
      <c r="AD13" s="1">
        <f t="shared" si="0"/>
        <v>0.63958738515881286</v>
      </c>
      <c r="AF13" t="s">
        <v>19</v>
      </c>
      <c r="AG13">
        <v>12</v>
      </c>
      <c r="AH13">
        <v>6.5179999999999998</v>
      </c>
      <c r="AI13">
        <v>1080838974898.61</v>
      </c>
      <c r="AJ13">
        <v>137</v>
      </c>
      <c r="AK13">
        <v>21.75</v>
      </c>
      <c r="AO13">
        <v>12</v>
      </c>
      <c r="AP13">
        <f t="shared" si="1"/>
        <v>132</v>
      </c>
      <c r="AQ13">
        <v>21.75</v>
      </c>
      <c r="AR13">
        <v>21.4</v>
      </c>
      <c r="AS13" s="1">
        <v>0.63958738515881286</v>
      </c>
    </row>
    <row r="14" spans="1:45" x14ac:dyDescent="0.25">
      <c r="A14">
        <v>13</v>
      </c>
      <c r="B14">
        <v>6.7069999999999999</v>
      </c>
      <c r="C14">
        <v>1987817819959.51</v>
      </c>
      <c r="D14">
        <v>149</v>
      </c>
      <c r="E14">
        <v>19.39</v>
      </c>
      <c r="X14" t="s">
        <v>27</v>
      </c>
      <c r="Y14">
        <v>13</v>
      </c>
      <c r="Z14">
        <v>6.7489999999999997</v>
      </c>
      <c r="AA14">
        <v>1285919270858.0701</v>
      </c>
      <c r="AB14">
        <v>149</v>
      </c>
      <c r="AC14">
        <v>19.48</v>
      </c>
      <c r="AD14" s="1">
        <f t="shared" si="0"/>
        <v>0.64689996132757432</v>
      </c>
      <c r="AF14" t="s">
        <v>19</v>
      </c>
      <c r="AG14">
        <v>13</v>
      </c>
      <c r="AH14">
        <v>6.6289999999999996</v>
      </c>
      <c r="AI14">
        <v>701898549101.43994</v>
      </c>
      <c r="AJ14">
        <v>149</v>
      </c>
      <c r="AK14">
        <v>19.23</v>
      </c>
      <c r="AO14">
        <v>13</v>
      </c>
      <c r="AP14">
        <f t="shared" si="1"/>
        <v>144</v>
      </c>
      <c r="AQ14">
        <v>19.23</v>
      </c>
      <c r="AR14">
        <v>19.48</v>
      </c>
      <c r="AS14" s="1">
        <v>0.64689996132757432</v>
      </c>
    </row>
    <row r="15" spans="1:45" x14ac:dyDescent="0.25">
      <c r="A15">
        <v>14</v>
      </c>
      <c r="B15">
        <v>7.1189999999999998</v>
      </c>
      <c r="C15">
        <v>1111290469665.3999</v>
      </c>
      <c r="D15">
        <v>160.69999999999999</v>
      </c>
      <c r="E15">
        <v>18.100000000000001</v>
      </c>
      <c r="X15" t="s">
        <v>27</v>
      </c>
      <c r="Y15">
        <v>14</v>
      </c>
      <c r="Z15">
        <v>7.2009999999999996</v>
      </c>
      <c r="AA15">
        <v>708354911043.82996</v>
      </c>
      <c r="AB15">
        <v>160.6</v>
      </c>
      <c r="AC15">
        <v>18.28</v>
      </c>
      <c r="AD15" s="1">
        <f t="shared" si="0"/>
        <v>0.63741652644345059</v>
      </c>
      <c r="AF15" t="s">
        <v>19</v>
      </c>
      <c r="AG15">
        <v>14</v>
      </c>
      <c r="AH15">
        <v>6.9729999999999999</v>
      </c>
      <c r="AI15">
        <v>402935558621.57001</v>
      </c>
      <c r="AJ15">
        <v>160.69999999999999</v>
      </c>
      <c r="AK15">
        <v>17.77</v>
      </c>
      <c r="AO15">
        <v>14</v>
      </c>
      <c r="AP15">
        <f t="shared" si="1"/>
        <v>156</v>
      </c>
      <c r="AQ15">
        <v>17.77</v>
      </c>
      <c r="AR15">
        <v>18.28</v>
      </c>
      <c r="AS15" s="1">
        <v>0.63741652644345059</v>
      </c>
    </row>
    <row r="16" spans="1:45" x14ac:dyDescent="0.25">
      <c r="A16">
        <v>15</v>
      </c>
      <c r="B16">
        <v>7.7190000000000003</v>
      </c>
      <c r="C16">
        <v>599089747308.98999</v>
      </c>
      <c r="D16">
        <v>173</v>
      </c>
      <c r="E16">
        <v>17.64</v>
      </c>
      <c r="X16" t="s">
        <v>27</v>
      </c>
      <c r="Y16">
        <v>15</v>
      </c>
      <c r="Z16">
        <v>7.9169999999999998</v>
      </c>
      <c r="AA16">
        <v>370287221990.88</v>
      </c>
      <c r="AB16">
        <v>173</v>
      </c>
      <c r="AC16">
        <v>18.14</v>
      </c>
      <c r="AD16" s="1">
        <f t="shared" si="0"/>
        <v>0.6180830562601809</v>
      </c>
      <c r="AF16" t="s">
        <v>19</v>
      </c>
      <c r="AG16">
        <v>15</v>
      </c>
      <c r="AH16">
        <v>7.399</v>
      </c>
      <c r="AI16">
        <v>228802525318.10999</v>
      </c>
      <c r="AJ16">
        <v>173</v>
      </c>
      <c r="AK16">
        <v>16.84</v>
      </c>
      <c r="AO16">
        <v>15</v>
      </c>
      <c r="AP16">
        <f t="shared" si="1"/>
        <v>168</v>
      </c>
      <c r="AQ16">
        <v>16.84</v>
      </c>
      <c r="AR16">
        <v>18.14</v>
      </c>
      <c r="AS16" s="1">
        <v>0.6180830562601809</v>
      </c>
    </row>
    <row r="17" spans="1:45" x14ac:dyDescent="0.25">
      <c r="A17">
        <v>16</v>
      </c>
      <c r="B17">
        <v>7.9710000000000001</v>
      </c>
      <c r="C17">
        <v>415347185293.29999</v>
      </c>
      <c r="D17">
        <v>185.1</v>
      </c>
      <c r="E17">
        <v>17.27</v>
      </c>
      <c r="X17" t="s">
        <v>27</v>
      </c>
      <c r="Y17">
        <v>16</v>
      </c>
      <c r="Z17">
        <v>8.2360000000000007</v>
      </c>
      <c r="AA17">
        <v>259279029020.57001</v>
      </c>
      <c r="AB17">
        <v>185.2</v>
      </c>
      <c r="AC17">
        <v>18.16</v>
      </c>
      <c r="AD17" s="1">
        <f t="shared" si="0"/>
        <v>0.62424650557696337</v>
      </c>
      <c r="AF17" t="s">
        <v>19</v>
      </c>
      <c r="AG17">
        <v>16</v>
      </c>
      <c r="AH17">
        <v>7.5309999999999997</v>
      </c>
      <c r="AI17">
        <v>156068156272.73001</v>
      </c>
      <c r="AJ17">
        <v>185.1</v>
      </c>
      <c r="AK17">
        <v>15.78</v>
      </c>
      <c r="AO17">
        <v>16</v>
      </c>
      <c r="AP17">
        <f t="shared" si="1"/>
        <v>180</v>
      </c>
      <c r="AQ17">
        <v>15.78</v>
      </c>
      <c r="AR17">
        <v>18.16</v>
      </c>
      <c r="AS17" s="1">
        <v>0.62424650557696337</v>
      </c>
    </row>
    <row r="18" spans="1:45" x14ac:dyDescent="0.25">
      <c r="A18">
        <v>17</v>
      </c>
      <c r="B18">
        <v>8.1020000000000003</v>
      </c>
      <c r="C18">
        <v>325628448555.84003</v>
      </c>
      <c r="D18">
        <v>197.3</v>
      </c>
      <c r="E18">
        <v>16.66</v>
      </c>
      <c r="X18" t="s">
        <v>27</v>
      </c>
      <c r="Y18">
        <v>17</v>
      </c>
      <c r="Z18">
        <v>8.4019999999999992</v>
      </c>
      <c r="AA18">
        <v>207073920197.54001</v>
      </c>
      <c r="AB18">
        <v>197.3</v>
      </c>
      <c r="AC18">
        <v>17.43</v>
      </c>
      <c r="AD18" s="1">
        <f t="shared" si="0"/>
        <v>0.63592085125212938</v>
      </c>
      <c r="AF18" t="s">
        <v>19</v>
      </c>
      <c r="AG18">
        <v>17</v>
      </c>
      <c r="AH18">
        <v>7.5789999999999997</v>
      </c>
      <c r="AI18">
        <v>118554528358.3</v>
      </c>
      <c r="AJ18">
        <v>197.2</v>
      </c>
      <c r="AK18">
        <v>15.3</v>
      </c>
      <c r="AO18">
        <v>17</v>
      </c>
      <c r="AP18">
        <f t="shared" si="1"/>
        <v>192</v>
      </c>
      <c r="AQ18">
        <v>15.3</v>
      </c>
      <c r="AR18">
        <v>17.43</v>
      </c>
      <c r="AS18" s="1">
        <v>0.63592085125212938</v>
      </c>
    </row>
    <row r="19" spans="1:45" x14ac:dyDescent="0.25">
      <c r="A19">
        <v>18</v>
      </c>
      <c r="B19">
        <v>8.2210000000000001</v>
      </c>
      <c r="C19">
        <v>263284614098.37</v>
      </c>
      <c r="D19">
        <v>209.2</v>
      </c>
      <c r="E19">
        <v>15.93</v>
      </c>
      <c r="X19" t="s">
        <v>27</v>
      </c>
      <c r="Y19">
        <v>18</v>
      </c>
      <c r="Z19">
        <v>8.5259999999999998</v>
      </c>
      <c r="AA19">
        <v>174405402141.59</v>
      </c>
      <c r="AB19">
        <v>209.2</v>
      </c>
      <c r="AC19">
        <v>16.34</v>
      </c>
      <c r="AD19" s="1">
        <f t="shared" si="0"/>
        <v>0.66242154992174207</v>
      </c>
      <c r="AF19" t="s">
        <v>19</v>
      </c>
      <c r="AG19">
        <v>18</v>
      </c>
      <c r="AH19">
        <v>7.6219999999999999</v>
      </c>
      <c r="AI19">
        <v>88879211956.779999</v>
      </c>
      <c r="AJ19">
        <v>209.1</v>
      </c>
      <c r="AK19">
        <v>15.11</v>
      </c>
      <c r="AO19">
        <v>18</v>
      </c>
      <c r="AP19">
        <f t="shared" si="1"/>
        <v>204</v>
      </c>
      <c r="AQ19">
        <v>15.11</v>
      </c>
      <c r="AR19">
        <v>16.34</v>
      </c>
      <c r="AS19" s="1">
        <v>0.66242154992174207</v>
      </c>
    </row>
    <row r="20" spans="1:45" x14ac:dyDescent="0.25">
      <c r="A20">
        <v>19</v>
      </c>
      <c r="B20">
        <v>8.5039999999999996</v>
      </c>
      <c r="C20">
        <v>195231013367.35999</v>
      </c>
      <c r="D20">
        <v>221.2</v>
      </c>
      <c r="E20">
        <v>15.44</v>
      </c>
      <c r="X20" t="s">
        <v>27</v>
      </c>
      <c r="Y20">
        <v>19</v>
      </c>
      <c r="Z20">
        <v>8.7729999999999997</v>
      </c>
      <c r="AA20">
        <v>139033450232.10999</v>
      </c>
      <c r="AB20">
        <v>221.2</v>
      </c>
      <c r="AC20">
        <v>15.71</v>
      </c>
      <c r="AD20" s="1">
        <f t="shared" si="0"/>
        <v>0.71214838172506523</v>
      </c>
      <c r="AF20" t="s">
        <v>19</v>
      </c>
      <c r="AG20">
        <v>19</v>
      </c>
      <c r="AH20">
        <v>7.8380000000000001</v>
      </c>
      <c r="AI20">
        <v>56197563135.25</v>
      </c>
      <c r="AJ20">
        <v>221</v>
      </c>
      <c r="AK20">
        <v>14.79</v>
      </c>
      <c r="AO20">
        <v>19</v>
      </c>
      <c r="AP20">
        <f t="shared" si="1"/>
        <v>216</v>
      </c>
      <c r="AQ20">
        <v>14.79</v>
      </c>
      <c r="AR20">
        <v>15.71</v>
      </c>
      <c r="AS20" s="1">
        <v>0.71214838172506523</v>
      </c>
    </row>
    <row r="21" spans="1:45" x14ac:dyDescent="0.25">
      <c r="A21">
        <v>20</v>
      </c>
      <c r="B21">
        <v>8.6340000000000003</v>
      </c>
      <c r="C21">
        <v>153880097154.89001</v>
      </c>
      <c r="D21">
        <v>233.3</v>
      </c>
      <c r="E21">
        <v>15.69</v>
      </c>
      <c r="X21" t="s">
        <v>27</v>
      </c>
      <c r="Y21">
        <v>20</v>
      </c>
      <c r="Z21">
        <v>8.8689999999999998</v>
      </c>
      <c r="AA21">
        <v>114839187792.14999</v>
      </c>
      <c r="AB21">
        <v>233.3</v>
      </c>
      <c r="AC21">
        <v>15.86</v>
      </c>
      <c r="AD21" s="1">
        <f t="shared" si="0"/>
        <v>0.74629006554731447</v>
      </c>
      <c r="AF21" t="s">
        <v>19</v>
      </c>
      <c r="AG21">
        <v>20</v>
      </c>
      <c r="AH21">
        <v>7.9390000000000001</v>
      </c>
      <c r="AI21">
        <v>39040909362.739998</v>
      </c>
      <c r="AJ21">
        <v>233.1</v>
      </c>
      <c r="AK21">
        <v>15.18</v>
      </c>
      <c r="AO21">
        <v>20</v>
      </c>
      <c r="AP21">
        <f t="shared" si="1"/>
        <v>228</v>
      </c>
      <c r="AQ21">
        <v>15.18</v>
      </c>
      <c r="AR21">
        <v>15.86</v>
      </c>
      <c r="AS21" s="1">
        <v>0.74629006554731447</v>
      </c>
    </row>
    <row r="22" spans="1:45" x14ac:dyDescent="0.25">
      <c r="A22">
        <v>21</v>
      </c>
      <c r="B22">
        <v>8.6739999999999995</v>
      </c>
      <c r="C22">
        <v>126848715231.11</v>
      </c>
      <c r="D22">
        <v>245.2</v>
      </c>
      <c r="E22">
        <v>15.16</v>
      </c>
      <c r="X22" t="s">
        <v>27</v>
      </c>
      <c r="Y22">
        <v>21</v>
      </c>
      <c r="Z22">
        <v>8.8889999999999993</v>
      </c>
      <c r="AA22">
        <v>97822800183.589996</v>
      </c>
      <c r="AB22">
        <v>245.3</v>
      </c>
      <c r="AC22">
        <v>15.4</v>
      </c>
      <c r="AD22" s="1">
        <f t="shared" si="0"/>
        <v>0.77117690948121387</v>
      </c>
      <c r="AF22" t="s">
        <v>19</v>
      </c>
      <c r="AG22">
        <v>21</v>
      </c>
      <c r="AH22">
        <v>7.9480000000000004</v>
      </c>
      <c r="AI22">
        <v>29025915047.52</v>
      </c>
      <c r="AJ22">
        <v>245.1</v>
      </c>
      <c r="AK22">
        <v>14.34</v>
      </c>
      <c r="AO22">
        <v>21</v>
      </c>
      <c r="AP22">
        <f t="shared" si="1"/>
        <v>240</v>
      </c>
      <c r="AQ22">
        <v>14.34</v>
      </c>
      <c r="AR22">
        <v>15.4</v>
      </c>
      <c r="AS22" s="1">
        <v>0.77117690948121387</v>
      </c>
    </row>
    <row r="23" spans="1:45" x14ac:dyDescent="0.25">
      <c r="A23">
        <v>22</v>
      </c>
      <c r="B23">
        <v>8.7080000000000002</v>
      </c>
      <c r="C23">
        <v>101661196722.74001</v>
      </c>
      <c r="D23">
        <v>257.2</v>
      </c>
      <c r="E23">
        <v>15.22</v>
      </c>
      <c r="X23" t="s">
        <v>27</v>
      </c>
      <c r="Y23">
        <v>22</v>
      </c>
      <c r="Z23">
        <v>8.8989999999999991</v>
      </c>
      <c r="AA23">
        <v>81106542098.179993</v>
      </c>
      <c r="AB23">
        <v>257.3</v>
      </c>
      <c r="AC23">
        <v>15.5</v>
      </c>
      <c r="AD23" s="1">
        <f t="shared" si="0"/>
        <v>0.79781219101110323</v>
      </c>
      <c r="AF23" t="s">
        <v>19</v>
      </c>
      <c r="AG23">
        <v>22</v>
      </c>
      <c r="AH23">
        <v>7.952</v>
      </c>
      <c r="AI23">
        <v>20554654624.560001</v>
      </c>
      <c r="AJ23">
        <v>257.10000000000002</v>
      </c>
      <c r="AK23">
        <v>14.13</v>
      </c>
      <c r="AO23">
        <v>22</v>
      </c>
      <c r="AP23">
        <f t="shared" si="1"/>
        <v>252</v>
      </c>
      <c r="AQ23">
        <v>14.13</v>
      </c>
      <c r="AR23">
        <v>15.5</v>
      </c>
      <c r="AS23" s="1">
        <v>0.79781219101110323</v>
      </c>
    </row>
    <row r="24" spans="1:45" x14ac:dyDescent="0.25">
      <c r="A24">
        <v>23</v>
      </c>
      <c r="B24">
        <v>8.6690000000000005</v>
      </c>
      <c r="C24">
        <v>81618996066.089996</v>
      </c>
      <c r="D24">
        <v>269.2</v>
      </c>
      <c r="E24">
        <v>15.34</v>
      </c>
      <c r="X24" t="s">
        <v>27</v>
      </c>
      <c r="Y24">
        <v>23</v>
      </c>
      <c r="Z24">
        <v>8.8369999999999997</v>
      </c>
      <c r="AA24">
        <v>66697069258.489998</v>
      </c>
      <c r="AB24">
        <v>269.2</v>
      </c>
      <c r="AC24">
        <v>15.67</v>
      </c>
      <c r="AD24" s="1">
        <f t="shared" si="0"/>
        <v>0.81717581045082754</v>
      </c>
      <c r="AF24" t="s">
        <v>19</v>
      </c>
      <c r="AG24">
        <v>23</v>
      </c>
      <c r="AH24">
        <v>7.9180000000000001</v>
      </c>
      <c r="AI24">
        <v>14921926807.6</v>
      </c>
      <c r="AJ24">
        <v>269</v>
      </c>
      <c r="AK24">
        <v>13.84</v>
      </c>
      <c r="AO24">
        <v>23</v>
      </c>
      <c r="AP24">
        <f t="shared" si="1"/>
        <v>264</v>
      </c>
      <c r="AQ24">
        <v>13.84</v>
      </c>
      <c r="AR24">
        <v>15.67</v>
      </c>
      <c r="AS24" s="1">
        <v>0.81717581045082754</v>
      </c>
    </row>
    <row r="25" spans="1:45" x14ac:dyDescent="0.25">
      <c r="A25">
        <v>24</v>
      </c>
      <c r="B25">
        <v>8.8369999999999997</v>
      </c>
      <c r="C25">
        <v>58190952752.330002</v>
      </c>
      <c r="D25">
        <v>281.10000000000002</v>
      </c>
      <c r="E25">
        <v>16.09</v>
      </c>
      <c r="X25" t="s">
        <v>27</v>
      </c>
      <c r="Y25">
        <v>24</v>
      </c>
      <c r="Z25">
        <v>8.8960000000000008</v>
      </c>
      <c r="AA25">
        <v>51503377333.199997</v>
      </c>
      <c r="AB25">
        <v>281.2</v>
      </c>
      <c r="AC25">
        <v>16.239999999999998</v>
      </c>
      <c r="AD25" s="1">
        <f t="shared" si="0"/>
        <v>0.88507534070470717</v>
      </c>
      <c r="AF25" t="s">
        <v>19</v>
      </c>
      <c r="AG25">
        <v>24</v>
      </c>
      <c r="AH25">
        <v>8.3849999999999998</v>
      </c>
      <c r="AI25">
        <v>6687575419.1300001</v>
      </c>
      <c r="AJ25">
        <v>280.60000000000002</v>
      </c>
      <c r="AK25">
        <v>14.96</v>
      </c>
      <c r="AO25">
        <v>24</v>
      </c>
      <c r="AP25">
        <f t="shared" si="1"/>
        <v>276</v>
      </c>
      <c r="AQ25">
        <v>14.96</v>
      </c>
      <c r="AR25">
        <v>16.239999999999998</v>
      </c>
      <c r="AS25" s="1">
        <v>0.88507534070470717</v>
      </c>
    </row>
    <row r="26" spans="1:45" x14ac:dyDescent="0.25">
      <c r="A26">
        <v>25</v>
      </c>
      <c r="B26">
        <v>8.8089999999999993</v>
      </c>
      <c r="C26">
        <v>41128529268.589996</v>
      </c>
      <c r="D26">
        <v>293.10000000000002</v>
      </c>
      <c r="E26">
        <v>17.52</v>
      </c>
      <c r="X26" t="s">
        <v>27</v>
      </c>
      <c r="Y26">
        <v>25</v>
      </c>
      <c r="Z26">
        <v>8.8209999999999997</v>
      </c>
      <c r="AA26">
        <v>38065472410.769997</v>
      </c>
      <c r="AB26">
        <v>293.10000000000002</v>
      </c>
      <c r="AC26">
        <v>17.53</v>
      </c>
      <c r="AD26" s="1">
        <f t="shared" si="0"/>
        <v>0.92552476559964747</v>
      </c>
      <c r="AF26" t="s">
        <v>19</v>
      </c>
      <c r="AG26">
        <v>25</v>
      </c>
      <c r="AH26">
        <v>8.6639999999999997</v>
      </c>
      <c r="AI26">
        <v>3063056857.8200002</v>
      </c>
      <c r="AJ26">
        <v>292.8</v>
      </c>
      <c r="AK26">
        <v>17.440000000000001</v>
      </c>
      <c r="AO26">
        <v>25</v>
      </c>
      <c r="AP26">
        <f t="shared" si="1"/>
        <v>288</v>
      </c>
      <c r="AQ26">
        <v>17.440000000000001</v>
      </c>
      <c r="AR26">
        <v>17.53</v>
      </c>
      <c r="AS26" s="1">
        <v>0.92552476559964747</v>
      </c>
    </row>
    <row r="27" spans="1:45" x14ac:dyDescent="0.25">
      <c r="A27">
        <v>26</v>
      </c>
      <c r="B27">
        <v>8.6980000000000004</v>
      </c>
      <c r="C27">
        <v>27992934050.560001</v>
      </c>
      <c r="D27">
        <v>305.10000000000002</v>
      </c>
      <c r="E27">
        <v>18.68</v>
      </c>
      <c r="X27" t="s">
        <v>27</v>
      </c>
      <c r="Y27">
        <v>26</v>
      </c>
      <c r="Z27">
        <v>8.7080000000000002</v>
      </c>
      <c r="AA27">
        <v>26375897673.740002</v>
      </c>
      <c r="AB27">
        <v>305.10000000000002</v>
      </c>
      <c r="AC27">
        <v>18.53</v>
      </c>
      <c r="AD27" s="1">
        <f t="shared" si="0"/>
        <v>0.94223412330056733</v>
      </c>
      <c r="AF27" t="s">
        <v>19</v>
      </c>
      <c r="AG27">
        <v>26</v>
      </c>
      <c r="AH27">
        <v>8.5470000000000006</v>
      </c>
      <c r="AI27">
        <v>1617036376.8199999</v>
      </c>
      <c r="AJ27">
        <v>304.89999999999998</v>
      </c>
      <c r="AK27">
        <v>21.09</v>
      </c>
      <c r="AO27">
        <v>26</v>
      </c>
      <c r="AP27">
        <f t="shared" si="1"/>
        <v>300</v>
      </c>
      <c r="AQ27">
        <v>21.09</v>
      </c>
      <c r="AR27">
        <v>18.53</v>
      </c>
      <c r="AS27" s="1">
        <v>0.94223412330056733</v>
      </c>
    </row>
    <row r="28" spans="1:45" x14ac:dyDescent="0.25">
      <c r="A28">
        <v>27</v>
      </c>
      <c r="B28">
        <v>8.5359999999999996</v>
      </c>
      <c r="C28">
        <v>18854917528.169998</v>
      </c>
      <c r="D28">
        <v>317</v>
      </c>
      <c r="E28">
        <v>19.78</v>
      </c>
      <c r="X28" t="s">
        <v>27</v>
      </c>
      <c r="Y28">
        <v>27</v>
      </c>
      <c r="Z28">
        <v>8.5429999999999993</v>
      </c>
      <c r="AA28">
        <v>17996912159.16</v>
      </c>
      <c r="AB28">
        <v>317</v>
      </c>
      <c r="AC28">
        <v>19.59</v>
      </c>
      <c r="AD28" s="1">
        <f t="shared" si="0"/>
        <v>0.95449434516337162</v>
      </c>
      <c r="AF28" t="s">
        <v>19</v>
      </c>
      <c r="AG28">
        <v>27</v>
      </c>
      <c r="AH28">
        <v>8.3870000000000005</v>
      </c>
      <c r="AI28">
        <v>858005369.00999999</v>
      </c>
      <c r="AJ28">
        <v>316.7</v>
      </c>
      <c r="AK28">
        <v>23.77</v>
      </c>
      <c r="AO28">
        <v>27</v>
      </c>
      <c r="AP28">
        <f t="shared" si="1"/>
        <v>312</v>
      </c>
      <c r="AQ28">
        <v>23.77</v>
      </c>
      <c r="AR28">
        <v>19.59</v>
      </c>
      <c r="AS28" s="1">
        <v>0.95449434516337162</v>
      </c>
    </row>
    <row r="29" spans="1:45" x14ac:dyDescent="0.25">
      <c r="A29">
        <v>28</v>
      </c>
      <c r="B29">
        <v>8.3330000000000002</v>
      </c>
      <c r="C29">
        <v>11918183822.709999</v>
      </c>
      <c r="D29">
        <v>328.9</v>
      </c>
      <c r="E29">
        <v>20.96</v>
      </c>
      <c r="X29" t="s">
        <v>27</v>
      </c>
      <c r="Y29">
        <v>28</v>
      </c>
      <c r="Z29">
        <v>8.3320000000000007</v>
      </c>
      <c r="AA29">
        <v>11505351321.219999</v>
      </c>
      <c r="AB29">
        <v>328.9</v>
      </c>
      <c r="AC29">
        <v>20.71</v>
      </c>
      <c r="AD29" s="1">
        <f t="shared" si="0"/>
        <v>0.96536112316850231</v>
      </c>
      <c r="AF29" t="s">
        <v>19</v>
      </c>
      <c r="AG29">
        <v>28</v>
      </c>
      <c r="AH29">
        <v>8.3580000000000005</v>
      </c>
      <c r="AI29">
        <v>412832501.49000001</v>
      </c>
      <c r="AJ29">
        <v>328.7</v>
      </c>
      <c r="AK29">
        <v>27.67</v>
      </c>
      <c r="AO29">
        <v>28</v>
      </c>
      <c r="AP29">
        <f t="shared" si="1"/>
        <v>324</v>
      </c>
      <c r="AQ29">
        <v>27.67</v>
      </c>
      <c r="AR29">
        <v>20.71</v>
      </c>
      <c r="AS29" s="1">
        <v>0.96536112316850231</v>
      </c>
    </row>
    <row r="30" spans="1:45" x14ac:dyDescent="0.25">
      <c r="A30">
        <v>29</v>
      </c>
      <c r="B30">
        <v>8.1709999999999994</v>
      </c>
      <c r="C30">
        <v>6347749588.3000002</v>
      </c>
      <c r="D30">
        <v>340.7</v>
      </c>
      <c r="E30">
        <v>24.95</v>
      </c>
      <c r="X30" t="s">
        <v>27</v>
      </c>
      <c r="Y30">
        <v>29</v>
      </c>
      <c r="Z30">
        <v>8.1660000000000004</v>
      </c>
      <c r="AA30">
        <v>6192387600.9200001</v>
      </c>
      <c r="AB30">
        <v>340.7</v>
      </c>
      <c r="AC30">
        <v>24.73</v>
      </c>
      <c r="AD30" s="1">
        <f t="shared" si="0"/>
        <v>0.97552487141799682</v>
      </c>
      <c r="AF30" t="s">
        <v>19</v>
      </c>
      <c r="AG30">
        <v>29</v>
      </c>
      <c r="AH30">
        <v>8.4030000000000005</v>
      </c>
      <c r="AI30">
        <v>155361987.38</v>
      </c>
      <c r="AJ30">
        <v>340.1</v>
      </c>
      <c r="AK30">
        <v>33.26</v>
      </c>
      <c r="AO30">
        <v>29</v>
      </c>
      <c r="AP30">
        <f t="shared" si="1"/>
        <v>336</v>
      </c>
      <c r="AQ30">
        <v>33.26</v>
      </c>
      <c r="AR30">
        <v>24.73</v>
      </c>
      <c r="AS30" s="1">
        <v>0.97552487141799682</v>
      </c>
    </row>
    <row r="31" spans="1:45" x14ac:dyDescent="0.25">
      <c r="A31">
        <v>30</v>
      </c>
      <c r="B31">
        <v>7.9359999999999999</v>
      </c>
      <c r="C31">
        <v>2544506374.0599999</v>
      </c>
      <c r="D31">
        <v>352.4</v>
      </c>
      <c r="E31">
        <v>30.78</v>
      </c>
      <c r="X31" t="s">
        <v>27</v>
      </c>
      <c r="Y31">
        <v>30</v>
      </c>
      <c r="Z31">
        <v>7.9290000000000003</v>
      </c>
      <c r="AA31">
        <v>2520387481.6500001</v>
      </c>
      <c r="AB31">
        <v>352.4</v>
      </c>
      <c r="AC31">
        <v>30.33</v>
      </c>
      <c r="AD31" s="1">
        <f t="shared" si="0"/>
        <v>0.99052119002102723</v>
      </c>
      <c r="AF31" t="s">
        <v>19</v>
      </c>
      <c r="AG31">
        <v>30</v>
      </c>
      <c r="AH31">
        <v>8.6340000000000003</v>
      </c>
      <c r="AI31">
        <v>24118892.41</v>
      </c>
      <c r="AJ31">
        <v>350.6</v>
      </c>
      <c r="AK31">
        <v>65.75</v>
      </c>
      <c r="AO31">
        <v>30</v>
      </c>
      <c r="AP31">
        <f t="shared" si="1"/>
        <v>348</v>
      </c>
      <c r="AQ31">
        <v>65.75</v>
      </c>
      <c r="AR31">
        <v>30.33</v>
      </c>
      <c r="AS31" s="1">
        <v>0.99052119002102723</v>
      </c>
    </row>
    <row r="32" spans="1:45" x14ac:dyDescent="0.25">
      <c r="A32">
        <v>31</v>
      </c>
      <c r="B32">
        <v>7.6559999999999997</v>
      </c>
      <c r="C32">
        <v>921103613.37</v>
      </c>
      <c r="D32">
        <v>364.5</v>
      </c>
      <c r="E32">
        <v>31.36</v>
      </c>
      <c r="X32" t="s">
        <v>27</v>
      </c>
      <c r="Y32">
        <v>31</v>
      </c>
      <c r="Z32">
        <v>7.6559999999999997</v>
      </c>
      <c r="AA32">
        <v>921076179.64999998</v>
      </c>
      <c r="AB32">
        <v>364.5</v>
      </c>
      <c r="AC32">
        <v>31.36</v>
      </c>
      <c r="AD32" s="1">
        <f t="shared" si="0"/>
        <v>0.99997021646685369</v>
      </c>
      <c r="AF32" t="s">
        <v>19</v>
      </c>
      <c r="AG32">
        <v>31</v>
      </c>
      <c r="AH32">
        <v>9.2159999999999993</v>
      </c>
      <c r="AI32">
        <v>27433.72</v>
      </c>
      <c r="AJ32">
        <v>360.3</v>
      </c>
      <c r="AK32">
        <v>88.64</v>
      </c>
      <c r="AO32">
        <v>31</v>
      </c>
      <c r="AP32">
        <f t="shared" si="1"/>
        <v>360</v>
      </c>
      <c r="AQ32">
        <v>88.64</v>
      </c>
      <c r="AR32">
        <v>31.36</v>
      </c>
      <c r="AS32" s="1">
        <v>0.99997021646685369</v>
      </c>
    </row>
    <row r="33" spans="1:44" x14ac:dyDescent="0.25">
      <c r="A33">
        <v>32</v>
      </c>
      <c r="B33">
        <v>7.5140000000000002</v>
      </c>
      <c r="C33">
        <v>316345801.35000002</v>
      </c>
      <c r="D33">
        <v>376.3</v>
      </c>
      <c r="E33">
        <v>32.15</v>
      </c>
      <c r="X33" t="s">
        <v>27</v>
      </c>
      <c r="Y33">
        <v>32</v>
      </c>
      <c r="Z33">
        <v>7.5140000000000002</v>
      </c>
      <c r="AA33">
        <v>316345801.35000002</v>
      </c>
      <c r="AB33">
        <v>376.3</v>
      </c>
      <c r="AC33">
        <v>32.15</v>
      </c>
      <c r="AD33" s="1">
        <f t="shared" si="0"/>
        <v>1</v>
      </c>
      <c r="AR33">
        <v>32.15</v>
      </c>
    </row>
    <row r="34" spans="1:44" x14ac:dyDescent="0.25">
      <c r="A34">
        <v>33</v>
      </c>
      <c r="B34">
        <v>7.415</v>
      </c>
      <c r="C34">
        <v>97792411.420000002</v>
      </c>
      <c r="D34">
        <v>388.3</v>
      </c>
      <c r="E34">
        <v>32.950000000000003</v>
      </c>
      <c r="X34" t="s">
        <v>27</v>
      </c>
      <c r="Y34">
        <v>33</v>
      </c>
      <c r="Z34">
        <v>7.415</v>
      </c>
      <c r="AA34">
        <v>97792411.420000002</v>
      </c>
      <c r="AB34">
        <v>388.3</v>
      </c>
      <c r="AC34">
        <v>32.950000000000003</v>
      </c>
      <c r="AD34" s="1">
        <f t="shared" si="0"/>
        <v>1</v>
      </c>
      <c r="AR34">
        <v>32.950000000000003</v>
      </c>
    </row>
    <row r="35" spans="1:44" x14ac:dyDescent="0.25">
      <c r="A35">
        <v>34</v>
      </c>
      <c r="B35">
        <v>7.3079999999999998</v>
      </c>
      <c r="C35">
        <v>28339111.609999999</v>
      </c>
      <c r="D35">
        <v>400.2</v>
      </c>
      <c r="E35">
        <v>31.34</v>
      </c>
      <c r="X35" t="s">
        <v>27</v>
      </c>
      <c r="Y35">
        <v>34</v>
      </c>
      <c r="Z35">
        <v>7.3079999999999998</v>
      </c>
      <c r="AA35">
        <v>28339111.609999999</v>
      </c>
      <c r="AB35">
        <v>400.2</v>
      </c>
      <c r="AC35">
        <v>31.34</v>
      </c>
      <c r="AD35" s="1">
        <f t="shared" si="0"/>
        <v>1</v>
      </c>
      <c r="AR35">
        <v>31.34</v>
      </c>
    </row>
    <row r="36" spans="1:44" x14ac:dyDescent="0.25">
      <c r="A36">
        <v>35</v>
      </c>
      <c r="B36">
        <v>7.242</v>
      </c>
      <c r="C36">
        <v>10127612.939999999</v>
      </c>
      <c r="D36">
        <v>412.7</v>
      </c>
      <c r="E36">
        <v>23.62</v>
      </c>
      <c r="X36" t="s">
        <v>27</v>
      </c>
      <c r="Y36">
        <v>35</v>
      </c>
      <c r="Z36">
        <v>7.242</v>
      </c>
      <c r="AA36">
        <v>10127612.939999999</v>
      </c>
      <c r="AB36">
        <v>412.7</v>
      </c>
      <c r="AC36">
        <v>23.62</v>
      </c>
      <c r="AD36" s="1">
        <f t="shared" si="0"/>
        <v>1</v>
      </c>
      <c r="AR36">
        <v>23.62</v>
      </c>
    </row>
    <row r="37" spans="1:44" x14ac:dyDescent="0.25">
      <c r="A37">
        <v>36</v>
      </c>
      <c r="B37">
        <v>7.07</v>
      </c>
      <c r="C37">
        <v>4115083.15</v>
      </c>
      <c r="D37">
        <v>424.5</v>
      </c>
      <c r="E37">
        <v>25.52</v>
      </c>
      <c r="X37" t="s">
        <v>27</v>
      </c>
      <c r="Y37">
        <v>36</v>
      </c>
      <c r="Z37">
        <v>7.07</v>
      </c>
      <c r="AA37">
        <v>4115083.15</v>
      </c>
      <c r="AB37">
        <v>424.5</v>
      </c>
      <c r="AC37">
        <v>25.52</v>
      </c>
      <c r="AD37" s="1">
        <f t="shared" si="0"/>
        <v>1</v>
      </c>
      <c r="AR37">
        <v>25.52</v>
      </c>
    </row>
    <row r="38" spans="1:44" x14ac:dyDescent="0.25">
      <c r="A38">
        <v>37</v>
      </c>
      <c r="B38">
        <v>7.1710000000000003</v>
      </c>
      <c r="C38">
        <v>1294859.3400000001</v>
      </c>
      <c r="D38">
        <v>436.2</v>
      </c>
      <c r="E38">
        <v>33.06</v>
      </c>
      <c r="X38" t="s">
        <v>27</v>
      </c>
      <c r="Y38">
        <v>37</v>
      </c>
      <c r="Z38">
        <v>7.1710000000000003</v>
      </c>
      <c r="AA38">
        <v>1294859.3400000001</v>
      </c>
      <c r="AB38">
        <v>436.2</v>
      </c>
      <c r="AC38">
        <v>33.06</v>
      </c>
      <c r="AD38" s="1">
        <f t="shared" si="0"/>
        <v>1</v>
      </c>
      <c r="AR38">
        <v>33.06</v>
      </c>
    </row>
    <row r="39" spans="1:44" x14ac:dyDescent="0.25">
      <c r="A39">
        <v>38</v>
      </c>
      <c r="B39">
        <v>7.58</v>
      </c>
      <c r="C39">
        <v>539430.81000000006</v>
      </c>
      <c r="D39">
        <v>449</v>
      </c>
      <c r="E39">
        <v>11.1</v>
      </c>
      <c r="X39" t="s">
        <v>27</v>
      </c>
      <c r="Y39">
        <v>38</v>
      </c>
      <c r="Z39">
        <v>7.58</v>
      </c>
      <c r="AA39">
        <v>539430.81000000006</v>
      </c>
      <c r="AB39">
        <v>449</v>
      </c>
      <c r="AC39">
        <v>11.1</v>
      </c>
      <c r="AD39" s="1">
        <f t="shared" si="0"/>
        <v>1</v>
      </c>
      <c r="AR39">
        <v>11.1</v>
      </c>
    </row>
    <row r="40" spans="1:44" x14ac:dyDescent="0.25">
      <c r="A40">
        <v>39</v>
      </c>
      <c r="B40">
        <v>8.0180000000000007</v>
      </c>
      <c r="C40">
        <v>315093.25</v>
      </c>
      <c r="D40">
        <v>460.5</v>
      </c>
      <c r="E40">
        <v>7.66</v>
      </c>
      <c r="X40" t="s">
        <v>27</v>
      </c>
      <c r="Y40">
        <v>39</v>
      </c>
      <c r="Z40">
        <v>8.0180000000000007</v>
      </c>
      <c r="AA40">
        <v>315093.25</v>
      </c>
      <c r="AB40">
        <v>460.5</v>
      </c>
      <c r="AC40">
        <v>7.66</v>
      </c>
      <c r="AD40" s="1">
        <f t="shared" si="0"/>
        <v>1</v>
      </c>
      <c r="AR40">
        <v>7.66</v>
      </c>
    </row>
    <row r="41" spans="1:44" x14ac:dyDescent="0.25">
      <c r="A41">
        <v>40</v>
      </c>
      <c r="B41">
        <v>6</v>
      </c>
      <c r="C41">
        <v>3972.27</v>
      </c>
      <c r="D41">
        <v>469.9</v>
      </c>
      <c r="E41">
        <v>82.06</v>
      </c>
      <c r="X41" t="s">
        <v>27</v>
      </c>
      <c r="Y41">
        <v>40</v>
      </c>
      <c r="Z41">
        <v>6</v>
      </c>
      <c r="AA41">
        <v>3972.27</v>
      </c>
      <c r="AB41">
        <v>469.9</v>
      </c>
      <c r="AC41">
        <v>82.06</v>
      </c>
      <c r="AD41" s="1">
        <f t="shared" si="0"/>
        <v>1</v>
      </c>
      <c r="AR41">
        <v>82.06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62"/>
  <sheetViews>
    <sheetView tabSelected="1" workbookViewId="0">
      <selection activeCell="X29" sqref="X29"/>
    </sheetView>
  </sheetViews>
  <sheetFormatPr defaultRowHeight="15" x14ac:dyDescent="0.25"/>
  <cols>
    <col min="26" max="26" width="9.140625" style="11"/>
  </cols>
  <sheetData>
    <row r="1" spans="1:28" x14ac:dyDescent="0.25">
      <c r="B1" t="s">
        <v>31</v>
      </c>
      <c r="C1" t="s">
        <v>32</v>
      </c>
      <c r="D1" t="s">
        <v>106</v>
      </c>
      <c r="AA1" t="s">
        <v>107</v>
      </c>
      <c r="AB1" s="11" t="s">
        <v>397</v>
      </c>
    </row>
    <row r="2" spans="1:28" x14ac:dyDescent="0.25">
      <c r="A2">
        <v>0</v>
      </c>
      <c r="B2">
        <v>1.80572</v>
      </c>
      <c r="C2">
        <v>1.628071</v>
      </c>
      <c r="D2">
        <f>-C2+B2</f>
        <v>0.17764899999999995</v>
      </c>
      <c r="Y2" s="3" t="s">
        <v>33</v>
      </c>
      <c r="Z2" s="11" t="s">
        <v>34</v>
      </c>
      <c r="AA2">
        <v>0</v>
      </c>
      <c r="AB2">
        <v>0</v>
      </c>
    </row>
    <row r="3" spans="1:28" x14ac:dyDescent="0.25">
      <c r="A3">
        <v>5</v>
      </c>
      <c r="B3">
        <v>3.654468</v>
      </c>
      <c r="C3">
        <v>3.2085680000000001</v>
      </c>
      <c r="D3">
        <f t="shared" ref="D3:D66" si="0">-C3+B3</f>
        <v>0.44589999999999996</v>
      </c>
      <c r="Y3" s="3" t="s">
        <v>35</v>
      </c>
      <c r="Z3" s="11" t="s">
        <v>34</v>
      </c>
      <c r="AA3">
        <v>1</v>
      </c>
      <c r="AB3">
        <v>8.5579509999999998E-2</v>
      </c>
    </row>
    <row r="4" spans="1:28" x14ac:dyDescent="0.25">
      <c r="A4">
        <v>10</v>
      </c>
      <c r="B4">
        <v>5.3457860000000004</v>
      </c>
      <c r="C4">
        <v>5.0577079999999999</v>
      </c>
      <c r="D4">
        <f t="shared" si="0"/>
        <v>0.2880780000000005</v>
      </c>
      <c r="Y4" s="3" t="s">
        <v>36</v>
      </c>
      <c r="Z4" s="11" t="s">
        <v>34</v>
      </c>
      <c r="AA4">
        <v>2</v>
      </c>
      <c r="AB4">
        <v>0.18360024999999999</v>
      </c>
    </row>
    <row r="5" spans="1:28" x14ac:dyDescent="0.25">
      <c r="A5">
        <v>15</v>
      </c>
      <c r="B5">
        <v>5.5376919999999998</v>
      </c>
      <c r="C5">
        <v>5.5394249999999996</v>
      </c>
      <c r="D5">
        <f t="shared" si="0"/>
        <v>-1.7329999999997625E-3</v>
      </c>
      <c r="Y5" s="3" t="s">
        <v>37</v>
      </c>
      <c r="Z5" s="11" t="s">
        <v>34</v>
      </c>
      <c r="AA5">
        <v>3</v>
      </c>
      <c r="AB5">
        <v>0.28153283000000001</v>
      </c>
    </row>
    <row r="6" spans="1:28" x14ac:dyDescent="0.25">
      <c r="A6">
        <v>20</v>
      </c>
      <c r="B6">
        <v>6.084098</v>
      </c>
      <c r="C6">
        <v>6.187201</v>
      </c>
      <c r="D6">
        <f t="shared" si="0"/>
        <v>-0.10310299999999994</v>
      </c>
      <c r="Y6" s="3" t="s">
        <v>38</v>
      </c>
      <c r="Z6" s="11" t="s">
        <v>34</v>
      </c>
      <c r="AA6">
        <v>4</v>
      </c>
      <c r="AB6">
        <v>0.36689145000000001</v>
      </c>
    </row>
    <row r="7" spans="1:28" x14ac:dyDescent="0.25">
      <c r="A7">
        <v>25</v>
      </c>
      <c r="B7">
        <v>6.9080370000000002</v>
      </c>
      <c r="C7">
        <v>6.8162029999999998</v>
      </c>
      <c r="D7">
        <f t="shared" si="0"/>
        <v>9.1834000000000415E-2</v>
      </c>
      <c r="Y7" s="3" t="s">
        <v>39</v>
      </c>
      <c r="Z7" s="11" t="s">
        <v>34</v>
      </c>
      <c r="AA7">
        <v>5</v>
      </c>
      <c r="AB7">
        <v>0.42722660000000001</v>
      </c>
    </row>
    <row r="8" spans="1:28" x14ac:dyDescent="0.25">
      <c r="A8">
        <v>30</v>
      </c>
      <c r="B8">
        <v>6.9403810000000004</v>
      </c>
      <c r="C8">
        <v>7.3855079999999997</v>
      </c>
      <c r="D8">
        <f t="shared" si="0"/>
        <v>-0.44512699999999938</v>
      </c>
      <c r="Y8" s="3" t="s">
        <v>40</v>
      </c>
      <c r="Z8" s="11" t="s">
        <v>34</v>
      </c>
      <c r="AA8">
        <v>6</v>
      </c>
      <c r="AB8">
        <v>0.45010359</v>
      </c>
    </row>
    <row r="9" spans="1:28" x14ac:dyDescent="0.25">
      <c r="A9">
        <v>35</v>
      </c>
      <c r="B9">
        <v>6.6858560000000002</v>
      </c>
      <c r="C9">
        <v>7.5696380000000003</v>
      </c>
      <c r="D9">
        <f t="shared" si="0"/>
        <v>-0.88378200000000007</v>
      </c>
      <c r="Y9" s="3" t="s">
        <v>41</v>
      </c>
      <c r="Z9" s="11" t="s">
        <v>34</v>
      </c>
      <c r="AA9">
        <v>7</v>
      </c>
      <c r="AB9">
        <v>0.45010359</v>
      </c>
    </row>
    <row r="10" spans="1:28" x14ac:dyDescent="0.25">
      <c r="A10">
        <v>40</v>
      </c>
      <c r="B10">
        <v>6.3845419999999997</v>
      </c>
      <c r="C10">
        <v>7.9000250000000003</v>
      </c>
      <c r="D10">
        <f t="shared" si="0"/>
        <v>-1.5154830000000006</v>
      </c>
      <c r="Y10" s="3" t="s">
        <v>42</v>
      </c>
      <c r="Z10" s="11" t="s">
        <v>34</v>
      </c>
      <c r="AA10">
        <v>8</v>
      </c>
      <c r="AB10">
        <v>0.45010359</v>
      </c>
    </row>
    <row r="11" spans="1:28" x14ac:dyDescent="0.25">
      <c r="A11">
        <v>45</v>
      </c>
      <c r="B11">
        <v>6.5127439999999996</v>
      </c>
      <c r="C11">
        <v>8.1817159999999998</v>
      </c>
      <c r="D11">
        <f t="shared" si="0"/>
        <v>-1.6689720000000001</v>
      </c>
      <c r="Y11" s="3" t="s">
        <v>43</v>
      </c>
      <c r="Z11" s="11" t="s">
        <v>34</v>
      </c>
      <c r="AA11">
        <v>9</v>
      </c>
      <c r="AB11">
        <v>0.45010359</v>
      </c>
    </row>
    <row r="12" spans="1:28" x14ac:dyDescent="0.25">
      <c r="A12">
        <v>50</v>
      </c>
      <c r="B12">
        <v>5.8758410000000003</v>
      </c>
      <c r="C12">
        <v>8.2027219999999996</v>
      </c>
      <c r="D12">
        <f t="shared" si="0"/>
        <v>-2.3268809999999993</v>
      </c>
      <c r="Y12" s="3" t="s">
        <v>44</v>
      </c>
      <c r="Z12" s="11" t="s">
        <v>34</v>
      </c>
      <c r="AA12">
        <v>10</v>
      </c>
      <c r="AB12">
        <v>0.45010359</v>
      </c>
    </row>
    <row r="13" spans="1:28" x14ac:dyDescent="0.25">
      <c r="A13">
        <v>55</v>
      </c>
      <c r="B13">
        <v>6.1407930000000004</v>
      </c>
      <c r="C13">
        <v>8.8124710000000004</v>
      </c>
      <c r="D13">
        <f t="shared" si="0"/>
        <v>-2.671678</v>
      </c>
      <c r="Y13" s="3" t="s">
        <v>45</v>
      </c>
      <c r="Z13" s="11" t="s">
        <v>34</v>
      </c>
      <c r="AA13">
        <v>11</v>
      </c>
      <c r="AB13">
        <v>0.45010359</v>
      </c>
    </row>
    <row r="14" spans="1:28" x14ac:dyDescent="0.25">
      <c r="A14">
        <v>60</v>
      </c>
      <c r="B14">
        <v>4.7383059999999997</v>
      </c>
      <c r="C14">
        <v>7.3303770000000004</v>
      </c>
      <c r="D14">
        <f t="shared" si="0"/>
        <v>-2.5920710000000007</v>
      </c>
      <c r="Y14" s="3" t="s">
        <v>46</v>
      </c>
      <c r="Z14" s="11" t="s">
        <v>34</v>
      </c>
      <c r="AA14">
        <v>12</v>
      </c>
      <c r="AB14">
        <v>0.45010359</v>
      </c>
    </row>
    <row r="15" spans="1:28" x14ac:dyDescent="0.25">
      <c r="A15">
        <v>65</v>
      </c>
      <c r="B15">
        <v>7.9827760000000003</v>
      </c>
      <c r="C15">
        <v>8.0890540000000009</v>
      </c>
      <c r="D15">
        <f t="shared" si="0"/>
        <v>-0.10627800000000054</v>
      </c>
      <c r="Y15" s="3" t="s">
        <v>47</v>
      </c>
      <c r="Z15" s="11" t="s">
        <v>34</v>
      </c>
      <c r="AA15">
        <v>13</v>
      </c>
      <c r="AB15">
        <v>0.45026630000000001</v>
      </c>
    </row>
    <row r="16" spans="1:28" x14ac:dyDescent="0.25">
      <c r="A16">
        <v>70</v>
      </c>
      <c r="B16">
        <v>7.4612550000000004</v>
      </c>
      <c r="C16">
        <v>6.4280720000000002</v>
      </c>
      <c r="D16">
        <f t="shared" si="0"/>
        <v>1.0331830000000002</v>
      </c>
      <c r="Y16" s="3" t="s">
        <v>48</v>
      </c>
      <c r="Z16" s="11" t="s">
        <v>34</v>
      </c>
      <c r="AA16">
        <v>14</v>
      </c>
      <c r="AB16">
        <v>0.45074681</v>
      </c>
    </row>
    <row r="17" spans="1:28" x14ac:dyDescent="0.25">
      <c r="A17">
        <v>75</v>
      </c>
      <c r="B17">
        <v>6.3103319999999998</v>
      </c>
      <c r="C17">
        <v>7.0136630000000002</v>
      </c>
      <c r="D17">
        <f t="shared" si="0"/>
        <v>-0.70333100000000037</v>
      </c>
      <c r="Y17" s="3" t="s">
        <v>49</v>
      </c>
      <c r="Z17" s="11" t="s">
        <v>34</v>
      </c>
      <c r="AA17">
        <v>15</v>
      </c>
      <c r="AB17">
        <v>0.45153368999999999</v>
      </c>
    </row>
    <row r="18" spans="1:28" x14ac:dyDescent="0.25">
      <c r="A18">
        <v>80</v>
      </c>
      <c r="B18">
        <v>6.742966</v>
      </c>
      <c r="C18">
        <v>7.349475</v>
      </c>
      <c r="D18">
        <f t="shared" si="0"/>
        <v>-0.60650899999999996</v>
      </c>
      <c r="Y18" s="3" t="s">
        <v>50</v>
      </c>
      <c r="Z18" s="11" t="s">
        <v>34</v>
      </c>
      <c r="AA18">
        <v>16</v>
      </c>
      <c r="AB18">
        <v>0.45261551999999999</v>
      </c>
    </row>
    <row r="19" spans="1:28" x14ac:dyDescent="0.25">
      <c r="A19">
        <v>85</v>
      </c>
      <c r="B19">
        <v>6.6595909999999998</v>
      </c>
      <c r="C19">
        <v>8.1276449999999993</v>
      </c>
      <c r="D19">
        <f t="shared" si="0"/>
        <v>-1.4680539999999995</v>
      </c>
      <c r="Y19" s="3" t="s">
        <v>51</v>
      </c>
      <c r="Z19" s="11" t="s">
        <v>34</v>
      </c>
      <c r="AA19">
        <v>17</v>
      </c>
      <c r="AB19">
        <v>0.45398087999999998</v>
      </c>
    </row>
    <row r="20" spans="1:28" x14ac:dyDescent="0.25">
      <c r="A20">
        <v>90</v>
      </c>
      <c r="B20">
        <v>7.624536</v>
      </c>
      <c r="C20">
        <v>8.9097279999999994</v>
      </c>
      <c r="D20">
        <f t="shared" si="0"/>
        <v>-1.2851919999999994</v>
      </c>
      <c r="Y20" s="3" t="s">
        <v>52</v>
      </c>
      <c r="Z20" s="11" t="s">
        <v>34</v>
      </c>
      <c r="AA20">
        <v>18</v>
      </c>
      <c r="AB20">
        <v>0.45561832000000002</v>
      </c>
    </row>
    <row r="21" spans="1:28" x14ac:dyDescent="0.25">
      <c r="A21">
        <v>95</v>
      </c>
      <c r="B21">
        <v>9.9150010000000002</v>
      </c>
      <c r="C21">
        <v>6.7091719999999997</v>
      </c>
      <c r="D21">
        <f t="shared" si="0"/>
        <v>3.2058290000000005</v>
      </c>
      <c r="Y21" s="3" t="s">
        <v>53</v>
      </c>
      <c r="Z21" s="11" t="s">
        <v>34</v>
      </c>
      <c r="AA21">
        <v>19</v>
      </c>
      <c r="AB21">
        <v>0.45751642999999997</v>
      </c>
    </row>
    <row r="22" spans="1:28" x14ac:dyDescent="0.25">
      <c r="A22">
        <v>100</v>
      </c>
      <c r="B22">
        <v>9.1843859999999999</v>
      </c>
      <c r="C22">
        <v>9.0163609999999998</v>
      </c>
      <c r="D22">
        <f t="shared" si="0"/>
        <v>0.16802500000000009</v>
      </c>
      <c r="Y22" s="3" t="s">
        <v>54</v>
      </c>
      <c r="Z22" s="11" t="s">
        <v>34</v>
      </c>
      <c r="AA22">
        <v>20</v>
      </c>
      <c r="AB22">
        <v>0.45966377000000003</v>
      </c>
    </row>
    <row r="23" spans="1:28" x14ac:dyDescent="0.25">
      <c r="A23">
        <v>105</v>
      </c>
      <c r="B23">
        <v>11.033194999999999</v>
      </c>
      <c r="C23">
        <v>7.0496429999999997</v>
      </c>
      <c r="D23">
        <f t="shared" si="0"/>
        <v>3.9835519999999995</v>
      </c>
      <c r="Y23" s="3" t="s">
        <v>55</v>
      </c>
      <c r="Z23" s="11" t="s">
        <v>34</v>
      </c>
      <c r="AA23">
        <v>21</v>
      </c>
      <c r="AB23">
        <v>0.46204889999999998</v>
      </c>
    </row>
    <row r="24" spans="1:28" x14ac:dyDescent="0.25">
      <c r="A24">
        <v>110</v>
      </c>
      <c r="B24">
        <v>10.593724</v>
      </c>
      <c r="C24">
        <v>6.8526230000000004</v>
      </c>
      <c r="D24">
        <f t="shared" si="0"/>
        <v>3.7411009999999996</v>
      </c>
      <c r="Y24" s="3" t="s">
        <v>56</v>
      </c>
      <c r="Z24" s="11" t="s">
        <v>34</v>
      </c>
      <c r="AA24">
        <v>22</v>
      </c>
      <c r="AB24">
        <v>0.46466038999999998</v>
      </c>
    </row>
    <row r="25" spans="1:28" x14ac:dyDescent="0.25">
      <c r="A25">
        <v>115</v>
      </c>
      <c r="B25">
        <v>9.0783570000000005</v>
      </c>
      <c r="C25">
        <v>7.0252140000000001</v>
      </c>
      <c r="D25">
        <f t="shared" si="0"/>
        <v>2.0531430000000004</v>
      </c>
      <c r="Y25" s="3" t="s">
        <v>57</v>
      </c>
      <c r="Z25" s="11" t="s">
        <v>34</v>
      </c>
      <c r="AA25">
        <v>23</v>
      </c>
      <c r="AB25">
        <v>0.46748679999999998</v>
      </c>
    </row>
    <row r="26" spans="1:28" x14ac:dyDescent="0.25">
      <c r="A26">
        <v>120</v>
      </c>
      <c r="B26">
        <v>10.138147</v>
      </c>
      <c r="C26">
        <v>6.9960789999999999</v>
      </c>
      <c r="D26">
        <f t="shared" si="0"/>
        <v>3.1420680000000001</v>
      </c>
      <c r="Y26" s="3" t="s">
        <v>58</v>
      </c>
      <c r="Z26" s="11" t="s">
        <v>34</v>
      </c>
      <c r="AA26">
        <v>24</v>
      </c>
      <c r="AB26">
        <v>0.47051671</v>
      </c>
    </row>
    <row r="27" spans="1:28" x14ac:dyDescent="0.25">
      <c r="A27">
        <v>125</v>
      </c>
      <c r="B27">
        <v>8.8923469999999991</v>
      </c>
      <c r="C27">
        <v>6.3815840000000001</v>
      </c>
      <c r="D27">
        <f t="shared" si="0"/>
        <v>2.510762999999999</v>
      </c>
      <c r="Y27" s="3" t="s">
        <v>59</v>
      </c>
      <c r="Z27" s="11" t="s">
        <v>34</v>
      </c>
      <c r="AA27">
        <v>25</v>
      </c>
      <c r="AB27">
        <v>0.47373866999999997</v>
      </c>
    </row>
    <row r="28" spans="1:28" x14ac:dyDescent="0.25">
      <c r="A28">
        <v>130</v>
      </c>
      <c r="B28">
        <v>13.060048</v>
      </c>
      <c r="C28">
        <v>7.1076100000000002</v>
      </c>
      <c r="D28">
        <f t="shared" si="0"/>
        <v>5.9524379999999999</v>
      </c>
      <c r="Y28" s="3" t="s">
        <v>60</v>
      </c>
      <c r="Z28" s="11" t="s">
        <v>34</v>
      </c>
      <c r="AA28">
        <v>26</v>
      </c>
      <c r="AB28">
        <v>0.47714126000000001</v>
      </c>
    </row>
    <row r="29" spans="1:28" x14ac:dyDescent="0.25">
      <c r="A29">
        <v>135</v>
      </c>
      <c r="B29">
        <v>9.4492589999999996</v>
      </c>
      <c r="C29">
        <v>7.3024950000000004</v>
      </c>
      <c r="D29">
        <f t="shared" si="0"/>
        <v>2.1467639999999992</v>
      </c>
      <c r="Y29" s="3" t="s">
        <v>61</v>
      </c>
      <c r="Z29" s="11" t="s">
        <v>34</v>
      </c>
      <c r="AA29">
        <v>27</v>
      </c>
      <c r="AB29">
        <v>0.48071303999999998</v>
      </c>
    </row>
    <row r="30" spans="1:28" x14ac:dyDescent="0.25">
      <c r="A30">
        <v>140</v>
      </c>
      <c r="B30">
        <v>12.256629999999999</v>
      </c>
      <c r="C30">
        <v>7.5463680000000002</v>
      </c>
      <c r="D30">
        <f t="shared" si="0"/>
        <v>4.7102619999999993</v>
      </c>
      <c r="Y30" s="3" t="s">
        <v>62</v>
      </c>
      <c r="Z30" s="11" t="s">
        <v>34</v>
      </c>
      <c r="AA30">
        <v>28</v>
      </c>
      <c r="AB30">
        <v>0.48444257000000002</v>
      </c>
    </row>
    <row r="31" spans="1:28" x14ac:dyDescent="0.25">
      <c r="A31">
        <v>145</v>
      </c>
      <c r="B31">
        <v>8.1745070000000002</v>
      </c>
      <c r="C31">
        <v>7.7295720000000001</v>
      </c>
      <c r="D31">
        <f t="shared" si="0"/>
        <v>0.44493500000000008</v>
      </c>
      <c r="Y31" s="3" t="s">
        <v>63</v>
      </c>
      <c r="Z31" s="11" t="s">
        <v>34</v>
      </c>
      <c r="AA31">
        <v>29</v>
      </c>
      <c r="AB31">
        <v>0.48831841999999998</v>
      </c>
    </row>
    <row r="32" spans="1:28" x14ac:dyDescent="0.25">
      <c r="A32">
        <v>150</v>
      </c>
      <c r="B32">
        <v>8.1021730000000005</v>
      </c>
      <c r="C32">
        <v>8.1223259999999993</v>
      </c>
      <c r="D32">
        <f t="shared" si="0"/>
        <v>-2.0152999999998755E-2</v>
      </c>
      <c r="Y32" s="3" t="s">
        <v>64</v>
      </c>
      <c r="Z32" s="11" t="s">
        <v>34</v>
      </c>
      <c r="AA32">
        <v>30</v>
      </c>
      <c r="AB32">
        <v>0.49232917999999998</v>
      </c>
    </row>
    <row r="33" spans="1:28" x14ac:dyDescent="0.25">
      <c r="A33">
        <v>155</v>
      </c>
      <c r="B33">
        <v>12.789210000000001</v>
      </c>
      <c r="C33">
        <v>8.1496049999999993</v>
      </c>
      <c r="D33">
        <f t="shared" si="0"/>
        <v>4.6396050000000013</v>
      </c>
      <c r="Y33" s="3" t="s">
        <v>65</v>
      </c>
      <c r="Z33" s="11" t="s">
        <v>34</v>
      </c>
      <c r="AA33">
        <v>31</v>
      </c>
      <c r="AB33">
        <v>0.49646339</v>
      </c>
    </row>
    <row r="34" spans="1:28" x14ac:dyDescent="0.25">
      <c r="A34">
        <v>160</v>
      </c>
      <c r="B34">
        <v>9.0876870000000007</v>
      </c>
      <c r="C34">
        <v>5.9512929999999997</v>
      </c>
      <c r="D34">
        <f t="shared" si="0"/>
        <v>3.136394000000001</v>
      </c>
      <c r="Y34" s="3" t="s">
        <v>66</v>
      </c>
      <c r="Z34" s="11" t="s">
        <v>34</v>
      </c>
      <c r="AA34">
        <v>32</v>
      </c>
      <c r="AB34">
        <v>0.50070963999999996</v>
      </c>
    </row>
    <row r="35" spans="1:28" x14ac:dyDescent="0.25">
      <c r="A35">
        <v>165</v>
      </c>
      <c r="B35">
        <v>11.79851</v>
      </c>
      <c r="C35">
        <v>5.6878859999999998</v>
      </c>
      <c r="D35">
        <f t="shared" si="0"/>
        <v>6.1106240000000005</v>
      </c>
      <c r="Y35" s="3" t="s">
        <v>67</v>
      </c>
      <c r="Z35" s="11" t="s">
        <v>34</v>
      </c>
      <c r="AA35">
        <v>33</v>
      </c>
      <c r="AB35">
        <v>0.50505648999999997</v>
      </c>
    </row>
    <row r="36" spans="1:28" x14ac:dyDescent="0.25">
      <c r="A36">
        <v>170</v>
      </c>
      <c r="B36">
        <v>8.6703709999999994</v>
      </c>
      <c r="C36">
        <v>4.9993600000000002</v>
      </c>
      <c r="D36">
        <f t="shared" si="0"/>
        <v>3.6710109999999991</v>
      </c>
      <c r="Y36" s="3" t="s">
        <v>68</v>
      </c>
      <c r="Z36" s="11" t="s">
        <v>34</v>
      </c>
      <c r="AA36">
        <v>34</v>
      </c>
      <c r="AB36">
        <v>0.50949253000000005</v>
      </c>
    </row>
    <row r="37" spans="1:28" x14ac:dyDescent="0.25">
      <c r="A37">
        <v>175</v>
      </c>
      <c r="B37">
        <v>8.9434959999999997</v>
      </c>
      <c r="C37">
        <v>4.5818570000000003</v>
      </c>
      <c r="D37">
        <f t="shared" si="0"/>
        <v>4.3616389999999994</v>
      </c>
      <c r="Y37" s="3" t="s">
        <v>69</v>
      </c>
      <c r="Z37" s="11" t="s">
        <v>34</v>
      </c>
      <c r="AA37">
        <v>35</v>
      </c>
      <c r="AB37">
        <v>0.51400632000000002</v>
      </c>
    </row>
    <row r="38" spans="1:28" x14ac:dyDescent="0.25">
      <c r="A38">
        <v>180</v>
      </c>
      <c r="B38">
        <v>7.9248640000000004</v>
      </c>
      <c r="C38">
        <v>4.2352939999999997</v>
      </c>
      <c r="D38">
        <f t="shared" si="0"/>
        <v>3.6895700000000007</v>
      </c>
      <c r="Y38" s="3" t="s">
        <v>70</v>
      </c>
      <c r="Z38" s="11" t="s">
        <v>34</v>
      </c>
      <c r="AA38">
        <v>36</v>
      </c>
      <c r="AB38">
        <v>0.51858645000000003</v>
      </c>
    </row>
    <row r="39" spans="1:28" x14ac:dyDescent="0.25">
      <c r="A39">
        <v>185</v>
      </c>
      <c r="B39">
        <v>17.083347</v>
      </c>
      <c r="C39">
        <v>3.9196569999999999</v>
      </c>
      <c r="Y39" s="3" t="s">
        <v>71</v>
      </c>
      <c r="Z39" s="11" t="s">
        <v>34</v>
      </c>
      <c r="AA39">
        <v>37</v>
      </c>
      <c r="AB39">
        <v>0.52322150000000001</v>
      </c>
    </row>
    <row r="40" spans="1:28" x14ac:dyDescent="0.25">
      <c r="A40">
        <v>190</v>
      </c>
      <c r="B40">
        <v>20.167719000000002</v>
      </c>
      <c r="C40">
        <v>4.830349</v>
      </c>
      <c r="Y40" s="3" t="s">
        <v>72</v>
      </c>
      <c r="Z40" s="11" t="s">
        <v>34</v>
      </c>
      <c r="AA40">
        <v>38</v>
      </c>
      <c r="AB40">
        <v>0.52790004000000001</v>
      </c>
    </row>
    <row r="41" spans="1:28" x14ac:dyDescent="0.25">
      <c r="A41">
        <v>195</v>
      </c>
      <c r="B41">
        <v>13.201314</v>
      </c>
      <c r="C41">
        <v>5.0070779999999999</v>
      </c>
      <c r="D41">
        <f t="shared" si="0"/>
        <v>8.1942360000000001</v>
      </c>
      <c r="Y41" s="3" t="s">
        <v>73</v>
      </c>
      <c r="Z41" s="11" t="s">
        <v>34</v>
      </c>
      <c r="AA41">
        <v>39</v>
      </c>
      <c r="AB41">
        <v>0.53261066000000001</v>
      </c>
    </row>
    <row r="42" spans="1:28" x14ac:dyDescent="0.25">
      <c r="A42">
        <v>200</v>
      </c>
      <c r="B42">
        <v>8.6483799999999995</v>
      </c>
      <c r="C42">
        <v>5.8641360000000002</v>
      </c>
      <c r="D42">
        <f t="shared" si="0"/>
        <v>2.7842439999999993</v>
      </c>
      <c r="Y42" s="3" t="s">
        <v>74</v>
      </c>
      <c r="Z42" s="11" t="s">
        <v>34</v>
      </c>
      <c r="AA42">
        <v>40</v>
      </c>
      <c r="AB42">
        <v>0.53734194000000002</v>
      </c>
    </row>
    <row r="43" spans="1:28" x14ac:dyDescent="0.25">
      <c r="A43">
        <v>205</v>
      </c>
      <c r="B43">
        <v>6.6314310000000001</v>
      </c>
      <c r="C43">
        <v>3.989366</v>
      </c>
      <c r="D43">
        <f t="shared" si="0"/>
        <v>2.6420650000000001</v>
      </c>
      <c r="Y43" s="3" t="s">
        <v>75</v>
      </c>
      <c r="Z43" s="11" t="s">
        <v>34</v>
      </c>
      <c r="AA43">
        <v>41</v>
      </c>
      <c r="AB43">
        <v>0.54208246999999998</v>
      </c>
    </row>
    <row r="44" spans="1:28" x14ac:dyDescent="0.25">
      <c r="A44">
        <v>210</v>
      </c>
      <c r="B44">
        <v>7.7683390000000001</v>
      </c>
      <c r="C44">
        <v>4.1308259999999999</v>
      </c>
      <c r="D44">
        <f t="shared" si="0"/>
        <v>3.6375130000000002</v>
      </c>
      <c r="Y44" s="3" t="s">
        <v>76</v>
      </c>
      <c r="Z44" s="11" t="s">
        <v>34</v>
      </c>
      <c r="AA44">
        <v>42</v>
      </c>
      <c r="AB44">
        <v>0.54682085000000002</v>
      </c>
    </row>
    <row r="45" spans="1:28" x14ac:dyDescent="0.25">
      <c r="A45">
        <v>215</v>
      </c>
      <c r="B45">
        <v>6.8897529999999998</v>
      </c>
      <c r="C45">
        <v>3.897173</v>
      </c>
      <c r="D45">
        <f t="shared" si="0"/>
        <v>2.9925799999999998</v>
      </c>
      <c r="Y45" s="3" t="s">
        <v>77</v>
      </c>
      <c r="Z45" s="11" t="s">
        <v>34</v>
      </c>
      <c r="AA45">
        <v>43</v>
      </c>
      <c r="AB45">
        <v>0.55154565</v>
      </c>
    </row>
    <row r="46" spans="1:28" x14ac:dyDescent="0.25">
      <c r="A46">
        <v>220</v>
      </c>
      <c r="B46">
        <v>16.381305999999999</v>
      </c>
      <c r="C46">
        <v>4.7997459999999998</v>
      </c>
      <c r="D46">
        <f t="shared" si="0"/>
        <v>11.58156</v>
      </c>
      <c r="Y46" s="3" t="s">
        <v>78</v>
      </c>
      <c r="Z46" s="11" t="s">
        <v>34</v>
      </c>
      <c r="AA46">
        <v>44</v>
      </c>
      <c r="AB46">
        <v>0.55624549000000001</v>
      </c>
    </row>
    <row r="47" spans="1:28" x14ac:dyDescent="0.25">
      <c r="A47">
        <v>225</v>
      </c>
      <c r="B47">
        <v>9.6337480000000006</v>
      </c>
      <c r="C47">
        <v>4.4120530000000002</v>
      </c>
      <c r="D47">
        <f t="shared" si="0"/>
        <v>5.2216950000000004</v>
      </c>
      <c r="Y47" s="3" t="s">
        <v>79</v>
      </c>
      <c r="Z47" s="11" t="s">
        <v>34</v>
      </c>
      <c r="AA47">
        <v>45</v>
      </c>
      <c r="AB47">
        <v>0.56090894000000002</v>
      </c>
    </row>
    <row r="48" spans="1:28" x14ac:dyDescent="0.25">
      <c r="A48">
        <v>230</v>
      </c>
      <c r="B48">
        <v>11.997413999999999</v>
      </c>
      <c r="C48">
        <v>4.8609470000000004</v>
      </c>
      <c r="D48">
        <f t="shared" si="0"/>
        <v>7.1364669999999988</v>
      </c>
      <c r="Y48" s="3" t="s">
        <v>80</v>
      </c>
      <c r="Z48" s="11" t="s">
        <v>34</v>
      </c>
      <c r="AA48">
        <v>46</v>
      </c>
      <c r="AB48">
        <v>0.56552460000000004</v>
      </c>
    </row>
    <row r="49" spans="1:28" x14ac:dyDescent="0.25">
      <c r="A49">
        <v>235</v>
      </c>
      <c r="B49">
        <v>9.8975679999999997</v>
      </c>
      <c r="C49">
        <v>4.4573</v>
      </c>
      <c r="D49">
        <f t="shared" si="0"/>
        <v>5.4402679999999997</v>
      </c>
      <c r="Y49" s="3" t="s">
        <v>81</v>
      </c>
      <c r="Z49" s="11" t="s">
        <v>34</v>
      </c>
      <c r="AA49">
        <v>47</v>
      </c>
      <c r="AB49">
        <v>0.57008108000000002</v>
      </c>
    </row>
    <row r="50" spans="1:28" x14ac:dyDescent="0.25">
      <c r="A50">
        <v>240</v>
      </c>
      <c r="B50">
        <v>6.8160569999999998</v>
      </c>
      <c r="C50">
        <v>4.843693</v>
      </c>
      <c r="D50">
        <f t="shared" si="0"/>
        <v>1.9723639999999998</v>
      </c>
      <c r="Y50" s="3" t="s">
        <v>82</v>
      </c>
      <c r="Z50" s="11" t="s">
        <v>34</v>
      </c>
      <c r="AA50">
        <v>48</v>
      </c>
      <c r="AB50">
        <v>0.57456697999999995</v>
      </c>
    </row>
    <row r="51" spans="1:28" x14ac:dyDescent="0.25">
      <c r="A51">
        <v>245</v>
      </c>
      <c r="B51">
        <v>12.552166</v>
      </c>
      <c r="C51">
        <v>4.5820270000000001</v>
      </c>
      <c r="D51">
        <f t="shared" si="0"/>
        <v>7.9701389999999996</v>
      </c>
      <c r="Y51" s="3" t="s">
        <v>83</v>
      </c>
      <c r="Z51" s="11" t="s">
        <v>34</v>
      </c>
      <c r="AA51">
        <v>49</v>
      </c>
      <c r="AB51">
        <v>0.57897089999999996</v>
      </c>
    </row>
    <row r="52" spans="1:28" x14ac:dyDescent="0.25">
      <c r="A52">
        <v>250</v>
      </c>
      <c r="B52">
        <v>8.2429640000000006</v>
      </c>
      <c r="C52">
        <v>4.2548199999999996</v>
      </c>
      <c r="D52">
        <f t="shared" si="0"/>
        <v>3.988144000000001</v>
      </c>
      <c r="Y52" s="3" t="s">
        <v>84</v>
      </c>
      <c r="Z52" s="11" t="s">
        <v>34</v>
      </c>
      <c r="AA52">
        <v>50</v>
      </c>
      <c r="AB52">
        <v>0.58328144000000004</v>
      </c>
    </row>
    <row r="53" spans="1:28" x14ac:dyDescent="0.25">
      <c r="A53">
        <v>255</v>
      </c>
      <c r="B53">
        <v>8.0213900000000002</v>
      </c>
      <c r="C53">
        <v>4.452636</v>
      </c>
      <c r="D53">
        <f t="shared" si="0"/>
        <v>3.5687540000000002</v>
      </c>
      <c r="Y53" s="3" t="s">
        <v>85</v>
      </c>
      <c r="Z53" s="11" t="s">
        <v>34</v>
      </c>
      <c r="AA53">
        <v>51</v>
      </c>
      <c r="AB53">
        <v>0.58748719999999999</v>
      </c>
    </row>
    <row r="54" spans="1:28" x14ac:dyDescent="0.25">
      <c r="A54">
        <v>260</v>
      </c>
      <c r="B54">
        <v>8.5117309999999993</v>
      </c>
      <c r="C54">
        <v>4.1505989999999997</v>
      </c>
      <c r="D54">
        <f t="shared" si="0"/>
        <v>4.3611319999999996</v>
      </c>
      <c r="Y54" s="3" t="s">
        <v>86</v>
      </c>
      <c r="Z54" s="11" t="s">
        <v>34</v>
      </c>
      <c r="AA54">
        <v>52</v>
      </c>
      <c r="AB54">
        <v>0.59157680999999995</v>
      </c>
    </row>
    <row r="55" spans="1:28" x14ac:dyDescent="0.25">
      <c r="A55">
        <v>265</v>
      </c>
      <c r="B55">
        <v>7.8853790000000004</v>
      </c>
      <c r="C55">
        <v>3.6895799999999999</v>
      </c>
      <c r="D55">
        <f t="shared" si="0"/>
        <v>4.1957990000000009</v>
      </c>
      <c r="Y55" s="3" t="s">
        <v>87</v>
      </c>
      <c r="Z55" s="11" t="s">
        <v>34</v>
      </c>
      <c r="AA55">
        <v>53</v>
      </c>
      <c r="AB55">
        <v>0.59553884999999995</v>
      </c>
    </row>
    <row r="56" spans="1:28" x14ac:dyDescent="0.25">
      <c r="A56">
        <v>270</v>
      </c>
      <c r="B56">
        <v>7.7174759999999996</v>
      </c>
      <c r="C56">
        <v>4.3453059999999999</v>
      </c>
      <c r="D56">
        <f t="shared" si="0"/>
        <v>3.3721699999999997</v>
      </c>
      <c r="Y56" s="3" t="s">
        <v>88</v>
      </c>
      <c r="Z56" s="11" t="s">
        <v>34</v>
      </c>
      <c r="AA56">
        <v>54</v>
      </c>
      <c r="AB56">
        <v>0.59936195000000003</v>
      </c>
    </row>
    <row r="57" spans="1:28" x14ac:dyDescent="0.25">
      <c r="A57">
        <v>275</v>
      </c>
      <c r="B57">
        <v>8.85914</v>
      </c>
      <c r="C57">
        <v>5.0394829999999997</v>
      </c>
      <c r="D57">
        <f t="shared" si="0"/>
        <v>3.8196570000000003</v>
      </c>
      <c r="Y57" s="3" t="s">
        <v>89</v>
      </c>
      <c r="Z57" s="11" t="s">
        <v>34</v>
      </c>
      <c r="AA57">
        <v>55</v>
      </c>
      <c r="AB57">
        <v>0.60303472000000002</v>
      </c>
    </row>
    <row r="58" spans="1:28" x14ac:dyDescent="0.25">
      <c r="A58">
        <v>280</v>
      </c>
      <c r="B58">
        <v>8.3621470000000002</v>
      </c>
      <c r="C58">
        <v>4.756742</v>
      </c>
      <c r="D58">
        <f t="shared" si="0"/>
        <v>3.6054050000000002</v>
      </c>
      <c r="Y58" s="3" t="s">
        <v>90</v>
      </c>
      <c r="Z58" s="11" t="s">
        <v>34</v>
      </c>
      <c r="AA58">
        <v>56</v>
      </c>
      <c r="AB58">
        <v>0.60654576000000004</v>
      </c>
    </row>
    <row r="59" spans="1:28" x14ac:dyDescent="0.25">
      <c r="A59">
        <v>285</v>
      </c>
      <c r="B59">
        <v>9.5688849999999999</v>
      </c>
      <c r="C59">
        <v>4.5708580000000003</v>
      </c>
      <c r="D59">
        <f t="shared" si="0"/>
        <v>4.9980269999999996</v>
      </c>
      <c r="Y59" s="3" t="s">
        <v>91</v>
      </c>
      <c r="Z59" s="11" t="s">
        <v>34</v>
      </c>
      <c r="AA59">
        <v>57</v>
      </c>
      <c r="AB59">
        <v>0.60988368999999998</v>
      </c>
    </row>
    <row r="60" spans="1:28" x14ac:dyDescent="0.25">
      <c r="A60">
        <v>290</v>
      </c>
      <c r="B60">
        <v>11.013441</v>
      </c>
      <c r="C60">
        <v>4.520848</v>
      </c>
      <c r="D60">
        <f t="shared" si="0"/>
        <v>6.4925930000000003</v>
      </c>
      <c r="Y60" s="3" t="s">
        <v>92</v>
      </c>
      <c r="Z60" s="11" t="s">
        <v>34</v>
      </c>
      <c r="AA60">
        <v>58</v>
      </c>
      <c r="AB60">
        <v>0.61303711999999999</v>
      </c>
    </row>
    <row r="61" spans="1:28" x14ac:dyDescent="0.25">
      <c r="A61">
        <v>295</v>
      </c>
      <c r="B61">
        <v>11.681203999999999</v>
      </c>
      <c r="C61">
        <v>5.0604959999999997</v>
      </c>
      <c r="D61">
        <f t="shared" si="0"/>
        <v>6.6207079999999996</v>
      </c>
      <c r="Y61" s="3" t="s">
        <v>93</v>
      </c>
      <c r="Z61" s="11" t="s">
        <v>34</v>
      </c>
      <c r="AA61">
        <v>59</v>
      </c>
      <c r="AB61">
        <v>0.61599466999999997</v>
      </c>
    </row>
    <row r="62" spans="1:28" x14ac:dyDescent="0.25">
      <c r="A62">
        <v>300</v>
      </c>
      <c r="B62">
        <v>18.786518999999998</v>
      </c>
      <c r="C62">
        <v>4.8467359999999999</v>
      </c>
      <c r="D62">
        <f t="shared" si="0"/>
        <v>13.939782999999998</v>
      </c>
      <c r="Y62" s="3" t="s">
        <v>94</v>
      </c>
      <c r="Z62" s="11" t="s">
        <v>34</v>
      </c>
      <c r="AA62">
        <v>60</v>
      </c>
      <c r="AB62">
        <v>0.61874494999999996</v>
      </c>
    </row>
    <row r="63" spans="1:28" x14ac:dyDescent="0.25">
      <c r="A63">
        <v>305</v>
      </c>
      <c r="B63">
        <v>17.011664</v>
      </c>
      <c r="C63">
        <v>6.0736230000000004</v>
      </c>
      <c r="D63">
        <f t="shared" si="0"/>
        <v>10.938040999999998</v>
      </c>
      <c r="Y63" s="3" t="s">
        <v>95</v>
      </c>
      <c r="Z63" s="11" t="s">
        <v>34</v>
      </c>
      <c r="AA63">
        <v>61</v>
      </c>
      <c r="AB63">
        <v>0.62122820999999995</v>
      </c>
    </row>
    <row r="64" spans="1:28" x14ac:dyDescent="0.25">
      <c r="A64">
        <v>310</v>
      </c>
      <c r="B64">
        <v>13.848523999999999</v>
      </c>
      <c r="C64">
        <v>6.7510289999999999</v>
      </c>
      <c r="D64">
        <f t="shared" si="0"/>
        <v>7.0974949999999994</v>
      </c>
      <c r="Y64" s="3" t="s">
        <v>96</v>
      </c>
      <c r="Z64" s="11" t="s">
        <v>34</v>
      </c>
      <c r="AA64">
        <v>62</v>
      </c>
      <c r="AB64">
        <v>0.62342149000000002</v>
      </c>
    </row>
    <row r="65" spans="1:28" x14ac:dyDescent="0.25">
      <c r="A65">
        <v>315</v>
      </c>
      <c r="B65">
        <v>14.952593</v>
      </c>
      <c r="C65">
        <v>5.5125650000000004</v>
      </c>
      <c r="D65">
        <f t="shared" si="0"/>
        <v>9.4400279999999999</v>
      </c>
      <c r="Y65" s="3" t="s">
        <v>97</v>
      </c>
      <c r="Z65" s="11" t="s">
        <v>34</v>
      </c>
      <c r="AA65">
        <v>63</v>
      </c>
      <c r="AB65">
        <v>0.62536857999999995</v>
      </c>
    </row>
    <row r="66" spans="1:28" x14ac:dyDescent="0.25">
      <c r="A66">
        <v>320</v>
      </c>
      <c r="B66">
        <v>15.838704</v>
      </c>
      <c r="C66">
        <v>5.4744809999999999</v>
      </c>
      <c r="D66">
        <f t="shared" si="0"/>
        <v>10.364222999999999</v>
      </c>
      <c r="Y66" s="3" t="s">
        <v>98</v>
      </c>
      <c r="Z66" s="11" t="s">
        <v>34</v>
      </c>
      <c r="AA66">
        <v>64</v>
      </c>
      <c r="AB66">
        <v>0.62711326999999994</v>
      </c>
    </row>
    <row r="67" spans="1:28" x14ac:dyDescent="0.25">
      <c r="A67">
        <v>325</v>
      </c>
      <c r="B67">
        <v>14.253698</v>
      </c>
      <c r="C67">
        <v>4.3537379999999999</v>
      </c>
      <c r="D67">
        <f t="shared" ref="D67:D73" si="1">-C67+B67</f>
        <v>9.8999600000000001</v>
      </c>
      <c r="Y67" s="3" t="s">
        <v>99</v>
      </c>
      <c r="Z67" s="11" t="s">
        <v>34</v>
      </c>
      <c r="AA67">
        <v>65</v>
      </c>
      <c r="AB67">
        <v>0.62869933</v>
      </c>
    </row>
    <row r="68" spans="1:28" x14ac:dyDescent="0.25">
      <c r="A68">
        <v>330</v>
      </c>
      <c r="B68">
        <v>15.494948000000001</v>
      </c>
      <c r="C68">
        <v>4.684285</v>
      </c>
      <c r="D68">
        <f t="shared" si="1"/>
        <v>10.810663000000002</v>
      </c>
      <c r="Y68" s="3" t="s">
        <v>100</v>
      </c>
      <c r="Z68" s="11" t="s">
        <v>34</v>
      </c>
      <c r="AA68">
        <v>66</v>
      </c>
      <c r="AB68">
        <v>0.63017053999999995</v>
      </c>
    </row>
    <row r="69" spans="1:28" x14ac:dyDescent="0.25">
      <c r="A69">
        <v>335</v>
      </c>
      <c r="B69">
        <v>27.893409999999999</v>
      </c>
      <c r="C69">
        <v>4.5085499999999996</v>
      </c>
      <c r="D69">
        <f t="shared" si="1"/>
        <v>23.38486</v>
      </c>
      <c r="Y69" s="3" t="s">
        <v>101</v>
      </c>
      <c r="Z69" s="11" t="s">
        <v>34</v>
      </c>
      <c r="AA69">
        <v>67</v>
      </c>
      <c r="AB69">
        <v>0.63157067</v>
      </c>
    </row>
    <row r="70" spans="1:28" x14ac:dyDescent="0.25">
      <c r="A70">
        <v>340</v>
      </c>
      <c r="B70">
        <v>34.070945000000002</v>
      </c>
      <c r="C70">
        <v>4.6124150000000004</v>
      </c>
      <c r="D70">
        <f t="shared" si="1"/>
        <v>29.458530000000003</v>
      </c>
      <c r="Y70" s="3" t="s">
        <v>102</v>
      </c>
      <c r="Z70" s="11" t="s">
        <v>34</v>
      </c>
      <c r="AA70">
        <v>68</v>
      </c>
      <c r="AB70">
        <v>0.63294349999999999</v>
      </c>
    </row>
    <row r="71" spans="1:28" x14ac:dyDescent="0.25">
      <c r="A71">
        <v>345</v>
      </c>
      <c r="B71">
        <v>19.398257999999998</v>
      </c>
      <c r="C71">
        <v>4.4505749999999997</v>
      </c>
      <c r="D71">
        <f t="shared" si="1"/>
        <v>14.947682999999998</v>
      </c>
      <c r="Y71" s="3" t="s">
        <v>103</v>
      </c>
      <c r="Z71" s="11" t="s">
        <v>34</v>
      </c>
      <c r="AA71">
        <v>69</v>
      </c>
      <c r="AB71">
        <v>0.63433278999999998</v>
      </c>
    </row>
    <row r="72" spans="1:28" x14ac:dyDescent="0.25">
      <c r="A72">
        <v>350</v>
      </c>
      <c r="B72">
        <v>50.290315999999997</v>
      </c>
      <c r="C72">
        <v>4.2343580000000003</v>
      </c>
      <c r="D72">
        <f t="shared" si="1"/>
        <v>46.055957999999997</v>
      </c>
      <c r="Y72" s="3" t="s">
        <v>104</v>
      </c>
      <c r="Z72" s="11" t="s">
        <v>34</v>
      </c>
      <c r="AA72">
        <v>70</v>
      </c>
      <c r="AB72">
        <v>0.63578232000000001</v>
      </c>
    </row>
    <row r="73" spans="1:28" x14ac:dyDescent="0.25">
      <c r="A73">
        <v>355</v>
      </c>
      <c r="B73">
        <v>90.792085999999998</v>
      </c>
      <c r="C73">
        <v>4.8118299999999996</v>
      </c>
      <c r="D73">
        <f t="shared" si="1"/>
        <v>85.980255999999997</v>
      </c>
      <c r="Y73" s="3" t="s">
        <v>105</v>
      </c>
      <c r="Z73" s="11" t="s">
        <v>34</v>
      </c>
      <c r="AA73">
        <v>71</v>
      </c>
      <c r="AB73">
        <v>0.63733583000000005</v>
      </c>
    </row>
    <row r="74" spans="1:28" x14ac:dyDescent="0.25">
      <c r="Y74" s="3" t="s">
        <v>108</v>
      </c>
      <c r="Z74" s="11" t="s">
        <v>34</v>
      </c>
      <c r="AA74">
        <v>72</v>
      </c>
      <c r="AB74">
        <v>0.63903710000000002</v>
      </c>
    </row>
    <row r="75" spans="1:28" x14ac:dyDescent="0.25">
      <c r="Y75" s="3" t="s">
        <v>109</v>
      </c>
      <c r="Z75" s="11" t="s">
        <v>34</v>
      </c>
      <c r="AA75">
        <v>73</v>
      </c>
      <c r="AB75">
        <v>0.64092989</v>
      </c>
    </row>
    <row r="76" spans="1:28" x14ac:dyDescent="0.25">
      <c r="Y76" s="3" t="s">
        <v>110</v>
      </c>
      <c r="Z76" s="11" t="s">
        <v>34</v>
      </c>
      <c r="AA76">
        <v>74</v>
      </c>
      <c r="AB76">
        <v>0.64305794999999999</v>
      </c>
    </row>
    <row r="77" spans="1:28" x14ac:dyDescent="0.25">
      <c r="Y77" s="3" t="s">
        <v>111</v>
      </c>
      <c r="Z77" s="11" t="s">
        <v>34</v>
      </c>
      <c r="AA77">
        <v>75</v>
      </c>
      <c r="AB77">
        <v>0.64546501999999994</v>
      </c>
    </row>
    <row r="78" spans="1:28" x14ac:dyDescent="0.25">
      <c r="Y78" s="3" t="s">
        <v>112</v>
      </c>
      <c r="Z78" s="11" t="s">
        <v>34</v>
      </c>
      <c r="AA78">
        <v>76</v>
      </c>
      <c r="AB78">
        <v>0.64819484999999999</v>
      </c>
    </row>
    <row r="79" spans="1:28" x14ac:dyDescent="0.25">
      <c r="Y79" s="3" t="s">
        <v>113</v>
      </c>
      <c r="Z79" s="11" t="s">
        <v>34</v>
      </c>
      <c r="AA79">
        <v>77</v>
      </c>
      <c r="AB79">
        <v>0.65129119000000002</v>
      </c>
    </row>
    <row r="80" spans="1:28" x14ac:dyDescent="0.25">
      <c r="Y80" s="3" t="s">
        <v>114</v>
      </c>
      <c r="Z80" s="11" t="s">
        <v>34</v>
      </c>
      <c r="AA80">
        <v>78</v>
      </c>
      <c r="AB80">
        <v>0.65479774000000002</v>
      </c>
    </row>
    <row r="81" spans="25:28" x14ac:dyDescent="0.25">
      <c r="Y81" s="3" t="s">
        <v>115</v>
      </c>
      <c r="Z81" s="11" t="s">
        <v>34</v>
      </c>
      <c r="AA81">
        <v>79</v>
      </c>
      <c r="AB81">
        <v>0.65875824999999999</v>
      </c>
    </row>
    <row r="82" spans="25:28" x14ac:dyDescent="0.25">
      <c r="Y82" s="3" t="s">
        <v>116</v>
      </c>
      <c r="Z82" s="11" t="s">
        <v>34</v>
      </c>
      <c r="AA82">
        <v>80</v>
      </c>
      <c r="AB82">
        <v>0.66321640000000004</v>
      </c>
    </row>
    <row r="83" spans="25:28" x14ac:dyDescent="0.25">
      <c r="Y83" s="3" t="s">
        <v>117</v>
      </c>
      <c r="Z83" s="11" t="s">
        <v>34</v>
      </c>
      <c r="AA83">
        <v>81</v>
      </c>
      <c r="AB83">
        <v>0.66821589999999997</v>
      </c>
    </row>
    <row r="84" spans="25:28" x14ac:dyDescent="0.25">
      <c r="Y84" s="3" t="s">
        <v>118</v>
      </c>
      <c r="Z84" s="11" t="s">
        <v>34</v>
      </c>
      <c r="AA84">
        <v>82</v>
      </c>
      <c r="AB84">
        <v>0.67380041000000002</v>
      </c>
    </row>
    <row r="85" spans="25:28" x14ac:dyDescent="0.25">
      <c r="Y85" s="3" t="s">
        <v>119</v>
      </c>
      <c r="Z85" s="11" t="s">
        <v>34</v>
      </c>
      <c r="AA85">
        <v>83</v>
      </c>
      <c r="AB85">
        <v>0.68001361000000005</v>
      </c>
    </row>
    <row r="86" spans="25:28" x14ac:dyDescent="0.25">
      <c r="Y86" s="3" t="s">
        <v>120</v>
      </c>
      <c r="Z86" s="11" t="s">
        <v>34</v>
      </c>
      <c r="AA86">
        <v>84</v>
      </c>
      <c r="AB86">
        <v>0.68689911999999997</v>
      </c>
    </row>
    <row r="87" spans="25:28" x14ac:dyDescent="0.25">
      <c r="Y87" s="3" t="s">
        <v>121</v>
      </c>
      <c r="Z87" s="11" t="s">
        <v>34</v>
      </c>
      <c r="AA87">
        <v>85</v>
      </c>
      <c r="AB87">
        <v>0.69450056000000004</v>
      </c>
    </row>
    <row r="88" spans="25:28" x14ac:dyDescent="0.25">
      <c r="Y88" s="3" t="s">
        <v>122</v>
      </c>
      <c r="Z88" s="11" t="s">
        <v>34</v>
      </c>
      <c r="AA88">
        <v>86</v>
      </c>
      <c r="AB88">
        <v>0.70286152999999996</v>
      </c>
    </row>
    <row r="89" spans="25:28" x14ac:dyDescent="0.25">
      <c r="Y89" s="3" t="s">
        <v>123</v>
      </c>
      <c r="Z89" s="11" t="s">
        <v>34</v>
      </c>
      <c r="AA89">
        <v>87</v>
      </c>
      <c r="AB89">
        <v>0.71202558000000005</v>
      </c>
    </row>
    <row r="90" spans="25:28" x14ac:dyDescent="0.25">
      <c r="Y90" s="3" t="s">
        <v>124</v>
      </c>
      <c r="Z90" s="11" t="s">
        <v>34</v>
      </c>
      <c r="AA90">
        <v>88</v>
      </c>
      <c r="AB90">
        <v>0.72203624</v>
      </c>
    </row>
    <row r="91" spans="25:28" x14ac:dyDescent="0.25">
      <c r="Y91" s="3" t="s">
        <v>125</v>
      </c>
      <c r="Z91" s="11" t="s">
        <v>34</v>
      </c>
      <c r="AA91">
        <v>89</v>
      </c>
      <c r="AB91">
        <v>0.73293701</v>
      </c>
    </row>
    <row r="92" spans="25:28" x14ac:dyDescent="0.25">
      <c r="Y92" s="3" t="s">
        <v>126</v>
      </c>
      <c r="Z92" s="11" t="s">
        <v>34</v>
      </c>
      <c r="AA92">
        <v>90</v>
      </c>
      <c r="AB92">
        <v>0.74477132999999995</v>
      </c>
    </row>
    <row r="93" spans="25:28" x14ac:dyDescent="0.25">
      <c r="Y93" s="3" t="s">
        <v>127</v>
      </c>
      <c r="Z93" s="11" t="s">
        <v>34</v>
      </c>
      <c r="AA93">
        <v>91</v>
      </c>
      <c r="AB93">
        <v>0.75747403999999996</v>
      </c>
    </row>
    <row r="94" spans="25:28" x14ac:dyDescent="0.25">
      <c r="Y94" s="3" t="s">
        <v>128</v>
      </c>
      <c r="Z94" s="11" t="s">
        <v>34</v>
      </c>
      <c r="AA94">
        <v>92</v>
      </c>
      <c r="AB94">
        <v>0.77094309999999999</v>
      </c>
    </row>
    <row r="95" spans="25:28" x14ac:dyDescent="0.25">
      <c r="Y95" s="3" t="s">
        <v>129</v>
      </c>
      <c r="Z95" s="11" t="s">
        <v>34</v>
      </c>
      <c r="AA95">
        <v>93</v>
      </c>
      <c r="AB95">
        <v>0.78516657999999995</v>
      </c>
    </row>
    <row r="96" spans="25:28" x14ac:dyDescent="0.25">
      <c r="Y96" s="3" t="s">
        <v>130</v>
      </c>
      <c r="Z96" s="11" t="s">
        <v>34</v>
      </c>
      <c r="AA96">
        <v>94</v>
      </c>
      <c r="AB96">
        <v>0.80013257999999998</v>
      </c>
    </row>
    <row r="97" spans="24:28" x14ac:dyDescent="0.25">
      <c r="Y97" s="3" t="s">
        <v>131</v>
      </c>
      <c r="Z97" s="11" t="s">
        <v>34</v>
      </c>
      <c r="AA97">
        <v>95</v>
      </c>
      <c r="AB97">
        <v>0.81582916999999999</v>
      </c>
    </row>
    <row r="98" spans="24:28" x14ac:dyDescent="0.25">
      <c r="Y98" s="3" t="s">
        <v>132</v>
      </c>
      <c r="Z98" s="11" t="s">
        <v>34</v>
      </c>
      <c r="AA98">
        <v>96</v>
      </c>
      <c r="AB98">
        <v>0.83224441000000005</v>
      </c>
    </row>
    <row r="99" spans="24:28" x14ac:dyDescent="0.25">
      <c r="Y99" s="3" t="s">
        <v>133</v>
      </c>
      <c r="Z99" s="11" t="s">
        <v>34</v>
      </c>
      <c r="AA99">
        <v>97</v>
      </c>
      <c r="AB99">
        <v>0.84936635000000005</v>
      </c>
    </row>
    <row r="100" spans="24:28" x14ac:dyDescent="0.25">
      <c r="Y100" s="3" t="s">
        <v>134</v>
      </c>
      <c r="Z100" s="11" t="s">
        <v>34</v>
      </c>
      <c r="AA100">
        <v>98</v>
      </c>
      <c r="AB100">
        <v>0.86718304999999996</v>
      </c>
    </row>
    <row r="101" spans="24:28" x14ac:dyDescent="0.25">
      <c r="X101" t="s">
        <v>135</v>
      </c>
      <c r="Y101" s="3" t="s">
        <v>34</v>
      </c>
      <c r="Z101" s="11">
        <v>99</v>
      </c>
      <c r="AB101">
        <v>0.88568254999999996</v>
      </c>
    </row>
    <row r="102" spans="24:28" x14ac:dyDescent="0.25">
      <c r="X102" t="s">
        <v>136</v>
      </c>
      <c r="Y102" s="3" t="s">
        <v>34</v>
      </c>
      <c r="Z102" s="11">
        <v>100</v>
      </c>
      <c r="AB102">
        <v>0.90485287999999997</v>
      </c>
    </row>
    <row r="103" spans="24:28" x14ac:dyDescent="0.25">
      <c r="X103" t="s">
        <v>137</v>
      </c>
      <c r="Y103" s="3" t="s">
        <v>34</v>
      </c>
      <c r="Z103" s="11">
        <v>101</v>
      </c>
      <c r="AB103">
        <v>0.92468209000000001</v>
      </c>
    </row>
    <row r="104" spans="24:28" x14ac:dyDescent="0.25">
      <c r="X104" t="s">
        <v>138</v>
      </c>
      <c r="Y104" s="3" t="s">
        <v>34</v>
      </c>
      <c r="Z104" s="11">
        <v>102</v>
      </c>
      <c r="AB104">
        <v>0.94515821</v>
      </c>
    </row>
    <row r="105" spans="24:28" x14ac:dyDescent="0.25">
      <c r="X105" t="s">
        <v>139</v>
      </c>
      <c r="Y105" s="3" t="s">
        <v>34</v>
      </c>
      <c r="Z105" s="11">
        <v>103</v>
      </c>
      <c r="AB105">
        <v>0.96626924999999997</v>
      </c>
    </row>
    <row r="106" spans="24:28" x14ac:dyDescent="0.25">
      <c r="X106" t="s">
        <v>140</v>
      </c>
      <c r="Y106" s="3" t="s">
        <v>34</v>
      </c>
      <c r="Z106" s="11">
        <v>104</v>
      </c>
      <c r="AB106">
        <v>0.98800326000000005</v>
      </c>
    </row>
    <row r="107" spans="24:28" x14ac:dyDescent="0.25">
      <c r="X107" t="s">
        <v>141</v>
      </c>
      <c r="Y107" s="3" t="s">
        <v>34</v>
      </c>
      <c r="Z107" s="11">
        <v>105</v>
      </c>
      <c r="AB107">
        <v>1.0103482399999999</v>
      </c>
    </row>
    <row r="108" spans="24:28" x14ac:dyDescent="0.25">
      <c r="X108" t="s">
        <v>142</v>
      </c>
      <c r="Y108" s="3" t="s">
        <v>34</v>
      </c>
      <c r="Z108" s="11">
        <v>106</v>
      </c>
      <c r="AB108">
        <v>1.03329223</v>
      </c>
    </row>
    <row r="109" spans="24:28" x14ac:dyDescent="0.25">
      <c r="X109" t="s">
        <v>143</v>
      </c>
      <c r="Y109" s="3" t="s">
        <v>34</v>
      </c>
      <c r="Z109" s="11">
        <v>107</v>
      </c>
      <c r="AB109">
        <v>1.0568232500000001</v>
      </c>
    </row>
    <row r="110" spans="24:28" x14ac:dyDescent="0.25">
      <c r="X110" t="s">
        <v>144</v>
      </c>
      <c r="Y110" s="3" t="s">
        <v>34</v>
      </c>
      <c r="Z110" s="11">
        <v>108</v>
      </c>
      <c r="AB110">
        <v>1.0809293099999999</v>
      </c>
    </row>
    <row r="111" spans="24:28" x14ac:dyDescent="0.25">
      <c r="X111" t="s">
        <v>145</v>
      </c>
      <c r="Y111" s="3" t="s">
        <v>34</v>
      </c>
      <c r="Z111" s="11">
        <v>109</v>
      </c>
      <c r="AB111">
        <v>1.10559845</v>
      </c>
    </row>
    <row r="112" spans="24:28" x14ac:dyDescent="0.25">
      <c r="X112" t="s">
        <v>146</v>
      </c>
      <c r="Y112" s="3" t="s">
        <v>34</v>
      </c>
      <c r="Z112" s="11">
        <v>110</v>
      </c>
      <c r="AB112">
        <v>1.1308186899999999</v>
      </c>
    </row>
    <row r="113" spans="24:28" x14ac:dyDescent="0.25">
      <c r="X113" t="s">
        <v>147</v>
      </c>
      <c r="Y113" s="3" t="s">
        <v>34</v>
      </c>
      <c r="Z113" s="11">
        <v>111</v>
      </c>
      <c r="AB113">
        <v>1.15657806</v>
      </c>
    </row>
    <row r="114" spans="24:28" x14ac:dyDescent="0.25">
      <c r="X114" t="s">
        <v>148</v>
      </c>
      <c r="Y114" s="3" t="s">
        <v>34</v>
      </c>
      <c r="Z114" s="11">
        <v>112</v>
      </c>
      <c r="AB114">
        <v>1.1828645900000001</v>
      </c>
    </row>
    <row r="115" spans="24:28" x14ac:dyDescent="0.25">
      <c r="X115" t="s">
        <v>149</v>
      </c>
      <c r="Y115" s="3" t="s">
        <v>34</v>
      </c>
      <c r="Z115" s="11">
        <v>113</v>
      </c>
      <c r="AB115">
        <v>1.20966631</v>
      </c>
    </row>
    <row r="116" spans="24:28" x14ac:dyDescent="0.25">
      <c r="X116" t="s">
        <v>150</v>
      </c>
      <c r="Y116" s="3" t="s">
        <v>34</v>
      </c>
      <c r="Z116" s="11">
        <v>114</v>
      </c>
      <c r="AB116">
        <v>1.23697126</v>
      </c>
    </row>
    <row r="117" spans="24:28" x14ac:dyDescent="0.25">
      <c r="X117" t="s">
        <v>151</v>
      </c>
      <c r="Y117" s="3" t="s">
        <v>34</v>
      </c>
      <c r="Z117" s="11">
        <v>115</v>
      </c>
      <c r="AB117">
        <v>1.2647674900000001</v>
      </c>
    </row>
    <row r="118" spans="24:28" x14ac:dyDescent="0.25">
      <c r="X118" t="s">
        <v>152</v>
      </c>
      <c r="Y118" s="3" t="s">
        <v>34</v>
      </c>
      <c r="Z118" s="11">
        <v>116</v>
      </c>
      <c r="AB118">
        <v>1.2930430399999999</v>
      </c>
    </row>
    <row r="119" spans="24:28" x14ac:dyDescent="0.25">
      <c r="X119" t="s">
        <v>153</v>
      </c>
      <c r="Y119" s="3" t="s">
        <v>34</v>
      </c>
      <c r="Z119" s="11">
        <v>117</v>
      </c>
      <c r="AB119">
        <v>1.3217859599999999</v>
      </c>
    </row>
    <row r="120" spans="24:28" x14ac:dyDescent="0.25">
      <c r="X120" t="s">
        <v>154</v>
      </c>
      <c r="Y120" s="3" t="s">
        <v>34</v>
      </c>
      <c r="Z120" s="11">
        <v>118</v>
      </c>
      <c r="AB120">
        <v>1.35098433</v>
      </c>
    </row>
    <row r="121" spans="24:28" x14ac:dyDescent="0.25">
      <c r="X121" t="s">
        <v>155</v>
      </c>
      <c r="Y121" s="3" t="s">
        <v>34</v>
      </c>
      <c r="Z121" s="11">
        <v>119</v>
      </c>
      <c r="AB121">
        <v>1.3806261900000001</v>
      </c>
    </row>
    <row r="122" spans="24:28" x14ac:dyDescent="0.25">
      <c r="X122" t="s">
        <v>156</v>
      </c>
      <c r="Y122" s="3" t="s">
        <v>34</v>
      </c>
      <c r="Z122" s="11">
        <v>120</v>
      </c>
      <c r="AB122">
        <v>1.4106996300000001</v>
      </c>
    </row>
    <row r="123" spans="24:28" x14ac:dyDescent="0.25">
      <c r="X123" t="s">
        <v>157</v>
      </c>
      <c r="Y123" s="3" t="s">
        <v>34</v>
      </c>
      <c r="Z123" s="11">
        <v>121</v>
      </c>
      <c r="AB123">
        <v>1.44119273</v>
      </c>
    </row>
    <row r="124" spans="24:28" x14ac:dyDescent="0.25">
      <c r="X124" t="s">
        <v>158</v>
      </c>
      <c r="Y124" s="3" t="s">
        <v>34</v>
      </c>
      <c r="Z124" s="11">
        <v>122</v>
      </c>
      <c r="AB124">
        <v>1.47209357</v>
      </c>
    </row>
    <row r="125" spans="24:28" x14ac:dyDescent="0.25">
      <c r="X125" t="s">
        <v>159</v>
      </c>
      <c r="Y125" s="3" t="s">
        <v>34</v>
      </c>
      <c r="Z125" s="11">
        <v>123</v>
      </c>
      <c r="AB125">
        <v>1.50339026</v>
      </c>
    </row>
    <row r="126" spans="24:28" x14ac:dyDescent="0.25">
      <c r="X126" t="s">
        <v>160</v>
      </c>
      <c r="Y126" s="3" t="s">
        <v>34</v>
      </c>
      <c r="Z126" s="11">
        <v>124</v>
      </c>
      <c r="AB126">
        <v>1.5350709</v>
      </c>
    </row>
    <row r="127" spans="24:28" x14ac:dyDescent="0.25">
      <c r="X127" t="s">
        <v>161</v>
      </c>
      <c r="Y127" s="3" t="s">
        <v>34</v>
      </c>
      <c r="Z127" s="11">
        <v>125</v>
      </c>
      <c r="AB127">
        <v>1.5671236099999999</v>
      </c>
    </row>
    <row r="128" spans="24:28" x14ac:dyDescent="0.25">
      <c r="X128" t="s">
        <v>162</v>
      </c>
      <c r="Y128" s="3" t="s">
        <v>34</v>
      </c>
      <c r="Z128" s="11">
        <v>126</v>
      </c>
      <c r="AB128">
        <v>1.5995365100000001</v>
      </c>
    </row>
    <row r="129" spans="24:28" x14ac:dyDescent="0.25">
      <c r="X129" t="s">
        <v>163</v>
      </c>
      <c r="Y129" s="3" t="s">
        <v>34</v>
      </c>
      <c r="Z129" s="11">
        <v>127</v>
      </c>
      <c r="AB129">
        <v>1.6322977400000001</v>
      </c>
    </row>
    <row r="130" spans="24:28" x14ac:dyDescent="0.25">
      <c r="X130" t="s">
        <v>164</v>
      </c>
      <c r="Y130" s="3" t="s">
        <v>34</v>
      </c>
      <c r="Z130" s="11">
        <v>128</v>
      </c>
      <c r="AB130">
        <v>1.6653954399999999</v>
      </c>
    </row>
    <row r="131" spans="24:28" x14ac:dyDescent="0.25">
      <c r="X131" t="s">
        <v>165</v>
      </c>
      <c r="Y131" s="3" t="s">
        <v>34</v>
      </c>
      <c r="Z131" s="11">
        <v>129</v>
      </c>
      <c r="AB131">
        <v>1.6988177799999999</v>
      </c>
    </row>
    <row r="132" spans="24:28" x14ac:dyDescent="0.25">
      <c r="X132" t="s">
        <v>166</v>
      </c>
      <c r="Y132" s="3" t="s">
        <v>34</v>
      </c>
      <c r="Z132" s="11">
        <v>130</v>
      </c>
      <c r="AB132">
        <v>1.7325529200000001</v>
      </c>
    </row>
    <row r="133" spans="24:28" x14ac:dyDescent="0.25">
      <c r="X133" t="s">
        <v>167</v>
      </c>
      <c r="Y133" s="3" t="s">
        <v>34</v>
      </c>
      <c r="Z133" s="11">
        <v>131</v>
      </c>
      <c r="AB133">
        <v>1.7665890500000001</v>
      </c>
    </row>
    <row r="134" spans="24:28" x14ac:dyDescent="0.25">
      <c r="X134" t="s">
        <v>168</v>
      </c>
      <c r="Y134" s="3" t="s">
        <v>34</v>
      </c>
      <c r="Z134" s="11">
        <v>132</v>
      </c>
      <c r="AB134">
        <v>1.80091435</v>
      </c>
    </row>
    <row r="135" spans="24:28" x14ac:dyDescent="0.25">
      <c r="X135" t="s">
        <v>169</v>
      </c>
      <c r="Y135" s="3" t="s">
        <v>34</v>
      </c>
      <c r="Z135" s="11">
        <v>133</v>
      </c>
      <c r="AB135">
        <v>1.83551704</v>
      </c>
    </row>
    <row r="136" spans="24:28" x14ac:dyDescent="0.25">
      <c r="X136" t="s">
        <v>170</v>
      </c>
      <c r="Y136" s="3" t="s">
        <v>34</v>
      </c>
      <c r="Z136" s="11">
        <v>134</v>
      </c>
      <c r="AB136">
        <v>1.87038532</v>
      </c>
    </row>
    <row r="137" spans="24:28" x14ac:dyDescent="0.25">
      <c r="X137" t="s">
        <v>171</v>
      </c>
      <c r="Y137" s="3" t="s">
        <v>34</v>
      </c>
      <c r="Z137" s="11">
        <v>135</v>
      </c>
      <c r="AB137">
        <v>1.9055074400000001</v>
      </c>
    </row>
    <row r="138" spans="24:28" x14ac:dyDescent="0.25">
      <c r="X138" t="s">
        <v>172</v>
      </c>
      <c r="Y138" s="3" t="s">
        <v>34</v>
      </c>
      <c r="Z138" s="11">
        <v>136</v>
      </c>
      <c r="AB138">
        <v>1.94087163</v>
      </c>
    </row>
    <row r="139" spans="24:28" x14ac:dyDescent="0.25">
      <c r="X139" t="s">
        <v>173</v>
      </c>
      <c r="Y139" s="3" t="s">
        <v>34</v>
      </c>
      <c r="Z139" s="11">
        <v>137</v>
      </c>
      <c r="AB139">
        <v>1.97646615</v>
      </c>
    </row>
    <row r="140" spans="24:28" x14ac:dyDescent="0.25">
      <c r="X140" t="s">
        <v>174</v>
      </c>
      <c r="Y140" s="3" t="s">
        <v>34</v>
      </c>
      <c r="Z140" s="11">
        <v>138</v>
      </c>
      <c r="AB140">
        <v>2.01227928</v>
      </c>
    </row>
    <row r="141" spans="24:28" x14ac:dyDescent="0.25">
      <c r="X141" t="s">
        <v>175</v>
      </c>
      <c r="Y141" s="3" t="s">
        <v>34</v>
      </c>
      <c r="Z141" s="11">
        <v>139</v>
      </c>
      <c r="AB141">
        <v>2.0482992900000001</v>
      </c>
    </row>
    <row r="142" spans="24:28" x14ac:dyDescent="0.25">
      <c r="X142" t="s">
        <v>176</v>
      </c>
      <c r="Y142" s="3" t="s">
        <v>34</v>
      </c>
      <c r="Z142" s="11">
        <v>140</v>
      </c>
      <c r="AB142">
        <v>2.0845144900000001</v>
      </c>
    </row>
    <row r="143" spans="24:28" x14ac:dyDescent="0.25">
      <c r="X143" t="s">
        <v>177</v>
      </c>
      <c r="Y143" s="3" t="s">
        <v>34</v>
      </c>
      <c r="Z143" s="11">
        <v>141</v>
      </c>
      <c r="AB143">
        <v>2.12091319</v>
      </c>
    </row>
    <row r="144" spans="24:28" x14ac:dyDescent="0.25">
      <c r="X144" t="s">
        <v>178</v>
      </c>
      <c r="Y144" s="3" t="s">
        <v>34</v>
      </c>
      <c r="Z144" s="11">
        <v>142</v>
      </c>
      <c r="AB144">
        <v>2.15748373</v>
      </c>
    </row>
    <row r="145" spans="24:28" x14ac:dyDescent="0.25">
      <c r="X145" t="s">
        <v>179</v>
      </c>
      <c r="Y145" s="3" t="s">
        <v>34</v>
      </c>
      <c r="Z145" s="11">
        <v>143</v>
      </c>
      <c r="AB145">
        <v>2.1942144300000002</v>
      </c>
    </row>
    <row r="146" spans="24:28" x14ac:dyDescent="0.25">
      <c r="X146" t="s">
        <v>180</v>
      </c>
      <c r="Y146" s="3" t="s">
        <v>34</v>
      </c>
      <c r="Z146" s="11">
        <v>144</v>
      </c>
      <c r="AB146">
        <v>2.2310936699999999</v>
      </c>
    </row>
    <row r="147" spans="24:28" x14ac:dyDescent="0.25">
      <c r="X147" t="s">
        <v>181</v>
      </c>
      <c r="Y147" s="3" t="s">
        <v>34</v>
      </c>
      <c r="Z147" s="11">
        <v>145</v>
      </c>
      <c r="AB147">
        <v>2.2681098199999998</v>
      </c>
    </row>
    <row r="148" spans="24:28" x14ac:dyDescent="0.25">
      <c r="X148" t="s">
        <v>182</v>
      </c>
      <c r="Y148" s="3" t="s">
        <v>34</v>
      </c>
      <c r="Z148" s="11">
        <v>146</v>
      </c>
      <c r="AB148">
        <v>2.30525125</v>
      </c>
    </row>
    <row r="149" spans="24:28" x14ac:dyDescent="0.25">
      <c r="X149" t="s">
        <v>183</v>
      </c>
      <c r="Y149" s="3" t="s">
        <v>34</v>
      </c>
      <c r="Z149" s="11">
        <v>147</v>
      </c>
      <c r="AB149">
        <v>2.34250639</v>
      </c>
    </row>
    <row r="150" spans="24:28" x14ac:dyDescent="0.25">
      <c r="X150" t="s">
        <v>184</v>
      </c>
      <c r="Y150" s="3" t="s">
        <v>34</v>
      </c>
      <c r="Z150" s="11">
        <v>148</v>
      </c>
      <c r="AB150">
        <v>2.3798636499999999</v>
      </c>
    </row>
    <row r="151" spans="24:28" x14ac:dyDescent="0.25">
      <c r="X151" t="s">
        <v>185</v>
      </c>
      <c r="Y151" s="3" t="s">
        <v>34</v>
      </c>
      <c r="Z151" s="11">
        <v>149</v>
      </c>
      <c r="AB151">
        <v>2.4173114600000001</v>
      </c>
    </row>
    <row r="152" spans="24:28" x14ac:dyDescent="0.25">
      <c r="X152" t="s">
        <v>186</v>
      </c>
      <c r="Y152" s="3" t="s">
        <v>34</v>
      </c>
      <c r="Z152" s="11">
        <v>150</v>
      </c>
      <c r="AB152">
        <v>2.4548382800000002</v>
      </c>
    </row>
    <row r="153" spans="24:28" x14ac:dyDescent="0.25">
      <c r="X153" t="s">
        <v>187</v>
      </c>
      <c r="Y153" s="3" t="s">
        <v>34</v>
      </c>
      <c r="Z153" s="11">
        <v>151</v>
      </c>
      <c r="AB153">
        <v>2.4924325700000001</v>
      </c>
    </row>
    <row r="154" spans="24:28" x14ac:dyDescent="0.25">
      <c r="X154" t="s">
        <v>188</v>
      </c>
      <c r="Y154" s="3" t="s">
        <v>34</v>
      </c>
      <c r="Z154" s="11">
        <v>152</v>
      </c>
      <c r="AB154">
        <v>2.5300828200000001</v>
      </c>
    </row>
    <row r="155" spans="24:28" x14ac:dyDescent="0.25">
      <c r="X155" t="s">
        <v>189</v>
      </c>
      <c r="Y155" s="3" t="s">
        <v>34</v>
      </c>
      <c r="Z155" s="11">
        <v>153</v>
      </c>
      <c r="AB155">
        <v>2.5677775299999999</v>
      </c>
    </row>
    <row r="156" spans="24:28" x14ac:dyDescent="0.25">
      <c r="X156" t="s">
        <v>190</v>
      </c>
      <c r="Y156" s="3" t="s">
        <v>34</v>
      </c>
      <c r="Z156" s="11">
        <v>154</v>
      </c>
      <c r="AB156">
        <v>2.60550521</v>
      </c>
    </row>
    <row r="157" spans="24:28" x14ac:dyDescent="0.25">
      <c r="X157" t="s">
        <v>191</v>
      </c>
      <c r="Y157" s="3" t="s">
        <v>34</v>
      </c>
      <c r="Z157" s="11">
        <v>155</v>
      </c>
      <c r="AB157">
        <v>2.6432544</v>
      </c>
    </row>
    <row r="158" spans="24:28" x14ac:dyDescent="0.25">
      <c r="X158" t="s">
        <v>192</v>
      </c>
      <c r="Y158" s="3" t="s">
        <v>34</v>
      </c>
      <c r="Z158" s="11">
        <v>156</v>
      </c>
      <c r="AB158">
        <v>2.6810136400000002</v>
      </c>
    </row>
    <row r="159" spans="24:28" x14ac:dyDescent="0.25">
      <c r="X159" t="s">
        <v>193</v>
      </c>
      <c r="Y159" s="3" t="s">
        <v>34</v>
      </c>
      <c r="Z159" s="11">
        <v>157</v>
      </c>
      <c r="AB159">
        <v>2.7187715099999998</v>
      </c>
    </row>
    <row r="160" spans="24:28" x14ac:dyDescent="0.25">
      <c r="X160" t="s">
        <v>194</v>
      </c>
      <c r="Y160" s="3" t="s">
        <v>34</v>
      </c>
      <c r="Z160" s="11">
        <v>158</v>
      </c>
      <c r="AB160">
        <v>2.7565165700000001</v>
      </c>
    </row>
    <row r="161" spans="24:28" x14ac:dyDescent="0.25">
      <c r="X161" t="s">
        <v>195</v>
      </c>
      <c r="Y161" s="3" t="s">
        <v>34</v>
      </c>
      <c r="Z161" s="11">
        <v>159</v>
      </c>
      <c r="AB161">
        <v>2.79423742</v>
      </c>
    </row>
    <row r="162" spans="24:28" x14ac:dyDescent="0.25">
      <c r="X162" t="s">
        <v>196</v>
      </c>
      <c r="Y162" s="3" t="s">
        <v>34</v>
      </c>
      <c r="Z162" s="11">
        <v>160</v>
      </c>
      <c r="AB162">
        <v>2.8319226899999999</v>
      </c>
    </row>
    <row r="163" spans="24:28" x14ac:dyDescent="0.25">
      <c r="X163" t="s">
        <v>197</v>
      </c>
      <c r="Y163" s="3" t="s">
        <v>34</v>
      </c>
      <c r="Z163" s="11">
        <v>161</v>
      </c>
      <c r="AB163">
        <v>2.869561</v>
      </c>
    </row>
    <row r="164" spans="24:28" x14ac:dyDescent="0.25">
      <c r="X164" t="s">
        <v>198</v>
      </c>
      <c r="Y164" s="3" t="s">
        <v>34</v>
      </c>
      <c r="Z164" s="11">
        <v>162</v>
      </c>
      <c r="AB164">
        <v>2.9071409899999998</v>
      </c>
    </row>
    <row r="165" spans="24:28" x14ac:dyDescent="0.25">
      <c r="X165" t="s">
        <v>199</v>
      </c>
      <c r="Y165" s="3" t="s">
        <v>34</v>
      </c>
      <c r="Z165" s="11">
        <v>163</v>
      </c>
      <c r="AB165">
        <v>2.9446513300000001</v>
      </c>
    </row>
    <row r="166" spans="24:28" x14ac:dyDescent="0.25">
      <c r="X166" t="s">
        <v>200</v>
      </c>
      <c r="Y166" s="3" t="s">
        <v>34</v>
      </c>
      <c r="Z166" s="11">
        <v>164</v>
      </c>
      <c r="AB166">
        <v>2.9820806900000001</v>
      </c>
    </row>
    <row r="167" spans="24:28" x14ac:dyDescent="0.25">
      <c r="X167" t="s">
        <v>201</v>
      </c>
      <c r="Y167" s="3" t="s">
        <v>34</v>
      </c>
      <c r="Z167" s="11">
        <v>165</v>
      </c>
      <c r="AB167">
        <v>3.01941777</v>
      </c>
    </row>
    <row r="168" spans="24:28" x14ac:dyDescent="0.25">
      <c r="X168" t="s">
        <v>202</v>
      </c>
      <c r="Y168" s="3" t="s">
        <v>34</v>
      </c>
      <c r="Z168" s="11">
        <v>166</v>
      </c>
      <c r="AB168">
        <v>3.0566512800000001</v>
      </c>
    </row>
    <row r="169" spans="24:28" x14ac:dyDescent="0.25">
      <c r="X169" t="s">
        <v>203</v>
      </c>
      <c r="Y169" s="3" t="s">
        <v>34</v>
      </c>
      <c r="Z169" s="11">
        <v>167</v>
      </c>
      <c r="AB169">
        <v>3.0937699400000001</v>
      </c>
    </row>
    <row r="170" spans="24:28" x14ac:dyDescent="0.25">
      <c r="X170" t="s">
        <v>204</v>
      </c>
      <c r="Y170" s="3" t="s">
        <v>34</v>
      </c>
      <c r="Z170" s="11">
        <v>168</v>
      </c>
      <c r="AB170">
        <v>3.13076249</v>
      </c>
    </row>
    <row r="171" spans="24:28" x14ac:dyDescent="0.25">
      <c r="X171" t="s">
        <v>205</v>
      </c>
      <c r="Y171" s="3" t="s">
        <v>34</v>
      </c>
      <c r="Z171" s="11">
        <v>169</v>
      </c>
      <c r="AB171">
        <v>3.1676177000000001</v>
      </c>
    </row>
    <row r="172" spans="24:28" x14ac:dyDescent="0.25">
      <c r="X172" t="s">
        <v>206</v>
      </c>
      <c r="Y172" s="3" t="s">
        <v>34</v>
      </c>
      <c r="Z172" s="11">
        <v>170</v>
      </c>
      <c r="AB172">
        <v>3.2043243299999999</v>
      </c>
    </row>
    <row r="173" spans="24:28" x14ac:dyDescent="0.25">
      <c r="X173" t="s">
        <v>207</v>
      </c>
      <c r="Y173" s="3" t="s">
        <v>34</v>
      </c>
      <c r="Z173" s="11">
        <v>171</v>
      </c>
      <c r="AB173">
        <v>3.2408711600000002</v>
      </c>
    </row>
    <row r="174" spans="24:28" x14ac:dyDescent="0.25">
      <c r="X174" t="s">
        <v>208</v>
      </c>
      <c r="Y174" s="3" t="s">
        <v>34</v>
      </c>
      <c r="Z174" s="11">
        <v>172</v>
      </c>
      <c r="AB174">
        <v>3.27724701</v>
      </c>
    </row>
    <row r="175" spans="24:28" x14ac:dyDescent="0.25">
      <c r="X175" t="s">
        <v>209</v>
      </c>
      <c r="Y175" s="3" t="s">
        <v>34</v>
      </c>
      <c r="Z175" s="11">
        <v>173</v>
      </c>
      <c r="AB175">
        <v>3.3134406799999998</v>
      </c>
    </row>
    <row r="176" spans="24:28" x14ac:dyDescent="0.25">
      <c r="X176" t="s">
        <v>210</v>
      </c>
      <c r="Y176" s="3" t="s">
        <v>34</v>
      </c>
      <c r="Z176" s="11">
        <v>174</v>
      </c>
      <c r="AB176">
        <v>3.34944102</v>
      </c>
    </row>
    <row r="177" spans="24:28" x14ac:dyDescent="0.25">
      <c r="X177" t="s">
        <v>211</v>
      </c>
      <c r="Y177" s="3" t="s">
        <v>34</v>
      </c>
      <c r="Z177" s="11">
        <v>175</v>
      </c>
      <c r="AB177">
        <v>3.38523686</v>
      </c>
    </row>
    <row r="178" spans="24:28" x14ac:dyDescent="0.25">
      <c r="X178" t="s">
        <v>212</v>
      </c>
      <c r="Y178" s="3" t="s">
        <v>34</v>
      </c>
      <c r="Z178" s="11">
        <v>176</v>
      </c>
      <c r="AB178">
        <v>3.42081707</v>
      </c>
    </row>
    <row r="179" spans="24:28" x14ac:dyDescent="0.25">
      <c r="X179" t="s">
        <v>213</v>
      </c>
      <c r="Y179" s="3" t="s">
        <v>34</v>
      </c>
      <c r="Z179" s="11">
        <v>177</v>
      </c>
      <c r="AB179">
        <v>3.4561705100000002</v>
      </c>
    </row>
    <row r="180" spans="24:28" x14ac:dyDescent="0.25">
      <c r="X180" t="s">
        <v>214</v>
      </c>
      <c r="Y180" s="3" t="s">
        <v>34</v>
      </c>
      <c r="Z180" s="11">
        <v>178</v>
      </c>
      <c r="AB180">
        <v>3.49128609</v>
      </c>
    </row>
    <row r="181" spans="24:28" x14ac:dyDescent="0.25">
      <c r="X181" t="s">
        <v>215</v>
      </c>
      <c r="Y181" s="3" t="s">
        <v>34</v>
      </c>
      <c r="Z181" s="11">
        <v>179</v>
      </c>
      <c r="AB181">
        <v>3.52615269</v>
      </c>
    </row>
    <row r="182" spans="24:28" x14ac:dyDescent="0.25">
      <c r="X182" t="s">
        <v>216</v>
      </c>
      <c r="Y182" s="3" t="s">
        <v>34</v>
      </c>
      <c r="Z182" s="11">
        <v>180</v>
      </c>
      <c r="AB182">
        <v>3.5607592499999998</v>
      </c>
    </row>
    <row r="183" spans="24:28" x14ac:dyDescent="0.25">
      <c r="X183" t="s">
        <v>217</v>
      </c>
      <c r="Y183" s="3" t="s">
        <v>34</v>
      </c>
      <c r="Z183" s="11">
        <v>181</v>
      </c>
      <c r="AB183">
        <v>3.5950946699999999</v>
      </c>
    </row>
    <row r="184" spans="24:28" x14ac:dyDescent="0.25">
      <c r="X184" t="s">
        <v>218</v>
      </c>
      <c r="Y184" s="3" t="s">
        <v>34</v>
      </c>
      <c r="Z184" s="11">
        <v>182</v>
      </c>
      <c r="AB184">
        <v>3.6291479099999999</v>
      </c>
    </row>
    <row r="185" spans="24:28" x14ac:dyDescent="0.25">
      <c r="X185" t="s">
        <v>219</v>
      </c>
      <c r="Y185" s="3" t="s">
        <v>34</v>
      </c>
      <c r="Z185" s="11">
        <v>183</v>
      </c>
      <c r="AB185">
        <v>3.6629079199999999</v>
      </c>
    </row>
    <row r="186" spans="24:28" x14ac:dyDescent="0.25">
      <c r="X186" t="s">
        <v>220</v>
      </c>
      <c r="Y186" s="3" t="s">
        <v>34</v>
      </c>
      <c r="Z186" s="11">
        <v>184</v>
      </c>
      <c r="AB186">
        <v>3.6963636700000002</v>
      </c>
    </row>
    <row r="187" spans="24:28" x14ac:dyDescent="0.25">
      <c r="X187" t="s">
        <v>221</v>
      </c>
      <c r="Y187" s="3" t="s">
        <v>34</v>
      </c>
      <c r="Z187" s="11">
        <v>185</v>
      </c>
      <c r="AB187">
        <v>3.7295041200000001</v>
      </c>
    </row>
    <row r="188" spans="24:28" x14ac:dyDescent="0.25">
      <c r="X188" t="s">
        <v>222</v>
      </c>
      <c r="Y188" s="3" t="s">
        <v>34</v>
      </c>
      <c r="Z188" s="11">
        <v>186</v>
      </c>
      <c r="AB188">
        <v>3.7623182800000001</v>
      </c>
    </row>
    <row r="189" spans="24:28" x14ac:dyDescent="0.25">
      <c r="X189" t="s">
        <v>223</v>
      </c>
      <c r="Y189" s="3" t="s">
        <v>34</v>
      </c>
      <c r="Z189" s="11">
        <v>187</v>
      </c>
      <c r="AB189">
        <v>3.7947951299999998</v>
      </c>
    </row>
    <row r="190" spans="24:28" x14ac:dyDescent="0.25">
      <c r="X190" t="s">
        <v>224</v>
      </c>
      <c r="Y190" s="3" t="s">
        <v>34</v>
      </c>
      <c r="Z190" s="11">
        <v>188</v>
      </c>
      <c r="AB190">
        <v>3.8269237</v>
      </c>
    </row>
    <row r="191" spans="24:28" x14ac:dyDescent="0.25">
      <c r="X191" t="s">
        <v>225</v>
      </c>
      <c r="Y191" s="3" t="s">
        <v>34</v>
      </c>
      <c r="Z191" s="11">
        <v>189</v>
      </c>
      <c r="AB191">
        <v>3.8586930000000002</v>
      </c>
    </row>
    <row r="192" spans="24:28" x14ac:dyDescent="0.25">
      <c r="X192" t="s">
        <v>226</v>
      </c>
      <c r="Y192" s="3" t="s">
        <v>34</v>
      </c>
      <c r="Z192" s="11">
        <v>190</v>
      </c>
      <c r="AB192">
        <v>3.8900920600000002</v>
      </c>
    </row>
    <row r="193" spans="24:28" x14ac:dyDescent="0.25">
      <c r="X193" t="s">
        <v>227</v>
      </c>
      <c r="Y193" s="3" t="s">
        <v>34</v>
      </c>
      <c r="Z193" s="11">
        <v>191</v>
      </c>
      <c r="AB193">
        <v>3.9211099300000001</v>
      </c>
    </row>
    <row r="194" spans="24:28" x14ac:dyDescent="0.25">
      <c r="X194" t="s">
        <v>228</v>
      </c>
      <c r="Y194" s="3" t="s">
        <v>34</v>
      </c>
      <c r="Z194" s="11">
        <v>192</v>
      </c>
      <c r="AB194">
        <v>3.9517356600000002</v>
      </c>
    </row>
    <row r="195" spans="24:28" x14ac:dyDescent="0.25">
      <c r="X195" t="s">
        <v>229</v>
      </c>
      <c r="Y195" s="3" t="s">
        <v>34</v>
      </c>
      <c r="Z195" s="11">
        <v>193</v>
      </c>
      <c r="AB195">
        <v>3.9819583000000001</v>
      </c>
    </row>
    <row r="196" spans="24:28" x14ac:dyDescent="0.25">
      <c r="X196" t="s">
        <v>230</v>
      </c>
      <c r="Y196" s="3" t="s">
        <v>34</v>
      </c>
      <c r="Z196" s="11">
        <v>194</v>
      </c>
      <c r="AB196">
        <v>4.0117669200000003</v>
      </c>
    </row>
    <row r="197" spans="24:28" x14ac:dyDescent="0.25">
      <c r="X197" t="s">
        <v>231</v>
      </c>
      <c r="Y197" s="3" t="s">
        <v>34</v>
      </c>
      <c r="Z197" s="11">
        <v>195</v>
      </c>
      <c r="AB197">
        <v>4.0411506099999999</v>
      </c>
    </row>
    <row r="198" spans="24:28" x14ac:dyDescent="0.25">
      <c r="X198" t="s">
        <v>232</v>
      </c>
      <c r="Y198" s="3" t="s">
        <v>34</v>
      </c>
      <c r="Z198" s="11">
        <v>196</v>
      </c>
      <c r="AB198">
        <v>4.0700984299999998</v>
      </c>
    </row>
    <row r="199" spans="24:28" x14ac:dyDescent="0.25">
      <c r="X199" t="s">
        <v>233</v>
      </c>
      <c r="Y199" s="3" t="s">
        <v>34</v>
      </c>
      <c r="Z199" s="11">
        <v>197</v>
      </c>
      <c r="AB199">
        <v>4.0985994899999998</v>
      </c>
    </row>
    <row r="200" spans="24:28" x14ac:dyDescent="0.25">
      <c r="X200" t="s">
        <v>234</v>
      </c>
      <c r="Y200" s="3" t="s">
        <v>34</v>
      </c>
      <c r="Z200" s="11">
        <v>198</v>
      </c>
      <c r="AB200">
        <v>4.1266428800000003</v>
      </c>
    </row>
    <row r="201" spans="24:28" x14ac:dyDescent="0.25">
      <c r="X201" t="s">
        <v>235</v>
      </c>
      <c r="Y201" s="3" t="s">
        <v>34</v>
      </c>
      <c r="Z201" s="11">
        <v>199</v>
      </c>
      <c r="AB201">
        <v>4.1542177000000002</v>
      </c>
    </row>
    <row r="202" spans="24:28" x14ac:dyDescent="0.25">
      <c r="X202" t="s">
        <v>236</v>
      </c>
      <c r="Y202" s="3" t="s">
        <v>34</v>
      </c>
      <c r="Z202" s="11">
        <v>200</v>
      </c>
      <c r="AB202">
        <v>4.1813130699999999</v>
      </c>
    </row>
    <row r="203" spans="24:28" x14ac:dyDescent="0.25">
      <c r="X203" t="s">
        <v>237</v>
      </c>
      <c r="Y203" s="3" t="s">
        <v>34</v>
      </c>
      <c r="Z203" s="11">
        <v>201</v>
      </c>
      <c r="AB203">
        <v>4.2078156399999997</v>
      </c>
    </row>
    <row r="204" spans="24:28" x14ac:dyDescent="0.25">
      <c r="X204" t="s">
        <v>238</v>
      </c>
      <c r="Y204" s="3" t="s">
        <v>34</v>
      </c>
      <c r="Z204" s="11">
        <v>202</v>
      </c>
      <c r="AB204">
        <v>4.23363595</v>
      </c>
    </row>
    <row r="205" spans="24:28" x14ac:dyDescent="0.25">
      <c r="X205" t="s">
        <v>239</v>
      </c>
      <c r="Y205" s="3" t="s">
        <v>34</v>
      </c>
      <c r="Z205" s="11">
        <v>203</v>
      </c>
      <c r="AB205">
        <v>4.2587989000000004</v>
      </c>
    </row>
    <row r="206" spans="24:28" x14ac:dyDescent="0.25">
      <c r="X206" t="s">
        <v>240</v>
      </c>
      <c r="Y206" s="3" t="s">
        <v>34</v>
      </c>
      <c r="Z206" s="11">
        <v>204</v>
      </c>
      <c r="AB206">
        <v>4.2833293599999998</v>
      </c>
    </row>
    <row r="207" spans="24:28" x14ac:dyDescent="0.25">
      <c r="X207" t="s">
        <v>241</v>
      </c>
      <c r="Y207" s="3" t="s">
        <v>34</v>
      </c>
      <c r="Z207" s="11">
        <v>205</v>
      </c>
      <c r="AB207">
        <v>4.3072521500000001</v>
      </c>
    </row>
    <row r="208" spans="24:28" x14ac:dyDescent="0.25">
      <c r="X208" t="s">
        <v>242</v>
      </c>
      <c r="Y208" s="3" t="s">
        <v>34</v>
      </c>
      <c r="Z208" s="11">
        <v>206</v>
      </c>
      <c r="AB208">
        <v>4.3305920899999997</v>
      </c>
    </row>
    <row r="209" spans="24:28" x14ac:dyDescent="0.25">
      <c r="X209" t="s">
        <v>243</v>
      </c>
      <c r="Y209" s="3" t="s">
        <v>34</v>
      </c>
      <c r="Z209" s="11">
        <v>207</v>
      </c>
      <c r="AB209">
        <v>4.35337394</v>
      </c>
    </row>
    <row r="210" spans="24:28" x14ac:dyDescent="0.25">
      <c r="X210" t="s">
        <v>244</v>
      </c>
      <c r="Y210" s="3" t="s">
        <v>34</v>
      </c>
      <c r="Z210" s="11">
        <v>208</v>
      </c>
      <c r="AB210">
        <v>4.37562242</v>
      </c>
    </row>
    <row r="211" spans="24:28" x14ac:dyDescent="0.25">
      <c r="X211" t="s">
        <v>245</v>
      </c>
      <c r="Y211" s="3" t="s">
        <v>34</v>
      </c>
      <c r="Z211" s="11">
        <v>209</v>
      </c>
      <c r="AB211">
        <v>4.3973622600000004</v>
      </c>
    </row>
    <row r="212" spans="24:28" x14ac:dyDescent="0.25">
      <c r="X212" t="s">
        <v>246</v>
      </c>
      <c r="Y212" s="3" t="s">
        <v>34</v>
      </c>
      <c r="Z212" s="11">
        <v>210</v>
      </c>
      <c r="AB212">
        <v>4.4186181199999996</v>
      </c>
    </row>
    <row r="213" spans="24:28" x14ac:dyDescent="0.25">
      <c r="X213" t="s">
        <v>247</v>
      </c>
      <c r="Y213" s="3" t="s">
        <v>34</v>
      </c>
      <c r="Z213" s="11">
        <v>211</v>
      </c>
      <c r="AB213">
        <v>4.4394146699999997</v>
      </c>
    </row>
    <row r="214" spans="24:28" x14ac:dyDescent="0.25">
      <c r="X214" t="s">
        <v>248</v>
      </c>
      <c r="Y214" s="3" t="s">
        <v>34</v>
      </c>
      <c r="Z214" s="11">
        <v>212</v>
      </c>
      <c r="AB214">
        <v>4.4597765300000001</v>
      </c>
    </row>
    <row r="215" spans="24:28" x14ac:dyDescent="0.25">
      <c r="X215" t="s">
        <v>249</v>
      </c>
      <c r="Y215" s="3" t="s">
        <v>34</v>
      </c>
      <c r="Z215" s="11">
        <v>213</v>
      </c>
      <c r="AB215">
        <v>4.4797282899999997</v>
      </c>
    </row>
    <row r="216" spans="24:28" x14ac:dyDescent="0.25">
      <c r="X216" t="s">
        <v>250</v>
      </c>
      <c r="Y216" s="3" t="s">
        <v>34</v>
      </c>
      <c r="Z216" s="11">
        <v>214</v>
      </c>
      <c r="AB216">
        <v>4.4992945400000002</v>
      </c>
    </row>
    <row r="217" spans="24:28" x14ac:dyDescent="0.25">
      <c r="X217" t="s">
        <v>251</v>
      </c>
      <c r="Y217" s="3" t="s">
        <v>34</v>
      </c>
      <c r="Z217" s="11">
        <v>215</v>
      </c>
      <c r="AB217">
        <v>4.5184998399999996</v>
      </c>
    </row>
    <row r="218" spans="24:28" x14ac:dyDescent="0.25">
      <c r="X218" t="s">
        <v>252</v>
      </c>
      <c r="Y218" s="3" t="s">
        <v>34</v>
      </c>
      <c r="Z218" s="11">
        <v>216</v>
      </c>
      <c r="AB218">
        <v>4.5373687199999999</v>
      </c>
    </row>
    <row r="219" spans="24:28" x14ac:dyDescent="0.25">
      <c r="X219" t="s">
        <v>253</v>
      </c>
      <c r="Y219" s="3" t="s">
        <v>34</v>
      </c>
      <c r="Z219" s="11">
        <v>217</v>
      </c>
      <c r="AB219">
        <v>4.5559256799999996</v>
      </c>
    </row>
    <row r="220" spans="24:28" x14ac:dyDescent="0.25">
      <c r="X220" t="s">
        <v>254</v>
      </c>
      <c r="Y220" s="3" t="s">
        <v>34</v>
      </c>
      <c r="Z220" s="11">
        <v>218</v>
      </c>
      <c r="AB220">
        <v>4.5741952299999999</v>
      </c>
    </row>
    <row r="221" spans="24:28" x14ac:dyDescent="0.25">
      <c r="X221" t="s">
        <v>255</v>
      </c>
      <c r="Y221" s="3" t="s">
        <v>34</v>
      </c>
      <c r="Z221" s="11">
        <v>219</v>
      </c>
      <c r="AB221">
        <v>4.5922018299999996</v>
      </c>
    </row>
    <row r="222" spans="24:28" x14ac:dyDescent="0.25">
      <c r="X222" t="s">
        <v>256</v>
      </c>
      <c r="Y222" s="3" t="s">
        <v>34</v>
      </c>
      <c r="Z222" s="11">
        <v>220</v>
      </c>
      <c r="AB222">
        <v>4.60996994</v>
      </c>
    </row>
    <row r="223" spans="24:28" x14ac:dyDescent="0.25">
      <c r="X223" t="s">
        <v>257</v>
      </c>
      <c r="Y223" s="3" t="s">
        <v>34</v>
      </c>
      <c r="Z223" s="11">
        <v>221</v>
      </c>
      <c r="AB223">
        <v>4.6275240000000002</v>
      </c>
    </row>
    <row r="224" spans="24:28" x14ac:dyDescent="0.25">
      <c r="X224" t="s">
        <v>258</v>
      </c>
      <c r="Y224" s="3" t="s">
        <v>34</v>
      </c>
      <c r="Z224" s="11">
        <v>222</v>
      </c>
      <c r="AB224">
        <v>4.64488842</v>
      </c>
    </row>
    <row r="225" spans="24:28" x14ac:dyDescent="0.25">
      <c r="X225" t="s">
        <v>259</v>
      </c>
      <c r="Y225" s="3" t="s">
        <v>34</v>
      </c>
      <c r="Z225" s="11">
        <v>223</v>
      </c>
      <c r="AB225">
        <v>4.6620876000000004</v>
      </c>
    </row>
    <row r="226" spans="24:28" x14ac:dyDescent="0.25">
      <c r="X226" t="s">
        <v>260</v>
      </c>
      <c r="Y226" s="3" t="s">
        <v>34</v>
      </c>
      <c r="Z226" s="11">
        <v>224</v>
      </c>
      <c r="AB226">
        <v>4.6791459299999998</v>
      </c>
    </row>
    <row r="227" spans="24:28" x14ac:dyDescent="0.25">
      <c r="X227" t="s">
        <v>261</v>
      </c>
      <c r="Y227" s="3" t="s">
        <v>34</v>
      </c>
      <c r="Z227" s="11">
        <v>225</v>
      </c>
      <c r="AB227">
        <v>4.6960877700000001</v>
      </c>
    </row>
    <row r="228" spans="24:28" x14ac:dyDescent="0.25">
      <c r="X228" t="s">
        <v>262</v>
      </c>
      <c r="Y228" s="3" t="s">
        <v>34</v>
      </c>
      <c r="Z228" s="11">
        <v>226</v>
      </c>
      <c r="AB228">
        <v>4.71293747</v>
      </c>
    </row>
    <row r="229" spans="24:28" x14ac:dyDescent="0.25">
      <c r="X229" t="s">
        <v>263</v>
      </c>
      <c r="Y229" s="3" t="s">
        <v>34</v>
      </c>
      <c r="Z229" s="11">
        <v>227</v>
      </c>
      <c r="AB229">
        <v>4.7297193699999998</v>
      </c>
    </row>
    <row r="230" spans="24:28" x14ac:dyDescent="0.25">
      <c r="X230" t="s">
        <v>264</v>
      </c>
      <c r="Y230" s="3" t="s">
        <v>34</v>
      </c>
      <c r="Z230" s="11">
        <v>228</v>
      </c>
      <c r="AB230">
        <v>4.7464577800000001</v>
      </c>
    </row>
    <row r="231" spans="24:28" x14ac:dyDescent="0.25">
      <c r="X231" t="s">
        <v>265</v>
      </c>
      <c r="Y231" s="3" t="s">
        <v>34</v>
      </c>
      <c r="Z231" s="11">
        <v>229</v>
      </c>
      <c r="AB231">
        <v>4.7631770199999997</v>
      </c>
    </row>
    <row r="232" spans="24:28" x14ac:dyDescent="0.25">
      <c r="X232" t="s">
        <v>266</v>
      </c>
      <c r="Y232" s="3" t="s">
        <v>34</v>
      </c>
      <c r="Z232" s="11">
        <v>230</v>
      </c>
      <c r="AB232">
        <v>4.7799013600000002</v>
      </c>
    </row>
    <row r="233" spans="24:28" x14ac:dyDescent="0.25">
      <c r="X233" t="s">
        <v>267</v>
      </c>
      <c r="Y233" s="3" t="s">
        <v>34</v>
      </c>
      <c r="Z233" s="11">
        <v>231</v>
      </c>
      <c r="AB233">
        <v>4.7966550799999998</v>
      </c>
    </row>
    <row r="234" spans="24:28" x14ac:dyDescent="0.25">
      <c r="X234" t="s">
        <v>268</v>
      </c>
      <c r="Y234" s="3" t="s">
        <v>34</v>
      </c>
      <c r="Z234" s="11">
        <v>232</v>
      </c>
      <c r="AB234">
        <v>4.8134624300000004</v>
      </c>
    </row>
    <row r="235" spans="24:28" x14ac:dyDescent="0.25">
      <c r="X235" t="s">
        <v>269</v>
      </c>
      <c r="Y235" s="3" t="s">
        <v>34</v>
      </c>
      <c r="Z235" s="11">
        <v>233</v>
      </c>
      <c r="AB235">
        <v>4.8303476500000002</v>
      </c>
    </row>
    <row r="236" spans="24:28" x14ac:dyDescent="0.25">
      <c r="X236" t="s">
        <v>270</v>
      </c>
      <c r="Y236" s="3" t="s">
        <v>34</v>
      </c>
      <c r="Z236" s="11">
        <v>234</v>
      </c>
      <c r="AB236">
        <v>4.8473349700000004</v>
      </c>
    </row>
    <row r="237" spans="24:28" x14ac:dyDescent="0.25">
      <c r="X237" t="s">
        <v>271</v>
      </c>
      <c r="Y237" s="3" t="s">
        <v>34</v>
      </c>
      <c r="Z237" s="11">
        <v>235</v>
      </c>
      <c r="AB237">
        <v>4.8644486000000002</v>
      </c>
    </row>
    <row r="238" spans="24:28" x14ac:dyDescent="0.25">
      <c r="X238" t="s">
        <v>272</v>
      </c>
      <c r="Y238" s="3" t="s">
        <v>34</v>
      </c>
      <c r="Z238" s="11">
        <v>236</v>
      </c>
      <c r="AB238">
        <v>4.8817127200000003</v>
      </c>
    </row>
    <row r="239" spans="24:28" x14ac:dyDescent="0.25">
      <c r="X239" t="s">
        <v>273</v>
      </c>
      <c r="Y239" s="3" t="s">
        <v>34</v>
      </c>
      <c r="Z239" s="11">
        <v>237</v>
      </c>
      <c r="AB239">
        <v>4.8991515200000002</v>
      </c>
    </row>
    <row r="240" spans="24:28" x14ac:dyDescent="0.25">
      <c r="X240" t="s">
        <v>274</v>
      </c>
      <c r="Y240" s="3" t="s">
        <v>34</v>
      </c>
      <c r="Z240" s="11">
        <v>238</v>
      </c>
      <c r="AB240">
        <v>4.9167891399999997</v>
      </c>
    </row>
    <row r="241" spans="24:28" x14ac:dyDescent="0.25">
      <c r="X241" t="s">
        <v>275</v>
      </c>
      <c r="Y241" s="3" t="s">
        <v>34</v>
      </c>
      <c r="Z241" s="11">
        <v>239</v>
      </c>
      <c r="AB241">
        <v>4.9346497300000003</v>
      </c>
    </row>
    <row r="242" spans="24:28" x14ac:dyDescent="0.25">
      <c r="X242" t="s">
        <v>276</v>
      </c>
      <c r="Y242" s="3" t="s">
        <v>34</v>
      </c>
      <c r="Z242" s="11">
        <v>240</v>
      </c>
      <c r="AB242">
        <v>4.9527574200000002</v>
      </c>
    </row>
    <row r="243" spans="24:28" x14ac:dyDescent="0.25">
      <c r="X243" t="s">
        <v>277</v>
      </c>
      <c r="Y243" s="3" t="s">
        <v>34</v>
      </c>
      <c r="Z243" s="11">
        <v>241</v>
      </c>
      <c r="AB243">
        <v>4.9711363000000004</v>
      </c>
    </row>
    <row r="244" spans="24:28" x14ac:dyDescent="0.25">
      <c r="X244" t="s">
        <v>278</v>
      </c>
      <c r="Y244" s="3" t="s">
        <v>34</v>
      </c>
      <c r="Z244" s="11">
        <v>242</v>
      </c>
      <c r="AB244">
        <v>4.9898104600000002</v>
      </c>
    </row>
    <row r="245" spans="24:28" x14ac:dyDescent="0.25">
      <c r="X245" t="s">
        <v>279</v>
      </c>
      <c r="Y245" s="3" t="s">
        <v>34</v>
      </c>
      <c r="Z245" s="11">
        <v>243</v>
      </c>
      <c r="AB245">
        <v>5.0088039699999998</v>
      </c>
    </row>
    <row r="246" spans="24:28" x14ac:dyDescent="0.25">
      <c r="X246" t="s">
        <v>280</v>
      </c>
      <c r="Y246" s="3" t="s">
        <v>34</v>
      </c>
      <c r="Z246" s="11">
        <v>244</v>
      </c>
      <c r="AB246">
        <v>5.0281408599999997</v>
      </c>
    </row>
    <row r="247" spans="24:28" x14ac:dyDescent="0.25">
      <c r="X247" t="s">
        <v>281</v>
      </c>
      <c r="Y247" s="3" t="s">
        <v>34</v>
      </c>
      <c r="Z247" s="11">
        <v>245</v>
      </c>
      <c r="AB247">
        <v>5.0478451599999996</v>
      </c>
    </row>
    <row r="248" spans="24:28" x14ac:dyDescent="0.25">
      <c r="X248" t="s">
        <v>282</v>
      </c>
      <c r="Y248" s="3" t="s">
        <v>34</v>
      </c>
      <c r="Z248" s="11">
        <v>246</v>
      </c>
      <c r="AB248">
        <v>5.0679408800000001</v>
      </c>
    </row>
    <row r="249" spans="24:28" x14ac:dyDescent="0.25">
      <c r="X249" t="s">
        <v>283</v>
      </c>
      <c r="Y249" s="3" t="s">
        <v>34</v>
      </c>
      <c r="Z249" s="11">
        <v>247</v>
      </c>
      <c r="AB249">
        <v>5.0884519800000003</v>
      </c>
    </row>
    <row r="250" spans="24:28" x14ac:dyDescent="0.25">
      <c r="X250" t="s">
        <v>284</v>
      </c>
      <c r="Y250" s="3" t="s">
        <v>34</v>
      </c>
      <c r="Z250" s="11">
        <v>248</v>
      </c>
      <c r="AB250">
        <v>5.1094024300000003</v>
      </c>
    </row>
    <row r="251" spans="24:28" x14ac:dyDescent="0.25">
      <c r="X251" t="s">
        <v>285</v>
      </c>
      <c r="Y251" s="3" t="s">
        <v>34</v>
      </c>
      <c r="Z251" s="11">
        <v>249</v>
      </c>
      <c r="AB251">
        <v>5.1308161400000003</v>
      </c>
    </row>
    <row r="252" spans="24:28" x14ac:dyDescent="0.25">
      <c r="X252" t="s">
        <v>286</v>
      </c>
      <c r="Y252" s="3" t="s">
        <v>34</v>
      </c>
      <c r="Z252" s="11">
        <v>250</v>
      </c>
      <c r="AB252">
        <v>5.1527170299999998</v>
      </c>
    </row>
    <row r="253" spans="24:28" x14ac:dyDescent="0.25">
      <c r="X253" t="s">
        <v>287</v>
      </c>
      <c r="Y253" s="3" t="s">
        <v>34</v>
      </c>
      <c r="Z253" s="11">
        <v>251</v>
      </c>
      <c r="AB253">
        <v>5.1751289600000003</v>
      </c>
    </row>
    <row r="254" spans="24:28" x14ac:dyDescent="0.25">
      <c r="X254" t="s">
        <v>288</v>
      </c>
      <c r="Y254" s="3" t="s">
        <v>34</v>
      </c>
      <c r="Z254" s="11">
        <v>252</v>
      </c>
      <c r="AB254">
        <v>5.1980757899999999</v>
      </c>
    </row>
    <row r="255" spans="24:28" x14ac:dyDescent="0.25">
      <c r="X255" t="s">
        <v>289</v>
      </c>
      <c r="Y255" s="3" t="s">
        <v>34</v>
      </c>
      <c r="Z255" s="11">
        <v>253</v>
      </c>
      <c r="AB255">
        <v>5.2215813300000002</v>
      </c>
    </row>
    <row r="256" spans="24:28" x14ac:dyDescent="0.25">
      <c r="X256" t="s">
        <v>290</v>
      </c>
      <c r="Y256" s="3" t="s">
        <v>34</v>
      </c>
      <c r="Z256" s="11">
        <v>254</v>
      </c>
      <c r="AB256">
        <v>5.2456693699999999</v>
      </c>
    </row>
    <row r="257" spans="24:28" x14ac:dyDescent="0.25">
      <c r="X257" t="s">
        <v>291</v>
      </c>
      <c r="Y257" s="3" t="s">
        <v>34</v>
      </c>
      <c r="Z257" s="11">
        <v>255</v>
      </c>
      <c r="AB257">
        <v>5.2703636600000001</v>
      </c>
    </row>
    <row r="258" spans="24:28" x14ac:dyDescent="0.25">
      <c r="X258" t="s">
        <v>292</v>
      </c>
      <c r="Y258" s="3" t="s">
        <v>34</v>
      </c>
      <c r="Z258" s="11">
        <v>256</v>
      </c>
      <c r="AB258">
        <v>5.2956879199999998</v>
      </c>
    </row>
    <row r="259" spans="24:28" x14ac:dyDescent="0.25">
      <c r="X259" t="s">
        <v>293</v>
      </c>
      <c r="Y259" s="3" t="s">
        <v>34</v>
      </c>
      <c r="Z259" s="11">
        <v>257</v>
      </c>
      <c r="AB259">
        <v>5.3216658399999996</v>
      </c>
    </row>
    <row r="260" spans="24:28" x14ac:dyDescent="0.25">
      <c r="X260" t="s">
        <v>294</v>
      </c>
      <c r="Y260" s="3" t="s">
        <v>34</v>
      </c>
      <c r="Z260" s="11">
        <v>258</v>
      </c>
      <c r="AB260">
        <v>5.3483210799999998</v>
      </c>
    </row>
    <row r="261" spans="24:28" x14ac:dyDescent="0.25">
      <c r="X261" t="s">
        <v>295</v>
      </c>
      <c r="Y261" s="3" t="s">
        <v>34</v>
      </c>
      <c r="Z261" s="11">
        <v>259</v>
      </c>
      <c r="AB261">
        <v>5.37567723</v>
      </c>
    </row>
    <row r="262" spans="24:28" x14ac:dyDescent="0.25">
      <c r="X262" t="s">
        <v>296</v>
      </c>
      <c r="Y262" s="3" t="s">
        <v>34</v>
      </c>
      <c r="Z262" s="11">
        <v>260</v>
      </c>
      <c r="AB262">
        <v>5.4037578699999997</v>
      </c>
    </row>
    <row r="263" spans="24:28" x14ac:dyDescent="0.25">
      <c r="X263" t="s">
        <v>297</v>
      </c>
      <c r="Y263" s="3" t="s">
        <v>34</v>
      </c>
      <c r="Z263" s="11">
        <v>261</v>
      </c>
      <c r="AB263">
        <v>5.43258654</v>
      </c>
    </row>
    <row r="264" spans="24:28" x14ac:dyDescent="0.25">
      <c r="X264" t="s">
        <v>298</v>
      </c>
      <c r="Y264" s="3" t="s">
        <v>34</v>
      </c>
      <c r="Z264" s="11">
        <v>262</v>
      </c>
      <c r="AB264">
        <v>5.4621867200000001</v>
      </c>
    </row>
    <row r="265" spans="24:28" x14ac:dyDescent="0.25">
      <c r="X265" t="s">
        <v>299</v>
      </c>
      <c r="Y265" s="3" t="s">
        <v>34</v>
      </c>
      <c r="Z265" s="11">
        <v>263</v>
      </c>
      <c r="AB265">
        <v>5.4925818499999997</v>
      </c>
    </row>
    <row r="266" spans="24:28" x14ac:dyDescent="0.25">
      <c r="X266" t="s">
        <v>300</v>
      </c>
      <c r="Y266" s="3" t="s">
        <v>34</v>
      </c>
      <c r="Z266" s="11">
        <v>264</v>
      </c>
      <c r="AB266">
        <v>5.5237953299999996</v>
      </c>
    </row>
    <row r="267" spans="24:28" x14ac:dyDescent="0.25">
      <c r="X267" t="s">
        <v>301</v>
      </c>
      <c r="Y267" s="3" t="s">
        <v>34</v>
      </c>
      <c r="Z267" s="11">
        <v>265</v>
      </c>
      <c r="AB267">
        <v>5.55585051</v>
      </c>
    </row>
    <row r="268" spans="24:28" x14ac:dyDescent="0.25">
      <c r="X268" t="s">
        <v>302</v>
      </c>
      <c r="Y268" s="3" t="s">
        <v>34</v>
      </c>
      <c r="Z268" s="11">
        <v>266</v>
      </c>
      <c r="AB268">
        <v>5.5887706899999996</v>
      </c>
    </row>
    <row r="269" spans="24:28" x14ac:dyDescent="0.25">
      <c r="X269" t="s">
        <v>303</v>
      </c>
      <c r="Y269" s="3" t="s">
        <v>34</v>
      </c>
      <c r="Z269" s="11">
        <v>267</v>
      </c>
      <c r="AB269">
        <v>5.6225791200000002</v>
      </c>
    </row>
    <row r="270" spans="24:28" x14ac:dyDescent="0.25">
      <c r="X270" t="s">
        <v>304</v>
      </c>
      <c r="Y270" s="3" t="s">
        <v>34</v>
      </c>
      <c r="Z270" s="11">
        <v>268</v>
      </c>
      <c r="AB270">
        <v>5.6572989700000003</v>
      </c>
    </row>
    <row r="271" spans="24:28" x14ac:dyDescent="0.25">
      <c r="X271" t="s">
        <v>305</v>
      </c>
      <c r="Y271" s="3" t="s">
        <v>34</v>
      </c>
      <c r="Z271" s="11">
        <v>269</v>
      </c>
      <c r="AB271">
        <v>5.6929534000000004</v>
      </c>
    </row>
    <row r="272" spans="24:28" x14ac:dyDescent="0.25">
      <c r="X272" t="s">
        <v>306</v>
      </c>
      <c r="Y272" s="3" t="s">
        <v>34</v>
      </c>
      <c r="Z272" s="11">
        <v>270</v>
      </c>
      <c r="AB272">
        <v>5.7295654699999998</v>
      </c>
    </row>
    <row r="273" spans="24:28" x14ac:dyDescent="0.25">
      <c r="X273" t="s">
        <v>307</v>
      </c>
      <c r="Y273" s="3" t="s">
        <v>34</v>
      </c>
      <c r="Z273" s="11">
        <v>271</v>
      </c>
      <c r="AB273">
        <v>5.7671582099999998</v>
      </c>
    </row>
    <row r="274" spans="24:28" x14ac:dyDescent="0.25">
      <c r="X274" t="s">
        <v>308</v>
      </c>
      <c r="Y274" s="3" t="s">
        <v>34</v>
      </c>
      <c r="Z274" s="11">
        <v>272</v>
      </c>
      <c r="AB274">
        <v>5.8057545599999996</v>
      </c>
    </row>
    <row r="275" spans="24:28" x14ac:dyDescent="0.25">
      <c r="X275" t="s">
        <v>309</v>
      </c>
      <c r="Y275" s="3" t="s">
        <v>34</v>
      </c>
      <c r="Z275" s="11">
        <v>273</v>
      </c>
      <c r="AB275">
        <v>5.8453774200000002</v>
      </c>
    </row>
    <row r="276" spans="24:28" x14ac:dyDescent="0.25">
      <c r="X276" t="s">
        <v>310</v>
      </c>
      <c r="Y276" s="3" t="s">
        <v>34</v>
      </c>
      <c r="Z276" s="11">
        <v>274</v>
      </c>
      <c r="AB276">
        <v>5.8860495999999998</v>
      </c>
    </row>
    <row r="277" spans="24:28" x14ac:dyDescent="0.25">
      <c r="X277" t="s">
        <v>311</v>
      </c>
      <c r="Y277" s="3" t="s">
        <v>34</v>
      </c>
      <c r="Z277" s="11">
        <v>275</v>
      </c>
      <c r="AB277">
        <v>5.9277938600000004</v>
      </c>
    </row>
    <row r="278" spans="24:28" x14ac:dyDescent="0.25">
      <c r="X278" t="s">
        <v>312</v>
      </c>
      <c r="Y278" s="3" t="s">
        <v>34</v>
      </c>
      <c r="Z278" s="11">
        <v>276</v>
      </c>
      <c r="AB278">
        <v>5.9706328700000002</v>
      </c>
    </row>
    <row r="279" spans="24:28" x14ac:dyDescent="0.25">
      <c r="X279" t="s">
        <v>313</v>
      </c>
      <c r="Y279" s="3" t="s">
        <v>34</v>
      </c>
      <c r="Z279" s="11">
        <v>277</v>
      </c>
      <c r="AB279">
        <v>6.0145892400000003</v>
      </c>
    </row>
    <row r="280" spans="24:28" x14ac:dyDescent="0.25">
      <c r="X280" t="s">
        <v>314</v>
      </c>
      <c r="Y280" s="3" t="s">
        <v>34</v>
      </c>
      <c r="Z280" s="11">
        <v>278</v>
      </c>
      <c r="AB280">
        <v>6.0596854999999996</v>
      </c>
    </row>
    <row r="281" spans="24:28" x14ac:dyDescent="0.25">
      <c r="X281" t="s">
        <v>315</v>
      </c>
      <c r="Y281" s="3" t="s">
        <v>34</v>
      </c>
      <c r="Z281" s="11">
        <v>279</v>
      </c>
      <c r="AB281">
        <v>6.1059440900000004</v>
      </c>
    </row>
    <row r="282" spans="24:28" x14ac:dyDescent="0.25">
      <c r="X282" t="s">
        <v>316</v>
      </c>
      <c r="Y282" s="3" t="s">
        <v>34</v>
      </c>
      <c r="Z282" s="11">
        <v>280</v>
      </c>
      <c r="AB282">
        <v>6.1533873799999999</v>
      </c>
    </row>
    <row r="283" spans="24:28" x14ac:dyDescent="0.25">
      <c r="X283" t="s">
        <v>317</v>
      </c>
      <c r="Y283" s="3" t="s">
        <v>34</v>
      </c>
      <c r="Z283" s="11">
        <v>281</v>
      </c>
      <c r="AB283">
        <v>6.2020376500000003</v>
      </c>
    </row>
    <row r="284" spans="24:28" x14ac:dyDescent="0.25">
      <c r="X284" t="s">
        <v>318</v>
      </c>
      <c r="Y284" s="3" t="s">
        <v>34</v>
      </c>
      <c r="Z284" s="11">
        <v>282</v>
      </c>
      <c r="AB284">
        <v>6.2519170800000001</v>
      </c>
    </row>
    <row r="285" spans="24:28" x14ac:dyDescent="0.25">
      <c r="X285" t="s">
        <v>319</v>
      </c>
      <c r="Y285" s="3" t="s">
        <v>34</v>
      </c>
      <c r="Z285" s="11">
        <v>283</v>
      </c>
      <c r="AB285">
        <v>6.30304778</v>
      </c>
    </row>
    <row r="286" spans="24:28" x14ac:dyDescent="0.25">
      <c r="X286" t="s">
        <v>320</v>
      </c>
      <c r="Y286" s="3" t="s">
        <v>34</v>
      </c>
      <c r="Z286" s="11">
        <v>284</v>
      </c>
      <c r="AB286">
        <v>6.3554517700000002</v>
      </c>
    </row>
    <row r="287" spans="24:28" x14ac:dyDescent="0.25">
      <c r="X287" t="s">
        <v>321</v>
      </c>
      <c r="Y287" s="3" t="s">
        <v>34</v>
      </c>
      <c r="Z287" s="11">
        <v>285</v>
      </c>
      <c r="AB287">
        <v>6.40915094</v>
      </c>
    </row>
    <row r="288" spans="24:28" x14ac:dyDescent="0.25">
      <c r="X288" t="s">
        <v>322</v>
      </c>
      <c r="Y288" s="3" t="s">
        <v>34</v>
      </c>
      <c r="Z288" s="11">
        <v>286</v>
      </c>
      <c r="AB288">
        <v>6.46416711</v>
      </c>
    </row>
    <row r="289" spans="24:28" x14ac:dyDescent="0.25">
      <c r="X289" t="s">
        <v>323</v>
      </c>
      <c r="Y289" s="3" t="s">
        <v>34</v>
      </c>
      <c r="Z289" s="11">
        <v>287</v>
      </c>
      <c r="AB289">
        <v>6.5205219899999998</v>
      </c>
    </row>
    <row r="290" spans="24:28" x14ac:dyDescent="0.25">
      <c r="X290" t="s">
        <v>324</v>
      </c>
      <c r="Y290" s="3" t="s">
        <v>34</v>
      </c>
      <c r="Z290" s="11">
        <v>288</v>
      </c>
      <c r="AB290">
        <v>6.5782371900000003</v>
      </c>
    </row>
    <row r="291" spans="24:28" x14ac:dyDescent="0.25">
      <c r="X291" t="s">
        <v>325</v>
      </c>
      <c r="Y291" s="3" t="s">
        <v>34</v>
      </c>
      <c r="Z291" s="11">
        <v>289</v>
      </c>
      <c r="AB291">
        <v>6.6373341999999997</v>
      </c>
    </row>
    <row r="292" spans="24:28" x14ac:dyDescent="0.25">
      <c r="X292" t="s">
        <v>326</v>
      </c>
      <c r="Y292" s="3" t="s">
        <v>34</v>
      </c>
      <c r="Z292" s="11">
        <v>290</v>
      </c>
      <c r="AB292">
        <v>6.6978344200000004</v>
      </c>
    </row>
    <row r="293" spans="24:28" x14ac:dyDescent="0.25">
      <c r="X293" t="s">
        <v>327</v>
      </c>
      <c r="Y293" s="3" t="s">
        <v>34</v>
      </c>
      <c r="Z293" s="11">
        <v>291</v>
      </c>
      <c r="AB293">
        <v>6.7597591100000001</v>
      </c>
    </row>
    <row r="294" spans="24:28" x14ac:dyDescent="0.25">
      <c r="X294" t="s">
        <v>328</v>
      </c>
      <c r="Y294" s="3" t="s">
        <v>34</v>
      </c>
      <c r="Z294" s="11">
        <v>292</v>
      </c>
      <c r="AB294">
        <v>6.8231294199999999</v>
      </c>
    </row>
    <row r="295" spans="24:28" x14ac:dyDescent="0.25">
      <c r="X295" t="s">
        <v>329</v>
      </c>
      <c r="Y295" s="3" t="s">
        <v>34</v>
      </c>
      <c r="Z295" s="11">
        <v>293</v>
      </c>
      <c r="AB295">
        <v>6.8879663899999999</v>
      </c>
    </row>
    <row r="296" spans="24:28" x14ac:dyDescent="0.25">
      <c r="X296" t="s">
        <v>330</v>
      </c>
      <c r="Y296" s="3" t="s">
        <v>34</v>
      </c>
      <c r="Z296" s="11">
        <v>294</v>
      </c>
      <c r="AB296">
        <v>6.9542909399999999</v>
      </c>
    </row>
    <row r="297" spans="24:28" x14ac:dyDescent="0.25">
      <c r="X297" t="s">
        <v>331</v>
      </c>
      <c r="Y297" s="3" t="s">
        <v>34</v>
      </c>
      <c r="Z297" s="11">
        <v>295</v>
      </c>
      <c r="AB297">
        <v>7.0221238399999999</v>
      </c>
    </row>
    <row r="298" spans="24:28" x14ac:dyDescent="0.25">
      <c r="X298" t="s">
        <v>332</v>
      </c>
      <c r="Y298" s="3" t="s">
        <v>34</v>
      </c>
      <c r="Z298" s="11">
        <v>296</v>
      </c>
      <c r="AB298">
        <v>7.0914857400000004</v>
      </c>
    </row>
    <row r="299" spans="24:28" x14ac:dyDescent="0.25">
      <c r="X299" t="s">
        <v>333</v>
      </c>
      <c r="Y299" s="3" t="s">
        <v>34</v>
      </c>
      <c r="Z299" s="11">
        <v>297</v>
      </c>
      <c r="AB299">
        <v>7.1623971700000002</v>
      </c>
    </row>
    <row r="300" spans="24:28" x14ac:dyDescent="0.25">
      <c r="X300" t="s">
        <v>334</v>
      </c>
      <c r="Y300" s="3" t="s">
        <v>34</v>
      </c>
      <c r="Z300" s="11">
        <v>298</v>
      </c>
      <c r="AB300">
        <v>7.2348785099999997</v>
      </c>
    </row>
    <row r="301" spans="24:28" x14ac:dyDescent="0.25">
      <c r="X301" t="s">
        <v>335</v>
      </c>
      <c r="Y301" s="3" t="s">
        <v>34</v>
      </c>
      <c r="Z301" s="11">
        <v>299</v>
      </c>
      <c r="AB301">
        <v>7.3089500000000003</v>
      </c>
    </row>
    <row r="302" spans="24:28" x14ac:dyDescent="0.25">
      <c r="X302" t="s">
        <v>336</v>
      </c>
      <c r="Y302" s="3" t="s">
        <v>34</v>
      </c>
      <c r="Z302" s="11">
        <v>300</v>
      </c>
      <c r="AB302">
        <v>7.3846317299999997</v>
      </c>
    </row>
    <row r="303" spans="24:28" x14ac:dyDescent="0.25">
      <c r="X303" t="s">
        <v>337</v>
      </c>
      <c r="Y303" s="3" t="s">
        <v>34</v>
      </c>
      <c r="Z303" s="11">
        <v>301</v>
      </c>
      <c r="AB303">
        <v>7.4619436500000003</v>
      </c>
    </row>
    <row r="304" spans="24:28" x14ac:dyDescent="0.25">
      <c r="X304" t="s">
        <v>338</v>
      </c>
      <c r="Y304" s="3" t="s">
        <v>34</v>
      </c>
      <c r="Z304" s="11">
        <v>302</v>
      </c>
      <c r="AB304">
        <v>7.5409055699999996</v>
      </c>
    </row>
    <row r="305" spans="24:28" x14ac:dyDescent="0.25">
      <c r="X305" t="s">
        <v>339</v>
      </c>
      <c r="Y305" s="3" t="s">
        <v>34</v>
      </c>
      <c r="Z305" s="11">
        <v>303</v>
      </c>
      <c r="AB305">
        <v>7.6215371200000002</v>
      </c>
    </row>
    <row r="306" spans="24:28" x14ac:dyDescent="0.25">
      <c r="X306" t="s">
        <v>340</v>
      </c>
      <c r="Y306" s="3" t="s">
        <v>34</v>
      </c>
      <c r="Z306" s="11">
        <v>304</v>
      </c>
      <c r="AB306">
        <v>7.7038577999999998</v>
      </c>
    </row>
    <row r="307" spans="24:28" x14ac:dyDescent="0.25">
      <c r="X307" t="s">
        <v>341</v>
      </c>
      <c r="Y307" s="3" t="s">
        <v>34</v>
      </c>
      <c r="Z307" s="11">
        <v>305</v>
      </c>
      <c r="AB307">
        <v>7.78788692</v>
      </c>
    </row>
    <row r="308" spans="24:28" x14ac:dyDescent="0.25">
      <c r="X308" t="s">
        <v>342</v>
      </c>
      <c r="Y308" s="3" t="s">
        <v>34</v>
      </c>
      <c r="Z308" s="11">
        <v>306</v>
      </c>
      <c r="AB308">
        <v>7.87364365</v>
      </c>
    </row>
    <row r="309" spans="24:28" x14ac:dyDescent="0.25">
      <c r="X309" t="s">
        <v>343</v>
      </c>
      <c r="Y309" s="3" t="s">
        <v>34</v>
      </c>
      <c r="Z309" s="11">
        <v>307</v>
      </c>
      <c r="AB309">
        <v>7.9611469799999997</v>
      </c>
    </row>
    <row r="310" spans="24:28" x14ac:dyDescent="0.25">
      <c r="X310" t="s">
        <v>344</v>
      </c>
      <c r="Y310" s="3" t="s">
        <v>34</v>
      </c>
      <c r="Z310" s="11">
        <v>308</v>
      </c>
      <c r="AB310">
        <v>8.0504157099999993</v>
      </c>
    </row>
    <row r="311" spans="24:28" x14ac:dyDescent="0.25">
      <c r="X311" t="s">
        <v>345</v>
      </c>
      <c r="Y311" s="3" t="s">
        <v>34</v>
      </c>
      <c r="Z311" s="11">
        <v>309</v>
      </c>
      <c r="AB311">
        <v>8.1414685000000002</v>
      </c>
    </row>
    <row r="312" spans="24:28" x14ac:dyDescent="0.25">
      <c r="X312" t="s">
        <v>346</v>
      </c>
      <c r="Y312" s="3" t="s">
        <v>34</v>
      </c>
      <c r="Z312" s="11">
        <v>310</v>
      </c>
      <c r="AB312">
        <v>8.2343237899999995</v>
      </c>
    </row>
    <row r="313" spans="24:28" x14ac:dyDescent="0.25">
      <c r="X313" t="s">
        <v>347</v>
      </c>
      <c r="Y313" s="3" t="s">
        <v>34</v>
      </c>
      <c r="Z313" s="11">
        <v>311</v>
      </c>
      <c r="AB313">
        <v>8.3289998700000005</v>
      </c>
    </row>
    <row r="314" spans="24:28" x14ac:dyDescent="0.25">
      <c r="X314" t="s">
        <v>348</v>
      </c>
      <c r="Y314" s="3" t="s">
        <v>34</v>
      </c>
      <c r="Z314" s="11">
        <v>312</v>
      </c>
      <c r="AB314">
        <v>8.4255148200000001</v>
      </c>
    </row>
    <row r="315" spans="24:28" x14ac:dyDescent="0.25">
      <c r="X315" t="s">
        <v>349</v>
      </c>
      <c r="Y315" s="3" t="s">
        <v>34</v>
      </c>
      <c r="Z315" s="11">
        <v>313</v>
      </c>
      <c r="AB315">
        <v>8.5238865300000004</v>
      </c>
    </row>
    <row r="316" spans="24:28" x14ac:dyDescent="0.25">
      <c r="X316" t="s">
        <v>350</v>
      </c>
      <c r="Y316" s="3" t="s">
        <v>34</v>
      </c>
      <c r="Z316" s="11">
        <v>314</v>
      </c>
      <c r="AB316">
        <v>8.6241327200000004</v>
      </c>
    </row>
    <row r="317" spans="24:28" x14ac:dyDescent="0.25">
      <c r="X317" t="s">
        <v>351</v>
      </c>
      <c r="Y317" s="3" t="s">
        <v>34</v>
      </c>
      <c r="Z317" s="11">
        <v>315</v>
      </c>
      <c r="AB317">
        <v>8.7262708700000005</v>
      </c>
    </row>
    <row r="318" spans="24:28" x14ac:dyDescent="0.25">
      <c r="X318" t="s">
        <v>352</v>
      </c>
      <c r="Y318" s="3" t="s">
        <v>34</v>
      </c>
      <c r="Z318" s="11">
        <v>316</v>
      </c>
      <c r="AB318">
        <v>8.8303182800000002</v>
      </c>
    </row>
    <row r="319" spans="24:28" x14ac:dyDescent="0.25">
      <c r="X319" t="s">
        <v>353</v>
      </c>
      <c r="Y319" s="3" t="s">
        <v>34</v>
      </c>
      <c r="Z319" s="11">
        <v>317</v>
      </c>
      <c r="AB319">
        <v>8.9362920399999997</v>
      </c>
    </row>
    <row r="320" spans="24:28" x14ac:dyDescent="0.25">
      <c r="X320" t="s">
        <v>354</v>
      </c>
      <c r="Y320" s="3" t="s">
        <v>34</v>
      </c>
      <c r="Z320" s="11">
        <v>318</v>
      </c>
      <c r="AB320">
        <v>9.0442090299999993</v>
      </c>
    </row>
    <row r="321" spans="24:28" x14ac:dyDescent="0.25">
      <c r="X321" t="s">
        <v>355</v>
      </c>
      <c r="Y321" s="3" t="s">
        <v>34</v>
      </c>
      <c r="Z321" s="11">
        <v>319</v>
      </c>
      <c r="AB321">
        <v>9.1540859099999992</v>
      </c>
    </row>
    <row r="322" spans="24:28" x14ac:dyDescent="0.25">
      <c r="X322" t="s">
        <v>356</v>
      </c>
      <c r="Y322" s="3" t="s">
        <v>34</v>
      </c>
      <c r="Z322" s="11">
        <v>320</v>
      </c>
      <c r="AB322">
        <v>9.2659391200000005</v>
      </c>
    </row>
    <row r="323" spans="24:28" x14ac:dyDescent="0.25">
      <c r="X323" t="s">
        <v>357</v>
      </c>
      <c r="Y323" s="3" t="s">
        <v>34</v>
      </c>
      <c r="Z323" s="11">
        <v>321</v>
      </c>
      <c r="AB323">
        <v>9.3797848899999998</v>
      </c>
    </row>
    <row r="324" spans="24:28" x14ac:dyDescent="0.25">
      <c r="X324" t="s">
        <v>358</v>
      </c>
      <c r="Y324" s="3" t="s">
        <v>34</v>
      </c>
      <c r="Z324" s="11">
        <v>322</v>
      </c>
      <c r="AB324">
        <v>9.4956391999999994</v>
      </c>
    </row>
    <row r="325" spans="24:28" x14ac:dyDescent="0.25">
      <c r="X325" t="s">
        <v>359</v>
      </c>
      <c r="Y325" s="3" t="s">
        <v>34</v>
      </c>
      <c r="Z325" s="11">
        <v>323</v>
      </c>
      <c r="AB325">
        <v>9.6135178099999994</v>
      </c>
    </row>
    <row r="326" spans="24:28" x14ac:dyDescent="0.25">
      <c r="X326" t="s">
        <v>360</v>
      </c>
      <c r="Y326" s="3" t="s">
        <v>34</v>
      </c>
      <c r="Z326" s="11">
        <v>324</v>
      </c>
      <c r="AB326">
        <v>9.7334362599999995</v>
      </c>
    </row>
    <row r="327" spans="24:28" x14ac:dyDescent="0.25">
      <c r="X327" t="s">
        <v>361</v>
      </c>
      <c r="Y327" s="3" t="s">
        <v>34</v>
      </c>
      <c r="Z327" s="11">
        <v>325</v>
      </c>
      <c r="AB327">
        <v>9.8554098200000002</v>
      </c>
    </row>
    <row r="328" spans="24:28" x14ac:dyDescent="0.25">
      <c r="X328" t="s">
        <v>362</v>
      </c>
      <c r="Y328" s="3" t="s">
        <v>34</v>
      </c>
      <c r="Z328" s="11">
        <v>326</v>
      </c>
      <c r="AB328">
        <v>9.9794535300000007</v>
      </c>
    </row>
    <row r="329" spans="24:28" x14ac:dyDescent="0.25">
      <c r="X329" t="s">
        <v>363</v>
      </c>
      <c r="Y329" s="3" t="s">
        <v>34</v>
      </c>
      <c r="Z329" s="11">
        <v>327</v>
      </c>
      <c r="AB329">
        <v>10.105582200000001</v>
      </c>
    </row>
    <row r="330" spans="24:28" x14ac:dyDescent="0.25">
      <c r="X330" t="s">
        <v>364</v>
      </c>
      <c r="Y330" s="3" t="s">
        <v>34</v>
      </c>
      <c r="Z330" s="11">
        <v>328</v>
      </c>
      <c r="AB330">
        <v>10.23381036</v>
      </c>
    </row>
    <row r="331" spans="24:28" x14ac:dyDescent="0.25">
      <c r="X331" t="s">
        <v>365</v>
      </c>
      <c r="Y331" s="3" t="s">
        <v>34</v>
      </c>
      <c r="Z331" s="11">
        <v>329</v>
      </c>
      <c r="AB331">
        <v>10.364152300000001</v>
      </c>
    </row>
    <row r="332" spans="24:28" x14ac:dyDescent="0.25">
      <c r="X332" t="s">
        <v>366</v>
      </c>
      <c r="Y332" s="3" t="s">
        <v>34</v>
      </c>
      <c r="Z332" s="11">
        <v>330</v>
      </c>
      <c r="AB332">
        <v>10.49662204</v>
      </c>
    </row>
    <row r="333" spans="24:28" x14ac:dyDescent="0.25">
      <c r="X333" t="s">
        <v>367</v>
      </c>
      <c r="Y333" s="3" t="s">
        <v>34</v>
      </c>
      <c r="Z333" s="11">
        <v>331</v>
      </c>
      <c r="AB333">
        <v>10.63123336</v>
      </c>
    </row>
    <row r="334" spans="24:28" x14ac:dyDescent="0.25">
      <c r="X334" t="s">
        <v>368</v>
      </c>
      <c r="Y334" s="3" t="s">
        <v>34</v>
      </c>
      <c r="Z334" s="11">
        <v>332</v>
      </c>
      <c r="AB334">
        <v>10.76799974</v>
      </c>
    </row>
    <row r="335" spans="24:28" x14ac:dyDescent="0.25">
      <c r="X335" t="s">
        <v>369</v>
      </c>
      <c r="Y335" s="3" t="s">
        <v>34</v>
      </c>
      <c r="Z335" s="11">
        <v>333</v>
      </c>
      <c r="AB335">
        <v>10.906934420000001</v>
      </c>
    </row>
    <row r="336" spans="24:28" x14ac:dyDescent="0.25">
      <c r="X336" t="s">
        <v>370</v>
      </c>
      <c r="Y336" s="3" t="s">
        <v>34</v>
      </c>
      <c r="Z336" s="11">
        <v>334</v>
      </c>
      <c r="AB336">
        <v>11.04805032</v>
      </c>
    </row>
    <row r="337" spans="24:28" x14ac:dyDescent="0.25">
      <c r="X337" t="s">
        <v>371</v>
      </c>
      <c r="Y337" s="3" t="s">
        <v>34</v>
      </c>
      <c r="Z337" s="11">
        <v>335</v>
      </c>
      <c r="AB337">
        <v>11.19136013</v>
      </c>
    </row>
    <row r="338" spans="24:28" x14ac:dyDescent="0.25">
      <c r="X338" t="s">
        <v>372</v>
      </c>
      <c r="Y338" s="3" t="s">
        <v>34</v>
      </c>
      <c r="Z338" s="11">
        <v>336</v>
      </c>
      <c r="AB338">
        <v>11.336876220000001</v>
      </c>
    </row>
    <row r="339" spans="24:28" x14ac:dyDescent="0.25">
      <c r="X339" t="s">
        <v>373</v>
      </c>
      <c r="Y339" s="3" t="s">
        <v>34</v>
      </c>
      <c r="Z339" s="11">
        <v>337</v>
      </c>
      <c r="AB339">
        <v>11.48461069</v>
      </c>
    </row>
    <row r="340" spans="24:28" x14ac:dyDescent="0.25">
      <c r="X340" t="s">
        <v>374</v>
      </c>
      <c r="Y340" s="3" t="s">
        <v>34</v>
      </c>
      <c r="Z340" s="11">
        <v>338</v>
      </c>
      <c r="AB340">
        <v>11.63457534</v>
      </c>
    </row>
    <row r="341" spans="24:28" x14ac:dyDescent="0.25">
      <c r="X341" t="s">
        <v>375</v>
      </c>
      <c r="Y341" s="3" t="s">
        <v>34</v>
      </c>
      <c r="Z341" s="11">
        <v>339</v>
      </c>
      <c r="AB341">
        <v>11.78678167</v>
      </c>
    </row>
    <row r="342" spans="24:28" x14ac:dyDescent="0.25">
      <c r="X342" t="s">
        <v>376</v>
      </c>
      <c r="Y342" s="3" t="s">
        <v>34</v>
      </c>
      <c r="Z342" s="11">
        <v>340</v>
      </c>
      <c r="AB342">
        <v>11.94124089</v>
      </c>
    </row>
    <row r="343" spans="24:28" x14ac:dyDescent="0.25">
      <c r="X343" t="s">
        <v>377</v>
      </c>
      <c r="Y343" s="3" t="s">
        <v>34</v>
      </c>
      <c r="Z343" s="11">
        <v>341</v>
      </c>
      <c r="AB343">
        <v>12.0979639</v>
      </c>
    </row>
    <row r="344" spans="24:28" x14ac:dyDescent="0.25">
      <c r="X344" t="s">
        <v>378</v>
      </c>
      <c r="Y344" s="3" t="s">
        <v>34</v>
      </c>
      <c r="Z344" s="11">
        <v>342</v>
      </c>
      <c r="AB344">
        <v>12.256961280000001</v>
      </c>
    </row>
    <row r="345" spans="24:28" x14ac:dyDescent="0.25">
      <c r="X345" t="s">
        <v>379</v>
      </c>
      <c r="Y345" s="3" t="s">
        <v>34</v>
      </c>
      <c r="Z345" s="11">
        <v>343</v>
      </c>
      <c r="AB345">
        <v>12.418243329999999</v>
      </c>
    </row>
    <row r="346" spans="24:28" x14ac:dyDescent="0.25">
      <c r="X346" t="s">
        <v>380</v>
      </c>
      <c r="Y346" s="3" t="s">
        <v>34</v>
      </c>
      <c r="Z346" s="11">
        <v>344</v>
      </c>
      <c r="AB346">
        <v>12.58181999</v>
      </c>
    </row>
    <row r="347" spans="24:28" x14ac:dyDescent="0.25">
      <c r="X347" t="s">
        <v>381</v>
      </c>
      <c r="Y347" s="3" t="s">
        <v>34</v>
      </c>
      <c r="Z347" s="11">
        <v>345</v>
      </c>
      <c r="AB347">
        <v>12.74770092</v>
      </c>
    </row>
    <row r="348" spans="24:28" x14ac:dyDescent="0.25">
      <c r="X348" t="s">
        <v>382</v>
      </c>
      <c r="Y348" s="3" t="s">
        <v>34</v>
      </c>
      <c r="Z348" s="11">
        <v>346</v>
      </c>
      <c r="AB348">
        <v>12.91589542</v>
      </c>
    </row>
    <row r="349" spans="24:28" x14ac:dyDescent="0.25">
      <c r="X349" t="s">
        <v>383</v>
      </c>
      <c r="Y349" s="3" t="s">
        <v>34</v>
      </c>
      <c r="Z349" s="11">
        <v>347</v>
      </c>
      <c r="AB349">
        <v>13.086412490000001</v>
      </c>
    </row>
    <row r="350" spans="24:28" x14ac:dyDescent="0.25">
      <c r="X350" t="s">
        <v>384</v>
      </c>
      <c r="Y350" s="3" t="s">
        <v>34</v>
      </c>
      <c r="Z350" s="11">
        <v>348</v>
      </c>
      <c r="AB350">
        <v>13.259260790000001</v>
      </c>
    </row>
    <row r="351" spans="24:28" x14ac:dyDescent="0.25">
      <c r="X351" t="s">
        <v>385</v>
      </c>
      <c r="Y351" s="3" t="s">
        <v>34</v>
      </c>
      <c r="Z351" s="11">
        <v>349</v>
      </c>
      <c r="AB351">
        <v>13.49407929</v>
      </c>
    </row>
    <row r="352" spans="24:28" x14ac:dyDescent="0.25">
      <c r="X352" t="s">
        <v>386</v>
      </c>
      <c r="Y352" s="3" t="s">
        <v>34</v>
      </c>
      <c r="Z352" s="11">
        <v>350</v>
      </c>
      <c r="AB352">
        <v>13.839258709999999</v>
      </c>
    </row>
    <row r="353" spans="24:28" x14ac:dyDescent="0.25">
      <c r="X353" t="s">
        <v>387</v>
      </c>
      <c r="Y353" s="3" t="s">
        <v>34</v>
      </c>
      <c r="Z353" s="11">
        <v>351</v>
      </c>
      <c r="AB353">
        <v>14.277818030000001</v>
      </c>
    </row>
    <row r="354" spans="24:28" x14ac:dyDescent="0.25">
      <c r="X354" t="s">
        <v>388</v>
      </c>
      <c r="Y354" s="3" t="s">
        <v>34</v>
      </c>
      <c r="Z354" s="11">
        <v>352</v>
      </c>
      <c r="AB354">
        <v>14.79275831</v>
      </c>
    </row>
    <row r="355" spans="24:28" x14ac:dyDescent="0.25">
      <c r="X355" t="s">
        <v>389</v>
      </c>
      <c r="Y355" s="3" t="s">
        <v>34</v>
      </c>
      <c r="Z355" s="11">
        <v>353</v>
      </c>
      <c r="AB355">
        <v>15.367211019999999</v>
      </c>
    </row>
    <row r="356" spans="24:28" x14ac:dyDescent="0.25">
      <c r="X356" t="s">
        <v>390</v>
      </c>
      <c r="Y356" s="3" t="s">
        <v>34</v>
      </c>
      <c r="Z356" s="11">
        <v>354</v>
      </c>
      <c r="AB356">
        <v>15.98455695</v>
      </c>
    </row>
    <row r="357" spans="24:28" x14ac:dyDescent="0.25">
      <c r="X357" t="s">
        <v>391</v>
      </c>
      <c r="Y357" s="3" t="s">
        <v>34</v>
      </c>
      <c r="Z357" s="11">
        <v>355</v>
      </c>
      <c r="AB357">
        <v>16.62851581</v>
      </c>
    </row>
    <row r="358" spans="24:28" x14ac:dyDescent="0.25">
      <c r="X358" t="s">
        <v>392</v>
      </c>
      <c r="Y358" s="3" t="s">
        <v>34</v>
      </c>
      <c r="Z358" s="11">
        <v>356</v>
      </c>
      <c r="AB358">
        <v>17.283206979999999</v>
      </c>
    </row>
    <row r="359" spans="24:28" x14ac:dyDescent="0.25">
      <c r="X359" t="s">
        <v>393</v>
      </c>
      <c r="Y359" s="3" t="s">
        <v>34</v>
      </c>
      <c r="Z359" s="11">
        <v>357</v>
      </c>
      <c r="AB359">
        <v>17.933182410000001</v>
      </c>
    </row>
    <row r="360" spans="24:28" x14ac:dyDescent="0.25">
      <c r="X360" t="s">
        <v>394</v>
      </c>
      <c r="Y360" s="3" t="s">
        <v>34</v>
      </c>
      <c r="Z360" s="11">
        <v>358</v>
      </c>
      <c r="AB360">
        <v>18.563432450000001</v>
      </c>
    </row>
    <row r="361" spans="24:28" x14ac:dyDescent="0.25">
      <c r="X361" t="s">
        <v>395</v>
      </c>
      <c r="Y361" s="3" t="s">
        <v>34</v>
      </c>
      <c r="Z361" s="11">
        <v>359</v>
      </c>
      <c r="AB361">
        <v>19.159366210000002</v>
      </c>
    </row>
    <row r="362" spans="24:28" x14ac:dyDescent="0.25">
      <c r="X362" t="s">
        <v>396</v>
      </c>
      <c r="Y362" s="3" t="s">
        <v>34</v>
      </c>
      <c r="Z362" s="11">
        <v>360</v>
      </c>
      <c r="AB362">
        <v>19.706767070000001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11" sqref="A11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Sheet2</vt:lpstr>
      <vt:lpstr>Sheet3</vt:lpstr>
      <vt:lpstr>model curve</vt:lpstr>
      <vt:lpstr>total smm</vt:lpstr>
      <vt:lpstr>Sheet7</vt:lpstr>
      <vt:lpstr>Sheet8</vt:lpstr>
      <vt:lpstr>Sheet9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cp:lastPrinted>2016-11-14T20:43:56Z</cp:lastPrinted>
  <dcterms:created xsi:type="dcterms:W3CDTF">2016-11-14T20:35:23Z</dcterms:created>
  <dcterms:modified xsi:type="dcterms:W3CDTF">2016-11-17T14:32:15Z</dcterms:modified>
</cp:coreProperties>
</file>