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35" windowWidth="17760" windowHeight="10620" firstSheet="2" activeTab="2"/>
  </bookViews>
  <sheets>
    <sheet name="Pool Level" sheetId="3" state="hidden" r:id="rId1"/>
    <sheet name="Loan Level" sheetId="4" state="hidden" r:id="rId2"/>
    <sheet name="Issue Amount" sheetId="5" r:id="rId3"/>
  </sheets>
  <calcPr calcId="145621"/>
</workbook>
</file>

<file path=xl/calcChain.xml><?xml version="1.0" encoding="utf-8"?>
<calcChain xmlns="http://schemas.openxmlformats.org/spreadsheetml/2006/main">
  <c r="AB4" i="5" l="1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3" i="5"/>
  <c r="Z4" i="5"/>
  <c r="AA4" i="5"/>
  <c r="Z5" i="5"/>
  <c r="AA5" i="5"/>
  <c r="Z6" i="5"/>
  <c r="AA6" i="5"/>
  <c r="Z7" i="5"/>
  <c r="AA7" i="5"/>
  <c r="Z8" i="5"/>
  <c r="AA8" i="5"/>
  <c r="Z9" i="5"/>
  <c r="AA9" i="5"/>
  <c r="Z10" i="5"/>
  <c r="AA10" i="5"/>
  <c r="Z11" i="5"/>
  <c r="AA11" i="5"/>
  <c r="Z12" i="5"/>
  <c r="AA12" i="5"/>
  <c r="Z13" i="5"/>
  <c r="AA13" i="5"/>
  <c r="Z14" i="5"/>
  <c r="AA14" i="5"/>
  <c r="Z15" i="5"/>
  <c r="AA15" i="5"/>
  <c r="Z16" i="5"/>
  <c r="AA16" i="5"/>
  <c r="Z17" i="5"/>
  <c r="AA17" i="5"/>
  <c r="Z18" i="5"/>
  <c r="AA18" i="5"/>
  <c r="Z19" i="5"/>
  <c r="AA19" i="5"/>
  <c r="Z20" i="5"/>
  <c r="AA20" i="5"/>
  <c r="Z21" i="5"/>
  <c r="AA21" i="5"/>
  <c r="Z22" i="5"/>
  <c r="AA22" i="5"/>
  <c r="Z23" i="5"/>
  <c r="AA23" i="5"/>
  <c r="Z24" i="5"/>
  <c r="AA24" i="5"/>
  <c r="Z25" i="5"/>
  <c r="AA25" i="5"/>
  <c r="Z26" i="5"/>
  <c r="AA26" i="5"/>
  <c r="Z27" i="5"/>
  <c r="AA27" i="5"/>
  <c r="Z28" i="5"/>
  <c r="AA28" i="5"/>
  <c r="Z29" i="5"/>
  <c r="AA29" i="5"/>
  <c r="Z30" i="5"/>
  <c r="AA30" i="5"/>
  <c r="Z31" i="5"/>
  <c r="AA31" i="5"/>
  <c r="Z32" i="5"/>
  <c r="AA32" i="5"/>
  <c r="Z33" i="5"/>
  <c r="AA33" i="5"/>
  <c r="Z34" i="5"/>
  <c r="AA34" i="5"/>
  <c r="Z35" i="5"/>
  <c r="AA35" i="5"/>
  <c r="Z36" i="5"/>
  <c r="AA36" i="5"/>
  <c r="Z37" i="5"/>
  <c r="AA37" i="5"/>
  <c r="Z38" i="5"/>
  <c r="AA38" i="5"/>
  <c r="Z39" i="5"/>
  <c r="AA39" i="5"/>
  <c r="Z40" i="5"/>
  <c r="AA40" i="5"/>
  <c r="Z41" i="5"/>
  <c r="AA41" i="5"/>
  <c r="Z42" i="5"/>
  <c r="AA42" i="5"/>
  <c r="Z43" i="5"/>
  <c r="AA43" i="5"/>
  <c r="Z44" i="5"/>
  <c r="AA44" i="5"/>
  <c r="Z45" i="5"/>
  <c r="AA45" i="5"/>
  <c r="Z46" i="5"/>
  <c r="AA46" i="5"/>
  <c r="Z47" i="5"/>
  <c r="AA47" i="5"/>
  <c r="Z48" i="5"/>
  <c r="AA48" i="5"/>
  <c r="Z49" i="5"/>
  <c r="AA49" i="5"/>
  <c r="Z50" i="5"/>
  <c r="AA50" i="5"/>
  <c r="Z51" i="5"/>
  <c r="AA51" i="5"/>
  <c r="Z52" i="5"/>
  <c r="AA52" i="5"/>
  <c r="Z53" i="5"/>
  <c r="AA53" i="5"/>
  <c r="Z54" i="5"/>
  <c r="AA54" i="5"/>
  <c r="Z55" i="5"/>
  <c r="AA55" i="5"/>
  <c r="Z56" i="5"/>
  <c r="AA56" i="5"/>
  <c r="Z57" i="5"/>
  <c r="AA57" i="5"/>
  <c r="Z58" i="5"/>
  <c r="AA58" i="5"/>
  <c r="Z59" i="5"/>
  <c r="AA59" i="5"/>
  <c r="Z60" i="5"/>
  <c r="AA60" i="5"/>
  <c r="Z61" i="5"/>
  <c r="AA61" i="5"/>
  <c r="Z62" i="5"/>
  <c r="AA62" i="5"/>
  <c r="Z63" i="5"/>
  <c r="AA63" i="5"/>
  <c r="Z64" i="5"/>
  <c r="AA64" i="5"/>
  <c r="Z65" i="5"/>
  <c r="AA65" i="5"/>
  <c r="Z66" i="5"/>
  <c r="AA66" i="5"/>
  <c r="Z67" i="5"/>
  <c r="AA67" i="5"/>
  <c r="Z68" i="5"/>
  <c r="AA68" i="5"/>
  <c r="Z69" i="5"/>
  <c r="AA69" i="5"/>
  <c r="Z70" i="5"/>
  <c r="AA70" i="5"/>
  <c r="Z71" i="5"/>
  <c r="AA71" i="5"/>
  <c r="Z72" i="5"/>
  <c r="AA72" i="5"/>
  <c r="Z73" i="5"/>
  <c r="AA73" i="5"/>
  <c r="Z74" i="5"/>
  <c r="AA74" i="5"/>
  <c r="Z75" i="5"/>
  <c r="AA75" i="5"/>
  <c r="Z76" i="5"/>
  <c r="AA76" i="5"/>
  <c r="Z77" i="5"/>
  <c r="AA77" i="5"/>
  <c r="Z78" i="5"/>
  <c r="AA78" i="5"/>
  <c r="Z79" i="5"/>
  <c r="AA79" i="5"/>
  <c r="Z80" i="5"/>
  <c r="AA80" i="5"/>
  <c r="Z81" i="5"/>
  <c r="AA81" i="5"/>
  <c r="Z82" i="5"/>
  <c r="AA82" i="5"/>
  <c r="Z83" i="5"/>
  <c r="AA83" i="5"/>
  <c r="Z84" i="5"/>
  <c r="AA84" i="5"/>
  <c r="Z85" i="5"/>
  <c r="AA85" i="5"/>
  <c r="Z86" i="5"/>
  <c r="AA86" i="5"/>
  <c r="Z87" i="5"/>
  <c r="AA87" i="5"/>
  <c r="Z88" i="5"/>
  <c r="AA88" i="5"/>
  <c r="Z89" i="5"/>
  <c r="AA89" i="5"/>
  <c r="Z90" i="5"/>
  <c r="AA90" i="5"/>
  <c r="Z91" i="5"/>
  <c r="AA91" i="5"/>
  <c r="Z92" i="5"/>
  <c r="AA92" i="5"/>
  <c r="AA3" i="5"/>
  <c r="Z3" i="5"/>
  <c r="Y3" i="5"/>
  <c r="V4" i="5"/>
  <c r="W4" i="5"/>
  <c r="X4" i="5"/>
  <c r="Y4" i="5"/>
  <c r="V5" i="5"/>
  <c r="W5" i="5"/>
  <c r="X5" i="5"/>
  <c r="Y5" i="5"/>
  <c r="V6" i="5"/>
  <c r="W6" i="5"/>
  <c r="X6" i="5"/>
  <c r="Y6" i="5"/>
  <c r="V7" i="5"/>
  <c r="W7" i="5"/>
  <c r="X7" i="5"/>
  <c r="Y7" i="5"/>
  <c r="V8" i="5"/>
  <c r="W8" i="5"/>
  <c r="X8" i="5"/>
  <c r="Y8" i="5"/>
  <c r="V9" i="5"/>
  <c r="W9" i="5"/>
  <c r="X9" i="5"/>
  <c r="Y9" i="5"/>
  <c r="V10" i="5"/>
  <c r="W10" i="5"/>
  <c r="X10" i="5"/>
  <c r="Y10" i="5"/>
  <c r="V11" i="5"/>
  <c r="W11" i="5"/>
  <c r="X11" i="5"/>
  <c r="Y11" i="5"/>
  <c r="V12" i="5"/>
  <c r="W12" i="5"/>
  <c r="X12" i="5"/>
  <c r="V13" i="5"/>
  <c r="W13" i="5"/>
  <c r="X13" i="5"/>
  <c r="V14" i="5"/>
  <c r="W14" i="5"/>
  <c r="X14" i="5"/>
  <c r="V15" i="5"/>
  <c r="W15" i="5"/>
  <c r="X15" i="5"/>
  <c r="V16" i="5"/>
  <c r="W16" i="5"/>
  <c r="X16" i="5"/>
  <c r="V17" i="5"/>
  <c r="W17" i="5"/>
  <c r="X17" i="5"/>
  <c r="V18" i="5"/>
  <c r="W18" i="5"/>
  <c r="X18" i="5"/>
  <c r="V19" i="5"/>
  <c r="W19" i="5"/>
  <c r="X19" i="5"/>
  <c r="V20" i="5"/>
  <c r="W20" i="5"/>
  <c r="X20" i="5"/>
  <c r="V21" i="5"/>
  <c r="W21" i="5"/>
  <c r="X21" i="5"/>
  <c r="V22" i="5"/>
  <c r="W22" i="5"/>
  <c r="X22" i="5"/>
  <c r="V23" i="5"/>
  <c r="W23" i="5"/>
  <c r="X23" i="5"/>
  <c r="V24" i="5"/>
  <c r="W24" i="5"/>
  <c r="X24" i="5"/>
  <c r="V25" i="5"/>
  <c r="W25" i="5"/>
  <c r="X25" i="5"/>
  <c r="V26" i="5"/>
  <c r="W26" i="5"/>
  <c r="X26" i="5"/>
  <c r="V27" i="5"/>
  <c r="W27" i="5"/>
  <c r="X27" i="5"/>
  <c r="V28" i="5"/>
  <c r="W28" i="5"/>
  <c r="X28" i="5"/>
  <c r="V29" i="5"/>
  <c r="W29" i="5"/>
  <c r="X29" i="5"/>
  <c r="V30" i="5"/>
  <c r="W30" i="5"/>
  <c r="X30" i="5"/>
  <c r="V31" i="5"/>
  <c r="W31" i="5"/>
  <c r="X31" i="5"/>
  <c r="V32" i="5"/>
  <c r="W32" i="5"/>
  <c r="X32" i="5"/>
  <c r="Y32" i="5"/>
  <c r="V33" i="5"/>
  <c r="W33" i="5"/>
  <c r="X33" i="5"/>
  <c r="Y33" i="5"/>
  <c r="V34" i="5"/>
  <c r="W34" i="5"/>
  <c r="X34" i="5"/>
  <c r="Y34" i="5"/>
  <c r="V35" i="5"/>
  <c r="W35" i="5"/>
  <c r="X35" i="5"/>
  <c r="Y35" i="5"/>
  <c r="V36" i="5"/>
  <c r="W36" i="5"/>
  <c r="X36" i="5"/>
  <c r="Y36" i="5"/>
  <c r="V37" i="5"/>
  <c r="W37" i="5"/>
  <c r="X37" i="5"/>
  <c r="Y37" i="5"/>
  <c r="V38" i="5"/>
  <c r="W38" i="5"/>
  <c r="X38" i="5"/>
  <c r="Y38" i="5"/>
  <c r="V39" i="5"/>
  <c r="W39" i="5"/>
  <c r="X39" i="5"/>
  <c r="Y39" i="5"/>
  <c r="V40" i="5"/>
  <c r="W40" i="5"/>
  <c r="X40" i="5"/>
  <c r="Y40" i="5"/>
  <c r="V41" i="5"/>
  <c r="W41" i="5"/>
  <c r="X41" i="5"/>
  <c r="Y41" i="5"/>
  <c r="V42" i="5"/>
  <c r="W42" i="5"/>
  <c r="X42" i="5"/>
  <c r="Y42" i="5"/>
  <c r="V43" i="5"/>
  <c r="W43" i="5"/>
  <c r="X43" i="5"/>
  <c r="Y43" i="5"/>
  <c r="V44" i="5"/>
  <c r="W44" i="5"/>
  <c r="X44" i="5"/>
  <c r="Y44" i="5"/>
  <c r="V45" i="5"/>
  <c r="W45" i="5"/>
  <c r="X45" i="5"/>
  <c r="Y45" i="5"/>
  <c r="V46" i="5"/>
  <c r="W46" i="5"/>
  <c r="X46" i="5"/>
  <c r="Y46" i="5"/>
  <c r="V47" i="5"/>
  <c r="W47" i="5"/>
  <c r="X47" i="5"/>
  <c r="Y47" i="5"/>
  <c r="V48" i="5"/>
  <c r="W48" i="5"/>
  <c r="X48" i="5"/>
  <c r="Y48" i="5"/>
  <c r="V49" i="5"/>
  <c r="W49" i="5"/>
  <c r="X49" i="5"/>
  <c r="Y49" i="5"/>
  <c r="V50" i="5"/>
  <c r="W50" i="5"/>
  <c r="X50" i="5"/>
  <c r="Y50" i="5"/>
  <c r="V51" i="5"/>
  <c r="W51" i="5"/>
  <c r="X51" i="5"/>
  <c r="Y51" i="5"/>
  <c r="V52" i="5"/>
  <c r="W52" i="5"/>
  <c r="X52" i="5"/>
  <c r="Y52" i="5"/>
  <c r="V53" i="5"/>
  <c r="W53" i="5"/>
  <c r="X53" i="5"/>
  <c r="Y53" i="5"/>
  <c r="V54" i="5"/>
  <c r="W54" i="5"/>
  <c r="X54" i="5"/>
  <c r="Y54" i="5"/>
  <c r="V55" i="5"/>
  <c r="W55" i="5"/>
  <c r="X55" i="5"/>
  <c r="Y55" i="5"/>
  <c r="V56" i="5"/>
  <c r="W56" i="5"/>
  <c r="X56" i="5"/>
  <c r="Y56" i="5"/>
  <c r="V57" i="5"/>
  <c r="W57" i="5"/>
  <c r="X57" i="5"/>
  <c r="Y57" i="5"/>
  <c r="V58" i="5"/>
  <c r="W58" i="5"/>
  <c r="X58" i="5"/>
  <c r="Y58" i="5"/>
  <c r="V59" i="5"/>
  <c r="W59" i="5"/>
  <c r="X59" i="5"/>
  <c r="Y59" i="5"/>
  <c r="V60" i="5"/>
  <c r="W60" i="5"/>
  <c r="X60" i="5"/>
  <c r="Y60" i="5"/>
  <c r="V61" i="5"/>
  <c r="W61" i="5"/>
  <c r="X61" i="5"/>
  <c r="Y61" i="5"/>
  <c r="V62" i="5"/>
  <c r="W62" i="5"/>
  <c r="X62" i="5"/>
  <c r="Y62" i="5"/>
  <c r="V63" i="5"/>
  <c r="W63" i="5"/>
  <c r="X63" i="5"/>
  <c r="Y63" i="5"/>
  <c r="V64" i="5"/>
  <c r="W64" i="5"/>
  <c r="X64" i="5"/>
  <c r="Y64" i="5"/>
  <c r="V65" i="5"/>
  <c r="W65" i="5"/>
  <c r="X65" i="5"/>
  <c r="Y65" i="5"/>
  <c r="V66" i="5"/>
  <c r="W66" i="5"/>
  <c r="X66" i="5"/>
  <c r="Y66" i="5"/>
  <c r="V67" i="5"/>
  <c r="W67" i="5"/>
  <c r="X67" i="5"/>
  <c r="Y67" i="5"/>
  <c r="V68" i="5"/>
  <c r="W68" i="5"/>
  <c r="X68" i="5"/>
  <c r="Y68" i="5"/>
  <c r="V69" i="5"/>
  <c r="W69" i="5"/>
  <c r="X69" i="5"/>
  <c r="Y69" i="5"/>
  <c r="V70" i="5"/>
  <c r="W70" i="5"/>
  <c r="X70" i="5"/>
  <c r="Y70" i="5"/>
  <c r="V71" i="5"/>
  <c r="W71" i="5"/>
  <c r="X71" i="5"/>
  <c r="Y71" i="5"/>
  <c r="V72" i="5"/>
  <c r="W72" i="5"/>
  <c r="X72" i="5"/>
  <c r="Y72" i="5"/>
  <c r="V73" i="5"/>
  <c r="W73" i="5"/>
  <c r="X73" i="5"/>
  <c r="Y73" i="5"/>
  <c r="V74" i="5"/>
  <c r="W74" i="5"/>
  <c r="X74" i="5"/>
  <c r="Y74" i="5"/>
  <c r="V75" i="5"/>
  <c r="W75" i="5"/>
  <c r="X75" i="5"/>
  <c r="Y75" i="5"/>
  <c r="V76" i="5"/>
  <c r="W76" i="5"/>
  <c r="X76" i="5"/>
  <c r="Y76" i="5"/>
  <c r="V77" i="5"/>
  <c r="W77" i="5"/>
  <c r="X77" i="5"/>
  <c r="Y77" i="5"/>
  <c r="V78" i="5"/>
  <c r="W78" i="5"/>
  <c r="X78" i="5"/>
  <c r="Y78" i="5"/>
  <c r="V79" i="5"/>
  <c r="W79" i="5"/>
  <c r="X79" i="5"/>
  <c r="Y79" i="5"/>
  <c r="V80" i="5"/>
  <c r="W80" i="5"/>
  <c r="X80" i="5"/>
  <c r="Y80" i="5"/>
  <c r="V81" i="5"/>
  <c r="W81" i="5"/>
  <c r="X81" i="5"/>
  <c r="Y81" i="5"/>
  <c r="V82" i="5"/>
  <c r="W82" i="5"/>
  <c r="X82" i="5"/>
  <c r="Y82" i="5"/>
  <c r="V83" i="5"/>
  <c r="W83" i="5"/>
  <c r="X83" i="5"/>
  <c r="Y83" i="5"/>
  <c r="V84" i="5"/>
  <c r="W84" i="5"/>
  <c r="X84" i="5"/>
  <c r="Y84" i="5"/>
  <c r="V85" i="5"/>
  <c r="W85" i="5"/>
  <c r="X85" i="5"/>
  <c r="Y85" i="5"/>
  <c r="V86" i="5"/>
  <c r="W86" i="5"/>
  <c r="X86" i="5"/>
  <c r="Y86" i="5"/>
  <c r="V87" i="5"/>
  <c r="W87" i="5"/>
  <c r="X87" i="5"/>
  <c r="Y87" i="5"/>
  <c r="V88" i="5"/>
  <c r="W88" i="5"/>
  <c r="X88" i="5"/>
  <c r="Y88" i="5"/>
  <c r="V89" i="5"/>
  <c r="W89" i="5"/>
  <c r="X89" i="5"/>
  <c r="Y89" i="5"/>
  <c r="V90" i="5"/>
  <c r="W90" i="5"/>
  <c r="X90" i="5"/>
  <c r="Y90" i="5"/>
  <c r="V91" i="5"/>
  <c r="W91" i="5"/>
  <c r="X91" i="5"/>
  <c r="Y91" i="5"/>
  <c r="V92" i="5"/>
  <c r="W92" i="5"/>
  <c r="X92" i="5"/>
  <c r="Y92" i="5"/>
  <c r="X3" i="5"/>
  <c r="V3" i="5"/>
  <c r="W3" i="5"/>
  <c r="J4" i="4" l="1"/>
  <c r="K4" i="4" s="1"/>
  <c r="J5" i="4"/>
  <c r="K5" i="4" s="1"/>
  <c r="J6" i="4"/>
  <c r="J7" i="4"/>
  <c r="J8" i="4"/>
  <c r="K8" i="4" s="1"/>
  <c r="J9" i="4"/>
  <c r="L9" i="4" s="1"/>
  <c r="J10" i="4"/>
  <c r="K10" i="4" s="1"/>
  <c r="J11" i="4"/>
  <c r="L11" i="4" s="1"/>
  <c r="J12" i="4"/>
  <c r="K12" i="4" s="1"/>
  <c r="J13" i="4"/>
  <c r="K13" i="4" s="1"/>
  <c r="J14" i="4"/>
  <c r="J15" i="4"/>
  <c r="K15" i="4" s="1"/>
  <c r="J16" i="4"/>
  <c r="K16" i="4" s="1"/>
  <c r="J17" i="4"/>
  <c r="K17" i="4" s="1"/>
  <c r="J18" i="4"/>
  <c r="K18" i="4" s="1"/>
  <c r="J19" i="4"/>
  <c r="L19" i="4" s="1"/>
  <c r="J20" i="4"/>
  <c r="K20" i="4" s="1"/>
  <c r="J21" i="4"/>
  <c r="K21" i="4" s="1"/>
  <c r="J22" i="4"/>
  <c r="J23" i="4"/>
  <c r="J24" i="4"/>
  <c r="K24" i="4" s="1"/>
  <c r="J25" i="4"/>
  <c r="K25" i="4" s="1"/>
  <c r="J26" i="4"/>
  <c r="K26" i="4" s="1"/>
  <c r="J27" i="4"/>
  <c r="L27" i="4" s="1"/>
  <c r="M27" i="4" s="1"/>
  <c r="J28" i="4"/>
  <c r="J29" i="4"/>
  <c r="K29" i="4" s="1"/>
  <c r="J30" i="4"/>
  <c r="J31" i="4"/>
  <c r="J32" i="4"/>
  <c r="K32" i="4" s="1"/>
  <c r="J33" i="4"/>
  <c r="L33" i="4" s="1"/>
  <c r="J34" i="4"/>
  <c r="K34" i="4" s="1"/>
  <c r="J35" i="4"/>
  <c r="L35" i="4" s="1"/>
  <c r="J36" i="4"/>
  <c r="K36" i="4" s="1"/>
  <c r="J37" i="4"/>
  <c r="K37" i="4" s="1"/>
  <c r="J38" i="4"/>
  <c r="J39" i="4"/>
  <c r="J40" i="4"/>
  <c r="K40" i="4" s="1"/>
  <c r="J41" i="4"/>
  <c r="K41" i="4" s="1"/>
  <c r="J42" i="4"/>
  <c r="K42" i="4" s="1"/>
  <c r="J43" i="4"/>
  <c r="L43" i="4" s="1"/>
  <c r="J44" i="4"/>
  <c r="K44" i="4" s="1"/>
  <c r="J45" i="4"/>
  <c r="K45" i="4" s="1"/>
  <c r="J46" i="4"/>
  <c r="J47" i="4"/>
  <c r="K47" i="4" s="1"/>
  <c r="J48" i="4"/>
  <c r="K48" i="4" s="1"/>
  <c r="J49" i="4"/>
  <c r="L49" i="4" s="1"/>
  <c r="J50" i="4"/>
  <c r="K50" i="4" s="1"/>
  <c r="J51" i="4"/>
  <c r="L51" i="4" s="1"/>
  <c r="J52" i="4"/>
  <c r="K52" i="4" s="1"/>
  <c r="J53" i="4"/>
  <c r="K53" i="4" s="1"/>
  <c r="J54" i="4"/>
  <c r="J55" i="4"/>
  <c r="J56" i="4"/>
  <c r="K56" i="4" s="1"/>
  <c r="J57" i="4"/>
  <c r="K57" i="4" s="1"/>
  <c r="J58" i="4"/>
  <c r="K58" i="4" s="1"/>
  <c r="J59" i="4"/>
  <c r="L59" i="4" s="1"/>
  <c r="M59" i="4" s="1"/>
  <c r="J60" i="4"/>
  <c r="J61" i="4"/>
  <c r="K61" i="4" s="1"/>
  <c r="J62" i="4"/>
  <c r="J63" i="4"/>
  <c r="J64" i="4"/>
  <c r="K64" i="4" s="1"/>
  <c r="J65" i="4"/>
  <c r="L65" i="4" s="1"/>
  <c r="J66" i="4"/>
  <c r="K66" i="4" s="1"/>
  <c r="J67" i="4"/>
  <c r="L67" i="4" s="1"/>
  <c r="J68" i="4"/>
  <c r="K68" i="4" s="1"/>
  <c r="J69" i="4"/>
  <c r="K69" i="4" s="1"/>
  <c r="J70" i="4"/>
  <c r="J71" i="4"/>
  <c r="J72" i="4"/>
  <c r="K72" i="4" s="1"/>
  <c r="J73" i="4"/>
  <c r="K73" i="4" s="1"/>
  <c r="J74" i="4"/>
  <c r="K74" i="4" s="1"/>
  <c r="J75" i="4"/>
  <c r="L75" i="4" s="1"/>
  <c r="J76" i="4"/>
  <c r="K76" i="4" s="1"/>
  <c r="J77" i="4"/>
  <c r="L77" i="4" s="1"/>
  <c r="J78" i="4"/>
  <c r="J79" i="4"/>
  <c r="K79" i="4" s="1"/>
  <c r="J80" i="4"/>
  <c r="K80" i="4" s="1"/>
  <c r="J81" i="4"/>
  <c r="L81" i="4" s="1"/>
  <c r="J82" i="4"/>
  <c r="K82" i="4" s="1"/>
  <c r="J83" i="4"/>
  <c r="L83" i="4" s="1"/>
  <c r="J84" i="4"/>
  <c r="L84" i="4" s="1"/>
  <c r="J85" i="4"/>
  <c r="K85" i="4" s="1"/>
  <c r="J86" i="4"/>
  <c r="J87" i="4"/>
  <c r="J88" i="4"/>
  <c r="K88" i="4" s="1"/>
  <c r="J89" i="4"/>
  <c r="K89" i="4" s="1"/>
  <c r="J90" i="4"/>
  <c r="K90" i="4" s="1"/>
  <c r="J91" i="4"/>
  <c r="L91" i="4" s="1"/>
  <c r="M91" i="4" s="1"/>
  <c r="J3" i="4"/>
  <c r="L3" i="4" s="1"/>
  <c r="K6" i="4"/>
  <c r="L6" i="4"/>
  <c r="K7" i="4"/>
  <c r="L7" i="4"/>
  <c r="M7" i="4" s="1"/>
  <c r="K14" i="4"/>
  <c r="L14" i="4"/>
  <c r="L15" i="4"/>
  <c r="L21" i="4"/>
  <c r="K22" i="4"/>
  <c r="L22" i="4"/>
  <c r="K23" i="4"/>
  <c r="L23" i="4"/>
  <c r="L26" i="4"/>
  <c r="K27" i="4"/>
  <c r="K28" i="4"/>
  <c r="L28" i="4"/>
  <c r="K30" i="4"/>
  <c r="L30" i="4"/>
  <c r="K31" i="4"/>
  <c r="L31" i="4"/>
  <c r="L34" i="4"/>
  <c r="K35" i="4"/>
  <c r="M35" i="4" s="1"/>
  <c r="K38" i="4"/>
  <c r="L38" i="4"/>
  <c r="K39" i="4"/>
  <c r="L39" i="4"/>
  <c r="K46" i="4"/>
  <c r="L46" i="4"/>
  <c r="L47" i="4"/>
  <c r="L53" i="4"/>
  <c r="K54" i="4"/>
  <c r="L54" i="4"/>
  <c r="K55" i="4"/>
  <c r="L55" i="4"/>
  <c r="L58" i="4"/>
  <c r="K59" i="4"/>
  <c r="K60" i="4"/>
  <c r="L60" i="4"/>
  <c r="K62" i="4"/>
  <c r="L62" i="4"/>
  <c r="K63" i="4"/>
  <c r="L63" i="4"/>
  <c r="L66" i="4"/>
  <c r="K67" i="4"/>
  <c r="K70" i="4"/>
  <c r="L70" i="4"/>
  <c r="K71" i="4"/>
  <c r="L71" i="4"/>
  <c r="K78" i="4"/>
  <c r="L78" i="4"/>
  <c r="L79" i="4"/>
  <c r="L85" i="4"/>
  <c r="K86" i="4"/>
  <c r="L86" i="4"/>
  <c r="K87" i="4"/>
  <c r="L87" i="4"/>
  <c r="L90" i="4"/>
  <c r="M90" i="4" s="1"/>
  <c r="K91" i="4"/>
  <c r="M34" i="4" l="1"/>
  <c r="M26" i="4"/>
  <c r="M66" i="4"/>
  <c r="M58" i="4"/>
  <c r="M39" i="4"/>
  <c r="M71" i="4"/>
  <c r="M79" i="4"/>
  <c r="M47" i="4"/>
  <c r="M15" i="4"/>
  <c r="M67" i="4"/>
  <c r="M85" i="4"/>
  <c r="M53" i="4"/>
  <c r="M21" i="4"/>
  <c r="M36" i="4"/>
  <c r="M4" i="4"/>
  <c r="M46" i="4"/>
  <c r="M28" i="4"/>
  <c r="L52" i="4"/>
  <c r="M52" i="4" s="1"/>
  <c r="L20" i="4"/>
  <c r="M20" i="4" s="1"/>
  <c r="L13" i="4"/>
  <c r="M13" i="4" s="1"/>
  <c r="K84" i="4"/>
  <c r="M84" i="4" s="1"/>
  <c r="K77" i="4"/>
  <c r="M77" i="4" s="1"/>
  <c r="M63" i="4"/>
  <c r="M38" i="4"/>
  <c r="K83" i="4"/>
  <c r="M83" i="4" s="1"/>
  <c r="L69" i="4"/>
  <c r="M69" i="4" s="1"/>
  <c r="L44" i="4"/>
  <c r="M44" i="4" s="1"/>
  <c r="K19" i="4"/>
  <c r="M19" i="4" s="1"/>
  <c r="L12" i="4"/>
  <c r="M12" i="4" s="1"/>
  <c r="L5" i="4"/>
  <c r="M5" i="4" s="1"/>
  <c r="M73" i="4"/>
  <c r="M62" i="4"/>
  <c r="M30" i="4"/>
  <c r="M88" i="4"/>
  <c r="M56" i="4"/>
  <c r="M40" i="4"/>
  <c r="M78" i="4"/>
  <c r="M60" i="4"/>
  <c r="M14" i="4"/>
  <c r="L45" i="4"/>
  <c r="M45" i="4" s="1"/>
  <c r="M70" i="4"/>
  <c r="M31" i="4"/>
  <c r="M6" i="4"/>
  <c r="L76" i="4"/>
  <c r="M76" i="4" s="1"/>
  <c r="K51" i="4"/>
  <c r="M51" i="4" s="1"/>
  <c r="L37" i="4"/>
  <c r="M37" i="4" s="1"/>
  <c r="M87" i="4"/>
  <c r="L82" i="4"/>
  <c r="M82" i="4" s="1"/>
  <c r="M55" i="4"/>
  <c r="L50" i="4"/>
  <c r="M50" i="4" s="1"/>
  <c r="M23" i="4"/>
  <c r="L18" i="4"/>
  <c r="M18" i="4" s="1"/>
  <c r="K75" i="4"/>
  <c r="M75" i="4" s="1"/>
  <c r="L68" i="4"/>
  <c r="M68" i="4" s="1"/>
  <c r="L61" i="4"/>
  <c r="M61" i="4" s="1"/>
  <c r="K43" i="4"/>
  <c r="M43" i="4" s="1"/>
  <c r="L36" i="4"/>
  <c r="L29" i="4"/>
  <c r="M29" i="4" s="1"/>
  <c r="K11" i="4"/>
  <c r="M11" i="4" s="1"/>
  <c r="L4" i="4"/>
  <c r="M86" i="4"/>
  <c r="L74" i="4"/>
  <c r="M74" i="4" s="1"/>
  <c r="M54" i="4"/>
  <c r="L42" i="4"/>
  <c r="M42" i="4" s="1"/>
  <c r="M22" i="4"/>
  <c r="L10" i="4"/>
  <c r="M10" i="4" s="1"/>
  <c r="L89" i="4"/>
  <c r="M89" i="4" s="1"/>
  <c r="L73" i="4"/>
  <c r="L57" i="4"/>
  <c r="M57" i="4" s="1"/>
  <c r="L41" i="4"/>
  <c r="M41" i="4" s="1"/>
  <c r="L25" i="4"/>
  <c r="M25" i="4" s="1"/>
  <c r="L17" i="4"/>
  <c r="M17" i="4" s="1"/>
  <c r="K81" i="4"/>
  <c r="M81" i="4" s="1"/>
  <c r="K65" i="4"/>
  <c r="M65" i="4" s="1"/>
  <c r="K49" i="4"/>
  <c r="M49" i="4" s="1"/>
  <c r="K33" i="4"/>
  <c r="M33" i="4" s="1"/>
  <c r="K9" i="4"/>
  <c r="M9" i="4" s="1"/>
  <c r="L88" i="4"/>
  <c r="L80" i="4"/>
  <c r="M80" i="4" s="1"/>
  <c r="L72" i="4"/>
  <c r="M72" i="4" s="1"/>
  <c r="L64" i="4"/>
  <c r="M64" i="4" s="1"/>
  <c r="L56" i="4"/>
  <c r="L48" i="4"/>
  <c r="M48" i="4" s="1"/>
  <c r="L40" i="4"/>
  <c r="L32" i="4"/>
  <c r="M32" i="4" s="1"/>
  <c r="L24" i="4"/>
  <c r="M24" i="4" s="1"/>
  <c r="L16" i="4"/>
  <c r="M16" i="4" s="1"/>
  <c r="L8" i="4"/>
  <c r="M8" i="4" s="1"/>
  <c r="K3" i="4"/>
  <c r="M3" i="4" s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3" i="3"/>
</calcChain>
</file>

<file path=xl/sharedStrings.xml><?xml version="1.0" encoding="utf-8"?>
<sst xmlns="http://schemas.openxmlformats.org/spreadsheetml/2006/main" count="52" uniqueCount="15">
  <si>
    <t>issueDate</t>
  </si>
  <si>
    <t>WAC</t>
  </si>
  <si>
    <t>FNCK</t>
  </si>
  <si>
    <t>FNCL</t>
  </si>
  <si>
    <t>issueAmount1</t>
  </si>
  <si>
    <t>Diff</t>
  </si>
  <si>
    <t>CK-CL</t>
  </si>
  <si>
    <t>Amount</t>
  </si>
  <si>
    <t>LS &gt; 417K</t>
  </si>
  <si>
    <t>FGLMC</t>
  </si>
  <si>
    <t>FGT6</t>
  </si>
  <si>
    <t>Amount (M)</t>
  </si>
  <si>
    <t>Total Conv</t>
  </si>
  <si>
    <t>Total Jumbo</t>
  </si>
  <si>
    <t>Pct in 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</si>
</sst>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43" fontId="0" fillId="0" borderId="0" xfId="1" applyFont="1"/>
    <xf numFmtId="43" fontId="0" fillId="0" borderId="0" xfId="1" applyNumberFormat="1" applyFont="1"/>
    <xf numFmtId="43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'Pool Level'!$N$2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Level'!$N$3:$N$92</c:f>
              <c:numCache>
                <c:formatCode>General</c:formatCode>
                <c:ptCount val="90"/>
                <c:pt idx="0">
                  <c:v>28.526506881109981</c:v>
                </c:pt>
                <c:pt idx="1">
                  <c:v>15.081553997819963</c:v>
                </c:pt>
                <c:pt idx="2">
                  <c:v>-4.2281843973039912</c:v>
                </c:pt>
                <c:pt idx="3">
                  <c:v>-7.9017460862709221</c:v>
                </c:pt>
                <c:pt idx="4">
                  <c:v>-7.6730342103129345</c:v>
                </c:pt>
                <c:pt idx="5">
                  <c:v>-2.7540397921160142</c:v>
                </c:pt>
                <c:pt idx="6">
                  <c:v>64.004815714393004</c:v>
                </c:pt>
                <c:pt idx="7">
                  <c:v>47.683750220801002</c:v>
                </c:pt>
                <c:pt idx="8">
                  <c:v>34.474911503874054</c:v>
                </c:pt>
                <c:pt idx="9">
                  <c:v>15.892520755487993</c:v>
                </c:pt>
                <c:pt idx="10">
                  <c:v>51.890263686452002</c:v>
                </c:pt>
                <c:pt idx="11">
                  <c:v>97.024332753450977</c:v>
                </c:pt>
                <c:pt idx="12">
                  <c:v>37.819079350448973</c:v>
                </c:pt>
                <c:pt idx="13">
                  <c:v>29.018398525484024</c:v>
                </c:pt>
                <c:pt idx="14">
                  <c:v>3.2549493785089645</c:v>
                </c:pt>
                <c:pt idx="15">
                  <c:v>2.9969575324510167</c:v>
                </c:pt>
                <c:pt idx="16">
                  <c:v>29.790311898565047</c:v>
                </c:pt>
                <c:pt idx="17">
                  <c:v>24.076027247460008</c:v>
                </c:pt>
                <c:pt idx="18">
                  <c:v>19.148365886630003</c:v>
                </c:pt>
                <c:pt idx="19">
                  <c:v>18.972731718594993</c:v>
                </c:pt>
                <c:pt idx="20">
                  <c:v>17.783458334599</c:v>
                </c:pt>
                <c:pt idx="21">
                  <c:v>7.2192301163470418</c:v>
                </c:pt>
                <c:pt idx="22">
                  <c:v>5.8563012857030472</c:v>
                </c:pt>
                <c:pt idx="23">
                  <c:v>4.6801109649400097</c:v>
                </c:pt>
                <c:pt idx="24">
                  <c:v>-2.3106121091389653</c:v>
                </c:pt>
                <c:pt idx="25">
                  <c:v>5.9839197742530104</c:v>
                </c:pt>
                <c:pt idx="26">
                  <c:v>7.8251246985439948</c:v>
                </c:pt>
                <c:pt idx="27">
                  <c:v>9.7660875946080417</c:v>
                </c:pt>
                <c:pt idx="28">
                  <c:v>7.00154175090697</c:v>
                </c:pt>
                <c:pt idx="29">
                  <c:v>7.131768293259011</c:v>
                </c:pt>
                <c:pt idx="30">
                  <c:v>1.0359678759369828</c:v>
                </c:pt>
                <c:pt idx="31">
                  <c:v>-5.7629456631369536</c:v>
                </c:pt>
                <c:pt idx="32">
                  <c:v>-9.9919634317360284</c:v>
                </c:pt>
                <c:pt idx="33">
                  <c:v>-12.758765483719969</c:v>
                </c:pt>
                <c:pt idx="34">
                  <c:v>-12.093593427514016</c:v>
                </c:pt>
                <c:pt idx="35">
                  <c:v>-12.933808628950061</c:v>
                </c:pt>
                <c:pt idx="36">
                  <c:v>-7.868374565704972</c:v>
                </c:pt>
                <c:pt idx="37">
                  <c:v>-14.963671761221953</c:v>
                </c:pt>
                <c:pt idx="38">
                  <c:v>-7.0890798033260261</c:v>
                </c:pt>
                <c:pt idx="39">
                  <c:v>-3.6907664330060541</c:v>
                </c:pt>
                <c:pt idx="40">
                  <c:v>4.7875578513440153</c:v>
                </c:pt>
                <c:pt idx="41">
                  <c:v>7.4737964294190107</c:v>
                </c:pt>
                <c:pt idx="42">
                  <c:v>6.4236258407110114</c:v>
                </c:pt>
                <c:pt idx="43">
                  <c:v>8.3218260459620552</c:v>
                </c:pt>
                <c:pt idx="44">
                  <c:v>6.6962570812370004</c:v>
                </c:pt>
                <c:pt idx="45">
                  <c:v>2.8063660212310104</c:v>
                </c:pt>
                <c:pt idx="46">
                  <c:v>-2.4107298719620474</c:v>
                </c:pt>
                <c:pt idx="47">
                  <c:v>-5.9091151998780234</c:v>
                </c:pt>
                <c:pt idx="48">
                  <c:v>-0.29866363109096739</c:v>
                </c:pt>
                <c:pt idx="49">
                  <c:v>5.952745713801999</c:v>
                </c:pt>
                <c:pt idx="50">
                  <c:v>6.1268363729380049</c:v>
                </c:pt>
                <c:pt idx="51">
                  <c:v>4.2052222705100117</c:v>
                </c:pt>
                <c:pt idx="52">
                  <c:v>4.0662413149899823</c:v>
                </c:pt>
                <c:pt idx="53">
                  <c:v>2.1860355422850031</c:v>
                </c:pt>
                <c:pt idx="54">
                  <c:v>6.033045914396995</c:v>
                </c:pt>
                <c:pt idx="55">
                  <c:v>5.7154816781920026</c:v>
                </c:pt>
                <c:pt idx="56">
                  <c:v>4.7405713542880257</c:v>
                </c:pt>
                <c:pt idx="57">
                  <c:v>-2.1220765081309878</c:v>
                </c:pt>
                <c:pt idx="58">
                  <c:v>2.8400675657580088</c:v>
                </c:pt>
                <c:pt idx="59">
                  <c:v>-3.1891975799499761</c:v>
                </c:pt>
                <c:pt idx="60">
                  <c:v>-2.7580090049760031</c:v>
                </c:pt>
                <c:pt idx="61">
                  <c:v>-3.9830386684979402</c:v>
                </c:pt>
                <c:pt idx="62">
                  <c:v>-8.9640679217029451</c:v>
                </c:pt>
                <c:pt idx="63">
                  <c:v>-2.3190680206229608</c:v>
                </c:pt>
                <c:pt idx="64">
                  <c:v>-3.0285722596440579</c:v>
                </c:pt>
                <c:pt idx="65">
                  <c:v>-6.4541610020770079</c:v>
                </c:pt>
                <c:pt idx="66">
                  <c:v>-7.1845008721879822</c:v>
                </c:pt>
                <c:pt idx="67">
                  <c:v>0.53532965589999648</c:v>
                </c:pt>
                <c:pt idx="68">
                  <c:v>-4.3081076381650263</c:v>
                </c:pt>
                <c:pt idx="69">
                  <c:v>-4.7809568240909428</c:v>
                </c:pt>
                <c:pt idx="70">
                  <c:v>-5.707377220848997</c:v>
                </c:pt>
                <c:pt idx="71">
                  <c:v>-5.7116284001199169</c:v>
                </c:pt>
                <c:pt idx="72">
                  <c:v>-9.1304794048300053</c:v>
                </c:pt>
                <c:pt idx="73">
                  <c:v>-7.2601712339780633</c:v>
                </c:pt>
                <c:pt idx="74">
                  <c:v>-0.38331974956999915</c:v>
                </c:pt>
                <c:pt idx="75">
                  <c:v>-11.619695971341049</c:v>
                </c:pt>
                <c:pt idx="76">
                  <c:v>-14.169789919533038</c:v>
                </c:pt>
                <c:pt idx="77">
                  <c:v>-8.9475996205020003</c:v>
                </c:pt>
                <c:pt idx="78">
                  <c:v>-8.9621029618989212</c:v>
                </c:pt>
                <c:pt idx="79">
                  <c:v>-15.363618902200038</c:v>
                </c:pt>
                <c:pt idx="80">
                  <c:v>-7.2877185558079649</c:v>
                </c:pt>
                <c:pt idx="81">
                  <c:v>-3.7638844613600231</c:v>
                </c:pt>
                <c:pt idx="82">
                  <c:v>-5.9953505675820029</c:v>
                </c:pt>
                <c:pt idx="83">
                  <c:v>-9.235885836339941</c:v>
                </c:pt>
                <c:pt idx="84">
                  <c:v>-5.5343245628310278</c:v>
                </c:pt>
                <c:pt idx="85">
                  <c:v>-18.593606363739035</c:v>
                </c:pt>
                <c:pt idx="86">
                  <c:v>-10.305755201872024</c:v>
                </c:pt>
                <c:pt idx="87">
                  <c:v>-10.070879546685951</c:v>
                </c:pt>
                <c:pt idx="88">
                  <c:v>-13.529088637247</c:v>
                </c:pt>
                <c:pt idx="89">
                  <c:v>-5.0505814093889434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0648704"/>
        <c:axId val="490642432"/>
      </c:barChart>
      <c:lineChart>
        <c:grouping val="standard"/>
        <c:varyColors val="0"/>
        <c:ser>
          <c:idx val="0"/>
          <c:order val="0"/>
          <c:tx>
            <c:strRef>
              <c:f>'Pool Level'!$L$2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Level'!$L$3:$L$92</c:f>
              <c:numCache>
                <c:formatCode>General</c:formatCode>
                <c:ptCount val="90"/>
                <c:pt idx="0">
                  <c:v>6.2993169893947298</c:v>
                </c:pt>
                <c:pt idx="1">
                  <c:v>6.1448270312832296</c:v>
                </c:pt>
                <c:pt idx="2">
                  <c:v>6.0746575060433798</c:v>
                </c:pt>
                <c:pt idx="3">
                  <c:v>6.2552582149466804</c:v>
                </c:pt>
                <c:pt idx="4">
                  <c:v>6.3763621045402203</c:v>
                </c:pt>
                <c:pt idx="5">
                  <c:v>6.3160939264723099</c:v>
                </c:pt>
                <c:pt idx="6">
                  <c:v>6.61508899457022</c:v>
                </c:pt>
                <c:pt idx="7">
                  <c:v>5.5408758457515797</c:v>
                </c:pt>
                <c:pt idx="8">
                  <c:v>5.3354414409587303</c:v>
                </c:pt>
                <c:pt idx="9">
                  <c:v>5.0985473440799298</c:v>
                </c:pt>
                <c:pt idx="10">
                  <c:v>5.94871326378503</c:v>
                </c:pt>
                <c:pt idx="11">
                  <c:v>6.0411523126401399</c:v>
                </c:pt>
                <c:pt idx="12">
                  <c:v>5.25258091814261</c:v>
                </c:pt>
                <c:pt idx="13">
                  <c:v>5.3019297697116299</c:v>
                </c:pt>
                <c:pt idx="14">
                  <c:v>5.3079660068142296</c:v>
                </c:pt>
                <c:pt idx="15">
                  <c:v>5.1737070860492098</c:v>
                </c:pt>
                <c:pt idx="16">
                  <c:v>5.4206972136522804</c:v>
                </c:pt>
                <c:pt idx="17">
                  <c:v>5.3051625635030302</c:v>
                </c:pt>
                <c:pt idx="18">
                  <c:v>5.2422195151643001</c:v>
                </c:pt>
                <c:pt idx="19">
                  <c:v>5.2274340202475598</c:v>
                </c:pt>
                <c:pt idx="20">
                  <c:v>5.2833886604944702</c:v>
                </c:pt>
                <c:pt idx="21">
                  <c:v>5.1830298059280802</c:v>
                </c:pt>
                <c:pt idx="22">
                  <c:v>5.2037674446010502</c:v>
                </c:pt>
                <c:pt idx="23">
                  <c:v>5.2268019319845598</c:v>
                </c:pt>
                <c:pt idx="24">
                  <c:v>5.0358254105692204</c:v>
                </c:pt>
                <c:pt idx="25">
                  <c:v>4.9350697557393897</c:v>
                </c:pt>
                <c:pt idx="26">
                  <c:v>4.8004870789717398</c:v>
                </c:pt>
                <c:pt idx="27">
                  <c:v>4.7051352128635102</c:v>
                </c:pt>
                <c:pt idx="28">
                  <c:v>4.6083655391721301</c:v>
                </c:pt>
                <c:pt idx="29">
                  <c:v>4.5304927831705797</c:v>
                </c:pt>
                <c:pt idx="30">
                  <c:v>4.4915021240579902</c:v>
                </c:pt>
                <c:pt idx="31">
                  <c:v>4.57399460783272</c:v>
                </c:pt>
                <c:pt idx="32">
                  <c:v>4.7881749717719098</c:v>
                </c:pt>
                <c:pt idx="33">
                  <c:v>4.8920397527883601</c:v>
                </c:pt>
                <c:pt idx="34">
                  <c:v>4.9487228635947798</c:v>
                </c:pt>
                <c:pt idx="35">
                  <c:v>4.9220140046788998</c:v>
                </c:pt>
                <c:pt idx="36">
                  <c:v>4.8272303918235604</c:v>
                </c:pt>
                <c:pt idx="37">
                  <c:v>4.7115447718514103</c:v>
                </c:pt>
                <c:pt idx="38">
                  <c:v>4.64086255441822</c:v>
                </c:pt>
                <c:pt idx="39">
                  <c:v>4.4423498001928898</c:v>
                </c:pt>
                <c:pt idx="40">
                  <c:v>4.3965564312482099</c:v>
                </c:pt>
                <c:pt idx="41">
                  <c:v>4.3703571463322097</c:v>
                </c:pt>
                <c:pt idx="42">
                  <c:v>4.3304920959802304</c:v>
                </c:pt>
                <c:pt idx="43">
                  <c:v>4.2820606026268901</c:v>
                </c:pt>
                <c:pt idx="44">
                  <c:v>4.2005100835491902</c:v>
                </c:pt>
                <c:pt idx="45">
                  <c:v>4.1349457633603803</c:v>
                </c:pt>
                <c:pt idx="46">
                  <c:v>4.1709410121458896</c:v>
                </c:pt>
                <c:pt idx="47">
                  <c:v>4.1056670559846502</c:v>
                </c:pt>
                <c:pt idx="48">
                  <c:v>4.0249987787435701</c:v>
                </c:pt>
                <c:pt idx="49">
                  <c:v>3.9681743278952499</c:v>
                </c:pt>
                <c:pt idx="50">
                  <c:v>3.9138608575900999</c:v>
                </c:pt>
                <c:pt idx="51">
                  <c:v>3.8298094011821702</c:v>
                </c:pt>
                <c:pt idx="52">
                  <c:v>3.7393841468248099</c:v>
                </c:pt>
                <c:pt idx="53">
                  <c:v>3.6469091265269999</c:v>
                </c:pt>
                <c:pt idx="54">
                  <c:v>3.6630548639343501</c:v>
                </c:pt>
                <c:pt idx="55">
                  <c:v>3.6573033588281398</c:v>
                </c:pt>
                <c:pt idx="56">
                  <c:v>3.7374103519442601</c:v>
                </c:pt>
                <c:pt idx="57">
                  <c:v>3.7627008845457102</c:v>
                </c:pt>
                <c:pt idx="58">
                  <c:v>3.8286783849430699</c:v>
                </c:pt>
                <c:pt idx="59">
                  <c:v>3.7511989689374801</c:v>
                </c:pt>
                <c:pt idx="60">
                  <c:v>3.8247008277566401</c:v>
                </c:pt>
                <c:pt idx="61">
                  <c:v>4.1181097567553602</c:v>
                </c:pt>
                <c:pt idx="62">
                  <c:v>4.3725375979349703</c:v>
                </c:pt>
                <c:pt idx="63">
                  <c:v>4.6377010048072602</c:v>
                </c:pt>
                <c:pt idx="64">
                  <c:v>4.6261168959492096</c:v>
                </c:pt>
                <c:pt idx="65">
                  <c:v>4.5166229545902503</c:v>
                </c:pt>
                <c:pt idx="66">
                  <c:v>4.5358987960019004</c:v>
                </c:pt>
                <c:pt idx="67">
                  <c:v>4.6829117389245498</c:v>
                </c:pt>
                <c:pt idx="68">
                  <c:v>4.6516147860401098</c:v>
                </c:pt>
                <c:pt idx="69">
                  <c:v>4.5888709313498204</c:v>
                </c:pt>
                <c:pt idx="70">
                  <c:v>4.5857503385038596</c:v>
                </c:pt>
                <c:pt idx="71">
                  <c:v>4.5417801890084304</c:v>
                </c:pt>
                <c:pt idx="72">
                  <c:v>4.4287287355081997</c:v>
                </c:pt>
                <c:pt idx="73">
                  <c:v>4.3955978354090197</c:v>
                </c:pt>
                <c:pt idx="74">
                  <c:v>4.4317024593860097</c:v>
                </c:pt>
                <c:pt idx="75">
                  <c:v>4.3594237575960699</c:v>
                </c:pt>
                <c:pt idx="76">
                  <c:v>4.3466391693390198</c:v>
                </c:pt>
                <c:pt idx="77">
                  <c:v>4.2734385976748097</c:v>
                </c:pt>
                <c:pt idx="78">
                  <c:v>4.2115290009692004</c:v>
                </c:pt>
                <c:pt idx="79">
                  <c:v>4.05603288397357</c:v>
                </c:pt>
                <c:pt idx="80">
                  <c:v>3.9601078610645701</c:v>
                </c:pt>
                <c:pt idx="81">
                  <c:v>3.9694244775480398</c:v>
                </c:pt>
                <c:pt idx="82">
                  <c:v>3.9935501846671202</c:v>
                </c:pt>
                <c:pt idx="83">
                  <c:v>3.9466098859248802</c:v>
                </c:pt>
                <c:pt idx="84">
                  <c:v>4.0549893147499896</c:v>
                </c:pt>
                <c:pt idx="85">
                  <c:v>4.0696513008361999</c:v>
                </c:pt>
                <c:pt idx="86">
                  <c:v>4.1661401988232196</c:v>
                </c:pt>
                <c:pt idx="87">
                  <c:v>4.1537853390636101</c:v>
                </c:pt>
                <c:pt idx="88">
                  <c:v>4.0864136001973099</c:v>
                </c:pt>
                <c:pt idx="89">
                  <c:v>4.1293286560685303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Level'!$M$2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Level'!$M$3:$M$92</c:f>
              <c:numCache>
                <c:formatCode>General</c:formatCode>
                <c:ptCount val="90"/>
                <c:pt idx="0">
                  <c:v>6.01405192058363</c:v>
                </c:pt>
                <c:pt idx="1">
                  <c:v>5.99401149130503</c:v>
                </c:pt>
                <c:pt idx="2">
                  <c:v>6.1169393500164198</c:v>
                </c:pt>
                <c:pt idx="3">
                  <c:v>6.3342756758093897</c:v>
                </c:pt>
                <c:pt idx="4">
                  <c:v>6.4530924466433497</c:v>
                </c:pt>
                <c:pt idx="5">
                  <c:v>6.3436343243934701</c:v>
                </c:pt>
                <c:pt idx="6">
                  <c:v>5.97504083742629</c:v>
                </c:pt>
                <c:pt idx="7">
                  <c:v>5.0640383435435696</c:v>
                </c:pt>
                <c:pt idx="8">
                  <c:v>4.9906923259199898</c:v>
                </c:pt>
                <c:pt idx="9">
                  <c:v>4.9396221365250499</c:v>
                </c:pt>
                <c:pt idx="10">
                  <c:v>5.42981062692051</c:v>
                </c:pt>
                <c:pt idx="11">
                  <c:v>5.0709089851056302</c:v>
                </c:pt>
                <c:pt idx="12">
                  <c:v>4.8743901246381203</c:v>
                </c:pt>
                <c:pt idx="13">
                  <c:v>5.0117457844567896</c:v>
                </c:pt>
                <c:pt idx="14">
                  <c:v>5.2754165130291399</c:v>
                </c:pt>
                <c:pt idx="15">
                  <c:v>5.1437375107246996</c:v>
                </c:pt>
                <c:pt idx="16">
                  <c:v>5.1227940946666299</c:v>
                </c:pt>
                <c:pt idx="17">
                  <c:v>5.0644022910284301</c:v>
                </c:pt>
                <c:pt idx="18">
                  <c:v>5.050735856298</c:v>
                </c:pt>
                <c:pt idx="19">
                  <c:v>5.0377067030616098</c:v>
                </c:pt>
                <c:pt idx="20">
                  <c:v>5.1055540771484802</c:v>
                </c:pt>
                <c:pt idx="21">
                  <c:v>5.1108375047646097</c:v>
                </c:pt>
                <c:pt idx="22">
                  <c:v>5.1452044317440198</c:v>
                </c:pt>
                <c:pt idx="23">
                  <c:v>5.1800008223351597</c:v>
                </c:pt>
                <c:pt idx="24">
                  <c:v>5.05893153166061</c:v>
                </c:pt>
                <c:pt idx="25">
                  <c:v>4.8752305579968596</c:v>
                </c:pt>
                <c:pt idx="26">
                  <c:v>4.7222358319862998</c:v>
                </c:pt>
                <c:pt idx="27">
                  <c:v>4.6074743369174298</c:v>
                </c:pt>
                <c:pt idx="28">
                  <c:v>4.5383501216630604</c:v>
                </c:pt>
                <c:pt idx="29">
                  <c:v>4.4591751002379896</c:v>
                </c:pt>
                <c:pt idx="30">
                  <c:v>4.4811424452986204</c:v>
                </c:pt>
                <c:pt idx="31">
                  <c:v>4.6316240644640896</c:v>
                </c:pt>
                <c:pt idx="32">
                  <c:v>4.88809460608927</c:v>
                </c:pt>
                <c:pt idx="33">
                  <c:v>5.0196274076255598</c:v>
                </c:pt>
                <c:pt idx="34">
                  <c:v>5.0696587978699199</c:v>
                </c:pt>
                <c:pt idx="35">
                  <c:v>5.0513520909684004</c:v>
                </c:pt>
                <c:pt idx="36">
                  <c:v>4.9059141374806101</c:v>
                </c:pt>
                <c:pt idx="37">
                  <c:v>4.8611814894636298</c:v>
                </c:pt>
                <c:pt idx="38">
                  <c:v>4.7117533524514803</c:v>
                </c:pt>
                <c:pt idx="39">
                  <c:v>4.4792574645229504</c:v>
                </c:pt>
                <c:pt idx="40">
                  <c:v>4.3486808527347698</c:v>
                </c:pt>
                <c:pt idx="41">
                  <c:v>4.2956191820380196</c:v>
                </c:pt>
                <c:pt idx="42">
                  <c:v>4.2662558375731203</c:v>
                </c:pt>
                <c:pt idx="43">
                  <c:v>4.1988423421672696</c:v>
                </c:pt>
                <c:pt idx="44">
                  <c:v>4.1335475127368202</c:v>
                </c:pt>
                <c:pt idx="45">
                  <c:v>4.1068821031480702</c:v>
                </c:pt>
                <c:pt idx="46">
                  <c:v>4.1950483108655101</c:v>
                </c:pt>
                <c:pt idx="47">
                  <c:v>4.1647582079834304</c:v>
                </c:pt>
                <c:pt idx="48">
                  <c:v>4.0279854150544798</c:v>
                </c:pt>
                <c:pt idx="49">
                  <c:v>3.9086468707572299</c:v>
                </c:pt>
                <c:pt idx="50">
                  <c:v>3.8525924938607199</c:v>
                </c:pt>
                <c:pt idx="51">
                  <c:v>3.7877571784770701</c:v>
                </c:pt>
                <c:pt idx="52">
                  <c:v>3.6987217336749101</c:v>
                </c:pt>
                <c:pt idx="53">
                  <c:v>3.6250487711041499</c:v>
                </c:pt>
                <c:pt idx="54">
                  <c:v>3.6027244047903801</c:v>
                </c:pt>
                <c:pt idx="55">
                  <c:v>3.6001485420462198</c:v>
                </c:pt>
                <c:pt idx="56">
                  <c:v>3.6900046384013798</c:v>
                </c:pt>
                <c:pt idx="57">
                  <c:v>3.78392164962702</c:v>
                </c:pt>
                <c:pt idx="58">
                  <c:v>3.8002777092854898</c:v>
                </c:pt>
                <c:pt idx="59">
                  <c:v>3.7830909447369798</c:v>
                </c:pt>
                <c:pt idx="60">
                  <c:v>3.8522809178064001</c:v>
                </c:pt>
                <c:pt idx="61">
                  <c:v>4.1579401434403396</c:v>
                </c:pt>
                <c:pt idx="62">
                  <c:v>4.4621782771519998</c:v>
                </c:pt>
                <c:pt idx="63">
                  <c:v>4.6608916850134898</c:v>
                </c:pt>
                <c:pt idx="64">
                  <c:v>4.6564026185456502</c:v>
                </c:pt>
                <c:pt idx="65">
                  <c:v>4.5811645646110204</c:v>
                </c:pt>
                <c:pt idx="66">
                  <c:v>4.6077438047237802</c:v>
                </c:pt>
                <c:pt idx="67">
                  <c:v>4.6775584423655499</c:v>
                </c:pt>
                <c:pt idx="68">
                  <c:v>4.6946958624217601</c:v>
                </c:pt>
                <c:pt idx="69">
                  <c:v>4.6366804995907298</c:v>
                </c:pt>
                <c:pt idx="70">
                  <c:v>4.6428241107123496</c:v>
                </c:pt>
                <c:pt idx="71">
                  <c:v>4.5988964730096296</c:v>
                </c:pt>
                <c:pt idx="72">
                  <c:v>4.5200335295564997</c:v>
                </c:pt>
                <c:pt idx="73">
                  <c:v>4.4681995477488003</c:v>
                </c:pt>
                <c:pt idx="74">
                  <c:v>4.4355356568817097</c:v>
                </c:pt>
                <c:pt idx="75">
                  <c:v>4.4756207173094804</c:v>
                </c:pt>
                <c:pt idx="76">
                  <c:v>4.4883370685343502</c:v>
                </c:pt>
                <c:pt idx="77">
                  <c:v>4.3629145938798297</c:v>
                </c:pt>
                <c:pt idx="78">
                  <c:v>4.3011500305881896</c:v>
                </c:pt>
                <c:pt idx="79">
                  <c:v>4.2096690729955704</c:v>
                </c:pt>
                <c:pt idx="80">
                  <c:v>4.0329850466226498</c:v>
                </c:pt>
                <c:pt idx="81">
                  <c:v>4.0070633221616401</c:v>
                </c:pt>
                <c:pt idx="82">
                  <c:v>4.0535036903429402</c:v>
                </c:pt>
                <c:pt idx="83">
                  <c:v>4.0389687442882796</c:v>
                </c:pt>
                <c:pt idx="84">
                  <c:v>4.1103325603782999</c:v>
                </c:pt>
                <c:pt idx="85">
                  <c:v>4.2555873644735902</c:v>
                </c:pt>
                <c:pt idx="86">
                  <c:v>4.2691977508419399</c:v>
                </c:pt>
                <c:pt idx="87">
                  <c:v>4.2544941345304697</c:v>
                </c:pt>
                <c:pt idx="88">
                  <c:v>4.2217044865697799</c:v>
                </c:pt>
                <c:pt idx="89">
                  <c:v>4.1798344701624197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639360"/>
        <c:axId val="490640896"/>
      </c:lineChart>
      <c:dateAx>
        <c:axId val="49063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0640896"/>
        <c:crosses val="autoZero"/>
        <c:auto val="1"/>
        <c:lblOffset val="100"/>
        <c:baseTimeUnit val="months"/>
      </c:dateAx>
      <c:valAx>
        <c:axId val="49064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0639360"/>
        <c:crosses val="autoZero"/>
        <c:crossBetween val="between"/>
      </c:valAx>
      <c:valAx>
        <c:axId val="4906424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90648704"/>
        <c:crosses val="max"/>
        <c:crossBetween val="between"/>
      </c:valAx>
      <c:dateAx>
        <c:axId val="4906487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0642432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'Loan Level'!$M$2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'Loan Level'!$J$3:$J$92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</c:numCache>
            </c:numRef>
          </c:cat>
          <c:val>
            <c:numRef>
              <c:f>'Loan Level'!$M$3:$M$92</c:f>
              <c:numCache>
                <c:formatCode>0.0</c:formatCode>
                <c:ptCount val="90"/>
                <c:pt idx="0">
                  <c:v>44.753716597131984</c:v>
                </c:pt>
                <c:pt idx="1">
                  <c:v>17.494934255920924</c:v>
                </c:pt>
                <c:pt idx="2">
                  <c:v>-4.0195355036860114</c:v>
                </c:pt>
                <c:pt idx="3">
                  <c:v>-3.3147012777630103</c:v>
                </c:pt>
                <c:pt idx="4">
                  <c:v>-0.80119907969296023</c:v>
                </c:pt>
                <c:pt idx="5">
                  <c:v>10.136589493197956</c:v>
                </c:pt>
                <c:pt idx="6">
                  <c:v>105.77743127558507</c:v>
                </c:pt>
                <c:pt idx="7">
                  <c:v>51.191072611849009</c:v>
                </c:pt>
                <c:pt idx="8">
                  <c:v>21.506472520542985</c:v>
                </c:pt>
                <c:pt idx="9">
                  <c:v>8.6966322306230026</c:v>
                </c:pt>
                <c:pt idx="10">
                  <c:v>55.51700309503795</c:v>
                </c:pt>
                <c:pt idx="11">
                  <c:v>74.361255607295007</c:v>
                </c:pt>
                <c:pt idx="12">
                  <c:v>33.291015890659992</c:v>
                </c:pt>
                <c:pt idx="13">
                  <c:v>21.081723027912957</c:v>
                </c:pt>
                <c:pt idx="14">
                  <c:v>6.3198205448209421</c:v>
                </c:pt>
                <c:pt idx="15">
                  <c:v>2.5752133470360761</c:v>
                </c:pt>
                <c:pt idx="16">
                  <c:v>29.630734579604034</c:v>
                </c:pt>
                <c:pt idx="17">
                  <c:v>22.069674449589982</c:v>
                </c:pt>
                <c:pt idx="18">
                  <c:v>17.835334779655021</c:v>
                </c:pt>
                <c:pt idx="19">
                  <c:v>16.200820601682064</c:v>
                </c:pt>
                <c:pt idx="20">
                  <c:v>11.095938370725023</c:v>
                </c:pt>
                <c:pt idx="21">
                  <c:v>9.2589580425170404</c:v>
                </c:pt>
                <c:pt idx="22">
                  <c:v>6.5030321976379923</c:v>
                </c:pt>
                <c:pt idx="23">
                  <c:v>4.469784530595966</c:v>
                </c:pt>
                <c:pt idx="24">
                  <c:v>0.23228159523602798</c:v>
                </c:pt>
                <c:pt idx="25">
                  <c:v>8.6063772489489487</c:v>
                </c:pt>
                <c:pt idx="26">
                  <c:v>8.3693872586539264</c:v>
                </c:pt>
                <c:pt idx="27">
                  <c:v>9.6747698330970522</c:v>
                </c:pt>
                <c:pt idx="28">
                  <c:v>7.9186955542859927</c:v>
                </c:pt>
                <c:pt idx="29">
                  <c:v>9.2653601526789586</c:v>
                </c:pt>
                <c:pt idx="30">
                  <c:v>2.6761324724299485</c:v>
                </c:pt>
                <c:pt idx="31">
                  <c:v>-4.9163344368470696</c:v>
                </c:pt>
                <c:pt idx="32">
                  <c:v>-11.73188198015902</c:v>
                </c:pt>
                <c:pt idx="33">
                  <c:v>-18.353329384062</c:v>
                </c:pt>
                <c:pt idx="34">
                  <c:v>-11.107626221421008</c:v>
                </c:pt>
                <c:pt idx="35">
                  <c:v>-11.63392203026401</c:v>
                </c:pt>
                <c:pt idx="36">
                  <c:v>-5.0184504614139591</c:v>
                </c:pt>
                <c:pt idx="37">
                  <c:v>-12.818271475216925</c:v>
                </c:pt>
                <c:pt idx="38">
                  <c:v>-4.6678792944840453</c:v>
                </c:pt>
                <c:pt idx="39">
                  <c:v>-0.9912686767819423</c:v>
                </c:pt>
                <c:pt idx="40">
                  <c:v>7.6957385456080551</c:v>
                </c:pt>
                <c:pt idx="41">
                  <c:v>15.242781748912027</c:v>
                </c:pt>
                <c:pt idx="42">
                  <c:v>11.483919346377025</c:v>
                </c:pt>
                <c:pt idx="43">
                  <c:v>12.527208770678033</c:v>
                </c:pt>
                <c:pt idx="44">
                  <c:v>10.125766607272979</c:v>
                </c:pt>
                <c:pt idx="45">
                  <c:v>6.2208248727439575</c:v>
                </c:pt>
                <c:pt idx="46">
                  <c:v>4.5086125861530491</c:v>
                </c:pt>
                <c:pt idx="47">
                  <c:v>-1.3937661891580078</c:v>
                </c:pt>
                <c:pt idx="48">
                  <c:v>4.1056464217100075</c:v>
                </c:pt>
                <c:pt idx="49">
                  <c:v>10.136510361599971</c:v>
                </c:pt>
                <c:pt idx="50">
                  <c:v>13.614348248434993</c:v>
                </c:pt>
                <c:pt idx="51">
                  <c:v>8.0636495333860303</c:v>
                </c:pt>
                <c:pt idx="52">
                  <c:v>7.4275949537339958</c:v>
                </c:pt>
                <c:pt idx="53">
                  <c:v>7.1108784853620044</c:v>
                </c:pt>
                <c:pt idx="54">
                  <c:v>10.049604563156</c:v>
                </c:pt>
                <c:pt idx="55">
                  <c:v>10.430847795641984</c:v>
                </c:pt>
                <c:pt idx="56">
                  <c:v>9.28611052325099</c:v>
                </c:pt>
                <c:pt idx="57">
                  <c:v>1.7611324848590293</c:v>
                </c:pt>
                <c:pt idx="58">
                  <c:v>5.1317117341470375</c:v>
                </c:pt>
                <c:pt idx="59">
                  <c:v>0.43662849969998696</c:v>
                </c:pt>
                <c:pt idx="60">
                  <c:v>1.8718932552800105</c:v>
                </c:pt>
                <c:pt idx="61">
                  <c:v>-0.77747231050100396</c:v>
                </c:pt>
                <c:pt idx="62">
                  <c:v>-4.6289524997810361</c:v>
                </c:pt>
                <c:pt idx="63">
                  <c:v>2.531062267533013</c:v>
                </c:pt>
                <c:pt idx="64">
                  <c:v>-0.82972606239399838</c:v>
                </c:pt>
                <c:pt idx="65">
                  <c:v>-2.8310128697059511</c:v>
                </c:pt>
                <c:pt idx="66">
                  <c:v>-3.2734555644870156</c:v>
                </c:pt>
                <c:pt idx="67">
                  <c:v>3.1433046753390315</c:v>
                </c:pt>
                <c:pt idx="68">
                  <c:v>-1.2000173643169632</c:v>
                </c:pt>
                <c:pt idx="69">
                  <c:v>-0.33240508237692978</c:v>
                </c:pt>
                <c:pt idx="70">
                  <c:v>-2.706618274493966</c:v>
                </c:pt>
                <c:pt idx="71">
                  <c:v>-1.0868393285529798</c:v>
                </c:pt>
                <c:pt idx="72">
                  <c:v>-3.6330900999240079</c:v>
                </c:pt>
                <c:pt idx="73">
                  <c:v>-3.6617865612350364</c:v>
                </c:pt>
                <c:pt idx="74">
                  <c:v>4.6732501334969534</c:v>
                </c:pt>
                <c:pt idx="75">
                  <c:v>-5.4465945428299634</c:v>
                </c:pt>
                <c:pt idx="76">
                  <c:v>-12.35214765794499</c:v>
                </c:pt>
                <c:pt idx="77">
                  <c:v>-3.8149899982599322</c:v>
                </c:pt>
                <c:pt idx="78">
                  <c:v>-3.4366677154149983</c:v>
                </c:pt>
                <c:pt idx="79">
                  <c:v>-8.5822542351049691</c:v>
                </c:pt>
                <c:pt idx="80">
                  <c:v>-1.804287554318984</c:v>
                </c:pt>
                <c:pt idx="81">
                  <c:v>0.9045766277300249</c:v>
                </c:pt>
                <c:pt idx="82">
                  <c:v>-0.20659149890902562</c:v>
                </c:pt>
                <c:pt idx="83">
                  <c:v>-3.2483947760779674</c:v>
                </c:pt>
                <c:pt idx="84">
                  <c:v>-1.2055248700399979</c:v>
                </c:pt>
                <c:pt idx="85">
                  <c:v>-15.534105047022972</c:v>
                </c:pt>
                <c:pt idx="86">
                  <c:v>-7.9938386721230437</c:v>
                </c:pt>
                <c:pt idx="87">
                  <c:v>-6.9108191519799966</c:v>
                </c:pt>
                <c:pt idx="88">
                  <c:v>-10.782567037732971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41760"/>
        <c:axId val="500340224"/>
      </c:barChart>
      <c:lineChart>
        <c:grouping val="standard"/>
        <c:varyColors val="0"/>
        <c:ser>
          <c:idx val="0"/>
          <c:order val="0"/>
          <c:tx>
            <c:strRef>
              <c:f>'Loan Level'!$K$2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'Loan Level'!$J$3:$J$92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</c:numCache>
            </c:numRef>
          </c:cat>
          <c:val>
            <c:numRef>
              <c:f>'Loan Level'!$K$3:$K$92</c:f>
              <c:numCache>
                <c:formatCode>0.00</c:formatCode>
                <c:ptCount val="90"/>
                <c:pt idx="0">
                  <c:v>5.9274628340286801</c:v>
                </c:pt>
                <c:pt idx="1">
                  <c:v>5.9458349532352903</c:v>
                </c:pt>
                <c:pt idx="2">
                  <c:v>6.0674344668909299</c:v>
                </c:pt>
                <c:pt idx="3">
                  <c:v>6.2795147386500103</c:v>
                </c:pt>
                <c:pt idx="4">
                  <c:v>6.3812316732204897</c:v>
                </c:pt>
                <c:pt idx="5">
                  <c:v>6.2765467271439004</c:v>
                </c:pt>
                <c:pt idx="6">
                  <c:v>5.8893627476589296</c:v>
                </c:pt>
                <c:pt idx="7">
                  <c:v>4.9399991412112501</c:v>
                </c:pt>
                <c:pt idx="8">
                  <c:v>4.8785216825224902</c:v>
                </c:pt>
                <c:pt idx="9">
                  <c:v>4.8638683094476498</c:v>
                </c:pt>
                <c:pt idx="10">
                  <c:v>5.1680404365589201</c:v>
                </c:pt>
                <c:pt idx="11">
                  <c:v>4.82928089683449</c:v>
                </c:pt>
                <c:pt idx="12">
                  <c:v>4.7871995841758697</c:v>
                </c:pt>
                <c:pt idx="13">
                  <c:v>4.9368061616734504</c:v>
                </c:pt>
                <c:pt idx="14">
                  <c:v>5.0925576120776403</c:v>
                </c:pt>
                <c:pt idx="15">
                  <c:v>5.0857161195162597</c:v>
                </c:pt>
                <c:pt idx="16">
                  <c:v>5.078866004619</c:v>
                </c:pt>
                <c:pt idx="17">
                  <c:v>5.0211509166157198</c:v>
                </c:pt>
                <c:pt idx="18">
                  <c:v>5.0092407811162296</c:v>
                </c:pt>
                <c:pt idx="19">
                  <c:v>5.0038385694707097</c:v>
                </c:pt>
                <c:pt idx="20">
                  <c:v>5.0714390148175701</c:v>
                </c:pt>
                <c:pt idx="21">
                  <c:v>5.0870377621813896</c:v>
                </c:pt>
                <c:pt idx="22">
                  <c:v>5.1218516924411404</c:v>
                </c:pt>
                <c:pt idx="23">
                  <c:v>5.1341011640378502</c:v>
                </c:pt>
                <c:pt idx="24">
                  <c:v>5.0365657221265501</c:v>
                </c:pt>
                <c:pt idx="25">
                  <c:v>4.8474889438713502</c:v>
                </c:pt>
                <c:pt idx="26">
                  <c:v>4.6973459559472204</c:v>
                </c:pt>
                <c:pt idx="27">
                  <c:v>4.5759462233797699</c:v>
                </c:pt>
                <c:pt idx="28">
                  <c:v>4.5069513689208902</c:v>
                </c:pt>
                <c:pt idx="29">
                  <c:v>4.4219799495168601</c:v>
                </c:pt>
                <c:pt idx="30">
                  <c:v>4.4385152108216701</c:v>
                </c:pt>
                <c:pt idx="31">
                  <c:v>4.5761553363845504</c:v>
                </c:pt>
                <c:pt idx="32">
                  <c:v>4.8096038933817304</c:v>
                </c:pt>
                <c:pt idx="33">
                  <c:v>4.9767864877155601</c:v>
                </c:pt>
                <c:pt idx="34">
                  <c:v>5.0425131462395401</c:v>
                </c:pt>
                <c:pt idx="35">
                  <c:v>5.0248842882467502</c:v>
                </c:pt>
                <c:pt idx="36">
                  <c:v>4.8772252006686196</c:v>
                </c:pt>
                <c:pt idx="37">
                  <c:v>4.8363820926691696</c:v>
                </c:pt>
                <c:pt idx="38">
                  <c:v>4.6810970781360304</c:v>
                </c:pt>
                <c:pt idx="39">
                  <c:v>4.4465595697710496</c:v>
                </c:pt>
                <c:pt idx="40">
                  <c:v>4.3168623942657796</c:v>
                </c:pt>
                <c:pt idx="41">
                  <c:v>4.2092702337220498</c:v>
                </c:pt>
                <c:pt idx="42">
                  <c:v>4.2144779553704996</c:v>
                </c:pt>
                <c:pt idx="43">
                  <c:v>4.14873975553152</c:v>
                </c:pt>
                <c:pt idx="44">
                  <c:v>4.0873313467596901</c:v>
                </c:pt>
                <c:pt idx="45">
                  <c:v>4.0615707562121903</c:v>
                </c:pt>
                <c:pt idx="46">
                  <c:v>4.1110004195524699</c:v>
                </c:pt>
                <c:pt idx="47">
                  <c:v>4.1135489285999203</c:v>
                </c:pt>
                <c:pt idx="48">
                  <c:v>3.97808455193652</c:v>
                </c:pt>
                <c:pt idx="49">
                  <c:v>3.8617020385981302</c:v>
                </c:pt>
                <c:pt idx="50">
                  <c:v>3.7733819952113601</c:v>
                </c:pt>
                <c:pt idx="51">
                  <c:v>3.7382330713563499</c:v>
                </c:pt>
                <c:pt idx="52">
                  <c:v>3.6516310685855902</c:v>
                </c:pt>
                <c:pt idx="53">
                  <c:v>3.5727041397908499</c:v>
                </c:pt>
                <c:pt idx="54">
                  <c:v>3.5530465476448501</c:v>
                </c:pt>
                <c:pt idx="55">
                  <c:v>3.5498527720992601</c:v>
                </c:pt>
                <c:pt idx="56">
                  <c:v>3.6382632261646699</c:v>
                </c:pt>
                <c:pt idx="57">
                  <c:v>3.7353771975532899</c:v>
                </c:pt>
                <c:pt idx="58">
                  <c:v>3.7601506692407298</c:v>
                </c:pt>
                <c:pt idx="59">
                  <c:v>3.7298142086411201</c:v>
                </c:pt>
                <c:pt idx="60">
                  <c:v>3.7946058022060201</c:v>
                </c:pt>
                <c:pt idx="61">
                  <c:v>4.0946548495280597</c:v>
                </c:pt>
                <c:pt idx="62">
                  <c:v>4.4012497130787702</c:v>
                </c:pt>
                <c:pt idx="63">
                  <c:v>4.5991938154436296</c:v>
                </c:pt>
                <c:pt idx="64">
                  <c:v>4.5919275467719496</c:v>
                </c:pt>
                <c:pt idx="65">
                  <c:v>4.5013379620201599</c:v>
                </c:pt>
                <c:pt idx="66">
                  <c:v>4.5306220746030998</c:v>
                </c:pt>
                <c:pt idx="67">
                  <c:v>4.5954229786032998</c:v>
                </c:pt>
                <c:pt idx="68">
                  <c:v>4.6185118991901</c:v>
                </c:pt>
                <c:pt idx="69">
                  <c:v>4.5565658997008596</c:v>
                </c:pt>
                <c:pt idx="70">
                  <c:v>4.5673159674058699</c:v>
                </c:pt>
                <c:pt idx="71">
                  <c:v>4.5179605371255001</c:v>
                </c:pt>
                <c:pt idx="72">
                  <c:v>4.4315817899379599</c:v>
                </c:pt>
                <c:pt idx="73">
                  <c:v>4.3804308344050904</c:v>
                </c:pt>
                <c:pt idx="74">
                  <c:v>4.3526198652641002</c:v>
                </c:pt>
                <c:pt idx="75">
                  <c:v>4.3683732769038297</c:v>
                </c:pt>
                <c:pt idx="76">
                  <c:v>4.4276439876552001</c:v>
                </c:pt>
                <c:pt idx="77">
                  <c:v>4.2713058539944697</c:v>
                </c:pt>
                <c:pt idx="78">
                  <c:v>4.21070524259303</c:v>
                </c:pt>
                <c:pt idx="79">
                  <c:v>4.10922277520595</c:v>
                </c:pt>
                <c:pt idx="80">
                  <c:v>3.9553607327322799</c:v>
                </c:pt>
                <c:pt idx="81">
                  <c:v>3.9276818742844699</c:v>
                </c:pt>
                <c:pt idx="82">
                  <c:v>3.9798879750114602</c:v>
                </c:pt>
                <c:pt idx="83">
                  <c:v>3.9503007983611198</c:v>
                </c:pt>
                <c:pt idx="84">
                  <c:v>4.0229617778936904</c:v>
                </c:pt>
                <c:pt idx="85">
                  <c:v>4.1744258309329396</c:v>
                </c:pt>
                <c:pt idx="86">
                  <c:v>4.1836238978343703</c:v>
                </c:pt>
                <c:pt idx="87">
                  <c:v>4.1707434581814402</c:v>
                </c:pt>
                <c:pt idx="88">
                  <c:v>4.1363755415572196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'Loan Level'!$L$2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'Loan Level'!$J$3:$J$92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</c:numCache>
            </c:numRef>
          </c:cat>
          <c:val>
            <c:numRef>
              <c:f>'Loan Level'!$L$3:$L$92</c:f>
              <c:numCache>
                <c:formatCode>0.00</c:formatCode>
                <c:ptCount val="90"/>
                <c:pt idx="0">
                  <c:v>6.375</c:v>
                </c:pt>
                <c:pt idx="1">
                  <c:v>6.1207842957944996</c:v>
                </c:pt>
                <c:pt idx="2">
                  <c:v>6.0272391118540698</c:v>
                </c:pt>
                <c:pt idx="3">
                  <c:v>6.2463677258723802</c:v>
                </c:pt>
                <c:pt idx="4">
                  <c:v>6.3732196824235601</c:v>
                </c:pt>
                <c:pt idx="5">
                  <c:v>6.3779126220758799</c:v>
                </c:pt>
                <c:pt idx="6">
                  <c:v>6.9471370604147804</c:v>
                </c:pt>
                <c:pt idx="7">
                  <c:v>5.4519098673297401</c:v>
                </c:pt>
                <c:pt idx="8">
                  <c:v>5.09358640772792</c:v>
                </c:pt>
                <c:pt idx="9">
                  <c:v>4.9508346317538798</c:v>
                </c:pt>
                <c:pt idx="10">
                  <c:v>5.7232104675092996</c:v>
                </c:pt>
                <c:pt idx="11">
                  <c:v>5.5728934529074401</c:v>
                </c:pt>
                <c:pt idx="12">
                  <c:v>5.1201097430824696</c:v>
                </c:pt>
                <c:pt idx="13">
                  <c:v>5.14762339195258</c:v>
                </c:pt>
                <c:pt idx="14">
                  <c:v>5.1557558175258498</c:v>
                </c:pt>
                <c:pt idx="15">
                  <c:v>5.1114682529866204</c:v>
                </c:pt>
                <c:pt idx="16">
                  <c:v>5.3751733504150403</c:v>
                </c:pt>
                <c:pt idx="17">
                  <c:v>5.2418476611116196</c:v>
                </c:pt>
                <c:pt idx="18">
                  <c:v>5.1875941289127798</c:v>
                </c:pt>
                <c:pt idx="19">
                  <c:v>5.1658467754875304</c:v>
                </c:pt>
                <c:pt idx="20">
                  <c:v>5.1823983985248203</c:v>
                </c:pt>
                <c:pt idx="21">
                  <c:v>5.17962734260656</c:v>
                </c:pt>
                <c:pt idx="22">
                  <c:v>5.1868820144175203</c:v>
                </c:pt>
                <c:pt idx="23">
                  <c:v>5.1787990093438099</c:v>
                </c:pt>
                <c:pt idx="24">
                  <c:v>5.0388885380789104</c:v>
                </c:pt>
                <c:pt idx="25">
                  <c:v>4.9335527163608397</c:v>
                </c:pt>
                <c:pt idx="26">
                  <c:v>4.7810398285337596</c:v>
                </c:pt>
                <c:pt idx="27">
                  <c:v>4.6726939217107404</c:v>
                </c:pt>
                <c:pt idx="28">
                  <c:v>4.5861383244637501</c:v>
                </c:pt>
                <c:pt idx="29">
                  <c:v>4.5146335510436497</c:v>
                </c:pt>
                <c:pt idx="30">
                  <c:v>4.4652765355459696</c:v>
                </c:pt>
                <c:pt idx="31">
                  <c:v>4.5269919920160797</c:v>
                </c:pt>
                <c:pt idx="32">
                  <c:v>4.6922850735801402</c:v>
                </c:pt>
                <c:pt idx="33">
                  <c:v>4.7932531938749401</c:v>
                </c:pt>
                <c:pt idx="34">
                  <c:v>4.93143688402533</c:v>
                </c:pt>
                <c:pt idx="35">
                  <c:v>4.9085450679441101</c:v>
                </c:pt>
                <c:pt idx="36">
                  <c:v>4.8270406960544801</c:v>
                </c:pt>
                <c:pt idx="37">
                  <c:v>4.7081993779170004</c:v>
                </c:pt>
                <c:pt idx="38">
                  <c:v>4.6344182851911899</c:v>
                </c:pt>
                <c:pt idx="39">
                  <c:v>4.4366468830032302</c:v>
                </c:pt>
                <c:pt idx="40">
                  <c:v>4.3938197797218601</c:v>
                </c:pt>
                <c:pt idx="41">
                  <c:v>4.36169805121117</c:v>
                </c:pt>
                <c:pt idx="42">
                  <c:v>4.3293171488342699</c:v>
                </c:pt>
                <c:pt idx="43">
                  <c:v>4.2740118432383003</c:v>
                </c:pt>
                <c:pt idx="44">
                  <c:v>4.1885890128324199</c:v>
                </c:pt>
                <c:pt idx="45">
                  <c:v>4.1237790049396299</c:v>
                </c:pt>
                <c:pt idx="46">
                  <c:v>4.1560865454140004</c:v>
                </c:pt>
                <c:pt idx="47">
                  <c:v>4.0996112667083402</c:v>
                </c:pt>
                <c:pt idx="48">
                  <c:v>4.0191410161536201</c:v>
                </c:pt>
                <c:pt idx="49">
                  <c:v>3.9630671422141299</c:v>
                </c:pt>
                <c:pt idx="50">
                  <c:v>3.90952547769571</c:v>
                </c:pt>
                <c:pt idx="51">
                  <c:v>3.8188695666902102</c:v>
                </c:pt>
                <c:pt idx="52">
                  <c:v>3.7259070181229301</c:v>
                </c:pt>
                <c:pt idx="53">
                  <c:v>3.6438129246444699</c:v>
                </c:pt>
                <c:pt idx="54">
                  <c:v>3.6535425932764101</c:v>
                </c:pt>
                <c:pt idx="55">
                  <c:v>3.6541612500556799</c:v>
                </c:pt>
                <c:pt idx="56">
                  <c:v>3.7311243313971798</c:v>
                </c:pt>
                <c:pt idx="57">
                  <c:v>3.7529885224018802</c:v>
                </c:pt>
                <c:pt idx="58">
                  <c:v>3.8114677865822002</c:v>
                </c:pt>
                <c:pt idx="59">
                  <c:v>3.73418049363812</c:v>
                </c:pt>
                <c:pt idx="60">
                  <c:v>3.8133247347588202</c:v>
                </c:pt>
                <c:pt idx="61">
                  <c:v>4.0868801264230497</c:v>
                </c:pt>
                <c:pt idx="62">
                  <c:v>4.3549601880809599</c:v>
                </c:pt>
                <c:pt idx="63">
                  <c:v>4.6245044381189597</c:v>
                </c:pt>
                <c:pt idx="64">
                  <c:v>4.5836302861480096</c:v>
                </c:pt>
                <c:pt idx="65">
                  <c:v>4.4730278333231004</c:v>
                </c:pt>
                <c:pt idx="66">
                  <c:v>4.4978875189582297</c:v>
                </c:pt>
                <c:pt idx="67">
                  <c:v>4.6268560253566902</c:v>
                </c:pt>
                <c:pt idx="68">
                  <c:v>4.6065117255469303</c:v>
                </c:pt>
                <c:pt idx="69">
                  <c:v>4.5532418488770903</c:v>
                </c:pt>
                <c:pt idx="70">
                  <c:v>4.5402497846609302</c:v>
                </c:pt>
                <c:pt idx="71">
                  <c:v>4.5070921438399703</c:v>
                </c:pt>
                <c:pt idx="72">
                  <c:v>4.3952508889387198</c:v>
                </c:pt>
                <c:pt idx="73">
                  <c:v>4.34381296879274</c:v>
                </c:pt>
                <c:pt idx="74">
                  <c:v>4.3993523665990697</c:v>
                </c:pt>
                <c:pt idx="75">
                  <c:v>4.3139073314755301</c:v>
                </c:pt>
                <c:pt idx="76">
                  <c:v>4.3041225110757502</c:v>
                </c:pt>
                <c:pt idx="77">
                  <c:v>4.2331559540118704</c:v>
                </c:pt>
                <c:pt idx="78">
                  <c:v>4.17633856543888</c:v>
                </c:pt>
                <c:pt idx="79">
                  <c:v>4.0234002328549003</c:v>
                </c:pt>
                <c:pt idx="80">
                  <c:v>3.9373178571890901</c:v>
                </c:pt>
                <c:pt idx="81">
                  <c:v>3.9367276405617702</c:v>
                </c:pt>
                <c:pt idx="82">
                  <c:v>3.9778220600223699</c:v>
                </c:pt>
                <c:pt idx="83">
                  <c:v>3.9178168506003401</c:v>
                </c:pt>
                <c:pt idx="84">
                  <c:v>4.0109065291932904</c:v>
                </c:pt>
                <c:pt idx="85">
                  <c:v>4.0190847804627099</c:v>
                </c:pt>
                <c:pt idx="86">
                  <c:v>4.1036855111131398</c:v>
                </c:pt>
                <c:pt idx="87">
                  <c:v>4.1016352666616402</c:v>
                </c:pt>
                <c:pt idx="88">
                  <c:v>4.0285498711798899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71904"/>
        <c:axId val="500173440"/>
      </c:lineChart>
      <c:dateAx>
        <c:axId val="500171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0173440"/>
        <c:crosses val="autoZero"/>
        <c:auto val="1"/>
        <c:lblOffset val="100"/>
        <c:baseTimeUnit val="months"/>
      </c:dateAx>
      <c:valAx>
        <c:axId val="500173440"/>
        <c:scaling>
          <c:orientation val="minMax"/>
          <c:min val="3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00171904"/>
        <c:crosses val="autoZero"/>
        <c:crossBetween val="between"/>
      </c:valAx>
      <c:valAx>
        <c:axId val="50034022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crossAx val="500341760"/>
        <c:crosses val="max"/>
        <c:crossBetween val="between"/>
      </c:valAx>
      <c:dateAx>
        <c:axId val="5003417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00340224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'Pool Level'!$N$2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Level'!$N$3:$N$92</c:f>
              <c:numCache>
                <c:formatCode>General</c:formatCode>
                <c:ptCount val="90"/>
                <c:pt idx="0">
                  <c:v>28.526506881109981</c:v>
                </c:pt>
                <c:pt idx="1">
                  <c:v>15.081553997819963</c:v>
                </c:pt>
                <c:pt idx="2">
                  <c:v>-4.2281843973039912</c:v>
                </c:pt>
                <c:pt idx="3">
                  <c:v>-7.9017460862709221</c:v>
                </c:pt>
                <c:pt idx="4">
                  <c:v>-7.6730342103129345</c:v>
                </c:pt>
                <c:pt idx="5">
                  <c:v>-2.7540397921160142</c:v>
                </c:pt>
                <c:pt idx="6">
                  <c:v>64.004815714393004</c:v>
                </c:pt>
                <c:pt idx="7">
                  <c:v>47.683750220801002</c:v>
                </c:pt>
                <c:pt idx="8">
                  <c:v>34.474911503874054</c:v>
                </c:pt>
                <c:pt idx="9">
                  <c:v>15.892520755487993</c:v>
                </c:pt>
                <c:pt idx="10">
                  <c:v>51.890263686452002</c:v>
                </c:pt>
                <c:pt idx="11">
                  <c:v>97.024332753450977</c:v>
                </c:pt>
                <c:pt idx="12">
                  <c:v>37.819079350448973</c:v>
                </c:pt>
                <c:pt idx="13">
                  <c:v>29.018398525484024</c:v>
                </c:pt>
                <c:pt idx="14">
                  <c:v>3.2549493785089645</c:v>
                </c:pt>
                <c:pt idx="15">
                  <c:v>2.9969575324510167</c:v>
                </c:pt>
                <c:pt idx="16">
                  <c:v>29.790311898565047</c:v>
                </c:pt>
                <c:pt idx="17">
                  <c:v>24.076027247460008</c:v>
                </c:pt>
                <c:pt idx="18">
                  <c:v>19.148365886630003</c:v>
                </c:pt>
                <c:pt idx="19">
                  <c:v>18.972731718594993</c:v>
                </c:pt>
                <c:pt idx="20">
                  <c:v>17.783458334599</c:v>
                </c:pt>
                <c:pt idx="21">
                  <c:v>7.2192301163470418</c:v>
                </c:pt>
                <c:pt idx="22">
                  <c:v>5.8563012857030472</c:v>
                </c:pt>
                <c:pt idx="23">
                  <c:v>4.6801109649400097</c:v>
                </c:pt>
                <c:pt idx="24">
                  <c:v>-2.3106121091389653</c:v>
                </c:pt>
                <c:pt idx="25">
                  <c:v>5.9839197742530104</c:v>
                </c:pt>
                <c:pt idx="26">
                  <c:v>7.8251246985439948</c:v>
                </c:pt>
                <c:pt idx="27">
                  <c:v>9.7660875946080417</c:v>
                </c:pt>
                <c:pt idx="28">
                  <c:v>7.00154175090697</c:v>
                </c:pt>
                <c:pt idx="29">
                  <c:v>7.131768293259011</c:v>
                </c:pt>
                <c:pt idx="30">
                  <c:v>1.0359678759369828</c:v>
                </c:pt>
                <c:pt idx="31">
                  <c:v>-5.7629456631369536</c:v>
                </c:pt>
                <c:pt idx="32">
                  <c:v>-9.9919634317360284</c:v>
                </c:pt>
                <c:pt idx="33">
                  <c:v>-12.758765483719969</c:v>
                </c:pt>
                <c:pt idx="34">
                  <c:v>-12.093593427514016</c:v>
                </c:pt>
                <c:pt idx="35">
                  <c:v>-12.933808628950061</c:v>
                </c:pt>
                <c:pt idx="36">
                  <c:v>-7.868374565704972</c:v>
                </c:pt>
                <c:pt idx="37">
                  <c:v>-14.963671761221953</c:v>
                </c:pt>
                <c:pt idx="38">
                  <c:v>-7.0890798033260261</c:v>
                </c:pt>
                <c:pt idx="39">
                  <c:v>-3.6907664330060541</c:v>
                </c:pt>
                <c:pt idx="40">
                  <c:v>4.7875578513440153</c:v>
                </c:pt>
                <c:pt idx="41">
                  <c:v>7.4737964294190107</c:v>
                </c:pt>
                <c:pt idx="42">
                  <c:v>6.4236258407110114</c:v>
                </c:pt>
                <c:pt idx="43">
                  <c:v>8.3218260459620552</c:v>
                </c:pt>
                <c:pt idx="44">
                  <c:v>6.6962570812370004</c:v>
                </c:pt>
                <c:pt idx="45">
                  <c:v>2.8063660212310104</c:v>
                </c:pt>
                <c:pt idx="46">
                  <c:v>-2.4107298719620474</c:v>
                </c:pt>
                <c:pt idx="47">
                  <c:v>-5.9091151998780234</c:v>
                </c:pt>
                <c:pt idx="48">
                  <c:v>-0.29866363109096739</c:v>
                </c:pt>
                <c:pt idx="49">
                  <c:v>5.952745713801999</c:v>
                </c:pt>
                <c:pt idx="50">
                  <c:v>6.1268363729380049</c:v>
                </c:pt>
                <c:pt idx="51">
                  <c:v>4.2052222705100117</c:v>
                </c:pt>
                <c:pt idx="52">
                  <c:v>4.0662413149899823</c:v>
                </c:pt>
                <c:pt idx="53">
                  <c:v>2.1860355422850031</c:v>
                </c:pt>
                <c:pt idx="54">
                  <c:v>6.033045914396995</c:v>
                </c:pt>
                <c:pt idx="55">
                  <c:v>5.7154816781920026</c:v>
                </c:pt>
                <c:pt idx="56">
                  <c:v>4.7405713542880257</c:v>
                </c:pt>
                <c:pt idx="57">
                  <c:v>-2.1220765081309878</c:v>
                </c:pt>
                <c:pt idx="58">
                  <c:v>2.8400675657580088</c:v>
                </c:pt>
                <c:pt idx="59">
                  <c:v>-3.1891975799499761</c:v>
                </c:pt>
                <c:pt idx="60">
                  <c:v>-2.7580090049760031</c:v>
                </c:pt>
                <c:pt idx="61">
                  <c:v>-3.9830386684979402</c:v>
                </c:pt>
                <c:pt idx="62">
                  <c:v>-8.9640679217029451</c:v>
                </c:pt>
                <c:pt idx="63">
                  <c:v>-2.3190680206229608</c:v>
                </c:pt>
                <c:pt idx="64">
                  <c:v>-3.0285722596440579</c:v>
                </c:pt>
                <c:pt idx="65">
                  <c:v>-6.4541610020770079</c:v>
                </c:pt>
                <c:pt idx="66">
                  <c:v>-7.1845008721879822</c:v>
                </c:pt>
                <c:pt idx="67">
                  <c:v>0.53532965589999648</c:v>
                </c:pt>
                <c:pt idx="68">
                  <c:v>-4.3081076381650263</c:v>
                </c:pt>
                <c:pt idx="69">
                  <c:v>-4.7809568240909428</c:v>
                </c:pt>
                <c:pt idx="70">
                  <c:v>-5.707377220848997</c:v>
                </c:pt>
                <c:pt idx="71">
                  <c:v>-5.7116284001199169</c:v>
                </c:pt>
                <c:pt idx="72">
                  <c:v>-9.1304794048300053</c:v>
                </c:pt>
                <c:pt idx="73">
                  <c:v>-7.2601712339780633</c:v>
                </c:pt>
                <c:pt idx="74">
                  <c:v>-0.38331974956999915</c:v>
                </c:pt>
                <c:pt idx="75">
                  <c:v>-11.619695971341049</c:v>
                </c:pt>
                <c:pt idx="76">
                  <c:v>-14.169789919533038</c:v>
                </c:pt>
                <c:pt idx="77">
                  <c:v>-8.9475996205020003</c:v>
                </c:pt>
                <c:pt idx="78">
                  <c:v>-8.9621029618989212</c:v>
                </c:pt>
                <c:pt idx="79">
                  <c:v>-15.363618902200038</c:v>
                </c:pt>
                <c:pt idx="80">
                  <c:v>-7.2877185558079649</c:v>
                </c:pt>
                <c:pt idx="81">
                  <c:v>-3.7638844613600231</c:v>
                </c:pt>
                <c:pt idx="82">
                  <c:v>-5.9953505675820029</c:v>
                </c:pt>
                <c:pt idx="83">
                  <c:v>-9.235885836339941</c:v>
                </c:pt>
                <c:pt idx="84">
                  <c:v>-5.5343245628310278</c:v>
                </c:pt>
                <c:pt idx="85">
                  <c:v>-18.593606363739035</c:v>
                </c:pt>
                <c:pt idx="86">
                  <c:v>-10.305755201872024</c:v>
                </c:pt>
                <c:pt idx="87">
                  <c:v>-10.070879546685951</c:v>
                </c:pt>
                <c:pt idx="88">
                  <c:v>-13.529088637247</c:v>
                </c:pt>
                <c:pt idx="89">
                  <c:v>-5.0505814093889434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725760"/>
        <c:axId val="322724224"/>
      </c:barChart>
      <c:lineChart>
        <c:grouping val="standard"/>
        <c:varyColors val="0"/>
        <c:ser>
          <c:idx val="0"/>
          <c:order val="0"/>
          <c:tx>
            <c:strRef>
              <c:f>'Pool Level'!$L$2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Level'!$L$3:$L$92</c:f>
              <c:numCache>
                <c:formatCode>General</c:formatCode>
                <c:ptCount val="90"/>
                <c:pt idx="0">
                  <c:v>6.2993169893947298</c:v>
                </c:pt>
                <c:pt idx="1">
                  <c:v>6.1448270312832296</c:v>
                </c:pt>
                <c:pt idx="2">
                  <c:v>6.0746575060433798</c:v>
                </c:pt>
                <c:pt idx="3">
                  <c:v>6.2552582149466804</c:v>
                </c:pt>
                <c:pt idx="4">
                  <c:v>6.3763621045402203</c:v>
                </c:pt>
                <c:pt idx="5">
                  <c:v>6.3160939264723099</c:v>
                </c:pt>
                <c:pt idx="6">
                  <c:v>6.61508899457022</c:v>
                </c:pt>
                <c:pt idx="7">
                  <c:v>5.5408758457515797</c:v>
                </c:pt>
                <c:pt idx="8">
                  <c:v>5.3354414409587303</c:v>
                </c:pt>
                <c:pt idx="9">
                  <c:v>5.0985473440799298</c:v>
                </c:pt>
                <c:pt idx="10">
                  <c:v>5.94871326378503</c:v>
                </c:pt>
                <c:pt idx="11">
                  <c:v>6.0411523126401399</c:v>
                </c:pt>
                <c:pt idx="12">
                  <c:v>5.25258091814261</c:v>
                </c:pt>
                <c:pt idx="13">
                  <c:v>5.3019297697116299</c:v>
                </c:pt>
                <c:pt idx="14">
                  <c:v>5.3079660068142296</c:v>
                </c:pt>
                <c:pt idx="15">
                  <c:v>5.1737070860492098</c:v>
                </c:pt>
                <c:pt idx="16">
                  <c:v>5.4206972136522804</c:v>
                </c:pt>
                <c:pt idx="17">
                  <c:v>5.3051625635030302</c:v>
                </c:pt>
                <c:pt idx="18">
                  <c:v>5.2422195151643001</c:v>
                </c:pt>
                <c:pt idx="19">
                  <c:v>5.2274340202475598</c:v>
                </c:pt>
                <c:pt idx="20">
                  <c:v>5.2833886604944702</c:v>
                </c:pt>
                <c:pt idx="21">
                  <c:v>5.1830298059280802</c:v>
                </c:pt>
                <c:pt idx="22">
                  <c:v>5.2037674446010502</c:v>
                </c:pt>
                <c:pt idx="23">
                  <c:v>5.2268019319845598</c:v>
                </c:pt>
                <c:pt idx="24">
                  <c:v>5.0358254105692204</c:v>
                </c:pt>
                <c:pt idx="25">
                  <c:v>4.9350697557393897</c:v>
                </c:pt>
                <c:pt idx="26">
                  <c:v>4.8004870789717398</c:v>
                </c:pt>
                <c:pt idx="27">
                  <c:v>4.7051352128635102</c:v>
                </c:pt>
                <c:pt idx="28">
                  <c:v>4.6083655391721301</c:v>
                </c:pt>
                <c:pt idx="29">
                  <c:v>4.5304927831705797</c:v>
                </c:pt>
                <c:pt idx="30">
                  <c:v>4.4915021240579902</c:v>
                </c:pt>
                <c:pt idx="31">
                  <c:v>4.57399460783272</c:v>
                </c:pt>
                <c:pt idx="32">
                  <c:v>4.7881749717719098</c:v>
                </c:pt>
                <c:pt idx="33">
                  <c:v>4.8920397527883601</c:v>
                </c:pt>
                <c:pt idx="34">
                  <c:v>4.9487228635947798</c:v>
                </c:pt>
                <c:pt idx="35">
                  <c:v>4.9220140046788998</c:v>
                </c:pt>
                <c:pt idx="36">
                  <c:v>4.8272303918235604</c:v>
                </c:pt>
                <c:pt idx="37">
                  <c:v>4.7115447718514103</c:v>
                </c:pt>
                <c:pt idx="38">
                  <c:v>4.64086255441822</c:v>
                </c:pt>
                <c:pt idx="39">
                  <c:v>4.4423498001928898</c:v>
                </c:pt>
                <c:pt idx="40">
                  <c:v>4.3965564312482099</c:v>
                </c:pt>
                <c:pt idx="41">
                  <c:v>4.3703571463322097</c:v>
                </c:pt>
                <c:pt idx="42">
                  <c:v>4.3304920959802304</c:v>
                </c:pt>
                <c:pt idx="43">
                  <c:v>4.2820606026268901</c:v>
                </c:pt>
                <c:pt idx="44">
                  <c:v>4.2005100835491902</c:v>
                </c:pt>
                <c:pt idx="45">
                  <c:v>4.1349457633603803</c:v>
                </c:pt>
                <c:pt idx="46">
                  <c:v>4.1709410121458896</c:v>
                </c:pt>
                <c:pt idx="47">
                  <c:v>4.1056670559846502</c:v>
                </c:pt>
                <c:pt idx="48">
                  <c:v>4.0249987787435701</c:v>
                </c:pt>
                <c:pt idx="49">
                  <c:v>3.9681743278952499</c:v>
                </c:pt>
                <c:pt idx="50">
                  <c:v>3.9138608575900999</c:v>
                </c:pt>
                <c:pt idx="51">
                  <c:v>3.8298094011821702</c:v>
                </c:pt>
                <c:pt idx="52">
                  <c:v>3.7393841468248099</c:v>
                </c:pt>
                <c:pt idx="53">
                  <c:v>3.6469091265269999</c:v>
                </c:pt>
                <c:pt idx="54">
                  <c:v>3.6630548639343501</c:v>
                </c:pt>
                <c:pt idx="55">
                  <c:v>3.6573033588281398</c:v>
                </c:pt>
                <c:pt idx="56">
                  <c:v>3.7374103519442601</c:v>
                </c:pt>
                <c:pt idx="57">
                  <c:v>3.7627008845457102</c:v>
                </c:pt>
                <c:pt idx="58">
                  <c:v>3.8286783849430699</c:v>
                </c:pt>
                <c:pt idx="59">
                  <c:v>3.7511989689374801</c:v>
                </c:pt>
                <c:pt idx="60">
                  <c:v>3.8247008277566401</c:v>
                </c:pt>
                <c:pt idx="61">
                  <c:v>4.1181097567553602</c:v>
                </c:pt>
                <c:pt idx="62">
                  <c:v>4.3725375979349703</c:v>
                </c:pt>
                <c:pt idx="63">
                  <c:v>4.6377010048072602</c:v>
                </c:pt>
                <c:pt idx="64">
                  <c:v>4.6261168959492096</c:v>
                </c:pt>
                <c:pt idx="65">
                  <c:v>4.5166229545902503</c:v>
                </c:pt>
                <c:pt idx="66">
                  <c:v>4.5358987960019004</c:v>
                </c:pt>
                <c:pt idx="67">
                  <c:v>4.6829117389245498</c:v>
                </c:pt>
                <c:pt idx="68">
                  <c:v>4.6516147860401098</c:v>
                </c:pt>
                <c:pt idx="69">
                  <c:v>4.5888709313498204</c:v>
                </c:pt>
                <c:pt idx="70">
                  <c:v>4.5857503385038596</c:v>
                </c:pt>
                <c:pt idx="71">
                  <c:v>4.5417801890084304</c:v>
                </c:pt>
                <c:pt idx="72">
                  <c:v>4.4287287355081997</c:v>
                </c:pt>
                <c:pt idx="73">
                  <c:v>4.3955978354090197</c:v>
                </c:pt>
                <c:pt idx="74">
                  <c:v>4.4317024593860097</c:v>
                </c:pt>
                <c:pt idx="75">
                  <c:v>4.3594237575960699</c:v>
                </c:pt>
                <c:pt idx="76">
                  <c:v>4.3466391693390198</c:v>
                </c:pt>
                <c:pt idx="77">
                  <c:v>4.2734385976748097</c:v>
                </c:pt>
                <c:pt idx="78">
                  <c:v>4.2115290009692004</c:v>
                </c:pt>
                <c:pt idx="79">
                  <c:v>4.05603288397357</c:v>
                </c:pt>
                <c:pt idx="80">
                  <c:v>3.9601078610645701</c:v>
                </c:pt>
                <c:pt idx="81">
                  <c:v>3.9694244775480398</c:v>
                </c:pt>
                <c:pt idx="82">
                  <c:v>3.9935501846671202</c:v>
                </c:pt>
                <c:pt idx="83">
                  <c:v>3.9466098859248802</c:v>
                </c:pt>
                <c:pt idx="84">
                  <c:v>4.0549893147499896</c:v>
                </c:pt>
                <c:pt idx="85">
                  <c:v>4.0696513008361999</c:v>
                </c:pt>
                <c:pt idx="86">
                  <c:v>4.1661401988232196</c:v>
                </c:pt>
                <c:pt idx="87">
                  <c:v>4.1537853390636101</c:v>
                </c:pt>
                <c:pt idx="88">
                  <c:v>4.0864136001973099</c:v>
                </c:pt>
                <c:pt idx="89">
                  <c:v>4.1293286560685303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Level'!$M$2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Level'!$M$3:$M$92</c:f>
              <c:numCache>
                <c:formatCode>General</c:formatCode>
                <c:ptCount val="90"/>
                <c:pt idx="0">
                  <c:v>6.01405192058363</c:v>
                </c:pt>
                <c:pt idx="1">
                  <c:v>5.99401149130503</c:v>
                </c:pt>
                <c:pt idx="2">
                  <c:v>6.1169393500164198</c:v>
                </c:pt>
                <c:pt idx="3">
                  <c:v>6.3342756758093897</c:v>
                </c:pt>
                <c:pt idx="4">
                  <c:v>6.4530924466433497</c:v>
                </c:pt>
                <c:pt idx="5">
                  <c:v>6.3436343243934701</c:v>
                </c:pt>
                <c:pt idx="6">
                  <c:v>5.97504083742629</c:v>
                </c:pt>
                <c:pt idx="7">
                  <c:v>5.0640383435435696</c:v>
                </c:pt>
                <c:pt idx="8">
                  <c:v>4.9906923259199898</c:v>
                </c:pt>
                <c:pt idx="9">
                  <c:v>4.9396221365250499</c:v>
                </c:pt>
                <c:pt idx="10">
                  <c:v>5.42981062692051</c:v>
                </c:pt>
                <c:pt idx="11">
                  <c:v>5.0709089851056302</c:v>
                </c:pt>
                <c:pt idx="12">
                  <c:v>4.8743901246381203</c:v>
                </c:pt>
                <c:pt idx="13">
                  <c:v>5.0117457844567896</c:v>
                </c:pt>
                <c:pt idx="14">
                  <c:v>5.2754165130291399</c:v>
                </c:pt>
                <c:pt idx="15">
                  <c:v>5.1437375107246996</c:v>
                </c:pt>
                <c:pt idx="16">
                  <c:v>5.1227940946666299</c:v>
                </c:pt>
                <c:pt idx="17">
                  <c:v>5.0644022910284301</c:v>
                </c:pt>
                <c:pt idx="18">
                  <c:v>5.050735856298</c:v>
                </c:pt>
                <c:pt idx="19">
                  <c:v>5.0377067030616098</c:v>
                </c:pt>
                <c:pt idx="20">
                  <c:v>5.1055540771484802</c:v>
                </c:pt>
                <c:pt idx="21">
                  <c:v>5.1108375047646097</c:v>
                </c:pt>
                <c:pt idx="22">
                  <c:v>5.1452044317440198</c:v>
                </c:pt>
                <c:pt idx="23">
                  <c:v>5.1800008223351597</c:v>
                </c:pt>
                <c:pt idx="24">
                  <c:v>5.05893153166061</c:v>
                </c:pt>
                <c:pt idx="25">
                  <c:v>4.8752305579968596</c:v>
                </c:pt>
                <c:pt idx="26">
                  <c:v>4.7222358319862998</c:v>
                </c:pt>
                <c:pt idx="27">
                  <c:v>4.6074743369174298</c:v>
                </c:pt>
                <c:pt idx="28">
                  <c:v>4.5383501216630604</c:v>
                </c:pt>
                <c:pt idx="29">
                  <c:v>4.4591751002379896</c:v>
                </c:pt>
                <c:pt idx="30">
                  <c:v>4.4811424452986204</c:v>
                </c:pt>
                <c:pt idx="31">
                  <c:v>4.6316240644640896</c:v>
                </c:pt>
                <c:pt idx="32">
                  <c:v>4.88809460608927</c:v>
                </c:pt>
                <c:pt idx="33">
                  <c:v>5.0196274076255598</c:v>
                </c:pt>
                <c:pt idx="34">
                  <c:v>5.0696587978699199</c:v>
                </c:pt>
                <c:pt idx="35">
                  <c:v>5.0513520909684004</c:v>
                </c:pt>
                <c:pt idx="36">
                  <c:v>4.9059141374806101</c:v>
                </c:pt>
                <c:pt idx="37">
                  <c:v>4.8611814894636298</c:v>
                </c:pt>
                <c:pt idx="38">
                  <c:v>4.7117533524514803</c:v>
                </c:pt>
                <c:pt idx="39">
                  <c:v>4.4792574645229504</c:v>
                </c:pt>
                <c:pt idx="40">
                  <c:v>4.3486808527347698</c:v>
                </c:pt>
                <c:pt idx="41">
                  <c:v>4.2956191820380196</c:v>
                </c:pt>
                <c:pt idx="42">
                  <c:v>4.2662558375731203</c:v>
                </c:pt>
                <c:pt idx="43">
                  <c:v>4.1988423421672696</c:v>
                </c:pt>
                <c:pt idx="44">
                  <c:v>4.1335475127368202</c:v>
                </c:pt>
                <c:pt idx="45">
                  <c:v>4.1068821031480702</c:v>
                </c:pt>
                <c:pt idx="46">
                  <c:v>4.1950483108655101</c:v>
                </c:pt>
                <c:pt idx="47">
                  <c:v>4.1647582079834304</c:v>
                </c:pt>
                <c:pt idx="48">
                  <c:v>4.0279854150544798</c:v>
                </c:pt>
                <c:pt idx="49">
                  <c:v>3.9086468707572299</c:v>
                </c:pt>
                <c:pt idx="50">
                  <c:v>3.8525924938607199</c:v>
                </c:pt>
                <c:pt idx="51">
                  <c:v>3.7877571784770701</c:v>
                </c:pt>
                <c:pt idx="52">
                  <c:v>3.6987217336749101</c:v>
                </c:pt>
                <c:pt idx="53">
                  <c:v>3.6250487711041499</c:v>
                </c:pt>
                <c:pt idx="54">
                  <c:v>3.6027244047903801</c:v>
                </c:pt>
                <c:pt idx="55">
                  <c:v>3.6001485420462198</c:v>
                </c:pt>
                <c:pt idx="56">
                  <c:v>3.6900046384013798</c:v>
                </c:pt>
                <c:pt idx="57">
                  <c:v>3.78392164962702</c:v>
                </c:pt>
                <c:pt idx="58">
                  <c:v>3.8002777092854898</c:v>
                </c:pt>
                <c:pt idx="59">
                  <c:v>3.7830909447369798</c:v>
                </c:pt>
                <c:pt idx="60">
                  <c:v>3.8522809178064001</c:v>
                </c:pt>
                <c:pt idx="61">
                  <c:v>4.1579401434403396</c:v>
                </c:pt>
                <c:pt idx="62">
                  <c:v>4.4621782771519998</c:v>
                </c:pt>
                <c:pt idx="63">
                  <c:v>4.6608916850134898</c:v>
                </c:pt>
                <c:pt idx="64">
                  <c:v>4.6564026185456502</c:v>
                </c:pt>
                <c:pt idx="65">
                  <c:v>4.5811645646110204</c:v>
                </c:pt>
                <c:pt idx="66">
                  <c:v>4.6077438047237802</c:v>
                </c:pt>
                <c:pt idx="67">
                  <c:v>4.6775584423655499</c:v>
                </c:pt>
                <c:pt idx="68">
                  <c:v>4.6946958624217601</c:v>
                </c:pt>
                <c:pt idx="69">
                  <c:v>4.6366804995907298</c:v>
                </c:pt>
                <c:pt idx="70">
                  <c:v>4.6428241107123496</c:v>
                </c:pt>
                <c:pt idx="71">
                  <c:v>4.5988964730096296</c:v>
                </c:pt>
                <c:pt idx="72">
                  <c:v>4.5200335295564997</c:v>
                </c:pt>
                <c:pt idx="73">
                  <c:v>4.4681995477488003</c:v>
                </c:pt>
                <c:pt idx="74">
                  <c:v>4.4355356568817097</c:v>
                </c:pt>
                <c:pt idx="75">
                  <c:v>4.4756207173094804</c:v>
                </c:pt>
                <c:pt idx="76">
                  <c:v>4.4883370685343502</c:v>
                </c:pt>
                <c:pt idx="77">
                  <c:v>4.3629145938798297</c:v>
                </c:pt>
                <c:pt idx="78">
                  <c:v>4.3011500305881896</c:v>
                </c:pt>
                <c:pt idx="79">
                  <c:v>4.2096690729955704</c:v>
                </c:pt>
                <c:pt idx="80">
                  <c:v>4.0329850466226498</c:v>
                </c:pt>
                <c:pt idx="81">
                  <c:v>4.0070633221616401</c:v>
                </c:pt>
                <c:pt idx="82">
                  <c:v>4.0535036903429402</c:v>
                </c:pt>
                <c:pt idx="83">
                  <c:v>4.0389687442882796</c:v>
                </c:pt>
                <c:pt idx="84">
                  <c:v>4.1103325603782999</c:v>
                </c:pt>
                <c:pt idx="85">
                  <c:v>4.2555873644735902</c:v>
                </c:pt>
                <c:pt idx="86">
                  <c:v>4.2691977508419399</c:v>
                </c:pt>
                <c:pt idx="87">
                  <c:v>4.2544941345304697</c:v>
                </c:pt>
                <c:pt idx="88">
                  <c:v>4.2217044865697799</c:v>
                </c:pt>
                <c:pt idx="89">
                  <c:v>4.1798344701624197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679936"/>
        <c:axId val="322681472"/>
      </c:lineChart>
      <c:dateAx>
        <c:axId val="322679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2681472"/>
        <c:crosses val="autoZero"/>
        <c:auto val="1"/>
        <c:lblOffset val="100"/>
        <c:baseTimeUnit val="months"/>
      </c:dateAx>
      <c:valAx>
        <c:axId val="322681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679936"/>
        <c:crosses val="autoZero"/>
        <c:crossBetween val="between"/>
      </c:valAx>
      <c:valAx>
        <c:axId val="322724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22725760"/>
        <c:crosses val="max"/>
        <c:crossBetween val="between"/>
      </c:valAx>
      <c:dateAx>
        <c:axId val="3227257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22724224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'Issue Amount'!$V$2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'Issue Amount'!$U$3:$U$92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Amount'!$V$3:$V$92</c:f>
              <c:numCache>
                <c:formatCode>_(* #,##0.00_);_(* \(#,##0.00\);_(* "-"??_);_(@_)</c:formatCode>
                <c:ptCount val="90"/>
                <c:pt idx="0">
                  <c:v>132.36925208</c:v>
                </c:pt>
                <c:pt idx="1">
                  <c:v>103.34249865000001</c:v>
                </c:pt>
                <c:pt idx="2">
                  <c:v>78.028532999999996</c:v>
                </c:pt>
                <c:pt idx="3">
                  <c:v>54.922035999999999</c:v>
                </c:pt>
                <c:pt idx="4">
                  <c:v>65.352228999999994</c:v>
                </c:pt>
                <c:pt idx="5">
                  <c:v>57.0178364</c:v>
                </c:pt>
                <c:pt idx="6">
                  <c:v>122.57860297000001</c:v>
                </c:pt>
                <c:pt idx="7">
                  <c:v>406.35788145999999</c:v>
                </c:pt>
                <c:pt idx="8">
                  <c:v>955.39691114999994</c:v>
                </c:pt>
                <c:pt idx="9">
                  <c:v>658.96149778999995</c:v>
                </c:pt>
                <c:pt idx="10">
                  <c:v>922.47069862000001</c:v>
                </c:pt>
                <c:pt idx="11">
                  <c:v>2217.1040866500002</c:v>
                </c:pt>
                <c:pt idx="12">
                  <c:v>1721.9127329200001</c:v>
                </c:pt>
                <c:pt idx="13">
                  <c:v>1254.96738688</c:v>
                </c:pt>
                <c:pt idx="14">
                  <c:v>1125.2468495599999</c:v>
                </c:pt>
                <c:pt idx="15">
                  <c:v>682.32094623</c:v>
                </c:pt>
                <c:pt idx="16">
                  <c:v>664.46952251999994</c:v>
                </c:pt>
                <c:pt idx="17">
                  <c:v>947.19441390999998</c:v>
                </c:pt>
                <c:pt idx="18">
                  <c:v>737.94655778999993</c:v>
                </c:pt>
                <c:pt idx="19">
                  <c:v>819.32681758000001</c:v>
                </c:pt>
                <c:pt idx="20">
                  <c:v>716.42430824999997</c:v>
                </c:pt>
                <c:pt idx="21">
                  <c:v>648.53762725000001</c:v>
                </c:pt>
                <c:pt idx="22">
                  <c:v>595.23562700000002</c:v>
                </c:pt>
                <c:pt idx="23">
                  <c:v>696.97956991000001</c:v>
                </c:pt>
                <c:pt idx="24">
                  <c:v>638.94285279999997</c:v>
                </c:pt>
                <c:pt idx="25">
                  <c:v>747.51592340999991</c:v>
                </c:pt>
                <c:pt idx="26">
                  <c:v>1296.1718253900001</c:v>
                </c:pt>
                <c:pt idx="27">
                  <c:v>1364.39387781</c:v>
                </c:pt>
                <c:pt idx="28">
                  <c:v>1397.82726482</c:v>
                </c:pt>
                <c:pt idx="29">
                  <c:v>1887.4296508800001</c:v>
                </c:pt>
                <c:pt idx="30">
                  <c:v>1624.9102627</c:v>
                </c:pt>
                <c:pt idx="31">
                  <c:v>1313.8441055200001</c:v>
                </c:pt>
                <c:pt idx="32">
                  <c:v>1192.10853873</c:v>
                </c:pt>
                <c:pt idx="33">
                  <c:v>616.57182924000006</c:v>
                </c:pt>
                <c:pt idx="34">
                  <c:v>521.68933636999998</c:v>
                </c:pt>
                <c:pt idx="35">
                  <c:v>591.90932151000004</c:v>
                </c:pt>
                <c:pt idx="36">
                  <c:v>481.16573707999999</c:v>
                </c:pt>
                <c:pt idx="37">
                  <c:v>686.01537882000002</c:v>
                </c:pt>
                <c:pt idx="38">
                  <c:v>878.92710008000006</c:v>
                </c:pt>
                <c:pt idx="39">
                  <c:v>968.60258482000006</c:v>
                </c:pt>
                <c:pt idx="40">
                  <c:v>1245.7427529500001</c:v>
                </c:pt>
                <c:pt idx="41">
                  <c:v>2127.2690954099999</c:v>
                </c:pt>
                <c:pt idx="42">
                  <c:v>1980.3033357899999</c:v>
                </c:pt>
                <c:pt idx="43">
                  <c:v>2127.2095162999999</c:v>
                </c:pt>
                <c:pt idx="44">
                  <c:v>3980.86675139</c:v>
                </c:pt>
                <c:pt idx="45">
                  <c:v>1686.15094694</c:v>
                </c:pt>
                <c:pt idx="46">
                  <c:v>2811.50870872</c:v>
                </c:pt>
                <c:pt idx="47">
                  <c:v>1928.73198873</c:v>
                </c:pt>
                <c:pt idx="48">
                  <c:v>2474.9928784699996</c:v>
                </c:pt>
                <c:pt idx="49">
                  <c:v>2758.32790204</c:v>
                </c:pt>
                <c:pt idx="50">
                  <c:v>3214.4061111300002</c:v>
                </c:pt>
                <c:pt idx="51">
                  <c:v>2336.5656242499999</c:v>
                </c:pt>
                <c:pt idx="52">
                  <c:v>4573.57854382</c:v>
                </c:pt>
                <c:pt idx="53">
                  <c:v>2507.9353104899997</c:v>
                </c:pt>
                <c:pt idx="54">
                  <c:v>3266.92441263</c:v>
                </c:pt>
                <c:pt idx="55">
                  <c:v>3488.8091495799999</c:v>
                </c:pt>
                <c:pt idx="56">
                  <c:v>2657.4002309799998</c:v>
                </c:pt>
                <c:pt idx="57">
                  <c:v>3031.5269466700001</c:v>
                </c:pt>
                <c:pt idx="58">
                  <c:v>3372.1214299600001</c:v>
                </c:pt>
                <c:pt idx="59">
                  <c:v>3112.9677324200002</c:v>
                </c:pt>
                <c:pt idx="60">
                  <c:v>3536.8480260599999</c:v>
                </c:pt>
                <c:pt idx="61">
                  <c:v>3201.45095231</c:v>
                </c:pt>
                <c:pt idx="62">
                  <c:v>2429.21463318</c:v>
                </c:pt>
                <c:pt idx="63">
                  <c:v>2234.5704828400003</c:v>
                </c:pt>
                <c:pt idx="64">
                  <c:v>1817.0611557</c:v>
                </c:pt>
                <c:pt idx="65">
                  <c:v>1674.904998</c:v>
                </c:pt>
                <c:pt idx="66">
                  <c:v>1289.4644701</c:v>
                </c:pt>
                <c:pt idx="67">
                  <c:v>1289.68425688</c:v>
                </c:pt>
                <c:pt idx="68">
                  <c:v>1083.6101114999999</c:v>
                </c:pt>
                <c:pt idx="69">
                  <c:v>1353.4727244999999</c:v>
                </c:pt>
                <c:pt idx="70">
                  <c:v>1307.60900225</c:v>
                </c:pt>
                <c:pt idx="71">
                  <c:v>1512.22689494</c:v>
                </c:pt>
                <c:pt idx="72">
                  <c:v>1811.3508416</c:v>
                </c:pt>
                <c:pt idx="73">
                  <c:v>1855.7722049200001</c:v>
                </c:pt>
                <c:pt idx="74">
                  <c:v>2064.97703929</c:v>
                </c:pt>
                <c:pt idx="75">
                  <c:v>2210.6425898499997</c:v>
                </c:pt>
                <c:pt idx="76">
                  <c:v>1566.5152306700002</c:v>
                </c:pt>
                <c:pt idx="77">
                  <c:v>2631.61870494</c:v>
                </c:pt>
                <c:pt idx="78">
                  <c:v>2154.82905669</c:v>
                </c:pt>
                <c:pt idx="79">
                  <c:v>1934.94598163</c:v>
                </c:pt>
                <c:pt idx="80">
                  <c:v>2790.07478653</c:v>
                </c:pt>
                <c:pt idx="81">
                  <c:v>2752.1356861500003</c:v>
                </c:pt>
                <c:pt idx="82">
                  <c:v>2546.05884758</c:v>
                </c:pt>
                <c:pt idx="83">
                  <c:v>2283.1162021599998</c:v>
                </c:pt>
                <c:pt idx="84">
                  <c:v>2489.4073492399998</c:v>
                </c:pt>
                <c:pt idx="85">
                  <c:v>2026.7750074200001</c:v>
                </c:pt>
                <c:pt idx="86">
                  <c:v>2628.62477833</c:v>
                </c:pt>
                <c:pt idx="87">
                  <c:v>2318.8741494599999</c:v>
                </c:pt>
                <c:pt idx="88">
                  <c:v>1462.5360900000001</c:v>
                </c:pt>
                <c:pt idx="89">
                  <c:v>1557.88292716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'Issue Amount'!$W$2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'Issue Amount'!$U$3:$U$92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Amount'!$W$3:$W$92</c:f>
              <c:numCache>
                <c:formatCode>_(* #,##0.00_);_(* \(#,##0.00\);_(* "-"??_);_(@_)</c:formatCode>
                <c:ptCount val="90"/>
                <c:pt idx="0">
                  <c:v>0.72975000000000001</c:v>
                </c:pt>
                <c:pt idx="1">
                  <c:v>17.095829999999999</c:v>
                </c:pt>
                <c:pt idx="2">
                  <c:v>93.028347999999994</c:v>
                </c:pt>
                <c:pt idx="3">
                  <c:v>102.63981800000001</c:v>
                </c:pt>
                <c:pt idx="4">
                  <c:v>77.810394000000002</c:v>
                </c:pt>
                <c:pt idx="5">
                  <c:v>56.615288</c:v>
                </c:pt>
                <c:pt idx="6">
                  <c:v>2.246</c:v>
                </c:pt>
                <c:pt idx="7">
                  <c:v>61.897415000000002</c:v>
                </c:pt>
                <c:pt idx="8">
                  <c:v>93.762319000000005</c:v>
                </c:pt>
                <c:pt idx="9">
                  <c:v>96.552573469999999</c:v>
                </c:pt>
                <c:pt idx="10">
                  <c:v>462.91532258999996</c:v>
                </c:pt>
                <c:pt idx="11">
                  <c:v>248.84250134000001</c:v>
                </c:pt>
                <c:pt idx="12">
                  <c:v>399.27476736</c:v>
                </c:pt>
                <c:pt idx="13">
                  <c:v>580.64208715999996</c:v>
                </c:pt>
                <c:pt idx="14">
                  <c:v>904.8334597999999</c:v>
                </c:pt>
                <c:pt idx="15">
                  <c:v>1188.9364121999999</c:v>
                </c:pt>
                <c:pt idx="16">
                  <c:v>718.38830945000007</c:v>
                </c:pt>
                <c:pt idx="17">
                  <c:v>788.01932762000001</c:v>
                </c:pt>
                <c:pt idx="18">
                  <c:v>739.15034574000003</c:v>
                </c:pt>
                <c:pt idx="19">
                  <c:v>748.89095595000003</c:v>
                </c:pt>
                <c:pt idx="20">
                  <c:v>718.92873509000003</c:v>
                </c:pt>
                <c:pt idx="21">
                  <c:v>523.62793020999993</c:v>
                </c:pt>
                <c:pt idx="22">
                  <c:v>511.00573945999997</c:v>
                </c:pt>
                <c:pt idx="23">
                  <c:v>472.80826100999997</c:v>
                </c:pt>
                <c:pt idx="24">
                  <c:v>922.00623085999996</c:v>
                </c:pt>
                <c:pt idx="25">
                  <c:v>1029.4831750399999</c:v>
                </c:pt>
                <c:pt idx="26">
                  <c:v>1598.88402582</c:v>
                </c:pt>
                <c:pt idx="27">
                  <c:v>1726.02715997</c:v>
                </c:pt>
                <c:pt idx="28">
                  <c:v>2022.07656705</c:v>
                </c:pt>
                <c:pt idx="29">
                  <c:v>2649.7062066900003</c:v>
                </c:pt>
                <c:pt idx="30">
                  <c:v>2379.72770292</c:v>
                </c:pt>
                <c:pt idx="31">
                  <c:v>1552.54619598</c:v>
                </c:pt>
                <c:pt idx="32">
                  <c:v>1142.9126104500001</c:v>
                </c:pt>
                <c:pt idx="33">
                  <c:v>602.16349935000005</c:v>
                </c:pt>
                <c:pt idx="34">
                  <c:v>446.99881456999998</c:v>
                </c:pt>
                <c:pt idx="35">
                  <c:v>602.4657582000001</c:v>
                </c:pt>
                <c:pt idx="36">
                  <c:v>758.66686860000004</c:v>
                </c:pt>
                <c:pt idx="37">
                  <c:v>1090.2627758499998</c:v>
                </c:pt>
                <c:pt idx="38">
                  <c:v>1536.27480816</c:v>
                </c:pt>
                <c:pt idx="39">
                  <c:v>2484.6715368600003</c:v>
                </c:pt>
                <c:pt idx="40">
                  <c:v>2688.4103234999998</c:v>
                </c:pt>
                <c:pt idx="41">
                  <c:v>1246.5573422100001</c:v>
                </c:pt>
                <c:pt idx="42">
                  <c:v>1473.30083156</c:v>
                </c:pt>
                <c:pt idx="43">
                  <c:v>1461.1366036099998</c:v>
                </c:pt>
                <c:pt idx="44">
                  <c:v>2736.4703261100003</c:v>
                </c:pt>
                <c:pt idx="45">
                  <c:v>853.50431047000006</c:v>
                </c:pt>
                <c:pt idx="46">
                  <c:v>1599.8055503099999</c:v>
                </c:pt>
                <c:pt idx="47">
                  <c:v>1933.5335746800001</c:v>
                </c:pt>
                <c:pt idx="48">
                  <c:v>2650.3830299599999</c:v>
                </c:pt>
                <c:pt idx="49">
                  <c:v>3094.3305898600001</c:v>
                </c:pt>
                <c:pt idx="50">
                  <c:v>2917.6214632199999</c:v>
                </c:pt>
                <c:pt idx="51">
                  <c:v>2042.1274472</c:v>
                </c:pt>
                <c:pt idx="52">
                  <c:v>3705.7769991300001</c:v>
                </c:pt>
                <c:pt idx="53">
                  <c:v>1215.7191757000001</c:v>
                </c:pt>
                <c:pt idx="54">
                  <c:v>3316.37946199</c:v>
                </c:pt>
                <c:pt idx="55">
                  <c:v>1890.68509546</c:v>
                </c:pt>
                <c:pt idx="56">
                  <c:v>2119.3461697500002</c:v>
                </c:pt>
                <c:pt idx="57">
                  <c:v>2274.4226723400002</c:v>
                </c:pt>
                <c:pt idx="58">
                  <c:v>2021.0620334600001</c:v>
                </c:pt>
                <c:pt idx="59">
                  <c:v>2420.6405753700001</c:v>
                </c:pt>
                <c:pt idx="60">
                  <c:v>1887.0407403900001</c:v>
                </c:pt>
                <c:pt idx="61">
                  <c:v>1636.01085556</c:v>
                </c:pt>
                <c:pt idx="62">
                  <c:v>958.34876932000009</c:v>
                </c:pt>
                <c:pt idx="63">
                  <c:v>842.28239176</c:v>
                </c:pt>
                <c:pt idx="64">
                  <c:v>778.89035117999993</c:v>
                </c:pt>
                <c:pt idx="65">
                  <c:v>648.23690099999999</c:v>
                </c:pt>
                <c:pt idx="66">
                  <c:v>392.92329312999999</c:v>
                </c:pt>
                <c:pt idx="67">
                  <c:v>365.05925343000001</c:v>
                </c:pt>
                <c:pt idx="68">
                  <c:v>230.34604300000001</c:v>
                </c:pt>
                <c:pt idx="69">
                  <c:v>278.39926800000001</c:v>
                </c:pt>
                <c:pt idx="70">
                  <c:v>337.93402900000001</c:v>
                </c:pt>
                <c:pt idx="71">
                  <c:v>320.12184158999997</c:v>
                </c:pt>
                <c:pt idx="72">
                  <c:v>563.01381339</c:v>
                </c:pt>
                <c:pt idx="73">
                  <c:v>450.38803300000001</c:v>
                </c:pt>
                <c:pt idx="74">
                  <c:v>761.50597402999995</c:v>
                </c:pt>
                <c:pt idx="75">
                  <c:v>542.71253945000001</c:v>
                </c:pt>
                <c:pt idx="76">
                  <c:v>549.81780351999998</c:v>
                </c:pt>
                <c:pt idx="77">
                  <c:v>777.34849951000001</c:v>
                </c:pt>
                <c:pt idx="78">
                  <c:v>668.1967199500001</c:v>
                </c:pt>
                <c:pt idx="79">
                  <c:v>822.18405347999999</c:v>
                </c:pt>
                <c:pt idx="80">
                  <c:v>1012.672909</c:v>
                </c:pt>
                <c:pt idx="81">
                  <c:v>1084.1778756199999</c:v>
                </c:pt>
                <c:pt idx="82">
                  <c:v>775.87385640000002</c:v>
                </c:pt>
                <c:pt idx="83">
                  <c:v>1629.19225005</c:v>
                </c:pt>
                <c:pt idx="84">
                  <c:v>859.17791709000005</c:v>
                </c:pt>
                <c:pt idx="85">
                  <c:v>921.54658600000005</c:v>
                </c:pt>
                <c:pt idx="86">
                  <c:v>658.54760199999998</c:v>
                </c:pt>
                <c:pt idx="87">
                  <c:v>615.51446799999997</c:v>
                </c:pt>
                <c:pt idx="88">
                  <c:v>626.75136999999995</c:v>
                </c:pt>
                <c:pt idx="89">
                  <c:v>223.20123799999999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745088"/>
        <c:axId val="322746624"/>
      </c:lineChart>
      <c:dateAx>
        <c:axId val="322745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2746624"/>
        <c:crosses val="autoZero"/>
        <c:auto val="1"/>
        <c:lblOffset val="100"/>
        <c:baseTimeUnit val="months"/>
      </c:dateAx>
      <c:valAx>
        <c:axId val="32274662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22745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'Issue Amount'!$X$2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Amount'!$X$3:$X$155</c:f>
              <c:numCache>
                <c:formatCode>_(* #,##0.00_);_(* \(#,##0.00\);_(* "-"??_);_(@_)</c:formatCode>
                <c:ptCount val="153"/>
                <c:pt idx="0">
                  <c:v>559.07428900000002</c:v>
                </c:pt>
                <c:pt idx="1">
                  <c:v>381.81671299999999</c:v>
                </c:pt>
                <c:pt idx="2">
                  <c:v>245.825515</c:v>
                </c:pt>
                <c:pt idx="3">
                  <c:v>272.29765300000003</c:v>
                </c:pt>
                <c:pt idx="4">
                  <c:v>236.094641</c:v>
                </c:pt>
                <c:pt idx="5">
                  <c:v>229.29403300000001</c:v>
                </c:pt>
                <c:pt idx="6">
                  <c:v>204.88233199999999</c:v>
                </c:pt>
                <c:pt idx="7">
                  <c:v>1080.509033</c:v>
                </c:pt>
                <c:pt idx="8">
                  <c:v>2316.5188419999999</c:v>
                </c:pt>
                <c:pt idx="9">
                  <c:v>2387.6754449999999</c:v>
                </c:pt>
                <c:pt idx="10">
                  <c:v>2516.0844419999999</c:v>
                </c:pt>
                <c:pt idx="11">
                  <c:v>3179.438999</c:v>
                </c:pt>
                <c:pt idx="12">
                  <c:v>2536.30197</c:v>
                </c:pt>
                <c:pt idx="13">
                  <c:v>2807.1416880000002</c:v>
                </c:pt>
                <c:pt idx="14">
                  <c:v>1992.28358</c:v>
                </c:pt>
                <c:pt idx="15">
                  <c:v>1819.1084089999999</c:v>
                </c:pt>
                <c:pt idx="16">
                  <c:v>1702.1827800000001</c:v>
                </c:pt>
                <c:pt idx="17">
                  <c:v>2454.5192040000002</c:v>
                </c:pt>
                <c:pt idx="18">
                  <c:v>1770.479963</c:v>
                </c:pt>
                <c:pt idx="19">
                  <c:v>1891.871069</c:v>
                </c:pt>
                <c:pt idx="20">
                  <c:v>2042.534249</c:v>
                </c:pt>
                <c:pt idx="21">
                  <c:v>1335.290105</c:v>
                </c:pt>
                <c:pt idx="22">
                  <c:v>1262.7667590000001</c:v>
                </c:pt>
                <c:pt idx="23">
                  <c:v>1646.2021360000001</c:v>
                </c:pt>
                <c:pt idx="24">
                  <c:v>1506.640936</c:v>
                </c:pt>
                <c:pt idx="25">
                  <c:v>1203.4902549999999</c:v>
                </c:pt>
                <c:pt idx="26">
                  <c:v>1710.037296</c:v>
                </c:pt>
                <c:pt idx="27">
                  <c:v>1353.1925080000001</c:v>
                </c:pt>
                <c:pt idx="28">
                  <c:v>1553.8825549999999</c:v>
                </c:pt>
                <c:pt idx="29">
                  <c:v>1811.3519449999999</c:v>
                </c:pt>
                <c:pt idx="30">
                  <c:v>1393.0428890000001</c:v>
                </c:pt>
                <c:pt idx="31">
                  <c:v>1508.2804329999999</c:v>
                </c:pt>
                <c:pt idx="32">
                  <c:v>799.51069500000006</c:v>
                </c:pt>
                <c:pt idx="33">
                  <c:v>798.11460099999999</c:v>
                </c:pt>
                <c:pt idx="34">
                  <c:v>681.30279900000005</c:v>
                </c:pt>
                <c:pt idx="35">
                  <c:v>805.08011199999999</c:v>
                </c:pt>
                <c:pt idx="36">
                  <c:v>593.19938100000002</c:v>
                </c:pt>
                <c:pt idx="37">
                  <c:v>872.97321699999998</c:v>
                </c:pt>
                <c:pt idx="38">
                  <c:v>907.23337200000003</c:v>
                </c:pt>
                <c:pt idx="39">
                  <c:v>1098.3930869999999</c:v>
                </c:pt>
                <c:pt idx="40">
                  <c:v>1057.791843</c:v>
                </c:pt>
                <c:pt idx="41">
                  <c:v>785.326233</c:v>
                </c:pt>
                <c:pt idx="42">
                  <c:v>1169.540285</c:v>
                </c:pt>
                <c:pt idx="43">
                  <c:v>1766.0224599999999</c:v>
                </c:pt>
                <c:pt idx="44">
                  <c:v>1175.0872360000001</c:v>
                </c:pt>
                <c:pt idx="45">
                  <c:v>705.64897599999995</c:v>
                </c:pt>
                <c:pt idx="46">
                  <c:v>654.30118000000004</c:v>
                </c:pt>
                <c:pt idx="47">
                  <c:v>1431.0790280000001</c:v>
                </c:pt>
                <c:pt idx="48">
                  <c:v>838.14435100000003</c:v>
                </c:pt>
                <c:pt idx="49">
                  <c:v>1427.5400569999999</c:v>
                </c:pt>
                <c:pt idx="50">
                  <c:v>1315.5551149999999</c:v>
                </c:pt>
                <c:pt idx="51">
                  <c:v>1971.630467</c:v>
                </c:pt>
                <c:pt idx="52">
                  <c:v>2324.1323400000001</c:v>
                </c:pt>
                <c:pt idx="53">
                  <c:v>1108.6370750000001</c:v>
                </c:pt>
                <c:pt idx="54">
                  <c:v>1516.281743</c:v>
                </c:pt>
                <c:pt idx="55">
                  <c:v>1615.6254799999999</c:v>
                </c:pt>
                <c:pt idx="56">
                  <c:v>2208.524907</c:v>
                </c:pt>
                <c:pt idx="57">
                  <c:v>1654.8276350000001</c:v>
                </c:pt>
                <c:pt idx="58">
                  <c:v>1583.510845</c:v>
                </c:pt>
                <c:pt idx="59">
                  <c:v>1926.5647819999999</c:v>
                </c:pt>
                <c:pt idx="60">
                  <c:v>1762.4637929999999</c:v>
                </c:pt>
                <c:pt idx="61">
                  <c:v>1625.280334</c:v>
                </c:pt>
                <c:pt idx="62">
                  <c:v>1137.7817789999999</c:v>
                </c:pt>
                <c:pt idx="63">
                  <c:v>867.52593100000001</c:v>
                </c:pt>
                <c:pt idx="64">
                  <c:v>934.82079399999998</c:v>
                </c:pt>
                <c:pt idx="65">
                  <c:v>1143.211818</c:v>
                </c:pt>
                <c:pt idx="66">
                  <c:v>970.39541499999996</c:v>
                </c:pt>
                <c:pt idx="67">
                  <c:v>914.67768799999999</c:v>
                </c:pt>
                <c:pt idx="68">
                  <c:v>676.41484100000002</c:v>
                </c:pt>
                <c:pt idx="69">
                  <c:v>882.30373499999996</c:v>
                </c:pt>
                <c:pt idx="70">
                  <c:v>922.53741100000002</c:v>
                </c:pt>
                <c:pt idx="71">
                  <c:v>1086.9599599999999</c:v>
                </c:pt>
                <c:pt idx="72">
                  <c:v>1177.0238199999999</c:v>
                </c:pt>
                <c:pt idx="73">
                  <c:v>1733.9586429999999</c:v>
                </c:pt>
                <c:pt idx="74">
                  <c:v>1466.6099119999999</c:v>
                </c:pt>
                <c:pt idx="75">
                  <c:v>1522.533629</c:v>
                </c:pt>
                <c:pt idx="76">
                  <c:v>1319.977834</c:v>
                </c:pt>
                <c:pt idx="77">
                  <c:v>1293.617589</c:v>
                </c:pt>
                <c:pt idx="78">
                  <c:v>1356.544165</c:v>
                </c:pt>
                <c:pt idx="79">
                  <c:v>1778.747398</c:v>
                </c:pt>
                <c:pt idx="80">
                  <c:v>1470.927205</c:v>
                </c:pt>
                <c:pt idx="81">
                  <c:v>2126.7917379999999</c:v>
                </c:pt>
                <c:pt idx="82">
                  <c:v>2006.962311</c:v>
                </c:pt>
                <c:pt idx="83">
                  <c:v>2281.118813</c:v>
                </c:pt>
                <c:pt idx="84">
                  <c:v>2056.4049989999999</c:v>
                </c:pt>
                <c:pt idx="85">
                  <c:v>1635.9655749999999</c:v>
                </c:pt>
                <c:pt idx="86">
                  <c:v>1715.5863300000001</c:v>
                </c:pt>
                <c:pt idx="87">
                  <c:v>1520.0727979999999</c:v>
                </c:pt>
                <c:pt idx="88">
                  <c:v>1299.679396</c:v>
                </c:pt>
                <c:pt idx="89">
                  <c:v>658.72982000000002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'Issue Amount'!$Y$2</c:f>
              <c:strCache>
                <c:ptCount val="1"/>
                <c:pt idx="0">
                  <c:v>FGT6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Amount'!$Y$3:$Y$155</c:f>
              <c:numCache>
                <c:formatCode>_(* #,##0.00_);_(* \(#,##0.00\);_(* "-"??_);_(@_)</c:formatCode>
                <c:ptCount val="153"/>
                <c:pt idx="0">
                  <c:v>159.851958</c:v>
                </c:pt>
                <c:pt idx="1">
                  <c:v>218.34703099999999</c:v>
                </c:pt>
                <c:pt idx="2">
                  <c:v>247.73361800000001</c:v>
                </c:pt>
                <c:pt idx="3">
                  <c:v>147.42094900000001</c:v>
                </c:pt>
                <c:pt idx="4">
                  <c:v>55.947623</c:v>
                </c:pt>
                <c:pt idx="5">
                  <c:v>150.966545</c:v>
                </c:pt>
                <c:pt idx="6">
                  <c:v>103.565758</c:v>
                </c:pt>
                <c:pt idx="7">
                  <c:v>28.546523000000001</c:v>
                </c:pt>
                <c:pt idx="8">
                  <c:v>6.0747499999999999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610.37305700000002</c:v>
                </c:pt>
                <c:pt idx="30">
                  <c:v>451.456526</c:v>
                </c:pt>
                <c:pt idx="31">
                  <c:v>1336.643816</c:v>
                </c:pt>
                <c:pt idx="32">
                  <c:v>377.89864799999998</c:v>
                </c:pt>
                <c:pt idx="33">
                  <c:v>585.43603399999995</c:v>
                </c:pt>
                <c:pt idx="34">
                  <c:v>708.32998799999996</c:v>
                </c:pt>
                <c:pt idx="35">
                  <c:v>834.73699799999997</c:v>
                </c:pt>
                <c:pt idx="36">
                  <c:v>575.80916200000001</c:v>
                </c:pt>
                <c:pt idx="37">
                  <c:v>543.05413299999998</c:v>
                </c:pt>
                <c:pt idx="38">
                  <c:v>749.484915</c:v>
                </c:pt>
                <c:pt idx="39">
                  <c:v>1039.8592900000001</c:v>
                </c:pt>
                <c:pt idx="40">
                  <c:v>937.55090399999995</c:v>
                </c:pt>
                <c:pt idx="41">
                  <c:v>554.532825</c:v>
                </c:pt>
                <c:pt idx="42">
                  <c:v>1187.740691</c:v>
                </c:pt>
                <c:pt idx="43">
                  <c:v>948.72131400000001</c:v>
                </c:pt>
                <c:pt idx="44">
                  <c:v>1336.764764</c:v>
                </c:pt>
                <c:pt idx="45">
                  <c:v>460.31071900000001</c:v>
                </c:pt>
                <c:pt idx="46">
                  <c:v>733.37060599999995</c:v>
                </c:pt>
                <c:pt idx="47">
                  <c:v>1000.582467</c:v>
                </c:pt>
                <c:pt idx="48">
                  <c:v>689.048269</c:v>
                </c:pt>
                <c:pt idx="49">
                  <c:v>822.36933799999997</c:v>
                </c:pt>
                <c:pt idx="50">
                  <c:v>1410.1802379999999</c:v>
                </c:pt>
                <c:pt idx="51">
                  <c:v>1838.4637130000001</c:v>
                </c:pt>
                <c:pt idx="52">
                  <c:v>1977.6695790000001</c:v>
                </c:pt>
                <c:pt idx="53">
                  <c:v>508.22626700000001</c:v>
                </c:pt>
                <c:pt idx="54">
                  <c:v>1318.93094</c:v>
                </c:pt>
                <c:pt idx="55">
                  <c:v>1051.991712</c:v>
                </c:pt>
                <c:pt idx="56">
                  <c:v>1363.3183079999999</c:v>
                </c:pt>
                <c:pt idx="57">
                  <c:v>572.66619100000003</c:v>
                </c:pt>
                <c:pt idx="58">
                  <c:v>735.22635200000002</c:v>
                </c:pt>
                <c:pt idx="59">
                  <c:v>736.24134500000002</c:v>
                </c:pt>
                <c:pt idx="60">
                  <c:v>722.77097800000001</c:v>
                </c:pt>
                <c:pt idx="61">
                  <c:v>641.97955000000002</c:v>
                </c:pt>
                <c:pt idx="62">
                  <c:v>444.25852800000001</c:v>
                </c:pt>
                <c:pt idx="63">
                  <c:v>422.31842499999999</c:v>
                </c:pt>
                <c:pt idx="64">
                  <c:v>358.176827</c:v>
                </c:pt>
                <c:pt idx="65">
                  <c:v>508.81415199999998</c:v>
                </c:pt>
                <c:pt idx="66">
                  <c:v>333.04071299999998</c:v>
                </c:pt>
                <c:pt idx="67">
                  <c:v>210.52046000000001</c:v>
                </c:pt>
                <c:pt idx="68">
                  <c:v>306.40432399999997</c:v>
                </c:pt>
                <c:pt idx="69">
                  <c:v>369.74398100000002</c:v>
                </c:pt>
                <c:pt idx="70">
                  <c:v>371.025644</c:v>
                </c:pt>
                <c:pt idx="71">
                  <c:v>378.30252400000001</c:v>
                </c:pt>
                <c:pt idx="72">
                  <c:v>501.973096</c:v>
                </c:pt>
                <c:pt idx="73">
                  <c:v>531.234196</c:v>
                </c:pt>
                <c:pt idx="74">
                  <c:v>518.46526100000005</c:v>
                </c:pt>
                <c:pt idx="75">
                  <c:v>553.547505</c:v>
                </c:pt>
                <c:pt idx="76">
                  <c:v>569.81535399999996</c:v>
                </c:pt>
                <c:pt idx="77">
                  <c:v>679.77570600000001</c:v>
                </c:pt>
                <c:pt idx="78">
                  <c:v>650.85162000000003</c:v>
                </c:pt>
                <c:pt idx="79">
                  <c:v>1043.5737799999999</c:v>
                </c:pt>
                <c:pt idx="80">
                  <c:v>1091.824916</c:v>
                </c:pt>
                <c:pt idx="81">
                  <c:v>835.02711099999999</c:v>
                </c:pt>
                <c:pt idx="82">
                  <c:v>1187.969632</c:v>
                </c:pt>
                <c:pt idx="83">
                  <c:v>1180.7884120000001</c:v>
                </c:pt>
                <c:pt idx="84">
                  <c:v>1247.0111320000001</c:v>
                </c:pt>
                <c:pt idx="85">
                  <c:v>939.59904100000006</c:v>
                </c:pt>
                <c:pt idx="86">
                  <c:v>593.17995599999995</c:v>
                </c:pt>
                <c:pt idx="87">
                  <c:v>496.14472799999999</c:v>
                </c:pt>
                <c:pt idx="88">
                  <c:v>332.354804</c:v>
                </c:pt>
                <c:pt idx="89">
                  <c:v>193.53038599999999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775680"/>
        <c:axId val="322781568"/>
      </c:lineChart>
      <c:dateAx>
        <c:axId val="322775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2781568"/>
        <c:crosses val="autoZero"/>
        <c:auto val="1"/>
        <c:lblOffset val="100"/>
        <c:baseTimeUnit val="months"/>
      </c:dateAx>
      <c:valAx>
        <c:axId val="32278156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22775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Issue Amount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'Issue Amount'!$Z$2</c:f>
              <c:strCache>
                <c:ptCount val="1"/>
                <c:pt idx="0">
                  <c:v>Total Conv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Amount'!$Z$3:$Z$155</c:f>
              <c:numCache>
                <c:formatCode>_(* #,##0.00_);_(* \(#,##0.00\);_(* "-"??_);_(@_)</c:formatCode>
                <c:ptCount val="153"/>
                <c:pt idx="0">
                  <c:v>691.44354108000005</c:v>
                </c:pt>
                <c:pt idx="1">
                  <c:v>485.15921164999997</c:v>
                </c:pt>
                <c:pt idx="2">
                  <c:v>323.85404799999998</c:v>
                </c:pt>
                <c:pt idx="3">
                  <c:v>327.21968900000002</c:v>
                </c:pt>
                <c:pt idx="4">
                  <c:v>301.44686999999999</c:v>
                </c:pt>
                <c:pt idx="5">
                  <c:v>286.31186940000003</c:v>
                </c:pt>
                <c:pt idx="6">
                  <c:v>327.46093496999998</c:v>
                </c:pt>
                <c:pt idx="7">
                  <c:v>1486.8669144600001</c:v>
                </c:pt>
                <c:pt idx="8">
                  <c:v>3271.91575315</c:v>
                </c:pt>
                <c:pt idx="9">
                  <c:v>3046.6369427899999</c:v>
                </c:pt>
                <c:pt idx="10">
                  <c:v>3438.5551406199997</c:v>
                </c:pt>
                <c:pt idx="11">
                  <c:v>5396.5430856500006</c:v>
                </c:pt>
                <c:pt idx="12">
                  <c:v>4258.2147029200005</c:v>
                </c:pt>
                <c:pt idx="13">
                  <c:v>4062.1090748800002</c:v>
                </c:pt>
                <c:pt idx="14">
                  <c:v>3117.5304295599999</c:v>
                </c:pt>
                <c:pt idx="15">
                  <c:v>2501.4293552300001</c:v>
                </c:pt>
                <c:pt idx="16">
                  <c:v>2366.6523025199999</c:v>
                </c:pt>
                <c:pt idx="17">
                  <c:v>3401.7136179100003</c:v>
                </c:pt>
                <c:pt idx="18">
                  <c:v>2508.4265207899998</c:v>
                </c:pt>
                <c:pt idx="19">
                  <c:v>2711.1978865800002</c:v>
                </c:pt>
                <c:pt idx="20">
                  <c:v>2758.95855725</c:v>
                </c:pt>
                <c:pt idx="21">
                  <c:v>1983.8277322500001</c:v>
                </c:pt>
                <c:pt idx="22">
                  <c:v>1858.0023860000001</c:v>
                </c:pt>
                <c:pt idx="23">
                  <c:v>2343.1817059100003</c:v>
                </c:pt>
                <c:pt idx="24">
                  <c:v>2145.5837888000001</c:v>
                </c:pt>
                <c:pt idx="25">
                  <c:v>1951.0061784099998</c:v>
                </c:pt>
                <c:pt idx="26">
                  <c:v>3006.2091213900003</c:v>
                </c:pt>
                <c:pt idx="27">
                  <c:v>2717.5863858100001</c:v>
                </c:pt>
                <c:pt idx="28">
                  <c:v>2951.7098198200001</c:v>
                </c:pt>
                <c:pt idx="29">
                  <c:v>3698.7815958800002</c:v>
                </c:pt>
                <c:pt idx="30">
                  <c:v>3017.9531517</c:v>
                </c:pt>
                <c:pt idx="31">
                  <c:v>2822.12453852</c:v>
                </c:pt>
                <c:pt idx="32">
                  <c:v>1991.6192337299999</c:v>
                </c:pt>
                <c:pt idx="33">
                  <c:v>1414.6864302399999</c:v>
                </c:pt>
                <c:pt idx="34">
                  <c:v>1202.9921353700001</c:v>
                </c:pt>
                <c:pt idx="35">
                  <c:v>1396.98943351</c:v>
                </c:pt>
                <c:pt idx="36">
                  <c:v>1074.36511808</c:v>
                </c:pt>
                <c:pt idx="37">
                  <c:v>1558.98859582</c:v>
                </c:pt>
                <c:pt idx="38">
                  <c:v>1786.1604720800001</c:v>
                </c:pt>
                <c:pt idx="39">
                  <c:v>2066.9956718200001</c:v>
                </c:pt>
                <c:pt idx="40">
                  <c:v>2303.53459595</c:v>
                </c:pt>
                <c:pt idx="41">
                  <c:v>2912.5953284099996</c:v>
                </c:pt>
                <c:pt idx="42">
                  <c:v>3149.8436207899999</c:v>
                </c:pt>
                <c:pt idx="43">
                  <c:v>3893.2319762999996</c:v>
                </c:pt>
                <c:pt idx="44">
                  <c:v>5155.9539873900003</c:v>
                </c:pt>
                <c:pt idx="45">
                  <c:v>2391.7999229400002</c:v>
                </c:pt>
                <c:pt idx="46">
                  <c:v>3465.8098887199999</c:v>
                </c:pt>
                <c:pt idx="47">
                  <c:v>3359.8110167300001</c:v>
                </c:pt>
                <c:pt idx="48">
                  <c:v>3313.1372294699995</c:v>
                </c:pt>
                <c:pt idx="49">
                  <c:v>4185.8679590399997</c:v>
                </c:pt>
                <c:pt idx="50">
                  <c:v>4529.9612261299999</c:v>
                </c:pt>
                <c:pt idx="51">
                  <c:v>4308.1960912499999</c:v>
                </c:pt>
                <c:pt idx="52">
                  <c:v>6897.7108838200002</c:v>
                </c:pt>
                <c:pt idx="53">
                  <c:v>3616.5723854899998</c:v>
                </c:pt>
                <c:pt idx="54">
                  <c:v>4783.2061556299996</c:v>
                </c:pt>
                <c:pt idx="55">
                  <c:v>5104.4346295799996</c:v>
                </c:pt>
                <c:pt idx="56">
                  <c:v>4865.9251379799998</c:v>
                </c:pt>
                <c:pt idx="57">
                  <c:v>4686.3545816700007</c:v>
                </c:pt>
                <c:pt idx="58">
                  <c:v>4955.6322749600004</c:v>
                </c:pt>
                <c:pt idx="59">
                  <c:v>5039.5325144199996</c:v>
                </c:pt>
                <c:pt idx="60">
                  <c:v>5299.3118190599998</c:v>
                </c:pt>
                <c:pt idx="61">
                  <c:v>4826.7312863099996</c:v>
                </c:pt>
                <c:pt idx="62">
                  <c:v>3566.9964121799999</c:v>
                </c:pt>
                <c:pt idx="63">
                  <c:v>3102.0964138400004</c:v>
                </c:pt>
                <c:pt idx="64">
                  <c:v>2751.8819497</c:v>
                </c:pt>
                <c:pt idx="65">
                  <c:v>2818.1168159999997</c:v>
                </c:pt>
                <c:pt idx="66">
                  <c:v>2259.8598850999997</c:v>
                </c:pt>
                <c:pt idx="67">
                  <c:v>2204.36194488</c:v>
                </c:pt>
                <c:pt idx="68">
                  <c:v>1760.0249524999999</c:v>
                </c:pt>
                <c:pt idx="69">
                  <c:v>2235.7764594999999</c:v>
                </c:pt>
                <c:pt idx="70">
                  <c:v>2230.14641325</c:v>
                </c:pt>
                <c:pt idx="71">
                  <c:v>2599.1868549399996</c:v>
                </c:pt>
                <c:pt idx="72">
                  <c:v>2988.3746615999999</c:v>
                </c:pt>
                <c:pt idx="73">
                  <c:v>3589.7308479200001</c:v>
                </c:pt>
                <c:pt idx="74">
                  <c:v>3531.5869512899999</c:v>
                </c:pt>
                <c:pt idx="75">
                  <c:v>3733.1762188499997</c:v>
                </c:pt>
                <c:pt idx="76">
                  <c:v>2886.4930646700004</c:v>
                </c:pt>
                <c:pt idx="77">
                  <c:v>3925.23629394</c:v>
                </c:pt>
                <c:pt idx="78">
                  <c:v>3511.3732216899998</c:v>
                </c:pt>
                <c:pt idx="79">
                  <c:v>3713.69337963</c:v>
                </c:pt>
                <c:pt idx="80">
                  <c:v>4261.0019915299999</c:v>
                </c:pt>
                <c:pt idx="81">
                  <c:v>4878.9274241500007</c:v>
                </c:pt>
                <c:pt idx="82">
                  <c:v>4553.0211585799998</c:v>
                </c:pt>
                <c:pt idx="83">
                  <c:v>4564.2350151600003</c:v>
                </c:pt>
                <c:pt idx="84">
                  <c:v>4545.8123482399997</c:v>
                </c:pt>
                <c:pt idx="85">
                  <c:v>3662.74058242</c:v>
                </c:pt>
                <c:pt idx="86">
                  <c:v>4344.2111083300006</c:v>
                </c:pt>
                <c:pt idx="87">
                  <c:v>3838.94694746</c:v>
                </c:pt>
                <c:pt idx="88">
                  <c:v>2762.2154860000001</c:v>
                </c:pt>
                <c:pt idx="89">
                  <c:v>2216.6127471600003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'Issue Amount'!$AA$2</c:f>
              <c:strCache>
                <c:ptCount val="1"/>
                <c:pt idx="0">
                  <c:v>Total Jumbo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Amount'!$AA$3:$AA$155</c:f>
              <c:numCache>
                <c:formatCode>_(* #,##0.00_);_(* \(#,##0.00\);_(* "-"??_);_(@_)</c:formatCode>
                <c:ptCount val="153"/>
                <c:pt idx="0">
                  <c:v>160.58170799999999</c:v>
                </c:pt>
                <c:pt idx="1">
                  <c:v>235.44286099999999</c:v>
                </c:pt>
                <c:pt idx="2">
                  <c:v>340.76196600000003</c:v>
                </c:pt>
                <c:pt idx="3">
                  <c:v>250.060767</c:v>
                </c:pt>
                <c:pt idx="4">
                  <c:v>133.758017</c:v>
                </c:pt>
                <c:pt idx="5">
                  <c:v>207.58183299999999</c:v>
                </c:pt>
                <c:pt idx="6">
                  <c:v>105.811758</c:v>
                </c:pt>
                <c:pt idx="7">
                  <c:v>90.443938000000003</c:v>
                </c:pt>
                <c:pt idx="8">
                  <c:v>99.837069</c:v>
                </c:pt>
                <c:pt idx="9">
                  <c:v>96.552573469999999</c:v>
                </c:pt>
                <c:pt idx="10">
                  <c:v>462.91532258999996</c:v>
                </c:pt>
                <c:pt idx="11">
                  <c:v>248.84250134000001</c:v>
                </c:pt>
                <c:pt idx="12">
                  <c:v>399.27476736</c:v>
                </c:pt>
                <c:pt idx="13">
                  <c:v>580.64208715999996</c:v>
                </c:pt>
                <c:pt idx="14">
                  <c:v>904.8334597999999</c:v>
                </c:pt>
                <c:pt idx="15">
                  <c:v>1188.9364121999999</c:v>
                </c:pt>
                <c:pt idx="16">
                  <c:v>718.38830945000007</c:v>
                </c:pt>
                <c:pt idx="17">
                  <c:v>788.01932762000001</c:v>
                </c:pt>
                <c:pt idx="18">
                  <c:v>739.15034574000003</c:v>
                </c:pt>
                <c:pt idx="19">
                  <c:v>748.89095595000003</c:v>
                </c:pt>
                <c:pt idx="20">
                  <c:v>718.92873509000003</c:v>
                </c:pt>
                <c:pt idx="21">
                  <c:v>523.62793020999993</c:v>
                </c:pt>
                <c:pt idx="22">
                  <c:v>511.00573945999997</c:v>
                </c:pt>
                <c:pt idx="23">
                  <c:v>472.80826100999997</c:v>
                </c:pt>
                <c:pt idx="24">
                  <c:v>922.00623085999996</c:v>
                </c:pt>
                <c:pt idx="25">
                  <c:v>1029.4831750399999</c:v>
                </c:pt>
                <c:pt idx="26">
                  <c:v>1598.88402582</c:v>
                </c:pt>
                <c:pt idx="27">
                  <c:v>1726.02715997</c:v>
                </c:pt>
                <c:pt idx="28">
                  <c:v>2022.07656705</c:v>
                </c:pt>
                <c:pt idx="29">
                  <c:v>3260.0792636900005</c:v>
                </c:pt>
                <c:pt idx="30">
                  <c:v>2831.1842289199999</c:v>
                </c:pt>
                <c:pt idx="31">
                  <c:v>2889.1900119800002</c:v>
                </c:pt>
                <c:pt idx="32">
                  <c:v>1520.81125845</c:v>
                </c:pt>
                <c:pt idx="33">
                  <c:v>1187.59953335</c:v>
                </c:pt>
                <c:pt idx="34">
                  <c:v>1155.3288025699999</c:v>
                </c:pt>
                <c:pt idx="35">
                  <c:v>1437.2027562000001</c:v>
                </c:pt>
                <c:pt idx="36">
                  <c:v>1334.4760306000001</c:v>
                </c:pt>
                <c:pt idx="37">
                  <c:v>1633.3169088499999</c:v>
                </c:pt>
                <c:pt idx="38">
                  <c:v>2285.7597231600002</c:v>
                </c:pt>
                <c:pt idx="39">
                  <c:v>3524.5308268600002</c:v>
                </c:pt>
                <c:pt idx="40">
                  <c:v>3625.9612274999999</c:v>
                </c:pt>
                <c:pt idx="41">
                  <c:v>1801.0901672100001</c:v>
                </c:pt>
                <c:pt idx="42">
                  <c:v>2661.04152256</c:v>
                </c:pt>
                <c:pt idx="43">
                  <c:v>2409.8579176099997</c:v>
                </c:pt>
                <c:pt idx="44">
                  <c:v>4073.2350901100003</c:v>
                </c:pt>
                <c:pt idx="45">
                  <c:v>1313.8150294700001</c:v>
                </c:pt>
                <c:pt idx="46">
                  <c:v>2333.1761563099999</c:v>
                </c:pt>
                <c:pt idx="47">
                  <c:v>2934.1160416800003</c:v>
                </c:pt>
                <c:pt idx="48">
                  <c:v>3339.4312989599998</c:v>
                </c:pt>
                <c:pt idx="49">
                  <c:v>3916.6999278600001</c:v>
                </c:pt>
                <c:pt idx="50">
                  <c:v>4327.8017012199998</c:v>
                </c:pt>
                <c:pt idx="51">
                  <c:v>3880.5911602000001</c:v>
                </c:pt>
                <c:pt idx="52">
                  <c:v>5683.4465781300005</c:v>
                </c:pt>
                <c:pt idx="53">
                  <c:v>1723.9454427000001</c:v>
                </c:pt>
                <c:pt idx="54">
                  <c:v>4635.3104019900002</c:v>
                </c:pt>
                <c:pt idx="55">
                  <c:v>2942.67680746</c:v>
                </c:pt>
                <c:pt idx="56">
                  <c:v>3482.6644777500001</c:v>
                </c:pt>
                <c:pt idx="57">
                  <c:v>2847.08886334</c:v>
                </c:pt>
                <c:pt idx="58">
                  <c:v>2756.28838546</c:v>
                </c:pt>
                <c:pt idx="59">
                  <c:v>3156.88192037</c:v>
                </c:pt>
                <c:pt idx="60">
                  <c:v>2609.8117183900004</c:v>
                </c:pt>
                <c:pt idx="61">
                  <c:v>2277.99040556</c:v>
                </c:pt>
                <c:pt idx="62">
                  <c:v>1402.60729732</c:v>
                </c:pt>
                <c:pt idx="63">
                  <c:v>1264.60081676</c:v>
                </c:pt>
                <c:pt idx="64">
                  <c:v>1137.0671781799999</c:v>
                </c:pt>
                <c:pt idx="65">
                  <c:v>1157.0510529999999</c:v>
                </c:pt>
                <c:pt idx="66">
                  <c:v>725.96400612999992</c:v>
                </c:pt>
                <c:pt idx="67">
                  <c:v>575.57971343000008</c:v>
                </c:pt>
                <c:pt idx="68">
                  <c:v>536.75036699999998</c:v>
                </c:pt>
                <c:pt idx="69">
                  <c:v>648.14324899999997</c:v>
                </c:pt>
                <c:pt idx="70">
                  <c:v>708.95967300000007</c:v>
                </c:pt>
                <c:pt idx="71">
                  <c:v>698.42436558999998</c:v>
                </c:pt>
                <c:pt idx="72">
                  <c:v>1064.9869093899999</c:v>
                </c:pt>
                <c:pt idx="73">
                  <c:v>981.62222900000006</c:v>
                </c:pt>
                <c:pt idx="74">
                  <c:v>1279.9712350300001</c:v>
                </c:pt>
                <c:pt idx="75">
                  <c:v>1096.2600444499999</c:v>
                </c:pt>
                <c:pt idx="76">
                  <c:v>1119.6331575199999</c:v>
                </c:pt>
                <c:pt idx="77">
                  <c:v>1457.1242055100001</c:v>
                </c:pt>
                <c:pt idx="78">
                  <c:v>1319.0483399500001</c:v>
                </c:pt>
                <c:pt idx="79">
                  <c:v>1865.75783348</c:v>
                </c:pt>
                <c:pt idx="80">
                  <c:v>2104.4978249999999</c:v>
                </c:pt>
                <c:pt idx="81">
                  <c:v>1919.20498662</c:v>
                </c:pt>
                <c:pt idx="82">
                  <c:v>1963.8434884000001</c:v>
                </c:pt>
                <c:pt idx="83">
                  <c:v>2809.9806620500003</c:v>
                </c:pt>
                <c:pt idx="84">
                  <c:v>2106.18904909</c:v>
                </c:pt>
                <c:pt idx="85">
                  <c:v>1861.1456270000001</c:v>
                </c:pt>
                <c:pt idx="86">
                  <c:v>1251.727558</c:v>
                </c:pt>
                <c:pt idx="87">
                  <c:v>1111.6591960000001</c:v>
                </c:pt>
                <c:pt idx="88">
                  <c:v>959.10617400000001</c:v>
                </c:pt>
                <c:pt idx="89">
                  <c:v>416.73162400000001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789760"/>
        <c:axId val="322791296"/>
      </c:lineChart>
      <c:dateAx>
        <c:axId val="322789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2791296"/>
        <c:crosses val="autoZero"/>
        <c:auto val="1"/>
        <c:lblOffset val="100"/>
        <c:baseTimeUnit val="months"/>
      </c:dateAx>
      <c:valAx>
        <c:axId val="322791296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322789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'Issue Amount'!$AB$2</c:f>
              <c:strCache>
                <c:ptCount val="1"/>
                <c:pt idx="0">
                  <c:v>Pct in Conv</c:v>
                </c:pt>
              </c:strCache>
            </c:strRef>
          </c:tx>
          <c:invertIfNegative val="0"/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Amount'!$AB$3:$AB$155</c:f>
              <c:numCache>
                <c:formatCode>0%</c:formatCode>
                <c:ptCount val="153"/>
                <c:pt idx="0">
                  <c:v>0.81152940224084558</c:v>
                </c:pt>
                <c:pt idx="1">
                  <c:v>0.67326924257355591</c:v>
                </c:pt>
                <c:pt idx="2">
                  <c:v>0.48727993484670984</c:v>
                </c:pt>
                <c:pt idx="3">
                  <c:v>0.5668296676234611</c:v>
                </c:pt>
                <c:pt idx="4">
                  <c:v>0.69265506662382681</c:v>
                </c:pt>
                <c:pt idx="5">
                  <c:v>0.57970342202929859</c:v>
                </c:pt>
                <c:pt idx="6">
                  <c:v>0.75578484470211826</c:v>
                </c:pt>
                <c:pt idx="7">
                  <c:v>0.94265940803048287</c:v>
                </c:pt>
                <c:pt idx="8">
                  <c:v>0.97039015780037552</c:v>
                </c:pt>
                <c:pt idx="9">
                  <c:v>0.9692819752132269</c:v>
                </c:pt>
                <c:pt idx="10">
                  <c:v>0.88134850001936738</c:v>
                </c:pt>
                <c:pt idx="11">
                  <c:v>0.95592107970207263</c:v>
                </c:pt>
                <c:pt idx="12">
                  <c:v>0.91427253461165725</c:v>
                </c:pt>
                <c:pt idx="13">
                  <c:v>0.87493577258513489</c:v>
                </c:pt>
                <c:pt idx="14">
                  <c:v>0.77504932803482174</c:v>
                </c:pt>
                <c:pt idx="15">
                  <c:v>0.67782694531442478</c:v>
                </c:pt>
                <c:pt idx="16">
                  <c:v>0.76713813534167308</c:v>
                </c:pt>
                <c:pt idx="17">
                  <c:v>0.81191657371366999</c:v>
                </c:pt>
                <c:pt idx="18">
                  <c:v>0.77239943006190526</c:v>
                </c:pt>
                <c:pt idx="19">
                  <c:v>0.78356308463963764</c:v>
                </c:pt>
                <c:pt idx="20">
                  <c:v>0.79328578684150264</c:v>
                </c:pt>
                <c:pt idx="21">
                  <c:v>0.79117160951261567</c:v>
                </c:pt>
                <c:pt idx="22">
                  <c:v>0.78429548891446887</c:v>
                </c:pt>
                <c:pt idx="23">
                  <c:v>0.83209874091734215</c:v>
                </c:pt>
                <c:pt idx="24">
                  <c:v>0.69943629202373281</c:v>
                </c:pt>
                <c:pt idx="25">
                  <c:v>0.6545925675431975</c:v>
                </c:pt>
                <c:pt idx="26">
                  <c:v>0.65280093698241803</c:v>
                </c:pt>
                <c:pt idx="27">
                  <c:v>0.61157127140158951</c:v>
                </c:pt>
                <c:pt idx="28">
                  <c:v>0.59345327487566435</c:v>
                </c:pt>
                <c:pt idx="29">
                  <c:v>0.53152113119108313</c:v>
                </c:pt>
                <c:pt idx="30">
                  <c:v>0.51596551000826407</c:v>
                </c:pt>
                <c:pt idx="31">
                  <c:v>0.49412871827781496</c:v>
                </c:pt>
                <c:pt idx="32">
                  <c:v>0.56702025510941734</c:v>
                </c:pt>
                <c:pt idx="33">
                  <c:v>0.54363219493693171</c:v>
                </c:pt>
                <c:pt idx="34">
                  <c:v>0.51010535335399143</c:v>
                </c:pt>
                <c:pt idx="35">
                  <c:v>0.49290568176074984</c:v>
                </c:pt>
                <c:pt idx="36">
                  <c:v>0.44600911881164601</c:v>
                </c:pt>
                <c:pt idx="37">
                  <c:v>0.48835820805351088</c:v>
                </c:pt>
                <c:pt idx="38">
                  <c:v>0.43865311362633991</c:v>
                </c:pt>
                <c:pt idx="39">
                  <c:v>0.36966572049832164</c:v>
                </c:pt>
                <c:pt idx="40">
                  <c:v>0.38848743038825828</c:v>
                </c:pt>
                <c:pt idx="41">
                  <c:v>0.61790192220427309</c:v>
                </c:pt>
                <c:pt idx="42">
                  <c:v>0.54205917740341047</c:v>
                </c:pt>
                <c:pt idx="43">
                  <c:v>0.6176703873542424</c:v>
                </c:pt>
                <c:pt idx="44">
                  <c:v>0.55865731475366442</c:v>
                </c:pt>
                <c:pt idx="45">
                  <c:v>0.64545290151758983</c:v>
                </c:pt>
                <c:pt idx="46">
                  <c:v>0.59765791153961467</c:v>
                </c:pt>
                <c:pt idx="47">
                  <c:v>0.53381791456267214</c:v>
                </c:pt>
                <c:pt idx="48">
                  <c:v>0.49802376560439537</c:v>
                </c:pt>
                <c:pt idx="49">
                  <c:v>0.51661004479920392</c:v>
                </c:pt>
                <c:pt idx="50">
                  <c:v>0.51141143235420061</c:v>
                </c:pt>
                <c:pt idx="51">
                  <c:v>0.52610917330733464</c:v>
                </c:pt>
                <c:pt idx="52">
                  <c:v>0.54825725730571206</c:v>
                </c:pt>
                <c:pt idx="53">
                  <c:v>0.67719507767577714</c:v>
                </c:pt>
                <c:pt idx="54">
                  <c:v>0.50785132949202838</c:v>
                </c:pt>
                <c:pt idx="55">
                  <c:v>0.63431886951196292</c:v>
                </c:pt>
                <c:pt idx="56">
                  <c:v>0.58284397268873589</c:v>
                </c:pt>
                <c:pt idx="57">
                  <c:v>0.62207337399926277</c:v>
                </c:pt>
                <c:pt idx="58">
                  <c:v>0.64259378346484575</c:v>
                </c:pt>
                <c:pt idx="59">
                  <c:v>0.61484598595082107</c:v>
                </c:pt>
                <c:pt idx="60">
                  <c:v>0.6700251670071351</c:v>
                </c:pt>
                <c:pt idx="61">
                  <c:v>0.67936950884835845</c:v>
                </c:pt>
                <c:pt idx="62">
                  <c:v>0.71776274743220547</c:v>
                </c:pt>
                <c:pt idx="63">
                  <c:v>0.71039878654782773</c:v>
                </c:pt>
                <c:pt idx="64">
                  <c:v>0.70761582607796825</c:v>
                </c:pt>
                <c:pt idx="65">
                  <c:v>0.7089302663107232</c:v>
                </c:pt>
                <c:pt idx="66">
                  <c:v>0.75686308617788522</c:v>
                </c:pt>
                <c:pt idx="67">
                  <c:v>0.79295259247278227</c:v>
                </c:pt>
                <c:pt idx="68">
                  <c:v>0.76630262331587196</c:v>
                </c:pt>
                <c:pt idx="69">
                  <c:v>0.77525613938221749</c:v>
                </c:pt>
                <c:pt idx="70">
                  <c:v>0.75878391177619575</c:v>
                </c:pt>
                <c:pt idx="71">
                  <c:v>0.78820293876918956</c:v>
                </c:pt>
                <c:pt idx="72">
                  <c:v>0.73725834946180591</c:v>
                </c:pt>
                <c:pt idx="73">
                  <c:v>0.78526659120774389</c:v>
                </c:pt>
                <c:pt idx="74">
                  <c:v>0.7339798906164835</c:v>
                </c:pt>
                <c:pt idx="75">
                  <c:v>0.77300455277135904</c:v>
                </c:pt>
                <c:pt idx="76">
                  <c:v>0.72051975014707892</c:v>
                </c:pt>
                <c:pt idx="77">
                  <c:v>0.72927785018136615</c:v>
                </c:pt>
                <c:pt idx="78">
                  <c:v>0.72692893919963308</c:v>
                </c:pt>
                <c:pt idx="79">
                  <c:v>0.66560190918131146</c:v>
                </c:pt>
                <c:pt idx="80">
                  <c:v>0.66939001089356454</c:v>
                </c:pt>
                <c:pt idx="81">
                  <c:v>0.71768643641311214</c:v>
                </c:pt>
                <c:pt idx="82">
                  <c:v>0.69865209808982753</c:v>
                </c:pt>
                <c:pt idx="83">
                  <c:v>0.61894514819599866</c:v>
                </c:pt>
                <c:pt idx="84">
                  <c:v>0.68337513429636554</c:v>
                </c:pt>
                <c:pt idx="85">
                  <c:v>0.66307314154550301</c:v>
                </c:pt>
                <c:pt idx="86">
                  <c:v>0.77631499688667527</c:v>
                </c:pt>
                <c:pt idx="87">
                  <c:v>0.77544988153247507</c:v>
                </c:pt>
                <c:pt idx="88">
                  <c:v>0.74226732821585761</c:v>
                </c:pt>
                <c:pt idx="89">
                  <c:v>0.8417481478822203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811776"/>
        <c:axId val="322813312"/>
      </c:barChart>
      <c:dateAx>
        <c:axId val="322811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2813312"/>
        <c:crosses val="autoZero"/>
        <c:auto val="1"/>
        <c:lblOffset val="100"/>
        <c:baseTimeUnit val="months"/>
      </c:dateAx>
      <c:valAx>
        <c:axId val="3228133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2811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61912</xdr:colOff>
      <xdr:row>9</xdr:row>
      <xdr:rowOff>100012</xdr:rowOff>
    </xdr:from>
    <xdr:to>
      <xdr:col>32</xdr:col>
      <xdr:colOff>304800</xdr:colOff>
      <xdr:row>26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</xdr:colOff>
      <xdr:row>4</xdr:row>
      <xdr:rowOff>71437</xdr:rowOff>
    </xdr:from>
    <xdr:to>
      <xdr:col>30</xdr:col>
      <xdr:colOff>247650</xdr:colOff>
      <xdr:row>18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</xdr:colOff>
      <xdr:row>19</xdr:row>
      <xdr:rowOff>152400</xdr:rowOff>
    </xdr:from>
    <xdr:to>
      <xdr:col>24</xdr:col>
      <xdr:colOff>371475</xdr:colOff>
      <xdr:row>25</xdr:row>
      <xdr:rowOff>85725</xdr:rowOff>
    </xdr:to>
    <xdr:sp macro="" textlink="">
      <xdr:nvSpPr>
        <xdr:cNvPr id="3" name="TextBox 2"/>
        <xdr:cNvSpPr txBox="1"/>
      </xdr:nvSpPr>
      <xdr:spPr>
        <a:xfrm>
          <a:off x="9896475" y="3771900"/>
          <a:ext cx="5219700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With FICO &gt; 740</a:t>
          </a:r>
        </a:p>
      </xdr:txBody>
    </xdr:sp>
    <xdr:clientData/>
  </xdr:twoCellAnchor>
  <xdr:twoCellAnchor>
    <xdr:from>
      <xdr:col>15</xdr:col>
      <xdr:colOff>571500</xdr:colOff>
      <xdr:row>27</xdr:row>
      <xdr:rowOff>28575</xdr:rowOff>
    </xdr:from>
    <xdr:to>
      <xdr:col>30</xdr:col>
      <xdr:colOff>204788</xdr:colOff>
      <xdr:row>44</xdr:row>
      <xdr:rowOff>80963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85725</xdr:colOff>
      <xdr:row>0</xdr:row>
      <xdr:rowOff>166687</xdr:rowOff>
    </xdr:from>
    <xdr:to>
      <xdr:col>35</xdr:col>
      <xdr:colOff>390525</xdr:colOff>
      <xdr:row>15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95250</xdr:colOff>
      <xdr:row>17</xdr:row>
      <xdr:rowOff>42862</xdr:rowOff>
    </xdr:from>
    <xdr:to>
      <xdr:col>35</xdr:col>
      <xdr:colOff>400050</xdr:colOff>
      <xdr:row>31</xdr:row>
      <xdr:rowOff>119062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95250</xdr:colOff>
      <xdr:row>33</xdr:row>
      <xdr:rowOff>80962</xdr:rowOff>
    </xdr:from>
    <xdr:to>
      <xdr:col>35</xdr:col>
      <xdr:colOff>400050</xdr:colOff>
      <xdr:row>47</xdr:row>
      <xdr:rowOff>157162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114300</xdr:colOff>
      <xdr:row>49</xdr:row>
      <xdr:rowOff>166687</xdr:rowOff>
    </xdr:from>
    <xdr:to>
      <xdr:col>35</xdr:col>
      <xdr:colOff>419100</xdr:colOff>
      <xdr:row>64</xdr:row>
      <xdr:rowOff>52387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200025</xdr:colOff>
      <xdr:row>67</xdr:row>
      <xdr:rowOff>0</xdr:rowOff>
    </xdr:from>
    <xdr:to>
      <xdr:col>36</xdr:col>
      <xdr:colOff>542925</xdr:colOff>
      <xdr:row>72</xdr:row>
      <xdr:rowOff>123825</xdr:rowOff>
    </xdr:to>
    <xdr:sp macro="" textlink="">
      <xdr:nvSpPr>
        <xdr:cNvPr id="8" name="TextBox 7"/>
        <xdr:cNvSpPr txBox="1"/>
      </xdr:nvSpPr>
      <xdr:spPr>
        <a:xfrm>
          <a:off x="17706975" y="12763500"/>
          <a:ext cx="5219700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With no FICO condition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15"/>
  <sheetViews>
    <sheetView topLeftCell="A55" workbookViewId="0">
      <selection activeCell="N88" sqref="N88"/>
    </sheetView>
  </sheetViews>
  <sheetFormatPr defaultRowHeight="15" x14ac:dyDescent="0.25"/>
  <cols>
    <col min="1" max="1" width="9.7109375" bestFit="1" customWidth="1"/>
    <col min="5" max="5" width="10.7109375" bestFit="1" customWidth="1"/>
    <col min="11" max="11" width="9.7109375" bestFit="1" customWidth="1"/>
  </cols>
  <sheetData>
    <row r="1" spans="1:14" x14ac:dyDescent="0.25">
      <c r="A1" t="s">
        <v>2</v>
      </c>
      <c r="E1" t="s">
        <v>3</v>
      </c>
      <c r="N1" t="s">
        <v>6</v>
      </c>
    </row>
    <row r="2" spans="1:14" x14ac:dyDescent="0.25">
      <c r="A2" t="s">
        <v>0</v>
      </c>
      <c r="B2" t="s">
        <v>1</v>
      </c>
      <c r="C2" t="s">
        <v>4</v>
      </c>
      <c r="E2" t="s">
        <v>0</v>
      </c>
      <c r="F2" t="s">
        <v>1</v>
      </c>
      <c r="G2" t="s">
        <v>4</v>
      </c>
      <c r="K2" t="s">
        <v>0</v>
      </c>
      <c r="L2" t="s">
        <v>2</v>
      </c>
      <c r="M2" t="s">
        <v>3</v>
      </c>
      <c r="N2" t="s">
        <v>5</v>
      </c>
    </row>
    <row r="3" spans="1:14" x14ac:dyDescent="0.25">
      <c r="A3" s="1">
        <v>39569</v>
      </c>
      <c r="B3">
        <v>6.2993169893947298</v>
      </c>
      <c r="C3">
        <v>1161378160</v>
      </c>
      <c r="E3" s="1">
        <v>29891</v>
      </c>
      <c r="F3">
        <v>10.5179143862369</v>
      </c>
      <c r="G3">
        <v>89799701650.919998</v>
      </c>
      <c r="K3" s="1">
        <v>39569</v>
      </c>
      <c r="L3">
        <v>6.2993169893947298</v>
      </c>
      <c r="M3">
        <f>VLOOKUP(K3,E:G,2,0)</f>
        <v>6.01405192058363</v>
      </c>
      <c r="N3">
        <f>(L3-M3)*100</f>
        <v>28.526506881109981</v>
      </c>
    </row>
    <row r="4" spans="1:14" x14ac:dyDescent="0.25">
      <c r="A4" s="1">
        <v>39600</v>
      </c>
      <c r="B4">
        <v>6.1448270312832296</v>
      </c>
      <c r="C4">
        <v>35713732492</v>
      </c>
      <c r="E4" s="1">
        <v>29921</v>
      </c>
      <c r="F4">
        <v>12.6252429750883</v>
      </c>
      <c r="G4">
        <v>13422202227.719999</v>
      </c>
      <c r="K4" s="1">
        <v>39600</v>
      </c>
      <c r="L4">
        <v>6.1448270312832296</v>
      </c>
      <c r="M4">
        <f t="shared" ref="M4:M67" si="0">VLOOKUP(K4,E:G,2,0)</f>
        <v>5.99401149130503</v>
      </c>
      <c r="N4">
        <f t="shared" ref="N4:N67" si="1">(L4-M4)*100</f>
        <v>15.081553997819963</v>
      </c>
    </row>
    <row r="5" spans="1:14" x14ac:dyDescent="0.25">
      <c r="A5" s="1">
        <v>39630</v>
      </c>
      <c r="B5">
        <v>6.0746575060433798</v>
      </c>
      <c r="C5">
        <v>149039315115</v>
      </c>
      <c r="E5" s="1">
        <v>29952</v>
      </c>
      <c r="F5">
        <v>9.7391655989883095</v>
      </c>
      <c r="G5">
        <v>60262819312.580002</v>
      </c>
      <c r="K5" s="1">
        <v>39630</v>
      </c>
      <c r="L5">
        <v>6.0746575060433798</v>
      </c>
      <c r="M5">
        <f t="shared" si="0"/>
        <v>6.1169393500164198</v>
      </c>
      <c r="N5">
        <f t="shared" si="1"/>
        <v>-4.2281843973039912</v>
      </c>
    </row>
    <row r="6" spans="1:14" x14ac:dyDescent="0.25">
      <c r="A6" s="1">
        <v>39661</v>
      </c>
      <c r="B6">
        <v>6.2552582149466804</v>
      </c>
      <c r="C6">
        <v>172002858607</v>
      </c>
      <c r="E6" s="1">
        <v>29983</v>
      </c>
      <c r="F6">
        <v>10.266598374498599</v>
      </c>
      <c r="G6">
        <v>69871323420.710007</v>
      </c>
      <c r="K6" s="1">
        <v>39661</v>
      </c>
      <c r="L6">
        <v>6.2552582149466804</v>
      </c>
      <c r="M6">
        <f t="shared" si="0"/>
        <v>6.3342756758093897</v>
      </c>
      <c r="N6">
        <f t="shared" si="1"/>
        <v>-7.9017460862709221</v>
      </c>
    </row>
    <row r="7" spans="1:14" x14ac:dyDescent="0.25">
      <c r="A7" s="1">
        <v>39692</v>
      </c>
      <c r="B7">
        <v>6.3763621045402203</v>
      </c>
      <c r="C7">
        <v>198709500499</v>
      </c>
      <c r="E7" s="1">
        <v>30011</v>
      </c>
      <c r="F7">
        <v>9.6542115078759192</v>
      </c>
      <c r="G7">
        <v>139375008429.89999</v>
      </c>
      <c r="K7" s="1">
        <v>39692</v>
      </c>
      <c r="L7">
        <v>6.3763621045402203</v>
      </c>
      <c r="M7">
        <f t="shared" si="0"/>
        <v>6.4530924466433497</v>
      </c>
      <c r="N7">
        <f t="shared" si="1"/>
        <v>-7.6730342103129345</v>
      </c>
    </row>
    <row r="8" spans="1:14" x14ac:dyDescent="0.25">
      <c r="A8" s="1">
        <v>39722</v>
      </c>
      <c r="B8">
        <v>6.3160939264723099</v>
      </c>
      <c r="C8">
        <v>111855954373</v>
      </c>
      <c r="E8" s="1">
        <v>30042</v>
      </c>
      <c r="F8">
        <v>9.6723304089128597</v>
      </c>
      <c r="G8">
        <v>103912813271.2</v>
      </c>
      <c r="K8" s="1">
        <v>39722</v>
      </c>
      <c r="L8">
        <v>6.3160939264723099</v>
      </c>
      <c r="M8">
        <f t="shared" si="0"/>
        <v>6.3436343243934701</v>
      </c>
      <c r="N8">
        <f t="shared" si="1"/>
        <v>-2.7540397921160142</v>
      </c>
    </row>
    <row r="9" spans="1:14" x14ac:dyDescent="0.25">
      <c r="A9" s="1">
        <v>39783</v>
      </c>
      <c r="B9">
        <v>6.61508899457022</v>
      </c>
      <c r="C9">
        <v>965831396</v>
      </c>
      <c r="E9" s="1">
        <v>30072</v>
      </c>
      <c r="F9">
        <v>9.6530214683803202</v>
      </c>
      <c r="G9">
        <v>109087546221.67999</v>
      </c>
      <c r="K9" s="1">
        <v>39783</v>
      </c>
      <c r="L9">
        <v>6.61508899457022</v>
      </c>
      <c r="M9">
        <f t="shared" si="0"/>
        <v>5.97504083742629</v>
      </c>
      <c r="N9">
        <f t="shared" si="1"/>
        <v>64.004815714393004</v>
      </c>
    </row>
    <row r="10" spans="1:14" x14ac:dyDescent="0.25">
      <c r="A10" s="1">
        <v>39845</v>
      </c>
      <c r="B10">
        <v>5.5408758457515797</v>
      </c>
      <c r="C10">
        <v>44994601171</v>
      </c>
      <c r="E10" s="1">
        <v>30086</v>
      </c>
      <c r="F10">
        <v>8.83</v>
      </c>
      <c r="G10">
        <v>496615826.51999998</v>
      </c>
      <c r="K10" s="1">
        <v>39845</v>
      </c>
      <c r="L10">
        <v>5.5408758457515797</v>
      </c>
      <c r="M10">
        <f t="shared" si="0"/>
        <v>5.0640383435435696</v>
      </c>
      <c r="N10">
        <f t="shared" si="1"/>
        <v>47.683750220801002</v>
      </c>
    </row>
    <row r="11" spans="1:14" x14ac:dyDescent="0.25">
      <c r="A11" s="1">
        <v>39873</v>
      </c>
      <c r="B11">
        <v>5.3354414409587303</v>
      </c>
      <c r="C11">
        <v>47649314668</v>
      </c>
      <c r="E11" s="1">
        <v>30103</v>
      </c>
      <c r="F11">
        <v>9.6148224263757491</v>
      </c>
      <c r="G11">
        <v>41110765665.68</v>
      </c>
      <c r="K11" s="1">
        <v>39873</v>
      </c>
      <c r="L11">
        <v>5.3354414409587303</v>
      </c>
      <c r="M11">
        <f t="shared" si="0"/>
        <v>4.9906923259199898</v>
      </c>
      <c r="N11">
        <f t="shared" si="1"/>
        <v>34.474911503874054</v>
      </c>
    </row>
    <row r="12" spans="1:14" x14ac:dyDescent="0.25">
      <c r="A12" s="1">
        <v>39904</v>
      </c>
      <c r="B12">
        <v>5.0985473440799298</v>
      </c>
      <c r="C12">
        <v>36818027973</v>
      </c>
      <c r="E12" s="1">
        <v>30133</v>
      </c>
      <c r="F12">
        <v>10.904000557948899</v>
      </c>
      <c r="G12">
        <v>76841925304.800003</v>
      </c>
      <c r="K12" s="1">
        <v>39904</v>
      </c>
      <c r="L12">
        <v>5.0985473440799298</v>
      </c>
      <c r="M12">
        <f t="shared" si="0"/>
        <v>4.9396221365250499</v>
      </c>
      <c r="N12">
        <f t="shared" si="1"/>
        <v>15.892520755487993</v>
      </c>
    </row>
    <row r="13" spans="1:14" x14ac:dyDescent="0.25">
      <c r="A13" s="1">
        <v>39934</v>
      </c>
      <c r="B13">
        <v>5.94871326378503</v>
      </c>
      <c r="C13">
        <v>524521902921</v>
      </c>
      <c r="E13" s="1">
        <v>30164</v>
      </c>
      <c r="F13">
        <v>10.3635999599176</v>
      </c>
      <c r="G13">
        <v>109291018119.82001</v>
      </c>
      <c r="K13" s="1">
        <v>39934</v>
      </c>
      <c r="L13">
        <v>5.94871326378503</v>
      </c>
      <c r="M13">
        <f t="shared" si="0"/>
        <v>5.42981062692051</v>
      </c>
      <c r="N13">
        <f t="shared" si="1"/>
        <v>51.890263686452002</v>
      </c>
    </row>
    <row r="14" spans="1:14" x14ac:dyDescent="0.25">
      <c r="A14" s="1">
        <v>39965</v>
      </c>
      <c r="B14">
        <v>6.0411523126401399</v>
      </c>
      <c r="C14">
        <v>170048580527</v>
      </c>
      <c r="E14" s="1">
        <v>30195</v>
      </c>
      <c r="F14">
        <v>9.9629691462418801</v>
      </c>
      <c r="G14">
        <v>141219916281.39001</v>
      </c>
      <c r="K14" s="1">
        <v>39965</v>
      </c>
      <c r="L14">
        <v>6.0411523126401399</v>
      </c>
      <c r="M14">
        <f t="shared" si="0"/>
        <v>5.0709089851056302</v>
      </c>
      <c r="N14">
        <f t="shared" si="1"/>
        <v>97.024332753450977</v>
      </c>
    </row>
    <row r="15" spans="1:14" x14ac:dyDescent="0.25">
      <c r="A15" s="1">
        <v>39995</v>
      </c>
      <c r="B15">
        <v>5.25258091814261</v>
      </c>
      <c r="C15">
        <v>119670314273</v>
      </c>
      <c r="E15" s="1">
        <v>30225</v>
      </c>
      <c r="F15">
        <v>12.161604994205501</v>
      </c>
      <c r="G15">
        <v>312855254512.21002</v>
      </c>
      <c r="K15" s="1">
        <v>39995</v>
      </c>
      <c r="L15">
        <v>5.25258091814261</v>
      </c>
      <c r="M15">
        <f t="shared" si="0"/>
        <v>4.8743901246381203</v>
      </c>
      <c r="N15">
        <f t="shared" si="1"/>
        <v>37.819079350448973</v>
      </c>
    </row>
    <row r="16" spans="1:14" x14ac:dyDescent="0.25">
      <c r="A16" s="1">
        <v>40026</v>
      </c>
      <c r="B16">
        <v>5.3019297697116299</v>
      </c>
      <c r="C16">
        <v>171046032353</v>
      </c>
      <c r="E16" s="1">
        <v>30235</v>
      </c>
      <c r="F16">
        <v>8.64</v>
      </c>
      <c r="G16">
        <v>2383513538.7199998</v>
      </c>
      <c r="K16" s="1">
        <v>40026</v>
      </c>
      <c r="L16">
        <v>5.3019297697116299</v>
      </c>
      <c r="M16">
        <f t="shared" si="0"/>
        <v>5.0117457844567896</v>
      </c>
      <c r="N16">
        <f t="shared" si="1"/>
        <v>29.018398525484024</v>
      </c>
    </row>
    <row r="17" spans="1:14" x14ac:dyDescent="0.25">
      <c r="A17" s="1">
        <v>40057</v>
      </c>
      <c r="B17">
        <v>5.3079660068142296</v>
      </c>
      <c r="C17">
        <v>278101063847</v>
      </c>
      <c r="E17" s="1">
        <v>30256</v>
      </c>
      <c r="F17">
        <v>11.026192923441</v>
      </c>
      <c r="G17">
        <v>182795013796.57999</v>
      </c>
      <c r="K17" s="1">
        <v>40057</v>
      </c>
      <c r="L17">
        <v>5.3079660068142296</v>
      </c>
      <c r="M17">
        <f t="shared" si="0"/>
        <v>5.2754165130291399</v>
      </c>
      <c r="N17">
        <f t="shared" si="1"/>
        <v>3.2549493785089645</v>
      </c>
    </row>
    <row r="18" spans="1:14" x14ac:dyDescent="0.25">
      <c r="A18" s="1">
        <v>40087</v>
      </c>
      <c r="B18">
        <v>5.1737070860492098</v>
      </c>
      <c r="C18">
        <v>345111931532</v>
      </c>
      <c r="E18" s="1">
        <v>30286</v>
      </c>
      <c r="F18">
        <v>9.6085636843857198</v>
      </c>
      <c r="G18">
        <v>281333198895.69</v>
      </c>
      <c r="K18" s="1">
        <v>40087</v>
      </c>
      <c r="L18">
        <v>5.1737070860492098</v>
      </c>
      <c r="M18">
        <f t="shared" si="0"/>
        <v>5.1437375107246996</v>
      </c>
      <c r="N18">
        <f t="shared" si="1"/>
        <v>2.9969575324510167</v>
      </c>
    </row>
    <row r="19" spans="1:14" x14ac:dyDescent="0.25">
      <c r="A19" s="1">
        <v>40118</v>
      </c>
      <c r="B19">
        <v>5.4206972136522804</v>
      </c>
      <c r="C19">
        <v>226250741009</v>
      </c>
      <c r="E19" s="1">
        <v>30317</v>
      </c>
      <c r="F19">
        <v>13.315437321258299</v>
      </c>
      <c r="G19">
        <v>119941101682.64999</v>
      </c>
      <c r="K19" s="1">
        <v>40118</v>
      </c>
      <c r="L19">
        <v>5.4206972136522804</v>
      </c>
      <c r="M19">
        <f t="shared" si="0"/>
        <v>5.1227940946666299</v>
      </c>
      <c r="N19">
        <f t="shared" si="1"/>
        <v>29.790311898565047</v>
      </c>
    </row>
    <row r="20" spans="1:14" x14ac:dyDescent="0.25">
      <c r="A20" s="1">
        <v>40148</v>
      </c>
      <c r="B20">
        <v>5.3051625635030302</v>
      </c>
      <c r="C20">
        <v>206304228919</v>
      </c>
      <c r="E20" s="1">
        <v>30348</v>
      </c>
      <c r="F20">
        <v>12.700890162097</v>
      </c>
      <c r="G20">
        <v>189355031841.60001</v>
      </c>
      <c r="K20" s="1">
        <v>40148</v>
      </c>
      <c r="L20">
        <v>5.3051625635030302</v>
      </c>
      <c r="M20">
        <f t="shared" si="0"/>
        <v>5.0644022910284301</v>
      </c>
      <c r="N20">
        <f t="shared" si="1"/>
        <v>24.076027247460008</v>
      </c>
    </row>
    <row r="21" spans="1:14" x14ac:dyDescent="0.25">
      <c r="A21" s="1">
        <v>40179</v>
      </c>
      <c r="B21">
        <v>5.2422195151643001</v>
      </c>
      <c r="C21">
        <v>186317286888</v>
      </c>
      <c r="E21" s="1">
        <v>30371</v>
      </c>
      <c r="F21">
        <v>10.119999999999999</v>
      </c>
      <c r="G21">
        <v>245978661.88</v>
      </c>
      <c r="K21" s="1">
        <v>40179</v>
      </c>
      <c r="L21">
        <v>5.2422195151643001</v>
      </c>
      <c r="M21">
        <f t="shared" si="0"/>
        <v>5.050735856298</v>
      </c>
      <c r="N21">
        <f t="shared" si="1"/>
        <v>19.148365886630003</v>
      </c>
    </row>
    <row r="22" spans="1:14" x14ac:dyDescent="0.25">
      <c r="A22" s="1">
        <v>40210</v>
      </c>
      <c r="B22">
        <v>5.2274340202475598</v>
      </c>
      <c r="C22">
        <v>178121476717</v>
      </c>
      <c r="E22" s="1">
        <v>30376</v>
      </c>
      <c r="F22">
        <v>12.913322290927599</v>
      </c>
      <c r="G22">
        <v>228346573908.38</v>
      </c>
      <c r="K22" s="1">
        <v>40210</v>
      </c>
      <c r="L22">
        <v>5.2274340202475598</v>
      </c>
      <c r="M22">
        <f t="shared" si="0"/>
        <v>5.0377067030616098</v>
      </c>
      <c r="N22">
        <f t="shared" si="1"/>
        <v>18.972731718594993</v>
      </c>
    </row>
    <row r="23" spans="1:14" x14ac:dyDescent="0.25">
      <c r="A23" s="1">
        <v>40238</v>
      </c>
      <c r="B23">
        <v>5.2833886604944702</v>
      </c>
      <c r="C23">
        <v>184995232695</v>
      </c>
      <c r="E23" s="1">
        <v>30407</v>
      </c>
      <c r="F23">
        <v>11.159818312327101</v>
      </c>
      <c r="G23">
        <v>67252070306.57</v>
      </c>
      <c r="K23" s="1">
        <v>40238</v>
      </c>
      <c r="L23">
        <v>5.2833886604944702</v>
      </c>
      <c r="M23">
        <f t="shared" si="0"/>
        <v>5.1055540771484802</v>
      </c>
      <c r="N23">
        <f t="shared" si="1"/>
        <v>17.783458334599</v>
      </c>
    </row>
    <row r="24" spans="1:14" x14ac:dyDescent="0.25">
      <c r="A24" s="1">
        <v>40269</v>
      </c>
      <c r="B24">
        <v>5.1830298059280802</v>
      </c>
      <c r="C24">
        <v>124266801177</v>
      </c>
      <c r="E24" s="1">
        <v>30437</v>
      </c>
      <c r="F24">
        <v>11.296044621406301</v>
      </c>
      <c r="G24">
        <v>121726047270.32001</v>
      </c>
      <c r="K24" s="1">
        <v>40269</v>
      </c>
      <c r="L24">
        <v>5.1830298059280802</v>
      </c>
      <c r="M24">
        <f t="shared" si="0"/>
        <v>5.1108375047646097</v>
      </c>
      <c r="N24">
        <f t="shared" si="1"/>
        <v>7.2192301163470418</v>
      </c>
    </row>
    <row r="25" spans="1:14" x14ac:dyDescent="0.25">
      <c r="A25" s="1">
        <v>40299</v>
      </c>
      <c r="B25">
        <v>5.2037674446010502</v>
      </c>
      <c r="C25">
        <v>120588519601</v>
      </c>
      <c r="E25" s="1">
        <v>30468</v>
      </c>
      <c r="F25">
        <v>11.045234610827301</v>
      </c>
      <c r="G25">
        <v>84113899145.259995</v>
      </c>
      <c r="K25" s="1">
        <v>40299</v>
      </c>
      <c r="L25">
        <v>5.2037674446010502</v>
      </c>
      <c r="M25">
        <f t="shared" si="0"/>
        <v>5.1452044317440198</v>
      </c>
      <c r="N25">
        <f t="shared" si="1"/>
        <v>5.8563012857030472</v>
      </c>
    </row>
    <row r="26" spans="1:14" x14ac:dyDescent="0.25">
      <c r="A26" s="1">
        <v>40330</v>
      </c>
      <c r="B26">
        <v>5.2268019319845598</v>
      </c>
      <c r="C26">
        <v>107215134264</v>
      </c>
      <c r="E26" s="1">
        <v>30498</v>
      </c>
      <c r="F26">
        <v>13.5119453234167</v>
      </c>
      <c r="G26">
        <v>216246089360.32999</v>
      </c>
      <c r="K26" s="1">
        <v>40330</v>
      </c>
      <c r="L26">
        <v>5.2268019319845598</v>
      </c>
      <c r="M26">
        <f t="shared" si="0"/>
        <v>5.1800008223351597</v>
      </c>
      <c r="N26">
        <f t="shared" si="1"/>
        <v>4.6801109649400097</v>
      </c>
    </row>
    <row r="27" spans="1:14" x14ac:dyDescent="0.25">
      <c r="A27" s="1">
        <v>40360</v>
      </c>
      <c r="B27">
        <v>5.0358254105692204</v>
      </c>
      <c r="C27">
        <v>214501705334</v>
      </c>
      <c r="E27" s="1">
        <v>30529</v>
      </c>
      <c r="F27">
        <v>12.079785894420599</v>
      </c>
      <c r="G27">
        <v>90626883920.149994</v>
      </c>
      <c r="K27" s="1">
        <v>40360</v>
      </c>
      <c r="L27">
        <v>5.0358254105692204</v>
      </c>
      <c r="M27">
        <f t="shared" si="0"/>
        <v>5.05893153166061</v>
      </c>
      <c r="N27">
        <f t="shared" si="1"/>
        <v>-2.3106121091389653</v>
      </c>
    </row>
    <row r="28" spans="1:14" x14ac:dyDescent="0.25">
      <c r="A28" s="1">
        <v>40391</v>
      </c>
      <c r="B28">
        <v>4.9350697557393897</v>
      </c>
      <c r="C28">
        <v>213292955017</v>
      </c>
      <c r="E28" s="1">
        <v>30560</v>
      </c>
      <c r="F28">
        <v>13.295479426976801</v>
      </c>
      <c r="G28">
        <v>91109612049.279999</v>
      </c>
      <c r="K28" s="1">
        <v>40391</v>
      </c>
      <c r="L28">
        <v>4.9350697557393897</v>
      </c>
      <c r="M28">
        <f t="shared" si="0"/>
        <v>4.8752305579968596</v>
      </c>
      <c r="N28">
        <f t="shared" si="1"/>
        <v>5.9839197742530104</v>
      </c>
    </row>
    <row r="29" spans="1:14" x14ac:dyDescent="0.25">
      <c r="A29" s="1">
        <v>40422</v>
      </c>
      <c r="B29">
        <v>4.8004870789717398</v>
      </c>
      <c r="C29">
        <v>284906181934</v>
      </c>
      <c r="E29" s="1">
        <v>30590</v>
      </c>
      <c r="F29">
        <v>14.121399745802099</v>
      </c>
      <c r="G29">
        <v>67562584562.410004</v>
      </c>
      <c r="K29" s="1">
        <v>40422</v>
      </c>
      <c r="L29">
        <v>4.8004870789717398</v>
      </c>
      <c r="M29">
        <f t="shared" si="0"/>
        <v>4.7222358319862998</v>
      </c>
      <c r="N29">
        <f t="shared" si="1"/>
        <v>7.8251246985439948</v>
      </c>
    </row>
    <row r="30" spans="1:14" x14ac:dyDescent="0.25">
      <c r="A30" s="1">
        <v>40452</v>
      </c>
      <c r="B30">
        <v>4.7051352128635102</v>
      </c>
      <c r="C30">
        <v>259043209502</v>
      </c>
      <c r="E30" s="1">
        <v>30621</v>
      </c>
      <c r="F30">
        <v>11.96675076162</v>
      </c>
      <c r="G30">
        <v>26913527381.119999</v>
      </c>
      <c r="K30" s="1">
        <v>40452</v>
      </c>
      <c r="L30">
        <v>4.7051352128635102</v>
      </c>
      <c r="M30">
        <f t="shared" si="0"/>
        <v>4.6074743369174298</v>
      </c>
      <c r="N30">
        <f t="shared" si="1"/>
        <v>9.7660875946080417</v>
      </c>
    </row>
    <row r="31" spans="1:14" x14ac:dyDescent="0.25">
      <c r="A31" s="1">
        <v>40483</v>
      </c>
      <c r="B31">
        <v>4.6083655391721301</v>
      </c>
      <c r="C31">
        <v>270042704820</v>
      </c>
      <c r="E31" s="1">
        <v>30651</v>
      </c>
      <c r="F31">
        <v>12.045695030108501</v>
      </c>
      <c r="G31">
        <v>114944558444.25999</v>
      </c>
      <c r="K31" s="1">
        <v>40483</v>
      </c>
      <c r="L31">
        <v>4.6083655391721301</v>
      </c>
      <c r="M31">
        <f t="shared" si="0"/>
        <v>4.5383501216630604</v>
      </c>
      <c r="N31">
        <f t="shared" si="1"/>
        <v>7.00154175090697</v>
      </c>
    </row>
    <row r="32" spans="1:14" x14ac:dyDescent="0.25">
      <c r="A32" s="1">
        <v>40513</v>
      </c>
      <c r="B32">
        <v>4.5304927831705797</v>
      </c>
      <c r="C32">
        <v>303437367355</v>
      </c>
      <c r="E32" s="1">
        <v>30682</v>
      </c>
      <c r="F32">
        <v>12.1035179420682</v>
      </c>
      <c r="G32">
        <v>19376271209.099998</v>
      </c>
      <c r="K32" s="1">
        <v>40513</v>
      </c>
      <c r="L32">
        <v>4.5304927831705797</v>
      </c>
      <c r="M32">
        <f t="shared" si="0"/>
        <v>4.4591751002379896</v>
      </c>
      <c r="N32">
        <f t="shared" si="1"/>
        <v>7.131768293259011</v>
      </c>
    </row>
    <row r="33" spans="1:14" x14ac:dyDescent="0.25">
      <c r="A33" s="1">
        <v>40544</v>
      </c>
      <c r="B33">
        <v>4.4915021240579902</v>
      </c>
      <c r="C33">
        <v>252293748284</v>
      </c>
      <c r="E33" s="1">
        <v>30713</v>
      </c>
      <c r="F33">
        <v>13.094667924702099</v>
      </c>
      <c r="G33">
        <v>88791033224.399994</v>
      </c>
      <c r="K33" s="1">
        <v>40544</v>
      </c>
      <c r="L33">
        <v>4.4915021240579902</v>
      </c>
      <c r="M33">
        <f t="shared" si="0"/>
        <v>4.4811424452986204</v>
      </c>
      <c r="N33">
        <f t="shared" si="1"/>
        <v>1.0359678759369828</v>
      </c>
    </row>
    <row r="34" spans="1:14" x14ac:dyDescent="0.25">
      <c r="A34" s="1">
        <v>40575</v>
      </c>
      <c r="B34">
        <v>4.57399460783272</v>
      </c>
      <c r="C34">
        <v>161419412118</v>
      </c>
      <c r="E34" s="1">
        <v>30742</v>
      </c>
      <c r="F34">
        <v>10.8744331962166</v>
      </c>
      <c r="G34">
        <v>148366976515.25</v>
      </c>
      <c r="K34" s="1">
        <v>40575</v>
      </c>
      <c r="L34">
        <v>4.57399460783272</v>
      </c>
      <c r="M34">
        <f t="shared" si="0"/>
        <v>4.6316240644640896</v>
      </c>
      <c r="N34">
        <f t="shared" si="1"/>
        <v>-5.7629456631369536</v>
      </c>
    </row>
    <row r="35" spans="1:14" x14ac:dyDescent="0.25">
      <c r="A35" s="1">
        <v>40603</v>
      </c>
      <c r="B35">
        <v>4.7881749717719098</v>
      </c>
      <c r="C35">
        <v>127794337003</v>
      </c>
      <c r="E35" s="1">
        <v>30773</v>
      </c>
      <c r="F35">
        <v>13.203144965820099</v>
      </c>
      <c r="G35">
        <v>69221318448.639999</v>
      </c>
      <c r="K35" s="1">
        <v>40603</v>
      </c>
      <c r="L35">
        <v>4.7881749717719098</v>
      </c>
      <c r="M35">
        <f t="shared" si="0"/>
        <v>4.88809460608927</v>
      </c>
      <c r="N35">
        <f t="shared" si="1"/>
        <v>-9.9919634317360284</v>
      </c>
    </row>
    <row r="36" spans="1:14" x14ac:dyDescent="0.25">
      <c r="A36" s="1">
        <v>40634</v>
      </c>
      <c r="B36">
        <v>4.8920397527883601</v>
      </c>
      <c r="C36">
        <v>75973260747</v>
      </c>
      <c r="E36" s="1">
        <v>30803</v>
      </c>
      <c r="F36">
        <v>11.0532404395185</v>
      </c>
      <c r="G36">
        <v>42309688282.870003</v>
      </c>
      <c r="K36" s="1">
        <v>40634</v>
      </c>
      <c r="L36">
        <v>4.8920397527883601</v>
      </c>
      <c r="M36">
        <f t="shared" si="0"/>
        <v>5.0196274076255598</v>
      </c>
      <c r="N36">
        <f t="shared" si="1"/>
        <v>-12.758765483719969</v>
      </c>
    </row>
    <row r="37" spans="1:14" x14ac:dyDescent="0.25">
      <c r="A37" s="1">
        <v>40664</v>
      </c>
      <c r="B37">
        <v>4.9487228635947798</v>
      </c>
      <c r="C37">
        <v>63730036359</v>
      </c>
      <c r="E37" s="1">
        <v>30834</v>
      </c>
      <c r="F37">
        <v>10.303243551774299</v>
      </c>
      <c r="G37">
        <v>40958301453.290001</v>
      </c>
      <c r="K37" s="1">
        <v>40664</v>
      </c>
      <c r="L37">
        <v>4.9487228635947798</v>
      </c>
      <c r="M37">
        <f t="shared" si="0"/>
        <v>5.0696587978699199</v>
      </c>
      <c r="N37">
        <f t="shared" si="1"/>
        <v>-12.093593427514016</v>
      </c>
    </row>
    <row r="38" spans="1:14" x14ac:dyDescent="0.25">
      <c r="A38" s="1">
        <v>40695</v>
      </c>
      <c r="B38">
        <v>4.9220140046788998</v>
      </c>
      <c r="C38">
        <v>78213378772</v>
      </c>
      <c r="E38" s="1">
        <v>30864</v>
      </c>
      <c r="F38">
        <v>10.0937931757038</v>
      </c>
      <c r="G38">
        <v>42584719595.449997</v>
      </c>
      <c r="K38" s="1">
        <v>40695</v>
      </c>
      <c r="L38">
        <v>4.9220140046788998</v>
      </c>
      <c r="M38">
        <f t="shared" si="0"/>
        <v>5.0513520909684004</v>
      </c>
      <c r="N38">
        <f t="shared" si="1"/>
        <v>-12.933808628950061</v>
      </c>
    </row>
    <row r="39" spans="1:14" x14ac:dyDescent="0.25">
      <c r="A39" s="1">
        <v>40725</v>
      </c>
      <c r="B39">
        <v>4.8272303918235604</v>
      </c>
      <c r="C39">
        <v>92925559857</v>
      </c>
      <c r="E39" s="1">
        <v>30895</v>
      </c>
      <c r="F39">
        <v>11.4752391405216</v>
      </c>
      <c r="G39">
        <v>154901376153.48999</v>
      </c>
      <c r="K39" s="1">
        <v>40725</v>
      </c>
      <c r="L39">
        <v>4.8272303918235604</v>
      </c>
      <c r="M39">
        <f t="shared" si="0"/>
        <v>4.9059141374806101</v>
      </c>
      <c r="N39">
        <f t="shared" si="1"/>
        <v>-7.868374565704972</v>
      </c>
    </row>
    <row r="40" spans="1:14" x14ac:dyDescent="0.25">
      <c r="A40" s="1">
        <v>40756</v>
      </c>
      <c r="B40">
        <v>4.7115447718514103</v>
      </c>
      <c r="C40">
        <v>114898772416</v>
      </c>
      <c r="E40" s="1">
        <v>30926</v>
      </c>
      <c r="F40">
        <v>11.174353099961699</v>
      </c>
      <c r="G40">
        <v>112099730457.38</v>
      </c>
      <c r="K40" s="1">
        <v>40756</v>
      </c>
      <c r="L40">
        <v>4.7115447718514103</v>
      </c>
      <c r="M40">
        <f t="shared" si="0"/>
        <v>4.8611814894636298</v>
      </c>
      <c r="N40">
        <f t="shared" si="1"/>
        <v>-14.963671761221953</v>
      </c>
    </row>
    <row r="41" spans="1:14" x14ac:dyDescent="0.25">
      <c r="A41" s="1">
        <v>40787</v>
      </c>
      <c r="B41">
        <v>4.64086255441822</v>
      </c>
      <c r="C41">
        <v>143232759522</v>
      </c>
      <c r="E41" s="1">
        <v>30956</v>
      </c>
      <c r="F41">
        <v>11.7172935541232</v>
      </c>
      <c r="G41">
        <v>90787703579.160004</v>
      </c>
      <c r="K41" s="1">
        <v>40787</v>
      </c>
      <c r="L41">
        <v>4.64086255441822</v>
      </c>
      <c r="M41">
        <f t="shared" si="0"/>
        <v>4.7117533524514803</v>
      </c>
      <c r="N41">
        <f t="shared" si="1"/>
        <v>-7.0890798033260261</v>
      </c>
    </row>
    <row r="42" spans="1:14" x14ac:dyDescent="0.25">
      <c r="A42" s="1">
        <v>40817</v>
      </c>
      <c r="B42">
        <v>4.4423498001928898</v>
      </c>
      <c r="C42">
        <v>220448045824</v>
      </c>
      <c r="E42" s="1">
        <v>30987</v>
      </c>
      <c r="F42">
        <v>11.816920606891699</v>
      </c>
      <c r="G42">
        <v>78531676591.820007</v>
      </c>
      <c r="K42" s="1">
        <v>40817</v>
      </c>
      <c r="L42">
        <v>4.4423498001928898</v>
      </c>
      <c r="M42">
        <f t="shared" si="0"/>
        <v>4.4792574645229504</v>
      </c>
      <c r="N42">
        <f t="shared" si="1"/>
        <v>-3.6907664330060541</v>
      </c>
    </row>
    <row r="43" spans="1:14" x14ac:dyDescent="0.25">
      <c r="A43" s="1">
        <v>40848</v>
      </c>
      <c r="B43">
        <v>4.3965564312482099</v>
      </c>
      <c r="C43">
        <v>220777302650</v>
      </c>
      <c r="E43" s="1">
        <v>31017</v>
      </c>
      <c r="F43">
        <v>11.573794212343801</v>
      </c>
      <c r="G43">
        <v>135677523627.03</v>
      </c>
      <c r="K43" s="1">
        <v>40848</v>
      </c>
      <c r="L43">
        <v>4.3965564312482099</v>
      </c>
      <c r="M43">
        <f t="shared" si="0"/>
        <v>4.3486808527347698</v>
      </c>
      <c r="N43">
        <f t="shared" si="1"/>
        <v>4.7875578513440153</v>
      </c>
    </row>
    <row r="44" spans="1:14" x14ac:dyDescent="0.25">
      <c r="A44" s="1">
        <v>40878</v>
      </c>
      <c r="B44">
        <v>4.3703571463322097</v>
      </c>
      <c r="C44">
        <v>100506758496</v>
      </c>
      <c r="E44" s="1">
        <v>31048</v>
      </c>
      <c r="F44">
        <v>12.0765656385746</v>
      </c>
      <c r="G44">
        <v>78253083893.910004</v>
      </c>
      <c r="K44" s="1">
        <v>40878</v>
      </c>
      <c r="L44">
        <v>4.3703571463322097</v>
      </c>
      <c r="M44">
        <f t="shared" si="0"/>
        <v>4.2956191820380196</v>
      </c>
      <c r="N44">
        <f t="shared" si="1"/>
        <v>7.4737964294190107</v>
      </c>
    </row>
    <row r="45" spans="1:14" x14ac:dyDescent="0.25">
      <c r="A45" s="1">
        <v>40909</v>
      </c>
      <c r="B45">
        <v>4.3304920959802304</v>
      </c>
      <c r="C45">
        <v>69075948179</v>
      </c>
      <c r="E45" s="1">
        <v>31079</v>
      </c>
      <c r="F45">
        <v>12.4239794695923</v>
      </c>
      <c r="G45">
        <v>79587024050.229996</v>
      </c>
      <c r="K45" s="1">
        <v>40909</v>
      </c>
      <c r="L45">
        <v>4.3304920959802304</v>
      </c>
      <c r="M45">
        <f t="shared" si="0"/>
        <v>4.2662558375731203</v>
      </c>
      <c r="N45">
        <f t="shared" si="1"/>
        <v>6.4236258407110114</v>
      </c>
    </row>
    <row r="46" spans="1:14" x14ac:dyDescent="0.25">
      <c r="A46" s="1">
        <v>40940</v>
      </c>
      <c r="B46">
        <v>4.2820606026268901</v>
      </c>
      <c r="C46">
        <v>67151065098</v>
      </c>
      <c r="E46" s="1">
        <v>31107</v>
      </c>
      <c r="F46">
        <v>11.2705623798789</v>
      </c>
      <c r="G46">
        <v>106849956470.94</v>
      </c>
      <c r="K46" s="1">
        <v>40940</v>
      </c>
      <c r="L46">
        <v>4.2820606026268901</v>
      </c>
      <c r="M46">
        <f t="shared" si="0"/>
        <v>4.1988423421672696</v>
      </c>
      <c r="N46">
        <f t="shared" si="1"/>
        <v>8.3218260459620552</v>
      </c>
    </row>
    <row r="47" spans="1:14" x14ac:dyDescent="0.25">
      <c r="A47" s="1">
        <v>40969</v>
      </c>
      <c r="B47">
        <v>4.2005100835491902</v>
      </c>
      <c r="C47">
        <v>123026084745</v>
      </c>
      <c r="E47" s="1">
        <v>31138</v>
      </c>
      <c r="F47">
        <v>10.61693063455</v>
      </c>
      <c r="G47">
        <v>105321312299.2</v>
      </c>
      <c r="K47" s="1">
        <v>40969</v>
      </c>
      <c r="L47">
        <v>4.2005100835491902</v>
      </c>
      <c r="M47">
        <f t="shared" si="0"/>
        <v>4.1335475127368202</v>
      </c>
      <c r="N47">
        <f t="shared" si="1"/>
        <v>6.6962570812370004</v>
      </c>
    </row>
    <row r="48" spans="1:14" x14ac:dyDescent="0.25">
      <c r="A48" s="1">
        <v>41000</v>
      </c>
      <c r="B48">
        <v>4.1349457633603803</v>
      </c>
      <c r="C48">
        <v>37449262054</v>
      </c>
      <c r="E48" s="1">
        <v>31168</v>
      </c>
      <c r="F48">
        <v>11.994248682287701</v>
      </c>
      <c r="G48">
        <v>61486148501.959999</v>
      </c>
      <c r="K48" s="1">
        <v>41000</v>
      </c>
      <c r="L48">
        <v>4.1349457633603803</v>
      </c>
      <c r="M48">
        <f t="shared" si="0"/>
        <v>4.1068821031480702</v>
      </c>
      <c r="N48">
        <f t="shared" si="1"/>
        <v>2.8063660212310104</v>
      </c>
    </row>
    <row r="49" spans="1:14" x14ac:dyDescent="0.25">
      <c r="A49" s="1">
        <v>41030</v>
      </c>
      <c r="B49">
        <v>4.1709410121458896</v>
      </c>
      <c r="C49">
        <v>68716926962</v>
      </c>
      <c r="E49" s="1">
        <v>31199</v>
      </c>
      <c r="F49">
        <v>11.7747473724872</v>
      </c>
      <c r="G49">
        <v>108537784011.88</v>
      </c>
      <c r="K49" s="1">
        <v>41030</v>
      </c>
      <c r="L49">
        <v>4.1709410121458896</v>
      </c>
      <c r="M49">
        <f t="shared" si="0"/>
        <v>4.1950483108655101</v>
      </c>
      <c r="N49">
        <f t="shared" si="1"/>
        <v>-2.4107298719620474</v>
      </c>
    </row>
    <row r="50" spans="1:14" x14ac:dyDescent="0.25">
      <c r="A50" s="1">
        <v>41061</v>
      </c>
      <c r="B50">
        <v>4.1056670559846502</v>
      </c>
      <c r="C50">
        <v>80978812202</v>
      </c>
      <c r="E50" s="1">
        <v>31229</v>
      </c>
      <c r="F50">
        <v>11.949329454656301</v>
      </c>
      <c r="G50">
        <v>148990251149.54001</v>
      </c>
      <c r="K50" s="1">
        <v>41061</v>
      </c>
      <c r="L50">
        <v>4.1056670559846502</v>
      </c>
      <c r="M50">
        <f t="shared" si="0"/>
        <v>4.1647582079834304</v>
      </c>
      <c r="N50">
        <f t="shared" si="1"/>
        <v>-5.9091151998780234</v>
      </c>
    </row>
    <row r="51" spans="1:14" x14ac:dyDescent="0.25">
      <c r="A51" s="1">
        <v>41091</v>
      </c>
      <c r="B51">
        <v>4.0249987787435701</v>
      </c>
      <c r="C51">
        <v>108606372064</v>
      </c>
      <c r="E51" s="1">
        <v>31260</v>
      </c>
      <c r="F51">
        <v>11.2761012446426</v>
      </c>
      <c r="G51">
        <v>179756517369.60001</v>
      </c>
      <c r="K51" s="1">
        <v>41091</v>
      </c>
      <c r="L51">
        <v>4.0249987787435701</v>
      </c>
      <c r="M51">
        <f t="shared" si="0"/>
        <v>4.0279854150544798</v>
      </c>
      <c r="N51">
        <f t="shared" si="1"/>
        <v>-0.29866363109096739</v>
      </c>
    </row>
    <row r="52" spans="1:14" x14ac:dyDescent="0.25">
      <c r="A52" s="1">
        <v>41122</v>
      </c>
      <c r="B52">
        <v>3.9681743278952499</v>
      </c>
      <c r="C52">
        <v>123674283664</v>
      </c>
      <c r="E52" s="1">
        <v>31291</v>
      </c>
      <c r="F52">
        <v>11.3846229772897</v>
      </c>
      <c r="G52">
        <v>223752476761.26999</v>
      </c>
      <c r="K52" s="1">
        <v>41122</v>
      </c>
      <c r="L52">
        <v>3.9681743278952499</v>
      </c>
      <c r="M52">
        <f t="shared" si="0"/>
        <v>3.9086468707572299</v>
      </c>
      <c r="N52">
        <f t="shared" si="1"/>
        <v>5.952745713801999</v>
      </c>
    </row>
    <row r="53" spans="1:14" x14ac:dyDescent="0.25">
      <c r="A53" s="1">
        <v>41153</v>
      </c>
      <c r="B53">
        <v>3.9138608575900999</v>
      </c>
      <c r="C53">
        <v>113620801610</v>
      </c>
      <c r="E53" s="1">
        <v>31321</v>
      </c>
      <c r="F53">
        <v>11.521316095427901</v>
      </c>
      <c r="G53">
        <v>170614969182.22</v>
      </c>
      <c r="K53" s="1">
        <v>41153</v>
      </c>
      <c r="L53">
        <v>3.9138608575900999</v>
      </c>
      <c r="M53">
        <f t="shared" si="0"/>
        <v>3.8525924938607199</v>
      </c>
      <c r="N53">
        <f t="shared" si="1"/>
        <v>6.1268363729380049</v>
      </c>
    </row>
    <row r="54" spans="1:14" x14ac:dyDescent="0.25">
      <c r="A54" s="1">
        <v>41183</v>
      </c>
      <c r="B54">
        <v>3.8298094011821702</v>
      </c>
      <c r="C54">
        <v>77537800226</v>
      </c>
      <c r="E54" s="1">
        <v>31352</v>
      </c>
      <c r="F54">
        <v>11.706504079639201</v>
      </c>
      <c r="G54">
        <v>164035870467.01999</v>
      </c>
      <c r="K54" s="1">
        <v>41183</v>
      </c>
      <c r="L54">
        <v>3.8298094011821702</v>
      </c>
      <c r="M54">
        <f t="shared" si="0"/>
        <v>3.7877571784770701</v>
      </c>
      <c r="N54">
        <f t="shared" si="1"/>
        <v>4.2052222705100117</v>
      </c>
    </row>
    <row r="55" spans="1:14" x14ac:dyDescent="0.25">
      <c r="A55" s="1">
        <v>41214</v>
      </c>
      <c r="B55">
        <v>3.7393841468248099</v>
      </c>
      <c r="C55">
        <v>136999096894</v>
      </c>
      <c r="E55" s="1">
        <v>31382</v>
      </c>
      <c r="F55">
        <v>10.884865485068699</v>
      </c>
      <c r="G55">
        <v>237239539541.25</v>
      </c>
      <c r="K55" s="1">
        <v>41214</v>
      </c>
      <c r="L55">
        <v>3.7393841468248099</v>
      </c>
      <c r="M55">
        <f t="shared" si="0"/>
        <v>3.6987217336749101</v>
      </c>
      <c r="N55">
        <f t="shared" si="1"/>
        <v>4.0662413149899823</v>
      </c>
    </row>
    <row r="56" spans="1:14" x14ac:dyDescent="0.25">
      <c r="A56" s="1">
        <v>41244</v>
      </c>
      <c r="B56">
        <v>3.6469091265269999</v>
      </c>
      <c r="C56">
        <v>43732884384</v>
      </c>
      <c r="E56" s="1">
        <v>31413</v>
      </c>
      <c r="F56">
        <v>10.414737220422399</v>
      </c>
      <c r="G56">
        <v>201569387062.73999</v>
      </c>
      <c r="K56" s="1">
        <v>41244</v>
      </c>
      <c r="L56">
        <v>3.6469091265269999</v>
      </c>
      <c r="M56">
        <f t="shared" si="0"/>
        <v>3.6250487711041499</v>
      </c>
      <c r="N56">
        <f t="shared" si="1"/>
        <v>2.1860355422850031</v>
      </c>
    </row>
    <row r="57" spans="1:14" x14ac:dyDescent="0.25">
      <c r="A57" s="1">
        <v>41275</v>
      </c>
      <c r="B57">
        <v>3.6630548639343501</v>
      </c>
      <c r="C57">
        <v>112072454380</v>
      </c>
      <c r="E57" s="1">
        <v>31444</v>
      </c>
      <c r="F57">
        <v>11.3066295838749</v>
      </c>
      <c r="G57">
        <v>124033332998.59</v>
      </c>
      <c r="K57" s="1">
        <v>41275</v>
      </c>
      <c r="L57">
        <v>3.6630548639343501</v>
      </c>
      <c r="M57">
        <f t="shared" si="0"/>
        <v>3.6027244047903801</v>
      </c>
      <c r="N57">
        <f t="shared" si="1"/>
        <v>6.033045914396995</v>
      </c>
    </row>
    <row r="58" spans="1:14" x14ac:dyDescent="0.25">
      <c r="A58" s="1">
        <v>41306</v>
      </c>
      <c r="B58">
        <v>3.6573033588281398</v>
      </c>
      <c r="C58">
        <v>64194569788</v>
      </c>
      <c r="E58" s="1">
        <v>31472</v>
      </c>
      <c r="F58">
        <v>10.757928721751901</v>
      </c>
      <c r="G58">
        <v>168688439060.48999</v>
      </c>
      <c r="K58" s="1">
        <v>41306</v>
      </c>
      <c r="L58">
        <v>3.6573033588281398</v>
      </c>
      <c r="M58">
        <f t="shared" si="0"/>
        <v>3.6001485420462198</v>
      </c>
      <c r="N58">
        <f t="shared" si="1"/>
        <v>5.7154816781920026</v>
      </c>
    </row>
    <row r="59" spans="1:14" x14ac:dyDescent="0.25">
      <c r="A59" s="1">
        <v>41334</v>
      </c>
      <c r="B59">
        <v>3.7374103519442601</v>
      </c>
      <c r="C59">
        <v>69807369148</v>
      </c>
      <c r="E59" s="1">
        <v>31503</v>
      </c>
      <c r="F59">
        <v>10.562571440027</v>
      </c>
      <c r="G59">
        <v>197751664615.92001</v>
      </c>
      <c r="K59" s="1">
        <v>41334</v>
      </c>
      <c r="L59">
        <v>3.7374103519442601</v>
      </c>
      <c r="M59">
        <f t="shared" si="0"/>
        <v>3.6900046384013798</v>
      </c>
      <c r="N59">
        <f t="shared" si="1"/>
        <v>4.7405713542880257</v>
      </c>
    </row>
    <row r="60" spans="1:14" x14ac:dyDescent="0.25">
      <c r="A60" s="1">
        <v>41365</v>
      </c>
      <c r="B60">
        <v>3.7627008845457102</v>
      </c>
      <c r="C60">
        <v>72682942124</v>
      </c>
      <c r="E60" s="1">
        <v>31533</v>
      </c>
      <c r="F60">
        <v>10.180275219139</v>
      </c>
      <c r="G60">
        <v>310150201129.26001</v>
      </c>
      <c r="K60" s="1">
        <v>41365</v>
      </c>
      <c r="L60">
        <v>3.7627008845457102</v>
      </c>
      <c r="M60">
        <f t="shared" si="0"/>
        <v>3.78392164962702</v>
      </c>
      <c r="N60">
        <f t="shared" si="1"/>
        <v>-2.1220765081309878</v>
      </c>
    </row>
    <row r="61" spans="1:14" x14ac:dyDescent="0.25">
      <c r="A61" s="1">
        <v>41395</v>
      </c>
      <c r="B61">
        <v>3.8286783849430699</v>
      </c>
      <c r="C61">
        <v>62595392975</v>
      </c>
      <c r="E61" s="1">
        <v>31564</v>
      </c>
      <c r="F61">
        <v>10.3292222793189</v>
      </c>
      <c r="G61">
        <v>593470829793</v>
      </c>
      <c r="K61" s="1">
        <v>41395</v>
      </c>
      <c r="L61">
        <v>3.8286783849430699</v>
      </c>
      <c r="M61">
        <f t="shared" si="0"/>
        <v>3.8002777092854898</v>
      </c>
      <c r="N61">
        <f t="shared" si="1"/>
        <v>2.8400675657580088</v>
      </c>
    </row>
    <row r="62" spans="1:14" x14ac:dyDescent="0.25">
      <c r="A62" s="1">
        <v>41426</v>
      </c>
      <c r="B62">
        <v>3.7511989689374801</v>
      </c>
      <c r="C62">
        <v>72554817210</v>
      </c>
      <c r="E62" s="1">
        <v>31594</v>
      </c>
      <c r="F62">
        <v>9.98151500046297</v>
      </c>
      <c r="G62">
        <v>522215041801</v>
      </c>
      <c r="K62" s="1">
        <v>41426</v>
      </c>
      <c r="L62">
        <v>3.7511989689374801</v>
      </c>
      <c r="M62">
        <f t="shared" si="0"/>
        <v>3.7830909447369798</v>
      </c>
      <c r="N62">
        <f t="shared" si="1"/>
        <v>-3.1891975799499761</v>
      </c>
    </row>
    <row r="63" spans="1:14" x14ac:dyDescent="0.25">
      <c r="A63" s="1">
        <v>41456</v>
      </c>
      <c r="B63">
        <v>3.8247008277566401</v>
      </c>
      <c r="C63">
        <v>54672712202</v>
      </c>
      <c r="E63" s="1">
        <v>31625</v>
      </c>
      <c r="F63">
        <v>10.0989940565526</v>
      </c>
      <c r="G63">
        <v>494301486101</v>
      </c>
      <c r="K63" s="1">
        <v>41456</v>
      </c>
      <c r="L63">
        <v>3.8247008277566401</v>
      </c>
      <c r="M63">
        <f t="shared" si="0"/>
        <v>3.8522809178064001</v>
      </c>
      <c r="N63">
        <f t="shared" si="1"/>
        <v>-2.7580090049760031</v>
      </c>
    </row>
    <row r="64" spans="1:14" x14ac:dyDescent="0.25">
      <c r="A64" s="1">
        <v>41487</v>
      </c>
      <c r="B64">
        <v>4.1181097567553602</v>
      </c>
      <c r="C64">
        <v>44426807861</v>
      </c>
      <c r="E64" s="1">
        <v>31656</v>
      </c>
      <c r="F64">
        <v>10.070040994590901</v>
      </c>
      <c r="G64">
        <v>1099085400765</v>
      </c>
      <c r="K64" s="1">
        <v>41487</v>
      </c>
      <c r="L64">
        <v>4.1181097567553602</v>
      </c>
      <c r="M64">
        <f t="shared" si="0"/>
        <v>4.1579401434403396</v>
      </c>
      <c r="N64">
        <f t="shared" si="1"/>
        <v>-3.9830386684979402</v>
      </c>
    </row>
    <row r="65" spans="1:14" x14ac:dyDescent="0.25">
      <c r="A65" s="1">
        <v>41518</v>
      </c>
      <c r="B65">
        <v>4.3725375979349703</v>
      </c>
      <c r="C65">
        <v>25842813921</v>
      </c>
      <c r="E65" s="1">
        <v>31686</v>
      </c>
      <c r="F65">
        <v>10.0552243404069</v>
      </c>
      <c r="G65">
        <v>415593688730</v>
      </c>
      <c r="K65" s="1">
        <v>41518</v>
      </c>
      <c r="L65">
        <v>4.3725375979349703</v>
      </c>
      <c r="M65">
        <f t="shared" si="0"/>
        <v>4.4621782771519998</v>
      </c>
      <c r="N65">
        <f t="shared" si="1"/>
        <v>-8.9640679217029451</v>
      </c>
    </row>
    <row r="66" spans="1:14" x14ac:dyDescent="0.25">
      <c r="A66" s="1">
        <v>41548</v>
      </c>
      <c r="B66">
        <v>4.6377010048072602</v>
      </c>
      <c r="C66">
        <v>21868109772</v>
      </c>
      <c r="E66" s="1">
        <v>31717</v>
      </c>
      <c r="F66">
        <v>9.9708493277937595</v>
      </c>
      <c r="G66">
        <v>438686823457</v>
      </c>
      <c r="K66" s="1">
        <v>41548</v>
      </c>
      <c r="L66">
        <v>4.6377010048072602</v>
      </c>
      <c r="M66">
        <f t="shared" si="0"/>
        <v>4.6608916850134898</v>
      </c>
      <c r="N66">
        <f t="shared" si="1"/>
        <v>-2.3190680206229608</v>
      </c>
    </row>
    <row r="67" spans="1:14" x14ac:dyDescent="0.25">
      <c r="A67" s="1">
        <v>41579</v>
      </c>
      <c r="B67">
        <v>4.6261168959492096</v>
      </c>
      <c r="C67">
        <v>19335574921</v>
      </c>
      <c r="E67" s="1">
        <v>31747</v>
      </c>
      <c r="F67">
        <v>9.7450574447159397</v>
      </c>
      <c r="G67">
        <v>421876475032</v>
      </c>
      <c r="K67" s="1">
        <v>41579</v>
      </c>
      <c r="L67">
        <v>4.6261168959492096</v>
      </c>
      <c r="M67">
        <f t="shared" si="0"/>
        <v>4.6564026185456502</v>
      </c>
      <c r="N67">
        <f t="shared" si="1"/>
        <v>-3.0285722596440579</v>
      </c>
    </row>
    <row r="68" spans="1:14" x14ac:dyDescent="0.25">
      <c r="A68" s="1">
        <v>41609</v>
      </c>
      <c r="B68">
        <v>4.5166229545902503</v>
      </c>
      <c r="C68">
        <v>15549308472</v>
      </c>
      <c r="E68" s="1">
        <v>31778</v>
      </c>
      <c r="F68">
        <v>9.6791983365754106</v>
      </c>
      <c r="G68">
        <v>559887156050</v>
      </c>
      <c r="K68" s="1">
        <v>41609</v>
      </c>
      <c r="L68">
        <v>4.5166229545902503</v>
      </c>
      <c r="M68">
        <f t="shared" ref="M68:M92" si="2">VLOOKUP(K68,E:G,2,0)</f>
        <v>4.5811645646110204</v>
      </c>
      <c r="N68">
        <f t="shared" ref="N68:N92" si="3">(L68-M68)*100</f>
        <v>-6.4541610020770079</v>
      </c>
    </row>
    <row r="69" spans="1:14" x14ac:dyDescent="0.25">
      <c r="A69" s="1">
        <v>41640</v>
      </c>
      <c r="B69">
        <v>4.5358987960019004</v>
      </c>
      <c r="C69">
        <v>9028775120</v>
      </c>
      <c r="E69" s="1">
        <v>31809</v>
      </c>
      <c r="F69">
        <v>9.5086546707449902</v>
      </c>
      <c r="G69">
        <v>504687757719</v>
      </c>
      <c r="K69" s="1">
        <v>41640</v>
      </c>
      <c r="L69">
        <v>4.5358987960019004</v>
      </c>
      <c r="M69">
        <f t="shared" si="2"/>
        <v>4.6077438047237802</v>
      </c>
      <c r="N69">
        <f t="shared" si="3"/>
        <v>-7.1845008721879822</v>
      </c>
    </row>
    <row r="70" spans="1:14" x14ac:dyDescent="0.25">
      <c r="A70" s="1">
        <v>41671</v>
      </c>
      <c r="B70">
        <v>4.6829117389245498</v>
      </c>
      <c r="C70">
        <v>7971365820</v>
      </c>
      <c r="E70" s="1">
        <v>31837</v>
      </c>
      <c r="F70">
        <v>9.2973291557103099</v>
      </c>
      <c r="G70">
        <v>584459371528</v>
      </c>
      <c r="K70" s="1">
        <v>41671</v>
      </c>
      <c r="L70">
        <v>4.6829117389245498</v>
      </c>
      <c r="M70">
        <f t="shared" si="2"/>
        <v>4.6775584423655499</v>
      </c>
      <c r="N70">
        <f t="shared" si="3"/>
        <v>0.53532965589999648</v>
      </c>
    </row>
    <row r="71" spans="1:14" x14ac:dyDescent="0.25">
      <c r="A71" s="1">
        <v>41699</v>
      </c>
      <c r="B71">
        <v>4.6516147860401098</v>
      </c>
      <c r="C71">
        <v>4828687155</v>
      </c>
      <c r="E71" s="1">
        <v>31868</v>
      </c>
      <c r="F71">
        <v>9.3336192316251996</v>
      </c>
      <c r="G71">
        <v>1016683989204</v>
      </c>
      <c r="K71" s="1">
        <v>41699</v>
      </c>
      <c r="L71">
        <v>4.6516147860401098</v>
      </c>
      <c r="M71">
        <f t="shared" si="2"/>
        <v>4.6946958624217601</v>
      </c>
      <c r="N71">
        <f t="shared" si="3"/>
        <v>-4.3081076381650263</v>
      </c>
    </row>
    <row r="72" spans="1:14" x14ac:dyDescent="0.25">
      <c r="A72" s="1">
        <v>41730</v>
      </c>
      <c r="B72">
        <v>4.5888709313498204</v>
      </c>
      <c r="C72">
        <v>5551415212</v>
      </c>
      <c r="E72" s="1">
        <v>31898</v>
      </c>
      <c r="F72">
        <v>9.1241331176059806</v>
      </c>
      <c r="G72">
        <v>884604932461</v>
      </c>
      <c r="K72" s="1">
        <v>41730</v>
      </c>
      <c r="L72">
        <v>4.5888709313498204</v>
      </c>
      <c r="M72">
        <f t="shared" si="2"/>
        <v>4.6366804995907298</v>
      </c>
      <c r="N72">
        <f t="shared" si="3"/>
        <v>-4.7809568240909428</v>
      </c>
    </row>
    <row r="73" spans="1:14" x14ac:dyDescent="0.25">
      <c r="A73" s="1">
        <v>41760</v>
      </c>
      <c r="B73">
        <v>4.5857503385038596</v>
      </c>
      <c r="C73">
        <v>6416089252</v>
      </c>
      <c r="E73" s="1">
        <v>31929</v>
      </c>
      <c r="F73">
        <v>9.2746505892850895</v>
      </c>
      <c r="G73">
        <v>737601199461</v>
      </c>
      <c r="K73" s="1">
        <v>41760</v>
      </c>
      <c r="L73">
        <v>4.5857503385038596</v>
      </c>
      <c r="M73">
        <f t="shared" si="2"/>
        <v>4.6428241107123496</v>
      </c>
      <c r="N73">
        <f t="shared" si="3"/>
        <v>-5.707377220848997</v>
      </c>
    </row>
    <row r="74" spans="1:14" x14ac:dyDescent="0.25">
      <c r="A74" s="1">
        <v>41791</v>
      </c>
      <c r="B74">
        <v>4.5417801890084304</v>
      </c>
      <c r="C74">
        <v>5755164048</v>
      </c>
      <c r="E74" s="1">
        <v>31959</v>
      </c>
      <c r="F74">
        <v>9.7244484574652592</v>
      </c>
      <c r="G74">
        <v>712631244656</v>
      </c>
      <c r="K74" s="1">
        <v>41791</v>
      </c>
      <c r="L74">
        <v>4.5417801890084304</v>
      </c>
      <c r="M74">
        <f t="shared" si="2"/>
        <v>4.5988964730096296</v>
      </c>
      <c r="N74">
        <f t="shared" si="3"/>
        <v>-5.7116284001199169</v>
      </c>
    </row>
    <row r="75" spans="1:14" x14ac:dyDescent="0.25">
      <c r="A75" s="1">
        <v>41821</v>
      </c>
      <c r="B75">
        <v>4.4287287355081997</v>
      </c>
      <c r="C75">
        <v>9556424834</v>
      </c>
      <c r="E75" s="1">
        <v>31990</v>
      </c>
      <c r="F75">
        <v>10.066640424822999</v>
      </c>
      <c r="G75">
        <v>432425211568</v>
      </c>
      <c r="K75" s="1">
        <v>41821</v>
      </c>
      <c r="L75">
        <v>4.4287287355081997</v>
      </c>
      <c r="M75">
        <f t="shared" si="2"/>
        <v>4.5200335295564997</v>
      </c>
      <c r="N75">
        <f t="shared" si="3"/>
        <v>-9.1304794048300053</v>
      </c>
    </row>
    <row r="76" spans="1:14" x14ac:dyDescent="0.25">
      <c r="A76" s="1">
        <v>41852</v>
      </c>
      <c r="B76">
        <v>4.3955978354090197</v>
      </c>
      <c r="C76">
        <v>7190404190</v>
      </c>
      <c r="E76" s="1">
        <v>32021</v>
      </c>
      <c r="F76">
        <v>10.235150739928899</v>
      </c>
      <c r="G76">
        <v>489153118413</v>
      </c>
      <c r="K76" s="1">
        <v>41852</v>
      </c>
      <c r="L76">
        <v>4.3955978354090197</v>
      </c>
      <c r="M76">
        <f t="shared" si="2"/>
        <v>4.4681995477488003</v>
      </c>
      <c r="N76">
        <f t="shared" si="3"/>
        <v>-7.2601712339780633</v>
      </c>
    </row>
    <row r="77" spans="1:14" x14ac:dyDescent="0.25">
      <c r="A77" s="1">
        <v>41883</v>
      </c>
      <c r="B77">
        <v>4.4317024593860097</v>
      </c>
      <c r="C77">
        <v>11193961575</v>
      </c>
      <c r="E77" s="1">
        <v>32051</v>
      </c>
      <c r="F77">
        <v>10.3912629014162</v>
      </c>
      <c r="G77">
        <v>396307150156</v>
      </c>
      <c r="K77" s="1">
        <v>41883</v>
      </c>
      <c r="L77">
        <v>4.4317024593860097</v>
      </c>
      <c r="M77">
        <f t="shared" si="2"/>
        <v>4.4355356568817097</v>
      </c>
      <c r="N77">
        <f t="shared" si="3"/>
        <v>-0.38331974956999915</v>
      </c>
    </row>
    <row r="78" spans="1:14" x14ac:dyDescent="0.25">
      <c r="A78" s="1">
        <v>41913</v>
      </c>
      <c r="B78">
        <v>4.3594237575960699</v>
      </c>
      <c r="C78">
        <v>7587676558</v>
      </c>
      <c r="E78" s="1">
        <v>32082</v>
      </c>
      <c r="F78">
        <v>10.4873919070914</v>
      </c>
      <c r="G78">
        <v>314959351627</v>
      </c>
      <c r="K78" s="1">
        <v>41913</v>
      </c>
      <c r="L78">
        <v>4.3594237575960699</v>
      </c>
      <c r="M78">
        <f t="shared" si="2"/>
        <v>4.4756207173094804</v>
      </c>
      <c r="N78">
        <f t="shared" si="3"/>
        <v>-11.619695971341049</v>
      </c>
    </row>
    <row r="79" spans="1:14" x14ac:dyDescent="0.25">
      <c r="A79" s="1">
        <v>41944</v>
      </c>
      <c r="B79">
        <v>4.3466391693390198</v>
      </c>
      <c r="C79">
        <v>7141513626</v>
      </c>
      <c r="E79" s="1">
        <v>32112</v>
      </c>
      <c r="F79">
        <v>9.8122379892677891</v>
      </c>
      <c r="G79">
        <v>428339791756</v>
      </c>
      <c r="K79" s="1">
        <v>41944</v>
      </c>
      <c r="L79">
        <v>4.3466391693390198</v>
      </c>
      <c r="M79">
        <f t="shared" si="2"/>
        <v>4.4883370685343502</v>
      </c>
      <c r="N79">
        <f t="shared" si="3"/>
        <v>-14.169789919533038</v>
      </c>
    </row>
    <row r="80" spans="1:14" x14ac:dyDescent="0.25">
      <c r="A80" s="1">
        <v>41974</v>
      </c>
      <c r="B80">
        <v>4.2734385976748097</v>
      </c>
      <c r="C80">
        <v>9135015902</v>
      </c>
      <c r="E80" s="1">
        <v>32143</v>
      </c>
      <c r="F80">
        <v>10.6321869063318</v>
      </c>
      <c r="G80">
        <v>152084807905</v>
      </c>
      <c r="K80" s="1">
        <v>41974</v>
      </c>
      <c r="L80">
        <v>4.2734385976748097</v>
      </c>
      <c r="M80">
        <f t="shared" si="2"/>
        <v>4.3629145938798297</v>
      </c>
      <c r="N80">
        <f t="shared" si="3"/>
        <v>-8.9475996205020003</v>
      </c>
    </row>
    <row r="81" spans="1:14" x14ac:dyDescent="0.25">
      <c r="A81" s="1">
        <v>42005</v>
      </c>
      <c r="B81">
        <v>4.2115290009692004</v>
      </c>
      <c r="C81">
        <v>7341781821</v>
      </c>
      <c r="E81" s="1">
        <v>32174</v>
      </c>
      <c r="F81">
        <v>10.6164956916028</v>
      </c>
      <c r="G81">
        <v>325710109638</v>
      </c>
      <c r="K81" s="1">
        <v>42005</v>
      </c>
      <c r="L81">
        <v>4.2115290009692004</v>
      </c>
      <c r="M81">
        <f t="shared" si="2"/>
        <v>4.3011500305881896</v>
      </c>
      <c r="N81">
        <f t="shared" si="3"/>
        <v>-8.9621029618989212</v>
      </c>
    </row>
    <row r="82" spans="1:14" x14ac:dyDescent="0.25">
      <c r="A82" s="1">
        <v>42036</v>
      </c>
      <c r="B82">
        <v>4.05603288397357</v>
      </c>
      <c r="C82">
        <v>8211282600</v>
      </c>
      <c r="E82" s="1">
        <v>32203</v>
      </c>
      <c r="F82">
        <v>9.9337165983576998</v>
      </c>
      <c r="G82">
        <v>439466748109</v>
      </c>
      <c r="K82" s="1">
        <v>42036</v>
      </c>
      <c r="L82">
        <v>4.05603288397357</v>
      </c>
      <c r="M82">
        <f t="shared" si="2"/>
        <v>4.2096690729955704</v>
      </c>
      <c r="N82">
        <f t="shared" si="3"/>
        <v>-15.363618902200038</v>
      </c>
    </row>
    <row r="83" spans="1:14" x14ac:dyDescent="0.25">
      <c r="A83" s="1">
        <v>42064</v>
      </c>
      <c r="B83">
        <v>3.9601078610645701</v>
      </c>
      <c r="C83">
        <v>9108242199</v>
      </c>
      <c r="E83" s="1">
        <v>32234</v>
      </c>
      <c r="F83">
        <v>9.9773990565931197</v>
      </c>
      <c r="G83">
        <v>478179551443</v>
      </c>
      <c r="K83" s="1">
        <v>42064</v>
      </c>
      <c r="L83">
        <v>3.9601078610645701</v>
      </c>
      <c r="M83">
        <f t="shared" si="2"/>
        <v>4.0329850466226498</v>
      </c>
      <c r="N83">
        <f t="shared" si="3"/>
        <v>-7.2877185558079649</v>
      </c>
    </row>
    <row r="84" spans="1:14" x14ac:dyDescent="0.25">
      <c r="A84" s="1">
        <v>42095</v>
      </c>
      <c r="B84">
        <v>3.9694244775480398</v>
      </c>
      <c r="C84">
        <v>8664975872</v>
      </c>
      <c r="E84" s="1">
        <v>32264</v>
      </c>
      <c r="F84">
        <v>9.9117348740687596</v>
      </c>
      <c r="G84">
        <v>394017316378</v>
      </c>
      <c r="K84" s="1">
        <v>42095</v>
      </c>
      <c r="L84">
        <v>3.9694244775480398</v>
      </c>
      <c r="M84">
        <f t="shared" si="2"/>
        <v>4.0070633221616401</v>
      </c>
      <c r="N84">
        <f t="shared" si="3"/>
        <v>-3.7638844613600231</v>
      </c>
    </row>
    <row r="85" spans="1:14" x14ac:dyDescent="0.25">
      <c r="A85" s="1">
        <v>42125</v>
      </c>
      <c r="B85">
        <v>3.9935501846671202</v>
      </c>
      <c r="C85">
        <v>5381318019</v>
      </c>
      <c r="E85" s="1">
        <v>32295</v>
      </c>
      <c r="F85">
        <v>10.0699639447422</v>
      </c>
      <c r="G85">
        <v>446603895882</v>
      </c>
      <c r="K85" s="1">
        <v>42125</v>
      </c>
      <c r="L85">
        <v>3.9935501846671202</v>
      </c>
      <c r="M85">
        <f t="shared" si="2"/>
        <v>4.0535036903429402</v>
      </c>
      <c r="N85">
        <f t="shared" si="3"/>
        <v>-5.9953505675820029</v>
      </c>
    </row>
    <row r="86" spans="1:14" x14ac:dyDescent="0.25">
      <c r="A86" s="1">
        <v>42156</v>
      </c>
      <c r="B86">
        <v>3.9466098859248802</v>
      </c>
      <c r="C86">
        <v>9656455976</v>
      </c>
      <c r="E86" s="1">
        <v>32325</v>
      </c>
      <c r="F86">
        <v>10.1782457012529</v>
      </c>
      <c r="G86">
        <v>613279851694</v>
      </c>
      <c r="K86" s="1">
        <v>42156</v>
      </c>
      <c r="L86">
        <v>3.9466098859248802</v>
      </c>
      <c r="M86">
        <f t="shared" si="2"/>
        <v>4.0389687442882796</v>
      </c>
      <c r="N86">
        <f t="shared" si="3"/>
        <v>-9.235885836339941</v>
      </c>
    </row>
    <row r="87" spans="1:14" x14ac:dyDescent="0.25">
      <c r="A87" s="1">
        <v>42186</v>
      </c>
      <c r="B87">
        <v>4.0549893147499896</v>
      </c>
      <c r="C87">
        <v>4293685220</v>
      </c>
      <c r="E87" s="1">
        <v>32356</v>
      </c>
      <c r="F87">
        <v>10.1830225303666</v>
      </c>
      <c r="G87">
        <v>357328576291</v>
      </c>
      <c r="K87" s="1">
        <v>42186</v>
      </c>
      <c r="L87">
        <v>4.0549893147499896</v>
      </c>
      <c r="M87">
        <f t="shared" si="2"/>
        <v>4.1103325603782999</v>
      </c>
      <c r="N87">
        <f t="shared" si="3"/>
        <v>-5.5343245628310278</v>
      </c>
    </row>
    <row r="88" spans="1:14" x14ac:dyDescent="0.25">
      <c r="A88" s="1">
        <v>42217</v>
      </c>
      <c r="B88">
        <v>4.0696513008361999</v>
      </c>
      <c r="C88">
        <v>3683574764</v>
      </c>
      <c r="E88" s="1">
        <v>32387</v>
      </c>
      <c r="F88">
        <v>10.3163324115934</v>
      </c>
      <c r="G88">
        <v>366817308038</v>
      </c>
      <c r="K88" s="1">
        <v>42217</v>
      </c>
      <c r="L88">
        <v>4.0696513008361999</v>
      </c>
      <c r="M88">
        <f t="shared" si="2"/>
        <v>4.2555873644735902</v>
      </c>
      <c r="N88">
        <f t="shared" si="3"/>
        <v>-18.593606363739035</v>
      </c>
    </row>
    <row r="89" spans="1:14" x14ac:dyDescent="0.25">
      <c r="A89" s="1">
        <v>42248</v>
      </c>
      <c r="B89">
        <v>4.1661401988232196</v>
      </c>
      <c r="C89">
        <v>1938949142</v>
      </c>
      <c r="E89" s="1">
        <v>32417</v>
      </c>
      <c r="F89">
        <v>10.407167186236601</v>
      </c>
      <c r="G89">
        <v>454960939412</v>
      </c>
      <c r="K89" s="1">
        <v>42248</v>
      </c>
      <c r="L89">
        <v>4.1661401988232196</v>
      </c>
      <c r="M89">
        <f t="shared" si="2"/>
        <v>4.2691977508419399</v>
      </c>
      <c r="N89">
        <f t="shared" si="3"/>
        <v>-10.305755201872024</v>
      </c>
    </row>
    <row r="90" spans="1:14" x14ac:dyDescent="0.25">
      <c r="A90" s="1">
        <v>42278</v>
      </c>
      <c r="B90">
        <v>4.1537853390636101</v>
      </c>
      <c r="C90">
        <v>1225724328</v>
      </c>
      <c r="E90" s="1">
        <v>32448</v>
      </c>
      <c r="F90">
        <v>10.2772126285615</v>
      </c>
      <c r="G90">
        <v>514891497061</v>
      </c>
      <c r="K90" s="1">
        <v>42278</v>
      </c>
      <c r="L90">
        <v>4.1537853390636101</v>
      </c>
      <c r="M90">
        <f t="shared" si="2"/>
        <v>4.2544941345304697</v>
      </c>
      <c r="N90">
        <f t="shared" si="3"/>
        <v>-10.070879546685951</v>
      </c>
    </row>
    <row r="91" spans="1:14" x14ac:dyDescent="0.25">
      <c r="A91" s="1">
        <v>42309</v>
      </c>
      <c r="B91">
        <v>4.0864136001973099</v>
      </c>
      <c r="C91">
        <v>626259208</v>
      </c>
      <c r="E91" s="1">
        <v>32478</v>
      </c>
      <c r="F91">
        <v>10.1102380492813</v>
      </c>
      <c r="G91">
        <v>544774286207</v>
      </c>
      <c r="K91" s="1">
        <v>42309</v>
      </c>
      <c r="L91">
        <v>4.0864136001973099</v>
      </c>
      <c r="M91">
        <f t="shared" si="2"/>
        <v>4.2217044865697799</v>
      </c>
      <c r="N91">
        <f t="shared" si="3"/>
        <v>-13.529088637247</v>
      </c>
    </row>
    <row r="92" spans="1:14" x14ac:dyDescent="0.25">
      <c r="A92" s="1">
        <v>42339</v>
      </c>
      <c r="B92">
        <v>4.1293286560685303</v>
      </c>
      <c r="C92">
        <v>51527836</v>
      </c>
      <c r="E92" s="1">
        <v>32509</v>
      </c>
      <c r="F92">
        <v>10.2305985697029</v>
      </c>
      <c r="G92">
        <v>531738717456</v>
      </c>
      <c r="K92" s="1">
        <v>42339</v>
      </c>
      <c r="L92">
        <v>4.1293286560685303</v>
      </c>
      <c r="M92">
        <f t="shared" si="2"/>
        <v>4.1798344701624197</v>
      </c>
      <c r="N92">
        <f t="shared" si="3"/>
        <v>-5.0505814093889434</v>
      </c>
    </row>
    <row r="93" spans="1:14" x14ac:dyDescent="0.25">
      <c r="E93" s="1">
        <v>32540</v>
      </c>
      <c r="F93">
        <v>10.3711125474792</v>
      </c>
      <c r="G93">
        <v>457673159860</v>
      </c>
    </row>
    <row r="94" spans="1:14" x14ac:dyDescent="0.25">
      <c r="E94" s="1">
        <v>32568</v>
      </c>
      <c r="F94">
        <v>10.543022408973499</v>
      </c>
      <c r="G94">
        <v>391904063422</v>
      </c>
    </row>
    <row r="95" spans="1:14" x14ac:dyDescent="0.25">
      <c r="E95" s="1">
        <v>32599</v>
      </c>
      <c r="F95">
        <v>10.477661989757999</v>
      </c>
      <c r="G95">
        <v>336057672745</v>
      </c>
    </row>
    <row r="96" spans="1:14" x14ac:dyDescent="0.25">
      <c r="E96" s="1">
        <v>32629</v>
      </c>
      <c r="F96">
        <v>10.6560419489971</v>
      </c>
      <c r="G96">
        <v>362916754943</v>
      </c>
    </row>
    <row r="97" spans="5:7" x14ac:dyDescent="0.25">
      <c r="E97" s="1">
        <v>32660</v>
      </c>
      <c r="F97">
        <v>10.7464747784829</v>
      </c>
      <c r="G97">
        <v>503529757559</v>
      </c>
    </row>
    <row r="98" spans="5:7" x14ac:dyDescent="0.25">
      <c r="E98" s="1">
        <v>32690</v>
      </c>
      <c r="F98">
        <v>10.608008949016799</v>
      </c>
      <c r="G98">
        <v>559445046338</v>
      </c>
    </row>
    <row r="99" spans="5:7" x14ac:dyDescent="0.25">
      <c r="E99" s="1">
        <v>32721</v>
      </c>
      <c r="F99">
        <v>10.242439177813701</v>
      </c>
      <c r="G99">
        <v>653227969075</v>
      </c>
    </row>
    <row r="100" spans="5:7" x14ac:dyDescent="0.25">
      <c r="E100" s="1">
        <v>32752</v>
      </c>
      <c r="F100">
        <v>10.0068247822985</v>
      </c>
      <c r="G100">
        <v>871811656909</v>
      </c>
    </row>
    <row r="101" spans="5:7" x14ac:dyDescent="0.25">
      <c r="E101" s="1">
        <v>32782</v>
      </c>
      <c r="F101">
        <v>9.9354067690270504</v>
      </c>
      <c r="G101">
        <v>862150992305</v>
      </c>
    </row>
    <row r="102" spans="5:7" x14ac:dyDescent="0.25">
      <c r="E102" s="1">
        <v>32813</v>
      </c>
      <c r="F102">
        <v>9.9648791118197</v>
      </c>
      <c r="G102">
        <v>1214779703446</v>
      </c>
    </row>
    <row r="103" spans="5:7" x14ac:dyDescent="0.25">
      <c r="E103" s="1">
        <v>32843</v>
      </c>
      <c r="F103">
        <v>9.9697027160936003</v>
      </c>
      <c r="G103">
        <v>1270191337114</v>
      </c>
    </row>
    <row r="104" spans="5:7" x14ac:dyDescent="0.25">
      <c r="E104" s="1">
        <v>32874</v>
      </c>
      <c r="F104">
        <v>9.8695633545496104</v>
      </c>
      <c r="G104">
        <v>1201163707111</v>
      </c>
    </row>
    <row r="105" spans="5:7" x14ac:dyDescent="0.25">
      <c r="E105" s="1">
        <v>32905</v>
      </c>
      <c r="F105">
        <v>9.7938581512429295</v>
      </c>
      <c r="G105">
        <v>1108581827013</v>
      </c>
    </row>
    <row r="106" spans="5:7" x14ac:dyDescent="0.25">
      <c r="E106" s="1">
        <v>32933</v>
      </c>
      <c r="F106">
        <v>9.8580733740653699</v>
      </c>
      <c r="G106">
        <v>1043534640113</v>
      </c>
    </row>
    <row r="107" spans="5:7" x14ac:dyDescent="0.25">
      <c r="E107" s="1">
        <v>32964</v>
      </c>
      <c r="F107">
        <v>10.034175890681899</v>
      </c>
      <c r="G107">
        <v>1010938259502</v>
      </c>
    </row>
    <row r="108" spans="5:7" x14ac:dyDescent="0.25">
      <c r="E108" s="1">
        <v>32994</v>
      </c>
      <c r="F108">
        <v>10.1485118859334</v>
      </c>
      <c r="G108">
        <v>804398739818</v>
      </c>
    </row>
    <row r="109" spans="5:7" x14ac:dyDescent="0.25">
      <c r="E109" s="1">
        <v>33025</v>
      </c>
      <c r="F109">
        <v>10.2729130928945</v>
      </c>
      <c r="G109">
        <v>990381336520</v>
      </c>
    </row>
    <row r="110" spans="5:7" x14ac:dyDescent="0.25">
      <c r="E110" s="1">
        <v>33055</v>
      </c>
      <c r="F110">
        <v>10.260974642576899</v>
      </c>
      <c r="G110">
        <v>867909032560</v>
      </c>
    </row>
    <row r="111" spans="5:7" x14ac:dyDescent="0.25">
      <c r="E111" s="1">
        <v>33086</v>
      </c>
      <c r="F111">
        <v>10.1180928074867</v>
      </c>
      <c r="G111">
        <v>1228195369157</v>
      </c>
    </row>
    <row r="112" spans="5:7" x14ac:dyDescent="0.25">
      <c r="E112" s="1">
        <v>33117</v>
      </c>
      <c r="F112">
        <v>9.9946331665506598</v>
      </c>
      <c r="G112">
        <v>1035706847012</v>
      </c>
    </row>
    <row r="113" spans="5:7" x14ac:dyDescent="0.25">
      <c r="E113" s="1">
        <v>33147</v>
      </c>
      <c r="F113">
        <v>10.0698062769108</v>
      </c>
      <c r="G113">
        <v>1056511289251</v>
      </c>
    </row>
    <row r="114" spans="5:7" x14ac:dyDescent="0.25">
      <c r="E114" s="1">
        <v>33178</v>
      </c>
      <c r="F114">
        <v>10.052010895545401</v>
      </c>
      <c r="G114">
        <v>895891099316</v>
      </c>
    </row>
    <row r="115" spans="5:7" x14ac:dyDescent="0.25">
      <c r="E115" s="1">
        <v>33208</v>
      </c>
      <c r="F115">
        <v>10.1078106527756</v>
      </c>
      <c r="G115">
        <v>794767938545</v>
      </c>
    </row>
    <row r="116" spans="5:7" x14ac:dyDescent="0.25">
      <c r="E116" s="1">
        <v>33239</v>
      </c>
      <c r="F116">
        <v>10.051682548381001</v>
      </c>
      <c r="G116">
        <v>508973260450</v>
      </c>
    </row>
    <row r="117" spans="5:7" x14ac:dyDescent="0.25">
      <c r="E117" s="1">
        <v>33270</v>
      </c>
      <c r="F117">
        <v>9.8754542203805205</v>
      </c>
      <c r="G117">
        <v>659600464375</v>
      </c>
    </row>
    <row r="118" spans="5:7" x14ac:dyDescent="0.25">
      <c r="E118" s="1">
        <v>33298</v>
      </c>
      <c r="F118">
        <v>9.6853402291324908</v>
      </c>
      <c r="G118">
        <v>695218708214</v>
      </c>
    </row>
    <row r="119" spans="5:7" x14ac:dyDescent="0.25">
      <c r="E119" s="1">
        <v>33329</v>
      </c>
      <c r="F119">
        <v>9.5894198437986695</v>
      </c>
      <c r="G119">
        <v>834629669420</v>
      </c>
    </row>
    <row r="120" spans="5:7" x14ac:dyDescent="0.25">
      <c r="E120" s="1">
        <v>33359</v>
      </c>
      <c r="F120">
        <v>9.5052637142141005</v>
      </c>
      <c r="G120">
        <v>1098631435097</v>
      </c>
    </row>
    <row r="121" spans="5:7" x14ac:dyDescent="0.25">
      <c r="E121" s="1">
        <v>33390</v>
      </c>
      <c r="F121">
        <v>9.4592539053643101</v>
      </c>
      <c r="G121">
        <v>1404820308399</v>
      </c>
    </row>
    <row r="122" spans="5:7" x14ac:dyDescent="0.25">
      <c r="E122" s="1">
        <v>33420</v>
      </c>
      <c r="F122">
        <v>9.5490803510352897</v>
      </c>
      <c r="G122">
        <v>1188725423183</v>
      </c>
    </row>
    <row r="123" spans="5:7" x14ac:dyDescent="0.25">
      <c r="E123" s="1">
        <v>33451</v>
      </c>
      <c r="F123">
        <v>9.6120834009917093</v>
      </c>
      <c r="G123">
        <v>1479249783966</v>
      </c>
    </row>
    <row r="124" spans="5:7" x14ac:dyDescent="0.25">
      <c r="E124" s="1">
        <v>33482</v>
      </c>
      <c r="F124">
        <v>9.5467414031969593</v>
      </c>
      <c r="G124">
        <v>1335483688351</v>
      </c>
    </row>
    <row r="125" spans="5:7" x14ac:dyDescent="0.25">
      <c r="E125" s="1">
        <v>33512</v>
      </c>
      <c r="F125">
        <v>9.4485240256801308</v>
      </c>
      <c r="G125">
        <v>1302753565990</v>
      </c>
    </row>
    <row r="126" spans="5:7" x14ac:dyDescent="0.25">
      <c r="E126" s="1">
        <v>33543</v>
      </c>
      <c r="F126">
        <v>9.2407893624921709</v>
      </c>
      <c r="G126">
        <v>1357648939952</v>
      </c>
    </row>
    <row r="127" spans="5:7" x14ac:dyDescent="0.25">
      <c r="E127" s="1">
        <v>33573</v>
      </c>
      <c r="F127">
        <v>9.0157122425973597</v>
      </c>
      <c r="G127">
        <v>1429771646573</v>
      </c>
    </row>
    <row r="128" spans="5:7" x14ac:dyDescent="0.25">
      <c r="E128" s="1">
        <v>33604</v>
      </c>
      <c r="F128">
        <v>8.8243246887023901</v>
      </c>
      <c r="G128">
        <v>1345337044760</v>
      </c>
    </row>
    <row r="129" spans="5:7" x14ac:dyDescent="0.25">
      <c r="E129" s="1">
        <v>33635</v>
      </c>
      <c r="F129">
        <v>8.6491747279706903</v>
      </c>
      <c r="G129">
        <v>1478889749010</v>
      </c>
    </row>
    <row r="130" spans="5:7" x14ac:dyDescent="0.25">
      <c r="E130" s="1">
        <v>33664</v>
      </c>
      <c r="F130">
        <v>8.6709365069427005</v>
      </c>
      <c r="G130">
        <v>2002492075573</v>
      </c>
    </row>
    <row r="131" spans="5:7" x14ac:dyDescent="0.25">
      <c r="E131" s="1">
        <v>33695</v>
      </c>
      <c r="F131">
        <v>8.69719287736865</v>
      </c>
      <c r="G131">
        <v>1828282892523</v>
      </c>
    </row>
    <row r="132" spans="5:7" x14ac:dyDescent="0.25">
      <c r="E132" s="1">
        <v>33725</v>
      </c>
      <c r="F132">
        <v>8.7995773044139796</v>
      </c>
      <c r="G132">
        <v>2063981353784</v>
      </c>
    </row>
    <row r="133" spans="5:7" x14ac:dyDescent="0.25">
      <c r="E133" s="1">
        <v>33756</v>
      </c>
      <c r="F133">
        <v>8.8658213215270294</v>
      </c>
      <c r="G133">
        <v>1901794020794</v>
      </c>
    </row>
    <row r="134" spans="5:7" x14ac:dyDescent="0.25">
      <c r="E134" s="1">
        <v>33786</v>
      </c>
      <c r="F134">
        <v>8.7560934009515492</v>
      </c>
      <c r="G134">
        <v>1542001389264</v>
      </c>
    </row>
    <row r="135" spans="5:7" x14ac:dyDescent="0.25">
      <c r="E135" s="1">
        <v>33817</v>
      </c>
      <c r="F135">
        <v>8.6570007858819</v>
      </c>
      <c r="G135">
        <v>1683251247774</v>
      </c>
    </row>
    <row r="136" spans="5:7" x14ac:dyDescent="0.25">
      <c r="E136" s="1">
        <v>33848</v>
      </c>
      <c r="F136">
        <v>8.3404719132522498</v>
      </c>
      <c r="G136">
        <v>1779311108533</v>
      </c>
    </row>
    <row r="137" spans="5:7" x14ac:dyDescent="0.25">
      <c r="E137" s="1">
        <v>33878</v>
      </c>
      <c r="F137">
        <v>8.2209021690210005</v>
      </c>
      <c r="G137">
        <v>2297529251705</v>
      </c>
    </row>
    <row r="138" spans="5:7" x14ac:dyDescent="0.25">
      <c r="E138" s="1">
        <v>33909</v>
      </c>
      <c r="F138">
        <v>8.0936953861579202</v>
      </c>
      <c r="G138">
        <v>2280962312571</v>
      </c>
    </row>
    <row r="139" spans="5:7" x14ac:dyDescent="0.25">
      <c r="E139" s="1">
        <v>33939</v>
      </c>
      <c r="F139">
        <v>8.1655339898418404</v>
      </c>
      <c r="G139">
        <v>2132063531907</v>
      </c>
    </row>
    <row r="140" spans="5:7" x14ac:dyDescent="0.25">
      <c r="E140" s="1">
        <v>33970</v>
      </c>
      <c r="F140">
        <v>8.2664721652611508</v>
      </c>
      <c r="G140">
        <v>2154579460463</v>
      </c>
    </row>
    <row r="141" spans="5:7" x14ac:dyDescent="0.25">
      <c r="E141" s="1">
        <v>34001</v>
      </c>
      <c r="F141">
        <v>8.3268184290669396</v>
      </c>
      <c r="G141">
        <v>1541913057718</v>
      </c>
    </row>
    <row r="142" spans="5:7" x14ac:dyDescent="0.25">
      <c r="E142" s="1">
        <v>34029</v>
      </c>
      <c r="F142">
        <v>8.1665393174351895</v>
      </c>
      <c r="G142">
        <v>1208429390262</v>
      </c>
    </row>
    <row r="143" spans="5:7" x14ac:dyDescent="0.25">
      <c r="E143" s="1">
        <v>34060</v>
      </c>
      <c r="F143">
        <v>7.9382402880982799</v>
      </c>
      <c r="G143">
        <v>1646867830484</v>
      </c>
    </row>
    <row r="144" spans="5:7" x14ac:dyDescent="0.25">
      <c r="E144" s="1">
        <v>34090</v>
      </c>
      <c r="F144">
        <v>7.7243951985175201</v>
      </c>
      <c r="G144">
        <v>2198866088395</v>
      </c>
    </row>
    <row r="145" spans="5:7" x14ac:dyDescent="0.25">
      <c r="E145" s="1">
        <v>34121</v>
      </c>
      <c r="F145">
        <v>7.6360701086689797</v>
      </c>
      <c r="G145">
        <v>2357059572301</v>
      </c>
    </row>
    <row r="146" spans="5:7" x14ac:dyDescent="0.25">
      <c r="E146" s="1">
        <v>34151</v>
      </c>
      <c r="F146">
        <v>7.6221514273945301</v>
      </c>
      <c r="G146">
        <v>2547868562473</v>
      </c>
    </row>
    <row r="147" spans="5:7" x14ac:dyDescent="0.25">
      <c r="E147" s="1">
        <v>34182</v>
      </c>
      <c r="F147">
        <v>7.6064419744098704</v>
      </c>
      <c r="G147">
        <v>2399919891246</v>
      </c>
    </row>
    <row r="148" spans="5:7" x14ac:dyDescent="0.25">
      <c r="E148" s="1">
        <v>34213</v>
      </c>
      <c r="F148">
        <v>7.45576100893995</v>
      </c>
      <c r="G148">
        <v>3432768572182</v>
      </c>
    </row>
    <row r="149" spans="5:7" x14ac:dyDescent="0.25">
      <c r="E149" s="1">
        <v>34243</v>
      </c>
      <c r="F149">
        <v>7.2802731458255101</v>
      </c>
      <c r="G149">
        <v>3531900869157</v>
      </c>
    </row>
    <row r="150" spans="5:7" x14ac:dyDescent="0.25">
      <c r="E150" s="1">
        <v>34274</v>
      </c>
      <c r="F150">
        <v>7.1784790852592</v>
      </c>
      <c r="G150">
        <v>2756085894889</v>
      </c>
    </row>
    <row r="151" spans="5:7" x14ac:dyDescent="0.25">
      <c r="E151" s="1">
        <v>34304</v>
      </c>
      <c r="F151">
        <v>7.11707739154234</v>
      </c>
      <c r="G151">
        <v>2846465559187</v>
      </c>
    </row>
    <row r="152" spans="5:7" x14ac:dyDescent="0.25">
      <c r="E152" s="1">
        <v>34335</v>
      </c>
      <c r="F152">
        <v>7.1784030897462499</v>
      </c>
      <c r="G152">
        <v>3166367704916</v>
      </c>
    </row>
    <row r="153" spans="5:7" x14ac:dyDescent="0.25">
      <c r="E153" s="1">
        <v>34366</v>
      </c>
      <c r="F153">
        <v>7.3124343494853701</v>
      </c>
      <c r="G153">
        <v>2697934997987</v>
      </c>
    </row>
    <row r="154" spans="5:7" x14ac:dyDescent="0.25">
      <c r="E154" s="1">
        <v>34394</v>
      </c>
      <c r="F154">
        <v>7.2995634040485902</v>
      </c>
      <c r="G154">
        <v>1914539692302</v>
      </c>
    </row>
    <row r="155" spans="5:7" x14ac:dyDescent="0.25">
      <c r="E155" s="1">
        <v>34425</v>
      </c>
      <c r="F155">
        <v>7.3789785280127598</v>
      </c>
      <c r="G155">
        <v>1885998819167</v>
      </c>
    </row>
    <row r="156" spans="5:7" x14ac:dyDescent="0.25">
      <c r="E156" s="1">
        <v>34455</v>
      </c>
      <c r="F156">
        <v>7.6349973409426397</v>
      </c>
      <c r="G156">
        <v>1602339835694</v>
      </c>
    </row>
    <row r="157" spans="5:7" x14ac:dyDescent="0.25">
      <c r="E157" s="1">
        <v>34486</v>
      </c>
      <c r="F157">
        <v>8.1227113507907394</v>
      </c>
      <c r="G157">
        <v>1163295440842</v>
      </c>
    </row>
    <row r="158" spans="5:7" x14ac:dyDescent="0.25">
      <c r="E158" s="1">
        <v>34516</v>
      </c>
      <c r="F158">
        <v>8.4775906768648603</v>
      </c>
      <c r="G158">
        <v>986597311153</v>
      </c>
    </row>
    <row r="159" spans="5:7" x14ac:dyDescent="0.25">
      <c r="E159" s="1">
        <v>34547</v>
      </c>
      <c r="F159">
        <v>8.5893803871905199</v>
      </c>
      <c r="G159">
        <v>783069980814</v>
      </c>
    </row>
    <row r="160" spans="5:7" x14ac:dyDescent="0.25">
      <c r="E160" s="1">
        <v>34578</v>
      </c>
      <c r="F160">
        <v>8.6653177983101894</v>
      </c>
      <c r="G160">
        <v>814776376647</v>
      </c>
    </row>
    <row r="161" spans="5:7" x14ac:dyDescent="0.25">
      <c r="E161" s="1">
        <v>34608</v>
      </c>
      <c r="F161">
        <v>8.7318931201138295</v>
      </c>
      <c r="G161">
        <v>764579816780</v>
      </c>
    </row>
    <row r="162" spans="5:7" x14ac:dyDescent="0.25">
      <c r="E162" s="1">
        <v>34639</v>
      </c>
      <c r="F162">
        <v>8.8767889246037601</v>
      </c>
      <c r="G162">
        <v>881251050834</v>
      </c>
    </row>
    <row r="163" spans="5:7" x14ac:dyDescent="0.25">
      <c r="E163" s="1">
        <v>34669</v>
      </c>
      <c r="F163">
        <v>8.9693276255042491</v>
      </c>
      <c r="G163">
        <v>858967640923</v>
      </c>
    </row>
    <row r="164" spans="5:7" x14ac:dyDescent="0.25">
      <c r="E164" s="1">
        <v>34700</v>
      </c>
      <c r="F164">
        <v>9.2680436581706793</v>
      </c>
      <c r="G164">
        <v>532490402210</v>
      </c>
    </row>
    <row r="165" spans="5:7" x14ac:dyDescent="0.25">
      <c r="E165" s="1">
        <v>34731</v>
      </c>
      <c r="F165">
        <v>9.2949159179788197</v>
      </c>
      <c r="G165">
        <v>450680603345</v>
      </c>
    </row>
    <row r="166" spans="5:7" x14ac:dyDescent="0.25">
      <c r="E166" s="1">
        <v>34759</v>
      </c>
      <c r="F166">
        <v>9.00940430141506</v>
      </c>
      <c r="G166">
        <v>396618038242</v>
      </c>
    </row>
    <row r="167" spans="5:7" x14ac:dyDescent="0.25">
      <c r="E167" s="1">
        <v>34790</v>
      </c>
      <c r="F167">
        <v>9.0783826900079294</v>
      </c>
      <c r="G167">
        <v>513492654076</v>
      </c>
    </row>
    <row r="168" spans="5:7" x14ac:dyDescent="0.25">
      <c r="E168" s="1">
        <v>34820</v>
      </c>
      <c r="F168">
        <v>8.8181758668752703</v>
      </c>
      <c r="G168">
        <v>717658553729</v>
      </c>
    </row>
    <row r="169" spans="5:7" x14ac:dyDescent="0.25">
      <c r="E169" s="1">
        <v>34851</v>
      </c>
      <c r="F169">
        <v>8.5354555043561504</v>
      </c>
      <c r="G169">
        <v>1129307921633</v>
      </c>
    </row>
    <row r="170" spans="5:7" x14ac:dyDescent="0.25">
      <c r="E170" s="1">
        <v>34881</v>
      </c>
      <c r="F170">
        <v>8.1913882672338492</v>
      </c>
      <c r="G170">
        <v>1528169400550</v>
      </c>
    </row>
    <row r="171" spans="5:7" x14ac:dyDescent="0.25">
      <c r="E171" s="1">
        <v>34912</v>
      </c>
      <c r="F171">
        <v>7.92737775571148</v>
      </c>
      <c r="G171">
        <v>1651075811791</v>
      </c>
    </row>
    <row r="172" spans="5:7" x14ac:dyDescent="0.25">
      <c r="E172" s="1">
        <v>34943</v>
      </c>
      <c r="F172">
        <v>7.9223613445476904</v>
      </c>
      <c r="G172">
        <v>1649078454206</v>
      </c>
    </row>
    <row r="173" spans="5:7" x14ac:dyDescent="0.25">
      <c r="E173" s="1">
        <v>34973</v>
      </c>
      <c r="F173">
        <v>7.9795421719538204</v>
      </c>
      <c r="G173">
        <v>1623728618457</v>
      </c>
    </row>
    <row r="174" spans="5:7" x14ac:dyDescent="0.25">
      <c r="E174" s="1">
        <v>35004</v>
      </c>
      <c r="F174">
        <v>7.9245659312810002</v>
      </c>
      <c r="G174">
        <v>1837722872738</v>
      </c>
    </row>
    <row r="175" spans="5:7" x14ac:dyDescent="0.25">
      <c r="E175" s="1">
        <v>35034</v>
      </c>
      <c r="F175">
        <v>7.78000007339622</v>
      </c>
      <c r="G175">
        <v>1853297831892</v>
      </c>
    </row>
    <row r="176" spans="5:7" x14ac:dyDescent="0.25">
      <c r="E176" s="1">
        <v>35065</v>
      </c>
      <c r="F176">
        <v>7.6944452786878097</v>
      </c>
      <c r="G176">
        <v>1712836039046</v>
      </c>
    </row>
    <row r="177" spans="5:7" x14ac:dyDescent="0.25">
      <c r="E177" s="1">
        <v>35096</v>
      </c>
      <c r="F177">
        <v>7.5579415959063203</v>
      </c>
      <c r="G177">
        <v>1836450207894</v>
      </c>
    </row>
    <row r="178" spans="5:7" x14ac:dyDescent="0.25">
      <c r="E178" s="1">
        <v>35125</v>
      </c>
      <c r="F178">
        <v>7.4284731719948098</v>
      </c>
      <c r="G178">
        <v>1855129982345</v>
      </c>
    </row>
    <row r="179" spans="5:7" x14ac:dyDescent="0.25">
      <c r="E179" s="1">
        <v>35156</v>
      </c>
      <c r="F179">
        <v>7.5245545118500701</v>
      </c>
      <c r="G179">
        <v>1967638777589</v>
      </c>
    </row>
    <row r="180" spans="5:7" x14ac:dyDescent="0.25">
      <c r="E180" s="1">
        <v>35186</v>
      </c>
      <c r="F180">
        <v>7.7763396275646004</v>
      </c>
      <c r="G180">
        <v>1863925152680</v>
      </c>
    </row>
    <row r="181" spans="5:7" x14ac:dyDescent="0.25">
      <c r="E181" s="1">
        <v>35217</v>
      </c>
      <c r="F181">
        <v>8.0357948798059393</v>
      </c>
      <c r="G181">
        <v>1799721095014</v>
      </c>
    </row>
    <row r="182" spans="5:7" x14ac:dyDescent="0.25">
      <c r="E182" s="1">
        <v>35247</v>
      </c>
      <c r="F182">
        <v>8.1827658030687491</v>
      </c>
      <c r="G182">
        <v>1386654766571</v>
      </c>
    </row>
    <row r="183" spans="5:7" x14ac:dyDescent="0.25">
      <c r="E183" s="1">
        <v>35278</v>
      </c>
      <c r="F183">
        <v>8.3468522128644391</v>
      </c>
      <c r="G183">
        <v>1132637002731</v>
      </c>
    </row>
    <row r="184" spans="5:7" x14ac:dyDescent="0.25">
      <c r="E184" s="1">
        <v>35309</v>
      </c>
      <c r="F184">
        <v>8.3888340643160593</v>
      </c>
      <c r="G184">
        <v>1510337580491</v>
      </c>
    </row>
    <row r="185" spans="5:7" x14ac:dyDescent="0.25">
      <c r="E185" s="1">
        <v>35339</v>
      </c>
      <c r="F185">
        <v>8.3029761386891998</v>
      </c>
      <c r="G185">
        <v>1117653011659</v>
      </c>
    </row>
    <row r="186" spans="5:7" x14ac:dyDescent="0.25">
      <c r="E186" s="1">
        <v>35370</v>
      </c>
      <c r="F186">
        <v>8.3117543512762104</v>
      </c>
      <c r="G186">
        <v>993680464103</v>
      </c>
    </row>
    <row r="187" spans="5:7" x14ac:dyDescent="0.25">
      <c r="E187" s="1">
        <v>35400</v>
      </c>
      <c r="F187">
        <v>8.1507331806927095</v>
      </c>
      <c r="G187">
        <v>1098712156519</v>
      </c>
    </row>
    <row r="188" spans="5:7" x14ac:dyDescent="0.25">
      <c r="E188" s="1">
        <v>35431</v>
      </c>
      <c r="F188">
        <v>7.9846056649362298</v>
      </c>
      <c r="G188">
        <v>1025312293612</v>
      </c>
    </row>
    <row r="189" spans="5:7" x14ac:dyDescent="0.25">
      <c r="E189" s="1">
        <v>35462</v>
      </c>
      <c r="F189">
        <v>7.9404190953595402</v>
      </c>
      <c r="G189">
        <v>1195296221260</v>
      </c>
    </row>
    <row r="190" spans="5:7" x14ac:dyDescent="0.25">
      <c r="E190" s="1">
        <v>35490</v>
      </c>
      <c r="F190">
        <v>7.9683998404156302</v>
      </c>
      <c r="G190">
        <v>1075764763614</v>
      </c>
    </row>
    <row r="191" spans="5:7" x14ac:dyDescent="0.25">
      <c r="E191" s="1">
        <v>35521</v>
      </c>
      <c r="F191">
        <v>7.9762754821961401</v>
      </c>
      <c r="G191">
        <v>1059202189509</v>
      </c>
    </row>
    <row r="192" spans="5:7" x14ac:dyDescent="0.25">
      <c r="E192" s="1">
        <v>35551</v>
      </c>
      <c r="F192">
        <v>8.0815907361800505</v>
      </c>
      <c r="G192">
        <v>1247131012873</v>
      </c>
    </row>
    <row r="193" spans="5:7" x14ac:dyDescent="0.25">
      <c r="E193" s="1">
        <v>35582</v>
      </c>
      <c r="F193">
        <v>8.1874711419734201</v>
      </c>
      <c r="G193">
        <v>966422825011</v>
      </c>
    </row>
    <row r="194" spans="5:7" x14ac:dyDescent="0.25">
      <c r="E194" s="1">
        <v>35612</v>
      </c>
      <c r="F194">
        <v>8.1278234293375604</v>
      </c>
      <c r="G194">
        <v>1178250564576</v>
      </c>
    </row>
    <row r="195" spans="5:7" x14ac:dyDescent="0.25">
      <c r="E195" s="1">
        <v>35643</v>
      </c>
      <c r="F195">
        <v>7.9786541377001301</v>
      </c>
      <c r="G195">
        <v>1648701109332</v>
      </c>
    </row>
    <row r="196" spans="5:7" x14ac:dyDescent="0.25">
      <c r="E196" s="1">
        <v>35674</v>
      </c>
      <c r="F196">
        <v>7.7887246889486796</v>
      </c>
      <c r="G196">
        <v>1517922345107</v>
      </c>
    </row>
    <row r="197" spans="5:7" x14ac:dyDescent="0.25">
      <c r="E197" s="1">
        <v>35704</v>
      </c>
      <c r="F197">
        <v>7.7223457495717902</v>
      </c>
      <c r="G197">
        <v>1766179956993</v>
      </c>
    </row>
    <row r="198" spans="5:7" x14ac:dyDescent="0.25">
      <c r="E198" s="1">
        <v>35735</v>
      </c>
      <c r="F198">
        <v>7.6768362110462096</v>
      </c>
      <c r="G198">
        <v>1878982668038</v>
      </c>
    </row>
    <row r="199" spans="5:7" x14ac:dyDescent="0.25">
      <c r="E199" s="1">
        <v>35765</v>
      </c>
      <c r="F199">
        <v>7.5847437536532798</v>
      </c>
      <c r="G199">
        <v>1963247940546</v>
      </c>
    </row>
    <row r="200" spans="5:7" x14ac:dyDescent="0.25">
      <c r="E200" s="1">
        <v>35796</v>
      </c>
      <c r="F200">
        <v>7.4909035462270896</v>
      </c>
      <c r="G200">
        <v>2031711562645</v>
      </c>
    </row>
    <row r="201" spans="5:7" x14ac:dyDescent="0.25">
      <c r="E201" s="1">
        <v>35827</v>
      </c>
      <c r="F201">
        <v>7.3931227544763898</v>
      </c>
      <c r="G201">
        <v>2144503090724</v>
      </c>
    </row>
    <row r="202" spans="5:7" x14ac:dyDescent="0.25">
      <c r="E202" s="1">
        <v>35855</v>
      </c>
      <c r="F202">
        <v>7.2460055208118197</v>
      </c>
      <c r="G202">
        <v>2890559386711</v>
      </c>
    </row>
    <row r="203" spans="5:7" x14ac:dyDescent="0.25">
      <c r="E203" s="1">
        <v>35886</v>
      </c>
      <c r="F203">
        <v>7.2647313248394099</v>
      </c>
      <c r="G203">
        <v>3785867984990</v>
      </c>
    </row>
    <row r="204" spans="5:7" x14ac:dyDescent="0.25">
      <c r="E204" s="1">
        <v>35916</v>
      </c>
      <c r="F204">
        <v>7.2104071094827002</v>
      </c>
      <c r="G204">
        <v>3438451176031</v>
      </c>
    </row>
    <row r="205" spans="5:7" x14ac:dyDescent="0.25">
      <c r="E205" s="1">
        <v>35947</v>
      </c>
      <c r="F205">
        <v>7.23087668871635</v>
      </c>
      <c r="G205">
        <v>3425275682011</v>
      </c>
    </row>
    <row r="206" spans="5:7" x14ac:dyDescent="0.25">
      <c r="E206" s="1">
        <v>35977</v>
      </c>
      <c r="F206">
        <v>7.2342719401884601</v>
      </c>
      <c r="G206">
        <v>3867962412037</v>
      </c>
    </row>
    <row r="207" spans="5:7" x14ac:dyDescent="0.25">
      <c r="E207" s="1">
        <v>36008</v>
      </c>
      <c r="F207">
        <v>7.1577309934321303</v>
      </c>
      <c r="G207">
        <v>3556685304297</v>
      </c>
    </row>
    <row r="208" spans="5:7" x14ac:dyDescent="0.25">
      <c r="E208" s="1">
        <v>36039</v>
      </c>
      <c r="F208">
        <v>7.1184885542994296</v>
      </c>
      <c r="G208">
        <v>3824829229768</v>
      </c>
    </row>
    <row r="209" spans="5:7" x14ac:dyDescent="0.25">
      <c r="E209" s="1">
        <v>36069</v>
      </c>
      <c r="F209">
        <v>7.0417713741794197</v>
      </c>
      <c r="G209">
        <v>3722493812266</v>
      </c>
    </row>
    <row r="210" spans="5:7" x14ac:dyDescent="0.25">
      <c r="E210" s="1">
        <v>36100</v>
      </c>
      <c r="F210">
        <v>6.8945395505057503</v>
      </c>
      <c r="G210">
        <v>4031119434334</v>
      </c>
    </row>
    <row r="211" spans="5:7" x14ac:dyDescent="0.25">
      <c r="E211" s="1">
        <v>36130</v>
      </c>
      <c r="F211">
        <v>6.8154451923109098</v>
      </c>
      <c r="G211">
        <v>5147896500313</v>
      </c>
    </row>
    <row r="212" spans="5:7" x14ac:dyDescent="0.25">
      <c r="E212" s="1">
        <v>36161</v>
      </c>
      <c r="F212">
        <v>6.8282885659673296</v>
      </c>
      <c r="G212">
        <v>5051367493962</v>
      </c>
    </row>
    <row r="213" spans="5:7" x14ac:dyDescent="0.25">
      <c r="E213" s="1">
        <v>36192</v>
      </c>
      <c r="F213">
        <v>6.8416132774849796</v>
      </c>
      <c r="G213">
        <v>4377629732773</v>
      </c>
    </row>
    <row r="214" spans="5:7" x14ac:dyDescent="0.25">
      <c r="E214" s="1">
        <v>36220</v>
      </c>
      <c r="F214">
        <v>6.8830975850576204</v>
      </c>
      <c r="G214">
        <v>3880510370773</v>
      </c>
    </row>
    <row r="215" spans="5:7" x14ac:dyDescent="0.25">
      <c r="E215" s="1">
        <v>36251</v>
      </c>
      <c r="F215">
        <v>6.9224298260595596</v>
      </c>
      <c r="G215">
        <v>3506332849582</v>
      </c>
    </row>
    <row r="216" spans="5:7" x14ac:dyDescent="0.25">
      <c r="E216" s="1">
        <v>36281</v>
      </c>
      <c r="F216">
        <v>7.0051364236946201</v>
      </c>
      <c r="G216">
        <v>3119416221235</v>
      </c>
    </row>
    <row r="217" spans="5:7" x14ac:dyDescent="0.25">
      <c r="E217" s="1">
        <v>36312</v>
      </c>
      <c r="F217">
        <v>7.0651825753538198</v>
      </c>
      <c r="G217">
        <v>3259154999664</v>
      </c>
    </row>
    <row r="218" spans="5:7" x14ac:dyDescent="0.25">
      <c r="E218" s="1">
        <v>36342</v>
      </c>
      <c r="F218">
        <v>7.2021939361664202</v>
      </c>
      <c r="G218">
        <v>2900621452855</v>
      </c>
    </row>
    <row r="219" spans="5:7" x14ac:dyDescent="0.25">
      <c r="E219" s="1">
        <v>36373</v>
      </c>
      <c r="F219">
        <v>7.4875607147055501</v>
      </c>
      <c r="G219">
        <v>2690406603208</v>
      </c>
    </row>
    <row r="220" spans="5:7" x14ac:dyDescent="0.25">
      <c r="E220" s="1">
        <v>36404</v>
      </c>
      <c r="F220">
        <v>7.70428021295288</v>
      </c>
      <c r="G220">
        <v>2523819356884</v>
      </c>
    </row>
    <row r="221" spans="5:7" x14ac:dyDescent="0.25">
      <c r="E221" s="1">
        <v>36434</v>
      </c>
      <c r="F221">
        <v>7.74334622937553</v>
      </c>
      <c r="G221">
        <v>2316928809007</v>
      </c>
    </row>
    <row r="222" spans="5:7" x14ac:dyDescent="0.25">
      <c r="E222" s="1">
        <v>36465</v>
      </c>
      <c r="F222">
        <v>7.8781784605253202</v>
      </c>
      <c r="G222">
        <v>1698274197033</v>
      </c>
    </row>
    <row r="223" spans="5:7" x14ac:dyDescent="0.25">
      <c r="E223" s="1">
        <v>36495</v>
      </c>
      <c r="F223">
        <v>7.8466879944455901</v>
      </c>
      <c r="G223">
        <v>1800577009234</v>
      </c>
    </row>
    <row r="224" spans="5:7" x14ac:dyDescent="0.25">
      <c r="E224" s="1">
        <v>36526</v>
      </c>
      <c r="F224">
        <v>7.9030095696804397</v>
      </c>
      <c r="G224">
        <v>1671884999722</v>
      </c>
    </row>
    <row r="225" spans="5:7" x14ac:dyDescent="0.25">
      <c r="E225" s="1">
        <v>36557</v>
      </c>
      <c r="F225">
        <v>8.0661131100309706</v>
      </c>
      <c r="G225">
        <v>1446197189730</v>
      </c>
    </row>
    <row r="226" spans="5:7" x14ac:dyDescent="0.25">
      <c r="E226" s="1">
        <v>36586</v>
      </c>
      <c r="F226">
        <v>8.2931734337918908</v>
      </c>
      <c r="G226">
        <v>1114750572483</v>
      </c>
    </row>
    <row r="227" spans="5:7" x14ac:dyDescent="0.25">
      <c r="E227" s="1">
        <v>36617</v>
      </c>
      <c r="F227">
        <v>8.3610676822195895</v>
      </c>
      <c r="G227">
        <v>1414220424678</v>
      </c>
    </row>
    <row r="228" spans="5:7" x14ac:dyDescent="0.25">
      <c r="E228" s="1">
        <v>36647</v>
      </c>
      <c r="F228">
        <v>8.3441228093543298</v>
      </c>
      <c r="G228">
        <v>1439056285202</v>
      </c>
    </row>
    <row r="229" spans="5:7" x14ac:dyDescent="0.25">
      <c r="E229" s="1">
        <v>36678</v>
      </c>
      <c r="F229">
        <v>8.3388826805236391</v>
      </c>
      <c r="G229">
        <v>1628253294422</v>
      </c>
    </row>
    <row r="230" spans="5:7" x14ac:dyDescent="0.25">
      <c r="E230" s="1">
        <v>36708</v>
      </c>
      <c r="F230">
        <v>8.4678443359047808</v>
      </c>
      <c r="G230">
        <v>1621989452469</v>
      </c>
    </row>
    <row r="231" spans="5:7" x14ac:dyDescent="0.25">
      <c r="E231" s="1">
        <v>36739</v>
      </c>
      <c r="F231">
        <v>8.3555634630630493</v>
      </c>
      <c r="G231">
        <v>2028933012998</v>
      </c>
    </row>
    <row r="232" spans="5:7" x14ac:dyDescent="0.25">
      <c r="E232" s="1">
        <v>36770</v>
      </c>
      <c r="F232">
        <v>8.2000072545969491</v>
      </c>
      <c r="G232">
        <v>2204094871732</v>
      </c>
    </row>
    <row r="233" spans="5:7" x14ac:dyDescent="0.25">
      <c r="E233" s="1">
        <v>36800</v>
      </c>
      <c r="F233">
        <v>8.1672264842345008</v>
      </c>
      <c r="G233">
        <v>2406913002576</v>
      </c>
    </row>
    <row r="234" spans="5:7" x14ac:dyDescent="0.25">
      <c r="E234" s="1">
        <v>36831</v>
      </c>
      <c r="F234">
        <v>8.0389528123051601</v>
      </c>
      <c r="G234">
        <v>2478302394538</v>
      </c>
    </row>
    <row r="235" spans="5:7" x14ac:dyDescent="0.25">
      <c r="E235" s="1">
        <v>36861</v>
      </c>
      <c r="F235">
        <v>7.9349971852374104</v>
      </c>
      <c r="G235">
        <v>2668899889692</v>
      </c>
    </row>
    <row r="236" spans="5:7" x14ac:dyDescent="0.25">
      <c r="E236" s="1">
        <v>36892</v>
      </c>
      <c r="F236">
        <v>7.8785109984434003</v>
      </c>
      <c r="G236">
        <v>2821773181794</v>
      </c>
    </row>
    <row r="237" spans="5:7" x14ac:dyDescent="0.25">
      <c r="E237" s="1">
        <v>36923</v>
      </c>
      <c r="F237">
        <v>7.5245163419388597</v>
      </c>
      <c r="G237">
        <v>3259347803432</v>
      </c>
    </row>
    <row r="238" spans="5:7" x14ac:dyDescent="0.25">
      <c r="E238" s="1">
        <v>36951</v>
      </c>
      <c r="F238">
        <v>7.2723791378426803</v>
      </c>
      <c r="G238">
        <v>4084508475606</v>
      </c>
    </row>
    <row r="239" spans="5:7" x14ac:dyDescent="0.25">
      <c r="E239" s="1">
        <v>36982</v>
      </c>
      <c r="F239">
        <v>7.1370162490197702</v>
      </c>
      <c r="G239">
        <v>5310059699492</v>
      </c>
    </row>
    <row r="240" spans="5:7" x14ac:dyDescent="0.25">
      <c r="E240" s="1">
        <v>37012</v>
      </c>
      <c r="F240">
        <v>7.1366411596878097</v>
      </c>
      <c r="G240">
        <v>5571287524904</v>
      </c>
    </row>
    <row r="241" spans="5:7" x14ac:dyDescent="0.25">
      <c r="E241" s="1">
        <v>37043</v>
      </c>
      <c r="F241">
        <v>7.1479734370066303</v>
      </c>
      <c r="G241">
        <v>5534102918210</v>
      </c>
    </row>
    <row r="242" spans="5:7" x14ac:dyDescent="0.25">
      <c r="E242" s="1">
        <v>37073</v>
      </c>
      <c r="F242">
        <v>7.2353335344377498</v>
      </c>
      <c r="G242">
        <v>5349164552644</v>
      </c>
    </row>
    <row r="243" spans="5:7" x14ac:dyDescent="0.25">
      <c r="E243" s="1">
        <v>37104</v>
      </c>
      <c r="F243">
        <v>7.28672914636181</v>
      </c>
      <c r="G243">
        <v>5160370927436</v>
      </c>
    </row>
    <row r="244" spans="5:7" x14ac:dyDescent="0.25">
      <c r="E244" s="1">
        <v>37135</v>
      </c>
      <c r="F244">
        <v>7.2007141322394901</v>
      </c>
      <c r="G244">
        <v>4794979280210</v>
      </c>
    </row>
    <row r="245" spans="5:7" x14ac:dyDescent="0.25">
      <c r="E245" s="1">
        <v>37165</v>
      </c>
      <c r="F245">
        <v>7.0953312492452802</v>
      </c>
      <c r="G245">
        <v>4346696837039</v>
      </c>
    </row>
    <row r="246" spans="5:7" x14ac:dyDescent="0.25">
      <c r="E246" s="1">
        <v>37196</v>
      </c>
      <c r="F246">
        <v>6.9399469254852102</v>
      </c>
      <c r="G246">
        <v>6043418612459</v>
      </c>
    </row>
    <row r="247" spans="5:7" x14ac:dyDescent="0.25">
      <c r="E247" s="1">
        <v>37226</v>
      </c>
      <c r="F247">
        <v>6.7628708082724103</v>
      </c>
      <c r="G247">
        <v>7021076205790</v>
      </c>
    </row>
    <row r="248" spans="5:7" x14ac:dyDescent="0.25">
      <c r="E248" s="1">
        <v>37257</v>
      </c>
      <c r="F248">
        <v>6.7336675817513001</v>
      </c>
      <c r="G248">
        <v>5937744414705</v>
      </c>
    </row>
    <row r="249" spans="5:7" x14ac:dyDescent="0.25">
      <c r="E249" s="1">
        <v>37288</v>
      </c>
      <c r="F249">
        <v>6.9137112271769601</v>
      </c>
      <c r="G249">
        <v>5744953452057</v>
      </c>
    </row>
    <row r="250" spans="5:7" x14ac:dyDescent="0.25">
      <c r="E250" s="1">
        <v>37316</v>
      </c>
      <c r="F250">
        <v>6.99881089689758</v>
      </c>
      <c r="G250">
        <v>5088217846639</v>
      </c>
    </row>
    <row r="251" spans="5:7" x14ac:dyDescent="0.25">
      <c r="E251" s="1">
        <v>37347</v>
      </c>
      <c r="F251">
        <v>7.0004308608154497</v>
      </c>
      <c r="G251">
        <v>4523614193379</v>
      </c>
    </row>
    <row r="252" spans="5:7" x14ac:dyDescent="0.25">
      <c r="E252" s="1">
        <v>37377</v>
      </c>
      <c r="F252">
        <v>7.0650396557010202</v>
      </c>
      <c r="G252">
        <v>4257892090533</v>
      </c>
    </row>
    <row r="253" spans="5:7" x14ac:dyDescent="0.25">
      <c r="E253" s="1">
        <v>37408</v>
      </c>
      <c r="F253">
        <v>7.0807650528940496</v>
      </c>
      <c r="G253">
        <v>4188965143984</v>
      </c>
    </row>
    <row r="254" spans="5:7" x14ac:dyDescent="0.25">
      <c r="E254" s="1">
        <v>37438</v>
      </c>
      <c r="F254">
        <v>6.9845903132043698</v>
      </c>
      <c r="G254">
        <v>4126177338013</v>
      </c>
    </row>
    <row r="255" spans="5:7" x14ac:dyDescent="0.25">
      <c r="E255" s="1">
        <v>37469</v>
      </c>
      <c r="F255">
        <v>6.8736063123659301</v>
      </c>
      <c r="G255">
        <v>5150448520299</v>
      </c>
    </row>
    <row r="256" spans="5:7" x14ac:dyDescent="0.25">
      <c r="E256" s="1">
        <v>37500</v>
      </c>
      <c r="F256">
        <v>6.6276140399636896</v>
      </c>
      <c r="G256">
        <v>6025626649540</v>
      </c>
    </row>
    <row r="257" spans="5:7" x14ac:dyDescent="0.25">
      <c r="E257" s="1">
        <v>37530</v>
      </c>
      <c r="F257">
        <v>6.5385297374603901</v>
      </c>
      <c r="G257">
        <v>8074064715835</v>
      </c>
    </row>
    <row r="258" spans="5:7" x14ac:dyDescent="0.25">
      <c r="E258" s="1">
        <v>37561</v>
      </c>
      <c r="F258">
        <v>6.3024719750972196</v>
      </c>
      <c r="G258">
        <v>7822406828964</v>
      </c>
    </row>
    <row r="259" spans="5:7" x14ac:dyDescent="0.25">
      <c r="E259" s="1">
        <v>37591</v>
      </c>
      <c r="F259">
        <v>6.2413559802188496</v>
      </c>
      <c r="G259">
        <v>8255618539222</v>
      </c>
    </row>
    <row r="260" spans="5:7" x14ac:dyDescent="0.25">
      <c r="E260" s="1">
        <v>37622</v>
      </c>
      <c r="F260">
        <v>6.1705036869099796</v>
      </c>
      <c r="G260">
        <v>9433001600860</v>
      </c>
    </row>
    <row r="261" spans="5:7" x14ac:dyDescent="0.25">
      <c r="E261" s="1">
        <v>37653</v>
      </c>
      <c r="F261">
        <v>6.1528942142731102</v>
      </c>
      <c r="G261">
        <v>8428775553894</v>
      </c>
    </row>
    <row r="262" spans="5:7" x14ac:dyDescent="0.25">
      <c r="E262" s="1">
        <v>37681</v>
      </c>
      <c r="F262">
        <v>6.0769265302637798</v>
      </c>
      <c r="G262">
        <v>8344411638971</v>
      </c>
    </row>
    <row r="263" spans="5:7" x14ac:dyDescent="0.25">
      <c r="E263" s="1">
        <v>37712</v>
      </c>
      <c r="F263">
        <v>6.0038280676107201</v>
      </c>
      <c r="G263">
        <v>10417709719477</v>
      </c>
    </row>
    <row r="264" spans="5:7" x14ac:dyDescent="0.25">
      <c r="E264" s="1">
        <v>37742</v>
      </c>
      <c r="F264">
        <v>5.9151342956627797</v>
      </c>
      <c r="G264">
        <v>9302167994747</v>
      </c>
    </row>
    <row r="265" spans="5:7" x14ac:dyDescent="0.25">
      <c r="E265" s="1">
        <v>37773</v>
      </c>
      <c r="F265">
        <v>5.8534721334995901</v>
      </c>
      <c r="G265">
        <v>10308588051938</v>
      </c>
    </row>
    <row r="266" spans="5:7" x14ac:dyDescent="0.25">
      <c r="E266" s="1">
        <v>37803</v>
      </c>
      <c r="F266">
        <v>5.6603740150939901</v>
      </c>
      <c r="G266">
        <v>10293974214992</v>
      </c>
    </row>
    <row r="267" spans="5:7" x14ac:dyDescent="0.25">
      <c r="E267" s="1">
        <v>37834</v>
      </c>
      <c r="F267">
        <v>5.5145795665700001</v>
      </c>
      <c r="G267">
        <v>9876679371502</v>
      </c>
    </row>
    <row r="268" spans="5:7" x14ac:dyDescent="0.25">
      <c r="E268" s="1">
        <v>37865</v>
      </c>
      <c r="F268">
        <v>5.5967363788878197</v>
      </c>
      <c r="G268">
        <v>10199199457358</v>
      </c>
    </row>
    <row r="269" spans="5:7" x14ac:dyDescent="0.25">
      <c r="E269" s="1">
        <v>37895</v>
      </c>
      <c r="F269">
        <v>5.8726656362200398</v>
      </c>
      <c r="G269">
        <v>6693001905300</v>
      </c>
    </row>
    <row r="270" spans="5:7" x14ac:dyDescent="0.25">
      <c r="E270" s="1">
        <v>37926</v>
      </c>
      <c r="F270">
        <v>5.9913739582844698</v>
      </c>
      <c r="G270">
        <v>5255696347579</v>
      </c>
    </row>
    <row r="271" spans="5:7" x14ac:dyDescent="0.25">
      <c r="E271" s="1">
        <v>37956</v>
      </c>
      <c r="F271">
        <v>6.0066656690185596</v>
      </c>
      <c r="G271">
        <v>4983856207174</v>
      </c>
    </row>
    <row r="272" spans="5:7" x14ac:dyDescent="0.25">
      <c r="E272" s="1">
        <v>37987</v>
      </c>
      <c r="F272">
        <v>6.0917821941161199</v>
      </c>
      <c r="G272">
        <v>3969683031641</v>
      </c>
    </row>
    <row r="273" spans="5:7" x14ac:dyDescent="0.25">
      <c r="E273" s="1">
        <v>38018</v>
      </c>
      <c r="F273">
        <v>5.9560033513794499</v>
      </c>
      <c r="G273">
        <v>3766947514244</v>
      </c>
    </row>
    <row r="274" spans="5:7" x14ac:dyDescent="0.25">
      <c r="E274" s="1">
        <v>38047</v>
      </c>
      <c r="F274">
        <v>5.9113820384416496</v>
      </c>
      <c r="G274">
        <v>3520929370194</v>
      </c>
    </row>
    <row r="275" spans="5:7" x14ac:dyDescent="0.25">
      <c r="E275" s="1">
        <v>38078</v>
      </c>
      <c r="F275">
        <v>5.7492501181113997</v>
      </c>
      <c r="G275">
        <v>4557341551781</v>
      </c>
    </row>
    <row r="276" spans="5:7" x14ac:dyDescent="0.25">
      <c r="E276" s="1">
        <v>38108</v>
      </c>
      <c r="F276">
        <v>5.6580341958842197</v>
      </c>
      <c r="G276">
        <v>4098542902112</v>
      </c>
    </row>
    <row r="277" spans="5:7" x14ac:dyDescent="0.25">
      <c r="E277" s="1">
        <v>38139</v>
      </c>
      <c r="F277">
        <v>5.8758211372756897</v>
      </c>
      <c r="G277">
        <v>4063151456293</v>
      </c>
    </row>
    <row r="278" spans="5:7" x14ac:dyDescent="0.25">
      <c r="E278" s="1">
        <v>38169</v>
      </c>
      <c r="F278">
        <v>6.1998359885384602</v>
      </c>
      <c r="G278">
        <v>3155579473974</v>
      </c>
    </row>
    <row r="279" spans="5:7" x14ac:dyDescent="0.25">
      <c r="E279" s="1">
        <v>38200</v>
      </c>
      <c r="F279">
        <v>6.3182436028222497</v>
      </c>
      <c r="G279">
        <v>2726330394420</v>
      </c>
    </row>
    <row r="280" spans="5:7" x14ac:dyDescent="0.25">
      <c r="E280" s="1">
        <v>38231</v>
      </c>
      <c r="F280">
        <v>6.2053551957756001</v>
      </c>
      <c r="G280">
        <v>3123269566693</v>
      </c>
    </row>
    <row r="281" spans="5:7" x14ac:dyDescent="0.25">
      <c r="E281" s="1">
        <v>38261</v>
      </c>
      <c r="F281">
        <v>6.0848018224368099</v>
      </c>
      <c r="G281">
        <v>2607689116488</v>
      </c>
    </row>
    <row r="282" spans="5:7" x14ac:dyDescent="0.25">
      <c r="E282" s="1">
        <v>38292</v>
      </c>
      <c r="F282">
        <v>5.9731747397904904</v>
      </c>
      <c r="G282">
        <v>2730943249326</v>
      </c>
    </row>
    <row r="283" spans="5:7" x14ac:dyDescent="0.25">
      <c r="E283" s="1">
        <v>38322</v>
      </c>
      <c r="F283">
        <v>5.9118781098890301</v>
      </c>
      <c r="G283">
        <v>2866205635090</v>
      </c>
    </row>
    <row r="284" spans="5:7" x14ac:dyDescent="0.25">
      <c r="E284" s="1">
        <v>38353</v>
      </c>
      <c r="F284">
        <v>5.8858995314577003</v>
      </c>
      <c r="G284">
        <v>2875218379610</v>
      </c>
    </row>
    <row r="285" spans="5:7" x14ac:dyDescent="0.25">
      <c r="E285" s="1">
        <v>38384</v>
      </c>
      <c r="F285">
        <v>5.9088657529264097</v>
      </c>
      <c r="G285">
        <v>2464809692938</v>
      </c>
    </row>
    <row r="286" spans="5:7" x14ac:dyDescent="0.25">
      <c r="E286" s="1">
        <v>38412</v>
      </c>
      <c r="F286">
        <v>5.8258059537488398</v>
      </c>
      <c r="G286">
        <v>2554869956305</v>
      </c>
    </row>
    <row r="287" spans="5:7" x14ac:dyDescent="0.25">
      <c r="E287" s="1">
        <v>38443</v>
      </c>
      <c r="F287">
        <v>5.80184848399474</v>
      </c>
      <c r="G287">
        <v>2985237213174</v>
      </c>
    </row>
    <row r="288" spans="5:7" x14ac:dyDescent="0.25">
      <c r="E288" s="1">
        <v>38473</v>
      </c>
      <c r="F288">
        <v>5.9604269928074096</v>
      </c>
      <c r="G288">
        <v>2942768450279</v>
      </c>
    </row>
    <row r="289" spans="5:7" x14ac:dyDescent="0.25">
      <c r="E289" s="1">
        <v>38504</v>
      </c>
      <c r="F289">
        <v>6.0066090785120201</v>
      </c>
      <c r="G289">
        <v>3028826248737</v>
      </c>
    </row>
    <row r="290" spans="5:7" x14ac:dyDescent="0.25">
      <c r="E290" s="1">
        <v>38534</v>
      </c>
      <c r="F290">
        <v>5.8913162151740996</v>
      </c>
      <c r="G290">
        <v>3785543920191</v>
      </c>
    </row>
    <row r="291" spans="5:7" x14ac:dyDescent="0.25">
      <c r="E291" s="1">
        <v>38565</v>
      </c>
      <c r="F291">
        <v>5.8170059166993697</v>
      </c>
      <c r="G291">
        <v>4180264840393</v>
      </c>
    </row>
    <row r="292" spans="5:7" x14ac:dyDescent="0.25">
      <c r="E292" s="1">
        <v>38596</v>
      </c>
      <c r="F292">
        <v>5.8568781243443899</v>
      </c>
      <c r="G292">
        <v>4507448589615</v>
      </c>
    </row>
    <row r="293" spans="5:7" x14ac:dyDescent="0.25">
      <c r="E293" s="1">
        <v>38626</v>
      </c>
      <c r="F293">
        <v>5.9096617247824703</v>
      </c>
      <c r="G293">
        <v>3591244588130</v>
      </c>
    </row>
    <row r="294" spans="5:7" x14ac:dyDescent="0.25">
      <c r="E294" s="1">
        <v>38657</v>
      </c>
      <c r="F294">
        <v>5.9603654028825002</v>
      </c>
      <c r="G294">
        <v>3520332406150</v>
      </c>
    </row>
    <row r="295" spans="5:7" x14ac:dyDescent="0.25">
      <c r="E295" s="1">
        <v>38687</v>
      </c>
      <c r="F295">
        <v>6.1007116550291096</v>
      </c>
      <c r="G295">
        <v>3169277580598</v>
      </c>
    </row>
    <row r="296" spans="5:7" x14ac:dyDescent="0.25">
      <c r="E296" s="1">
        <v>38718</v>
      </c>
      <c r="F296">
        <v>6.3011652273028096</v>
      </c>
      <c r="G296">
        <v>3060788909877</v>
      </c>
    </row>
    <row r="297" spans="5:7" x14ac:dyDescent="0.25">
      <c r="E297" s="1">
        <v>38749</v>
      </c>
      <c r="F297">
        <v>6.3526727308006397</v>
      </c>
      <c r="G297">
        <v>2595581054684</v>
      </c>
    </row>
    <row r="298" spans="5:7" x14ac:dyDescent="0.25">
      <c r="E298" s="1">
        <v>38777</v>
      </c>
      <c r="F298">
        <v>6.3675892083988002</v>
      </c>
      <c r="G298">
        <v>2677359268545</v>
      </c>
    </row>
    <row r="299" spans="5:7" x14ac:dyDescent="0.25">
      <c r="E299" s="1">
        <v>38808</v>
      </c>
      <c r="F299">
        <v>6.3185857794163702</v>
      </c>
      <c r="G299">
        <v>3237758980491</v>
      </c>
    </row>
    <row r="300" spans="5:7" x14ac:dyDescent="0.25">
      <c r="E300" s="1">
        <v>38838</v>
      </c>
      <c r="F300">
        <v>6.4588297907741596</v>
      </c>
      <c r="G300">
        <v>2971092864006</v>
      </c>
    </row>
    <row r="301" spans="5:7" x14ac:dyDescent="0.25">
      <c r="E301" s="1">
        <v>38869</v>
      </c>
      <c r="F301">
        <v>6.5712380848291199</v>
      </c>
      <c r="G301">
        <v>3189473098271</v>
      </c>
    </row>
    <row r="302" spans="5:7" x14ac:dyDescent="0.25">
      <c r="E302" s="1">
        <v>38899</v>
      </c>
      <c r="F302">
        <v>6.7168334256992202</v>
      </c>
      <c r="G302">
        <v>2807865658165</v>
      </c>
    </row>
    <row r="303" spans="5:7" x14ac:dyDescent="0.25">
      <c r="E303" s="1">
        <v>38930</v>
      </c>
      <c r="F303">
        <v>6.7860694522311498</v>
      </c>
      <c r="G303">
        <v>3015811008506</v>
      </c>
    </row>
    <row r="304" spans="5:7" x14ac:dyDescent="0.25">
      <c r="E304" s="1">
        <v>38961</v>
      </c>
      <c r="F304">
        <v>6.7647898744997503</v>
      </c>
      <c r="G304">
        <v>3034143617572</v>
      </c>
    </row>
    <row r="305" spans="5:7" x14ac:dyDescent="0.25">
      <c r="E305" s="1">
        <v>38991</v>
      </c>
      <c r="F305">
        <v>6.64346808126915</v>
      </c>
      <c r="G305">
        <v>3568404060211</v>
      </c>
    </row>
    <row r="306" spans="5:7" x14ac:dyDescent="0.25">
      <c r="E306" s="1">
        <v>39022</v>
      </c>
      <c r="F306">
        <v>6.5695492930460899</v>
      </c>
      <c r="G306">
        <v>2921742607107</v>
      </c>
    </row>
    <row r="307" spans="5:7" x14ac:dyDescent="0.25">
      <c r="E307" s="1">
        <v>39052</v>
      </c>
      <c r="F307">
        <v>6.4795278978801498</v>
      </c>
      <c r="G307">
        <v>3055502165254</v>
      </c>
    </row>
    <row r="308" spans="5:7" x14ac:dyDescent="0.25">
      <c r="E308" s="1">
        <v>39083</v>
      </c>
      <c r="F308">
        <v>6.3554527647282697</v>
      </c>
      <c r="G308">
        <v>3137209348617</v>
      </c>
    </row>
    <row r="309" spans="5:7" x14ac:dyDescent="0.25">
      <c r="E309" s="1">
        <v>39114</v>
      </c>
      <c r="F309">
        <v>6.3073412405361999</v>
      </c>
      <c r="G309">
        <v>3131078981720</v>
      </c>
    </row>
    <row r="310" spans="5:7" x14ac:dyDescent="0.25">
      <c r="E310" s="1">
        <v>39142</v>
      </c>
      <c r="F310">
        <v>6.3419220142383796</v>
      </c>
      <c r="G310">
        <v>3112718940458</v>
      </c>
    </row>
    <row r="311" spans="5:7" x14ac:dyDescent="0.25">
      <c r="E311" s="1">
        <v>39173</v>
      </c>
      <c r="F311">
        <v>6.3676971284775501</v>
      </c>
      <c r="G311">
        <v>3191572234535</v>
      </c>
    </row>
    <row r="312" spans="5:7" x14ac:dyDescent="0.25">
      <c r="E312" s="1">
        <v>39203</v>
      </c>
      <c r="F312">
        <v>6.3076348182725299</v>
      </c>
      <c r="G312">
        <v>3856719035971</v>
      </c>
    </row>
    <row r="313" spans="5:7" x14ac:dyDescent="0.25">
      <c r="E313" s="1">
        <v>39234</v>
      </c>
      <c r="F313">
        <v>6.3557357019159699</v>
      </c>
      <c r="G313">
        <v>3889111715202</v>
      </c>
    </row>
    <row r="314" spans="5:7" x14ac:dyDescent="0.25">
      <c r="E314" s="1">
        <v>39264</v>
      </c>
      <c r="F314">
        <v>6.4829232128582799</v>
      </c>
      <c r="G314">
        <v>4084273817272</v>
      </c>
    </row>
    <row r="315" spans="5:7" x14ac:dyDescent="0.25">
      <c r="E315" s="1">
        <v>39295</v>
      </c>
      <c r="F315">
        <v>6.6636103279297796</v>
      </c>
      <c r="G315">
        <v>3714558081268</v>
      </c>
    </row>
    <row r="316" spans="5:7" x14ac:dyDescent="0.25">
      <c r="E316" s="1">
        <v>39326</v>
      </c>
      <c r="F316">
        <v>6.7744809910883204</v>
      </c>
      <c r="G316">
        <v>3876808778490</v>
      </c>
    </row>
    <row r="317" spans="5:7" x14ac:dyDescent="0.25">
      <c r="E317" s="1">
        <v>39356</v>
      </c>
      <c r="F317">
        <v>6.7681198640857296</v>
      </c>
      <c r="G317">
        <v>3557431795143</v>
      </c>
    </row>
    <row r="318" spans="5:7" x14ac:dyDescent="0.25">
      <c r="E318" s="1">
        <v>39387</v>
      </c>
      <c r="F318">
        <v>6.6043001141836797</v>
      </c>
      <c r="G318">
        <v>3990107436049</v>
      </c>
    </row>
    <row r="319" spans="5:7" x14ac:dyDescent="0.25">
      <c r="E319" s="1">
        <v>39417</v>
      </c>
      <c r="F319">
        <v>6.5082446299218102</v>
      </c>
      <c r="G319">
        <v>4513626671991</v>
      </c>
    </row>
    <row r="320" spans="5:7" x14ac:dyDescent="0.25">
      <c r="E320" s="1">
        <v>39448</v>
      </c>
      <c r="F320">
        <v>6.3946131436056097</v>
      </c>
      <c r="G320">
        <v>3702505354521</v>
      </c>
    </row>
    <row r="321" spans="5:7" x14ac:dyDescent="0.25">
      <c r="E321" s="1">
        <v>39479</v>
      </c>
      <c r="F321">
        <v>6.1492485814107702</v>
      </c>
      <c r="G321">
        <v>5148036930751</v>
      </c>
    </row>
    <row r="322" spans="5:7" x14ac:dyDescent="0.25">
      <c r="E322" s="1">
        <v>39508</v>
      </c>
      <c r="F322">
        <v>5.8900228475064198</v>
      </c>
      <c r="G322">
        <v>3221534741698</v>
      </c>
    </row>
    <row r="323" spans="5:7" x14ac:dyDescent="0.25">
      <c r="E323" s="1">
        <v>39539</v>
      </c>
      <c r="F323">
        <v>5.9361640313333499</v>
      </c>
      <c r="G323">
        <v>3522205248690</v>
      </c>
    </row>
    <row r="324" spans="5:7" x14ac:dyDescent="0.25">
      <c r="E324" s="1">
        <v>39569</v>
      </c>
      <c r="F324">
        <v>6.01405192058363</v>
      </c>
      <c r="G324">
        <v>3981976551045</v>
      </c>
    </row>
    <row r="325" spans="5:7" x14ac:dyDescent="0.25">
      <c r="E325" s="1">
        <v>39600</v>
      </c>
      <c r="F325">
        <v>5.99401149130503</v>
      </c>
      <c r="G325">
        <v>3374365090916</v>
      </c>
    </row>
    <row r="326" spans="5:7" x14ac:dyDescent="0.25">
      <c r="E326" s="1">
        <v>39630</v>
      </c>
      <c r="F326">
        <v>6.1169393500164198</v>
      </c>
      <c r="G326">
        <v>2294867021796</v>
      </c>
    </row>
    <row r="327" spans="5:7" x14ac:dyDescent="0.25">
      <c r="E327" s="1">
        <v>39661</v>
      </c>
      <c r="F327">
        <v>6.3342756758093897</v>
      </c>
      <c r="G327">
        <v>1857662960738</v>
      </c>
    </row>
    <row r="328" spans="5:7" x14ac:dyDescent="0.25">
      <c r="E328" s="1">
        <v>39692</v>
      </c>
      <c r="F328">
        <v>6.4530924466433497</v>
      </c>
      <c r="G328">
        <v>2390238612098</v>
      </c>
    </row>
    <row r="329" spans="5:7" x14ac:dyDescent="0.25">
      <c r="E329" s="1">
        <v>39722</v>
      </c>
      <c r="F329">
        <v>6.3436343243934701</v>
      </c>
      <c r="G329">
        <v>1809485335376</v>
      </c>
    </row>
    <row r="330" spans="5:7" x14ac:dyDescent="0.25">
      <c r="E330" s="1">
        <v>39753</v>
      </c>
      <c r="F330">
        <v>6.1366264480720503</v>
      </c>
      <c r="G330">
        <v>1622186684376</v>
      </c>
    </row>
    <row r="331" spans="5:7" x14ac:dyDescent="0.25">
      <c r="E331" s="1">
        <v>39783</v>
      </c>
      <c r="F331">
        <v>5.97504083742629</v>
      </c>
      <c r="G331">
        <v>2721366322163</v>
      </c>
    </row>
    <row r="332" spans="5:7" x14ac:dyDescent="0.25">
      <c r="E332" s="1">
        <v>39814</v>
      </c>
      <c r="F332">
        <v>5.7062395868050197</v>
      </c>
      <c r="G332">
        <v>1501541796854</v>
      </c>
    </row>
    <row r="333" spans="5:7" x14ac:dyDescent="0.25">
      <c r="E333" s="1">
        <v>39845</v>
      </c>
      <c r="F333">
        <v>5.0640383435435696</v>
      </c>
      <c r="G333">
        <v>2950303287329</v>
      </c>
    </row>
    <row r="334" spans="5:7" x14ac:dyDescent="0.25">
      <c r="E334" s="1">
        <v>39873</v>
      </c>
      <c r="F334">
        <v>4.9906923259199898</v>
      </c>
      <c r="G334">
        <v>5853757186779</v>
      </c>
    </row>
    <row r="335" spans="5:7" x14ac:dyDescent="0.25">
      <c r="E335" s="1">
        <v>39904</v>
      </c>
      <c r="F335">
        <v>4.9396221365250499</v>
      </c>
      <c r="G335">
        <v>3359971394564</v>
      </c>
    </row>
    <row r="336" spans="5:7" x14ac:dyDescent="0.25">
      <c r="E336" s="1">
        <v>39934</v>
      </c>
      <c r="F336">
        <v>5.42981062692051</v>
      </c>
      <c r="G336">
        <v>8028147914649</v>
      </c>
    </row>
    <row r="337" spans="5:7" x14ac:dyDescent="0.25">
      <c r="E337" s="1">
        <v>39965</v>
      </c>
      <c r="F337">
        <v>5.0709089851056302</v>
      </c>
      <c r="G337">
        <v>6893297004709</v>
      </c>
    </row>
    <row r="338" spans="5:7" x14ac:dyDescent="0.25">
      <c r="E338" s="1">
        <v>39995</v>
      </c>
      <c r="F338">
        <v>4.8743901246381203</v>
      </c>
      <c r="G338">
        <v>4667159413350</v>
      </c>
    </row>
    <row r="339" spans="5:7" x14ac:dyDescent="0.25">
      <c r="E339" s="1">
        <v>40026</v>
      </c>
      <c r="F339">
        <v>5.0117457844567896</v>
      </c>
      <c r="G339">
        <v>3379033867087</v>
      </c>
    </row>
    <row r="340" spans="5:7" x14ac:dyDescent="0.25">
      <c r="E340" s="1">
        <v>40057</v>
      </c>
      <c r="F340">
        <v>5.2754165130291399</v>
      </c>
      <c r="G340">
        <v>3206873292784</v>
      </c>
    </row>
    <row r="341" spans="5:7" x14ac:dyDescent="0.25">
      <c r="E341" s="1">
        <v>40087</v>
      </c>
      <c r="F341">
        <v>5.1437375107246996</v>
      </c>
      <c r="G341">
        <v>1779957894547</v>
      </c>
    </row>
    <row r="342" spans="5:7" x14ac:dyDescent="0.25">
      <c r="E342" s="1">
        <v>40118</v>
      </c>
      <c r="F342">
        <v>5.1227940946666299</v>
      </c>
      <c r="G342">
        <v>1842241300351</v>
      </c>
    </row>
    <row r="343" spans="5:7" x14ac:dyDescent="0.25">
      <c r="E343" s="1">
        <v>40148</v>
      </c>
      <c r="F343">
        <v>5.0644022910284301</v>
      </c>
      <c r="G343">
        <v>2302033438060</v>
      </c>
    </row>
    <row r="344" spans="5:7" x14ac:dyDescent="0.25">
      <c r="E344" s="1">
        <v>40179</v>
      </c>
      <c r="F344">
        <v>5.050735856298</v>
      </c>
      <c r="G344">
        <v>1813910463627</v>
      </c>
    </row>
    <row r="345" spans="5:7" x14ac:dyDescent="0.25">
      <c r="E345" s="1">
        <v>40210</v>
      </c>
      <c r="F345">
        <v>5.0377067030616098</v>
      </c>
      <c r="G345">
        <v>1818358906854</v>
      </c>
    </row>
    <row r="346" spans="5:7" x14ac:dyDescent="0.25">
      <c r="E346" s="1">
        <v>40238</v>
      </c>
      <c r="F346">
        <v>5.1055540771484802</v>
      </c>
      <c r="G346">
        <v>1500343861096</v>
      </c>
    </row>
    <row r="347" spans="5:7" x14ac:dyDescent="0.25">
      <c r="E347" s="1">
        <v>40269</v>
      </c>
      <c r="F347">
        <v>5.1108375047646097</v>
      </c>
      <c r="G347">
        <v>1541450617485</v>
      </c>
    </row>
    <row r="348" spans="5:7" x14ac:dyDescent="0.25">
      <c r="E348" s="1">
        <v>40299</v>
      </c>
      <c r="F348">
        <v>5.1452044317440198</v>
      </c>
      <c r="G348">
        <v>1433040402204</v>
      </c>
    </row>
    <row r="349" spans="5:7" x14ac:dyDescent="0.25">
      <c r="E349" s="1">
        <v>40330</v>
      </c>
      <c r="F349">
        <v>5.1800008223351597</v>
      </c>
      <c r="G349">
        <v>1673332896166</v>
      </c>
    </row>
    <row r="350" spans="5:7" x14ac:dyDescent="0.25">
      <c r="E350" s="1">
        <v>40360</v>
      </c>
      <c r="F350">
        <v>5.05893153166061</v>
      </c>
      <c r="G350">
        <v>1535558684574</v>
      </c>
    </row>
    <row r="351" spans="5:7" x14ac:dyDescent="0.25">
      <c r="E351" s="1">
        <v>40391</v>
      </c>
      <c r="F351">
        <v>4.8752305579968596</v>
      </c>
      <c r="G351">
        <v>1677567619594</v>
      </c>
    </row>
    <row r="352" spans="5:7" x14ac:dyDescent="0.25">
      <c r="E352" s="1">
        <v>40422</v>
      </c>
      <c r="F352">
        <v>4.7222358319862998</v>
      </c>
      <c r="G352">
        <v>2546468934090</v>
      </c>
    </row>
    <row r="353" spans="5:7" x14ac:dyDescent="0.25">
      <c r="E353" s="1">
        <v>40452</v>
      </c>
      <c r="F353">
        <v>4.6074743369174298</v>
      </c>
      <c r="G353">
        <v>2414905000538</v>
      </c>
    </row>
    <row r="354" spans="5:7" x14ac:dyDescent="0.25">
      <c r="E354" s="1">
        <v>40483</v>
      </c>
      <c r="F354">
        <v>4.5383501216630604</v>
      </c>
      <c r="G354">
        <v>2342389317884</v>
      </c>
    </row>
    <row r="355" spans="5:7" x14ac:dyDescent="0.25">
      <c r="E355" s="1">
        <v>40513</v>
      </c>
      <c r="F355">
        <v>4.4591751002379896</v>
      </c>
      <c r="G355">
        <v>2627747532710</v>
      </c>
    </row>
    <row r="356" spans="5:7" x14ac:dyDescent="0.25">
      <c r="E356" s="1">
        <v>40544</v>
      </c>
      <c r="F356">
        <v>4.4811424452986204</v>
      </c>
      <c r="G356">
        <v>2006256093028</v>
      </c>
    </row>
    <row r="357" spans="5:7" x14ac:dyDescent="0.25">
      <c r="E357" s="1">
        <v>40575</v>
      </c>
      <c r="F357">
        <v>4.6316240644640896</v>
      </c>
      <c r="G357">
        <v>1618283929140</v>
      </c>
    </row>
    <row r="358" spans="5:7" x14ac:dyDescent="0.25">
      <c r="E358" s="1">
        <v>40603</v>
      </c>
      <c r="F358">
        <v>4.88809460608927</v>
      </c>
      <c r="G358">
        <v>1782147900972</v>
      </c>
    </row>
    <row r="359" spans="5:7" x14ac:dyDescent="0.25">
      <c r="E359" s="1">
        <v>40634</v>
      </c>
      <c r="F359">
        <v>5.0196274076255598</v>
      </c>
      <c r="G359">
        <v>1002941442633</v>
      </c>
    </row>
    <row r="360" spans="5:7" x14ac:dyDescent="0.25">
      <c r="E360" s="1">
        <v>40664</v>
      </c>
      <c r="F360">
        <v>5.0696587978699199</v>
      </c>
      <c r="G360">
        <v>937394066360</v>
      </c>
    </row>
    <row r="361" spans="5:7" x14ac:dyDescent="0.25">
      <c r="E361" s="1">
        <v>40695</v>
      </c>
      <c r="F361">
        <v>5.0513520909684004</v>
      </c>
      <c r="G361">
        <v>1057270588077</v>
      </c>
    </row>
    <row r="362" spans="5:7" x14ac:dyDescent="0.25">
      <c r="E362" s="1">
        <v>40725</v>
      </c>
      <c r="F362">
        <v>4.9059141374806101</v>
      </c>
      <c r="G362">
        <v>801193279407</v>
      </c>
    </row>
    <row r="363" spans="5:7" x14ac:dyDescent="0.25">
      <c r="E363" s="1">
        <v>40756</v>
      </c>
      <c r="F363">
        <v>4.8611814894636298</v>
      </c>
      <c r="G363">
        <v>1041264172252</v>
      </c>
    </row>
    <row r="364" spans="5:7" x14ac:dyDescent="0.25">
      <c r="E364" s="1">
        <v>40787</v>
      </c>
      <c r="F364">
        <v>4.7117533524514803</v>
      </c>
      <c r="G364">
        <v>1196177175773</v>
      </c>
    </row>
    <row r="365" spans="5:7" x14ac:dyDescent="0.25">
      <c r="E365" s="1">
        <v>40817</v>
      </c>
      <c r="F365">
        <v>4.4792574645229504</v>
      </c>
      <c r="G365">
        <v>1149527195035</v>
      </c>
    </row>
    <row r="366" spans="5:7" x14ac:dyDescent="0.25">
      <c r="E366" s="1">
        <v>40848</v>
      </c>
      <c r="F366">
        <v>4.3486808527347698</v>
      </c>
      <c r="G366">
        <v>1489713304885</v>
      </c>
    </row>
    <row r="367" spans="5:7" x14ac:dyDescent="0.25">
      <c r="E367" s="1">
        <v>40878</v>
      </c>
      <c r="F367">
        <v>4.2956191820380196</v>
      </c>
      <c r="G367">
        <v>2115840513550</v>
      </c>
    </row>
    <row r="368" spans="5:7" x14ac:dyDescent="0.25">
      <c r="E368" s="1">
        <v>40909</v>
      </c>
      <c r="F368">
        <v>4.2662558375731203</v>
      </c>
      <c r="G368">
        <v>1470362937527</v>
      </c>
    </row>
    <row r="369" spans="5:7" x14ac:dyDescent="0.25">
      <c r="E369" s="1">
        <v>40940</v>
      </c>
      <c r="F369">
        <v>4.1988423421672696</v>
      </c>
      <c r="G369">
        <v>1488515956488</v>
      </c>
    </row>
    <row r="370" spans="5:7" x14ac:dyDescent="0.25">
      <c r="E370" s="1">
        <v>40969</v>
      </c>
      <c r="F370">
        <v>4.1335475127368202</v>
      </c>
      <c r="G370">
        <v>2469703765013</v>
      </c>
    </row>
    <row r="371" spans="5:7" x14ac:dyDescent="0.25">
      <c r="E371" s="1">
        <v>41000</v>
      </c>
      <c r="F371">
        <v>4.1068821031480702</v>
      </c>
      <c r="G371">
        <v>1201132194126</v>
      </c>
    </row>
    <row r="372" spans="5:7" x14ac:dyDescent="0.25">
      <c r="E372" s="1">
        <v>41030</v>
      </c>
      <c r="F372">
        <v>4.1950483108655101</v>
      </c>
      <c r="G372">
        <v>1800128260667</v>
      </c>
    </row>
    <row r="373" spans="5:7" x14ac:dyDescent="0.25">
      <c r="E373" s="1">
        <v>41061</v>
      </c>
      <c r="F373">
        <v>4.1647582079834304</v>
      </c>
      <c r="G373">
        <v>1375349122087</v>
      </c>
    </row>
    <row r="374" spans="5:7" x14ac:dyDescent="0.25">
      <c r="E374" s="1">
        <v>41091</v>
      </c>
      <c r="F374">
        <v>4.0279854150544798</v>
      </c>
      <c r="G374">
        <v>1609307976891</v>
      </c>
    </row>
    <row r="375" spans="5:7" x14ac:dyDescent="0.25">
      <c r="E375" s="1">
        <v>41122</v>
      </c>
      <c r="F375">
        <v>3.9086468707572299</v>
      </c>
      <c r="G375">
        <v>1764665531700</v>
      </c>
    </row>
    <row r="376" spans="5:7" x14ac:dyDescent="0.25">
      <c r="E376" s="1">
        <v>41153</v>
      </c>
      <c r="F376">
        <v>3.8525924938607199</v>
      </c>
      <c r="G376">
        <v>1875760198228</v>
      </c>
    </row>
    <row r="377" spans="5:7" x14ac:dyDescent="0.25">
      <c r="E377" s="1">
        <v>41183</v>
      </c>
      <c r="F377">
        <v>3.7877571784770701</v>
      </c>
      <c r="G377">
        <v>1244771611836</v>
      </c>
    </row>
    <row r="378" spans="5:7" x14ac:dyDescent="0.25">
      <c r="E378" s="1">
        <v>41214</v>
      </c>
      <c r="F378">
        <v>3.6987217336749101</v>
      </c>
      <c r="G378">
        <v>2348734551432</v>
      </c>
    </row>
    <row r="379" spans="5:7" x14ac:dyDescent="0.25">
      <c r="E379" s="1">
        <v>41244</v>
      </c>
      <c r="F379">
        <v>3.6250487711041499</v>
      </c>
      <c r="G379">
        <v>1335066165439</v>
      </c>
    </row>
    <row r="380" spans="5:7" x14ac:dyDescent="0.25">
      <c r="E380" s="1">
        <v>41275</v>
      </c>
      <c r="F380">
        <v>3.6027244047903801</v>
      </c>
      <c r="G380">
        <v>1708865570225</v>
      </c>
    </row>
    <row r="381" spans="5:7" x14ac:dyDescent="0.25">
      <c r="E381" s="1">
        <v>41306</v>
      </c>
      <c r="F381">
        <v>3.6001485420462198</v>
      </c>
      <c r="G381">
        <v>1610827278774</v>
      </c>
    </row>
    <row r="382" spans="5:7" x14ac:dyDescent="0.25">
      <c r="E382" s="1">
        <v>41334</v>
      </c>
      <c r="F382">
        <v>3.6900046384013798</v>
      </c>
      <c r="G382">
        <v>1238384701197</v>
      </c>
    </row>
    <row r="383" spans="5:7" x14ac:dyDescent="0.25">
      <c r="E383" s="1">
        <v>41365</v>
      </c>
      <c r="F383">
        <v>3.78392164962702</v>
      </c>
      <c r="G383">
        <v>1356697783142</v>
      </c>
    </row>
    <row r="384" spans="5:7" x14ac:dyDescent="0.25">
      <c r="E384" s="1">
        <v>41395</v>
      </c>
      <c r="F384">
        <v>3.8002777092854898</v>
      </c>
      <c r="G384">
        <v>1409366901392</v>
      </c>
    </row>
    <row r="385" spans="5:7" x14ac:dyDescent="0.25">
      <c r="E385" s="1">
        <v>41426</v>
      </c>
      <c r="F385">
        <v>3.7830909447369798</v>
      </c>
      <c r="G385">
        <v>1228164572670</v>
      </c>
    </row>
    <row r="386" spans="5:7" x14ac:dyDescent="0.25">
      <c r="E386" s="1">
        <v>41456</v>
      </c>
      <c r="F386">
        <v>3.8522809178064001</v>
      </c>
      <c r="G386">
        <v>1317241098500</v>
      </c>
    </row>
    <row r="387" spans="5:7" x14ac:dyDescent="0.25">
      <c r="E387" s="1">
        <v>41487</v>
      </c>
      <c r="F387">
        <v>4.1579401434403396</v>
      </c>
      <c r="G387">
        <v>1136305525224</v>
      </c>
    </row>
    <row r="388" spans="5:7" x14ac:dyDescent="0.25">
      <c r="E388" s="1">
        <v>41518</v>
      </c>
      <c r="F388">
        <v>4.4621782771519998</v>
      </c>
      <c r="G388">
        <v>916902623412</v>
      </c>
    </row>
    <row r="389" spans="5:7" x14ac:dyDescent="0.25">
      <c r="E389" s="1">
        <v>41548</v>
      </c>
      <c r="F389">
        <v>4.6608916850134898</v>
      </c>
      <c r="G389">
        <v>809111129193</v>
      </c>
    </row>
    <row r="390" spans="5:7" x14ac:dyDescent="0.25">
      <c r="E390" s="1">
        <v>41579</v>
      </c>
      <c r="F390">
        <v>4.6564026185456502</v>
      </c>
      <c r="G390">
        <v>645563534930</v>
      </c>
    </row>
    <row r="391" spans="5:7" x14ac:dyDescent="0.25">
      <c r="E391" s="1">
        <v>41609</v>
      </c>
      <c r="F391">
        <v>4.5811645646110204</v>
      </c>
      <c r="G391">
        <v>552584438936</v>
      </c>
    </row>
    <row r="392" spans="5:7" x14ac:dyDescent="0.25">
      <c r="E392" s="1">
        <v>41640</v>
      </c>
      <c r="F392">
        <v>4.6077438047237802</v>
      </c>
      <c r="G392">
        <v>407241232421</v>
      </c>
    </row>
    <row r="393" spans="5:7" x14ac:dyDescent="0.25">
      <c r="E393" s="1">
        <v>41671</v>
      </c>
      <c r="F393">
        <v>4.6775584423655499</v>
      </c>
      <c r="G393">
        <v>392473522256</v>
      </c>
    </row>
    <row r="394" spans="5:7" x14ac:dyDescent="0.25">
      <c r="E394" s="1">
        <v>41699</v>
      </c>
      <c r="F394">
        <v>4.6946958624217601</v>
      </c>
      <c r="G394">
        <v>322356172803</v>
      </c>
    </row>
    <row r="395" spans="5:7" x14ac:dyDescent="0.25">
      <c r="E395" s="1">
        <v>41730</v>
      </c>
      <c r="F395">
        <v>4.6366804995907298</v>
      </c>
      <c r="G395">
        <v>362745448978</v>
      </c>
    </row>
    <row r="396" spans="5:7" x14ac:dyDescent="0.25">
      <c r="E396" s="1">
        <v>41760</v>
      </c>
      <c r="F396">
        <v>4.6428241107123496</v>
      </c>
      <c r="G396">
        <v>345463488199</v>
      </c>
    </row>
    <row r="397" spans="5:7" x14ac:dyDescent="0.25">
      <c r="E397" s="1">
        <v>41791</v>
      </c>
      <c r="F397">
        <v>4.5988964730096296</v>
      </c>
      <c r="G397">
        <v>385561860792</v>
      </c>
    </row>
    <row r="398" spans="5:7" x14ac:dyDescent="0.25">
      <c r="E398" s="1">
        <v>41821</v>
      </c>
      <c r="F398">
        <v>4.5200335295564997</v>
      </c>
      <c r="G398">
        <v>421071704481</v>
      </c>
    </row>
    <row r="399" spans="5:7" x14ac:dyDescent="0.25">
      <c r="E399" s="1">
        <v>41852</v>
      </c>
      <c r="F399">
        <v>4.4681995477488003</v>
      </c>
      <c r="G399">
        <v>376335044137</v>
      </c>
    </row>
    <row r="400" spans="5:7" x14ac:dyDescent="0.25">
      <c r="E400" s="1">
        <v>41883</v>
      </c>
      <c r="F400">
        <v>4.4355356568817097</v>
      </c>
      <c r="G400">
        <v>410279054336</v>
      </c>
    </row>
    <row r="401" spans="5:7" x14ac:dyDescent="0.25">
      <c r="E401" s="1">
        <v>41913</v>
      </c>
      <c r="F401">
        <v>4.4756207173094804</v>
      </c>
      <c r="G401">
        <v>389985074882</v>
      </c>
    </row>
    <row r="402" spans="5:7" x14ac:dyDescent="0.25">
      <c r="E402" s="1">
        <v>41944</v>
      </c>
      <c r="F402">
        <v>4.4883370685343502</v>
      </c>
      <c r="G402">
        <v>278793550064</v>
      </c>
    </row>
    <row r="403" spans="5:7" x14ac:dyDescent="0.25">
      <c r="E403" s="1">
        <v>41974</v>
      </c>
      <c r="F403">
        <v>4.3629145938798297</v>
      </c>
      <c r="G403">
        <v>365329923904</v>
      </c>
    </row>
    <row r="404" spans="5:7" x14ac:dyDescent="0.25">
      <c r="E404" s="1">
        <v>42005</v>
      </c>
      <c r="F404">
        <v>4.3011500305881896</v>
      </c>
      <c r="G404">
        <v>281003005822</v>
      </c>
    </row>
    <row r="405" spans="5:7" x14ac:dyDescent="0.25">
      <c r="E405" s="1">
        <v>42036</v>
      </c>
      <c r="F405">
        <v>4.2096690729955704</v>
      </c>
      <c r="G405">
        <v>244669329543</v>
      </c>
    </row>
    <row r="406" spans="5:7" x14ac:dyDescent="0.25">
      <c r="E406" s="1">
        <v>42064</v>
      </c>
      <c r="F406">
        <v>4.0329850466226498</v>
      </c>
      <c r="G406">
        <v>278446338711</v>
      </c>
    </row>
    <row r="407" spans="5:7" x14ac:dyDescent="0.25">
      <c r="E407" s="1">
        <v>42095</v>
      </c>
      <c r="F407">
        <v>4.0070633221616401</v>
      </c>
      <c r="G407">
        <v>263205961480</v>
      </c>
    </row>
    <row r="408" spans="5:7" x14ac:dyDescent="0.25">
      <c r="E408" s="1">
        <v>42125</v>
      </c>
      <c r="F408">
        <v>4.0535036903429402</v>
      </c>
      <c r="G408">
        <v>213144296708</v>
      </c>
    </row>
    <row r="409" spans="5:7" x14ac:dyDescent="0.25">
      <c r="E409" s="1">
        <v>42156</v>
      </c>
      <c r="F409">
        <v>4.0389687442882796</v>
      </c>
      <c r="G409">
        <v>182843691528</v>
      </c>
    </row>
    <row r="410" spans="5:7" x14ac:dyDescent="0.25">
      <c r="E410" s="1">
        <v>42186</v>
      </c>
      <c r="F410">
        <v>4.1103325603782999</v>
      </c>
      <c r="G410">
        <v>167150174301</v>
      </c>
    </row>
    <row r="411" spans="5:7" x14ac:dyDescent="0.25">
      <c r="E411" s="1">
        <v>42217</v>
      </c>
      <c r="F411">
        <v>4.2555873644735902</v>
      </c>
      <c r="G411">
        <v>112160715334</v>
      </c>
    </row>
    <row r="412" spans="5:7" x14ac:dyDescent="0.25">
      <c r="E412" s="1">
        <v>42248</v>
      </c>
      <c r="F412">
        <v>4.2691977508419399</v>
      </c>
      <c r="G412">
        <v>100425359554</v>
      </c>
    </row>
    <row r="413" spans="5:7" x14ac:dyDescent="0.25">
      <c r="E413" s="1">
        <v>42278</v>
      </c>
      <c r="F413">
        <v>4.2544941345304697</v>
      </c>
      <c r="G413">
        <v>61126860733</v>
      </c>
    </row>
    <row r="414" spans="5:7" x14ac:dyDescent="0.25">
      <c r="E414" s="1">
        <v>42309</v>
      </c>
      <c r="F414">
        <v>4.2217044865697799</v>
      </c>
      <c r="G414">
        <v>19361228381</v>
      </c>
    </row>
    <row r="415" spans="5:7" x14ac:dyDescent="0.25">
      <c r="E415" s="1">
        <v>42339</v>
      </c>
      <c r="F415">
        <v>4.1798344701624197</v>
      </c>
      <c r="G415">
        <v>9435742721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"/>
  <sheetViews>
    <sheetView workbookViewId="0">
      <selection activeCell="N88" sqref="N88"/>
    </sheetView>
  </sheetViews>
  <sheetFormatPr defaultRowHeight="15" x14ac:dyDescent="0.25"/>
  <cols>
    <col min="1" max="1" width="9.7109375" bestFit="1" customWidth="1"/>
    <col min="5" max="5" width="9.7109375" bestFit="1" customWidth="1"/>
    <col min="10" max="10" width="9.7109375" bestFit="1" customWidth="1"/>
  </cols>
  <sheetData>
    <row r="1" spans="1:13" x14ac:dyDescent="0.25">
      <c r="A1" t="s">
        <v>3</v>
      </c>
      <c r="E1" t="s">
        <v>2</v>
      </c>
      <c r="M1" t="s">
        <v>6</v>
      </c>
    </row>
    <row r="2" spans="1:13" x14ac:dyDescent="0.25">
      <c r="A2" t="s">
        <v>0</v>
      </c>
      <c r="B2" t="s">
        <v>1</v>
      </c>
      <c r="C2" t="s">
        <v>7</v>
      </c>
      <c r="E2" t="s">
        <v>0</v>
      </c>
      <c r="F2" t="s">
        <v>1</v>
      </c>
      <c r="G2" t="s">
        <v>7</v>
      </c>
      <c r="J2" t="s">
        <v>0</v>
      </c>
      <c r="K2" t="s">
        <v>3</v>
      </c>
      <c r="L2" t="s">
        <v>2</v>
      </c>
      <c r="M2" t="s">
        <v>5</v>
      </c>
    </row>
    <row r="3" spans="1:13" x14ac:dyDescent="0.25">
      <c r="A3" s="1">
        <v>37712</v>
      </c>
      <c r="B3">
        <v>5.87062348884219</v>
      </c>
      <c r="C3">
        <v>3048954793.5799999</v>
      </c>
      <c r="E3" s="1">
        <v>39569</v>
      </c>
      <c r="F3">
        <v>6.375</v>
      </c>
      <c r="G3">
        <v>729750</v>
      </c>
      <c r="J3" s="1">
        <f>E3</f>
        <v>39569</v>
      </c>
      <c r="K3" s="2">
        <f>VLOOKUP(J3,A:B,2,0)</f>
        <v>5.9274628340286801</v>
      </c>
      <c r="L3" s="2">
        <f>VLOOKUP(J3,E:F,2,0)</f>
        <v>6.375</v>
      </c>
      <c r="M3" s="3">
        <f>(L3-K3)*100</f>
        <v>44.753716597131984</v>
      </c>
    </row>
    <row r="4" spans="1:13" x14ac:dyDescent="0.25">
      <c r="A4" s="1">
        <v>37742</v>
      </c>
      <c r="B4">
        <v>5.8042262290086599</v>
      </c>
      <c r="C4">
        <v>3199812419.5700002</v>
      </c>
      <c r="E4" s="1">
        <v>39600</v>
      </c>
      <c r="F4">
        <v>6.1207842957944996</v>
      </c>
      <c r="G4">
        <v>9896330</v>
      </c>
      <c r="J4" s="1">
        <f t="shared" ref="J4:J67" si="0">E4</f>
        <v>39600</v>
      </c>
      <c r="K4" s="2">
        <f t="shared" ref="K4:K67" si="1">VLOOKUP(J4,A:B,2,0)</f>
        <v>5.9458349532352903</v>
      </c>
      <c r="L4" s="2">
        <f t="shared" ref="L4:L67" si="2">VLOOKUP(J4,E:F,2,0)</f>
        <v>6.1207842957944996</v>
      </c>
      <c r="M4" s="3">
        <f t="shared" ref="M4:M67" si="3">(L4-K4)*100</f>
        <v>17.494934255920924</v>
      </c>
    </row>
    <row r="5" spans="1:13" x14ac:dyDescent="0.25">
      <c r="A5" s="1">
        <v>37773</v>
      </c>
      <c r="B5">
        <v>5.73857703201476</v>
      </c>
      <c r="C5">
        <v>4025340311.9000001</v>
      </c>
      <c r="E5" s="1">
        <v>39630</v>
      </c>
      <c r="F5">
        <v>6.0272391118540698</v>
      </c>
      <c r="G5">
        <v>58809255</v>
      </c>
      <c r="J5" s="1">
        <f t="shared" si="0"/>
        <v>39630</v>
      </c>
      <c r="K5" s="2">
        <f t="shared" si="1"/>
        <v>6.0674344668909299</v>
      </c>
      <c r="L5" s="2">
        <f t="shared" si="2"/>
        <v>6.0272391118540698</v>
      </c>
      <c r="M5" s="3">
        <f t="shared" si="3"/>
        <v>-4.0195355036860114</v>
      </c>
    </row>
    <row r="6" spans="1:13" x14ac:dyDescent="0.25">
      <c r="A6" s="1">
        <v>37803</v>
      </c>
      <c r="B6">
        <v>5.53211430599666</v>
      </c>
      <c r="C6">
        <v>4764269341.1599998</v>
      </c>
      <c r="E6" s="1">
        <v>39661</v>
      </c>
      <c r="F6">
        <v>6.2463677258723802</v>
      </c>
      <c r="G6">
        <v>54479093</v>
      </c>
      <c r="J6" s="1">
        <f t="shared" si="0"/>
        <v>39661</v>
      </c>
      <c r="K6" s="2">
        <f t="shared" si="1"/>
        <v>6.2795147386500103</v>
      </c>
      <c r="L6" s="2">
        <f t="shared" si="2"/>
        <v>6.2463677258723802</v>
      </c>
      <c r="M6" s="3">
        <f t="shared" si="3"/>
        <v>-3.3147012777630103</v>
      </c>
    </row>
    <row r="7" spans="1:13" x14ac:dyDescent="0.25">
      <c r="A7" s="1">
        <v>37834</v>
      </c>
      <c r="B7">
        <v>5.3797209120287004</v>
      </c>
      <c r="C7">
        <v>5299585114.6099997</v>
      </c>
      <c r="E7" s="1">
        <v>39692</v>
      </c>
      <c r="F7">
        <v>6.3732196824235601</v>
      </c>
      <c r="G7">
        <v>42211570</v>
      </c>
      <c r="J7" s="1">
        <f t="shared" si="0"/>
        <v>39692</v>
      </c>
      <c r="K7" s="2">
        <f t="shared" si="1"/>
        <v>6.3812316732204897</v>
      </c>
      <c r="L7" s="2">
        <f t="shared" si="2"/>
        <v>6.3732196824235601</v>
      </c>
      <c r="M7" s="3">
        <f t="shared" si="3"/>
        <v>-0.80119907969296023</v>
      </c>
    </row>
    <row r="8" spans="1:13" x14ac:dyDescent="0.25">
      <c r="A8" s="1">
        <v>37865</v>
      </c>
      <c r="B8">
        <v>5.42506994613617</v>
      </c>
      <c r="C8">
        <v>5112012627.4099998</v>
      </c>
      <c r="E8" s="1">
        <v>39722</v>
      </c>
      <c r="F8">
        <v>6.3779126220758799</v>
      </c>
      <c r="G8">
        <v>38948110</v>
      </c>
      <c r="J8" s="1">
        <f t="shared" si="0"/>
        <v>39722</v>
      </c>
      <c r="K8" s="2">
        <f t="shared" si="1"/>
        <v>6.2765467271439004</v>
      </c>
      <c r="L8" s="2">
        <f t="shared" si="2"/>
        <v>6.3779126220758799</v>
      </c>
      <c r="M8" s="3">
        <f t="shared" si="3"/>
        <v>10.136589493197956</v>
      </c>
    </row>
    <row r="9" spans="1:13" x14ac:dyDescent="0.25">
      <c r="A9" s="1">
        <v>37895</v>
      </c>
      <c r="B9">
        <v>5.62208352700564</v>
      </c>
      <c r="C9">
        <v>2995388887.8499999</v>
      </c>
      <c r="E9" s="1">
        <v>39783</v>
      </c>
      <c r="F9">
        <v>6.9471370604147804</v>
      </c>
      <c r="G9">
        <v>1109000</v>
      </c>
      <c r="J9" s="1">
        <f t="shared" si="0"/>
        <v>39783</v>
      </c>
      <c r="K9" s="2">
        <f t="shared" si="1"/>
        <v>5.8893627476589296</v>
      </c>
      <c r="L9" s="2">
        <f t="shared" si="2"/>
        <v>6.9471370604147804</v>
      </c>
      <c r="M9" s="3">
        <f t="shared" si="3"/>
        <v>105.77743127558507</v>
      </c>
    </row>
    <row r="10" spans="1:13" x14ac:dyDescent="0.25">
      <c r="A10" s="1">
        <v>37926</v>
      </c>
      <c r="B10">
        <v>5.7618270210910696</v>
      </c>
      <c r="C10">
        <v>2131374574.1500001</v>
      </c>
      <c r="E10" s="1">
        <v>39845</v>
      </c>
      <c r="F10">
        <v>5.4519098673297401</v>
      </c>
      <c r="G10">
        <v>43116974</v>
      </c>
      <c r="J10" s="1">
        <f t="shared" si="0"/>
        <v>39845</v>
      </c>
      <c r="K10" s="2">
        <f t="shared" si="1"/>
        <v>4.9399991412112501</v>
      </c>
      <c r="L10" s="2">
        <f t="shared" si="2"/>
        <v>5.4519098673297401</v>
      </c>
      <c r="M10" s="3">
        <f t="shared" si="3"/>
        <v>51.191072611849009</v>
      </c>
    </row>
    <row r="11" spans="1:13" x14ac:dyDescent="0.25">
      <c r="A11" s="1">
        <v>37956</v>
      </c>
      <c r="B11">
        <v>5.8363674797677003</v>
      </c>
      <c r="C11">
        <v>1937147358.1199999</v>
      </c>
      <c r="E11" s="1">
        <v>39873</v>
      </c>
      <c r="F11">
        <v>5.09358640772792</v>
      </c>
      <c r="G11">
        <v>69046087</v>
      </c>
      <c r="J11" s="1">
        <f t="shared" si="0"/>
        <v>39873</v>
      </c>
      <c r="K11" s="2">
        <f t="shared" si="1"/>
        <v>4.8785216825224902</v>
      </c>
      <c r="L11" s="2">
        <f t="shared" si="2"/>
        <v>5.09358640772792</v>
      </c>
      <c r="M11" s="3">
        <f t="shared" si="3"/>
        <v>21.506472520542985</v>
      </c>
    </row>
    <row r="12" spans="1:13" x14ac:dyDescent="0.25">
      <c r="A12" s="1">
        <v>37987</v>
      </c>
      <c r="B12">
        <v>5.9033937364015596</v>
      </c>
      <c r="C12">
        <v>1508048942.53</v>
      </c>
      <c r="E12" s="1">
        <v>39904</v>
      </c>
      <c r="F12">
        <v>4.9508346317538798</v>
      </c>
      <c r="G12">
        <v>66779211</v>
      </c>
      <c r="J12" s="1">
        <f t="shared" si="0"/>
        <v>39904</v>
      </c>
      <c r="K12" s="2">
        <f t="shared" si="1"/>
        <v>4.8638683094476498</v>
      </c>
      <c r="L12" s="2">
        <f t="shared" si="2"/>
        <v>4.9508346317538798</v>
      </c>
      <c r="M12" s="3">
        <f t="shared" si="3"/>
        <v>8.6966322306230026</v>
      </c>
    </row>
    <row r="13" spans="1:13" x14ac:dyDescent="0.25">
      <c r="A13" s="1">
        <v>38018</v>
      </c>
      <c r="B13">
        <v>5.7993088486677697</v>
      </c>
      <c r="C13">
        <v>1578011329.2</v>
      </c>
      <c r="E13" s="1">
        <v>39934</v>
      </c>
      <c r="F13">
        <v>5.7232104675092996</v>
      </c>
      <c r="G13">
        <v>270452394</v>
      </c>
      <c r="J13" s="1">
        <f t="shared" si="0"/>
        <v>39934</v>
      </c>
      <c r="K13" s="2">
        <f t="shared" si="1"/>
        <v>5.1680404365589201</v>
      </c>
      <c r="L13" s="2">
        <f t="shared" si="2"/>
        <v>5.7232104675092996</v>
      </c>
      <c r="M13" s="3">
        <f t="shared" si="3"/>
        <v>55.51700309503795</v>
      </c>
    </row>
    <row r="14" spans="1:13" x14ac:dyDescent="0.25">
      <c r="A14" s="1">
        <v>38047</v>
      </c>
      <c r="B14">
        <v>5.7619759268411599</v>
      </c>
      <c r="C14">
        <v>1694976941.49</v>
      </c>
      <c r="E14" s="1">
        <v>39965</v>
      </c>
      <c r="F14">
        <v>5.5728934529074401</v>
      </c>
      <c r="G14">
        <v>148386924.31999999</v>
      </c>
      <c r="J14" s="1">
        <f t="shared" si="0"/>
        <v>39965</v>
      </c>
      <c r="K14" s="2">
        <f t="shared" si="1"/>
        <v>4.82928089683449</v>
      </c>
      <c r="L14" s="2">
        <f t="shared" si="2"/>
        <v>5.5728934529074401</v>
      </c>
      <c r="M14" s="3">
        <f t="shared" si="3"/>
        <v>74.361255607295007</v>
      </c>
    </row>
    <row r="15" spans="1:13" x14ac:dyDescent="0.25">
      <c r="A15" s="1">
        <v>38078</v>
      </c>
      <c r="B15">
        <v>5.6343373608710703</v>
      </c>
      <c r="C15">
        <v>2399590912.1300001</v>
      </c>
      <c r="E15" s="1">
        <v>39995</v>
      </c>
      <c r="F15">
        <v>5.1201097430824696</v>
      </c>
      <c r="G15">
        <v>269640697.45999998</v>
      </c>
      <c r="J15" s="1">
        <f t="shared" si="0"/>
        <v>39995</v>
      </c>
      <c r="K15" s="2">
        <f t="shared" si="1"/>
        <v>4.7871995841758697</v>
      </c>
      <c r="L15" s="2">
        <f t="shared" si="2"/>
        <v>5.1201097430824696</v>
      </c>
      <c r="M15" s="3">
        <f t="shared" si="3"/>
        <v>33.291015890659992</v>
      </c>
    </row>
    <row r="16" spans="1:13" x14ac:dyDescent="0.25">
      <c r="A16" s="1">
        <v>38108</v>
      </c>
      <c r="B16">
        <v>5.5572284144739497</v>
      </c>
      <c r="C16">
        <v>2394366214.48</v>
      </c>
      <c r="E16" s="1">
        <v>40026</v>
      </c>
      <c r="F16">
        <v>5.14762339195258</v>
      </c>
      <c r="G16">
        <v>385157526.92000002</v>
      </c>
      <c r="J16" s="1">
        <f t="shared" si="0"/>
        <v>40026</v>
      </c>
      <c r="K16" s="2">
        <f t="shared" si="1"/>
        <v>4.9368061616734504</v>
      </c>
      <c r="L16" s="2">
        <f t="shared" si="2"/>
        <v>5.14762339195258</v>
      </c>
      <c r="M16" s="3">
        <f t="shared" si="3"/>
        <v>21.081723027912957</v>
      </c>
    </row>
    <row r="17" spans="1:13" x14ac:dyDescent="0.25">
      <c r="A17" s="1">
        <v>38139</v>
      </c>
      <c r="B17">
        <v>5.7393166002015299</v>
      </c>
      <c r="C17">
        <v>2066960807.0799999</v>
      </c>
      <c r="E17" s="1">
        <v>40057</v>
      </c>
      <c r="F17">
        <v>5.1557558175258498</v>
      </c>
      <c r="G17">
        <v>638687483.79999995</v>
      </c>
      <c r="J17" s="1">
        <f t="shared" si="0"/>
        <v>40057</v>
      </c>
      <c r="K17" s="2">
        <f t="shared" si="1"/>
        <v>5.0925576120776403</v>
      </c>
      <c r="L17" s="2">
        <f t="shared" si="2"/>
        <v>5.1557558175258498</v>
      </c>
      <c r="M17" s="3">
        <f t="shared" si="3"/>
        <v>6.3198205448209421</v>
      </c>
    </row>
    <row r="18" spans="1:13" x14ac:dyDescent="0.25">
      <c r="A18" s="1">
        <v>38169</v>
      </c>
      <c r="B18">
        <v>6.05696439906822</v>
      </c>
      <c r="C18">
        <v>1301809881.1800001</v>
      </c>
      <c r="E18" s="1">
        <v>40087</v>
      </c>
      <c r="F18">
        <v>5.1114682529866204</v>
      </c>
      <c r="G18">
        <v>904760809</v>
      </c>
      <c r="J18" s="1">
        <f t="shared" si="0"/>
        <v>40087</v>
      </c>
      <c r="K18" s="2">
        <f t="shared" si="1"/>
        <v>5.0857161195162597</v>
      </c>
      <c r="L18" s="2">
        <f t="shared" si="2"/>
        <v>5.1114682529866204</v>
      </c>
      <c r="M18" s="3">
        <f t="shared" si="3"/>
        <v>2.5752133470360761</v>
      </c>
    </row>
    <row r="19" spans="1:13" x14ac:dyDescent="0.25">
      <c r="A19" s="1">
        <v>38200</v>
      </c>
      <c r="B19">
        <v>6.1882814880215298</v>
      </c>
      <c r="C19">
        <v>1077568972</v>
      </c>
      <c r="E19" s="1">
        <v>40118</v>
      </c>
      <c r="F19">
        <v>5.3751733504150403</v>
      </c>
      <c r="G19">
        <v>505643438.89999998</v>
      </c>
      <c r="J19" s="1">
        <f t="shared" si="0"/>
        <v>40118</v>
      </c>
      <c r="K19" s="2">
        <f t="shared" si="1"/>
        <v>5.078866004619</v>
      </c>
      <c r="L19" s="2">
        <f t="shared" si="2"/>
        <v>5.3751733504150403</v>
      </c>
      <c r="M19" s="3">
        <f t="shared" si="3"/>
        <v>29.630734579604034</v>
      </c>
    </row>
    <row r="20" spans="1:13" x14ac:dyDescent="0.25">
      <c r="A20" s="1">
        <v>38231</v>
      </c>
      <c r="B20">
        <v>6.0871673098464703</v>
      </c>
      <c r="C20">
        <v>1369531011.5799999</v>
      </c>
      <c r="E20" s="1">
        <v>40148</v>
      </c>
      <c r="F20">
        <v>5.2418476611116196</v>
      </c>
      <c r="G20">
        <v>521693593.18000001</v>
      </c>
      <c r="J20" s="1">
        <f t="shared" si="0"/>
        <v>40148</v>
      </c>
      <c r="K20" s="2">
        <f t="shared" si="1"/>
        <v>5.0211509166157198</v>
      </c>
      <c r="L20" s="2">
        <f t="shared" si="2"/>
        <v>5.2418476611116196</v>
      </c>
      <c r="M20" s="3">
        <f t="shared" si="3"/>
        <v>22.069674449589982</v>
      </c>
    </row>
    <row r="21" spans="1:13" x14ac:dyDescent="0.25">
      <c r="A21" s="1">
        <v>38261</v>
      </c>
      <c r="B21">
        <v>5.9563335743725796</v>
      </c>
      <c r="C21">
        <v>1319572214.1800001</v>
      </c>
      <c r="E21" s="1">
        <v>40179</v>
      </c>
      <c r="F21">
        <v>5.1875941289127798</v>
      </c>
      <c r="G21">
        <v>528799410.56</v>
      </c>
      <c r="J21" s="1">
        <f t="shared" si="0"/>
        <v>40179</v>
      </c>
      <c r="K21" s="2">
        <f t="shared" si="1"/>
        <v>5.0092407811162296</v>
      </c>
      <c r="L21" s="2">
        <f t="shared" si="2"/>
        <v>5.1875941289127798</v>
      </c>
      <c r="M21" s="3">
        <f t="shared" si="3"/>
        <v>17.835334779655021</v>
      </c>
    </row>
    <row r="22" spans="1:13" x14ac:dyDescent="0.25">
      <c r="A22" s="1">
        <v>38292</v>
      </c>
      <c r="B22">
        <v>5.8615552948503797</v>
      </c>
      <c r="C22">
        <v>1504884336.6700001</v>
      </c>
      <c r="E22" s="1">
        <v>40210</v>
      </c>
      <c r="F22">
        <v>5.1658467754875304</v>
      </c>
      <c r="G22">
        <v>540857121.79999995</v>
      </c>
      <c r="J22" s="1">
        <f t="shared" si="0"/>
        <v>40210</v>
      </c>
      <c r="K22" s="2">
        <f t="shared" si="1"/>
        <v>5.0038385694707097</v>
      </c>
      <c r="L22" s="2">
        <f t="shared" si="2"/>
        <v>5.1658467754875304</v>
      </c>
      <c r="M22" s="3">
        <f t="shared" si="3"/>
        <v>16.200820601682064</v>
      </c>
    </row>
    <row r="23" spans="1:13" x14ac:dyDescent="0.25">
      <c r="A23" s="1">
        <v>38322</v>
      </c>
      <c r="B23">
        <v>5.7938148733596204</v>
      </c>
      <c r="C23">
        <v>1701520602.1099999</v>
      </c>
      <c r="E23" s="1">
        <v>40238</v>
      </c>
      <c r="F23">
        <v>5.1823983985248203</v>
      </c>
      <c r="G23">
        <v>516094649.08999997</v>
      </c>
      <c r="J23" s="1">
        <f t="shared" si="0"/>
        <v>40238</v>
      </c>
      <c r="K23" s="2">
        <f t="shared" si="1"/>
        <v>5.0714390148175701</v>
      </c>
      <c r="L23" s="2">
        <f t="shared" si="2"/>
        <v>5.1823983985248203</v>
      </c>
      <c r="M23" s="3">
        <f t="shared" si="3"/>
        <v>11.095938370725023</v>
      </c>
    </row>
    <row r="24" spans="1:13" x14ac:dyDescent="0.25">
      <c r="A24" s="1">
        <v>38353</v>
      </c>
      <c r="B24">
        <v>5.7804308694814699</v>
      </c>
      <c r="C24">
        <v>1698004358.4100001</v>
      </c>
      <c r="E24" s="1">
        <v>40269</v>
      </c>
      <c r="F24">
        <v>5.17962734260656</v>
      </c>
      <c r="G24">
        <v>382077110.33999997</v>
      </c>
      <c r="J24" s="1">
        <f t="shared" si="0"/>
        <v>40269</v>
      </c>
      <c r="K24" s="2">
        <f t="shared" si="1"/>
        <v>5.0870377621813896</v>
      </c>
      <c r="L24" s="2">
        <f t="shared" si="2"/>
        <v>5.17962734260656</v>
      </c>
      <c r="M24" s="3">
        <f t="shared" si="3"/>
        <v>9.2589580425170404</v>
      </c>
    </row>
    <row r="25" spans="1:13" x14ac:dyDescent="0.25">
      <c r="A25" s="1">
        <v>38384</v>
      </c>
      <c r="B25">
        <v>5.7961239254180699</v>
      </c>
      <c r="C25">
        <v>1503619701.02</v>
      </c>
      <c r="E25" s="1">
        <v>40299</v>
      </c>
      <c r="F25">
        <v>5.1868820144175203</v>
      </c>
      <c r="G25">
        <v>353894536.45999998</v>
      </c>
      <c r="J25" s="1">
        <f t="shared" si="0"/>
        <v>40299</v>
      </c>
      <c r="K25" s="2">
        <f t="shared" si="1"/>
        <v>5.1218516924411404</v>
      </c>
      <c r="L25" s="2">
        <f t="shared" si="2"/>
        <v>5.1868820144175203</v>
      </c>
      <c r="M25" s="3">
        <f t="shared" si="3"/>
        <v>6.5030321976379923</v>
      </c>
    </row>
    <row r="26" spans="1:13" x14ac:dyDescent="0.25">
      <c r="A26" s="1">
        <v>38412</v>
      </c>
      <c r="B26">
        <v>5.7255874188281703</v>
      </c>
      <c r="C26">
        <v>1678246827.1500001</v>
      </c>
      <c r="E26" s="1">
        <v>40330</v>
      </c>
      <c r="F26">
        <v>5.1787990093438099</v>
      </c>
      <c r="G26">
        <v>328276386.38999999</v>
      </c>
      <c r="J26" s="1">
        <f t="shared" si="0"/>
        <v>40330</v>
      </c>
      <c r="K26" s="2">
        <f t="shared" si="1"/>
        <v>5.1341011640378502</v>
      </c>
      <c r="L26" s="2">
        <f t="shared" si="2"/>
        <v>5.1787990093438099</v>
      </c>
      <c r="M26" s="3">
        <f t="shared" si="3"/>
        <v>4.469784530595966</v>
      </c>
    </row>
    <row r="27" spans="1:13" x14ac:dyDescent="0.25">
      <c r="A27" s="1">
        <v>38443</v>
      </c>
      <c r="B27">
        <v>5.6977850898791402</v>
      </c>
      <c r="C27">
        <v>2106297882.8699999</v>
      </c>
      <c r="E27" s="1">
        <v>40360</v>
      </c>
      <c r="F27">
        <v>5.0388885380789104</v>
      </c>
      <c r="G27">
        <v>695903632.25999999</v>
      </c>
      <c r="J27" s="1">
        <f t="shared" si="0"/>
        <v>40360</v>
      </c>
      <c r="K27" s="2">
        <f t="shared" si="1"/>
        <v>5.0365657221265501</v>
      </c>
      <c r="L27" s="2">
        <f t="shared" si="2"/>
        <v>5.0388885380789104</v>
      </c>
      <c r="M27" s="3">
        <f t="shared" si="3"/>
        <v>0.23228159523602798</v>
      </c>
    </row>
    <row r="28" spans="1:13" x14ac:dyDescent="0.25">
      <c r="A28" s="1">
        <v>38473</v>
      </c>
      <c r="B28">
        <v>5.8622360361712502</v>
      </c>
      <c r="C28">
        <v>1839215668.21</v>
      </c>
      <c r="E28" s="1">
        <v>40391</v>
      </c>
      <c r="F28">
        <v>4.9335527163608397</v>
      </c>
      <c r="G28">
        <v>788477409.11000001</v>
      </c>
      <c r="J28" s="1">
        <f t="shared" si="0"/>
        <v>40391</v>
      </c>
      <c r="K28" s="2">
        <f t="shared" si="1"/>
        <v>4.8474889438713502</v>
      </c>
      <c r="L28" s="2">
        <f t="shared" si="2"/>
        <v>4.9335527163608397</v>
      </c>
      <c r="M28" s="3">
        <f t="shared" si="3"/>
        <v>8.6063772489489487</v>
      </c>
    </row>
    <row r="29" spans="1:13" x14ac:dyDescent="0.25">
      <c r="A29" s="1">
        <v>38504</v>
      </c>
      <c r="B29">
        <v>5.8926175197376498</v>
      </c>
      <c r="C29">
        <v>1985770965.8599999</v>
      </c>
      <c r="E29" s="1">
        <v>40422</v>
      </c>
      <c r="F29">
        <v>4.7810398285337596</v>
      </c>
      <c r="G29">
        <v>1264567160.8399999</v>
      </c>
      <c r="J29" s="1">
        <f t="shared" si="0"/>
        <v>40422</v>
      </c>
      <c r="K29" s="2">
        <f t="shared" si="1"/>
        <v>4.6973459559472204</v>
      </c>
      <c r="L29" s="2">
        <f t="shared" si="2"/>
        <v>4.7810398285337596</v>
      </c>
      <c r="M29" s="3">
        <f t="shared" si="3"/>
        <v>8.3693872586539264</v>
      </c>
    </row>
    <row r="30" spans="1:13" x14ac:dyDescent="0.25">
      <c r="A30" s="1">
        <v>38534</v>
      </c>
      <c r="B30">
        <v>5.7903262118270602</v>
      </c>
      <c r="C30">
        <v>2809258954.0599999</v>
      </c>
      <c r="E30" s="1">
        <v>40452</v>
      </c>
      <c r="F30">
        <v>4.6726939217107404</v>
      </c>
      <c r="G30">
        <v>1369126940.97</v>
      </c>
      <c r="J30" s="1">
        <f t="shared" si="0"/>
        <v>40452</v>
      </c>
      <c r="K30" s="2">
        <f t="shared" si="1"/>
        <v>4.5759462233797699</v>
      </c>
      <c r="L30" s="2">
        <f t="shared" si="2"/>
        <v>4.6726939217107404</v>
      </c>
      <c r="M30" s="3">
        <f t="shared" si="3"/>
        <v>9.6747698330970522</v>
      </c>
    </row>
    <row r="31" spans="1:13" x14ac:dyDescent="0.25">
      <c r="A31" s="1">
        <v>38565</v>
      </c>
      <c r="B31">
        <v>5.7237157414836899</v>
      </c>
      <c r="C31">
        <v>3315318076.0999999</v>
      </c>
      <c r="E31" s="1">
        <v>40483</v>
      </c>
      <c r="F31">
        <v>4.5861383244637501</v>
      </c>
      <c r="G31">
        <v>1623401653.74</v>
      </c>
      <c r="J31" s="1">
        <f t="shared" si="0"/>
        <v>40483</v>
      </c>
      <c r="K31" s="2">
        <f t="shared" si="1"/>
        <v>4.5069513689208902</v>
      </c>
      <c r="L31" s="2">
        <f t="shared" si="2"/>
        <v>4.5861383244637501</v>
      </c>
      <c r="M31" s="3">
        <f t="shared" si="3"/>
        <v>7.9186955542859927</v>
      </c>
    </row>
    <row r="32" spans="1:13" x14ac:dyDescent="0.25">
      <c r="A32" s="1">
        <v>38596</v>
      </c>
      <c r="B32">
        <v>5.7611120304973102</v>
      </c>
      <c r="C32">
        <v>3547678663.5300002</v>
      </c>
      <c r="E32" s="1">
        <v>40513</v>
      </c>
      <c r="F32">
        <v>4.5146335510436497</v>
      </c>
      <c r="G32">
        <v>2125746594.5999999</v>
      </c>
      <c r="J32" s="1">
        <f t="shared" si="0"/>
        <v>40513</v>
      </c>
      <c r="K32" s="2">
        <f t="shared" si="1"/>
        <v>4.4219799495168601</v>
      </c>
      <c r="L32" s="2">
        <f t="shared" si="2"/>
        <v>4.5146335510436497</v>
      </c>
      <c r="M32" s="3">
        <f t="shared" si="3"/>
        <v>9.2653601526789586</v>
      </c>
    </row>
    <row r="33" spans="1:13" x14ac:dyDescent="0.25">
      <c r="A33" s="1">
        <v>38626</v>
      </c>
      <c r="B33">
        <v>5.7993398608069899</v>
      </c>
      <c r="C33">
        <v>2801554212.5</v>
      </c>
      <c r="E33" s="1">
        <v>40544</v>
      </c>
      <c r="F33">
        <v>4.4652765355459696</v>
      </c>
      <c r="G33">
        <v>1933434022.9400001</v>
      </c>
      <c r="J33" s="1">
        <f t="shared" si="0"/>
        <v>40544</v>
      </c>
      <c r="K33" s="2">
        <f t="shared" si="1"/>
        <v>4.4385152108216701</v>
      </c>
      <c r="L33" s="2">
        <f t="shared" si="2"/>
        <v>4.4652765355459696</v>
      </c>
      <c r="M33" s="3">
        <f t="shared" si="3"/>
        <v>2.6761324724299485</v>
      </c>
    </row>
    <row r="34" spans="1:13" x14ac:dyDescent="0.25">
      <c r="A34" s="1">
        <v>38657</v>
      </c>
      <c r="B34">
        <v>5.8528479375203801</v>
      </c>
      <c r="C34">
        <v>2743229766.73</v>
      </c>
      <c r="E34" s="1">
        <v>40575</v>
      </c>
      <c r="F34">
        <v>4.5269919920160797</v>
      </c>
      <c r="G34">
        <v>1246856670.98</v>
      </c>
      <c r="J34" s="1">
        <f t="shared" si="0"/>
        <v>40575</v>
      </c>
      <c r="K34" s="2">
        <f t="shared" si="1"/>
        <v>4.5761553363845504</v>
      </c>
      <c r="L34" s="2">
        <f t="shared" si="2"/>
        <v>4.5269919920160797</v>
      </c>
      <c r="M34" s="3">
        <f t="shared" si="3"/>
        <v>-4.9163344368470696</v>
      </c>
    </row>
    <row r="35" spans="1:13" x14ac:dyDescent="0.25">
      <c r="A35" s="1">
        <v>38687</v>
      </c>
      <c r="B35">
        <v>5.9803278589735198</v>
      </c>
      <c r="C35">
        <v>2155930798.8699999</v>
      </c>
      <c r="E35" s="1">
        <v>40603</v>
      </c>
      <c r="F35">
        <v>4.6922850735801402</v>
      </c>
      <c r="G35">
        <v>870934018.97000003</v>
      </c>
      <c r="J35" s="1">
        <f t="shared" si="0"/>
        <v>40603</v>
      </c>
      <c r="K35" s="2">
        <f t="shared" si="1"/>
        <v>4.8096038933817304</v>
      </c>
      <c r="L35" s="2">
        <f t="shared" si="2"/>
        <v>4.6922850735801402</v>
      </c>
      <c r="M35" s="3">
        <f t="shared" si="3"/>
        <v>-11.73188198015902</v>
      </c>
    </row>
    <row r="36" spans="1:13" x14ac:dyDescent="0.25">
      <c r="A36" s="1">
        <v>38718</v>
      </c>
      <c r="B36">
        <v>6.1841993971836597</v>
      </c>
      <c r="C36">
        <v>1670296715.24</v>
      </c>
      <c r="E36" s="1">
        <v>40634</v>
      </c>
      <c r="F36">
        <v>4.7932531938749401</v>
      </c>
      <c r="G36">
        <v>453280205.91000003</v>
      </c>
      <c r="J36" s="1">
        <f t="shared" si="0"/>
        <v>40634</v>
      </c>
      <c r="K36" s="2">
        <f t="shared" si="1"/>
        <v>4.9767864877155601</v>
      </c>
      <c r="L36" s="2">
        <f t="shared" si="2"/>
        <v>4.7932531938749401</v>
      </c>
      <c r="M36" s="3">
        <f t="shared" si="3"/>
        <v>-18.353329384062</v>
      </c>
    </row>
    <row r="37" spans="1:13" x14ac:dyDescent="0.25">
      <c r="A37" s="1">
        <v>38749</v>
      </c>
      <c r="B37">
        <v>6.2197396579570503</v>
      </c>
      <c r="C37">
        <v>1467057261.22</v>
      </c>
      <c r="E37" s="1">
        <v>40664</v>
      </c>
      <c r="F37">
        <v>4.93143688402533</v>
      </c>
      <c r="G37">
        <v>347635573.56999999</v>
      </c>
      <c r="J37" s="1">
        <f t="shared" si="0"/>
        <v>40664</v>
      </c>
      <c r="K37" s="2">
        <f t="shared" si="1"/>
        <v>5.0425131462395401</v>
      </c>
      <c r="L37" s="2">
        <f t="shared" si="2"/>
        <v>4.93143688402533</v>
      </c>
      <c r="M37" s="3">
        <f t="shared" si="3"/>
        <v>-11.107626221421008</v>
      </c>
    </row>
    <row r="38" spans="1:13" x14ac:dyDescent="0.25">
      <c r="A38" s="1">
        <v>38777</v>
      </c>
      <c r="B38">
        <v>6.2642832950917997</v>
      </c>
      <c r="C38">
        <v>1536976092.6300001</v>
      </c>
      <c r="E38" s="1">
        <v>40695</v>
      </c>
      <c r="F38">
        <v>4.9085450679441101</v>
      </c>
      <c r="G38">
        <v>475596529.19999999</v>
      </c>
      <c r="J38" s="1">
        <f t="shared" si="0"/>
        <v>40695</v>
      </c>
      <c r="K38" s="2">
        <f t="shared" si="1"/>
        <v>5.0248842882467502</v>
      </c>
      <c r="L38" s="2">
        <f t="shared" si="2"/>
        <v>4.9085450679441101</v>
      </c>
      <c r="M38" s="3">
        <f t="shared" si="3"/>
        <v>-11.63392203026401</v>
      </c>
    </row>
    <row r="39" spans="1:13" x14ac:dyDescent="0.25">
      <c r="A39" s="1">
        <v>38808</v>
      </c>
      <c r="B39">
        <v>6.2244511648483503</v>
      </c>
      <c r="C39">
        <v>1872427504.9000001</v>
      </c>
      <c r="E39" s="1">
        <v>40725</v>
      </c>
      <c r="F39">
        <v>4.8270406960544801</v>
      </c>
      <c r="G39">
        <v>592293290</v>
      </c>
      <c r="J39" s="1">
        <f t="shared" si="0"/>
        <v>40725</v>
      </c>
      <c r="K39" s="2">
        <f t="shared" si="1"/>
        <v>4.8772252006686196</v>
      </c>
      <c r="L39" s="2">
        <f t="shared" si="2"/>
        <v>4.8270406960544801</v>
      </c>
      <c r="M39" s="3">
        <f t="shared" si="3"/>
        <v>-5.0184504614139591</v>
      </c>
    </row>
    <row r="40" spans="1:13" x14ac:dyDescent="0.25">
      <c r="A40" s="1">
        <v>38838</v>
      </c>
      <c r="B40">
        <v>6.36303166567959</v>
      </c>
      <c r="C40">
        <v>1611949394.4000001</v>
      </c>
      <c r="E40" s="1">
        <v>40756</v>
      </c>
      <c r="F40">
        <v>4.7081993779170004</v>
      </c>
      <c r="G40">
        <v>866610679.85000002</v>
      </c>
      <c r="J40" s="1">
        <f t="shared" si="0"/>
        <v>40756</v>
      </c>
      <c r="K40" s="2">
        <f t="shared" si="1"/>
        <v>4.8363820926691696</v>
      </c>
      <c r="L40" s="2">
        <f t="shared" si="2"/>
        <v>4.7081993779170004</v>
      </c>
      <c r="M40" s="3">
        <f t="shared" si="3"/>
        <v>-12.818271475216925</v>
      </c>
    </row>
    <row r="41" spans="1:13" x14ac:dyDescent="0.25">
      <c r="A41" s="1">
        <v>38869</v>
      </c>
      <c r="B41">
        <v>6.4717620546190204</v>
      </c>
      <c r="C41">
        <v>1634264298.0899999</v>
      </c>
      <c r="E41" s="1">
        <v>40787</v>
      </c>
      <c r="F41">
        <v>4.6344182851911899</v>
      </c>
      <c r="G41">
        <v>1220772370.1600001</v>
      </c>
      <c r="J41" s="1">
        <f t="shared" si="0"/>
        <v>40787</v>
      </c>
      <c r="K41" s="2">
        <f t="shared" si="1"/>
        <v>4.6810970781360304</v>
      </c>
      <c r="L41" s="2">
        <f t="shared" si="2"/>
        <v>4.6344182851911899</v>
      </c>
      <c r="M41" s="3">
        <f t="shared" si="3"/>
        <v>-4.6678792944840453</v>
      </c>
    </row>
    <row r="42" spans="1:13" x14ac:dyDescent="0.25">
      <c r="A42" s="1">
        <v>38899</v>
      </c>
      <c r="B42">
        <v>6.6497329338375302</v>
      </c>
      <c r="C42">
        <v>1326335218.3399999</v>
      </c>
      <c r="E42" s="1">
        <v>40817</v>
      </c>
      <c r="F42">
        <v>4.4366468830032302</v>
      </c>
      <c r="G42">
        <v>2074440175.1600001</v>
      </c>
      <c r="J42" s="1">
        <f t="shared" si="0"/>
        <v>40817</v>
      </c>
      <c r="K42" s="2">
        <f t="shared" si="1"/>
        <v>4.4465595697710496</v>
      </c>
      <c r="L42" s="2">
        <f t="shared" si="2"/>
        <v>4.4366468830032302</v>
      </c>
      <c r="M42" s="3">
        <f t="shared" si="3"/>
        <v>-0.9912686767819423</v>
      </c>
    </row>
    <row r="43" spans="1:13" x14ac:dyDescent="0.25">
      <c r="A43" s="1">
        <v>38930</v>
      </c>
      <c r="B43">
        <v>6.6967071469004198</v>
      </c>
      <c r="C43">
        <v>1415200824.9000001</v>
      </c>
      <c r="E43" s="1">
        <v>40848</v>
      </c>
      <c r="F43">
        <v>4.3938197797218601</v>
      </c>
      <c r="G43">
        <v>2187646271.5</v>
      </c>
      <c r="J43" s="1">
        <f t="shared" si="0"/>
        <v>40848</v>
      </c>
      <c r="K43" s="2">
        <f t="shared" si="1"/>
        <v>4.3168623942657796</v>
      </c>
      <c r="L43" s="2">
        <f t="shared" si="2"/>
        <v>4.3938197797218601</v>
      </c>
      <c r="M43" s="3">
        <f t="shared" si="3"/>
        <v>7.6957385456080551</v>
      </c>
    </row>
    <row r="44" spans="1:13" x14ac:dyDescent="0.25">
      <c r="A44" s="1">
        <v>38961</v>
      </c>
      <c r="B44">
        <v>6.6843784516468103</v>
      </c>
      <c r="C44">
        <v>1485942736.3499999</v>
      </c>
      <c r="E44" s="1">
        <v>40878</v>
      </c>
      <c r="F44">
        <v>4.36169805121117</v>
      </c>
      <c r="G44">
        <v>1032822496.02</v>
      </c>
      <c r="J44" s="1">
        <f t="shared" si="0"/>
        <v>40878</v>
      </c>
      <c r="K44" s="2">
        <f t="shared" si="1"/>
        <v>4.2092702337220498</v>
      </c>
      <c r="L44" s="2">
        <f t="shared" si="2"/>
        <v>4.36169805121117</v>
      </c>
      <c r="M44" s="3">
        <f t="shared" si="3"/>
        <v>15.242781748912027</v>
      </c>
    </row>
    <row r="45" spans="1:13" x14ac:dyDescent="0.25">
      <c r="A45" s="1">
        <v>38991</v>
      </c>
      <c r="B45">
        <v>6.5504752518038201</v>
      </c>
      <c r="C45">
        <v>1995981206.4000001</v>
      </c>
      <c r="E45" s="1">
        <v>40909</v>
      </c>
      <c r="F45">
        <v>4.3293171488342699</v>
      </c>
      <c r="G45">
        <v>1266940402.5</v>
      </c>
      <c r="J45" s="1">
        <f t="shared" si="0"/>
        <v>40909</v>
      </c>
      <c r="K45" s="2">
        <f t="shared" si="1"/>
        <v>4.2144779553704996</v>
      </c>
      <c r="L45" s="2">
        <f t="shared" si="2"/>
        <v>4.3293171488342699</v>
      </c>
      <c r="M45" s="3">
        <f t="shared" si="3"/>
        <v>11.483919346377025</v>
      </c>
    </row>
    <row r="46" spans="1:13" x14ac:dyDescent="0.25">
      <c r="A46" s="1">
        <v>39022</v>
      </c>
      <c r="B46">
        <v>6.4791472214687396</v>
      </c>
      <c r="C46">
        <v>1705910825.9400001</v>
      </c>
      <c r="E46" s="1">
        <v>40940</v>
      </c>
      <c r="F46">
        <v>4.2740118432383003</v>
      </c>
      <c r="G46">
        <v>1240596514.1600001</v>
      </c>
      <c r="J46" s="1">
        <f t="shared" si="0"/>
        <v>40940</v>
      </c>
      <c r="K46" s="2">
        <f t="shared" si="1"/>
        <v>4.14873975553152</v>
      </c>
      <c r="L46" s="2">
        <f t="shared" si="2"/>
        <v>4.2740118432383003</v>
      </c>
      <c r="M46" s="3">
        <f t="shared" si="3"/>
        <v>12.527208770678033</v>
      </c>
    </row>
    <row r="47" spans="1:13" x14ac:dyDescent="0.25">
      <c r="A47" s="1">
        <v>39052</v>
      </c>
      <c r="B47">
        <v>6.3518681010877298</v>
      </c>
      <c r="C47">
        <v>1922080315.3099999</v>
      </c>
      <c r="E47" s="1">
        <v>40969</v>
      </c>
      <c r="F47">
        <v>4.1885890128324199</v>
      </c>
      <c r="G47">
        <v>2306309881.04</v>
      </c>
      <c r="J47" s="1">
        <f t="shared" si="0"/>
        <v>40969</v>
      </c>
      <c r="K47" s="2">
        <f t="shared" si="1"/>
        <v>4.0873313467596901</v>
      </c>
      <c r="L47" s="2">
        <f t="shared" si="2"/>
        <v>4.1885890128324199</v>
      </c>
      <c r="M47" s="3">
        <f t="shared" si="3"/>
        <v>10.125766607272979</v>
      </c>
    </row>
    <row r="48" spans="1:13" x14ac:dyDescent="0.25">
      <c r="A48" s="1">
        <v>39083</v>
      </c>
      <c r="B48">
        <v>6.23423439949166</v>
      </c>
      <c r="C48">
        <v>2151222319.5100002</v>
      </c>
      <c r="E48" s="1">
        <v>41000</v>
      </c>
      <c r="F48">
        <v>4.1237790049396299</v>
      </c>
      <c r="G48">
        <v>717157051.38999999</v>
      </c>
      <c r="J48" s="1">
        <f t="shared" si="0"/>
        <v>41000</v>
      </c>
      <c r="K48" s="2">
        <f t="shared" si="1"/>
        <v>4.0615707562121903</v>
      </c>
      <c r="L48" s="2">
        <f t="shared" si="2"/>
        <v>4.1237790049396299</v>
      </c>
      <c r="M48" s="3">
        <f t="shared" si="3"/>
        <v>6.2208248727439575</v>
      </c>
    </row>
    <row r="49" spans="1:13" x14ac:dyDescent="0.25">
      <c r="A49" s="1">
        <v>39114</v>
      </c>
      <c r="B49">
        <v>6.2288703468967697</v>
      </c>
      <c r="C49">
        <v>2177640332.2600002</v>
      </c>
      <c r="E49" s="1">
        <v>41030</v>
      </c>
      <c r="F49">
        <v>4.1560865454140004</v>
      </c>
      <c r="G49">
        <v>1319287455.9300001</v>
      </c>
      <c r="J49" s="1">
        <f t="shared" si="0"/>
        <v>41030</v>
      </c>
      <c r="K49" s="2">
        <f t="shared" si="1"/>
        <v>4.1110004195524699</v>
      </c>
      <c r="L49" s="2">
        <f t="shared" si="2"/>
        <v>4.1560865454140004</v>
      </c>
      <c r="M49" s="3">
        <f t="shared" si="3"/>
        <v>4.5086125861530491</v>
      </c>
    </row>
    <row r="50" spans="1:13" x14ac:dyDescent="0.25">
      <c r="A50" s="1">
        <v>39142</v>
      </c>
      <c r="B50">
        <v>6.2335824505376598</v>
      </c>
      <c r="C50">
        <v>2137835924.47</v>
      </c>
      <c r="E50" s="1">
        <v>41061</v>
      </c>
      <c r="F50">
        <v>4.0996112667083402</v>
      </c>
      <c r="G50">
        <v>1641812348.45</v>
      </c>
      <c r="J50" s="1">
        <f t="shared" si="0"/>
        <v>41061</v>
      </c>
      <c r="K50" s="2">
        <f t="shared" si="1"/>
        <v>4.1135489285999203</v>
      </c>
      <c r="L50" s="2">
        <f t="shared" si="2"/>
        <v>4.0996112667083402</v>
      </c>
      <c r="M50" s="3">
        <f t="shared" si="3"/>
        <v>-1.3937661891580078</v>
      </c>
    </row>
    <row r="51" spans="1:13" x14ac:dyDescent="0.25">
      <c r="A51" s="1">
        <v>39173</v>
      </c>
      <c r="B51">
        <v>6.2471028782387297</v>
      </c>
      <c r="C51">
        <v>2311084431.1999998</v>
      </c>
      <c r="E51" s="1">
        <v>41091</v>
      </c>
      <c r="F51">
        <v>4.0191410161536201</v>
      </c>
      <c r="G51">
        <v>2255480925.96</v>
      </c>
      <c r="J51" s="1">
        <f t="shared" si="0"/>
        <v>41091</v>
      </c>
      <c r="K51" s="2">
        <f t="shared" si="1"/>
        <v>3.97808455193652</v>
      </c>
      <c r="L51" s="2">
        <f t="shared" si="2"/>
        <v>4.0191410161536201</v>
      </c>
      <c r="M51" s="3">
        <f t="shared" si="3"/>
        <v>4.1056464217100075</v>
      </c>
    </row>
    <row r="52" spans="1:13" x14ac:dyDescent="0.25">
      <c r="A52" s="1">
        <v>39203</v>
      </c>
      <c r="B52">
        <v>6.1638293445881596</v>
      </c>
      <c r="C52">
        <v>2883362334.8299999</v>
      </c>
      <c r="E52" s="1">
        <v>41122</v>
      </c>
      <c r="F52">
        <v>3.9630671422141299</v>
      </c>
      <c r="G52">
        <v>2666927313.8200002</v>
      </c>
      <c r="J52" s="1">
        <f t="shared" si="0"/>
        <v>41122</v>
      </c>
      <c r="K52" s="2">
        <f t="shared" si="1"/>
        <v>3.8617020385981302</v>
      </c>
      <c r="L52" s="2">
        <f t="shared" si="2"/>
        <v>3.9630671422141299</v>
      </c>
      <c r="M52" s="3">
        <f t="shared" si="3"/>
        <v>10.136510361599971</v>
      </c>
    </row>
    <row r="53" spans="1:13" x14ac:dyDescent="0.25">
      <c r="A53" s="1">
        <v>39234</v>
      </c>
      <c r="B53">
        <v>6.2174755188614403</v>
      </c>
      <c r="C53">
        <v>2809838096.1799998</v>
      </c>
      <c r="E53" s="1">
        <v>41153</v>
      </c>
      <c r="F53">
        <v>3.90952547769571</v>
      </c>
      <c r="G53">
        <v>2489887640.2199998</v>
      </c>
      <c r="J53" s="1">
        <f t="shared" si="0"/>
        <v>41153</v>
      </c>
      <c r="K53" s="2">
        <f t="shared" si="1"/>
        <v>3.7733819952113601</v>
      </c>
      <c r="L53" s="2">
        <f t="shared" si="2"/>
        <v>3.90952547769571</v>
      </c>
      <c r="M53" s="3">
        <f t="shared" si="3"/>
        <v>13.614348248434993</v>
      </c>
    </row>
    <row r="54" spans="1:13" x14ac:dyDescent="0.25">
      <c r="A54" s="1">
        <v>39264</v>
      </c>
      <c r="B54">
        <v>6.3435733593867303</v>
      </c>
      <c r="C54">
        <v>2767460840.27</v>
      </c>
      <c r="E54" s="1">
        <v>41183</v>
      </c>
      <c r="F54">
        <v>3.8188695666902102</v>
      </c>
      <c r="G54">
        <v>1726750822.6700001</v>
      </c>
      <c r="J54" s="1">
        <f t="shared" si="0"/>
        <v>41183</v>
      </c>
      <c r="K54" s="2">
        <f t="shared" si="1"/>
        <v>3.7382330713563499</v>
      </c>
      <c r="L54" s="2">
        <f t="shared" si="2"/>
        <v>3.8188695666902102</v>
      </c>
      <c r="M54" s="3">
        <f t="shared" si="3"/>
        <v>8.0636495333860303</v>
      </c>
    </row>
    <row r="55" spans="1:13" x14ac:dyDescent="0.25">
      <c r="A55" s="1">
        <v>39295</v>
      </c>
      <c r="B55">
        <v>6.5277154015197203</v>
      </c>
      <c r="C55">
        <v>2310965493.9299998</v>
      </c>
      <c r="E55" s="1">
        <v>41214</v>
      </c>
      <c r="F55">
        <v>3.7259070181229301</v>
      </c>
      <c r="G55">
        <v>3156836432.5900002</v>
      </c>
      <c r="J55" s="1">
        <f t="shared" si="0"/>
        <v>41214</v>
      </c>
      <c r="K55" s="2">
        <f t="shared" si="1"/>
        <v>3.6516310685855902</v>
      </c>
      <c r="L55" s="2">
        <f t="shared" si="2"/>
        <v>3.7259070181229301</v>
      </c>
      <c r="M55" s="3">
        <f t="shared" si="3"/>
        <v>7.4275949537339958</v>
      </c>
    </row>
    <row r="56" spans="1:13" x14ac:dyDescent="0.25">
      <c r="A56" s="1">
        <v>39326</v>
      </c>
      <c r="B56">
        <v>6.6287941577795202</v>
      </c>
      <c r="C56">
        <v>2378195018.23</v>
      </c>
      <c r="E56" s="1">
        <v>41244</v>
      </c>
      <c r="F56">
        <v>3.6438129246444699</v>
      </c>
      <c r="G56">
        <v>1025650079.7</v>
      </c>
      <c r="J56" s="1">
        <f t="shared" si="0"/>
        <v>41244</v>
      </c>
      <c r="K56" s="2">
        <f t="shared" si="1"/>
        <v>3.5727041397908499</v>
      </c>
      <c r="L56" s="2">
        <f t="shared" si="2"/>
        <v>3.6438129246444699</v>
      </c>
      <c r="M56" s="3">
        <f t="shared" si="3"/>
        <v>7.1108784853620044</v>
      </c>
    </row>
    <row r="57" spans="1:13" x14ac:dyDescent="0.25">
      <c r="A57" s="1">
        <v>39356</v>
      </c>
      <c r="B57">
        <v>6.6273751571330397</v>
      </c>
      <c r="C57">
        <v>2028173075.5699999</v>
      </c>
      <c r="E57" s="1">
        <v>41275</v>
      </c>
      <c r="F57">
        <v>3.6535425932764101</v>
      </c>
      <c r="G57">
        <v>2795135825.0500002</v>
      </c>
      <c r="J57" s="1">
        <f t="shared" si="0"/>
        <v>41275</v>
      </c>
      <c r="K57" s="2">
        <f t="shared" si="1"/>
        <v>3.5530465476448501</v>
      </c>
      <c r="L57" s="2">
        <f t="shared" si="2"/>
        <v>3.6535425932764101</v>
      </c>
      <c r="M57" s="3">
        <f t="shared" si="3"/>
        <v>10.049604563156</v>
      </c>
    </row>
    <row r="58" spans="1:13" x14ac:dyDescent="0.25">
      <c r="A58" s="1">
        <v>39387</v>
      </c>
      <c r="B58">
        <v>6.4860460678352698</v>
      </c>
      <c r="C58">
        <v>2545635825.7600002</v>
      </c>
      <c r="E58" s="1">
        <v>41306</v>
      </c>
      <c r="F58">
        <v>3.6541612500556799</v>
      </c>
      <c r="G58">
        <v>1554598236.99</v>
      </c>
      <c r="J58" s="1">
        <f t="shared" si="0"/>
        <v>41306</v>
      </c>
      <c r="K58" s="2">
        <f t="shared" si="1"/>
        <v>3.5498527720992601</v>
      </c>
      <c r="L58" s="2">
        <f t="shared" si="2"/>
        <v>3.6541612500556799</v>
      </c>
      <c r="M58" s="3">
        <f t="shared" si="3"/>
        <v>10.430847795641984</v>
      </c>
    </row>
    <row r="59" spans="1:13" x14ac:dyDescent="0.25">
      <c r="A59" s="1">
        <v>39417</v>
      </c>
      <c r="B59">
        <v>6.3607036653601003</v>
      </c>
      <c r="C59">
        <v>3246578068.9699998</v>
      </c>
      <c r="E59" s="1">
        <v>41334</v>
      </c>
      <c r="F59">
        <v>3.7311243313971798</v>
      </c>
      <c r="G59">
        <v>1733247205.75</v>
      </c>
      <c r="J59" s="1">
        <f t="shared" si="0"/>
        <v>41334</v>
      </c>
      <c r="K59" s="2">
        <f t="shared" si="1"/>
        <v>3.6382632261646699</v>
      </c>
      <c r="L59" s="2">
        <f t="shared" si="2"/>
        <v>3.7311243313971798</v>
      </c>
      <c r="M59" s="3">
        <f t="shared" si="3"/>
        <v>9.28611052325099</v>
      </c>
    </row>
    <row r="60" spans="1:13" x14ac:dyDescent="0.25">
      <c r="A60" s="1">
        <v>39448</v>
      </c>
      <c r="B60">
        <v>6.2463618307120496</v>
      </c>
      <c r="C60">
        <v>2810365411.7600002</v>
      </c>
      <c r="E60" s="1">
        <v>41365</v>
      </c>
      <c r="F60">
        <v>3.7529885224018802</v>
      </c>
      <c r="G60">
        <v>1830941822.3199999</v>
      </c>
      <c r="J60" s="1">
        <f t="shared" si="0"/>
        <v>41365</v>
      </c>
      <c r="K60" s="2">
        <f t="shared" si="1"/>
        <v>3.7353771975532899</v>
      </c>
      <c r="L60" s="2">
        <f t="shared" si="2"/>
        <v>3.7529885224018802</v>
      </c>
      <c r="M60" s="3">
        <f t="shared" si="3"/>
        <v>1.7611324848590293</v>
      </c>
    </row>
    <row r="61" spans="1:13" x14ac:dyDescent="0.25">
      <c r="A61" s="1">
        <v>39479</v>
      </c>
      <c r="B61">
        <v>5.9885006422418998</v>
      </c>
      <c r="C61">
        <v>4684284213.6899996</v>
      </c>
      <c r="E61" s="1">
        <v>41395</v>
      </c>
      <c r="F61">
        <v>3.8114677865822002</v>
      </c>
      <c r="G61">
        <v>1600299665.1700001</v>
      </c>
      <c r="J61" s="1">
        <f t="shared" si="0"/>
        <v>41395</v>
      </c>
      <c r="K61" s="2">
        <f t="shared" si="1"/>
        <v>3.7601506692407298</v>
      </c>
      <c r="L61" s="2">
        <f t="shared" si="2"/>
        <v>3.8114677865822002</v>
      </c>
      <c r="M61" s="3">
        <f t="shared" si="3"/>
        <v>5.1317117341470375</v>
      </c>
    </row>
    <row r="62" spans="1:13" x14ac:dyDescent="0.25">
      <c r="A62" s="1">
        <v>39508</v>
      </c>
      <c r="B62">
        <v>5.8136709907273803</v>
      </c>
      <c r="C62">
        <v>3423781089.1599998</v>
      </c>
      <c r="E62" s="1">
        <v>41426</v>
      </c>
      <c r="F62">
        <v>3.73418049363812</v>
      </c>
      <c r="G62">
        <v>1954645882.78</v>
      </c>
      <c r="J62" s="1">
        <f t="shared" si="0"/>
        <v>41426</v>
      </c>
      <c r="K62" s="2">
        <f t="shared" si="1"/>
        <v>3.7298142086411201</v>
      </c>
      <c r="L62" s="2">
        <f t="shared" si="2"/>
        <v>3.73418049363812</v>
      </c>
      <c r="M62" s="3">
        <f t="shared" si="3"/>
        <v>0.43662849969998696</v>
      </c>
    </row>
    <row r="63" spans="1:13" x14ac:dyDescent="0.25">
      <c r="A63" s="1">
        <v>39539</v>
      </c>
      <c r="B63">
        <v>5.8173299926450603</v>
      </c>
      <c r="C63">
        <v>3949201196.0100002</v>
      </c>
      <c r="E63" s="1">
        <v>41456</v>
      </c>
      <c r="F63">
        <v>3.8133247347588202</v>
      </c>
      <c r="G63">
        <v>1469428611.1800001</v>
      </c>
      <c r="J63" s="1">
        <f t="shared" si="0"/>
        <v>41456</v>
      </c>
      <c r="K63" s="2">
        <f t="shared" si="1"/>
        <v>3.7946058022060201</v>
      </c>
      <c r="L63" s="2">
        <f t="shared" si="2"/>
        <v>3.8133247347588202</v>
      </c>
      <c r="M63" s="3">
        <f t="shared" si="3"/>
        <v>1.8718932552800105</v>
      </c>
    </row>
    <row r="64" spans="1:13" x14ac:dyDescent="0.25">
      <c r="A64" s="1">
        <v>39569</v>
      </c>
      <c r="B64">
        <v>5.9274628340286801</v>
      </c>
      <c r="C64">
        <v>4847390397.29</v>
      </c>
      <c r="E64" s="1">
        <v>41487</v>
      </c>
      <c r="F64">
        <v>4.0868801264230497</v>
      </c>
      <c r="G64">
        <v>1250913288.3599999</v>
      </c>
      <c r="J64" s="1">
        <f t="shared" si="0"/>
        <v>41487</v>
      </c>
      <c r="K64" s="2">
        <f t="shared" si="1"/>
        <v>4.0946548495280597</v>
      </c>
      <c r="L64" s="2">
        <f t="shared" si="2"/>
        <v>4.0868801264230497</v>
      </c>
      <c r="M64" s="3">
        <f t="shared" si="3"/>
        <v>-0.77747231050100396</v>
      </c>
    </row>
    <row r="65" spans="1:13" x14ac:dyDescent="0.25">
      <c r="A65" s="1">
        <v>39600</v>
      </c>
      <c r="B65">
        <v>5.9458349532352903</v>
      </c>
      <c r="C65">
        <v>3983691348.5</v>
      </c>
      <c r="E65" s="1">
        <v>41518</v>
      </c>
      <c r="F65">
        <v>4.3549601880809599</v>
      </c>
      <c r="G65">
        <v>700406768.30999994</v>
      </c>
      <c r="J65" s="1">
        <f t="shared" si="0"/>
        <v>41518</v>
      </c>
      <c r="K65" s="2">
        <f t="shared" si="1"/>
        <v>4.4012497130787702</v>
      </c>
      <c r="L65" s="2">
        <f t="shared" si="2"/>
        <v>4.3549601880809599</v>
      </c>
      <c r="M65" s="3">
        <f t="shared" si="3"/>
        <v>-4.6289524997810361</v>
      </c>
    </row>
    <row r="66" spans="1:13" x14ac:dyDescent="0.25">
      <c r="A66" s="1">
        <v>39630</v>
      </c>
      <c r="B66">
        <v>6.0674344668909299</v>
      </c>
      <c r="C66">
        <v>2676669632.9299998</v>
      </c>
      <c r="E66" s="1">
        <v>41548</v>
      </c>
      <c r="F66">
        <v>4.6245044381189597</v>
      </c>
      <c r="G66">
        <v>623975247.75999999</v>
      </c>
      <c r="J66" s="1">
        <f t="shared" si="0"/>
        <v>41548</v>
      </c>
      <c r="K66" s="2">
        <f t="shared" si="1"/>
        <v>4.5991938154436296</v>
      </c>
      <c r="L66" s="2">
        <f t="shared" si="2"/>
        <v>4.6245044381189597</v>
      </c>
      <c r="M66" s="3">
        <f t="shared" si="3"/>
        <v>2.531062267533013</v>
      </c>
    </row>
    <row r="67" spans="1:13" x14ac:dyDescent="0.25">
      <c r="A67" s="1">
        <v>39661</v>
      </c>
      <c r="B67">
        <v>6.2795147386500103</v>
      </c>
      <c r="C67">
        <v>1902773945.9400001</v>
      </c>
      <c r="E67" s="1">
        <v>41579</v>
      </c>
      <c r="F67">
        <v>4.5836302861480096</v>
      </c>
      <c r="G67">
        <v>548784614.17999995</v>
      </c>
      <c r="J67" s="1">
        <f t="shared" si="0"/>
        <v>41579</v>
      </c>
      <c r="K67" s="2">
        <f t="shared" si="1"/>
        <v>4.5919275467719496</v>
      </c>
      <c r="L67" s="2">
        <f t="shared" si="2"/>
        <v>4.5836302861480096</v>
      </c>
      <c r="M67" s="3">
        <f t="shared" si="3"/>
        <v>-0.82972606239399838</v>
      </c>
    </row>
    <row r="68" spans="1:13" x14ac:dyDescent="0.25">
      <c r="A68" s="1">
        <v>39692</v>
      </c>
      <c r="B68">
        <v>6.3812316732204897</v>
      </c>
      <c r="C68">
        <v>2417856707.8299999</v>
      </c>
      <c r="E68" s="1">
        <v>41609</v>
      </c>
      <c r="F68">
        <v>4.4730278333231004</v>
      </c>
      <c r="G68">
        <v>441286651.35000002</v>
      </c>
      <c r="J68" s="1">
        <f t="shared" ref="J68:J91" si="4">E68</f>
        <v>41609</v>
      </c>
      <c r="K68" s="2">
        <f t="shared" ref="K68:K91" si="5">VLOOKUP(J68,A:B,2,0)</f>
        <v>4.5013379620201599</v>
      </c>
      <c r="L68" s="2">
        <f t="shared" ref="L68:L91" si="6">VLOOKUP(J68,E:F,2,0)</f>
        <v>4.4730278333231004</v>
      </c>
      <c r="M68" s="3">
        <f t="shared" ref="M68:M91" si="7">(L68-K68)*100</f>
        <v>-2.8310128697059511</v>
      </c>
    </row>
    <row r="69" spans="1:13" x14ac:dyDescent="0.25">
      <c r="A69" s="1">
        <v>39722</v>
      </c>
      <c r="B69">
        <v>6.2765467271439004</v>
      </c>
      <c r="C69">
        <v>2112268525.8199999</v>
      </c>
      <c r="E69" s="1">
        <v>41640</v>
      </c>
      <c r="F69">
        <v>4.4978875189582297</v>
      </c>
      <c r="G69">
        <v>257692790.13</v>
      </c>
      <c r="J69" s="1">
        <f t="shared" si="4"/>
        <v>41640</v>
      </c>
      <c r="K69" s="2">
        <f t="shared" si="5"/>
        <v>4.5306220746030998</v>
      </c>
      <c r="L69" s="2">
        <f t="shared" si="6"/>
        <v>4.4978875189582297</v>
      </c>
      <c r="M69" s="3">
        <f t="shared" si="7"/>
        <v>-3.2734555644870156</v>
      </c>
    </row>
    <row r="70" spans="1:13" x14ac:dyDescent="0.25">
      <c r="A70" s="1">
        <v>39753</v>
      </c>
      <c r="B70">
        <v>6.1325832537380398</v>
      </c>
      <c r="C70">
        <v>2009983921.4200001</v>
      </c>
      <c r="E70" s="1">
        <v>41671</v>
      </c>
      <c r="F70">
        <v>4.6268560253566902</v>
      </c>
      <c r="G70">
        <v>239056578.43000001</v>
      </c>
      <c r="J70" s="1">
        <f t="shared" si="4"/>
        <v>41671</v>
      </c>
      <c r="K70" s="2">
        <f t="shared" si="5"/>
        <v>4.5954229786032998</v>
      </c>
      <c r="L70" s="2">
        <f t="shared" si="6"/>
        <v>4.6268560253566902</v>
      </c>
      <c r="M70" s="3">
        <f t="shared" si="7"/>
        <v>3.1433046753390315</v>
      </c>
    </row>
    <row r="71" spans="1:13" x14ac:dyDescent="0.25">
      <c r="A71" s="1">
        <v>39783</v>
      </c>
      <c r="B71">
        <v>5.8893627476589296</v>
      </c>
      <c r="C71">
        <v>3430051971.77</v>
      </c>
      <c r="E71" s="1">
        <v>41699</v>
      </c>
      <c r="F71">
        <v>4.6065117255469303</v>
      </c>
      <c r="G71">
        <v>136119450</v>
      </c>
      <c r="J71" s="1">
        <f t="shared" si="4"/>
        <v>41699</v>
      </c>
      <c r="K71" s="2">
        <f t="shared" si="5"/>
        <v>4.6185118991901</v>
      </c>
      <c r="L71" s="2">
        <f t="shared" si="6"/>
        <v>4.6065117255469303</v>
      </c>
      <c r="M71" s="3">
        <f t="shared" si="7"/>
        <v>-1.2000173643169632</v>
      </c>
    </row>
    <row r="72" spans="1:13" x14ac:dyDescent="0.25">
      <c r="A72" s="1">
        <v>39814</v>
      </c>
      <c r="B72">
        <v>5.5431972003319503</v>
      </c>
      <c r="C72">
        <v>2672179070.8899999</v>
      </c>
      <c r="E72" s="1">
        <v>41730</v>
      </c>
      <c r="F72">
        <v>4.5532418488770903</v>
      </c>
      <c r="G72">
        <v>181531093</v>
      </c>
      <c r="J72" s="1">
        <f t="shared" si="4"/>
        <v>41730</v>
      </c>
      <c r="K72" s="2">
        <f t="shared" si="5"/>
        <v>4.5565658997008596</v>
      </c>
      <c r="L72" s="2">
        <f t="shared" si="6"/>
        <v>4.5532418488770903</v>
      </c>
      <c r="M72" s="3">
        <f t="shared" si="7"/>
        <v>-0.33240508237692978</v>
      </c>
    </row>
    <row r="73" spans="1:13" x14ac:dyDescent="0.25">
      <c r="A73" s="1">
        <v>39845</v>
      </c>
      <c r="B73">
        <v>4.9399991412112501</v>
      </c>
      <c r="C73">
        <v>7677588523.7299995</v>
      </c>
      <c r="E73" s="1">
        <v>41760</v>
      </c>
      <c r="F73">
        <v>4.5402497846609302</v>
      </c>
      <c r="G73">
        <v>218258118</v>
      </c>
      <c r="J73" s="1">
        <f t="shared" si="4"/>
        <v>41760</v>
      </c>
      <c r="K73" s="2">
        <f t="shared" si="5"/>
        <v>4.5673159674058699</v>
      </c>
      <c r="L73" s="2">
        <f t="shared" si="6"/>
        <v>4.5402497846609302</v>
      </c>
      <c r="M73" s="3">
        <f t="shared" si="7"/>
        <v>-2.706618274493966</v>
      </c>
    </row>
    <row r="74" spans="1:13" x14ac:dyDescent="0.25">
      <c r="A74" s="1">
        <v>39873</v>
      </c>
      <c r="B74">
        <v>4.8785216825224902</v>
      </c>
      <c r="C74">
        <v>17169112651.33</v>
      </c>
      <c r="E74" s="1">
        <v>41791</v>
      </c>
      <c r="F74">
        <v>4.5070921438399703</v>
      </c>
      <c r="G74">
        <v>203211403</v>
      </c>
      <c r="J74" s="1">
        <f t="shared" si="4"/>
        <v>41791</v>
      </c>
      <c r="K74" s="2">
        <f t="shared" si="5"/>
        <v>4.5179605371255001</v>
      </c>
      <c r="L74" s="2">
        <f t="shared" si="6"/>
        <v>4.5070921438399703</v>
      </c>
      <c r="M74" s="3">
        <f t="shared" si="7"/>
        <v>-1.0868393285529798</v>
      </c>
    </row>
    <row r="75" spans="1:13" x14ac:dyDescent="0.25">
      <c r="A75" s="1">
        <v>39904</v>
      </c>
      <c r="B75">
        <v>4.8638683094476498</v>
      </c>
      <c r="C75">
        <v>11691624510.209999</v>
      </c>
      <c r="E75" s="1">
        <v>41821</v>
      </c>
      <c r="F75">
        <v>4.3952508889387198</v>
      </c>
      <c r="G75">
        <v>361465163.87</v>
      </c>
      <c r="J75" s="1">
        <f t="shared" si="4"/>
        <v>41821</v>
      </c>
      <c r="K75" s="2">
        <f t="shared" si="5"/>
        <v>4.4315817899379599</v>
      </c>
      <c r="L75" s="2">
        <f t="shared" si="6"/>
        <v>4.3952508889387198</v>
      </c>
      <c r="M75" s="3">
        <f t="shared" si="7"/>
        <v>-3.6330900999240079</v>
      </c>
    </row>
    <row r="76" spans="1:13" x14ac:dyDescent="0.25">
      <c r="A76" s="1">
        <v>39934</v>
      </c>
      <c r="B76">
        <v>5.1680404365589201</v>
      </c>
      <c r="C76">
        <v>20252668695.43</v>
      </c>
      <c r="E76" s="1">
        <v>41852</v>
      </c>
      <c r="F76">
        <v>4.34381296879274</v>
      </c>
      <c r="G76">
        <v>285112799</v>
      </c>
      <c r="J76" s="1">
        <f t="shared" si="4"/>
        <v>41852</v>
      </c>
      <c r="K76" s="2">
        <f t="shared" si="5"/>
        <v>4.3804308344050904</v>
      </c>
      <c r="L76" s="2">
        <f t="shared" si="6"/>
        <v>4.34381296879274</v>
      </c>
      <c r="M76" s="3">
        <f t="shared" si="7"/>
        <v>-3.6617865612350364</v>
      </c>
    </row>
    <row r="77" spans="1:13" x14ac:dyDescent="0.25">
      <c r="A77" s="1">
        <v>39965</v>
      </c>
      <c r="B77">
        <v>4.82928089683449</v>
      </c>
      <c r="C77">
        <v>31445153419.040001</v>
      </c>
      <c r="E77" s="1">
        <v>41883</v>
      </c>
      <c r="F77">
        <v>4.3993523665990697</v>
      </c>
      <c r="G77">
        <v>532768547</v>
      </c>
      <c r="J77" s="1">
        <f t="shared" si="4"/>
        <v>41883</v>
      </c>
      <c r="K77" s="2">
        <f t="shared" si="5"/>
        <v>4.3526198652641002</v>
      </c>
      <c r="L77" s="2">
        <f t="shared" si="6"/>
        <v>4.3993523665990697</v>
      </c>
      <c r="M77" s="3">
        <f t="shared" si="7"/>
        <v>4.6732501334969534</v>
      </c>
    </row>
    <row r="78" spans="1:13" x14ac:dyDescent="0.25">
      <c r="A78" s="1">
        <v>39995</v>
      </c>
      <c r="B78">
        <v>4.7871995841758697</v>
      </c>
      <c r="C78">
        <v>24087781649.759998</v>
      </c>
      <c r="E78" s="1">
        <v>41913</v>
      </c>
      <c r="F78">
        <v>4.3139073314755301</v>
      </c>
      <c r="G78">
        <v>366220055.80000001</v>
      </c>
      <c r="J78" s="1">
        <f t="shared" si="4"/>
        <v>41913</v>
      </c>
      <c r="K78" s="2">
        <f t="shared" si="5"/>
        <v>4.3683732769038297</v>
      </c>
      <c r="L78" s="2">
        <f t="shared" si="6"/>
        <v>4.3139073314755301</v>
      </c>
      <c r="M78" s="3">
        <f t="shared" si="7"/>
        <v>-5.4465945428299634</v>
      </c>
    </row>
    <row r="79" spans="1:13" x14ac:dyDescent="0.25">
      <c r="A79" s="1">
        <v>40026</v>
      </c>
      <c r="B79">
        <v>4.9368061616734504</v>
      </c>
      <c r="C79">
        <v>16892685061.030001</v>
      </c>
      <c r="E79" s="1">
        <v>41944</v>
      </c>
      <c r="F79">
        <v>4.3041225110757502</v>
      </c>
      <c r="G79">
        <v>352367276.95999998</v>
      </c>
      <c r="J79" s="1">
        <f t="shared" si="4"/>
        <v>41944</v>
      </c>
      <c r="K79" s="2">
        <f t="shared" si="5"/>
        <v>4.4276439876552001</v>
      </c>
      <c r="L79" s="2">
        <f t="shared" si="6"/>
        <v>4.3041225110757502</v>
      </c>
      <c r="M79" s="3">
        <f t="shared" si="7"/>
        <v>-12.35214765794499</v>
      </c>
    </row>
    <row r="80" spans="1:13" x14ac:dyDescent="0.25">
      <c r="A80" s="1">
        <v>40057</v>
      </c>
      <c r="B80">
        <v>5.0925576120776403</v>
      </c>
      <c r="C80">
        <v>13923614141.16</v>
      </c>
      <c r="E80" s="1">
        <v>41974</v>
      </c>
      <c r="F80">
        <v>4.2331559540118704</v>
      </c>
      <c r="G80">
        <v>519308586.31999999</v>
      </c>
      <c r="J80" s="1">
        <f t="shared" si="4"/>
        <v>41974</v>
      </c>
      <c r="K80" s="2">
        <f t="shared" si="5"/>
        <v>4.2713058539944697</v>
      </c>
      <c r="L80" s="2">
        <f t="shared" si="6"/>
        <v>4.2331559540118704</v>
      </c>
      <c r="M80" s="3">
        <f t="shared" si="7"/>
        <v>-3.8149899982599322</v>
      </c>
    </row>
    <row r="81" spans="1:13" x14ac:dyDescent="0.25">
      <c r="A81" s="1">
        <v>40087</v>
      </c>
      <c r="B81">
        <v>5.0857161195162597</v>
      </c>
      <c r="C81">
        <v>8510889595.2799997</v>
      </c>
      <c r="E81" s="1">
        <v>42005</v>
      </c>
      <c r="F81">
        <v>4.17633856543888</v>
      </c>
      <c r="G81">
        <v>452099024.94999999</v>
      </c>
      <c r="J81" s="1">
        <f t="shared" si="4"/>
        <v>42005</v>
      </c>
      <c r="K81" s="2">
        <f t="shared" si="5"/>
        <v>4.21070524259303</v>
      </c>
      <c r="L81" s="2">
        <f t="shared" si="6"/>
        <v>4.17633856543888</v>
      </c>
      <c r="M81" s="3">
        <f t="shared" si="7"/>
        <v>-3.4366677154149983</v>
      </c>
    </row>
    <row r="82" spans="1:13" x14ac:dyDescent="0.25">
      <c r="A82" s="1">
        <v>40118</v>
      </c>
      <c r="B82">
        <v>5.078866004619</v>
      </c>
      <c r="C82">
        <v>8892625242.2700005</v>
      </c>
      <c r="E82" s="1">
        <v>42036</v>
      </c>
      <c r="F82">
        <v>4.0234002328549003</v>
      </c>
      <c r="G82">
        <v>580656725.48000002</v>
      </c>
      <c r="J82" s="1">
        <f t="shared" si="4"/>
        <v>42036</v>
      </c>
      <c r="K82" s="2">
        <f t="shared" si="5"/>
        <v>4.10922277520595</v>
      </c>
      <c r="L82" s="2">
        <f t="shared" si="6"/>
        <v>4.0234002328549003</v>
      </c>
      <c r="M82" s="3">
        <f t="shared" si="7"/>
        <v>-8.5822542351049691</v>
      </c>
    </row>
    <row r="83" spans="1:13" x14ac:dyDescent="0.25">
      <c r="A83" s="1">
        <v>40148</v>
      </c>
      <c r="B83">
        <v>5.0211509166157198</v>
      </c>
      <c r="C83">
        <v>11826031892.73</v>
      </c>
      <c r="E83" s="1">
        <v>42064</v>
      </c>
      <c r="F83">
        <v>3.9373178571890901</v>
      </c>
      <c r="G83">
        <v>722361752</v>
      </c>
      <c r="J83" s="1">
        <f t="shared" si="4"/>
        <v>42064</v>
      </c>
      <c r="K83" s="2">
        <f t="shared" si="5"/>
        <v>3.9553607327322799</v>
      </c>
      <c r="L83" s="2">
        <f t="shared" si="6"/>
        <v>3.9373178571890901</v>
      </c>
      <c r="M83" s="3">
        <f t="shared" si="7"/>
        <v>-1.804287554318984</v>
      </c>
    </row>
    <row r="84" spans="1:13" x14ac:dyDescent="0.25">
      <c r="A84" s="1">
        <v>40179</v>
      </c>
      <c r="B84">
        <v>5.0092407811162296</v>
      </c>
      <c r="C84">
        <v>9498526907.6100006</v>
      </c>
      <c r="E84" s="1">
        <v>42095</v>
      </c>
      <c r="F84">
        <v>3.9367276405617702</v>
      </c>
      <c r="G84">
        <v>784556783.10000002</v>
      </c>
      <c r="J84" s="1">
        <f t="shared" si="4"/>
        <v>42095</v>
      </c>
      <c r="K84" s="2">
        <f t="shared" si="5"/>
        <v>3.9276818742844699</v>
      </c>
      <c r="L84" s="2">
        <f t="shared" si="6"/>
        <v>3.9367276405617702</v>
      </c>
      <c r="M84" s="3">
        <f t="shared" si="7"/>
        <v>0.9045766277300249</v>
      </c>
    </row>
    <row r="85" spans="1:13" x14ac:dyDescent="0.25">
      <c r="A85" s="1">
        <v>40210</v>
      </c>
      <c r="B85">
        <v>5.0038385694707097</v>
      </c>
      <c r="C85">
        <v>9796276171.8400002</v>
      </c>
      <c r="E85" s="1">
        <v>42125</v>
      </c>
      <c r="F85">
        <v>3.9778220600223699</v>
      </c>
      <c r="G85">
        <v>577391135.13999999</v>
      </c>
      <c r="J85" s="1">
        <f t="shared" si="4"/>
        <v>42125</v>
      </c>
      <c r="K85" s="2">
        <f t="shared" si="5"/>
        <v>3.9798879750114602</v>
      </c>
      <c r="L85" s="2">
        <f t="shared" si="6"/>
        <v>3.9778220600223699</v>
      </c>
      <c r="M85" s="3">
        <f t="shared" si="7"/>
        <v>-0.20659149890902562</v>
      </c>
    </row>
    <row r="86" spans="1:13" x14ac:dyDescent="0.25">
      <c r="A86" s="1">
        <v>40238</v>
      </c>
      <c r="B86">
        <v>5.0714390148175701</v>
      </c>
      <c r="C86">
        <v>8250311213.1999998</v>
      </c>
      <c r="E86" s="1">
        <v>42156</v>
      </c>
      <c r="F86">
        <v>3.9178168506003401</v>
      </c>
      <c r="G86">
        <v>1282163700.5</v>
      </c>
      <c r="J86" s="1">
        <f t="shared" si="4"/>
        <v>42156</v>
      </c>
      <c r="K86" s="2">
        <f t="shared" si="5"/>
        <v>3.9503007983611198</v>
      </c>
      <c r="L86" s="2">
        <f t="shared" si="6"/>
        <v>3.9178168506003401</v>
      </c>
      <c r="M86" s="3">
        <f t="shared" si="7"/>
        <v>-3.2483947760779674</v>
      </c>
    </row>
    <row r="87" spans="1:13" x14ac:dyDescent="0.25">
      <c r="A87" s="1">
        <v>40269</v>
      </c>
      <c r="B87">
        <v>5.0870377621813896</v>
      </c>
      <c r="C87">
        <v>8307523328</v>
      </c>
      <c r="E87" s="1">
        <v>42186</v>
      </c>
      <c r="F87">
        <v>4.0109065291932904</v>
      </c>
      <c r="G87">
        <v>584169046.09000003</v>
      </c>
      <c r="J87" s="1">
        <f t="shared" si="4"/>
        <v>42186</v>
      </c>
      <c r="K87" s="2">
        <f t="shared" si="5"/>
        <v>4.0229617778936904</v>
      </c>
      <c r="L87" s="2">
        <f t="shared" si="6"/>
        <v>4.0109065291932904</v>
      </c>
      <c r="M87" s="3">
        <f t="shared" si="7"/>
        <v>-1.2055248700399979</v>
      </c>
    </row>
    <row r="88" spans="1:13" x14ac:dyDescent="0.25">
      <c r="A88" s="1">
        <v>40299</v>
      </c>
      <c r="B88">
        <v>5.1218516924411404</v>
      </c>
      <c r="C88">
        <v>7962909294.3299999</v>
      </c>
      <c r="E88" s="1">
        <v>42217</v>
      </c>
      <c r="F88">
        <v>4.0190847804627099</v>
      </c>
      <c r="G88">
        <v>648589383</v>
      </c>
      <c r="J88" s="1">
        <f t="shared" si="4"/>
        <v>42217</v>
      </c>
      <c r="K88" s="2">
        <f t="shared" si="5"/>
        <v>4.1744258309329396</v>
      </c>
      <c r="L88" s="2">
        <f t="shared" si="6"/>
        <v>4.0190847804627099</v>
      </c>
      <c r="M88" s="3">
        <f t="shared" si="7"/>
        <v>-15.534105047022972</v>
      </c>
    </row>
    <row r="89" spans="1:13" x14ac:dyDescent="0.25">
      <c r="A89" s="1">
        <v>40330</v>
      </c>
      <c r="B89">
        <v>5.1341011640378502</v>
      </c>
      <c r="C89">
        <v>9504034327.9400005</v>
      </c>
      <c r="E89" s="1">
        <v>42248</v>
      </c>
      <c r="F89">
        <v>4.1036855111131398</v>
      </c>
      <c r="G89">
        <v>410962261</v>
      </c>
      <c r="J89" s="1">
        <f t="shared" si="4"/>
        <v>42248</v>
      </c>
      <c r="K89" s="2">
        <f t="shared" si="5"/>
        <v>4.1836238978343703</v>
      </c>
      <c r="L89" s="2">
        <f t="shared" si="6"/>
        <v>4.1036855111131398</v>
      </c>
      <c r="M89" s="3">
        <f t="shared" si="7"/>
        <v>-7.9938386721230437</v>
      </c>
    </row>
    <row r="90" spans="1:13" x14ac:dyDescent="0.25">
      <c r="A90" s="1">
        <v>40360</v>
      </c>
      <c r="B90">
        <v>5.0365657221265501</v>
      </c>
      <c r="C90">
        <v>9171525766.5499992</v>
      </c>
      <c r="E90" s="1">
        <v>42278</v>
      </c>
      <c r="F90">
        <v>4.1016352666616402</v>
      </c>
      <c r="G90">
        <v>389756891</v>
      </c>
      <c r="J90" s="1">
        <f t="shared" si="4"/>
        <v>42278</v>
      </c>
      <c r="K90" s="2">
        <f t="shared" si="5"/>
        <v>4.1707434581814402</v>
      </c>
      <c r="L90" s="2">
        <f t="shared" si="6"/>
        <v>4.1016352666616402</v>
      </c>
      <c r="M90" s="3">
        <f t="shared" si="7"/>
        <v>-6.9108191519799966</v>
      </c>
    </row>
    <row r="91" spans="1:13" x14ac:dyDescent="0.25">
      <c r="A91" s="1">
        <v>40391</v>
      </c>
      <c r="B91">
        <v>4.8474889438713502</v>
      </c>
      <c r="C91">
        <v>10783489684.32</v>
      </c>
      <c r="E91" s="1">
        <v>42309</v>
      </c>
      <c r="F91">
        <v>4.0285498711798899</v>
      </c>
      <c r="G91">
        <v>388754528</v>
      </c>
      <c r="J91" s="1">
        <f t="shared" si="4"/>
        <v>42309</v>
      </c>
      <c r="K91" s="2">
        <f t="shared" si="5"/>
        <v>4.1363755415572196</v>
      </c>
      <c r="L91" s="2">
        <f t="shared" si="6"/>
        <v>4.0285498711798899</v>
      </c>
      <c r="M91" s="3">
        <f t="shared" si="7"/>
        <v>-10.782567037732971</v>
      </c>
    </row>
    <row r="92" spans="1:13" x14ac:dyDescent="0.25">
      <c r="A92" s="1">
        <v>40422</v>
      </c>
      <c r="B92">
        <v>4.6973459559472204</v>
      </c>
      <c r="C92">
        <v>18364932431.419998</v>
      </c>
      <c r="E92" s="1"/>
      <c r="J92" s="1"/>
    </row>
    <row r="93" spans="1:13" x14ac:dyDescent="0.25">
      <c r="A93" s="1">
        <v>40452</v>
      </c>
      <c r="B93">
        <v>4.5759462233797699</v>
      </c>
      <c r="C93">
        <v>19097411840.669998</v>
      </c>
      <c r="J93" s="1"/>
    </row>
    <row r="94" spans="1:13" x14ac:dyDescent="0.25">
      <c r="A94" s="1">
        <v>40483</v>
      </c>
      <c r="B94">
        <v>4.5069513689208902</v>
      </c>
      <c r="C94">
        <v>19835706262.169998</v>
      </c>
      <c r="J94" s="1"/>
    </row>
    <row r="95" spans="1:13" x14ac:dyDescent="0.25">
      <c r="A95" s="1">
        <v>40513</v>
      </c>
      <c r="B95">
        <v>4.4219799495168601</v>
      </c>
      <c r="C95">
        <v>24066607366.360001</v>
      </c>
      <c r="J95" s="1"/>
    </row>
    <row r="96" spans="1:13" x14ac:dyDescent="0.25">
      <c r="A96" s="1">
        <v>40544</v>
      </c>
      <c r="B96">
        <v>4.4385152108216701</v>
      </c>
      <c r="C96">
        <v>18575256871.959999</v>
      </c>
      <c r="J96" s="1"/>
    </row>
    <row r="97" spans="1:10" x14ac:dyDescent="0.25">
      <c r="A97" s="1">
        <v>40575</v>
      </c>
      <c r="B97">
        <v>4.5761553363845504</v>
      </c>
      <c r="C97">
        <v>14783855555.07</v>
      </c>
      <c r="J97" s="1"/>
    </row>
    <row r="98" spans="1:10" x14ac:dyDescent="0.25">
      <c r="A98" s="1">
        <v>40603</v>
      </c>
      <c r="B98">
        <v>4.8096038933817304</v>
      </c>
      <c r="C98">
        <v>15201444558.09</v>
      </c>
      <c r="J98" s="1"/>
    </row>
    <row r="99" spans="1:10" x14ac:dyDescent="0.25">
      <c r="A99" s="1">
        <v>40634</v>
      </c>
      <c r="B99">
        <v>4.9767864877155601</v>
      </c>
      <c r="C99">
        <v>8235057459.46</v>
      </c>
      <c r="J99" s="1"/>
    </row>
    <row r="100" spans="1:10" x14ac:dyDescent="0.25">
      <c r="A100" s="1">
        <v>40664</v>
      </c>
      <c r="B100">
        <v>5.0425131462395401</v>
      </c>
      <c r="C100">
        <v>7701832093.3500004</v>
      </c>
      <c r="J100" s="1"/>
    </row>
    <row r="101" spans="1:10" x14ac:dyDescent="0.25">
      <c r="A101" s="1">
        <v>40695</v>
      </c>
      <c r="B101">
        <v>5.0248842882467502</v>
      </c>
      <c r="C101">
        <v>9039942852.7900009</v>
      </c>
      <c r="J101" s="1"/>
    </row>
    <row r="102" spans="1:10" x14ac:dyDescent="0.25">
      <c r="A102" s="1">
        <v>40725</v>
      </c>
      <c r="B102">
        <v>4.8772252006686196</v>
      </c>
      <c r="C102">
        <v>7066257621.8299999</v>
      </c>
      <c r="J102" s="1"/>
    </row>
    <row r="103" spans="1:10" x14ac:dyDescent="0.25">
      <c r="A103" s="1">
        <v>40756</v>
      </c>
      <c r="B103">
        <v>4.8363820926691696</v>
      </c>
      <c r="C103">
        <v>10007757053.84</v>
      </c>
      <c r="J103" s="1"/>
    </row>
    <row r="104" spans="1:10" x14ac:dyDescent="0.25">
      <c r="A104" s="1">
        <v>40787</v>
      </c>
      <c r="B104">
        <v>4.6810970781360304</v>
      </c>
      <c r="C104">
        <v>11887049428.809999</v>
      </c>
      <c r="J104" s="1"/>
    </row>
    <row r="105" spans="1:10" x14ac:dyDescent="0.25">
      <c r="A105" s="1">
        <v>40817</v>
      </c>
      <c r="B105">
        <v>4.4465595697710496</v>
      </c>
      <c r="C105">
        <v>12424283874.360001</v>
      </c>
      <c r="J105" s="1"/>
    </row>
    <row r="106" spans="1:10" x14ac:dyDescent="0.25">
      <c r="A106" s="1">
        <v>40848</v>
      </c>
      <c r="B106">
        <v>4.3168623942657796</v>
      </c>
      <c r="C106">
        <v>17206158803.099998</v>
      </c>
      <c r="J106" s="1"/>
    </row>
    <row r="107" spans="1:10" x14ac:dyDescent="0.25">
      <c r="A107" s="1">
        <v>40878</v>
      </c>
      <c r="B107">
        <v>4.2092702337220498</v>
      </c>
      <c r="C107">
        <v>26182848157.509998</v>
      </c>
      <c r="J107" s="1"/>
    </row>
    <row r="108" spans="1:10" x14ac:dyDescent="0.25">
      <c r="A108" s="1">
        <v>40909</v>
      </c>
      <c r="B108">
        <v>4.2144779553704996</v>
      </c>
      <c r="C108">
        <v>22752651791.389999</v>
      </c>
      <c r="J108" s="1"/>
    </row>
    <row r="109" spans="1:10" x14ac:dyDescent="0.25">
      <c r="A109" s="1">
        <v>40940</v>
      </c>
      <c r="B109">
        <v>4.14873975553152</v>
      </c>
      <c r="C109">
        <v>23819732017.84</v>
      </c>
      <c r="J109" s="1"/>
    </row>
    <row r="110" spans="1:10" x14ac:dyDescent="0.25">
      <c r="A110" s="1">
        <v>40969</v>
      </c>
      <c r="B110">
        <v>4.0873313467596901</v>
      </c>
      <c r="C110">
        <v>40862348811.290001</v>
      </c>
      <c r="J110" s="1"/>
    </row>
    <row r="111" spans="1:10" x14ac:dyDescent="0.25">
      <c r="A111" s="1">
        <v>41000</v>
      </c>
      <c r="B111">
        <v>4.0615707562121903</v>
      </c>
      <c r="C111">
        <v>19999662625.689999</v>
      </c>
      <c r="J111" s="1"/>
    </row>
    <row r="112" spans="1:10" x14ac:dyDescent="0.25">
      <c r="A112" s="1">
        <v>41030</v>
      </c>
      <c r="B112">
        <v>4.1110004195524699</v>
      </c>
      <c r="C112">
        <v>29899907941.02</v>
      </c>
      <c r="J112" s="1"/>
    </row>
    <row r="113" spans="1:10" x14ac:dyDescent="0.25">
      <c r="A113" s="1">
        <v>41061</v>
      </c>
      <c r="B113">
        <v>4.1135489285999203</v>
      </c>
      <c r="C113">
        <v>22397799296.889999</v>
      </c>
      <c r="J113" s="1"/>
    </row>
    <row r="114" spans="1:10" x14ac:dyDescent="0.25">
      <c r="A114" s="1">
        <v>41091</v>
      </c>
      <c r="B114">
        <v>3.97808455193652</v>
      </c>
      <c r="C114">
        <v>28034944684.330002</v>
      </c>
      <c r="J114" s="1"/>
    </row>
    <row r="115" spans="1:10" x14ac:dyDescent="0.25">
      <c r="A115" s="1">
        <v>41122</v>
      </c>
      <c r="B115">
        <v>3.8617020385981302</v>
      </c>
      <c r="C115">
        <v>32234206017.400002</v>
      </c>
      <c r="J115" s="1"/>
    </row>
    <row r="116" spans="1:10" x14ac:dyDescent="0.25">
      <c r="A116" s="1">
        <v>41153</v>
      </c>
      <c r="B116">
        <v>3.7733819952113601</v>
      </c>
      <c r="C116">
        <v>35179449949.190002</v>
      </c>
      <c r="J116" s="1"/>
    </row>
    <row r="117" spans="1:10" x14ac:dyDescent="0.25">
      <c r="A117" s="1">
        <v>41183</v>
      </c>
      <c r="B117">
        <v>3.7382330713563499</v>
      </c>
      <c r="C117">
        <v>23793830165.07</v>
      </c>
      <c r="J117" s="1"/>
    </row>
    <row r="118" spans="1:10" x14ac:dyDescent="0.25">
      <c r="A118" s="1">
        <v>41214</v>
      </c>
      <c r="B118">
        <v>3.6516310685855902</v>
      </c>
      <c r="C118">
        <v>46040192422.589996</v>
      </c>
      <c r="J118" s="1"/>
    </row>
    <row r="119" spans="1:10" x14ac:dyDescent="0.25">
      <c r="A119" s="1">
        <v>41244</v>
      </c>
      <c r="B119">
        <v>3.5727041397908499</v>
      </c>
      <c r="C119">
        <v>26648714415.299999</v>
      </c>
      <c r="J119" s="1"/>
    </row>
    <row r="120" spans="1:10" x14ac:dyDescent="0.25">
      <c r="A120" s="1">
        <v>41275</v>
      </c>
      <c r="B120">
        <v>3.5530465476448501</v>
      </c>
      <c r="C120">
        <v>35165056050.440002</v>
      </c>
      <c r="J120" s="1"/>
    </row>
    <row r="121" spans="1:10" x14ac:dyDescent="0.25">
      <c r="A121" s="1">
        <v>41306</v>
      </c>
      <c r="B121">
        <v>3.5498527720992601</v>
      </c>
      <c r="C121">
        <v>33914552250.34</v>
      </c>
      <c r="J121" s="1"/>
    </row>
    <row r="122" spans="1:10" x14ac:dyDescent="0.25">
      <c r="A122" s="1">
        <v>41334</v>
      </c>
      <c r="B122">
        <v>3.6382632261646699</v>
      </c>
      <c r="C122">
        <v>25740042709.220001</v>
      </c>
      <c r="J122" s="1"/>
    </row>
    <row r="123" spans="1:10" x14ac:dyDescent="0.25">
      <c r="A123" s="1">
        <v>41365</v>
      </c>
      <c r="B123">
        <v>3.7353771975532899</v>
      </c>
      <c r="C123">
        <v>28253745486.860001</v>
      </c>
      <c r="J123" s="1"/>
    </row>
    <row r="124" spans="1:10" x14ac:dyDescent="0.25">
      <c r="A124" s="1">
        <v>41395</v>
      </c>
      <c r="B124">
        <v>3.7601506692407298</v>
      </c>
      <c r="C124">
        <v>31585441945.369999</v>
      </c>
      <c r="J124" s="1"/>
    </row>
    <row r="125" spans="1:10" x14ac:dyDescent="0.25">
      <c r="A125" s="1">
        <v>41426</v>
      </c>
      <c r="B125">
        <v>3.7298142086411201</v>
      </c>
      <c r="C125">
        <v>27349765789.740002</v>
      </c>
      <c r="J125" s="1"/>
    </row>
    <row r="126" spans="1:10" x14ac:dyDescent="0.25">
      <c r="A126" s="1">
        <v>41456</v>
      </c>
      <c r="B126">
        <v>3.7946058022060201</v>
      </c>
      <c r="C126">
        <v>29979400067.169998</v>
      </c>
      <c r="J126" s="1"/>
    </row>
    <row r="127" spans="1:10" x14ac:dyDescent="0.25">
      <c r="A127" s="1">
        <v>41487</v>
      </c>
      <c r="B127">
        <v>4.0946548495280597</v>
      </c>
      <c r="C127">
        <v>25791053612.369999</v>
      </c>
      <c r="J127" s="1"/>
    </row>
    <row r="128" spans="1:10" x14ac:dyDescent="0.25">
      <c r="A128" s="1">
        <v>41518</v>
      </c>
      <c r="B128">
        <v>4.4012497130787702</v>
      </c>
      <c r="C128">
        <v>21105763036.77</v>
      </c>
      <c r="J128" s="1"/>
    </row>
    <row r="129" spans="1:10" x14ac:dyDescent="0.25">
      <c r="A129" s="1">
        <v>41548</v>
      </c>
      <c r="B129">
        <v>4.5991938154436296</v>
      </c>
      <c r="C129">
        <v>18643151680.560001</v>
      </c>
      <c r="J129" s="1"/>
    </row>
    <row r="130" spans="1:10" x14ac:dyDescent="0.25">
      <c r="A130" s="1">
        <v>41579</v>
      </c>
      <c r="B130">
        <v>4.5919275467719496</v>
      </c>
      <c r="C130">
        <v>15497263326.99</v>
      </c>
      <c r="J130" s="1"/>
    </row>
    <row r="131" spans="1:10" x14ac:dyDescent="0.25">
      <c r="A131" s="1">
        <v>41609</v>
      </c>
      <c r="B131">
        <v>4.5013379620201599</v>
      </c>
      <c r="C131">
        <v>13316864184.57</v>
      </c>
      <c r="J131" s="1"/>
    </row>
    <row r="132" spans="1:10" x14ac:dyDescent="0.25">
      <c r="A132" s="1">
        <v>41640</v>
      </c>
      <c r="B132">
        <v>4.5306220746030998</v>
      </c>
      <c r="C132">
        <v>9866812188.4200001</v>
      </c>
      <c r="J132" s="1"/>
    </row>
    <row r="133" spans="1:10" x14ac:dyDescent="0.25">
      <c r="A133" s="1">
        <v>41671</v>
      </c>
      <c r="B133">
        <v>4.5954229786032998</v>
      </c>
      <c r="C133">
        <v>9922793269.1499996</v>
      </c>
      <c r="J133" s="1"/>
    </row>
    <row r="134" spans="1:10" x14ac:dyDescent="0.25">
      <c r="A134" s="1">
        <v>41699</v>
      </c>
      <c r="B134">
        <v>4.6185118991901</v>
      </c>
      <c r="C134">
        <v>8511245132.8800001</v>
      </c>
      <c r="J134" s="1"/>
    </row>
    <row r="135" spans="1:10" x14ac:dyDescent="0.25">
      <c r="A135" s="1">
        <v>41730</v>
      </c>
      <c r="B135">
        <v>4.5565658997008596</v>
      </c>
      <c r="C135">
        <v>10366218959.540001</v>
      </c>
      <c r="J135" s="1"/>
    </row>
    <row r="136" spans="1:10" x14ac:dyDescent="0.25">
      <c r="A136" s="1">
        <v>41760</v>
      </c>
      <c r="B136">
        <v>4.5673159674058699</v>
      </c>
      <c r="C136">
        <v>10357905946.280001</v>
      </c>
      <c r="J136" s="1"/>
    </row>
    <row r="137" spans="1:10" x14ac:dyDescent="0.25">
      <c r="A137" s="1">
        <v>41791</v>
      </c>
      <c r="B137">
        <v>4.5179605371255001</v>
      </c>
      <c r="C137">
        <v>12458494712</v>
      </c>
      <c r="J137" s="1"/>
    </row>
    <row r="138" spans="1:10" x14ac:dyDescent="0.25">
      <c r="A138" s="1">
        <v>41821</v>
      </c>
      <c r="B138">
        <v>4.4315817899379599</v>
      </c>
      <c r="C138">
        <v>14145154983.07</v>
      </c>
      <c r="J138" s="1"/>
    </row>
    <row r="139" spans="1:10" x14ac:dyDescent="0.25">
      <c r="A139" s="1">
        <v>41852</v>
      </c>
      <c r="B139">
        <v>4.3804308344050904</v>
      </c>
      <c r="C139">
        <v>13474751965.76</v>
      </c>
      <c r="J139" s="1"/>
    </row>
    <row r="140" spans="1:10" x14ac:dyDescent="0.25">
      <c r="A140" s="1">
        <v>41883</v>
      </c>
      <c r="B140">
        <v>4.3526198652641002</v>
      </c>
      <c r="C140">
        <v>16842954476.82</v>
      </c>
      <c r="J140" s="1"/>
    </row>
    <row r="141" spans="1:10" x14ac:dyDescent="0.25">
      <c r="A141" s="1">
        <v>41913</v>
      </c>
      <c r="B141">
        <v>4.3683732769038297</v>
      </c>
      <c r="C141">
        <v>15744486527.66</v>
      </c>
      <c r="J141" s="1"/>
    </row>
    <row r="142" spans="1:10" x14ac:dyDescent="0.25">
      <c r="A142" s="1">
        <v>41944</v>
      </c>
      <c r="B142">
        <v>4.4276439876552001</v>
      </c>
      <c r="C142">
        <v>12925695820.98</v>
      </c>
      <c r="J142" s="1"/>
    </row>
    <row r="143" spans="1:10" x14ac:dyDescent="0.25">
      <c r="A143" s="1">
        <v>41974</v>
      </c>
      <c r="B143">
        <v>4.2713058539944697</v>
      </c>
      <c r="C143">
        <v>17410407240.779999</v>
      </c>
      <c r="J143" s="1"/>
    </row>
    <row r="144" spans="1:10" x14ac:dyDescent="0.25">
      <c r="A144" s="1">
        <v>42005</v>
      </c>
      <c r="B144">
        <v>4.21070524259303</v>
      </c>
      <c r="C144">
        <v>14744504978.370001</v>
      </c>
      <c r="J144" s="1"/>
    </row>
    <row r="145" spans="1:10" x14ac:dyDescent="0.25">
      <c r="A145" s="1">
        <v>42036</v>
      </c>
      <c r="B145">
        <v>4.10922277520595</v>
      </c>
      <c r="C145">
        <v>13950713962.74</v>
      </c>
      <c r="J145" s="1"/>
    </row>
    <row r="146" spans="1:10" x14ac:dyDescent="0.25">
      <c r="A146" s="1">
        <v>42064</v>
      </c>
      <c r="B146">
        <v>3.9553607327322799</v>
      </c>
      <c r="C146">
        <v>19533468731.970001</v>
      </c>
      <c r="J146" s="1"/>
    </row>
    <row r="147" spans="1:10" x14ac:dyDescent="0.25">
      <c r="A147" s="1">
        <v>42095</v>
      </c>
      <c r="B147">
        <v>3.9276818742844699</v>
      </c>
      <c r="C147">
        <v>20578224704.740002</v>
      </c>
      <c r="J147" s="1"/>
    </row>
    <row r="148" spans="1:10" x14ac:dyDescent="0.25">
      <c r="A148" s="1">
        <v>42125</v>
      </c>
      <c r="B148">
        <v>3.9798879750114602</v>
      </c>
      <c r="C148">
        <v>18921315991</v>
      </c>
      <c r="J148" s="1"/>
    </row>
    <row r="149" spans="1:10" x14ac:dyDescent="0.25">
      <c r="A149" s="1">
        <v>42156</v>
      </c>
      <c r="B149">
        <v>3.9503007983611198</v>
      </c>
      <c r="C149">
        <v>18555859703.23</v>
      </c>
      <c r="J149" s="1"/>
    </row>
    <row r="150" spans="1:10" x14ac:dyDescent="0.25">
      <c r="A150" s="1">
        <v>42186</v>
      </c>
      <c r="B150">
        <v>4.0229617778936904</v>
      </c>
      <c r="C150">
        <v>20276889095.07</v>
      </c>
      <c r="J150" s="1"/>
    </row>
    <row r="151" spans="1:10" x14ac:dyDescent="0.25">
      <c r="A151" s="1">
        <v>42217</v>
      </c>
      <c r="B151">
        <v>4.1744258309329396</v>
      </c>
      <c r="C151">
        <v>16503504843.93</v>
      </c>
      <c r="J151" s="1"/>
    </row>
    <row r="152" spans="1:10" x14ac:dyDescent="0.25">
      <c r="A152" s="1">
        <v>42248</v>
      </c>
      <c r="B152">
        <v>4.1836238978343703</v>
      </c>
      <c r="C152">
        <v>19275317951.560001</v>
      </c>
      <c r="J152" s="1"/>
    </row>
    <row r="153" spans="1:10" x14ac:dyDescent="0.25">
      <c r="A153" s="1">
        <v>42278</v>
      </c>
      <c r="B153">
        <v>4.1707434581814402</v>
      </c>
      <c r="C153">
        <v>17565542216.509998</v>
      </c>
      <c r="J153" s="1"/>
    </row>
    <row r="154" spans="1:10" x14ac:dyDescent="0.25">
      <c r="A154" s="1">
        <v>42309</v>
      </c>
      <c r="B154">
        <v>4.1363755415572196</v>
      </c>
      <c r="C154">
        <v>11094627743.809999</v>
      </c>
      <c r="J154" s="1"/>
    </row>
    <row r="155" spans="1:10" x14ac:dyDescent="0.25">
      <c r="A155" s="1"/>
      <c r="J15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5"/>
  <sheetViews>
    <sheetView tabSelected="1" topLeftCell="H1" workbookViewId="0">
      <selection activeCell="AK50" sqref="AK50"/>
    </sheetView>
  </sheetViews>
  <sheetFormatPr defaultRowHeight="15" x14ac:dyDescent="0.25"/>
  <cols>
    <col min="11" max="11" width="9.7109375" bestFit="1" customWidth="1"/>
    <col min="21" max="21" width="9.7109375" bestFit="1" customWidth="1"/>
    <col min="22" max="25" width="9.5703125" bestFit="1" customWidth="1"/>
    <col min="26" max="26" width="10.28515625" bestFit="1" customWidth="1"/>
    <col min="27" max="27" width="11.7109375" bestFit="1" customWidth="1"/>
  </cols>
  <sheetData>
    <row r="1" spans="1:28" x14ac:dyDescent="0.25">
      <c r="A1" t="s">
        <v>3</v>
      </c>
      <c r="B1" t="s">
        <v>8</v>
      </c>
      <c r="F1" t="s">
        <v>2</v>
      </c>
      <c r="K1" t="s">
        <v>9</v>
      </c>
      <c r="L1" t="s">
        <v>8</v>
      </c>
      <c r="P1" t="s">
        <v>10</v>
      </c>
      <c r="V1" s="8" t="s">
        <v>11</v>
      </c>
      <c r="W1" s="8"/>
      <c r="X1" s="8"/>
      <c r="Y1" s="8"/>
    </row>
    <row r="2" spans="1:28" x14ac:dyDescent="0.25">
      <c r="A2" t="s">
        <v>0</v>
      </c>
      <c r="B2" t="s">
        <v>1</v>
      </c>
      <c r="C2" t="s">
        <v>7</v>
      </c>
      <c r="F2" t="s">
        <v>0</v>
      </c>
      <c r="G2" t="s">
        <v>1</v>
      </c>
      <c r="H2" t="s">
        <v>7</v>
      </c>
      <c r="K2" t="s">
        <v>0</v>
      </c>
      <c r="L2" t="s">
        <v>1</v>
      </c>
      <c r="M2" t="s">
        <v>7</v>
      </c>
      <c r="P2" t="s">
        <v>0</v>
      </c>
      <c r="Q2" t="s">
        <v>1</v>
      </c>
      <c r="R2" t="s">
        <v>7</v>
      </c>
      <c r="V2" t="s">
        <v>3</v>
      </c>
      <c r="W2" t="s">
        <v>2</v>
      </c>
      <c r="X2" t="s">
        <v>9</v>
      </c>
      <c r="Y2" t="s">
        <v>10</v>
      </c>
      <c r="Z2" t="s">
        <v>12</v>
      </c>
      <c r="AA2" t="s">
        <v>13</v>
      </c>
      <c r="AB2" t="s">
        <v>14</v>
      </c>
    </row>
    <row r="3" spans="1:28" x14ac:dyDescent="0.25">
      <c r="A3" s="1">
        <v>37712</v>
      </c>
      <c r="B3">
        <v>6.0142830025532996</v>
      </c>
      <c r="C3">
        <v>20874900</v>
      </c>
      <c r="F3" s="1">
        <v>39569</v>
      </c>
      <c r="G3">
        <v>6.375</v>
      </c>
      <c r="H3">
        <v>729750</v>
      </c>
      <c r="K3" s="1">
        <v>38687</v>
      </c>
      <c r="L3">
        <v>5.8558445342567804</v>
      </c>
      <c r="M3">
        <v>214018589</v>
      </c>
      <c r="P3" s="1">
        <v>39569</v>
      </c>
      <c r="Q3">
        <v>6.3663903713334502</v>
      </c>
      <c r="R3">
        <v>159851958</v>
      </c>
      <c r="U3" s="1">
        <v>39569</v>
      </c>
      <c r="V3" s="5">
        <f>VLOOKUP(U3,A:C,3,0)/1000000</f>
        <v>132.36925208</v>
      </c>
      <c r="W3" s="4">
        <f>VLOOKUP(U3,F:H,3,0)/1000000</f>
        <v>0.72975000000000001</v>
      </c>
      <c r="X3" s="4">
        <f>VLOOKUP(U3,K:M,3,0)/1000000</f>
        <v>559.07428900000002</v>
      </c>
      <c r="Y3" s="4">
        <f>VLOOKUP(U3,P:R,3,0)/1000000</f>
        <v>159.851958</v>
      </c>
      <c r="Z3" s="6">
        <f>V3+X3</f>
        <v>691.44354108000005</v>
      </c>
      <c r="AA3" s="6">
        <f>W3+Y3</f>
        <v>160.58170799999999</v>
      </c>
      <c r="AB3" s="7">
        <f>Z3/(Z3+AA3)</f>
        <v>0.81152940224084558</v>
      </c>
    </row>
    <row r="4" spans="1:28" x14ac:dyDescent="0.25">
      <c r="A4" s="1">
        <v>37742</v>
      </c>
      <c r="B4">
        <v>6.0048263100913903</v>
      </c>
      <c r="C4">
        <v>19212400</v>
      </c>
      <c r="F4" s="1">
        <v>39600</v>
      </c>
      <c r="G4">
        <v>6.1245484278914697</v>
      </c>
      <c r="H4">
        <v>17095830</v>
      </c>
      <c r="K4" s="1">
        <v>38718</v>
      </c>
      <c r="L4">
        <v>6.0859780394005201</v>
      </c>
      <c r="M4">
        <v>195889097</v>
      </c>
      <c r="P4" s="1">
        <v>39600</v>
      </c>
      <c r="Q4">
        <v>6.2753486988105598</v>
      </c>
      <c r="R4">
        <v>218347031</v>
      </c>
      <c r="U4" s="1">
        <v>39600</v>
      </c>
      <c r="V4" s="5">
        <f t="shared" ref="V4:V67" si="0">VLOOKUP(U4,A:C,3,0)/1000000</f>
        <v>103.34249865000001</v>
      </c>
      <c r="W4" s="4">
        <f t="shared" ref="W4:W67" si="1">VLOOKUP(U4,F:H,3,0)/1000000</f>
        <v>17.095829999999999</v>
      </c>
      <c r="X4" s="4">
        <f t="shared" ref="X4:X67" si="2">VLOOKUP(U4,K:M,3,0)/1000000</f>
        <v>381.81671299999999</v>
      </c>
      <c r="Y4" s="4">
        <f t="shared" ref="Y4:Y67" si="3">VLOOKUP(U4,P:R,3,0)/1000000</f>
        <v>218.34703099999999</v>
      </c>
      <c r="Z4" s="6">
        <f t="shared" ref="Z4:Z67" si="4">V4+X4</f>
        <v>485.15921164999997</v>
      </c>
      <c r="AA4" s="6">
        <f t="shared" ref="AA4:AA67" si="5">W4+Y4</f>
        <v>235.44286099999999</v>
      </c>
      <c r="AB4" s="7">
        <f t="shared" ref="AB4:AB67" si="6">Z4/(Z4+AA4)</f>
        <v>0.67326924257355591</v>
      </c>
    </row>
    <row r="5" spans="1:28" x14ac:dyDescent="0.25">
      <c r="A5" s="1">
        <v>37773</v>
      </c>
      <c r="B5">
        <v>5.8485184813897204</v>
      </c>
      <c r="C5">
        <v>29676475</v>
      </c>
      <c r="F5" s="1">
        <v>39630</v>
      </c>
      <c r="G5">
        <v>6.0942730811472599</v>
      </c>
      <c r="H5">
        <v>93028348</v>
      </c>
      <c r="K5" s="1">
        <v>38749</v>
      </c>
      <c r="L5">
        <v>6.1836863394933896</v>
      </c>
      <c r="M5">
        <v>167693627</v>
      </c>
      <c r="P5" s="1">
        <v>39630</v>
      </c>
      <c r="Q5">
        <v>6.14359491017888</v>
      </c>
      <c r="R5">
        <v>247733618</v>
      </c>
      <c r="U5" s="1">
        <v>39630</v>
      </c>
      <c r="V5" s="5">
        <f t="shared" si="0"/>
        <v>78.028532999999996</v>
      </c>
      <c r="W5" s="4">
        <f t="shared" si="1"/>
        <v>93.028347999999994</v>
      </c>
      <c r="X5" s="4">
        <f t="shared" si="2"/>
        <v>245.825515</v>
      </c>
      <c r="Y5" s="4">
        <f t="shared" si="3"/>
        <v>247.73361800000001</v>
      </c>
      <c r="Z5" s="6">
        <f t="shared" si="4"/>
        <v>323.85404799999998</v>
      </c>
      <c r="AA5" s="6">
        <f t="shared" si="5"/>
        <v>340.76196600000003</v>
      </c>
      <c r="AB5" s="7">
        <f t="shared" si="6"/>
        <v>0.48727993484670984</v>
      </c>
    </row>
    <row r="6" spans="1:28" x14ac:dyDescent="0.25">
      <c r="A6" s="1">
        <v>37803</v>
      </c>
      <c r="B6">
        <v>5.6111053210452697</v>
      </c>
      <c r="C6">
        <v>35890016</v>
      </c>
      <c r="F6" s="1">
        <v>39661</v>
      </c>
      <c r="G6">
        <v>6.2520024770016596</v>
      </c>
      <c r="H6">
        <v>102639818</v>
      </c>
      <c r="K6" s="1">
        <v>38777</v>
      </c>
      <c r="L6">
        <v>6.1650149593679702</v>
      </c>
      <c r="M6">
        <v>184080638</v>
      </c>
      <c r="P6" s="1">
        <v>39661</v>
      </c>
      <c r="Q6">
        <v>6.3919648175307797</v>
      </c>
      <c r="R6">
        <v>147420949</v>
      </c>
      <c r="U6" s="1">
        <v>39661</v>
      </c>
      <c r="V6" s="5">
        <f t="shared" si="0"/>
        <v>54.922035999999999</v>
      </c>
      <c r="W6" s="4">
        <f t="shared" si="1"/>
        <v>102.63981800000001</v>
      </c>
      <c r="X6" s="4">
        <f t="shared" si="2"/>
        <v>272.29765300000003</v>
      </c>
      <c r="Y6" s="4">
        <f t="shared" si="3"/>
        <v>147.42094900000001</v>
      </c>
      <c r="Z6" s="6">
        <f t="shared" si="4"/>
        <v>327.21968900000002</v>
      </c>
      <c r="AA6" s="6">
        <f t="shared" si="5"/>
        <v>250.060767</v>
      </c>
      <c r="AB6" s="7">
        <f t="shared" si="6"/>
        <v>0.5668296676234611</v>
      </c>
    </row>
    <row r="7" spans="1:28" x14ac:dyDescent="0.25">
      <c r="A7" s="1">
        <v>37834</v>
      </c>
      <c r="B7">
        <v>5.5624139639427197</v>
      </c>
      <c r="C7">
        <v>42602051</v>
      </c>
      <c r="F7" s="1">
        <v>39692</v>
      </c>
      <c r="G7">
        <v>6.4045819942127498</v>
      </c>
      <c r="H7">
        <v>77810394</v>
      </c>
      <c r="K7" s="1">
        <v>38808</v>
      </c>
      <c r="L7">
        <v>6.2197048351664197</v>
      </c>
      <c r="M7">
        <v>154247762</v>
      </c>
      <c r="P7" s="1">
        <v>39692</v>
      </c>
      <c r="Q7">
        <v>6.44299819717095</v>
      </c>
      <c r="R7">
        <v>55947623</v>
      </c>
      <c r="U7" s="1">
        <v>39692</v>
      </c>
      <c r="V7" s="5">
        <f t="shared" si="0"/>
        <v>65.352228999999994</v>
      </c>
      <c r="W7" s="4">
        <f t="shared" si="1"/>
        <v>77.810394000000002</v>
      </c>
      <c r="X7" s="4">
        <f t="shared" si="2"/>
        <v>236.094641</v>
      </c>
      <c r="Y7" s="4">
        <f t="shared" si="3"/>
        <v>55.947623</v>
      </c>
      <c r="Z7" s="6">
        <f t="shared" si="4"/>
        <v>301.44686999999999</v>
      </c>
      <c r="AA7" s="6">
        <f t="shared" si="5"/>
        <v>133.758017</v>
      </c>
      <c r="AB7" s="7">
        <f t="shared" si="6"/>
        <v>0.69265506662382681</v>
      </c>
    </row>
    <row r="8" spans="1:28" x14ac:dyDescent="0.25">
      <c r="A8" s="1">
        <v>37865</v>
      </c>
      <c r="B8">
        <v>5.4004848434566002</v>
      </c>
      <c r="C8">
        <v>45657211</v>
      </c>
      <c r="F8" s="1">
        <v>39722</v>
      </c>
      <c r="G8">
        <v>6.3945973722680698</v>
      </c>
      <c r="H8">
        <v>56615288</v>
      </c>
      <c r="K8" s="1">
        <v>38838</v>
      </c>
      <c r="L8">
        <v>6.2573747698928397</v>
      </c>
      <c r="M8">
        <v>151608171</v>
      </c>
      <c r="P8" s="1">
        <v>39722</v>
      </c>
      <c r="Q8">
        <v>6.5404218820467799</v>
      </c>
      <c r="R8">
        <v>150966545</v>
      </c>
      <c r="U8" s="1">
        <v>39722</v>
      </c>
      <c r="V8" s="5">
        <f t="shared" si="0"/>
        <v>57.0178364</v>
      </c>
      <c r="W8" s="4">
        <f t="shared" si="1"/>
        <v>56.615288</v>
      </c>
      <c r="X8" s="4">
        <f t="shared" si="2"/>
        <v>229.29403300000001</v>
      </c>
      <c r="Y8" s="4">
        <f t="shared" si="3"/>
        <v>150.966545</v>
      </c>
      <c r="Z8" s="6">
        <f t="shared" si="4"/>
        <v>286.31186940000003</v>
      </c>
      <c r="AA8" s="6">
        <f t="shared" si="5"/>
        <v>207.58183299999999</v>
      </c>
      <c r="AB8" s="7">
        <f t="shared" si="6"/>
        <v>0.57970342202929859</v>
      </c>
    </row>
    <row r="9" spans="1:28" x14ac:dyDescent="0.25">
      <c r="A9" s="1">
        <v>37895</v>
      </c>
      <c r="B9">
        <v>5.74936827867025</v>
      </c>
      <c r="C9">
        <v>36663318</v>
      </c>
      <c r="F9" s="1">
        <v>39783</v>
      </c>
      <c r="G9">
        <v>6.90583259127337</v>
      </c>
      <c r="H9">
        <v>2246000</v>
      </c>
      <c r="K9" s="1">
        <v>38869</v>
      </c>
      <c r="L9">
        <v>6.4439672232499996</v>
      </c>
      <c r="M9">
        <v>170568528</v>
      </c>
      <c r="P9" s="1">
        <v>39753</v>
      </c>
      <c r="Q9">
        <v>6.1713243537540601</v>
      </c>
      <c r="R9">
        <v>77037351</v>
      </c>
      <c r="U9" s="1">
        <v>39783</v>
      </c>
      <c r="V9" s="5">
        <f t="shared" si="0"/>
        <v>122.57860297000001</v>
      </c>
      <c r="W9" s="4">
        <f t="shared" si="1"/>
        <v>2.246</v>
      </c>
      <c r="X9" s="4">
        <f t="shared" si="2"/>
        <v>204.88233199999999</v>
      </c>
      <c r="Y9" s="4">
        <f t="shared" si="3"/>
        <v>103.565758</v>
      </c>
      <c r="Z9" s="6">
        <f t="shared" si="4"/>
        <v>327.46093496999998</v>
      </c>
      <c r="AA9" s="6">
        <f t="shared" si="5"/>
        <v>105.811758</v>
      </c>
      <c r="AB9" s="7">
        <f t="shared" si="6"/>
        <v>0.75578484470211826</v>
      </c>
    </row>
    <row r="10" spans="1:28" x14ac:dyDescent="0.25">
      <c r="A10" s="1">
        <v>37926</v>
      </c>
      <c r="B10">
        <v>5.7273436154125896</v>
      </c>
      <c r="C10">
        <v>26121500</v>
      </c>
      <c r="F10" s="1">
        <v>39845</v>
      </c>
      <c r="G10">
        <v>5.45743722092433</v>
      </c>
      <c r="H10">
        <v>61897415</v>
      </c>
      <c r="K10" s="1">
        <v>38899</v>
      </c>
      <c r="L10">
        <v>6.5019274438858297</v>
      </c>
      <c r="M10">
        <v>148811401</v>
      </c>
      <c r="P10" s="1">
        <v>39783</v>
      </c>
      <c r="Q10">
        <v>6.2220725285475096</v>
      </c>
      <c r="R10">
        <v>103565758</v>
      </c>
      <c r="U10" s="1">
        <v>39845</v>
      </c>
      <c r="V10" s="5">
        <f t="shared" si="0"/>
        <v>406.35788145999999</v>
      </c>
      <c r="W10" s="4">
        <f t="shared" si="1"/>
        <v>61.897415000000002</v>
      </c>
      <c r="X10" s="4">
        <f t="shared" si="2"/>
        <v>1080.509033</v>
      </c>
      <c r="Y10" s="4">
        <f t="shared" si="3"/>
        <v>28.546523000000001</v>
      </c>
      <c r="Z10" s="6">
        <f t="shared" si="4"/>
        <v>1486.8669144600001</v>
      </c>
      <c r="AA10" s="6">
        <f t="shared" si="5"/>
        <v>90.443938000000003</v>
      </c>
      <c r="AB10" s="7">
        <f t="shared" si="6"/>
        <v>0.94265940803048287</v>
      </c>
    </row>
    <row r="11" spans="1:28" x14ac:dyDescent="0.25">
      <c r="A11" s="1">
        <v>37956</v>
      </c>
      <c r="B11">
        <v>5.9510646380814904</v>
      </c>
      <c r="C11">
        <v>19505220</v>
      </c>
      <c r="F11" s="1">
        <v>39873</v>
      </c>
      <c r="G11">
        <v>5.1421785413605203</v>
      </c>
      <c r="H11">
        <v>93762319</v>
      </c>
      <c r="K11" s="1">
        <v>38930</v>
      </c>
      <c r="L11">
        <v>6.6105459520088399</v>
      </c>
      <c r="M11">
        <v>192749680</v>
      </c>
      <c r="P11" s="1">
        <v>39814</v>
      </c>
      <c r="Q11">
        <v>6.2927072864737097</v>
      </c>
      <c r="R11">
        <v>49280326</v>
      </c>
      <c r="U11" s="1">
        <v>39873</v>
      </c>
      <c r="V11" s="5">
        <f t="shared" si="0"/>
        <v>955.39691114999994</v>
      </c>
      <c r="W11" s="4">
        <f t="shared" si="1"/>
        <v>93.762319000000005</v>
      </c>
      <c r="X11" s="4">
        <f t="shared" si="2"/>
        <v>2316.5188419999999</v>
      </c>
      <c r="Y11" s="4">
        <f t="shared" si="3"/>
        <v>6.0747499999999999</v>
      </c>
      <c r="Z11" s="6">
        <f t="shared" si="4"/>
        <v>3271.91575315</v>
      </c>
      <c r="AA11" s="6">
        <f t="shared" si="5"/>
        <v>99.837069</v>
      </c>
      <c r="AB11" s="7">
        <f t="shared" si="6"/>
        <v>0.97039015780037552</v>
      </c>
    </row>
    <row r="12" spans="1:28" x14ac:dyDescent="0.25">
      <c r="A12" s="1">
        <v>37987</v>
      </c>
      <c r="B12">
        <v>5.97673093256779</v>
      </c>
      <c r="C12">
        <v>28197950</v>
      </c>
      <c r="F12" s="1">
        <v>39904</v>
      </c>
      <c r="G12">
        <v>5.0554737687329903</v>
      </c>
      <c r="H12">
        <v>96552573.469999999</v>
      </c>
      <c r="K12" s="1">
        <v>38961</v>
      </c>
      <c r="L12">
        <v>6.6453264611302796</v>
      </c>
      <c r="M12">
        <v>161158267</v>
      </c>
      <c r="P12" s="1">
        <v>39845</v>
      </c>
      <c r="Q12">
        <v>6.1203040252923202</v>
      </c>
      <c r="R12">
        <v>28546523</v>
      </c>
      <c r="U12" s="1">
        <v>39904</v>
      </c>
      <c r="V12" s="5">
        <f t="shared" si="0"/>
        <v>658.96149778999995</v>
      </c>
      <c r="W12" s="4">
        <f t="shared" si="1"/>
        <v>96.552573469999999</v>
      </c>
      <c r="X12" s="4">
        <f t="shared" si="2"/>
        <v>2387.6754449999999</v>
      </c>
      <c r="Y12" s="4">
        <v>0</v>
      </c>
      <c r="Z12" s="6">
        <f t="shared" si="4"/>
        <v>3046.6369427899999</v>
      </c>
      <c r="AA12" s="6">
        <f t="shared" si="5"/>
        <v>96.552573469999999</v>
      </c>
      <c r="AB12" s="7">
        <f t="shared" si="6"/>
        <v>0.9692819752132269</v>
      </c>
    </row>
    <row r="13" spans="1:28" x14ac:dyDescent="0.25">
      <c r="A13" s="1">
        <v>38018</v>
      </c>
      <c r="B13">
        <v>5.8090554410779296</v>
      </c>
      <c r="C13">
        <v>21789800</v>
      </c>
      <c r="F13" s="1">
        <v>39934</v>
      </c>
      <c r="G13">
        <v>5.7907815848222999</v>
      </c>
      <c r="H13">
        <v>462915322.58999997</v>
      </c>
      <c r="K13" s="1">
        <v>38991</v>
      </c>
      <c r="L13">
        <v>6.5523535713335397</v>
      </c>
      <c r="M13">
        <v>131952629</v>
      </c>
      <c r="P13" s="1">
        <v>39873</v>
      </c>
      <c r="Q13">
        <v>5.8095343429770701</v>
      </c>
      <c r="R13">
        <v>6074750</v>
      </c>
      <c r="U13" s="1">
        <v>39934</v>
      </c>
      <c r="V13" s="5">
        <f t="shared" si="0"/>
        <v>922.47069862000001</v>
      </c>
      <c r="W13" s="4">
        <f t="shared" si="1"/>
        <v>462.91532258999996</v>
      </c>
      <c r="X13" s="4">
        <f t="shared" si="2"/>
        <v>2516.0844419999999</v>
      </c>
      <c r="Y13" s="4">
        <v>0</v>
      </c>
      <c r="Z13" s="6">
        <f t="shared" si="4"/>
        <v>3438.5551406199997</v>
      </c>
      <c r="AA13" s="6">
        <f t="shared" si="5"/>
        <v>462.91532258999996</v>
      </c>
      <c r="AB13" s="7">
        <f t="shared" si="6"/>
        <v>0.88134850001936738</v>
      </c>
    </row>
    <row r="14" spans="1:28" x14ac:dyDescent="0.25">
      <c r="A14" s="1">
        <v>38047</v>
      </c>
      <c r="B14">
        <v>5.8831309019551004</v>
      </c>
      <c r="C14">
        <v>23466800</v>
      </c>
      <c r="F14" s="1">
        <v>39965</v>
      </c>
      <c r="G14">
        <v>5.7589089264667797</v>
      </c>
      <c r="H14">
        <v>248842501.34</v>
      </c>
      <c r="K14" s="1">
        <v>39022</v>
      </c>
      <c r="L14">
        <v>6.4430755829231501</v>
      </c>
      <c r="M14">
        <v>164999149</v>
      </c>
      <c r="P14" s="1">
        <v>40513</v>
      </c>
      <c r="Q14">
        <v>4.6964126886829396</v>
      </c>
      <c r="R14">
        <v>610373057</v>
      </c>
      <c r="U14" s="1">
        <v>39965</v>
      </c>
      <c r="V14" s="5">
        <f t="shared" si="0"/>
        <v>2217.1040866500002</v>
      </c>
      <c r="W14" s="4">
        <f t="shared" si="1"/>
        <v>248.84250134000001</v>
      </c>
      <c r="X14" s="4">
        <f t="shared" si="2"/>
        <v>3179.438999</v>
      </c>
      <c r="Y14" s="4">
        <v>0</v>
      </c>
      <c r="Z14" s="6">
        <f t="shared" si="4"/>
        <v>5396.5430856500006</v>
      </c>
      <c r="AA14" s="6">
        <f t="shared" si="5"/>
        <v>248.84250134000001</v>
      </c>
      <c r="AB14" s="7">
        <f t="shared" si="6"/>
        <v>0.95592107970207263</v>
      </c>
    </row>
    <row r="15" spans="1:28" x14ac:dyDescent="0.25">
      <c r="A15" s="1">
        <v>38078</v>
      </c>
      <c r="B15">
        <v>5.7218038353963703</v>
      </c>
      <c r="C15">
        <v>41237909.289999999</v>
      </c>
      <c r="F15" s="1">
        <v>39995</v>
      </c>
      <c r="G15">
        <v>5.1653493259022403</v>
      </c>
      <c r="H15">
        <v>399274767.36000001</v>
      </c>
      <c r="K15" s="1">
        <v>39052</v>
      </c>
      <c r="L15">
        <v>6.2548090066655897</v>
      </c>
      <c r="M15">
        <v>156518368</v>
      </c>
      <c r="P15" s="1">
        <v>40544</v>
      </c>
      <c r="Q15">
        <v>4.6383119833336899</v>
      </c>
      <c r="R15">
        <v>451456526</v>
      </c>
      <c r="U15" s="1">
        <v>39995</v>
      </c>
      <c r="V15" s="5">
        <f t="shared" si="0"/>
        <v>1721.9127329200001</v>
      </c>
      <c r="W15" s="4">
        <f t="shared" si="1"/>
        <v>399.27476736</v>
      </c>
      <c r="X15" s="4">
        <f t="shared" si="2"/>
        <v>2536.30197</v>
      </c>
      <c r="Y15" s="4">
        <v>0</v>
      </c>
      <c r="Z15" s="6">
        <f t="shared" si="4"/>
        <v>4258.2147029200005</v>
      </c>
      <c r="AA15" s="6">
        <f t="shared" si="5"/>
        <v>399.27476736</v>
      </c>
      <c r="AB15" s="7">
        <f t="shared" si="6"/>
        <v>0.91427253461165725</v>
      </c>
    </row>
    <row r="16" spans="1:28" x14ac:dyDescent="0.25">
      <c r="A16" s="1">
        <v>38108</v>
      </c>
      <c r="B16">
        <v>5.6330131486716004</v>
      </c>
      <c r="C16">
        <v>50251236</v>
      </c>
      <c r="F16" s="1">
        <v>40026</v>
      </c>
      <c r="G16">
        <v>5.2403231875035399</v>
      </c>
      <c r="H16">
        <v>580642087.15999997</v>
      </c>
      <c r="K16" s="1">
        <v>39083</v>
      </c>
      <c r="L16">
        <v>6.3267811810868002</v>
      </c>
      <c r="M16">
        <v>173531275</v>
      </c>
      <c r="P16" s="1">
        <v>40575</v>
      </c>
      <c r="Q16">
        <v>4.7243096803583997</v>
      </c>
      <c r="R16">
        <v>1336643816</v>
      </c>
      <c r="U16" s="1">
        <v>40026</v>
      </c>
      <c r="V16" s="5">
        <f t="shared" si="0"/>
        <v>1254.96738688</v>
      </c>
      <c r="W16" s="4">
        <f t="shared" si="1"/>
        <v>580.64208715999996</v>
      </c>
      <c r="X16" s="4">
        <f t="shared" si="2"/>
        <v>2807.1416880000002</v>
      </c>
      <c r="Y16" s="4">
        <v>0</v>
      </c>
      <c r="Z16" s="6">
        <f t="shared" si="4"/>
        <v>4062.1090748800002</v>
      </c>
      <c r="AA16" s="6">
        <f t="shared" si="5"/>
        <v>580.64208715999996</v>
      </c>
      <c r="AB16" s="7">
        <f t="shared" si="6"/>
        <v>0.87493577258513489</v>
      </c>
    </row>
    <row r="17" spans="1:28" x14ac:dyDescent="0.25">
      <c r="A17" s="1">
        <v>38139</v>
      </c>
      <c r="B17">
        <v>5.7700138078741503</v>
      </c>
      <c r="C17">
        <v>39095084</v>
      </c>
      <c r="F17" s="1">
        <v>40057</v>
      </c>
      <c r="G17">
        <v>5.21692395316723</v>
      </c>
      <c r="H17">
        <v>904833459.79999995</v>
      </c>
      <c r="K17" s="1">
        <v>39114</v>
      </c>
      <c r="L17">
        <v>6.1125574181798203</v>
      </c>
      <c r="M17">
        <v>238927593</v>
      </c>
      <c r="P17" s="1">
        <v>40603</v>
      </c>
      <c r="Q17">
        <v>4.80142418073694</v>
      </c>
      <c r="R17">
        <v>377898648</v>
      </c>
      <c r="U17" s="1">
        <v>40057</v>
      </c>
      <c r="V17" s="5">
        <f t="shared" si="0"/>
        <v>1125.2468495599999</v>
      </c>
      <c r="W17" s="4">
        <f t="shared" si="1"/>
        <v>904.8334597999999</v>
      </c>
      <c r="X17" s="4">
        <f t="shared" si="2"/>
        <v>1992.28358</v>
      </c>
      <c r="Y17" s="4">
        <v>0</v>
      </c>
      <c r="Z17" s="6">
        <f t="shared" si="4"/>
        <v>3117.5304295599999</v>
      </c>
      <c r="AA17" s="6">
        <f t="shared" si="5"/>
        <v>904.8334597999999</v>
      </c>
      <c r="AB17" s="7">
        <f t="shared" si="6"/>
        <v>0.77504932803482174</v>
      </c>
    </row>
    <row r="18" spans="1:28" x14ac:dyDescent="0.25">
      <c r="A18" s="1">
        <v>38169</v>
      </c>
      <c r="B18">
        <v>6.0558883011429696</v>
      </c>
      <c r="C18">
        <v>29648110</v>
      </c>
      <c r="F18" s="1">
        <v>40087</v>
      </c>
      <c r="G18">
        <v>5.1306296486980401</v>
      </c>
      <c r="H18">
        <v>1188936412.2</v>
      </c>
      <c r="K18" s="1">
        <v>39142</v>
      </c>
      <c r="L18">
        <v>6.1869796594896904</v>
      </c>
      <c r="M18">
        <v>239443206</v>
      </c>
      <c r="P18" s="1">
        <v>40634</v>
      </c>
      <c r="Q18">
        <v>4.9846484013828203</v>
      </c>
      <c r="R18">
        <v>585436034</v>
      </c>
      <c r="U18" s="1">
        <v>40087</v>
      </c>
      <c r="V18" s="5">
        <f t="shared" si="0"/>
        <v>682.32094623</v>
      </c>
      <c r="W18" s="4">
        <f t="shared" si="1"/>
        <v>1188.9364121999999</v>
      </c>
      <c r="X18" s="4">
        <f t="shared" si="2"/>
        <v>1819.1084089999999</v>
      </c>
      <c r="Y18" s="4">
        <v>0</v>
      </c>
      <c r="Z18" s="6">
        <f t="shared" si="4"/>
        <v>2501.4293552300001</v>
      </c>
      <c r="AA18" s="6">
        <f t="shared" si="5"/>
        <v>1188.9364121999999</v>
      </c>
      <c r="AB18" s="7">
        <f t="shared" si="6"/>
        <v>0.67782694531442478</v>
      </c>
    </row>
    <row r="19" spans="1:28" x14ac:dyDescent="0.25">
      <c r="A19" s="1">
        <v>38200</v>
      </c>
      <c r="B19">
        <v>6.1837880990059197</v>
      </c>
      <c r="C19">
        <v>21387205</v>
      </c>
      <c r="F19" s="1">
        <v>40118</v>
      </c>
      <c r="G19">
        <v>5.41435717664781</v>
      </c>
      <c r="H19">
        <v>718388309.45000005</v>
      </c>
      <c r="K19" s="1">
        <v>39173</v>
      </c>
      <c r="L19">
        <v>6.1374846614449599</v>
      </c>
      <c r="M19">
        <v>205235271</v>
      </c>
      <c r="P19" s="1">
        <v>40664</v>
      </c>
      <c r="Q19">
        <v>4.99531177660658</v>
      </c>
      <c r="R19">
        <v>708329988</v>
      </c>
      <c r="U19" s="1">
        <v>40118</v>
      </c>
      <c r="V19" s="5">
        <f t="shared" si="0"/>
        <v>664.46952251999994</v>
      </c>
      <c r="W19" s="4">
        <f t="shared" si="1"/>
        <v>718.38830945000007</v>
      </c>
      <c r="X19" s="4">
        <f t="shared" si="2"/>
        <v>1702.1827800000001</v>
      </c>
      <c r="Y19" s="4">
        <v>0</v>
      </c>
      <c r="Z19" s="6">
        <f t="shared" si="4"/>
        <v>2366.6523025199999</v>
      </c>
      <c r="AA19" s="6">
        <f t="shared" si="5"/>
        <v>718.38830945000007</v>
      </c>
      <c r="AB19" s="7">
        <f t="shared" si="6"/>
        <v>0.76713813534167308</v>
      </c>
    </row>
    <row r="20" spans="1:28" x14ac:dyDescent="0.25">
      <c r="A20" s="1">
        <v>38231</v>
      </c>
      <c r="B20">
        <v>6.2298021419168199</v>
      </c>
      <c r="C20">
        <v>23586350</v>
      </c>
      <c r="F20" s="1">
        <v>40148</v>
      </c>
      <c r="G20">
        <v>5.2994695564856702</v>
      </c>
      <c r="H20">
        <v>788019327.62</v>
      </c>
      <c r="K20" s="1">
        <v>39203</v>
      </c>
      <c r="L20">
        <v>6.1173843625736399</v>
      </c>
      <c r="M20">
        <v>238892380</v>
      </c>
      <c r="P20" s="1">
        <v>40695</v>
      </c>
      <c r="Q20">
        <v>5.0002822257616</v>
      </c>
      <c r="R20">
        <v>834736998</v>
      </c>
      <c r="U20" s="1">
        <v>40148</v>
      </c>
      <c r="V20" s="5">
        <f t="shared" si="0"/>
        <v>947.19441390999998</v>
      </c>
      <c r="W20" s="4">
        <f t="shared" si="1"/>
        <v>788.01932762000001</v>
      </c>
      <c r="X20" s="4">
        <f t="shared" si="2"/>
        <v>2454.5192040000002</v>
      </c>
      <c r="Y20" s="4">
        <v>0</v>
      </c>
      <c r="Z20" s="6">
        <f t="shared" si="4"/>
        <v>3401.7136179100003</v>
      </c>
      <c r="AA20" s="6">
        <f t="shared" si="5"/>
        <v>788.01932762000001</v>
      </c>
      <c r="AB20" s="7">
        <f t="shared" si="6"/>
        <v>0.81191657371366999</v>
      </c>
    </row>
    <row r="21" spans="1:28" x14ac:dyDescent="0.25">
      <c r="A21" s="1">
        <v>38261</v>
      </c>
      <c r="B21">
        <v>6.0288412461529202</v>
      </c>
      <c r="C21">
        <v>18746078</v>
      </c>
      <c r="F21" s="1">
        <v>40179</v>
      </c>
      <c r="G21">
        <v>5.2280199287837199</v>
      </c>
      <c r="H21">
        <v>739150345.74000001</v>
      </c>
      <c r="K21" s="1">
        <v>39234</v>
      </c>
      <c r="L21">
        <v>6.1531497491844096</v>
      </c>
      <c r="M21">
        <v>206459455</v>
      </c>
      <c r="P21" s="1">
        <v>40725</v>
      </c>
      <c r="Q21">
        <v>4.8258248686914698</v>
      </c>
      <c r="R21">
        <v>575809162</v>
      </c>
      <c r="U21" s="1">
        <v>40179</v>
      </c>
      <c r="V21" s="5">
        <f t="shared" si="0"/>
        <v>737.94655778999993</v>
      </c>
      <c r="W21" s="4">
        <f t="shared" si="1"/>
        <v>739.15034574000003</v>
      </c>
      <c r="X21" s="4">
        <f t="shared" si="2"/>
        <v>1770.479963</v>
      </c>
      <c r="Y21" s="4">
        <v>0</v>
      </c>
      <c r="Z21" s="6">
        <f t="shared" si="4"/>
        <v>2508.4265207899998</v>
      </c>
      <c r="AA21" s="6">
        <f t="shared" si="5"/>
        <v>739.15034574000003</v>
      </c>
      <c r="AB21" s="7">
        <f t="shared" si="6"/>
        <v>0.77239943006190526</v>
      </c>
    </row>
    <row r="22" spans="1:28" x14ac:dyDescent="0.25">
      <c r="A22" s="1">
        <v>38292</v>
      </c>
      <c r="B22">
        <v>5.9434952807202004</v>
      </c>
      <c r="C22">
        <v>27292300</v>
      </c>
      <c r="F22" s="1">
        <v>40210</v>
      </c>
      <c r="G22">
        <v>5.2085875172014697</v>
      </c>
      <c r="H22">
        <v>748890955.95000005</v>
      </c>
      <c r="K22" s="1">
        <v>39264</v>
      </c>
      <c r="L22">
        <v>6.31176131942612</v>
      </c>
      <c r="M22">
        <v>189936970</v>
      </c>
      <c r="P22" s="1">
        <v>40756</v>
      </c>
      <c r="Q22">
        <v>4.7671785472075499</v>
      </c>
      <c r="R22">
        <v>543054133</v>
      </c>
      <c r="U22" s="1">
        <v>40210</v>
      </c>
      <c r="V22" s="5">
        <f t="shared" si="0"/>
        <v>819.32681758000001</v>
      </c>
      <c r="W22" s="4">
        <f t="shared" si="1"/>
        <v>748.89095595000003</v>
      </c>
      <c r="X22" s="4">
        <f t="shared" si="2"/>
        <v>1891.871069</v>
      </c>
      <c r="Y22" s="4">
        <v>0</v>
      </c>
      <c r="Z22" s="6">
        <f t="shared" si="4"/>
        <v>2711.1978865800002</v>
      </c>
      <c r="AA22" s="6">
        <f t="shared" si="5"/>
        <v>748.89095595000003</v>
      </c>
      <c r="AB22" s="7">
        <f t="shared" si="6"/>
        <v>0.78356308463963764</v>
      </c>
    </row>
    <row r="23" spans="1:28" x14ac:dyDescent="0.25">
      <c r="A23" s="1">
        <v>38322</v>
      </c>
      <c r="B23">
        <v>5.9427648144449101</v>
      </c>
      <c r="C23">
        <v>35544700</v>
      </c>
      <c r="F23" s="1">
        <v>40238</v>
      </c>
      <c r="G23">
        <v>5.2375697965875103</v>
      </c>
      <c r="H23">
        <v>718928735.09000003</v>
      </c>
      <c r="K23" s="1">
        <v>39295</v>
      </c>
      <c r="L23">
        <v>6.5176760478421398</v>
      </c>
      <c r="M23">
        <v>253212973</v>
      </c>
      <c r="P23" s="1">
        <v>40787</v>
      </c>
      <c r="Q23">
        <v>4.7056281447906096</v>
      </c>
      <c r="R23">
        <v>749484915</v>
      </c>
      <c r="U23" s="1">
        <v>40238</v>
      </c>
      <c r="V23" s="5">
        <f t="shared" si="0"/>
        <v>716.42430824999997</v>
      </c>
      <c r="W23" s="4">
        <f t="shared" si="1"/>
        <v>718.92873509000003</v>
      </c>
      <c r="X23" s="4">
        <f t="shared" si="2"/>
        <v>2042.534249</v>
      </c>
      <c r="Y23" s="4">
        <v>0</v>
      </c>
      <c r="Z23" s="6">
        <f t="shared" si="4"/>
        <v>2758.95855725</v>
      </c>
      <c r="AA23" s="6">
        <f t="shared" si="5"/>
        <v>718.92873509000003</v>
      </c>
      <c r="AB23" s="7">
        <f t="shared" si="6"/>
        <v>0.79328578684150264</v>
      </c>
    </row>
    <row r="24" spans="1:28" x14ac:dyDescent="0.25">
      <c r="A24" s="1">
        <v>38353</v>
      </c>
      <c r="B24">
        <v>5.9546583837510498</v>
      </c>
      <c r="C24">
        <v>35866195</v>
      </c>
      <c r="F24" s="1">
        <v>40269</v>
      </c>
      <c r="G24">
        <v>5.1947490213890397</v>
      </c>
      <c r="H24">
        <v>523627930.20999998</v>
      </c>
      <c r="K24" s="1">
        <v>39326</v>
      </c>
      <c r="L24">
        <v>6.5857425979783502</v>
      </c>
      <c r="M24">
        <v>210045522</v>
      </c>
      <c r="P24" s="1">
        <v>40817</v>
      </c>
      <c r="Q24">
        <v>4.4748635024455998</v>
      </c>
      <c r="R24">
        <v>1039859290</v>
      </c>
      <c r="U24" s="1">
        <v>40269</v>
      </c>
      <c r="V24" s="5">
        <f t="shared" si="0"/>
        <v>648.53762725000001</v>
      </c>
      <c r="W24" s="4">
        <f t="shared" si="1"/>
        <v>523.62793020999993</v>
      </c>
      <c r="X24" s="4">
        <f t="shared" si="2"/>
        <v>1335.290105</v>
      </c>
      <c r="Y24" s="4">
        <v>0</v>
      </c>
      <c r="Z24" s="6">
        <f t="shared" si="4"/>
        <v>1983.8277322500001</v>
      </c>
      <c r="AA24" s="6">
        <f t="shared" si="5"/>
        <v>523.62793020999993</v>
      </c>
      <c r="AB24" s="7">
        <f t="shared" si="6"/>
        <v>0.79117160951261567</v>
      </c>
    </row>
    <row r="25" spans="1:28" x14ac:dyDescent="0.25">
      <c r="A25" s="1">
        <v>38384</v>
      </c>
      <c r="B25">
        <v>5.9877339117399302</v>
      </c>
      <c r="C25">
        <v>43193375</v>
      </c>
      <c r="F25" s="1">
        <v>40299</v>
      </c>
      <c r="G25">
        <v>5.2085029646195098</v>
      </c>
      <c r="H25">
        <v>511005739.45999998</v>
      </c>
      <c r="K25" s="1">
        <v>39356</v>
      </c>
      <c r="L25">
        <v>6.6356038427770097</v>
      </c>
      <c r="M25">
        <v>238451515</v>
      </c>
      <c r="P25" s="1">
        <v>40848</v>
      </c>
      <c r="Q25">
        <v>4.3946406930614996</v>
      </c>
      <c r="R25">
        <v>937550904</v>
      </c>
      <c r="U25" s="1">
        <v>40299</v>
      </c>
      <c r="V25" s="5">
        <f t="shared" si="0"/>
        <v>595.23562700000002</v>
      </c>
      <c r="W25" s="4">
        <f t="shared" si="1"/>
        <v>511.00573945999997</v>
      </c>
      <c r="X25" s="4">
        <f t="shared" si="2"/>
        <v>1262.7667590000001</v>
      </c>
      <c r="Y25" s="4">
        <v>0</v>
      </c>
      <c r="Z25" s="6">
        <f t="shared" si="4"/>
        <v>1858.0023860000001</v>
      </c>
      <c r="AA25" s="6">
        <f t="shared" si="5"/>
        <v>511.00573945999997</v>
      </c>
      <c r="AB25" s="7">
        <f t="shared" si="6"/>
        <v>0.78429548891446887</v>
      </c>
    </row>
    <row r="26" spans="1:28" x14ac:dyDescent="0.25">
      <c r="A26" s="1">
        <v>38412</v>
      </c>
      <c r="B26">
        <v>5.80930133502285</v>
      </c>
      <c r="C26">
        <v>39198580</v>
      </c>
      <c r="F26" s="1">
        <v>40330</v>
      </c>
      <c r="G26">
        <v>5.2285494374911403</v>
      </c>
      <c r="H26">
        <v>472808261.00999999</v>
      </c>
      <c r="K26" s="1">
        <v>39387</v>
      </c>
      <c r="L26">
        <v>6.5313575730117899</v>
      </c>
      <c r="M26">
        <v>287303811</v>
      </c>
      <c r="P26" s="1">
        <v>40878</v>
      </c>
      <c r="Q26">
        <v>4.3254442475429604</v>
      </c>
      <c r="R26">
        <v>554532825</v>
      </c>
      <c r="U26" s="1">
        <v>40330</v>
      </c>
      <c r="V26" s="5">
        <f t="shared" si="0"/>
        <v>696.97956991000001</v>
      </c>
      <c r="W26" s="4">
        <f t="shared" si="1"/>
        <v>472.80826100999997</v>
      </c>
      <c r="X26" s="4">
        <f t="shared" si="2"/>
        <v>1646.2021360000001</v>
      </c>
      <c r="Y26" s="4">
        <v>0</v>
      </c>
      <c r="Z26" s="6">
        <f t="shared" si="4"/>
        <v>2343.1817059100003</v>
      </c>
      <c r="AA26" s="6">
        <f t="shared" si="5"/>
        <v>472.80826100999997</v>
      </c>
      <c r="AB26" s="7">
        <f t="shared" si="6"/>
        <v>0.83209874091734215</v>
      </c>
    </row>
    <row r="27" spans="1:28" x14ac:dyDescent="0.25">
      <c r="A27" s="1">
        <v>38443</v>
      </c>
      <c r="B27">
        <v>5.7571151221849703</v>
      </c>
      <c r="C27">
        <v>49758246</v>
      </c>
      <c r="F27" s="1">
        <v>40360</v>
      </c>
      <c r="G27">
        <v>5.0557682150417103</v>
      </c>
      <c r="H27">
        <v>922006230.86000001</v>
      </c>
      <c r="K27" s="1">
        <v>39417</v>
      </c>
      <c r="L27">
        <v>6.4498345861760997</v>
      </c>
      <c r="M27">
        <v>421295351</v>
      </c>
      <c r="P27" s="1">
        <v>40909</v>
      </c>
      <c r="Q27">
        <v>4.2573967693887802</v>
      </c>
      <c r="R27">
        <v>1187740691</v>
      </c>
      <c r="U27" s="1">
        <v>40360</v>
      </c>
      <c r="V27" s="5">
        <f t="shared" si="0"/>
        <v>638.94285279999997</v>
      </c>
      <c r="W27" s="4">
        <f t="shared" si="1"/>
        <v>922.00623085999996</v>
      </c>
      <c r="X27" s="4">
        <f t="shared" si="2"/>
        <v>1506.640936</v>
      </c>
      <c r="Y27" s="4">
        <v>0</v>
      </c>
      <c r="Z27" s="6">
        <f t="shared" si="4"/>
        <v>2145.5837888000001</v>
      </c>
      <c r="AA27" s="6">
        <f t="shared" si="5"/>
        <v>922.00623085999996</v>
      </c>
      <c r="AB27" s="7">
        <f t="shared" si="6"/>
        <v>0.69943629202373281</v>
      </c>
    </row>
    <row r="28" spans="1:28" x14ac:dyDescent="0.25">
      <c r="A28" s="1">
        <v>38473</v>
      </c>
      <c r="B28">
        <v>5.9052829466773398</v>
      </c>
      <c r="C28">
        <v>48839538</v>
      </c>
      <c r="F28" s="1">
        <v>40391</v>
      </c>
      <c r="G28">
        <v>4.94533634563739</v>
      </c>
      <c r="H28">
        <v>1029483175.04</v>
      </c>
      <c r="K28" s="1">
        <v>39448</v>
      </c>
      <c r="L28">
        <v>6.3751160824036299</v>
      </c>
      <c r="M28">
        <v>411400208</v>
      </c>
      <c r="P28" s="1">
        <v>40940</v>
      </c>
      <c r="Q28">
        <v>4.1861167489117799</v>
      </c>
      <c r="R28">
        <v>948721314</v>
      </c>
      <c r="U28" s="1">
        <v>40391</v>
      </c>
      <c r="V28" s="5">
        <f t="shared" si="0"/>
        <v>747.51592340999991</v>
      </c>
      <c r="W28" s="4">
        <f t="shared" si="1"/>
        <v>1029.4831750399999</v>
      </c>
      <c r="X28" s="4">
        <f t="shared" si="2"/>
        <v>1203.4902549999999</v>
      </c>
      <c r="Y28" s="4">
        <v>0</v>
      </c>
      <c r="Z28" s="6">
        <f t="shared" si="4"/>
        <v>1951.0061784099998</v>
      </c>
      <c r="AA28" s="6">
        <f t="shared" si="5"/>
        <v>1029.4831750399999</v>
      </c>
      <c r="AB28" s="7">
        <f t="shared" si="6"/>
        <v>0.6545925675431975</v>
      </c>
    </row>
    <row r="29" spans="1:28" x14ac:dyDescent="0.25">
      <c r="A29" s="1">
        <v>38504</v>
      </c>
      <c r="B29">
        <v>5.9078393241378304</v>
      </c>
      <c r="C29">
        <v>50927662</v>
      </c>
      <c r="F29" s="1">
        <v>40422</v>
      </c>
      <c r="G29">
        <v>4.7953999478086997</v>
      </c>
      <c r="H29">
        <v>1598884025.8199999</v>
      </c>
      <c r="K29" s="1">
        <v>39479</v>
      </c>
      <c r="L29">
        <v>6.2394068833973204</v>
      </c>
      <c r="M29">
        <v>564726343</v>
      </c>
      <c r="P29" s="1">
        <v>40969</v>
      </c>
      <c r="Q29">
        <v>4.1124851124890904</v>
      </c>
      <c r="R29">
        <v>1336764764</v>
      </c>
      <c r="U29" s="1">
        <v>40422</v>
      </c>
      <c r="V29" s="5">
        <f t="shared" si="0"/>
        <v>1296.1718253900001</v>
      </c>
      <c r="W29" s="4">
        <f t="shared" si="1"/>
        <v>1598.88402582</v>
      </c>
      <c r="X29" s="4">
        <f t="shared" si="2"/>
        <v>1710.037296</v>
      </c>
      <c r="Y29" s="4">
        <v>0</v>
      </c>
      <c r="Z29" s="6">
        <f t="shared" si="4"/>
        <v>3006.2091213900003</v>
      </c>
      <c r="AA29" s="6">
        <f t="shared" si="5"/>
        <v>1598.88402582</v>
      </c>
      <c r="AB29" s="7">
        <f t="shared" si="6"/>
        <v>0.65280093698241803</v>
      </c>
    </row>
    <row r="30" spans="1:28" x14ac:dyDescent="0.25">
      <c r="A30" s="1">
        <v>38534</v>
      </c>
      <c r="B30">
        <v>5.9011473771324399</v>
      </c>
      <c r="C30">
        <v>51649234</v>
      </c>
      <c r="F30" s="1">
        <v>40452</v>
      </c>
      <c r="G30">
        <v>4.6998283313148699</v>
      </c>
      <c r="H30">
        <v>1726027159.97</v>
      </c>
      <c r="K30" s="1">
        <v>39508</v>
      </c>
      <c r="L30">
        <v>5.9532079142211103</v>
      </c>
      <c r="M30">
        <v>505876541</v>
      </c>
      <c r="P30" s="1">
        <v>41000</v>
      </c>
      <c r="Q30">
        <v>4.0947444431660003</v>
      </c>
      <c r="R30">
        <v>460310719</v>
      </c>
      <c r="U30" s="1">
        <v>40452</v>
      </c>
      <c r="V30" s="5">
        <f t="shared" si="0"/>
        <v>1364.39387781</v>
      </c>
      <c r="W30" s="4">
        <f t="shared" si="1"/>
        <v>1726.02715997</v>
      </c>
      <c r="X30" s="4">
        <f t="shared" si="2"/>
        <v>1353.1925080000001</v>
      </c>
      <c r="Y30" s="4">
        <v>0</v>
      </c>
      <c r="Z30" s="6">
        <f t="shared" si="4"/>
        <v>2717.5863858100001</v>
      </c>
      <c r="AA30" s="6">
        <f t="shared" si="5"/>
        <v>1726.02715997</v>
      </c>
      <c r="AB30" s="7">
        <f t="shared" si="6"/>
        <v>0.61157127140158951</v>
      </c>
    </row>
    <row r="31" spans="1:28" x14ac:dyDescent="0.25">
      <c r="A31" s="1">
        <v>38565</v>
      </c>
      <c r="B31">
        <v>5.8137954445100197</v>
      </c>
      <c r="C31">
        <v>83241408</v>
      </c>
      <c r="F31" s="1">
        <v>40483</v>
      </c>
      <c r="G31">
        <v>4.6019115808046198</v>
      </c>
      <c r="H31">
        <v>2022076567.05</v>
      </c>
      <c r="K31" s="1">
        <v>39539</v>
      </c>
      <c r="L31">
        <v>6.0511701674010698</v>
      </c>
      <c r="M31">
        <v>496051056</v>
      </c>
      <c r="P31" s="1">
        <v>41030</v>
      </c>
      <c r="Q31">
        <v>4.1451334753250197</v>
      </c>
      <c r="R31">
        <v>733370606</v>
      </c>
      <c r="U31" s="1">
        <v>40483</v>
      </c>
      <c r="V31" s="5">
        <f t="shared" si="0"/>
        <v>1397.82726482</v>
      </c>
      <c r="W31" s="4">
        <f t="shared" si="1"/>
        <v>2022.07656705</v>
      </c>
      <c r="X31" s="4">
        <f t="shared" si="2"/>
        <v>1553.8825549999999</v>
      </c>
      <c r="Y31" s="4">
        <v>0</v>
      </c>
      <c r="Z31" s="6">
        <f t="shared" si="4"/>
        <v>2951.7098198200001</v>
      </c>
      <c r="AA31" s="6">
        <f t="shared" si="5"/>
        <v>2022.07656705</v>
      </c>
      <c r="AB31" s="7">
        <f t="shared" si="6"/>
        <v>0.59345327487566435</v>
      </c>
    </row>
    <row r="32" spans="1:28" x14ac:dyDescent="0.25">
      <c r="A32" s="1">
        <v>38596</v>
      </c>
      <c r="B32">
        <v>5.8660272965813398</v>
      </c>
      <c r="C32">
        <v>94014447</v>
      </c>
      <c r="F32" s="1">
        <v>40513</v>
      </c>
      <c r="G32">
        <v>4.5254544968722996</v>
      </c>
      <c r="H32">
        <v>2649706206.6900001</v>
      </c>
      <c r="K32" s="1">
        <v>39569</v>
      </c>
      <c r="L32">
        <v>6.0568902322120497</v>
      </c>
      <c r="M32">
        <v>559074289</v>
      </c>
      <c r="P32" s="1">
        <v>41061</v>
      </c>
      <c r="Q32">
        <v>4.1399642841732902</v>
      </c>
      <c r="R32">
        <v>1000582467</v>
      </c>
      <c r="U32" s="1">
        <v>40513</v>
      </c>
      <c r="V32" s="5">
        <f t="shared" si="0"/>
        <v>1887.4296508800001</v>
      </c>
      <c r="W32" s="4">
        <f t="shared" si="1"/>
        <v>2649.7062066900003</v>
      </c>
      <c r="X32" s="4">
        <f t="shared" si="2"/>
        <v>1811.3519449999999</v>
      </c>
      <c r="Y32" s="4">
        <f t="shared" si="3"/>
        <v>610.37305700000002</v>
      </c>
      <c r="Z32" s="6">
        <f t="shared" si="4"/>
        <v>3698.7815958800002</v>
      </c>
      <c r="AA32" s="6">
        <f t="shared" si="5"/>
        <v>3260.0792636900005</v>
      </c>
      <c r="AB32" s="7">
        <f t="shared" si="6"/>
        <v>0.53152113119108313</v>
      </c>
    </row>
    <row r="33" spans="1:28" x14ac:dyDescent="0.25">
      <c r="A33" s="1">
        <v>38626</v>
      </c>
      <c r="B33">
        <v>5.7986277309425001</v>
      </c>
      <c r="C33">
        <v>57974582</v>
      </c>
      <c r="F33" s="1">
        <v>40544</v>
      </c>
      <c r="G33">
        <v>4.4793848848414202</v>
      </c>
      <c r="H33">
        <v>2379727702.9200001</v>
      </c>
      <c r="K33" s="1">
        <v>39600</v>
      </c>
      <c r="L33">
        <v>6.0435664578936299</v>
      </c>
      <c r="M33">
        <v>381816713</v>
      </c>
      <c r="P33" s="1">
        <v>41091</v>
      </c>
      <c r="Q33">
        <v>4.0292351638575798</v>
      </c>
      <c r="R33">
        <v>689048269</v>
      </c>
      <c r="U33" s="1">
        <v>40544</v>
      </c>
      <c r="V33" s="5">
        <f t="shared" si="0"/>
        <v>1624.9102627</v>
      </c>
      <c r="W33" s="4">
        <f t="shared" si="1"/>
        <v>2379.72770292</v>
      </c>
      <c r="X33" s="4">
        <f t="shared" si="2"/>
        <v>1393.0428890000001</v>
      </c>
      <c r="Y33" s="4">
        <f t="shared" si="3"/>
        <v>451.456526</v>
      </c>
      <c r="Z33" s="6">
        <f t="shared" si="4"/>
        <v>3017.9531517</v>
      </c>
      <c r="AA33" s="6">
        <f t="shared" si="5"/>
        <v>2831.1842289199999</v>
      </c>
      <c r="AB33" s="7">
        <f t="shared" si="6"/>
        <v>0.51596551000826407</v>
      </c>
    </row>
    <row r="34" spans="1:28" x14ac:dyDescent="0.25">
      <c r="A34" s="1">
        <v>38657</v>
      </c>
      <c r="B34">
        <v>5.8976062372895299</v>
      </c>
      <c r="C34">
        <v>66554992.189999998</v>
      </c>
      <c r="F34" s="1">
        <v>40575</v>
      </c>
      <c r="G34">
        <v>4.5422201096482802</v>
      </c>
      <c r="H34">
        <v>1552546195.98</v>
      </c>
      <c r="K34" s="1">
        <v>39630</v>
      </c>
      <c r="L34">
        <v>6.2290104624615497</v>
      </c>
      <c r="M34">
        <v>245825515</v>
      </c>
      <c r="P34" s="1">
        <v>41122</v>
      </c>
      <c r="Q34">
        <v>3.9746253749553002</v>
      </c>
      <c r="R34">
        <v>822369338</v>
      </c>
      <c r="U34" s="1">
        <v>40575</v>
      </c>
      <c r="V34" s="5">
        <f t="shared" si="0"/>
        <v>1313.8441055200001</v>
      </c>
      <c r="W34" s="4">
        <f t="shared" si="1"/>
        <v>1552.54619598</v>
      </c>
      <c r="X34" s="4">
        <f t="shared" si="2"/>
        <v>1508.2804329999999</v>
      </c>
      <c r="Y34" s="4">
        <f t="shared" si="3"/>
        <v>1336.643816</v>
      </c>
      <c r="Z34" s="6">
        <f t="shared" si="4"/>
        <v>2822.12453852</v>
      </c>
      <c r="AA34" s="6">
        <f t="shared" si="5"/>
        <v>2889.1900119800002</v>
      </c>
      <c r="AB34" s="7">
        <f t="shared" si="6"/>
        <v>0.49412871827781496</v>
      </c>
    </row>
    <row r="35" spans="1:28" x14ac:dyDescent="0.25">
      <c r="A35" s="1">
        <v>38687</v>
      </c>
      <c r="B35">
        <v>6.0122868697733001</v>
      </c>
      <c r="C35">
        <v>47312115.960000001</v>
      </c>
      <c r="F35" s="1">
        <v>40603</v>
      </c>
      <c r="G35">
        <v>4.7241902370676296</v>
      </c>
      <c r="H35">
        <v>1142912610.45</v>
      </c>
      <c r="K35" s="1">
        <v>39661</v>
      </c>
      <c r="L35">
        <v>6.39772021602771</v>
      </c>
      <c r="M35">
        <v>272297653</v>
      </c>
      <c r="P35" s="1">
        <v>41153</v>
      </c>
      <c r="Q35">
        <v>3.8651636629480199</v>
      </c>
      <c r="R35">
        <v>1410180238</v>
      </c>
      <c r="U35" s="1">
        <v>40603</v>
      </c>
      <c r="V35" s="5">
        <f t="shared" si="0"/>
        <v>1192.10853873</v>
      </c>
      <c r="W35" s="4">
        <f t="shared" si="1"/>
        <v>1142.9126104500001</v>
      </c>
      <c r="X35" s="4">
        <f t="shared" si="2"/>
        <v>799.51069500000006</v>
      </c>
      <c r="Y35" s="4">
        <f t="shared" si="3"/>
        <v>377.89864799999998</v>
      </c>
      <c r="Z35" s="6">
        <f t="shared" si="4"/>
        <v>1991.6192337299999</v>
      </c>
      <c r="AA35" s="6">
        <f t="shared" si="5"/>
        <v>1520.81125845</v>
      </c>
      <c r="AB35" s="7">
        <f t="shared" si="6"/>
        <v>0.56702025510941734</v>
      </c>
    </row>
    <row r="36" spans="1:28" x14ac:dyDescent="0.25">
      <c r="A36" s="1">
        <v>38718</v>
      </c>
      <c r="B36">
        <v>6.30284627438171</v>
      </c>
      <c r="C36">
        <v>66216016</v>
      </c>
      <c r="F36" s="1">
        <v>40634</v>
      </c>
      <c r="G36">
        <v>4.8196678776405104</v>
      </c>
      <c r="H36">
        <v>602163499.35000002</v>
      </c>
      <c r="K36" s="1">
        <v>39692</v>
      </c>
      <c r="L36">
        <v>6.4895896668192403</v>
      </c>
      <c r="M36">
        <v>236094641</v>
      </c>
      <c r="P36" s="1">
        <v>41183</v>
      </c>
      <c r="Q36">
        <v>3.8293191064032701</v>
      </c>
      <c r="R36">
        <v>1838463713</v>
      </c>
      <c r="U36" s="1">
        <v>40634</v>
      </c>
      <c r="V36" s="5">
        <f t="shared" si="0"/>
        <v>616.57182924000006</v>
      </c>
      <c r="W36" s="4">
        <f t="shared" si="1"/>
        <v>602.16349935000005</v>
      </c>
      <c r="X36" s="4">
        <f t="shared" si="2"/>
        <v>798.11460099999999</v>
      </c>
      <c r="Y36" s="4">
        <f t="shared" si="3"/>
        <v>585.43603399999995</v>
      </c>
      <c r="Z36" s="6">
        <f t="shared" si="4"/>
        <v>1414.6864302399999</v>
      </c>
      <c r="AA36" s="6">
        <f t="shared" si="5"/>
        <v>1187.59953335</v>
      </c>
      <c r="AB36" s="7">
        <f t="shared" si="6"/>
        <v>0.54363219493693171</v>
      </c>
    </row>
    <row r="37" spans="1:28" x14ac:dyDescent="0.25">
      <c r="A37" s="1">
        <v>38749</v>
      </c>
      <c r="B37">
        <v>6.3751002209806504</v>
      </c>
      <c r="C37">
        <v>58645405</v>
      </c>
      <c r="F37" s="1">
        <v>40664</v>
      </c>
      <c r="G37">
        <v>4.9390774815615597</v>
      </c>
      <c r="H37">
        <v>446998814.56999999</v>
      </c>
      <c r="K37" s="1">
        <v>39722</v>
      </c>
      <c r="L37">
        <v>6.5398725737882497</v>
      </c>
      <c r="M37">
        <v>229294033</v>
      </c>
      <c r="P37" s="1">
        <v>41214</v>
      </c>
      <c r="Q37">
        <v>3.6648568955537302</v>
      </c>
      <c r="R37">
        <v>1977669579</v>
      </c>
      <c r="U37" s="1">
        <v>40664</v>
      </c>
      <c r="V37" s="5">
        <f t="shared" si="0"/>
        <v>521.68933636999998</v>
      </c>
      <c r="W37" s="4">
        <f t="shared" si="1"/>
        <v>446.99881456999998</v>
      </c>
      <c r="X37" s="4">
        <f t="shared" si="2"/>
        <v>681.30279900000005</v>
      </c>
      <c r="Y37" s="4">
        <f t="shared" si="3"/>
        <v>708.32998799999996</v>
      </c>
      <c r="Z37" s="6">
        <f t="shared" si="4"/>
        <v>1202.9921353700001</v>
      </c>
      <c r="AA37" s="6">
        <f t="shared" si="5"/>
        <v>1155.3288025699999</v>
      </c>
      <c r="AB37" s="7">
        <f t="shared" si="6"/>
        <v>0.51010535335399143</v>
      </c>
    </row>
    <row r="38" spans="1:28" x14ac:dyDescent="0.25">
      <c r="A38" s="1">
        <v>38777</v>
      </c>
      <c r="B38">
        <v>6.3253782876942903</v>
      </c>
      <c r="C38">
        <v>62253545</v>
      </c>
      <c r="F38" s="1">
        <v>40695</v>
      </c>
      <c r="G38">
        <v>4.9193788481288596</v>
      </c>
      <c r="H38">
        <v>602465758.20000005</v>
      </c>
      <c r="K38" s="1">
        <v>39753</v>
      </c>
      <c r="L38">
        <v>6.1846713029208997</v>
      </c>
      <c r="M38">
        <v>137648333</v>
      </c>
      <c r="P38" s="1">
        <v>41244</v>
      </c>
      <c r="Q38">
        <v>3.6602490650586499</v>
      </c>
      <c r="R38">
        <v>508226267</v>
      </c>
      <c r="U38" s="1">
        <v>40695</v>
      </c>
      <c r="V38" s="5">
        <f t="shared" si="0"/>
        <v>591.90932151000004</v>
      </c>
      <c r="W38" s="4">
        <f t="shared" si="1"/>
        <v>602.4657582000001</v>
      </c>
      <c r="X38" s="4">
        <f t="shared" si="2"/>
        <v>805.08011199999999</v>
      </c>
      <c r="Y38" s="4">
        <f t="shared" si="3"/>
        <v>834.73699799999997</v>
      </c>
      <c r="Z38" s="6">
        <f t="shared" si="4"/>
        <v>1396.98943351</v>
      </c>
      <c r="AA38" s="6">
        <f t="shared" si="5"/>
        <v>1437.2027562000001</v>
      </c>
      <c r="AB38" s="7">
        <f t="shared" si="6"/>
        <v>0.49290568176074984</v>
      </c>
    </row>
    <row r="39" spans="1:28" x14ac:dyDescent="0.25">
      <c r="A39" s="1">
        <v>38808</v>
      </c>
      <c r="B39">
        <v>6.28714966155749</v>
      </c>
      <c r="C39">
        <v>65940594</v>
      </c>
      <c r="F39" s="1">
        <v>40725</v>
      </c>
      <c r="G39">
        <v>4.8425677572550301</v>
      </c>
      <c r="H39">
        <v>758666868.60000002</v>
      </c>
      <c r="K39" s="1">
        <v>39783</v>
      </c>
      <c r="L39">
        <v>6.1925946718529099</v>
      </c>
      <c r="M39">
        <v>204882332</v>
      </c>
      <c r="P39" s="1">
        <v>41275</v>
      </c>
      <c r="Q39">
        <v>3.6430083354098799</v>
      </c>
      <c r="R39">
        <v>1318930940</v>
      </c>
      <c r="U39" s="1">
        <v>40725</v>
      </c>
      <c r="V39" s="5">
        <f t="shared" si="0"/>
        <v>481.16573707999999</v>
      </c>
      <c r="W39" s="4">
        <f t="shared" si="1"/>
        <v>758.66686860000004</v>
      </c>
      <c r="X39" s="4">
        <f t="shared" si="2"/>
        <v>593.19938100000002</v>
      </c>
      <c r="Y39" s="4">
        <f t="shared" si="3"/>
        <v>575.80916200000001</v>
      </c>
      <c r="Z39" s="6">
        <f t="shared" si="4"/>
        <v>1074.36511808</v>
      </c>
      <c r="AA39" s="6">
        <f t="shared" si="5"/>
        <v>1334.4760306000001</v>
      </c>
      <c r="AB39" s="7">
        <f t="shared" si="6"/>
        <v>0.44600911881164601</v>
      </c>
    </row>
    <row r="40" spans="1:28" x14ac:dyDescent="0.25">
      <c r="A40" s="1">
        <v>38838</v>
      </c>
      <c r="B40">
        <v>6.4288394167506997</v>
      </c>
      <c r="C40">
        <v>59527479</v>
      </c>
      <c r="F40" s="1">
        <v>40756</v>
      </c>
      <c r="G40">
        <v>4.7228727789651899</v>
      </c>
      <c r="H40">
        <v>1090262775.8499999</v>
      </c>
      <c r="K40" s="1">
        <v>39814</v>
      </c>
      <c r="L40">
        <v>5.5688976890357598</v>
      </c>
      <c r="M40">
        <v>384611447</v>
      </c>
      <c r="P40" s="1">
        <v>41306</v>
      </c>
      <c r="Q40">
        <v>3.6544046970828199</v>
      </c>
      <c r="R40">
        <v>1051991712</v>
      </c>
      <c r="U40" s="1">
        <v>40756</v>
      </c>
      <c r="V40" s="5">
        <f t="shared" si="0"/>
        <v>686.01537882000002</v>
      </c>
      <c r="W40" s="4">
        <f t="shared" si="1"/>
        <v>1090.2627758499998</v>
      </c>
      <c r="X40" s="4">
        <f t="shared" si="2"/>
        <v>872.97321699999998</v>
      </c>
      <c r="Y40" s="4">
        <f t="shared" si="3"/>
        <v>543.05413299999998</v>
      </c>
      <c r="Z40" s="6">
        <f t="shared" si="4"/>
        <v>1558.98859582</v>
      </c>
      <c r="AA40" s="6">
        <f t="shared" si="5"/>
        <v>1633.3169088499999</v>
      </c>
      <c r="AB40" s="7">
        <f t="shared" si="6"/>
        <v>0.48835820805351088</v>
      </c>
    </row>
    <row r="41" spans="1:28" x14ac:dyDescent="0.25">
      <c r="A41" s="1">
        <v>38869</v>
      </c>
      <c r="B41">
        <v>6.5463675667618002</v>
      </c>
      <c r="C41">
        <v>49306825</v>
      </c>
      <c r="F41" s="1">
        <v>40787</v>
      </c>
      <c r="G41">
        <v>4.6540182941417099</v>
      </c>
      <c r="H41">
        <v>1536274808.1600001</v>
      </c>
      <c r="K41" s="1">
        <v>39845</v>
      </c>
      <c r="L41">
        <v>5.2810465008625203</v>
      </c>
      <c r="M41">
        <v>1080509033</v>
      </c>
      <c r="P41" s="1">
        <v>41334</v>
      </c>
      <c r="Q41">
        <v>3.6823418897599001</v>
      </c>
      <c r="R41">
        <v>1363318308</v>
      </c>
      <c r="U41" s="1">
        <v>40787</v>
      </c>
      <c r="V41" s="5">
        <f t="shared" si="0"/>
        <v>878.92710008000006</v>
      </c>
      <c r="W41" s="4">
        <f t="shared" si="1"/>
        <v>1536.27480816</v>
      </c>
      <c r="X41" s="4">
        <f t="shared" si="2"/>
        <v>907.23337200000003</v>
      </c>
      <c r="Y41" s="4">
        <f t="shared" si="3"/>
        <v>749.484915</v>
      </c>
      <c r="Z41" s="6">
        <f t="shared" si="4"/>
        <v>1786.1604720800001</v>
      </c>
      <c r="AA41" s="6">
        <f t="shared" si="5"/>
        <v>2285.7597231600002</v>
      </c>
      <c r="AB41" s="7">
        <f t="shared" si="6"/>
        <v>0.43865311362633991</v>
      </c>
    </row>
    <row r="42" spans="1:28" x14ac:dyDescent="0.25">
      <c r="A42" s="1">
        <v>38899</v>
      </c>
      <c r="B42">
        <v>6.7253185757683802</v>
      </c>
      <c r="C42">
        <v>47459275</v>
      </c>
      <c r="F42" s="1">
        <v>40817</v>
      </c>
      <c r="G42">
        <v>4.4494211673523498</v>
      </c>
      <c r="H42">
        <v>2484671536.8600001</v>
      </c>
      <c r="K42" s="1">
        <v>39873</v>
      </c>
      <c r="L42">
        <v>5.0243558954859502</v>
      </c>
      <c r="M42">
        <v>2316518842</v>
      </c>
      <c r="P42" s="1">
        <v>41365</v>
      </c>
      <c r="Q42">
        <v>3.8388760180448598</v>
      </c>
      <c r="R42">
        <v>572666191</v>
      </c>
      <c r="U42" s="1">
        <v>40817</v>
      </c>
      <c r="V42" s="5">
        <f t="shared" si="0"/>
        <v>968.60258482000006</v>
      </c>
      <c r="W42" s="4">
        <f t="shared" si="1"/>
        <v>2484.6715368600003</v>
      </c>
      <c r="X42" s="4">
        <f t="shared" si="2"/>
        <v>1098.3930869999999</v>
      </c>
      <c r="Y42" s="4">
        <f t="shared" si="3"/>
        <v>1039.8592900000001</v>
      </c>
      <c r="Z42" s="6">
        <f t="shared" si="4"/>
        <v>2066.9956718200001</v>
      </c>
      <c r="AA42" s="6">
        <f t="shared" si="5"/>
        <v>3524.5308268600002</v>
      </c>
      <c r="AB42" s="7">
        <f t="shared" si="6"/>
        <v>0.36966572049832164</v>
      </c>
    </row>
    <row r="43" spans="1:28" x14ac:dyDescent="0.25">
      <c r="A43" s="1">
        <v>38930</v>
      </c>
      <c r="B43">
        <v>6.7454736284138903</v>
      </c>
      <c r="C43">
        <v>53200725</v>
      </c>
      <c r="F43" s="1">
        <v>40848</v>
      </c>
      <c r="G43">
        <v>4.4083958309429896</v>
      </c>
      <c r="H43">
        <v>2688410323.5</v>
      </c>
      <c r="K43" s="1">
        <v>39904</v>
      </c>
      <c r="L43">
        <v>4.9746381678980596</v>
      </c>
      <c r="M43">
        <v>2387675445</v>
      </c>
      <c r="P43" s="1">
        <v>41395</v>
      </c>
      <c r="Q43">
        <v>3.8441653378958298</v>
      </c>
      <c r="R43">
        <v>735226352</v>
      </c>
      <c r="U43" s="1">
        <v>40848</v>
      </c>
      <c r="V43" s="5">
        <f t="shared" si="0"/>
        <v>1245.7427529500001</v>
      </c>
      <c r="W43" s="4">
        <f t="shared" si="1"/>
        <v>2688.4103234999998</v>
      </c>
      <c r="X43" s="4">
        <f t="shared" si="2"/>
        <v>1057.791843</v>
      </c>
      <c r="Y43" s="4">
        <f t="shared" si="3"/>
        <v>937.55090399999995</v>
      </c>
      <c r="Z43" s="6">
        <f t="shared" si="4"/>
        <v>2303.53459595</v>
      </c>
      <c r="AA43" s="6">
        <f t="shared" si="5"/>
        <v>3625.9612274999999</v>
      </c>
      <c r="AB43" s="7">
        <f t="shared" si="6"/>
        <v>0.38848743038825828</v>
      </c>
    </row>
    <row r="44" spans="1:28" x14ac:dyDescent="0.25">
      <c r="A44" s="1">
        <v>38961</v>
      </c>
      <c r="B44">
        <v>6.6740083555731502</v>
      </c>
      <c r="C44">
        <v>39285755</v>
      </c>
      <c r="F44" s="1">
        <v>40878</v>
      </c>
      <c r="G44">
        <v>4.3735133436858398</v>
      </c>
      <c r="H44">
        <v>1246557342.21</v>
      </c>
      <c r="K44" s="1">
        <v>39934</v>
      </c>
      <c r="L44">
        <v>4.9482465147208998</v>
      </c>
      <c r="M44">
        <v>2516084442</v>
      </c>
      <c r="P44" s="1">
        <v>41426</v>
      </c>
      <c r="Q44">
        <v>3.7555277841738102</v>
      </c>
      <c r="R44">
        <v>736241345</v>
      </c>
      <c r="U44" s="1">
        <v>40878</v>
      </c>
      <c r="V44" s="5">
        <f t="shared" si="0"/>
        <v>2127.2690954099999</v>
      </c>
      <c r="W44" s="4">
        <f t="shared" si="1"/>
        <v>1246.5573422100001</v>
      </c>
      <c r="X44" s="4">
        <f t="shared" si="2"/>
        <v>785.326233</v>
      </c>
      <c r="Y44" s="4">
        <f t="shared" si="3"/>
        <v>554.532825</v>
      </c>
      <c r="Z44" s="6">
        <f t="shared" si="4"/>
        <v>2912.5953284099996</v>
      </c>
      <c r="AA44" s="6">
        <f t="shared" si="5"/>
        <v>1801.0901672100001</v>
      </c>
      <c r="AB44" s="7">
        <f t="shared" si="6"/>
        <v>0.61790192220427309</v>
      </c>
    </row>
    <row r="45" spans="1:28" x14ac:dyDescent="0.25">
      <c r="A45" s="1">
        <v>38991</v>
      </c>
      <c r="B45">
        <v>6.6909693216064801</v>
      </c>
      <c r="C45">
        <v>59175654</v>
      </c>
      <c r="F45" s="1">
        <v>40909</v>
      </c>
      <c r="G45">
        <v>4.3370339354771996</v>
      </c>
      <c r="H45">
        <v>1473300831.5599999</v>
      </c>
      <c r="K45" s="1">
        <v>39965</v>
      </c>
      <c r="L45">
        <v>4.9085444839195</v>
      </c>
      <c r="M45">
        <v>3179438999</v>
      </c>
      <c r="P45" s="1">
        <v>41456</v>
      </c>
      <c r="Q45">
        <v>3.8690754521413502</v>
      </c>
      <c r="R45">
        <v>722770978</v>
      </c>
      <c r="U45" s="1">
        <v>40909</v>
      </c>
      <c r="V45" s="5">
        <f t="shared" si="0"/>
        <v>1980.3033357899999</v>
      </c>
      <c r="W45" s="4">
        <f t="shared" si="1"/>
        <v>1473.30083156</v>
      </c>
      <c r="X45" s="4">
        <f t="shared" si="2"/>
        <v>1169.540285</v>
      </c>
      <c r="Y45" s="4">
        <f t="shared" si="3"/>
        <v>1187.740691</v>
      </c>
      <c r="Z45" s="6">
        <f t="shared" si="4"/>
        <v>3149.8436207899999</v>
      </c>
      <c r="AA45" s="6">
        <f t="shared" si="5"/>
        <v>2661.04152256</v>
      </c>
      <c r="AB45" s="7">
        <f t="shared" si="6"/>
        <v>0.54205917740341047</v>
      </c>
    </row>
    <row r="46" spans="1:28" x14ac:dyDescent="0.25">
      <c r="A46" s="1">
        <v>39022</v>
      </c>
      <c r="B46">
        <v>6.48181046410979</v>
      </c>
      <c r="C46">
        <v>41984613</v>
      </c>
      <c r="F46" s="1">
        <v>40940</v>
      </c>
      <c r="G46">
        <v>4.2871266997563904</v>
      </c>
      <c r="H46">
        <v>1461136603.6099999</v>
      </c>
      <c r="K46" s="1">
        <v>39995</v>
      </c>
      <c r="L46">
        <v>4.9518814152807602</v>
      </c>
      <c r="M46">
        <v>2536301970</v>
      </c>
      <c r="P46" s="1">
        <v>41487</v>
      </c>
      <c r="Q46">
        <v>3.9893484651107598</v>
      </c>
      <c r="R46">
        <v>641979550</v>
      </c>
      <c r="U46" s="1">
        <v>40940</v>
      </c>
      <c r="V46" s="5">
        <f t="shared" si="0"/>
        <v>2127.2095162999999</v>
      </c>
      <c r="W46" s="4">
        <f t="shared" si="1"/>
        <v>1461.1366036099998</v>
      </c>
      <c r="X46" s="4">
        <f t="shared" si="2"/>
        <v>1766.0224599999999</v>
      </c>
      <c r="Y46" s="4">
        <f t="shared" si="3"/>
        <v>948.72131400000001</v>
      </c>
      <c r="Z46" s="6">
        <f t="shared" si="4"/>
        <v>3893.2319762999996</v>
      </c>
      <c r="AA46" s="6">
        <f t="shared" si="5"/>
        <v>2409.8579176099997</v>
      </c>
      <c r="AB46" s="7">
        <f t="shared" si="6"/>
        <v>0.6176703873542424</v>
      </c>
    </row>
    <row r="47" spans="1:28" x14ac:dyDescent="0.25">
      <c r="A47" s="1">
        <v>39052</v>
      </c>
      <c r="B47">
        <v>6.4890988317563201</v>
      </c>
      <c r="C47">
        <v>60906557</v>
      </c>
      <c r="F47" s="1">
        <v>40969</v>
      </c>
      <c r="G47">
        <v>4.2046718654705799</v>
      </c>
      <c r="H47">
        <v>2736470326.1100001</v>
      </c>
      <c r="K47" s="1">
        <v>40026</v>
      </c>
      <c r="L47">
        <v>5.0817372373631304</v>
      </c>
      <c r="M47">
        <v>2807141688</v>
      </c>
      <c r="P47" s="1">
        <v>41518</v>
      </c>
      <c r="Q47">
        <v>4.6545752504946796</v>
      </c>
      <c r="R47">
        <v>444258528</v>
      </c>
      <c r="U47" s="1">
        <v>40969</v>
      </c>
      <c r="V47" s="5">
        <f t="shared" si="0"/>
        <v>3980.86675139</v>
      </c>
      <c r="W47" s="4">
        <f t="shared" si="1"/>
        <v>2736.4703261100003</v>
      </c>
      <c r="X47" s="4">
        <f t="shared" si="2"/>
        <v>1175.0872360000001</v>
      </c>
      <c r="Y47" s="4">
        <f t="shared" si="3"/>
        <v>1336.764764</v>
      </c>
      <c r="Z47" s="6">
        <f t="shared" si="4"/>
        <v>5155.9539873900003</v>
      </c>
      <c r="AA47" s="6">
        <f t="shared" si="5"/>
        <v>4073.2350901100003</v>
      </c>
      <c r="AB47" s="7">
        <f t="shared" si="6"/>
        <v>0.55865731475366442</v>
      </c>
    </row>
    <row r="48" spans="1:28" x14ac:dyDescent="0.25">
      <c r="A48" s="1">
        <v>39083</v>
      </c>
      <c r="B48">
        <v>6.3030773048928204</v>
      </c>
      <c r="C48">
        <v>78869655.170000002</v>
      </c>
      <c r="F48" s="1">
        <v>41000</v>
      </c>
      <c r="G48">
        <v>4.1379568887496996</v>
      </c>
      <c r="H48">
        <v>853504310.47000003</v>
      </c>
      <c r="K48" s="1">
        <v>40057</v>
      </c>
      <c r="L48">
        <v>5.2291292289865599</v>
      </c>
      <c r="M48">
        <v>1992283580</v>
      </c>
      <c r="P48" s="1">
        <v>41548</v>
      </c>
      <c r="Q48">
        <v>4.3884372914229299</v>
      </c>
      <c r="R48">
        <v>422318425</v>
      </c>
      <c r="U48" s="1">
        <v>41000</v>
      </c>
      <c r="V48" s="5">
        <f t="shared" si="0"/>
        <v>1686.15094694</v>
      </c>
      <c r="W48" s="4">
        <f t="shared" si="1"/>
        <v>853.50431047000006</v>
      </c>
      <c r="X48" s="4">
        <f t="shared" si="2"/>
        <v>705.64897599999995</v>
      </c>
      <c r="Y48" s="4">
        <f t="shared" si="3"/>
        <v>460.31071900000001</v>
      </c>
      <c r="Z48" s="6">
        <f t="shared" si="4"/>
        <v>2391.7999229400002</v>
      </c>
      <c r="AA48" s="6">
        <f t="shared" si="5"/>
        <v>1313.8150294700001</v>
      </c>
      <c r="AB48" s="7">
        <f t="shared" si="6"/>
        <v>0.64545290151758983</v>
      </c>
    </row>
    <row r="49" spans="1:28" x14ac:dyDescent="0.25">
      <c r="A49" s="1">
        <v>39114</v>
      </c>
      <c r="B49">
        <v>6.3552705828904097</v>
      </c>
      <c r="C49">
        <v>74893415.909999996</v>
      </c>
      <c r="F49" s="1">
        <v>41030</v>
      </c>
      <c r="G49">
        <v>4.1751046970066801</v>
      </c>
      <c r="H49">
        <v>1599805550.3099999</v>
      </c>
      <c r="K49" s="1">
        <v>40087</v>
      </c>
      <c r="L49">
        <v>5.2966478213723596</v>
      </c>
      <c r="M49">
        <v>1819108409</v>
      </c>
      <c r="P49" s="1">
        <v>41579</v>
      </c>
      <c r="Q49">
        <v>4.6272097597899498</v>
      </c>
      <c r="R49">
        <v>358176827</v>
      </c>
      <c r="U49" s="1">
        <v>41030</v>
      </c>
      <c r="V49" s="5">
        <f t="shared" si="0"/>
        <v>2811.50870872</v>
      </c>
      <c r="W49" s="4">
        <f t="shared" si="1"/>
        <v>1599.8055503099999</v>
      </c>
      <c r="X49" s="4">
        <f t="shared" si="2"/>
        <v>654.30118000000004</v>
      </c>
      <c r="Y49" s="4">
        <f t="shared" si="3"/>
        <v>733.37060599999995</v>
      </c>
      <c r="Z49" s="6">
        <f t="shared" si="4"/>
        <v>3465.8098887199999</v>
      </c>
      <c r="AA49" s="6">
        <f t="shared" si="5"/>
        <v>2333.1761563099999</v>
      </c>
      <c r="AB49" s="7">
        <f t="shared" si="6"/>
        <v>0.59765791153961467</v>
      </c>
    </row>
    <row r="50" spans="1:28" x14ac:dyDescent="0.25">
      <c r="A50" s="1">
        <v>39142</v>
      </c>
      <c r="B50">
        <v>6.3922914638031498</v>
      </c>
      <c r="C50">
        <v>83415075</v>
      </c>
      <c r="F50" s="1">
        <v>41061</v>
      </c>
      <c r="G50">
        <v>4.1090576562739001</v>
      </c>
      <c r="H50">
        <v>1933533574.6800001</v>
      </c>
      <c r="K50" s="1">
        <v>40118</v>
      </c>
      <c r="L50">
        <v>5.1797933820890796</v>
      </c>
      <c r="M50">
        <v>1702182780</v>
      </c>
      <c r="P50" s="1">
        <v>41609</v>
      </c>
      <c r="Q50">
        <v>4.5425187286634197</v>
      </c>
      <c r="R50">
        <v>508814152</v>
      </c>
      <c r="U50" s="1">
        <v>41061</v>
      </c>
      <c r="V50" s="5">
        <f t="shared" si="0"/>
        <v>1928.73198873</v>
      </c>
      <c r="W50" s="4">
        <f t="shared" si="1"/>
        <v>1933.5335746800001</v>
      </c>
      <c r="X50" s="4">
        <f t="shared" si="2"/>
        <v>1431.0790280000001</v>
      </c>
      <c r="Y50" s="4">
        <f t="shared" si="3"/>
        <v>1000.582467</v>
      </c>
      <c r="Z50" s="6">
        <f t="shared" si="4"/>
        <v>3359.8110167300001</v>
      </c>
      <c r="AA50" s="6">
        <f t="shared" si="5"/>
        <v>2934.1160416800003</v>
      </c>
      <c r="AB50" s="7">
        <f t="shared" si="6"/>
        <v>0.53381791456267214</v>
      </c>
    </row>
    <row r="51" spans="1:28" x14ac:dyDescent="0.25">
      <c r="A51" s="1">
        <v>39173</v>
      </c>
      <c r="B51">
        <v>6.3138246166133696</v>
      </c>
      <c r="C51">
        <v>93675737</v>
      </c>
      <c r="F51" s="1">
        <v>41091</v>
      </c>
      <c r="G51">
        <v>4.0264258494728002</v>
      </c>
      <c r="H51">
        <v>2650383029.96</v>
      </c>
      <c r="K51" s="1">
        <v>40148</v>
      </c>
      <c r="L51">
        <v>5.12671157238377</v>
      </c>
      <c r="M51">
        <v>2454519204</v>
      </c>
      <c r="P51" s="1">
        <v>41640</v>
      </c>
      <c r="Q51">
        <v>4.5941384763219597</v>
      </c>
      <c r="R51">
        <v>333040713</v>
      </c>
      <c r="U51" s="1">
        <v>41091</v>
      </c>
      <c r="V51" s="5">
        <f t="shared" si="0"/>
        <v>2474.9928784699996</v>
      </c>
      <c r="W51" s="4">
        <f t="shared" si="1"/>
        <v>2650.3830299599999</v>
      </c>
      <c r="X51" s="4">
        <f t="shared" si="2"/>
        <v>838.14435100000003</v>
      </c>
      <c r="Y51" s="4">
        <f t="shared" si="3"/>
        <v>689.048269</v>
      </c>
      <c r="Z51" s="6">
        <f t="shared" si="4"/>
        <v>3313.1372294699995</v>
      </c>
      <c r="AA51" s="6">
        <f t="shared" si="5"/>
        <v>3339.4312989599998</v>
      </c>
      <c r="AB51" s="7">
        <f t="shared" si="6"/>
        <v>0.49802376560439537</v>
      </c>
    </row>
    <row r="52" spans="1:28" x14ac:dyDescent="0.25">
      <c r="A52" s="1">
        <v>39203</v>
      </c>
      <c r="B52">
        <v>6.0933876106090699</v>
      </c>
      <c r="C52">
        <v>115239418</v>
      </c>
      <c r="F52" s="1">
        <v>41122</v>
      </c>
      <c r="G52">
        <v>3.9717482341417298</v>
      </c>
      <c r="H52">
        <v>3094330589.8600001</v>
      </c>
      <c r="K52" s="1">
        <v>40179</v>
      </c>
      <c r="L52">
        <v>5.0844983984944401</v>
      </c>
      <c r="M52">
        <v>1770479963</v>
      </c>
      <c r="P52" s="1">
        <v>41671</v>
      </c>
      <c r="Q52">
        <v>4.7310542685494701</v>
      </c>
      <c r="R52">
        <v>210520460</v>
      </c>
      <c r="U52" s="1">
        <v>41122</v>
      </c>
      <c r="V52" s="5">
        <f t="shared" si="0"/>
        <v>2758.32790204</v>
      </c>
      <c r="W52" s="4">
        <f t="shared" si="1"/>
        <v>3094.3305898600001</v>
      </c>
      <c r="X52" s="4">
        <f t="shared" si="2"/>
        <v>1427.5400569999999</v>
      </c>
      <c r="Y52" s="4">
        <f t="shared" si="3"/>
        <v>822.36933799999997</v>
      </c>
      <c r="Z52" s="6">
        <f t="shared" si="4"/>
        <v>4185.8679590399997</v>
      </c>
      <c r="AA52" s="6">
        <f t="shared" si="5"/>
        <v>3916.6999278600001</v>
      </c>
      <c r="AB52" s="7">
        <f t="shared" si="6"/>
        <v>0.51661004479920392</v>
      </c>
    </row>
    <row r="53" spans="1:28" x14ac:dyDescent="0.25">
      <c r="A53" s="1">
        <v>39234</v>
      </c>
      <c r="B53">
        <v>6.1596474530384704</v>
      </c>
      <c r="C53">
        <v>119553023</v>
      </c>
      <c r="F53" s="1">
        <v>41153</v>
      </c>
      <c r="G53">
        <v>3.9204393809627098</v>
      </c>
      <c r="H53">
        <v>2917621463.2199998</v>
      </c>
      <c r="K53" s="1">
        <v>40210</v>
      </c>
      <c r="L53">
        <v>5.1172948462641701</v>
      </c>
      <c r="M53">
        <v>1891871069</v>
      </c>
      <c r="P53" s="1">
        <v>41699</v>
      </c>
      <c r="Q53">
        <v>4.6488268541047004</v>
      </c>
      <c r="R53">
        <v>306404324</v>
      </c>
      <c r="U53" s="1">
        <v>41153</v>
      </c>
      <c r="V53" s="5">
        <f t="shared" si="0"/>
        <v>3214.4061111300002</v>
      </c>
      <c r="W53" s="4">
        <f t="shared" si="1"/>
        <v>2917.6214632199999</v>
      </c>
      <c r="X53" s="4">
        <f t="shared" si="2"/>
        <v>1315.5551149999999</v>
      </c>
      <c r="Y53" s="4">
        <f t="shared" si="3"/>
        <v>1410.1802379999999</v>
      </c>
      <c r="Z53" s="6">
        <f t="shared" si="4"/>
        <v>4529.9612261299999</v>
      </c>
      <c r="AA53" s="6">
        <f t="shared" si="5"/>
        <v>4327.8017012199998</v>
      </c>
      <c r="AB53" s="7">
        <f t="shared" si="6"/>
        <v>0.51141143235420061</v>
      </c>
    </row>
    <row r="54" spans="1:28" x14ac:dyDescent="0.25">
      <c r="A54" s="1">
        <v>39264</v>
      </c>
      <c r="B54">
        <v>6.41733587428826</v>
      </c>
      <c r="C54">
        <v>119467159</v>
      </c>
      <c r="F54" s="1">
        <v>41183</v>
      </c>
      <c r="G54">
        <v>3.8325231855033399</v>
      </c>
      <c r="H54">
        <v>2042127447.2</v>
      </c>
      <c r="K54" s="1">
        <v>40238</v>
      </c>
      <c r="L54">
        <v>5.1445141155344203</v>
      </c>
      <c r="M54">
        <v>2042534249</v>
      </c>
      <c r="P54" s="1">
        <v>41730</v>
      </c>
      <c r="Q54">
        <v>4.6475771461929396</v>
      </c>
      <c r="R54">
        <v>369743981</v>
      </c>
      <c r="U54" s="1">
        <v>41183</v>
      </c>
      <c r="V54" s="5">
        <f t="shared" si="0"/>
        <v>2336.5656242499999</v>
      </c>
      <c r="W54" s="4">
        <f t="shared" si="1"/>
        <v>2042.1274472</v>
      </c>
      <c r="X54" s="4">
        <f t="shared" si="2"/>
        <v>1971.630467</v>
      </c>
      <c r="Y54" s="4">
        <f t="shared" si="3"/>
        <v>1838.4637130000001</v>
      </c>
      <c r="Z54" s="6">
        <f t="shared" si="4"/>
        <v>4308.1960912499999</v>
      </c>
      <c r="AA54" s="6">
        <f t="shared" si="5"/>
        <v>3880.5911602000001</v>
      </c>
      <c r="AB54" s="7">
        <f t="shared" si="6"/>
        <v>0.52610917330733464</v>
      </c>
    </row>
    <row r="55" spans="1:28" x14ac:dyDescent="0.25">
      <c r="A55" s="1">
        <v>39295</v>
      </c>
      <c r="B55">
        <v>6.6073631404674096</v>
      </c>
      <c r="C55">
        <v>87103085</v>
      </c>
      <c r="F55" s="1">
        <v>41214</v>
      </c>
      <c r="G55">
        <v>3.7425350737427601</v>
      </c>
      <c r="H55">
        <v>3705776999.1300001</v>
      </c>
      <c r="K55" s="1">
        <v>40269</v>
      </c>
      <c r="L55">
        <v>5.17818157165404</v>
      </c>
      <c r="M55">
        <v>1335290105</v>
      </c>
      <c r="P55" s="1">
        <v>41760</v>
      </c>
      <c r="Q55">
        <v>4.6307700523120703</v>
      </c>
      <c r="R55">
        <v>371025644</v>
      </c>
      <c r="U55" s="1">
        <v>41214</v>
      </c>
      <c r="V55" s="5">
        <f t="shared" si="0"/>
        <v>4573.57854382</v>
      </c>
      <c r="W55" s="4">
        <f t="shared" si="1"/>
        <v>3705.7769991300001</v>
      </c>
      <c r="X55" s="4">
        <f t="shared" si="2"/>
        <v>2324.1323400000001</v>
      </c>
      <c r="Y55" s="4">
        <f t="shared" si="3"/>
        <v>1977.6695790000001</v>
      </c>
      <c r="Z55" s="6">
        <f t="shared" si="4"/>
        <v>6897.7108838200002</v>
      </c>
      <c r="AA55" s="6">
        <f t="shared" si="5"/>
        <v>5683.4465781300005</v>
      </c>
      <c r="AB55" s="7">
        <f t="shared" si="6"/>
        <v>0.54825725730571206</v>
      </c>
    </row>
    <row r="56" spans="1:28" x14ac:dyDescent="0.25">
      <c r="A56" s="1">
        <v>39326</v>
      </c>
      <c r="B56">
        <v>6.7392192829131998</v>
      </c>
      <c r="C56">
        <v>73323091</v>
      </c>
      <c r="F56" s="1">
        <v>41244</v>
      </c>
      <c r="G56">
        <v>3.6512134611331102</v>
      </c>
      <c r="H56">
        <v>1215719175.7</v>
      </c>
      <c r="K56" s="1">
        <v>40299</v>
      </c>
      <c r="L56">
        <v>5.1597849709369799</v>
      </c>
      <c r="M56">
        <v>1262766759</v>
      </c>
      <c r="P56" s="1">
        <v>41791</v>
      </c>
      <c r="Q56">
        <v>4.5237018310245203</v>
      </c>
      <c r="R56">
        <v>378302524</v>
      </c>
      <c r="U56" s="1">
        <v>41244</v>
      </c>
      <c r="V56" s="5">
        <f t="shared" si="0"/>
        <v>2507.9353104899997</v>
      </c>
      <c r="W56" s="4">
        <f t="shared" si="1"/>
        <v>1215.7191757000001</v>
      </c>
      <c r="X56" s="4">
        <f t="shared" si="2"/>
        <v>1108.6370750000001</v>
      </c>
      <c r="Y56" s="4">
        <f t="shared" si="3"/>
        <v>508.22626700000001</v>
      </c>
      <c r="Z56" s="6">
        <f t="shared" si="4"/>
        <v>3616.5723854899998</v>
      </c>
      <c r="AA56" s="6">
        <f t="shared" si="5"/>
        <v>1723.9454427000001</v>
      </c>
      <c r="AB56" s="7">
        <f t="shared" si="6"/>
        <v>0.67719507767577714</v>
      </c>
    </row>
    <row r="57" spans="1:28" x14ac:dyDescent="0.25">
      <c r="A57" s="1">
        <v>39356</v>
      </c>
      <c r="B57">
        <v>6.6901454476779296</v>
      </c>
      <c r="C57">
        <v>75922594</v>
      </c>
      <c r="F57" s="1">
        <v>41275</v>
      </c>
      <c r="G57">
        <v>3.6634835108738901</v>
      </c>
      <c r="H57">
        <v>3316379461.9899998</v>
      </c>
      <c r="K57" s="1">
        <v>40330</v>
      </c>
      <c r="L57">
        <v>5.2236400721265897</v>
      </c>
      <c r="M57">
        <v>1646202136</v>
      </c>
      <c r="P57" s="1">
        <v>41821</v>
      </c>
      <c r="Q57">
        <v>4.4743731302981997</v>
      </c>
      <c r="R57">
        <v>501973096</v>
      </c>
      <c r="U57" s="1">
        <v>41275</v>
      </c>
      <c r="V57" s="5">
        <f t="shared" si="0"/>
        <v>3266.92441263</v>
      </c>
      <c r="W57" s="4">
        <f t="shared" si="1"/>
        <v>3316.37946199</v>
      </c>
      <c r="X57" s="4">
        <f t="shared" si="2"/>
        <v>1516.281743</v>
      </c>
      <c r="Y57" s="4">
        <f t="shared" si="3"/>
        <v>1318.93094</v>
      </c>
      <c r="Z57" s="6">
        <f t="shared" si="4"/>
        <v>4783.2061556299996</v>
      </c>
      <c r="AA57" s="6">
        <f t="shared" si="5"/>
        <v>4635.3104019900002</v>
      </c>
      <c r="AB57" s="7">
        <f t="shared" si="6"/>
        <v>0.50785132949202838</v>
      </c>
    </row>
    <row r="58" spans="1:28" x14ac:dyDescent="0.25">
      <c r="A58" s="1">
        <v>39387</v>
      </c>
      <c r="B58">
        <v>6.5272852640284098</v>
      </c>
      <c r="C58">
        <v>96042863</v>
      </c>
      <c r="F58" s="1">
        <v>41306</v>
      </c>
      <c r="G58">
        <v>3.6633522642131702</v>
      </c>
      <c r="H58">
        <v>1890685095.46</v>
      </c>
      <c r="K58" s="1">
        <v>40360</v>
      </c>
      <c r="L58">
        <v>5.0894447990393603</v>
      </c>
      <c r="M58">
        <v>1506640936</v>
      </c>
      <c r="P58" s="1">
        <v>41852</v>
      </c>
      <c r="Q58">
        <v>4.4518035339822104</v>
      </c>
      <c r="R58">
        <v>531234196</v>
      </c>
      <c r="U58" s="1">
        <v>41306</v>
      </c>
      <c r="V58" s="5">
        <f t="shared" si="0"/>
        <v>3488.8091495799999</v>
      </c>
      <c r="W58" s="4">
        <f t="shared" si="1"/>
        <v>1890.68509546</v>
      </c>
      <c r="X58" s="4">
        <f t="shared" si="2"/>
        <v>1615.6254799999999</v>
      </c>
      <c r="Y58" s="4">
        <f t="shared" si="3"/>
        <v>1051.991712</v>
      </c>
      <c r="Z58" s="6">
        <f t="shared" si="4"/>
        <v>5104.4346295799996</v>
      </c>
      <c r="AA58" s="6">
        <f t="shared" si="5"/>
        <v>2942.67680746</v>
      </c>
      <c r="AB58" s="7">
        <f t="shared" si="6"/>
        <v>0.63431886951196292</v>
      </c>
    </row>
    <row r="59" spans="1:28" x14ac:dyDescent="0.25">
      <c r="A59" s="1">
        <v>39417</v>
      </c>
      <c r="B59">
        <v>6.4756464809228298</v>
      </c>
      <c r="C59">
        <v>116978413.73</v>
      </c>
      <c r="F59" s="1">
        <v>41334</v>
      </c>
      <c r="G59">
        <v>3.7419201358032401</v>
      </c>
      <c r="H59">
        <v>2119346169.75</v>
      </c>
      <c r="K59" s="1">
        <v>40391</v>
      </c>
      <c r="L59">
        <v>4.9863149457034801</v>
      </c>
      <c r="M59">
        <v>1203490255</v>
      </c>
      <c r="P59" s="1">
        <v>41883</v>
      </c>
      <c r="Q59">
        <v>4.5269011029554704</v>
      </c>
      <c r="R59">
        <v>518465261</v>
      </c>
      <c r="U59" s="1">
        <v>41334</v>
      </c>
      <c r="V59" s="5">
        <f t="shared" si="0"/>
        <v>2657.4002309799998</v>
      </c>
      <c r="W59" s="4">
        <f t="shared" si="1"/>
        <v>2119.3461697500002</v>
      </c>
      <c r="X59" s="4">
        <f t="shared" si="2"/>
        <v>2208.524907</v>
      </c>
      <c r="Y59" s="4">
        <f t="shared" si="3"/>
        <v>1363.3183079999999</v>
      </c>
      <c r="Z59" s="6">
        <f t="shared" si="4"/>
        <v>4865.9251379799998</v>
      </c>
      <c r="AA59" s="6">
        <f t="shared" si="5"/>
        <v>3482.6644777500001</v>
      </c>
      <c r="AB59" s="7">
        <f t="shared" si="6"/>
        <v>0.58284397268873589</v>
      </c>
    </row>
    <row r="60" spans="1:28" x14ac:dyDescent="0.25">
      <c r="A60" s="1">
        <v>39448</v>
      </c>
      <c r="B60">
        <v>6.3540412406705302</v>
      </c>
      <c r="C60">
        <v>110196952.2</v>
      </c>
      <c r="F60" s="1">
        <v>41365</v>
      </c>
      <c r="G60">
        <v>3.7681467489280802</v>
      </c>
      <c r="H60">
        <v>2274422672.3400002</v>
      </c>
      <c r="K60" s="1">
        <v>40422</v>
      </c>
      <c r="L60">
        <v>4.8714593377938797</v>
      </c>
      <c r="M60">
        <v>1710037296</v>
      </c>
      <c r="P60" s="1">
        <v>41913</v>
      </c>
      <c r="Q60">
        <v>4.4350158323809898</v>
      </c>
      <c r="R60">
        <v>553547505</v>
      </c>
      <c r="U60" s="1">
        <v>41365</v>
      </c>
      <c r="V60" s="5">
        <f t="shared" si="0"/>
        <v>3031.5269466700001</v>
      </c>
      <c r="W60" s="4">
        <f t="shared" si="1"/>
        <v>2274.4226723400002</v>
      </c>
      <c r="X60" s="4">
        <f t="shared" si="2"/>
        <v>1654.8276350000001</v>
      </c>
      <c r="Y60" s="4">
        <f t="shared" si="3"/>
        <v>572.66619100000003</v>
      </c>
      <c r="Z60" s="6">
        <f t="shared" si="4"/>
        <v>4686.3545816700007</v>
      </c>
      <c r="AA60" s="6">
        <f t="shared" si="5"/>
        <v>2847.08886334</v>
      </c>
      <c r="AB60" s="7">
        <f t="shared" si="6"/>
        <v>0.62207337399926277</v>
      </c>
    </row>
    <row r="61" spans="1:28" x14ac:dyDescent="0.25">
      <c r="A61" s="1">
        <v>39479</v>
      </c>
      <c r="B61">
        <v>6.1312253353538804</v>
      </c>
      <c r="C61">
        <v>183358094</v>
      </c>
      <c r="F61" s="1">
        <v>41395</v>
      </c>
      <c r="G61">
        <v>3.83224493468252</v>
      </c>
      <c r="H61">
        <v>2021062033.46</v>
      </c>
      <c r="K61" s="1">
        <v>40452</v>
      </c>
      <c r="L61">
        <v>4.7704019065238503</v>
      </c>
      <c r="M61">
        <v>1353192508</v>
      </c>
      <c r="P61" s="1">
        <v>41944</v>
      </c>
      <c r="Q61">
        <v>4.4562768706386899</v>
      </c>
      <c r="R61">
        <v>569815354</v>
      </c>
      <c r="U61" s="1">
        <v>41395</v>
      </c>
      <c r="V61" s="5">
        <f t="shared" si="0"/>
        <v>3372.1214299600001</v>
      </c>
      <c r="W61" s="4">
        <f t="shared" si="1"/>
        <v>2021.0620334600001</v>
      </c>
      <c r="X61" s="4">
        <f t="shared" si="2"/>
        <v>1583.510845</v>
      </c>
      <c r="Y61" s="4">
        <f t="shared" si="3"/>
        <v>735.22635200000002</v>
      </c>
      <c r="Z61" s="6">
        <f t="shared" si="4"/>
        <v>4955.6322749600004</v>
      </c>
      <c r="AA61" s="6">
        <f t="shared" si="5"/>
        <v>2756.28838546</v>
      </c>
      <c r="AB61" s="7">
        <f t="shared" si="6"/>
        <v>0.64259378346484575</v>
      </c>
    </row>
    <row r="62" spans="1:28" x14ac:dyDescent="0.25">
      <c r="A62" s="1">
        <v>39508</v>
      </c>
      <c r="B62">
        <v>5.8401985719604497</v>
      </c>
      <c r="C62">
        <v>120669159.91</v>
      </c>
      <c r="F62" s="1">
        <v>41426</v>
      </c>
      <c r="G62">
        <v>3.7537402661088999</v>
      </c>
      <c r="H62">
        <v>2420640575.3699999</v>
      </c>
      <c r="K62" s="1">
        <v>40483</v>
      </c>
      <c r="L62">
        <v>4.5840362679018503</v>
      </c>
      <c r="M62">
        <v>1553882555</v>
      </c>
      <c r="P62" s="1">
        <v>41974</v>
      </c>
      <c r="Q62">
        <v>4.3937396724648403</v>
      </c>
      <c r="R62">
        <v>679775706</v>
      </c>
      <c r="U62" s="1">
        <v>41426</v>
      </c>
      <c r="V62" s="5">
        <f t="shared" si="0"/>
        <v>3112.9677324200002</v>
      </c>
      <c r="W62" s="4">
        <f t="shared" si="1"/>
        <v>2420.6405753700001</v>
      </c>
      <c r="X62" s="4">
        <f t="shared" si="2"/>
        <v>1926.5647819999999</v>
      </c>
      <c r="Y62" s="4">
        <f t="shared" si="3"/>
        <v>736.24134500000002</v>
      </c>
      <c r="Z62" s="6">
        <f t="shared" si="4"/>
        <v>5039.5325144199996</v>
      </c>
      <c r="AA62" s="6">
        <f t="shared" si="5"/>
        <v>3156.88192037</v>
      </c>
      <c r="AB62" s="7">
        <f t="shared" si="6"/>
        <v>0.61484598595082107</v>
      </c>
    </row>
    <row r="63" spans="1:28" x14ac:dyDescent="0.25">
      <c r="A63" s="1">
        <v>39539</v>
      </c>
      <c r="B63">
        <v>5.8733485516934101</v>
      </c>
      <c r="C63">
        <v>150585761</v>
      </c>
      <c r="F63" s="1">
        <v>41456</v>
      </c>
      <c r="G63">
        <v>3.8296742761771601</v>
      </c>
      <c r="H63">
        <v>1887040740.3900001</v>
      </c>
      <c r="K63" s="1">
        <v>40513</v>
      </c>
      <c r="L63">
        <v>4.5560562788624699</v>
      </c>
      <c r="M63">
        <v>1811351945</v>
      </c>
      <c r="P63" s="1">
        <v>42005</v>
      </c>
      <c r="Q63">
        <v>4.3528221360883999</v>
      </c>
      <c r="R63">
        <v>650851620</v>
      </c>
      <c r="U63" s="1">
        <v>41456</v>
      </c>
      <c r="V63" s="5">
        <f t="shared" si="0"/>
        <v>3536.8480260599999</v>
      </c>
      <c r="W63" s="4">
        <f t="shared" si="1"/>
        <v>1887.0407403900001</v>
      </c>
      <c r="X63" s="4">
        <f t="shared" si="2"/>
        <v>1762.4637929999999</v>
      </c>
      <c r="Y63" s="4">
        <f t="shared" si="3"/>
        <v>722.77097800000001</v>
      </c>
      <c r="Z63" s="6">
        <f t="shared" si="4"/>
        <v>5299.3118190599998</v>
      </c>
      <c r="AA63" s="6">
        <f t="shared" si="5"/>
        <v>2609.8117183900004</v>
      </c>
      <c r="AB63" s="7">
        <f t="shared" si="6"/>
        <v>0.6700251670071351</v>
      </c>
    </row>
    <row r="64" spans="1:28" x14ac:dyDescent="0.25">
      <c r="A64" s="1">
        <v>39569</v>
      </c>
      <c r="B64">
        <v>5.9985128488534398</v>
      </c>
      <c r="C64">
        <v>132369252.08</v>
      </c>
      <c r="F64" s="1">
        <v>41487</v>
      </c>
      <c r="G64">
        <v>4.1065954930520903</v>
      </c>
      <c r="H64">
        <v>1636010855.5599999</v>
      </c>
      <c r="K64" s="1">
        <v>40544</v>
      </c>
      <c r="L64">
        <v>4.5172135964400999</v>
      </c>
      <c r="M64">
        <v>1393042889</v>
      </c>
      <c r="P64" s="1">
        <v>42036</v>
      </c>
      <c r="Q64">
        <v>3.9988231176620701</v>
      </c>
      <c r="R64">
        <v>1043573780</v>
      </c>
      <c r="U64" s="1">
        <v>41487</v>
      </c>
      <c r="V64" s="5">
        <f t="shared" si="0"/>
        <v>3201.45095231</v>
      </c>
      <c r="W64" s="4">
        <f t="shared" si="1"/>
        <v>1636.01085556</v>
      </c>
      <c r="X64" s="4">
        <f t="shared" si="2"/>
        <v>1625.280334</v>
      </c>
      <c r="Y64" s="4">
        <f t="shared" si="3"/>
        <v>641.97955000000002</v>
      </c>
      <c r="Z64" s="6">
        <f t="shared" si="4"/>
        <v>4826.7312863099996</v>
      </c>
      <c r="AA64" s="6">
        <f t="shared" si="5"/>
        <v>2277.99040556</v>
      </c>
      <c r="AB64" s="7">
        <f t="shared" si="6"/>
        <v>0.67936950884835845</v>
      </c>
    </row>
    <row r="65" spans="1:28" x14ac:dyDescent="0.25">
      <c r="A65" s="1">
        <v>39600</v>
      </c>
      <c r="B65">
        <v>5.9681291507750798</v>
      </c>
      <c r="C65">
        <v>103342498.65000001</v>
      </c>
      <c r="F65" s="1">
        <v>41518</v>
      </c>
      <c r="G65">
        <v>4.3797450188392499</v>
      </c>
      <c r="H65">
        <v>958348769.32000005</v>
      </c>
      <c r="K65" s="1">
        <v>40575</v>
      </c>
      <c r="L65">
        <v>4.6249414210891597</v>
      </c>
      <c r="M65">
        <v>1508280433</v>
      </c>
      <c r="P65" s="1">
        <v>42064</v>
      </c>
      <c r="Q65">
        <v>4.0773509903258098</v>
      </c>
      <c r="R65">
        <v>1091824916</v>
      </c>
      <c r="U65" s="1">
        <v>41518</v>
      </c>
      <c r="V65" s="5">
        <f t="shared" si="0"/>
        <v>2429.21463318</v>
      </c>
      <c r="W65" s="4">
        <f t="shared" si="1"/>
        <v>958.34876932000009</v>
      </c>
      <c r="X65" s="4">
        <f t="shared" si="2"/>
        <v>1137.7817789999999</v>
      </c>
      <c r="Y65" s="4">
        <f t="shared" si="3"/>
        <v>444.25852800000001</v>
      </c>
      <c r="Z65" s="6">
        <f t="shared" si="4"/>
        <v>3566.9964121799999</v>
      </c>
      <c r="AA65" s="6">
        <f t="shared" si="5"/>
        <v>1402.60729732</v>
      </c>
      <c r="AB65" s="7">
        <f t="shared" si="6"/>
        <v>0.71776274743220547</v>
      </c>
    </row>
    <row r="66" spans="1:28" x14ac:dyDescent="0.25">
      <c r="A66" s="1">
        <v>39630</v>
      </c>
      <c r="B66">
        <v>6.13970957585477</v>
      </c>
      <c r="C66">
        <v>78028533</v>
      </c>
      <c r="F66" s="1">
        <v>41548</v>
      </c>
      <c r="G66">
        <v>4.6449360905460804</v>
      </c>
      <c r="H66">
        <v>842282391.75999999</v>
      </c>
      <c r="K66" s="1">
        <v>40603</v>
      </c>
      <c r="L66">
        <v>4.8274959339036698</v>
      </c>
      <c r="M66">
        <v>799510695</v>
      </c>
      <c r="P66" s="1">
        <v>42095</v>
      </c>
      <c r="Q66">
        <v>4.0660843129834596</v>
      </c>
      <c r="R66">
        <v>835027111</v>
      </c>
      <c r="U66" s="1">
        <v>41548</v>
      </c>
      <c r="V66" s="5">
        <f t="shared" si="0"/>
        <v>2234.5704828400003</v>
      </c>
      <c r="W66" s="4">
        <f t="shared" si="1"/>
        <v>842.28239176</v>
      </c>
      <c r="X66" s="4">
        <f t="shared" si="2"/>
        <v>867.52593100000001</v>
      </c>
      <c r="Y66" s="4">
        <f t="shared" si="3"/>
        <v>422.31842499999999</v>
      </c>
      <c r="Z66" s="6">
        <f t="shared" si="4"/>
        <v>3102.0964138400004</v>
      </c>
      <c r="AA66" s="6">
        <f t="shared" si="5"/>
        <v>1264.60081676</v>
      </c>
      <c r="AB66" s="7">
        <f t="shared" si="6"/>
        <v>0.71039878654782773</v>
      </c>
    </row>
    <row r="67" spans="1:28" x14ac:dyDescent="0.25">
      <c r="A67" s="1">
        <v>39661</v>
      </c>
      <c r="B67">
        <v>6.2130329186084703</v>
      </c>
      <c r="C67">
        <v>54922036</v>
      </c>
      <c r="F67" s="1">
        <v>41579</v>
      </c>
      <c r="G67">
        <v>4.63753974738575</v>
      </c>
      <c r="H67">
        <v>778890351.17999995</v>
      </c>
      <c r="K67" s="1">
        <v>40634</v>
      </c>
      <c r="L67">
        <v>4.9771629528802404</v>
      </c>
      <c r="M67">
        <v>798114601</v>
      </c>
      <c r="P67" s="1">
        <v>42125</v>
      </c>
      <c r="Q67">
        <v>4.0312628955821603</v>
      </c>
      <c r="R67">
        <v>1187969632</v>
      </c>
      <c r="U67" s="1">
        <v>41579</v>
      </c>
      <c r="V67" s="5">
        <f t="shared" si="0"/>
        <v>1817.0611557</v>
      </c>
      <c r="W67" s="4">
        <f t="shared" si="1"/>
        <v>778.89035117999993</v>
      </c>
      <c r="X67" s="4">
        <f t="shared" si="2"/>
        <v>934.82079399999998</v>
      </c>
      <c r="Y67" s="4">
        <f t="shared" si="3"/>
        <v>358.176827</v>
      </c>
      <c r="Z67" s="6">
        <f t="shared" si="4"/>
        <v>2751.8819497</v>
      </c>
      <c r="AA67" s="6">
        <f t="shared" si="5"/>
        <v>1137.0671781799999</v>
      </c>
      <c r="AB67" s="7">
        <f t="shared" si="6"/>
        <v>0.70761582607796825</v>
      </c>
    </row>
    <row r="68" spans="1:28" x14ac:dyDescent="0.25">
      <c r="A68" s="1">
        <v>39692</v>
      </c>
      <c r="B68">
        <v>6.47677381248924</v>
      </c>
      <c r="C68">
        <v>65352229</v>
      </c>
      <c r="F68" s="1">
        <v>41609</v>
      </c>
      <c r="G68">
        <v>4.5208183503753503</v>
      </c>
      <c r="H68">
        <v>648236901</v>
      </c>
      <c r="K68" s="1">
        <v>40664</v>
      </c>
      <c r="L68">
        <v>5.0343309209712999</v>
      </c>
      <c r="M68">
        <v>681302799</v>
      </c>
      <c r="P68" s="1">
        <v>42156</v>
      </c>
      <c r="Q68">
        <v>4.0424894058834902</v>
      </c>
      <c r="R68">
        <v>1180788412</v>
      </c>
      <c r="U68" s="1">
        <v>41609</v>
      </c>
      <c r="V68" s="5">
        <f t="shared" ref="V68:V92" si="7">VLOOKUP(U68,A:C,3,0)/1000000</f>
        <v>1674.904998</v>
      </c>
      <c r="W68" s="4">
        <f t="shared" ref="W68:W92" si="8">VLOOKUP(U68,F:H,3,0)/1000000</f>
        <v>648.23690099999999</v>
      </c>
      <c r="X68" s="4">
        <f t="shared" ref="X68:X92" si="9">VLOOKUP(U68,K:M,3,0)/1000000</f>
        <v>1143.211818</v>
      </c>
      <c r="Y68" s="4">
        <f t="shared" ref="Y68:Y92" si="10">VLOOKUP(U68,P:R,3,0)/1000000</f>
        <v>508.81415199999998</v>
      </c>
      <c r="Z68" s="6">
        <f t="shared" ref="Z68:Z92" si="11">V68+X68</f>
        <v>2818.1168159999997</v>
      </c>
      <c r="AA68" s="6">
        <f t="shared" ref="AA68:AA92" si="12">W68+Y68</f>
        <v>1157.0510529999999</v>
      </c>
      <c r="AB68" s="7">
        <f t="shared" ref="AB68:AB92" si="13">Z68/(Z68+AA68)</f>
        <v>0.7089302663107232</v>
      </c>
    </row>
    <row r="69" spans="1:28" x14ac:dyDescent="0.25">
      <c r="A69" s="1">
        <v>39722</v>
      </c>
      <c r="B69">
        <v>6.4418313994460803</v>
      </c>
      <c r="C69">
        <v>57017836.399999999</v>
      </c>
      <c r="F69" s="1">
        <v>41640</v>
      </c>
      <c r="G69">
        <v>4.5376936278026898</v>
      </c>
      <c r="H69">
        <v>392923293.13</v>
      </c>
      <c r="K69" s="1">
        <v>40695</v>
      </c>
      <c r="L69">
        <v>5.0483666961766902</v>
      </c>
      <c r="M69">
        <v>805080112</v>
      </c>
      <c r="P69" s="1">
        <v>42186</v>
      </c>
      <c r="Q69">
        <v>4.1859520903017797</v>
      </c>
      <c r="R69">
        <v>1247011132</v>
      </c>
      <c r="U69" s="1">
        <v>41640</v>
      </c>
      <c r="V69" s="5">
        <f t="shared" si="7"/>
        <v>1289.4644701</v>
      </c>
      <c r="W69" s="4">
        <f t="shared" si="8"/>
        <v>392.92329312999999</v>
      </c>
      <c r="X69" s="4">
        <f t="shared" si="9"/>
        <v>970.39541499999996</v>
      </c>
      <c r="Y69" s="4">
        <f t="shared" si="10"/>
        <v>333.04071299999998</v>
      </c>
      <c r="Z69" s="6">
        <f t="shared" si="11"/>
        <v>2259.8598850999997</v>
      </c>
      <c r="AA69" s="6">
        <f t="shared" si="12"/>
        <v>725.96400612999992</v>
      </c>
      <c r="AB69" s="7">
        <f t="shared" si="13"/>
        <v>0.75686308617788522</v>
      </c>
    </row>
    <row r="70" spans="1:28" x14ac:dyDescent="0.25">
      <c r="A70" s="1">
        <v>39753</v>
      </c>
      <c r="B70">
        <v>6.2718804217841599</v>
      </c>
      <c r="C70">
        <v>42217422</v>
      </c>
      <c r="F70" s="1">
        <v>41671</v>
      </c>
      <c r="G70">
        <v>4.6952517305897201</v>
      </c>
      <c r="H70">
        <v>365059253.43000001</v>
      </c>
      <c r="K70" s="1">
        <v>40725</v>
      </c>
      <c r="L70">
        <v>4.88604399789486</v>
      </c>
      <c r="M70">
        <v>593199381</v>
      </c>
      <c r="P70" s="1">
        <v>42217</v>
      </c>
      <c r="Q70">
        <v>4.2708805177324498</v>
      </c>
      <c r="R70">
        <v>939599041</v>
      </c>
      <c r="U70" s="1">
        <v>41671</v>
      </c>
      <c r="V70" s="5">
        <f t="shared" si="7"/>
        <v>1289.68425688</v>
      </c>
      <c r="W70" s="4">
        <f t="shared" si="8"/>
        <v>365.05925343000001</v>
      </c>
      <c r="X70" s="4">
        <f t="shared" si="9"/>
        <v>914.67768799999999</v>
      </c>
      <c r="Y70" s="4">
        <f t="shared" si="10"/>
        <v>210.52046000000001</v>
      </c>
      <c r="Z70" s="6">
        <f t="shared" si="11"/>
        <v>2204.36194488</v>
      </c>
      <c r="AA70" s="6">
        <f t="shared" si="12"/>
        <v>575.57971343000008</v>
      </c>
      <c r="AB70" s="7">
        <f t="shared" si="13"/>
        <v>0.79295259247278227</v>
      </c>
    </row>
    <row r="71" spans="1:28" x14ac:dyDescent="0.25">
      <c r="A71" s="1">
        <v>39783</v>
      </c>
      <c r="B71">
        <v>5.8989142880586298</v>
      </c>
      <c r="C71">
        <v>122578602.97</v>
      </c>
      <c r="F71" s="1">
        <v>41699</v>
      </c>
      <c r="G71">
        <v>4.6590689817059197</v>
      </c>
      <c r="H71">
        <v>230346043</v>
      </c>
      <c r="K71" s="1">
        <v>40756</v>
      </c>
      <c r="L71">
        <v>4.8012084948649596</v>
      </c>
      <c r="M71">
        <v>872973217</v>
      </c>
      <c r="P71" s="1">
        <v>42248</v>
      </c>
      <c r="Q71">
        <v>4.3567191813541299</v>
      </c>
      <c r="R71">
        <v>593179956</v>
      </c>
      <c r="U71" s="1">
        <v>41699</v>
      </c>
      <c r="V71" s="5">
        <f t="shared" si="7"/>
        <v>1083.6101114999999</v>
      </c>
      <c r="W71" s="4">
        <f t="shared" si="8"/>
        <v>230.34604300000001</v>
      </c>
      <c r="X71" s="4">
        <f t="shared" si="9"/>
        <v>676.41484100000002</v>
      </c>
      <c r="Y71" s="4">
        <f t="shared" si="10"/>
        <v>306.40432399999997</v>
      </c>
      <c r="Z71" s="6">
        <f t="shared" si="11"/>
        <v>1760.0249524999999</v>
      </c>
      <c r="AA71" s="6">
        <f t="shared" si="12"/>
        <v>536.75036699999998</v>
      </c>
      <c r="AB71" s="7">
        <f t="shared" si="13"/>
        <v>0.76630262331587196</v>
      </c>
    </row>
    <row r="72" spans="1:28" x14ac:dyDescent="0.25">
      <c r="A72" s="1">
        <v>39814</v>
      </c>
      <c r="B72">
        <v>5.4824357437988596</v>
      </c>
      <c r="C72">
        <v>110808955</v>
      </c>
      <c r="F72" s="1">
        <v>41730</v>
      </c>
      <c r="G72">
        <v>4.5898456403089298</v>
      </c>
      <c r="H72">
        <v>278399268</v>
      </c>
      <c r="K72" s="1">
        <v>40787</v>
      </c>
      <c r="L72">
        <v>4.74951740082704</v>
      </c>
      <c r="M72">
        <v>907233372</v>
      </c>
      <c r="P72" s="1">
        <v>42278</v>
      </c>
      <c r="Q72">
        <v>4.3617034091008202</v>
      </c>
      <c r="R72">
        <v>496144728</v>
      </c>
      <c r="U72" s="1">
        <v>41730</v>
      </c>
      <c r="V72" s="5">
        <f t="shared" si="7"/>
        <v>1353.4727244999999</v>
      </c>
      <c r="W72" s="4">
        <f t="shared" si="8"/>
        <v>278.39926800000001</v>
      </c>
      <c r="X72" s="4">
        <f t="shared" si="9"/>
        <v>882.30373499999996</v>
      </c>
      <c r="Y72" s="4">
        <f t="shared" si="10"/>
        <v>369.74398100000002</v>
      </c>
      <c r="Z72" s="6">
        <f t="shared" si="11"/>
        <v>2235.7764594999999</v>
      </c>
      <c r="AA72" s="6">
        <f t="shared" si="12"/>
        <v>648.14324899999997</v>
      </c>
      <c r="AB72" s="7">
        <f t="shared" si="13"/>
        <v>0.77525613938221749</v>
      </c>
    </row>
    <row r="73" spans="1:28" x14ac:dyDescent="0.25">
      <c r="A73" s="1">
        <v>39845</v>
      </c>
      <c r="B73">
        <v>4.95339777308007</v>
      </c>
      <c r="C73">
        <v>406357881.45999998</v>
      </c>
      <c r="F73" s="1">
        <v>41760</v>
      </c>
      <c r="G73">
        <v>4.5869296037955296</v>
      </c>
      <c r="H73">
        <v>337934029</v>
      </c>
      <c r="K73" s="1">
        <v>40817</v>
      </c>
      <c r="L73">
        <v>4.4483585600306998</v>
      </c>
      <c r="M73">
        <v>1098393087</v>
      </c>
      <c r="P73" s="1">
        <v>42309</v>
      </c>
      <c r="Q73">
        <v>4.2411680910290004</v>
      </c>
      <c r="R73">
        <v>332354804</v>
      </c>
      <c r="U73" s="1">
        <v>41760</v>
      </c>
      <c r="V73" s="5">
        <f t="shared" si="7"/>
        <v>1307.60900225</v>
      </c>
      <c r="W73" s="4">
        <f t="shared" si="8"/>
        <v>337.93402900000001</v>
      </c>
      <c r="X73" s="4">
        <f t="shared" si="9"/>
        <v>922.53741100000002</v>
      </c>
      <c r="Y73" s="4">
        <f t="shared" si="10"/>
        <v>371.025644</v>
      </c>
      <c r="Z73" s="6">
        <f t="shared" si="11"/>
        <v>2230.14641325</v>
      </c>
      <c r="AA73" s="6">
        <f t="shared" si="12"/>
        <v>708.95967300000007</v>
      </c>
      <c r="AB73" s="7">
        <f t="shared" si="13"/>
        <v>0.75878391177619575</v>
      </c>
    </row>
    <row r="74" spans="1:28" x14ac:dyDescent="0.25">
      <c r="A74" s="1">
        <v>39873</v>
      </c>
      <c r="B74">
        <v>4.8743503656120701</v>
      </c>
      <c r="C74">
        <v>955396911.14999998</v>
      </c>
      <c r="F74" s="1">
        <v>41791</v>
      </c>
      <c r="G74">
        <v>4.5494649010072203</v>
      </c>
      <c r="H74">
        <v>320121841.58999997</v>
      </c>
      <c r="K74" s="1">
        <v>40848</v>
      </c>
      <c r="L74">
        <v>4.3172568128084903</v>
      </c>
      <c r="M74">
        <v>1057791843</v>
      </c>
      <c r="P74" s="1">
        <v>42339</v>
      </c>
      <c r="Q74">
        <v>4.4461968830052303</v>
      </c>
      <c r="R74">
        <v>193530386</v>
      </c>
      <c r="U74" s="1">
        <v>41791</v>
      </c>
      <c r="V74" s="5">
        <f t="shared" si="7"/>
        <v>1512.22689494</v>
      </c>
      <c r="W74" s="4">
        <f t="shared" si="8"/>
        <v>320.12184158999997</v>
      </c>
      <c r="X74" s="4">
        <f t="shared" si="9"/>
        <v>1086.9599599999999</v>
      </c>
      <c r="Y74" s="4">
        <f t="shared" si="10"/>
        <v>378.30252400000001</v>
      </c>
      <c r="Z74" s="6">
        <f t="shared" si="11"/>
        <v>2599.1868549399996</v>
      </c>
      <c r="AA74" s="6">
        <f t="shared" si="12"/>
        <v>698.42436558999998</v>
      </c>
      <c r="AB74" s="7">
        <f t="shared" si="13"/>
        <v>0.78820293876918956</v>
      </c>
    </row>
    <row r="75" spans="1:28" x14ac:dyDescent="0.25">
      <c r="A75" s="1">
        <v>39904</v>
      </c>
      <c r="B75">
        <v>4.8522553307670204</v>
      </c>
      <c r="C75">
        <v>658961497.78999996</v>
      </c>
      <c r="F75" s="1">
        <v>41821</v>
      </c>
      <c r="G75">
        <v>4.4340457253655696</v>
      </c>
      <c r="H75">
        <v>563013813.38999999</v>
      </c>
      <c r="K75" s="1">
        <v>40878</v>
      </c>
      <c r="L75">
        <v>4.2800924873141204</v>
      </c>
      <c r="M75">
        <v>785326233</v>
      </c>
      <c r="U75" s="1">
        <v>41821</v>
      </c>
      <c r="V75" s="5">
        <f t="shared" si="7"/>
        <v>1811.3508416</v>
      </c>
      <c r="W75" s="4">
        <f t="shared" si="8"/>
        <v>563.01381339</v>
      </c>
      <c r="X75" s="4">
        <f t="shared" si="9"/>
        <v>1177.0238199999999</v>
      </c>
      <c r="Y75" s="4">
        <f t="shared" si="10"/>
        <v>501.973096</v>
      </c>
      <c r="Z75" s="6">
        <f t="shared" si="11"/>
        <v>2988.3746615999999</v>
      </c>
      <c r="AA75" s="6">
        <f t="shared" si="12"/>
        <v>1064.9869093899999</v>
      </c>
      <c r="AB75" s="7">
        <f t="shared" si="13"/>
        <v>0.73725834946180591</v>
      </c>
    </row>
    <row r="76" spans="1:28" x14ac:dyDescent="0.25">
      <c r="A76" s="1">
        <v>39934</v>
      </c>
      <c r="B76">
        <v>4.94139652881183</v>
      </c>
      <c r="C76">
        <v>922470698.62</v>
      </c>
      <c r="F76" s="1">
        <v>41852</v>
      </c>
      <c r="G76">
        <v>4.4014963381364902</v>
      </c>
      <c r="H76">
        <v>450388033</v>
      </c>
      <c r="K76" s="1">
        <v>40909</v>
      </c>
      <c r="L76">
        <v>4.2717598067953597</v>
      </c>
      <c r="M76">
        <v>1169540285</v>
      </c>
      <c r="U76" s="1">
        <v>41852</v>
      </c>
      <c r="V76" s="5">
        <f t="shared" si="7"/>
        <v>1855.7722049200001</v>
      </c>
      <c r="W76" s="4">
        <f t="shared" si="8"/>
        <v>450.38803300000001</v>
      </c>
      <c r="X76" s="4">
        <f t="shared" si="9"/>
        <v>1733.9586429999999</v>
      </c>
      <c r="Y76" s="4">
        <f t="shared" si="10"/>
        <v>531.234196</v>
      </c>
      <c r="Z76" s="6">
        <f t="shared" si="11"/>
        <v>3589.7308479200001</v>
      </c>
      <c r="AA76" s="6">
        <f t="shared" si="12"/>
        <v>981.62222900000006</v>
      </c>
      <c r="AB76" s="7">
        <f t="shared" si="13"/>
        <v>0.78526659120774389</v>
      </c>
    </row>
    <row r="77" spans="1:28" x14ac:dyDescent="0.25">
      <c r="A77" s="1">
        <v>39965</v>
      </c>
      <c r="B77">
        <v>4.8432206874098602</v>
      </c>
      <c r="C77">
        <v>2217104086.6500001</v>
      </c>
      <c r="F77" s="1">
        <v>41883</v>
      </c>
      <c r="G77">
        <v>4.4343072681146998</v>
      </c>
      <c r="H77">
        <v>761505974.02999997</v>
      </c>
      <c r="K77" s="1">
        <v>40940</v>
      </c>
      <c r="L77">
        <v>4.2602894127320399</v>
      </c>
      <c r="M77">
        <v>1766022460</v>
      </c>
      <c r="U77" s="1">
        <v>41883</v>
      </c>
      <c r="V77" s="5">
        <f t="shared" si="7"/>
        <v>2064.97703929</v>
      </c>
      <c r="W77" s="4">
        <f t="shared" si="8"/>
        <v>761.50597402999995</v>
      </c>
      <c r="X77" s="4">
        <f t="shared" si="9"/>
        <v>1466.6099119999999</v>
      </c>
      <c r="Y77" s="4">
        <f t="shared" si="10"/>
        <v>518.46526100000005</v>
      </c>
      <c r="Z77" s="6">
        <f t="shared" si="11"/>
        <v>3531.5869512899999</v>
      </c>
      <c r="AA77" s="6">
        <f t="shared" si="12"/>
        <v>1279.9712350300001</v>
      </c>
      <c r="AB77" s="7">
        <f t="shared" si="13"/>
        <v>0.7339798906164835</v>
      </c>
    </row>
    <row r="78" spans="1:28" x14ac:dyDescent="0.25">
      <c r="A78" s="1">
        <v>39995</v>
      </c>
      <c r="B78">
        <v>4.7783815231178197</v>
      </c>
      <c r="C78">
        <v>1721912732.9200001</v>
      </c>
      <c r="F78" s="1">
        <v>41913</v>
      </c>
      <c r="G78">
        <v>4.3616179450296801</v>
      </c>
      <c r="H78">
        <v>542712539.45000005</v>
      </c>
      <c r="K78" s="1">
        <v>40969</v>
      </c>
      <c r="L78">
        <v>4.2226042849213599</v>
      </c>
      <c r="M78">
        <v>1175087236</v>
      </c>
      <c r="U78" s="1">
        <v>41913</v>
      </c>
      <c r="V78" s="5">
        <f t="shared" si="7"/>
        <v>2210.6425898499997</v>
      </c>
      <c r="W78" s="4">
        <f t="shared" si="8"/>
        <v>542.71253945000001</v>
      </c>
      <c r="X78" s="4">
        <f t="shared" si="9"/>
        <v>1522.533629</v>
      </c>
      <c r="Y78" s="4">
        <f t="shared" si="10"/>
        <v>553.547505</v>
      </c>
      <c r="Z78" s="6">
        <f t="shared" si="11"/>
        <v>3733.1762188499997</v>
      </c>
      <c r="AA78" s="6">
        <f t="shared" si="12"/>
        <v>1096.2600444499999</v>
      </c>
      <c r="AB78" s="7">
        <f t="shared" si="13"/>
        <v>0.77300455277135904</v>
      </c>
    </row>
    <row r="79" spans="1:28" x14ac:dyDescent="0.25">
      <c r="A79" s="1">
        <v>40026</v>
      </c>
      <c r="B79">
        <v>4.93068284073758</v>
      </c>
      <c r="C79">
        <v>1254967386.8800001</v>
      </c>
      <c r="F79" s="1">
        <v>41944</v>
      </c>
      <c r="G79">
        <v>4.34743931536413</v>
      </c>
      <c r="H79">
        <v>549817803.51999998</v>
      </c>
      <c r="K79" s="1">
        <v>41000</v>
      </c>
      <c r="L79">
        <v>4.1207993009501598</v>
      </c>
      <c r="M79">
        <v>705648976</v>
      </c>
      <c r="U79" s="1">
        <v>41944</v>
      </c>
      <c r="V79" s="5">
        <f t="shared" si="7"/>
        <v>1566.5152306700002</v>
      </c>
      <c r="W79" s="4">
        <f t="shared" si="8"/>
        <v>549.81780351999998</v>
      </c>
      <c r="X79" s="4">
        <f t="shared" si="9"/>
        <v>1319.977834</v>
      </c>
      <c r="Y79" s="4">
        <f t="shared" si="10"/>
        <v>569.81535399999996</v>
      </c>
      <c r="Z79" s="6">
        <f t="shared" si="11"/>
        <v>2886.4930646700004</v>
      </c>
      <c r="AA79" s="6">
        <f t="shared" si="12"/>
        <v>1119.6331575199999</v>
      </c>
      <c r="AB79" s="7">
        <f t="shared" si="13"/>
        <v>0.72051975014707892</v>
      </c>
    </row>
    <row r="80" spans="1:28" x14ac:dyDescent="0.25">
      <c r="A80" s="1">
        <v>40057</v>
      </c>
      <c r="B80">
        <v>5.0399660163964297</v>
      </c>
      <c r="C80">
        <v>1125246849.5599999</v>
      </c>
      <c r="F80" s="1">
        <v>41974</v>
      </c>
      <c r="G80">
        <v>4.2789582182691399</v>
      </c>
      <c r="H80">
        <v>777348499.50999999</v>
      </c>
      <c r="K80" s="1">
        <v>41030</v>
      </c>
      <c r="L80">
        <v>4.1818986931981303</v>
      </c>
      <c r="M80">
        <v>654301180</v>
      </c>
      <c r="U80" s="1">
        <v>41974</v>
      </c>
      <c r="V80" s="5">
        <f t="shared" si="7"/>
        <v>2631.61870494</v>
      </c>
      <c r="W80" s="4">
        <f t="shared" si="8"/>
        <v>777.34849951000001</v>
      </c>
      <c r="X80" s="4">
        <f t="shared" si="9"/>
        <v>1293.617589</v>
      </c>
      <c r="Y80" s="4">
        <f t="shared" si="10"/>
        <v>679.77570600000001</v>
      </c>
      <c r="Z80" s="6">
        <f t="shared" si="11"/>
        <v>3925.23629394</v>
      </c>
      <c r="AA80" s="6">
        <f t="shared" si="12"/>
        <v>1457.1242055100001</v>
      </c>
      <c r="AB80" s="7">
        <f t="shared" si="13"/>
        <v>0.72927785018136615</v>
      </c>
    </row>
    <row r="81" spans="1:28" x14ac:dyDescent="0.25">
      <c r="A81" s="1">
        <v>40087</v>
      </c>
      <c r="B81">
        <v>5.0825923223837997</v>
      </c>
      <c r="C81">
        <v>682320946.23000002</v>
      </c>
      <c r="F81" s="1">
        <v>42005</v>
      </c>
      <c r="G81">
        <v>4.2128019133072598</v>
      </c>
      <c r="H81">
        <v>668196719.95000005</v>
      </c>
      <c r="K81" s="1">
        <v>41061</v>
      </c>
      <c r="L81">
        <v>4.1361302745364501</v>
      </c>
      <c r="M81">
        <v>1431079028</v>
      </c>
      <c r="U81" s="1">
        <v>42005</v>
      </c>
      <c r="V81" s="5">
        <f t="shared" si="7"/>
        <v>2154.82905669</v>
      </c>
      <c r="W81" s="4">
        <f t="shared" si="8"/>
        <v>668.1967199500001</v>
      </c>
      <c r="X81" s="4">
        <f t="shared" si="9"/>
        <v>1356.544165</v>
      </c>
      <c r="Y81" s="4">
        <f t="shared" si="10"/>
        <v>650.85162000000003</v>
      </c>
      <c r="Z81" s="6">
        <f t="shared" si="11"/>
        <v>3511.3732216899998</v>
      </c>
      <c r="AA81" s="6">
        <f t="shared" si="12"/>
        <v>1319.0483399500001</v>
      </c>
      <c r="AB81" s="7">
        <f t="shared" si="13"/>
        <v>0.72692893919963308</v>
      </c>
    </row>
    <row r="82" spans="1:28" x14ac:dyDescent="0.25">
      <c r="A82" s="1">
        <v>40118</v>
      </c>
      <c r="B82">
        <v>5.0709602843463397</v>
      </c>
      <c r="C82">
        <v>664469522.51999998</v>
      </c>
      <c r="F82" s="1">
        <v>42036</v>
      </c>
      <c r="G82">
        <v>4.0627197962752097</v>
      </c>
      <c r="H82">
        <v>822184053.48000002</v>
      </c>
      <c r="K82" s="1">
        <v>41091</v>
      </c>
      <c r="L82">
        <v>4.0280214956671498</v>
      </c>
      <c r="M82">
        <v>838144351</v>
      </c>
      <c r="U82" s="1">
        <v>42036</v>
      </c>
      <c r="V82" s="5">
        <f t="shared" si="7"/>
        <v>1934.94598163</v>
      </c>
      <c r="W82" s="4">
        <f t="shared" si="8"/>
        <v>822.18405347999999</v>
      </c>
      <c r="X82" s="4">
        <f t="shared" si="9"/>
        <v>1778.747398</v>
      </c>
      <c r="Y82" s="4">
        <f t="shared" si="10"/>
        <v>1043.5737799999999</v>
      </c>
      <c r="Z82" s="6">
        <f t="shared" si="11"/>
        <v>3713.69337963</v>
      </c>
      <c r="AA82" s="6">
        <f t="shared" si="12"/>
        <v>1865.75783348</v>
      </c>
      <c r="AB82" s="7">
        <f t="shared" si="13"/>
        <v>0.66560190918131146</v>
      </c>
    </row>
    <row r="83" spans="1:28" x14ac:dyDescent="0.25">
      <c r="A83" s="1">
        <v>40148</v>
      </c>
      <c r="B83">
        <v>5.0475980984341797</v>
      </c>
      <c r="C83">
        <v>947194413.90999997</v>
      </c>
      <c r="F83" s="1">
        <v>42064</v>
      </c>
      <c r="G83">
        <v>3.9674464308514401</v>
      </c>
      <c r="H83">
        <v>1012672909</v>
      </c>
      <c r="K83" s="1">
        <v>41122</v>
      </c>
      <c r="L83">
        <v>3.9533270916439101</v>
      </c>
      <c r="M83">
        <v>1427540057</v>
      </c>
      <c r="U83" s="1">
        <v>42064</v>
      </c>
      <c r="V83" s="5">
        <f t="shared" si="7"/>
        <v>2790.07478653</v>
      </c>
      <c r="W83" s="4">
        <f t="shared" si="8"/>
        <v>1012.672909</v>
      </c>
      <c r="X83" s="4">
        <f t="shared" si="9"/>
        <v>1470.927205</v>
      </c>
      <c r="Y83" s="4">
        <f t="shared" si="10"/>
        <v>1091.824916</v>
      </c>
      <c r="Z83" s="6">
        <f t="shared" si="11"/>
        <v>4261.0019915299999</v>
      </c>
      <c r="AA83" s="6">
        <f t="shared" si="12"/>
        <v>2104.4978249999999</v>
      </c>
      <c r="AB83" s="7">
        <f t="shared" si="13"/>
        <v>0.66939001089356454</v>
      </c>
    </row>
    <row r="84" spans="1:28" x14ac:dyDescent="0.25">
      <c r="A84" s="1">
        <v>40179</v>
      </c>
      <c r="B84">
        <v>5.0167677772910899</v>
      </c>
      <c r="C84">
        <v>737946557.78999996</v>
      </c>
      <c r="F84" s="1">
        <v>42095</v>
      </c>
      <c r="G84">
        <v>3.9726902091202798</v>
      </c>
      <c r="H84">
        <v>1084177875.6199999</v>
      </c>
      <c r="K84" s="1">
        <v>41153</v>
      </c>
      <c r="L84">
        <v>3.8545005478618801</v>
      </c>
      <c r="M84">
        <v>1315555115</v>
      </c>
      <c r="U84" s="1">
        <v>42095</v>
      </c>
      <c r="V84" s="5">
        <f t="shared" si="7"/>
        <v>2752.1356861500003</v>
      </c>
      <c r="W84" s="4">
        <f t="shared" si="8"/>
        <v>1084.1778756199999</v>
      </c>
      <c r="X84" s="4">
        <f t="shared" si="9"/>
        <v>2126.7917379999999</v>
      </c>
      <c r="Y84" s="4">
        <f t="shared" si="10"/>
        <v>835.02711099999999</v>
      </c>
      <c r="Z84" s="6">
        <f t="shared" si="11"/>
        <v>4878.9274241500007</v>
      </c>
      <c r="AA84" s="6">
        <f t="shared" si="12"/>
        <v>1919.20498662</v>
      </c>
      <c r="AB84" s="7">
        <f t="shared" si="13"/>
        <v>0.71768643641311214</v>
      </c>
    </row>
    <row r="85" spans="1:28" x14ac:dyDescent="0.25">
      <c r="A85" s="1">
        <v>40210</v>
      </c>
      <c r="B85">
        <v>5.0514070163807201</v>
      </c>
      <c r="C85">
        <v>819326817.58000004</v>
      </c>
      <c r="F85" s="1">
        <v>42125</v>
      </c>
      <c r="G85">
        <v>3.9991635285093099</v>
      </c>
      <c r="H85">
        <v>775873856.39999998</v>
      </c>
      <c r="K85" s="1">
        <v>41183</v>
      </c>
      <c r="L85">
        <v>3.8089509462129798</v>
      </c>
      <c r="M85">
        <v>1971630467</v>
      </c>
      <c r="U85" s="1">
        <v>42125</v>
      </c>
      <c r="V85" s="5">
        <f t="shared" si="7"/>
        <v>2546.05884758</v>
      </c>
      <c r="W85" s="4">
        <f t="shared" si="8"/>
        <v>775.87385640000002</v>
      </c>
      <c r="X85" s="4">
        <f t="shared" si="9"/>
        <v>2006.962311</v>
      </c>
      <c r="Y85" s="4">
        <f t="shared" si="10"/>
        <v>1187.969632</v>
      </c>
      <c r="Z85" s="6">
        <f t="shared" si="11"/>
        <v>4553.0211585799998</v>
      </c>
      <c r="AA85" s="6">
        <f t="shared" si="12"/>
        <v>1963.8434884000001</v>
      </c>
      <c r="AB85" s="7">
        <f t="shared" si="13"/>
        <v>0.69865209808982753</v>
      </c>
    </row>
    <row r="86" spans="1:28" x14ac:dyDescent="0.25">
      <c r="A86" s="1">
        <v>40238</v>
      </c>
      <c r="B86">
        <v>5.1304404710069997</v>
      </c>
      <c r="C86">
        <v>716424308.25</v>
      </c>
      <c r="F86" s="1">
        <v>42156</v>
      </c>
      <c r="G86">
        <v>3.9511347695949799</v>
      </c>
      <c r="H86">
        <v>1629192250.05</v>
      </c>
      <c r="K86" s="1">
        <v>41214</v>
      </c>
      <c r="L86">
        <v>3.7893113021675</v>
      </c>
      <c r="M86">
        <v>2324132340</v>
      </c>
      <c r="U86" s="1">
        <v>42156</v>
      </c>
      <c r="V86" s="5">
        <f t="shared" si="7"/>
        <v>2283.1162021599998</v>
      </c>
      <c r="W86" s="4">
        <f t="shared" si="8"/>
        <v>1629.19225005</v>
      </c>
      <c r="X86" s="4">
        <f t="shared" si="9"/>
        <v>2281.118813</v>
      </c>
      <c r="Y86" s="4">
        <f t="shared" si="10"/>
        <v>1180.7884120000001</v>
      </c>
      <c r="Z86" s="6">
        <f t="shared" si="11"/>
        <v>4564.2350151600003</v>
      </c>
      <c r="AA86" s="6">
        <f t="shared" si="12"/>
        <v>2809.9806620500003</v>
      </c>
      <c r="AB86" s="7">
        <f t="shared" si="13"/>
        <v>0.61894514819599866</v>
      </c>
    </row>
    <row r="87" spans="1:28" x14ac:dyDescent="0.25">
      <c r="A87" s="1">
        <v>40269</v>
      </c>
      <c r="B87">
        <v>5.1057791094209701</v>
      </c>
      <c r="C87">
        <v>648537627.25</v>
      </c>
      <c r="F87" s="1">
        <v>42186</v>
      </c>
      <c r="G87">
        <v>4.0569218300391601</v>
      </c>
      <c r="H87">
        <v>859177917.09000003</v>
      </c>
      <c r="K87" s="1">
        <v>41244</v>
      </c>
      <c r="L87">
        <v>3.7102603686603199</v>
      </c>
      <c r="M87">
        <v>1108637075</v>
      </c>
      <c r="U87" s="1">
        <v>42186</v>
      </c>
      <c r="V87" s="5">
        <f t="shared" si="7"/>
        <v>2489.4073492399998</v>
      </c>
      <c r="W87" s="4">
        <f t="shared" si="8"/>
        <v>859.17791709000005</v>
      </c>
      <c r="X87" s="4">
        <f t="shared" si="9"/>
        <v>2056.4049989999999</v>
      </c>
      <c r="Y87" s="4">
        <f t="shared" si="10"/>
        <v>1247.0111320000001</v>
      </c>
      <c r="Z87" s="6">
        <f t="shared" si="11"/>
        <v>4545.8123482399997</v>
      </c>
      <c r="AA87" s="6">
        <f t="shared" si="12"/>
        <v>2106.18904909</v>
      </c>
      <c r="AB87" s="7">
        <f t="shared" si="13"/>
        <v>0.68337513429636554</v>
      </c>
    </row>
    <row r="88" spans="1:28" x14ac:dyDescent="0.25">
      <c r="A88" s="1">
        <v>40299</v>
      </c>
      <c r="B88">
        <v>5.1384884114555804</v>
      </c>
      <c r="C88">
        <v>595235627</v>
      </c>
      <c r="F88" s="1">
        <v>42217</v>
      </c>
      <c r="G88">
        <v>4.0750206519239303</v>
      </c>
      <c r="H88">
        <v>921546586</v>
      </c>
      <c r="K88" s="1">
        <v>41275</v>
      </c>
      <c r="L88">
        <v>3.71066572893504</v>
      </c>
      <c r="M88">
        <v>1516281743</v>
      </c>
      <c r="U88" s="1">
        <v>42217</v>
      </c>
      <c r="V88" s="5">
        <f t="shared" si="7"/>
        <v>2026.7750074200001</v>
      </c>
      <c r="W88" s="4">
        <f t="shared" si="8"/>
        <v>921.54658600000005</v>
      </c>
      <c r="X88" s="4">
        <f t="shared" si="9"/>
        <v>1635.9655749999999</v>
      </c>
      <c r="Y88" s="4">
        <f t="shared" si="10"/>
        <v>939.59904100000006</v>
      </c>
      <c r="Z88" s="6">
        <f t="shared" si="11"/>
        <v>3662.74058242</v>
      </c>
      <c r="AA88" s="6">
        <f t="shared" si="12"/>
        <v>1861.1456270000001</v>
      </c>
      <c r="AB88" s="7">
        <f t="shared" si="13"/>
        <v>0.66307314154550301</v>
      </c>
    </row>
    <row r="89" spans="1:28" x14ac:dyDescent="0.25">
      <c r="A89" s="1">
        <v>40330</v>
      </c>
      <c r="B89">
        <v>5.1813838196045303</v>
      </c>
      <c r="C89">
        <v>696979569.90999997</v>
      </c>
      <c r="F89" s="1">
        <v>42248</v>
      </c>
      <c r="G89">
        <v>4.17137890751897</v>
      </c>
      <c r="H89">
        <v>658547602</v>
      </c>
      <c r="K89" s="1">
        <v>41306</v>
      </c>
      <c r="L89">
        <v>3.7091341076998798</v>
      </c>
      <c r="M89">
        <v>1615625480</v>
      </c>
      <c r="U89" s="1">
        <v>42248</v>
      </c>
      <c r="V89" s="5">
        <f t="shared" si="7"/>
        <v>2628.62477833</v>
      </c>
      <c r="W89" s="4">
        <f t="shared" si="8"/>
        <v>658.54760199999998</v>
      </c>
      <c r="X89" s="4">
        <f t="shared" si="9"/>
        <v>1715.5863300000001</v>
      </c>
      <c r="Y89" s="4">
        <f t="shared" si="10"/>
        <v>593.17995599999995</v>
      </c>
      <c r="Z89" s="6">
        <f t="shared" si="11"/>
        <v>4344.2111083300006</v>
      </c>
      <c r="AA89" s="6">
        <f t="shared" si="12"/>
        <v>1251.727558</v>
      </c>
      <c r="AB89" s="7">
        <f t="shared" si="13"/>
        <v>0.77631499688667527</v>
      </c>
    </row>
    <row r="90" spans="1:28" x14ac:dyDescent="0.25">
      <c r="A90" s="1">
        <v>40360</v>
      </c>
      <c r="B90">
        <v>5.0579892506937503</v>
      </c>
      <c r="C90">
        <v>638942852.79999995</v>
      </c>
      <c r="F90" s="1">
        <v>42278</v>
      </c>
      <c r="G90">
        <v>4.1577815008078698</v>
      </c>
      <c r="H90">
        <v>615514468</v>
      </c>
      <c r="K90" s="1">
        <v>41334</v>
      </c>
      <c r="L90">
        <v>3.68932521436852</v>
      </c>
      <c r="M90">
        <v>2208524907</v>
      </c>
      <c r="U90" s="1">
        <v>42278</v>
      </c>
      <c r="V90" s="5">
        <f t="shared" si="7"/>
        <v>2318.8741494599999</v>
      </c>
      <c r="W90" s="4">
        <f t="shared" si="8"/>
        <v>615.51446799999997</v>
      </c>
      <c r="X90" s="4">
        <f t="shared" si="9"/>
        <v>1520.0727979999999</v>
      </c>
      <c r="Y90" s="4">
        <f t="shared" si="10"/>
        <v>496.14472799999999</v>
      </c>
      <c r="Z90" s="6">
        <f t="shared" si="11"/>
        <v>3838.94694746</v>
      </c>
      <c r="AA90" s="6">
        <f t="shared" si="12"/>
        <v>1111.6591960000001</v>
      </c>
      <c r="AB90" s="7">
        <f t="shared" si="13"/>
        <v>0.77544988153247507</v>
      </c>
    </row>
    <row r="91" spans="1:28" x14ac:dyDescent="0.25">
      <c r="A91" s="1">
        <v>40391</v>
      </c>
      <c r="B91">
        <v>4.8724904288711404</v>
      </c>
      <c r="C91">
        <v>747515923.40999997</v>
      </c>
      <c r="F91" s="1">
        <v>42309</v>
      </c>
      <c r="G91">
        <v>4.0897781709037098</v>
      </c>
      <c r="H91">
        <v>626751370</v>
      </c>
      <c r="K91" s="1">
        <v>41365</v>
      </c>
      <c r="L91">
        <v>3.7607669843270402</v>
      </c>
      <c r="M91">
        <v>1654827635</v>
      </c>
      <c r="U91" s="1">
        <v>42309</v>
      </c>
      <c r="V91" s="5">
        <f t="shared" si="7"/>
        <v>1462.5360900000001</v>
      </c>
      <c r="W91" s="4">
        <f t="shared" si="8"/>
        <v>626.75136999999995</v>
      </c>
      <c r="X91" s="4">
        <f t="shared" si="9"/>
        <v>1299.679396</v>
      </c>
      <c r="Y91" s="4">
        <f t="shared" si="10"/>
        <v>332.354804</v>
      </c>
      <c r="Z91" s="6">
        <f t="shared" si="11"/>
        <v>2762.2154860000001</v>
      </c>
      <c r="AA91" s="6">
        <f t="shared" si="12"/>
        <v>959.10617400000001</v>
      </c>
      <c r="AB91" s="7">
        <f t="shared" si="13"/>
        <v>0.74226732821585761</v>
      </c>
    </row>
    <row r="92" spans="1:28" x14ac:dyDescent="0.25">
      <c r="A92" s="1">
        <v>40422</v>
      </c>
      <c r="B92">
        <v>4.7558756479124202</v>
      </c>
      <c r="C92">
        <v>1296171825.3900001</v>
      </c>
      <c r="F92" s="1">
        <v>42339</v>
      </c>
      <c r="G92">
        <v>3.8460617874126601</v>
      </c>
      <c r="H92">
        <v>223201238</v>
      </c>
      <c r="K92" s="1">
        <v>41395</v>
      </c>
      <c r="L92">
        <v>3.8138215830267899</v>
      </c>
      <c r="M92">
        <v>1583510845</v>
      </c>
      <c r="U92" s="1">
        <v>42339</v>
      </c>
      <c r="V92" s="5">
        <f t="shared" si="7"/>
        <v>1557.88292716</v>
      </c>
      <c r="W92" s="4">
        <f t="shared" si="8"/>
        <v>223.20123799999999</v>
      </c>
      <c r="X92" s="4">
        <f t="shared" si="9"/>
        <v>658.72982000000002</v>
      </c>
      <c r="Y92" s="4">
        <f t="shared" si="10"/>
        <v>193.53038599999999</v>
      </c>
      <c r="Z92" s="6">
        <f t="shared" si="11"/>
        <v>2216.6127471600003</v>
      </c>
      <c r="AA92" s="6">
        <f t="shared" si="12"/>
        <v>416.73162400000001</v>
      </c>
      <c r="AB92" s="7">
        <f t="shared" si="13"/>
        <v>0.8417481478822203</v>
      </c>
    </row>
    <row r="93" spans="1:28" x14ac:dyDescent="0.25">
      <c r="A93" s="1">
        <v>40452</v>
      </c>
      <c r="B93">
        <v>4.6216121514081596</v>
      </c>
      <c r="C93">
        <v>1364393877.8099999</v>
      </c>
      <c r="K93" s="1">
        <v>41426</v>
      </c>
      <c r="L93">
        <v>3.79302752893881</v>
      </c>
      <c r="M93">
        <v>1926564782</v>
      </c>
    </row>
    <row r="94" spans="1:28" x14ac:dyDescent="0.25">
      <c r="A94" s="1">
        <v>40483</v>
      </c>
      <c r="B94">
        <v>4.5521380426639304</v>
      </c>
      <c r="C94">
        <v>1397827264.8199999</v>
      </c>
      <c r="K94" s="1">
        <v>41456</v>
      </c>
      <c r="L94">
        <v>3.7952056040710902</v>
      </c>
      <c r="M94">
        <v>1762463793</v>
      </c>
    </row>
    <row r="95" spans="1:28" x14ac:dyDescent="0.25">
      <c r="A95" s="1">
        <v>40513</v>
      </c>
      <c r="B95">
        <v>4.4627451964351499</v>
      </c>
      <c r="C95">
        <v>1887429650.8800001</v>
      </c>
      <c r="K95" s="1">
        <v>41487</v>
      </c>
      <c r="L95">
        <v>4.0158876706712103</v>
      </c>
      <c r="M95">
        <v>1625280334</v>
      </c>
    </row>
    <row r="96" spans="1:28" x14ac:dyDescent="0.25">
      <c r="A96" s="1">
        <v>40544</v>
      </c>
      <c r="B96">
        <v>4.4855435503675798</v>
      </c>
      <c r="C96">
        <v>1624910262.7</v>
      </c>
      <c r="K96" s="1">
        <v>41518</v>
      </c>
      <c r="L96">
        <v>4.3250939146249001</v>
      </c>
      <c r="M96">
        <v>1137781779</v>
      </c>
    </row>
    <row r="97" spans="1:13" x14ac:dyDescent="0.25">
      <c r="A97" s="1">
        <v>40575</v>
      </c>
      <c r="B97">
        <v>4.5789654467629397</v>
      </c>
      <c r="C97">
        <v>1313844105.52</v>
      </c>
      <c r="K97" s="1">
        <v>41548</v>
      </c>
      <c r="L97">
        <v>4.5876506151203396</v>
      </c>
      <c r="M97">
        <v>867525931</v>
      </c>
    </row>
    <row r="98" spans="1:13" x14ac:dyDescent="0.25">
      <c r="A98" s="1">
        <v>40603</v>
      </c>
      <c r="B98">
        <v>4.7786248676693504</v>
      </c>
      <c r="C98">
        <v>1192108538.73</v>
      </c>
      <c r="K98" s="1">
        <v>41579</v>
      </c>
      <c r="L98">
        <v>4.6571337642934303</v>
      </c>
      <c r="M98">
        <v>934820794</v>
      </c>
    </row>
    <row r="99" spans="1:13" x14ac:dyDescent="0.25">
      <c r="A99" s="1">
        <v>40634</v>
      </c>
      <c r="B99">
        <v>4.9686075761836799</v>
      </c>
      <c r="C99">
        <v>616571829.24000001</v>
      </c>
      <c r="K99" s="1">
        <v>41609</v>
      </c>
      <c r="L99">
        <v>4.5559766396676604</v>
      </c>
      <c r="M99">
        <v>1143211818</v>
      </c>
    </row>
    <row r="100" spans="1:13" x14ac:dyDescent="0.25">
      <c r="A100" s="1">
        <v>40664</v>
      </c>
      <c r="B100">
        <v>5.0476054390088798</v>
      </c>
      <c r="C100">
        <v>521689336.37</v>
      </c>
      <c r="K100" s="1">
        <v>41640</v>
      </c>
      <c r="L100">
        <v>4.5571203608211599</v>
      </c>
      <c r="M100">
        <v>970395415</v>
      </c>
    </row>
    <row r="101" spans="1:13" x14ac:dyDescent="0.25">
      <c r="A101" s="1">
        <v>40695</v>
      </c>
      <c r="B101">
        <v>5.0219426598116597</v>
      </c>
      <c r="C101">
        <v>591909321.50999999</v>
      </c>
      <c r="K101" s="1">
        <v>41671</v>
      </c>
      <c r="L101">
        <v>4.6241755010099199</v>
      </c>
      <c r="M101">
        <v>914677688</v>
      </c>
    </row>
    <row r="102" spans="1:13" x14ac:dyDescent="0.25">
      <c r="A102" s="1">
        <v>40725</v>
      </c>
      <c r="B102">
        <v>4.8993448783578897</v>
      </c>
      <c r="C102">
        <v>481165737.07999998</v>
      </c>
      <c r="K102" s="1">
        <v>41699</v>
      </c>
      <c r="L102">
        <v>4.6746185580647204</v>
      </c>
      <c r="M102">
        <v>676414841</v>
      </c>
    </row>
    <row r="103" spans="1:13" x14ac:dyDescent="0.25">
      <c r="A103" s="1">
        <v>40756</v>
      </c>
      <c r="B103">
        <v>4.82102463999977</v>
      </c>
      <c r="C103">
        <v>686015378.82000005</v>
      </c>
      <c r="K103" s="1">
        <v>41730</v>
      </c>
      <c r="L103">
        <v>4.6125706170041303</v>
      </c>
      <c r="M103">
        <v>882303735</v>
      </c>
    </row>
    <row r="104" spans="1:13" x14ac:dyDescent="0.25">
      <c r="A104" s="1">
        <v>40787</v>
      </c>
      <c r="B104">
        <v>4.7198543952938303</v>
      </c>
      <c r="C104">
        <v>878927100.08000004</v>
      </c>
      <c r="K104" s="1">
        <v>41760</v>
      </c>
      <c r="L104">
        <v>4.6115633117343497</v>
      </c>
      <c r="M104">
        <v>922537411</v>
      </c>
    </row>
    <row r="105" spans="1:13" x14ac:dyDescent="0.25">
      <c r="A105" s="1">
        <v>40817</v>
      </c>
      <c r="B105">
        <v>4.49224318330314</v>
      </c>
      <c r="C105">
        <v>968602584.82000005</v>
      </c>
      <c r="K105" s="1">
        <v>41791</v>
      </c>
      <c r="L105">
        <v>4.5976148459967101</v>
      </c>
      <c r="M105">
        <v>1086959960</v>
      </c>
    </row>
    <row r="106" spans="1:13" x14ac:dyDescent="0.25">
      <c r="A106" s="1">
        <v>40848</v>
      </c>
      <c r="B106">
        <v>4.3881756534060301</v>
      </c>
      <c r="C106">
        <v>1245742752.95</v>
      </c>
      <c r="K106" s="1">
        <v>41821</v>
      </c>
      <c r="L106">
        <v>4.5049750741238102</v>
      </c>
      <c r="M106">
        <v>1177023820</v>
      </c>
    </row>
    <row r="107" spans="1:13" x14ac:dyDescent="0.25">
      <c r="A107" s="1">
        <v>40878</v>
      </c>
      <c r="B107">
        <v>4.2583733920159297</v>
      </c>
      <c r="C107">
        <v>2127269095.4100001</v>
      </c>
      <c r="K107" s="1">
        <v>41852</v>
      </c>
      <c r="L107">
        <v>4.4191099829766802</v>
      </c>
      <c r="M107">
        <v>1733958643</v>
      </c>
    </row>
    <row r="108" spans="1:13" x14ac:dyDescent="0.25">
      <c r="A108" s="1">
        <v>40909</v>
      </c>
      <c r="B108">
        <v>4.2897612962310898</v>
      </c>
      <c r="C108">
        <v>1980303335.79</v>
      </c>
      <c r="K108" s="1">
        <v>41883</v>
      </c>
      <c r="L108">
        <v>4.4330582800602203</v>
      </c>
      <c r="M108">
        <v>1466609912</v>
      </c>
    </row>
    <row r="109" spans="1:13" x14ac:dyDescent="0.25">
      <c r="A109" s="1">
        <v>40940</v>
      </c>
      <c r="B109">
        <v>4.2135674988460696</v>
      </c>
      <c r="C109">
        <v>2127209516.3</v>
      </c>
      <c r="K109" s="1">
        <v>41913</v>
      </c>
      <c r="L109">
        <v>4.4339227232595899</v>
      </c>
      <c r="M109">
        <v>1522533629</v>
      </c>
    </row>
    <row r="110" spans="1:13" x14ac:dyDescent="0.25">
      <c r="A110" s="1">
        <v>40969</v>
      </c>
      <c r="B110">
        <v>4.1455209190451399</v>
      </c>
      <c r="C110">
        <v>3980866751.3899999</v>
      </c>
      <c r="K110" s="1">
        <v>41944</v>
      </c>
      <c r="L110">
        <v>4.3975178272955704</v>
      </c>
      <c r="M110">
        <v>1319977834</v>
      </c>
    </row>
    <row r="111" spans="1:13" x14ac:dyDescent="0.25">
      <c r="A111" s="1">
        <v>41000</v>
      </c>
      <c r="B111">
        <v>4.12784704937902</v>
      </c>
      <c r="C111">
        <v>1686150946.9400001</v>
      </c>
      <c r="K111" s="1">
        <v>41974</v>
      </c>
      <c r="L111">
        <v>4.3381669422276197</v>
      </c>
      <c r="M111">
        <v>1293617589</v>
      </c>
    </row>
    <row r="112" spans="1:13" x14ac:dyDescent="0.25">
      <c r="A112" s="1">
        <v>41030</v>
      </c>
      <c r="B112">
        <v>4.1592436080299704</v>
      </c>
      <c r="C112">
        <v>2811508708.7199998</v>
      </c>
      <c r="K112" s="1">
        <v>42005</v>
      </c>
      <c r="L112">
        <v>4.2717975640955199</v>
      </c>
      <c r="M112">
        <v>1356544165</v>
      </c>
    </row>
    <row r="113" spans="1:13" x14ac:dyDescent="0.25">
      <c r="A113" s="1">
        <v>41061</v>
      </c>
      <c r="B113">
        <v>4.1957971646484404</v>
      </c>
      <c r="C113">
        <v>1928731988.73</v>
      </c>
      <c r="K113" s="1">
        <v>42036</v>
      </c>
      <c r="L113">
        <v>4.1977387731200402</v>
      </c>
      <c r="M113">
        <v>1778747398</v>
      </c>
    </row>
    <row r="114" spans="1:13" x14ac:dyDescent="0.25">
      <c r="A114" s="1">
        <v>41091</v>
      </c>
      <c r="B114">
        <v>4.0562819971940103</v>
      </c>
      <c r="C114">
        <v>2474992878.4699998</v>
      </c>
      <c r="K114" s="1">
        <v>42064</v>
      </c>
      <c r="L114">
        <v>4.0369602132424998</v>
      </c>
      <c r="M114">
        <v>1470927205</v>
      </c>
    </row>
    <row r="115" spans="1:13" x14ac:dyDescent="0.25">
      <c r="A115" s="1">
        <v>41122</v>
      </c>
      <c r="B115">
        <v>3.96276559783862</v>
      </c>
      <c r="C115">
        <v>2758327902.04</v>
      </c>
      <c r="K115" s="1">
        <v>42095</v>
      </c>
      <c r="L115">
        <v>4.0030639652103996</v>
      </c>
      <c r="M115">
        <v>2126791738</v>
      </c>
    </row>
    <row r="116" spans="1:13" x14ac:dyDescent="0.25">
      <c r="A116" s="1">
        <v>41153</v>
      </c>
      <c r="B116">
        <v>3.85298517056115</v>
      </c>
      <c r="C116">
        <v>3214406111.1300001</v>
      </c>
      <c r="K116" s="1">
        <v>42125</v>
      </c>
      <c r="L116">
        <v>4.0486003784263298</v>
      </c>
      <c r="M116">
        <v>2006962311</v>
      </c>
    </row>
    <row r="117" spans="1:13" x14ac:dyDescent="0.25">
      <c r="A117" s="1">
        <v>41183</v>
      </c>
      <c r="B117">
        <v>3.8177838629041401</v>
      </c>
      <c r="C117">
        <v>2336565624.25</v>
      </c>
      <c r="K117" s="1">
        <v>42156</v>
      </c>
      <c r="L117">
        <v>4.0589451406799597</v>
      </c>
      <c r="M117">
        <v>2281118813</v>
      </c>
    </row>
    <row r="118" spans="1:13" x14ac:dyDescent="0.25">
      <c r="A118" s="1">
        <v>41214</v>
      </c>
      <c r="B118">
        <v>3.76796894886008</v>
      </c>
      <c r="C118">
        <v>4573578543.8199997</v>
      </c>
      <c r="K118" s="1">
        <v>42186</v>
      </c>
      <c r="L118">
        <v>4.1420243141268402</v>
      </c>
      <c r="M118">
        <v>2056404999</v>
      </c>
    </row>
    <row r="119" spans="1:13" x14ac:dyDescent="0.25">
      <c r="A119" s="1">
        <v>41244</v>
      </c>
      <c r="B119">
        <v>3.6768376577193398</v>
      </c>
      <c r="C119">
        <v>2507935310.4899998</v>
      </c>
      <c r="K119" s="1">
        <v>42217</v>
      </c>
      <c r="L119">
        <v>4.2301443599141697</v>
      </c>
      <c r="M119">
        <v>1635965575</v>
      </c>
    </row>
    <row r="120" spans="1:13" x14ac:dyDescent="0.25">
      <c r="A120" s="1">
        <v>41275</v>
      </c>
      <c r="B120">
        <v>3.65750703364768</v>
      </c>
      <c r="C120">
        <v>3266924412.6300001</v>
      </c>
      <c r="K120" s="1">
        <v>42248</v>
      </c>
      <c r="L120">
        <v>4.2923408427146796</v>
      </c>
      <c r="M120">
        <v>1715586330</v>
      </c>
    </row>
    <row r="121" spans="1:13" x14ac:dyDescent="0.25">
      <c r="A121" s="1">
        <v>41306</v>
      </c>
      <c r="B121">
        <v>3.6600750664872899</v>
      </c>
      <c r="C121">
        <v>3488809149.5799999</v>
      </c>
      <c r="K121" s="1">
        <v>42278</v>
      </c>
      <c r="L121">
        <v>4.2694352743992701</v>
      </c>
      <c r="M121">
        <v>1520072798</v>
      </c>
    </row>
    <row r="122" spans="1:13" x14ac:dyDescent="0.25">
      <c r="A122" s="1">
        <v>41334</v>
      </c>
      <c r="B122">
        <v>3.7133043582796001</v>
      </c>
      <c r="C122">
        <v>2657400230.98</v>
      </c>
      <c r="K122" s="1">
        <v>42309</v>
      </c>
      <c r="L122">
        <v>4.2779172268035204</v>
      </c>
      <c r="M122">
        <v>1299679396</v>
      </c>
    </row>
    <row r="123" spans="1:13" x14ac:dyDescent="0.25">
      <c r="A123" s="1">
        <v>41365</v>
      </c>
      <c r="B123">
        <v>3.79211574969686</v>
      </c>
      <c r="C123">
        <v>3031526946.6700001</v>
      </c>
      <c r="K123" s="1">
        <v>42339</v>
      </c>
      <c r="L123">
        <v>4.2131471211823897</v>
      </c>
      <c r="M123">
        <v>658729820</v>
      </c>
    </row>
    <row r="124" spans="1:13" x14ac:dyDescent="0.25">
      <c r="A124" s="1">
        <v>41395</v>
      </c>
      <c r="B124">
        <v>3.80079633363549</v>
      </c>
      <c r="C124">
        <v>3372121429.96</v>
      </c>
    </row>
    <row r="125" spans="1:13" x14ac:dyDescent="0.25">
      <c r="A125" s="1">
        <v>41426</v>
      </c>
      <c r="B125">
        <v>3.7918900323093299</v>
      </c>
      <c r="C125">
        <v>3112967732.4200001</v>
      </c>
    </row>
    <row r="126" spans="1:13" x14ac:dyDescent="0.25">
      <c r="A126" s="1">
        <v>41456</v>
      </c>
      <c r="B126">
        <v>3.8612484420229101</v>
      </c>
      <c r="C126">
        <v>3536848026.0599999</v>
      </c>
    </row>
    <row r="127" spans="1:13" x14ac:dyDescent="0.25">
      <c r="A127" s="1">
        <v>41487</v>
      </c>
      <c r="B127">
        <v>4.1305775385928802</v>
      </c>
      <c r="C127">
        <v>3201450952.3099999</v>
      </c>
    </row>
    <row r="128" spans="1:13" x14ac:dyDescent="0.25">
      <c r="A128" s="1">
        <v>41518</v>
      </c>
      <c r="B128">
        <v>4.4448164210618604</v>
      </c>
      <c r="C128">
        <v>2429214633.1799998</v>
      </c>
    </row>
    <row r="129" spans="1:3" x14ac:dyDescent="0.25">
      <c r="A129" s="1">
        <v>41548</v>
      </c>
      <c r="B129">
        <v>4.6659523941674603</v>
      </c>
      <c r="C129">
        <v>2234570482.8400002</v>
      </c>
    </row>
    <row r="130" spans="1:3" x14ac:dyDescent="0.25">
      <c r="A130" s="1">
        <v>41579</v>
      </c>
      <c r="B130">
        <v>4.6553985167608296</v>
      </c>
      <c r="C130">
        <v>1817061155.7</v>
      </c>
    </row>
    <row r="131" spans="1:3" x14ac:dyDescent="0.25">
      <c r="A131" s="1">
        <v>41609</v>
      </c>
      <c r="B131">
        <v>4.5767639209534403</v>
      </c>
      <c r="C131">
        <v>1674904998</v>
      </c>
    </row>
    <row r="132" spans="1:3" x14ac:dyDescent="0.25">
      <c r="A132" s="1">
        <v>41640</v>
      </c>
      <c r="B132">
        <v>4.6160520371867202</v>
      </c>
      <c r="C132">
        <v>1289464470.0999999</v>
      </c>
    </row>
    <row r="133" spans="1:3" x14ac:dyDescent="0.25">
      <c r="A133" s="1">
        <v>41671</v>
      </c>
      <c r="B133">
        <v>4.6930377354006598</v>
      </c>
      <c r="C133">
        <v>1289684256.8800001</v>
      </c>
    </row>
    <row r="134" spans="1:3" x14ac:dyDescent="0.25">
      <c r="A134" s="1">
        <v>41699</v>
      </c>
      <c r="B134">
        <v>4.6822692990153003</v>
      </c>
      <c r="C134">
        <v>1083610111.5</v>
      </c>
    </row>
    <row r="135" spans="1:3" x14ac:dyDescent="0.25">
      <c r="A135" s="1">
        <v>41730</v>
      </c>
      <c r="B135">
        <v>4.6360854274932199</v>
      </c>
      <c r="C135">
        <v>1353472724.5</v>
      </c>
    </row>
    <row r="136" spans="1:3" x14ac:dyDescent="0.25">
      <c r="A136" s="1">
        <v>41760</v>
      </c>
      <c r="B136">
        <v>4.6458352395611504</v>
      </c>
      <c r="C136">
        <v>1307609002.25</v>
      </c>
    </row>
    <row r="137" spans="1:3" x14ac:dyDescent="0.25">
      <c r="A137" s="1">
        <v>41791</v>
      </c>
      <c r="B137">
        <v>4.59742404013849</v>
      </c>
      <c r="C137">
        <v>1512226894.9400001</v>
      </c>
    </row>
    <row r="138" spans="1:3" x14ac:dyDescent="0.25">
      <c r="A138" s="1">
        <v>41821</v>
      </c>
      <c r="B138">
        <v>4.4921828407964304</v>
      </c>
      <c r="C138">
        <v>1811350841.5999999</v>
      </c>
    </row>
    <row r="139" spans="1:3" x14ac:dyDescent="0.25">
      <c r="A139" s="1">
        <v>41852</v>
      </c>
      <c r="B139">
        <v>4.4638639657544097</v>
      </c>
      <c r="C139">
        <v>1855772204.9200001</v>
      </c>
    </row>
    <row r="140" spans="1:3" x14ac:dyDescent="0.25">
      <c r="A140" s="1">
        <v>41883</v>
      </c>
      <c r="B140">
        <v>4.4434580566364801</v>
      </c>
      <c r="C140">
        <v>2064977039.29</v>
      </c>
    </row>
    <row r="141" spans="1:3" x14ac:dyDescent="0.25">
      <c r="A141" s="1">
        <v>41913</v>
      </c>
      <c r="B141">
        <v>4.4319324531706803</v>
      </c>
      <c r="C141">
        <v>2210642589.8499999</v>
      </c>
    </row>
    <row r="142" spans="1:3" x14ac:dyDescent="0.25">
      <c r="A142" s="1">
        <v>41944</v>
      </c>
      <c r="B142">
        <v>4.4677560802264598</v>
      </c>
      <c r="C142">
        <v>1566515230.6700001</v>
      </c>
    </row>
    <row r="143" spans="1:3" x14ac:dyDescent="0.25">
      <c r="A143" s="1">
        <v>41974</v>
      </c>
      <c r="B143">
        <v>4.3639125332080804</v>
      </c>
      <c r="C143">
        <v>2631618704.9400001</v>
      </c>
    </row>
    <row r="144" spans="1:3" x14ac:dyDescent="0.25">
      <c r="A144" s="1">
        <v>42005</v>
      </c>
      <c r="B144">
        <v>4.3032820291364997</v>
      </c>
      <c r="C144">
        <v>2154829056.6900001</v>
      </c>
    </row>
    <row r="145" spans="1:3" x14ac:dyDescent="0.25">
      <c r="A145" s="1">
        <v>42036</v>
      </c>
      <c r="B145">
        <v>4.2167099637347496</v>
      </c>
      <c r="C145">
        <v>1934945981.6300001</v>
      </c>
    </row>
    <row r="146" spans="1:3" x14ac:dyDescent="0.25">
      <c r="A146" s="1">
        <v>42064</v>
      </c>
      <c r="B146">
        <v>4.0552330636813103</v>
      </c>
      <c r="C146">
        <v>2790074786.5300002</v>
      </c>
    </row>
    <row r="147" spans="1:3" x14ac:dyDescent="0.25">
      <c r="A147" s="1">
        <v>42095</v>
      </c>
      <c r="B147">
        <v>4.02984392694996</v>
      </c>
      <c r="C147">
        <v>2752135686.1500001</v>
      </c>
    </row>
    <row r="148" spans="1:3" x14ac:dyDescent="0.25">
      <c r="A148" s="1">
        <v>42125</v>
      </c>
      <c r="B148">
        <v>4.0580949364988701</v>
      </c>
      <c r="C148">
        <v>2546058847.5799999</v>
      </c>
    </row>
    <row r="149" spans="1:3" x14ac:dyDescent="0.25">
      <c r="A149" s="1">
        <v>42156</v>
      </c>
      <c r="B149">
        <v>4.0339319017953201</v>
      </c>
      <c r="C149">
        <v>2283116202.1599998</v>
      </c>
    </row>
    <row r="150" spans="1:3" x14ac:dyDescent="0.25">
      <c r="A150" s="1">
        <v>42186</v>
      </c>
      <c r="B150">
        <v>4.1556614231317903</v>
      </c>
      <c r="C150">
        <v>2489407349.2399998</v>
      </c>
    </row>
    <row r="151" spans="1:3" x14ac:dyDescent="0.25">
      <c r="A151" s="1">
        <v>42217</v>
      </c>
      <c r="B151">
        <v>4.2819308883799199</v>
      </c>
      <c r="C151">
        <v>2026775007.4200001</v>
      </c>
    </row>
    <row r="152" spans="1:3" x14ac:dyDescent="0.25">
      <c r="A152" s="1">
        <v>42248</v>
      </c>
      <c r="B152">
        <v>4.27880641671692</v>
      </c>
      <c r="C152">
        <v>2628624778.3299999</v>
      </c>
    </row>
    <row r="153" spans="1:3" x14ac:dyDescent="0.25">
      <c r="A153" s="1">
        <v>42278</v>
      </c>
      <c r="B153">
        <v>4.2640342833213101</v>
      </c>
      <c r="C153">
        <v>2318874149.46</v>
      </c>
    </row>
    <row r="154" spans="1:3" x14ac:dyDescent="0.25">
      <c r="A154" s="1">
        <v>42309</v>
      </c>
      <c r="B154">
        <v>4.2332275886969697</v>
      </c>
      <c r="C154">
        <v>1462536090</v>
      </c>
    </row>
    <row r="155" spans="1:3" x14ac:dyDescent="0.25">
      <c r="A155" s="1">
        <v>42339</v>
      </c>
      <c r="B155">
        <v>4.1922324061647798</v>
      </c>
      <c r="C155">
        <v>1557882927.1600001</v>
      </c>
    </row>
  </sheetData>
  <mergeCells count="1">
    <mergeCell ref="V1:Y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 Level</vt:lpstr>
      <vt:lpstr>Loan Level</vt:lpstr>
      <vt:lpstr>Issue Amount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2015-11-23T17:56:11Z</dcterms:created>
  <dcterms:modified xsi:type="dcterms:W3CDTF">2015-12-10T21:38:08Z</dcterms:modified>
</cp:coreProperties>
</file>