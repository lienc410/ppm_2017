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" i="2"/>
  <c r="B2" i="2"/>
  <c r="C2" i="2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</calcChain>
</file>

<file path=xl/sharedStrings.xml><?xml version="1.0" encoding="utf-8"?>
<sst xmlns="http://schemas.openxmlformats.org/spreadsheetml/2006/main" count="14" uniqueCount="8">
  <si>
    <t>calcOrigMonth_LL</t>
  </si>
  <si>
    <t>sum(cello_loan.OriginalLoanAmount)</t>
  </si>
  <si>
    <t>(NULL)</t>
  </si>
  <si>
    <t>VA/FHA</t>
  </si>
  <si>
    <t>FHL</t>
  </si>
  <si>
    <t>FNM</t>
  </si>
  <si>
    <t>FHA/VA</t>
  </si>
  <si>
    <t>FHL/FNM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</si>
</sst>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FHA/VA</c:v>
                </c:pt>
              </c:strCache>
            </c:strRef>
          </c:tx>
          <c:invertIfNegative val="0"/>
          <c:cat>
            <c:numRef>
              <c:f>Sheet2!$E$2:$E$279</c:f>
              <c:numCache>
                <c:formatCode>General</c:formatCode>
                <c:ptCount val="278"/>
                <c:pt idx="0">
                  <c:v>199302</c:v>
                </c:pt>
                <c:pt idx="1">
                  <c:v>199303</c:v>
                </c:pt>
                <c:pt idx="2">
                  <c:v>199304</c:v>
                </c:pt>
                <c:pt idx="3">
                  <c:v>199305</c:v>
                </c:pt>
                <c:pt idx="4">
                  <c:v>199306</c:v>
                </c:pt>
                <c:pt idx="5">
                  <c:v>199307</c:v>
                </c:pt>
                <c:pt idx="6">
                  <c:v>199308</c:v>
                </c:pt>
                <c:pt idx="7">
                  <c:v>199309</c:v>
                </c:pt>
                <c:pt idx="8">
                  <c:v>199310</c:v>
                </c:pt>
                <c:pt idx="9">
                  <c:v>199311</c:v>
                </c:pt>
                <c:pt idx="10">
                  <c:v>199312</c:v>
                </c:pt>
                <c:pt idx="11">
                  <c:v>199401</c:v>
                </c:pt>
                <c:pt idx="12">
                  <c:v>199402</c:v>
                </c:pt>
                <c:pt idx="13">
                  <c:v>199403</c:v>
                </c:pt>
                <c:pt idx="14">
                  <c:v>199404</c:v>
                </c:pt>
                <c:pt idx="15">
                  <c:v>199405</c:v>
                </c:pt>
                <c:pt idx="16">
                  <c:v>199406</c:v>
                </c:pt>
                <c:pt idx="17">
                  <c:v>199407</c:v>
                </c:pt>
                <c:pt idx="18">
                  <c:v>199408</c:v>
                </c:pt>
                <c:pt idx="19">
                  <c:v>199409</c:v>
                </c:pt>
                <c:pt idx="20">
                  <c:v>199410</c:v>
                </c:pt>
                <c:pt idx="21">
                  <c:v>199411</c:v>
                </c:pt>
                <c:pt idx="22">
                  <c:v>199412</c:v>
                </c:pt>
                <c:pt idx="23">
                  <c:v>199501</c:v>
                </c:pt>
                <c:pt idx="24">
                  <c:v>199502</c:v>
                </c:pt>
                <c:pt idx="25">
                  <c:v>199503</c:v>
                </c:pt>
                <c:pt idx="26">
                  <c:v>199504</c:v>
                </c:pt>
                <c:pt idx="27">
                  <c:v>199505</c:v>
                </c:pt>
                <c:pt idx="28">
                  <c:v>199506</c:v>
                </c:pt>
                <c:pt idx="29">
                  <c:v>199507</c:v>
                </c:pt>
                <c:pt idx="30">
                  <c:v>199508</c:v>
                </c:pt>
                <c:pt idx="31">
                  <c:v>199509</c:v>
                </c:pt>
                <c:pt idx="32">
                  <c:v>199510</c:v>
                </c:pt>
                <c:pt idx="33">
                  <c:v>199511</c:v>
                </c:pt>
                <c:pt idx="34">
                  <c:v>199512</c:v>
                </c:pt>
                <c:pt idx="35">
                  <c:v>199601</c:v>
                </c:pt>
                <c:pt idx="36">
                  <c:v>199602</c:v>
                </c:pt>
                <c:pt idx="37">
                  <c:v>199603</c:v>
                </c:pt>
                <c:pt idx="38">
                  <c:v>199604</c:v>
                </c:pt>
                <c:pt idx="39">
                  <c:v>199605</c:v>
                </c:pt>
                <c:pt idx="40">
                  <c:v>199606</c:v>
                </c:pt>
                <c:pt idx="41">
                  <c:v>199607</c:v>
                </c:pt>
                <c:pt idx="42">
                  <c:v>199608</c:v>
                </c:pt>
                <c:pt idx="43">
                  <c:v>199609</c:v>
                </c:pt>
                <c:pt idx="44">
                  <c:v>199610</c:v>
                </c:pt>
                <c:pt idx="45">
                  <c:v>199611</c:v>
                </c:pt>
                <c:pt idx="46">
                  <c:v>199612</c:v>
                </c:pt>
                <c:pt idx="47">
                  <c:v>199701</c:v>
                </c:pt>
                <c:pt idx="48">
                  <c:v>199702</c:v>
                </c:pt>
                <c:pt idx="49">
                  <c:v>199703</c:v>
                </c:pt>
                <c:pt idx="50">
                  <c:v>199704</c:v>
                </c:pt>
                <c:pt idx="51">
                  <c:v>199705</c:v>
                </c:pt>
                <c:pt idx="52">
                  <c:v>199706</c:v>
                </c:pt>
                <c:pt idx="53">
                  <c:v>199707</c:v>
                </c:pt>
                <c:pt idx="54">
                  <c:v>199708</c:v>
                </c:pt>
                <c:pt idx="55">
                  <c:v>199709</c:v>
                </c:pt>
                <c:pt idx="56">
                  <c:v>199710</c:v>
                </c:pt>
                <c:pt idx="57">
                  <c:v>199711</c:v>
                </c:pt>
                <c:pt idx="58">
                  <c:v>199712</c:v>
                </c:pt>
                <c:pt idx="59">
                  <c:v>199801</c:v>
                </c:pt>
                <c:pt idx="60">
                  <c:v>199802</c:v>
                </c:pt>
                <c:pt idx="61">
                  <c:v>199803</c:v>
                </c:pt>
                <c:pt idx="62">
                  <c:v>199804</c:v>
                </c:pt>
                <c:pt idx="63">
                  <c:v>199805</c:v>
                </c:pt>
                <c:pt idx="64">
                  <c:v>199806</c:v>
                </c:pt>
                <c:pt idx="65">
                  <c:v>199807</c:v>
                </c:pt>
                <c:pt idx="66">
                  <c:v>199808</c:v>
                </c:pt>
                <c:pt idx="67">
                  <c:v>199809</c:v>
                </c:pt>
                <c:pt idx="68">
                  <c:v>199810</c:v>
                </c:pt>
                <c:pt idx="69">
                  <c:v>199811</c:v>
                </c:pt>
                <c:pt idx="70">
                  <c:v>199812</c:v>
                </c:pt>
                <c:pt idx="71">
                  <c:v>199901</c:v>
                </c:pt>
                <c:pt idx="72">
                  <c:v>199902</c:v>
                </c:pt>
                <c:pt idx="73">
                  <c:v>199903</c:v>
                </c:pt>
                <c:pt idx="74">
                  <c:v>199904</c:v>
                </c:pt>
                <c:pt idx="75">
                  <c:v>199905</c:v>
                </c:pt>
                <c:pt idx="76">
                  <c:v>199906</c:v>
                </c:pt>
                <c:pt idx="77">
                  <c:v>199907</c:v>
                </c:pt>
                <c:pt idx="78">
                  <c:v>199908</c:v>
                </c:pt>
                <c:pt idx="79">
                  <c:v>199909</c:v>
                </c:pt>
                <c:pt idx="80">
                  <c:v>199910</c:v>
                </c:pt>
                <c:pt idx="81">
                  <c:v>199911</c:v>
                </c:pt>
                <c:pt idx="82">
                  <c:v>199912</c:v>
                </c:pt>
                <c:pt idx="83">
                  <c:v>200001</c:v>
                </c:pt>
                <c:pt idx="84">
                  <c:v>200002</c:v>
                </c:pt>
                <c:pt idx="85">
                  <c:v>200003</c:v>
                </c:pt>
                <c:pt idx="86">
                  <c:v>200004</c:v>
                </c:pt>
                <c:pt idx="87">
                  <c:v>200005</c:v>
                </c:pt>
                <c:pt idx="88">
                  <c:v>200006</c:v>
                </c:pt>
                <c:pt idx="89">
                  <c:v>200007</c:v>
                </c:pt>
                <c:pt idx="90">
                  <c:v>200008</c:v>
                </c:pt>
                <c:pt idx="91">
                  <c:v>200009</c:v>
                </c:pt>
                <c:pt idx="92">
                  <c:v>200010</c:v>
                </c:pt>
                <c:pt idx="93">
                  <c:v>200011</c:v>
                </c:pt>
                <c:pt idx="94">
                  <c:v>200012</c:v>
                </c:pt>
                <c:pt idx="95">
                  <c:v>200101</c:v>
                </c:pt>
                <c:pt idx="96">
                  <c:v>200102</c:v>
                </c:pt>
                <c:pt idx="97">
                  <c:v>200103</c:v>
                </c:pt>
                <c:pt idx="98">
                  <c:v>200104</c:v>
                </c:pt>
                <c:pt idx="99">
                  <c:v>200105</c:v>
                </c:pt>
                <c:pt idx="100">
                  <c:v>200106</c:v>
                </c:pt>
                <c:pt idx="101">
                  <c:v>200107</c:v>
                </c:pt>
                <c:pt idx="102">
                  <c:v>200108</c:v>
                </c:pt>
                <c:pt idx="103">
                  <c:v>200109</c:v>
                </c:pt>
                <c:pt idx="104">
                  <c:v>200110</c:v>
                </c:pt>
                <c:pt idx="105">
                  <c:v>200111</c:v>
                </c:pt>
                <c:pt idx="106">
                  <c:v>200112</c:v>
                </c:pt>
                <c:pt idx="107">
                  <c:v>200201</c:v>
                </c:pt>
                <c:pt idx="108">
                  <c:v>200202</c:v>
                </c:pt>
                <c:pt idx="109">
                  <c:v>200203</c:v>
                </c:pt>
                <c:pt idx="110">
                  <c:v>200204</c:v>
                </c:pt>
                <c:pt idx="111">
                  <c:v>200205</c:v>
                </c:pt>
                <c:pt idx="112">
                  <c:v>200206</c:v>
                </c:pt>
                <c:pt idx="113">
                  <c:v>200207</c:v>
                </c:pt>
                <c:pt idx="114">
                  <c:v>200208</c:v>
                </c:pt>
                <c:pt idx="115">
                  <c:v>200209</c:v>
                </c:pt>
                <c:pt idx="116">
                  <c:v>200210</c:v>
                </c:pt>
                <c:pt idx="117">
                  <c:v>200211</c:v>
                </c:pt>
                <c:pt idx="118">
                  <c:v>200212</c:v>
                </c:pt>
                <c:pt idx="119">
                  <c:v>200301</c:v>
                </c:pt>
                <c:pt idx="120">
                  <c:v>200302</c:v>
                </c:pt>
                <c:pt idx="121">
                  <c:v>200303</c:v>
                </c:pt>
                <c:pt idx="122">
                  <c:v>200304</c:v>
                </c:pt>
                <c:pt idx="123">
                  <c:v>200305</c:v>
                </c:pt>
                <c:pt idx="124">
                  <c:v>200306</c:v>
                </c:pt>
                <c:pt idx="125">
                  <c:v>200307</c:v>
                </c:pt>
                <c:pt idx="126">
                  <c:v>200308</c:v>
                </c:pt>
                <c:pt idx="127">
                  <c:v>200309</c:v>
                </c:pt>
                <c:pt idx="128">
                  <c:v>200310</c:v>
                </c:pt>
                <c:pt idx="129">
                  <c:v>200311</c:v>
                </c:pt>
                <c:pt idx="130">
                  <c:v>200312</c:v>
                </c:pt>
                <c:pt idx="131">
                  <c:v>200401</c:v>
                </c:pt>
                <c:pt idx="132">
                  <c:v>200402</c:v>
                </c:pt>
                <c:pt idx="133">
                  <c:v>200403</c:v>
                </c:pt>
                <c:pt idx="134">
                  <c:v>200404</c:v>
                </c:pt>
                <c:pt idx="135">
                  <c:v>200405</c:v>
                </c:pt>
                <c:pt idx="136">
                  <c:v>200406</c:v>
                </c:pt>
                <c:pt idx="137">
                  <c:v>200407</c:v>
                </c:pt>
                <c:pt idx="138">
                  <c:v>200408</c:v>
                </c:pt>
                <c:pt idx="139">
                  <c:v>200409</c:v>
                </c:pt>
                <c:pt idx="140">
                  <c:v>200410</c:v>
                </c:pt>
                <c:pt idx="141">
                  <c:v>200411</c:v>
                </c:pt>
                <c:pt idx="142">
                  <c:v>200412</c:v>
                </c:pt>
                <c:pt idx="143">
                  <c:v>200501</c:v>
                </c:pt>
                <c:pt idx="144">
                  <c:v>200502</c:v>
                </c:pt>
                <c:pt idx="145">
                  <c:v>200503</c:v>
                </c:pt>
                <c:pt idx="146">
                  <c:v>200504</c:v>
                </c:pt>
                <c:pt idx="147">
                  <c:v>200505</c:v>
                </c:pt>
                <c:pt idx="148">
                  <c:v>200506</c:v>
                </c:pt>
                <c:pt idx="149">
                  <c:v>200507</c:v>
                </c:pt>
                <c:pt idx="150">
                  <c:v>200508</c:v>
                </c:pt>
                <c:pt idx="151">
                  <c:v>200509</c:v>
                </c:pt>
                <c:pt idx="152">
                  <c:v>200510</c:v>
                </c:pt>
                <c:pt idx="153">
                  <c:v>200511</c:v>
                </c:pt>
                <c:pt idx="154">
                  <c:v>200512</c:v>
                </c:pt>
                <c:pt idx="155">
                  <c:v>200601</c:v>
                </c:pt>
                <c:pt idx="156">
                  <c:v>200602</c:v>
                </c:pt>
                <c:pt idx="157">
                  <c:v>200603</c:v>
                </c:pt>
                <c:pt idx="158">
                  <c:v>200604</c:v>
                </c:pt>
                <c:pt idx="159">
                  <c:v>200605</c:v>
                </c:pt>
                <c:pt idx="160">
                  <c:v>200606</c:v>
                </c:pt>
                <c:pt idx="161">
                  <c:v>200607</c:v>
                </c:pt>
                <c:pt idx="162">
                  <c:v>200608</c:v>
                </c:pt>
                <c:pt idx="163">
                  <c:v>200609</c:v>
                </c:pt>
                <c:pt idx="164">
                  <c:v>200610</c:v>
                </c:pt>
                <c:pt idx="165">
                  <c:v>200611</c:v>
                </c:pt>
                <c:pt idx="166">
                  <c:v>200612</c:v>
                </c:pt>
                <c:pt idx="167">
                  <c:v>200701</c:v>
                </c:pt>
                <c:pt idx="168">
                  <c:v>200702</c:v>
                </c:pt>
                <c:pt idx="169">
                  <c:v>200703</c:v>
                </c:pt>
                <c:pt idx="170">
                  <c:v>200704</c:v>
                </c:pt>
                <c:pt idx="171">
                  <c:v>200705</c:v>
                </c:pt>
                <c:pt idx="172">
                  <c:v>200706</c:v>
                </c:pt>
                <c:pt idx="173">
                  <c:v>200707</c:v>
                </c:pt>
                <c:pt idx="174">
                  <c:v>200708</c:v>
                </c:pt>
                <c:pt idx="175">
                  <c:v>200709</c:v>
                </c:pt>
                <c:pt idx="176">
                  <c:v>200710</c:v>
                </c:pt>
                <c:pt idx="177">
                  <c:v>200711</c:v>
                </c:pt>
                <c:pt idx="178">
                  <c:v>200712</c:v>
                </c:pt>
                <c:pt idx="179">
                  <c:v>200801</c:v>
                </c:pt>
                <c:pt idx="180">
                  <c:v>200802</c:v>
                </c:pt>
                <c:pt idx="181">
                  <c:v>200803</c:v>
                </c:pt>
                <c:pt idx="182">
                  <c:v>200804</c:v>
                </c:pt>
                <c:pt idx="183">
                  <c:v>200805</c:v>
                </c:pt>
                <c:pt idx="184">
                  <c:v>200806</c:v>
                </c:pt>
                <c:pt idx="185">
                  <c:v>200807</c:v>
                </c:pt>
                <c:pt idx="186">
                  <c:v>200808</c:v>
                </c:pt>
                <c:pt idx="187">
                  <c:v>200809</c:v>
                </c:pt>
                <c:pt idx="188">
                  <c:v>200810</c:v>
                </c:pt>
                <c:pt idx="189">
                  <c:v>200811</c:v>
                </c:pt>
                <c:pt idx="190">
                  <c:v>200812</c:v>
                </c:pt>
                <c:pt idx="191">
                  <c:v>200901</c:v>
                </c:pt>
                <c:pt idx="192">
                  <c:v>200902</c:v>
                </c:pt>
                <c:pt idx="193">
                  <c:v>200903</c:v>
                </c:pt>
                <c:pt idx="194">
                  <c:v>200904</c:v>
                </c:pt>
                <c:pt idx="195">
                  <c:v>200905</c:v>
                </c:pt>
                <c:pt idx="196">
                  <c:v>200906</c:v>
                </c:pt>
                <c:pt idx="197">
                  <c:v>200907</c:v>
                </c:pt>
                <c:pt idx="198">
                  <c:v>200908</c:v>
                </c:pt>
                <c:pt idx="199">
                  <c:v>200909</c:v>
                </c:pt>
                <c:pt idx="200">
                  <c:v>200910</c:v>
                </c:pt>
                <c:pt idx="201">
                  <c:v>200911</c:v>
                </c:pt>
                <c:pt idx="202">
                  <c:v>200912</c:v>
                </c:pt>
                <c:pt idx="203">
                  <c:v>201001</c:v>
                </c:pt>
                <c:pt idx="204">
                  <c:v>201002</c:v>
                </c:pt>
                <c:pt idx="205">
                  <c:v>201003</c:v>
                </c:pt>
                <c:pt idx="206">
                  <c:v>201004</c:v>
                </c:pt>
                <c:pt idx="207">
                  <c:v>201005</c:v>
                </c:pt>
                <c:pt idx="208">
                  <c:v>201006</c:v>
                </c:pt>
                <c:pt idx="209">
                  <c:v>201007</c:v>
                </c:pt>
                <c:pt idx="210">
                  <c:v>201008</c:v>
                </c:pt>
                <c:pt idx="211">
                  <c:v>201009</c:v>
                </c:pt>
                <c:pt idx="212">
                  <c:v>201010</c:v>
                </c:pt>
                <c:pt idx="213">
                  <c:v>201011</c:v>
                </c:pt>
                <c:pt idx="214">
                  <c:v>201012</c:v>
                </c:pt>
                <c:pt idx="215">
                  <c:v>201101</c:v>
                </c:pt>
                <c:pt idx="216">
                  <c:v>201102</c:v>
                </c:pt>
                <c:pt idx="217">
                  <c:v>201103</c:v>
                </c:pt>
                <c:pt idx="218">
                  <c:v>201104</c:v>
                </c:pt>
                <c:pt idx="219">
                  <c:v>201105</c:v>
                </c:pt>
                <c:pt idx="220">
                  <c:v>201106</c:v>
                </c:pt>
                <c:pt idx="221">
                  <c:v>201107</c:v>
                </c:pt>
                <c:pt idx="222">
                  <c:v>201108</c:v>
                </c:pt>
                <c:pt idx="223">
                  <c:v>201109</c:v>
                </c:pt>
                <c:pt idx="224">
                  <c:v>201110</c:v>
                </c:pt>
                <c:pt idx="225">
                  <c:v>201111</c:v>
                </c:pt>
                <c:pt idx="226">
                  <c:v>201112</c:v>
                </c:pt>
                <c:pt idx="227">
                  <c:v>201201</c:v>
                </c:pt>
                <c:pt idx="228">
                  <c:v>201202</c:v>
                </c:pt>
                <c:pt idx="229">
                  <c:v>201203</c:v>
                </c:pt>
                <c:pt idx="230">
                  <c:v>201204</c:v>
                </c:pt>
                <c:pt idx="231">
                  <c:v>201205</c:v>
                </c:pt>
                <c:pt idx="232">
                  <c:v>201206</c:v>
                </c:pt>
                <c:pt idx="233">
                  <c:v>201207</c:v>
                </c:pt>
                <c:pt idx="234">
                  <c:v>201208</c:v>
                </c:pt>
                <c:pt idx="235">
                  <c:v>201209</c:v>
                </c:pt>
                <c:pt idx="236">
                  <c:v>201210</c:v>
                </c:pt>
                <c:pt idx="237">
                  <c:v>201211</c:v>
                </c:pt>
                <c:pt idx="238">
                  <c:v>201212</c:v>
                </c:pt>
                <c:pt idx="239">
                  <c:v>201301</c:v>
                </c:pt>
                <c:pt idx="240">
                  <c:v>201302</c:v>
                </c:pt>
                <c:pt idx="241">
                  <c:v>201303</c:v>
                </c:pt>
                <c:pt idx="242">
                  <c:v>201304</c:v>
                </c:pt>
                <c:pt idx="243">
                  <c:v>201305</c:v>
                </c:pt>
                <c:pt idx="244">
                  <c:v>201306</c:v>
                </c:pt>
                <c:pt idx="245">
                  <c:v>201307</c:v>
                </c:pt>
                <c:pt idx="246">
                  <c:v>201308</c:v>
                </c:pt>
                <c:pt idx="247">
                  <c:v>201309</c:v>
                </c:pt>
                <c:pt idx="248">
                  <c:v>201310</c:v>
                </c:pt>
                <c:pt idx="249">
                  <c:v>201311</c:v>
                </c:pt>
                <c:pt idx="250">
                  <c:v>201312</c:v>
                </c:pt>
                <c:pt idx="251">
                  <c:v>201401</c:v>
                </c:pt>
                <c:pt idx="252">
                  <c:v>201402</c:v>
                </c:pt>
                <c:pt idx="253">
                  <c:v>201403</c:v>
                </c:pt>
                <c:pt idx="254">
                  <c:v>201404</c:v>
                </c:pt>
                <c:pt idx="255">
                  <c:v>201405</c:v>
                </c:pt>
                <c:pt idx="256">
                  <c:v>201406</c:v>
                </c:pt>
                <c:pt idx="257">
                  <c:v>201407</c:v>
                </c:pt>
                <c:pt idx="258">
                  <c:v>201408</c:v>
                </c:pt>
                <c:pt idx="259">
                  <c:v>201409</c:v>
                </c:pt>
                <c:pt idx="260">
                  <c:v>201410</c:v>
                </c:pt>
                <c:pt idx="261">
                  <c:v>201411</c:v>
                </c:pt>
                <c:pt idx="262">
                  <c:v>201412</c:v>
                </c:pt>
                <c:pt idx="263">
                  <c:v>201501</c:v>
                </c:pt>
                <c:pt idx="264">
                  <c:v>201502</c:v>
                </c:pt>
                <c:pt idx="265">
                  <c:v>201503</c:v>
                </c:pt>
                <c:pt idx="266">
                  <c:v>201504</c:v>
                </c:pt>
                <c:pt idx="267">
                  <c:v>201505</c:v>
                </c:pt>
                <c:pt idx="268">
                  <c:v>201506</c:v>
                </c:pt>
                <c:pt idx="269">
                  <c:v>201507</c:v>
                </c:pt>
                <c:pt idx="270">
                  <c:v>201508</c:v>
                </c:pt>
                <c:pt idx="271">
                  <c:v>201509</c:v>
                </c:pt>
                <c:pt idx="272">
                  <c:v>201510</c:v>
                </c:pt>
                <c:pt idx="273">
                  <c:v>201511</c:v>
                </c:pt>
                <c:pt idx="274">
                  <c:v>201512</c:v>
                </c:pt>
                <c:pt idx="275">
                  <c:v>201601</c:v>
                </c:pt>
                <c:pt idx="276">
                  <c:v>201602</c:v>
                </c:pt>
                <c:pt idx="277">
                  <c:v>201603</c:v>
                </c:pt>
              </c:numCache>
            </c:numRef>
          </c:cat>
          <c:val>
            <c:numRef>
              <c:f>Sheet2!$F$2:$F$279</c:f>
              <c:numCache>
                <c:formatCode>0.0%</c:formatCode>
                <c:ptCount val="278"/>
                <c:pt idx="0">
                  <c:v>0.95216560408023743</c:v>
                </c:pt>
                <c:pt idx="1">
                  <c:v>0.94098736490798107</c:v>
                </c:pt>
                <c:pt idx="2">
                  <c:v>0.97561555836418079</c:v>
                </c:pt>
                <c:pt idx="3">
                  <c:v>0.95780155560709634</c:v>
                </c:pt>
                <c:pt idx="4">
                  <c:v>0.95947117093188472</c:v>
                </c:pt>
                <c:pt idx="5">
                  <c:v>0.96216351798888555</c:v>
                </c:pt>
                <c:pt idx="6">
                  <c:v>0.97808183340068211</c:v>
                </c:pt>
                <c:pt idx="7">
                  <c:v>0.97815676642884619</c:v>
                </c:pt>
                <c:pt idx="8">
                  <c:v>0.96638007914321422</c:v>
                </c:pt>
                <c:pt idx="9">
                  <c:v>0.9720729043094859</c:v>
                </c:pt>
                <c:pt idx="10">
                  <c:v>0.96259276729678001</c:v>
                </c:pt>
                <c:pt idx="11">
                  <c:v>0.9449060401855085</c:v>
                </c:pt>
                <c:pt idx="12">
                  <c:v>0.95744912478223354</c:v>
                </c:pt>
                <c:pt idx="13">
                  <c:v>0.9484012231824045</c:v>
                </c:pt>
                <c:pt idx="14">
                  <c:v>0.96143855920461552</c:v>
                </c:pt>
                <c:pt idx="15">
                  <c:v>0.92163929012015888</c:v>
                </c:pt>
                <c:pt idx="16">
                  <c:v>0.94054757875075057</c:v>
                </c:pt>
                <c:pt idx="17">
                  <c:v>0.91901122686885472</c:v>
                </c:pt>
                <c:pt idx="18">
                  <c:v>0.95268149905144828</c:v>
                </c:pt>
                <c:pt idx="19">
                  <c:v>0.9355054415216717</c:v>
                </c:pt>
                <c:pt idx="20">
                  <c:v>0.93224141047694353</c:v>
                </c:pt>
                <c:pt idx="21">
                  <c:v>0.93398737246484909</c:v>
                </c:pt>
                <c:pt idx="22">
                  <c:v>0.92910013169547134</c:v>
                </c:pt>
                <c:pt idx="23">
                  <c:v>0.93180482350527438</c:v>
                </c:pt>
                <c:pt idx="24">
                  <c:v>0.96233326788323537</c:v>
                </c:pt>
                <c:pt idx="25">
                  <c:v>0.95889307124186873</c:v>
                </c:pt>
                <c:pt idx="26">
                  <c:v>0.96014965545734676</c:v>
                </c:pt>
                <c:pt idx="27">
                  <c:v>0.94192945641409764</c:v>
                </c:pt>
                <c:pt idx="28">
                  <c:v>0.96471209614441833</c:v>
                </c:pt>
                <c:pt idx="29">
                  <c:v>0.95811583145988821</c:v>
                </c:pt>
                <c:pt idx="30">
                  <c:v>0.9631193706529656</c:v>
                </c:pt>
                <c:pt idx="31">
                  <c:v>0.94202028054278741</c:v>
                </c:pt>
                <c:pt idx="32">
                  <c:v>0.93075476753233954</c:v>
                </c:pt>
                <c:pt idx="33">
                  <c:v>0.94618479061425786</c:v>
                </c:pt>
                <c:pt idx="34">
                  <c:v>0.92970819222162482</c:v>
                </c:pt>
                <c:pt idx="35">
                  <c:v>0.94901473913051948</c:v>
                </c:pt>
                <c:pt idx="36">
                  <c:v>0.95432883851482408</c:v>
                </c:pt>
                <c:pt idx="37">
                  <c:v>0.95417719812970569</c:v>
                </c:pt>
                <c:pt idx="38">
                  <c:v>0.95115871439912214</c:v>
                </c:pt>
                <c:pt idx="39">
                  <c:v>0.9674921333068186</c:v>
                </c:pt>
                <c:pt idx="40">
                  <c:v>0.9683020092153205</c:v>
                </c:pt>
                <c:pt idx="41">
                  <c:v>0.94615765188121836</c:v>
                </c:pt>
                <c:pt idx="42">
                  <c:v>0.96507765121461542</c:v>
                </c:pt>
                <c:pt idx="43">
                  <c:v>0.95115632050407006</c:v>
                </c:pt>
                <c:pt idx="44">
                  <c:v>0.93693936001728884</c:v>
                </c:pt>
                <c:pt idx="45">
                  <c:v>0.96265935032429195</c:v>
                </c:pt>
                <c:pt idx="46">
                  <c:v>0.93995183326598852</c:v>
                </c:pt>
                <c:pt idx="47">
                  <c:v>0.94161778338053237</c:v>
                </c:pt>
                <c:pt idx="48">
                  <c:v>0.93020023198759516</c:v>
                </c:pt>
                <c:pt idx="49">
                  <c:v>0.94626840386823763</c:v>
                </c:pt>
                <c:pt idx="50">
                  <c:v>0.93475558656469404</c:v>
                </c:pt>
                <c:pt idx="51">
                  <c:v>0.96219185194753243</c:v>
                </c:pt>
                <c:pt idx="52">
                  <c:v>0.9567290256666291</c:v>
                </c:pt>
                <c:pt idx="53">
                  <c:v>0.93590253640656507</c:v>
                </c:pt>
                <c:pt idx="54">
                  <c:v>0.93980268460409877</c:v>
                </c:pt>
                <c:pt idx="55">
                  <c:v>0.94171324987572347</c:v>
                </c:pt>
                <c:pt idx="56">
                  <c:v>0.93400819583374994</c:v>
                </c:pt>
                <c:pt idx="57">
                  <c:v>0.93722556643048993</c:v>
                </c:pt>
                <c:pt idx="58">
                  <c:v>0.94902009584932334</c:v>
                </c:pt>
                <c:pt idx="59">
                  <c:v>0.94040157164512972</c:v>
                </c:pt>
                <c:pt idx="60">
                  <c:v>0.95161848306409991</c:v>
                </c:pt>
                <c:pt idx="61">
                  <c:v>0.95929274254612584</c:v>
                </c:pt>
                <c:pt idx="62">
                  <c:v>0.94692301210543028</c:v>
                </c:pt>
                <c:pt idx="63">
                  <c:v>0.94308721467107914</c:v>
                </c:pt>
                <c:pt idx="64">
                  <c:v>0.9394511954061302</c:v>
                </c:pt>
                <c:pt idx="65">
                  <c:v>0.94981027430094089</c:v>
                </c:pt>
                <c:pt idx="66">
                  <c:v>0.93914381087988941</c:v>
                </c:pt>
                <c:pt idx="67">
                  <c:v>0.93994348661916383</c:v>
                </c:pt>
                <c:pt idx="68">
                  <c:v>0.93653152351733138</c:v>
                </c:pt>
                <c:pt idx="69">
                  <c:v>0.94657989059797965</c:v>
                </c:pt>
                <c:pt idx="70">
                  <c:v>0.95163469041663507</c:v>
                </c:pt>
                <c:pt idx="71">
                  <c:v>0.94836817824883013</c:v>
                </c:pt>
                <c:pt idx="72">
                  <c:v>0.93251452653442823</c:v>
                </c:pt>
                <c:pt idx="73">
                  <c:v>0.93417857197425969</c:v>
                </c:pt>
                <c:pt idx="74">
                  <c:v>0.93397878147200375</c:v>
                </c:pt>
                <c:pt idx="75">
                  <c:v>0.92872719488196254</c:v>
                </c:pt>
                <c:pt idx="76">
                  <c:v>0.92006230313141246</c:v>
                </c:pt>
                <c:pt idx="77">
                  <c:v>0.92162333759338788</c:v>
                </c:pt>
                <c:pt idx="78">
                  <c:v>0.91692636324359944</c:v>
                </c:pt>
                <c:pt idx="79">
                  <c:v>0.92880404780346437</c:v>
                </c:pt>
                <c:pt idx="80">
                  <c:v>0.89692112592128226</c:v>
                </c:pt>
                <c:pt idx="81">
                  <c:v>0.90828464931302477</c:v>
                </c:pt>
                <c:pt idx="82">
                  <c:v>0.91128574840378096</c:v>
                </c:pt>
                <c:pt idx="83">
                  <c:v>0.86182998524644017</c:v>
                </c:pt>
                <c:pt idx="84">
                  <c:v>0.87884638954294558</c:v>
                </c:pt>
                <c:pt idx="85">
                  <c:v>0.90035305452587422</c:v>
                </c:pt>
                <c:pt idx="86">
                  <c:v>0.89580058625574976</c:v>
                </c:pt>
                <c:pt idx="87">
                  <c:v>0.88201095420552844</c:v>
                </c:pt>
                <c:pt idx="88">
                  <c:v>0.8978104306696485</c:v>
                </c:pt>
                <c:pt idx="89">
                  <c:v>0.869303441564093</c:v>
                </c:pt>
                <c:pt idx="90">
                  <c:v>0.92300191884293215</c:v>
                </c:pt>
                <c:pt idx="91">
                  <c:v>0.89689177104938778</c:v>
                </c:pt>
                <c:pt idx="92">
                  <c:v>0.85863727325634986</c:v>
                </c:pt>
                <c:pt idx="93">
                  <c:v>0.88872974596741894</c:v>
                </c:pt>
                <c:pt idx="94">
                  <c:v>0.87592136092471051</c:v>
                </c:pt>
                <c:pt idx="95">
                  <c:v>0.85664579964286602</c:v>
                </c:pt>
                <c:pt idx="96">
                  <c:v>0.8966609232026046</c:v>
                </c:pt>
                <c:pt idx="97">
                  <c:v>0.8764715431032839</c:v>
                </c:pt>
                <c:pt idx="98">
                  <c:v>0.86515089272243106</c:v>
                </c:pt>
                <c:pt idx="99">
                  <c:v>0.87753997491255542</c:v>
                </c:pt>
                <c:pt idx="100">
                  <c:v>0.88023526956878861</c:v>
                </c:pt>
                <c:pt idx="101">
                  <c:v>0.87933346757378106</c:v>
                </c:pt>
                <c:pt idx="102">
                  <c:v>0.88277791065458722</c:v>
                </c:pt>
                <c:pt idx="103">
                  <c:v>0.85140733771383981</c:v>
                </c:pt>
                <c:pt idx="104">
                  <c:v>0.84219962946916593</c:v>
                </c:pt>
                <c:pt idx="105">
                  <c:v>0.84501299774096794</c:v>
                </c:pt>
                <c:pt idx="106">
                  <c:v>0.84991373630506495</c:v>
                </c:pt>
                <c:pt idx="107">
                  <c:v>0.83674805291172316</c:v>
                </c:pt>
                <c:pt idx="108">
                  <c:v>0.83239595659712573</c:v>
                </c:pt>
                <c:pt idx="109">
                  <c:v>0.84127185646830349</c:v>
                </c:pt>
                <c:pt idx="110">
                  <c:v>0.84852421790630228</c:v>
                </c:pt>
                <c:pt idx="111">
                  <c:v>0.85040018754534286</c:v>
                </c:pt>
                <c:pt idx="112">
                  <c:v>0.84461900192117578</c:v>
                </c:pt>
                <c:pt idx="113">
                  <c:v>0.82382191844304375</c:v>
                </c:pt>
                <c:pt idx="114">
                  <c:v>0.82091991105745976</c:v>
                </c:pt>
                <c:pt idx="115">
                  <c:v>0.80565417183336929</c:v>
                </c:pt>
                <c:pt idx="116">
                  <c:v>0.80637857180876893</c:v>
                </c:pt>
                <c:pt idx="117">
                  <c:v>0.80053133204156868</c:v>
                </c:pt>
                <c:pt idx="118">
                  <c:v>0.801779347504329</c:v>
                </c:pt>
                <c:pt idx="119">
                  <c:v>0.78969599624215192</c:v>
                </c:pt>
                <c:pt idx="120">
                  <c:v>0.75275980026733269</c:v>
                </c:pt>
                <c:pt idx="121">
                  <c:v>0.59847241844377064</c:v>
                </c:pt>
                <c:pt idx="122">
                  <c:v>0.47841257071869064</c:v>
                </c:pt>
                <c:pt idx="123">
                  <c:v>0.46415758630240977</c:v>
                </c:pt>
                <c:pt idx="124">
                  <c:v>0.47224942516832985</c:v>
                </c:pt>
                <c:pt idx="125">
                  <c:v>0.49553399576259916</c:v>
                </c:pt>
                <c:pt idx="126">
                  <c:v>0.50452681813185762</c:v>
                </c:pt>
                <c:pt idx="127">
                  <c:v>0.49943369304956386</c:v>
                </c:pt>
                <c:pt idx="128">
                  <c:v>0.49254835731231417</c:v>
                </c:pt>
                <c:pt idx="129">
                  <c:v>0.49966377057570066</c:v>
                </c:pt>
                <c:pt idx="130">
                  <c:v>0.49402588585055124</c:v>
                </c:pt>
                <c:pt idx="131">
                  <c:v>0.49315266917378675</c:v>
                </c:pt>
                <c:pt idx="132">
                  <c:v>0.50186024957875386</c:v>
                </c:pt>
                <c:pt idx="133">
                  <c:v>0.5065457374290594</c:v>
                </c:pt>
                <c:pt idx="134">
                  <c:v>0.51888695642054861</c:v>
                </c:pt>
                <c:pt idx="135">
                  <c:v>0.50917098883177003</c:v>
                </c:pt>
                <c:pt idx="136">
                  <c:v>0.49147941475369206</c:v>
                </c:pt>
                <c:pt idx="137">
                  <c:v>0.45695113273634874</c:v>
                </c:pt>
                <c:pt idx="138">
                  <c:v>0.42358087211061385</c:v>
                </c:pt>
                <c:pt idx="139">
                  <c:v>0.4126267956693051</c:v>
                </c:pt>
                <c:pt idx="140">
                  <c:v>0.41696184547118348</c:v>
                </c:pt>
                <c:pt idx="141">
                  <c:v>0.42959098163910514</c:v>
                </c:pt>
                <c:pt idx="142">
                  <c:v>0.43549053940895355</c:v>
                </c:pt>
                <c:pt idx="143">
                  <c:v>0.42494086634196393</c:v>
                </c:pt>
                <c:pt idx="144">
                  <c:v>0.41746438761190752</c:v>
                </c:pt>
                <c:pt idx="145">
                  <c:v>0.45319336350568046</c:v>
                </c:pt>
                <c:pt idx="146">
                  <c:v>0.45072118183473298</c:v>
                </c:pt>
                <c:pt idx="147">
                  <c:v>0.42108298791774601</c:v>
                </c:pt>
                <c:pt idx="148">
                  <c:v>0.39524598301793451</c:v>
                </c:pt>
                <c:pt idx="149">
                  <c:v>0.37707075810317298</c:v>
                </c:pt>
                <c:pt idx="150">
                  <c:v>0.38240000092782189</c:v>
                </c:pt>
                <c:pt idx="151">
                  <c:v>0.36408802479252034</c:v>
                </c:pt>
                <c:pt idx="152">
                  <c:v>0.33218531545875557</c:v>
                </c:pt>
                <c:pt idx="153">
                  <c:v>0.23605816096322835</c:v>
                </c:pt>
                <c:pt idx="154">
                  <c:v>0.17078332383973821</c:v>
                </c:pt>
                <c:pt idx="155">
                  <c:v>0.16396906473867137</c:v>
                </c:pt>
                <c:pt idx="156">
                  <c:v>0.1840967398679707</c:v>
                </c:pt>
                <c:pt idx="157">
                  <c:v>0.20232154137741704</c:v>
                </c:pt>
                <c:pt idx="158">
                  <c:v>0.19903340953668031</c:v>
                </c:pt>
                <c:pt idx="159">
                  <c:v>0.19415171806978684</c:v>
                </c:pt>
                <c:pt idx="160">
                  <c:v>0.1742472450704719</c:v>
                </c:pt>
                <c:pt idx="161">
                  <c:v>0.14909786518171439</c:v>
                </c:pt>
                <c:pt idx="162">
                  <c:v>0.14379735563141932</c:v>
                </c:pt>
                <c:pt idx="163">
                  <c:v>0.13174706946599937</c:v>
                </c:pt>
                <c:pt idx="164">
                  <c:v>0.13467305160965906</c:v>
                </c:pt>
                <c:pt idx="165">
                  <c:v>0.13318125640553002</c:v>
                </c:pt>
                <c:pt idx="166">
                  <c:v>0.13254771328328263</c:v>
                </c:pt>
                <c:pt idx="167">
                  <c:v>0.13177892592584106</c:v>
                </c:pt>
                <c:pt idx="168">
                  <c:v>0.12326096501246907</c:v>
                </c:pt>
                <c:pt idx="169">
                  <c:v>0.11666215178757748</c:v>
                </c:pt>
                <c:pt idx="170">
                  <c:v>0.10700298962898476</c:v>
                </c:pt>
                <c:pt idx="171">
                  <c:v>0.10216212017517812</c:v>
                </c:pt>
                <c:pt idx="172">
                  <c:v>9.5776759581193568E-2</c:v>
                </c:pt>
                <c:pt idx="173">
                  <c:v>8.7160869169625857E-2</c:v>
                </c:pt>
                <c:pt idx="174">
                  <c:v>8.5622839913665094E-2</c:v>
                </c:pt>
                <c:pt idx="175">
                  <c:v>8.1109602756323756E-2</c:v>
                </c:pt>
                <c:pt idx="176">
                  <c:v>8.5302212702328795E-2</c:v>
                </c:pt>
                <c:pt idx="177">
                  <c:v>9.4349109347384608E-2</c:v>
                </c:pt>
                <c:pt idx="178">
                  <c:v>0.1055419362375444</c:v>
                </c:pt>
                <c:pt idx="179">
                  <c:v>0.1191712605657583</c:v>
                </c:pt>
                <c:pt idx="180">
                  <c:v>0.14959551076727115</c:v>
                </c:pt>
                <c:pt idx="181">
                  <c:v>0.17844077466735872</c:v>
                </c:pt>
                <c:pt idx="182">
                  <c:v>0.21507940891381877</c:v>
                </c:pt>
                <c:pt idx="183">
                  <c:v>0.28061720901184195</c:v>
                </c:pt>
                <c:pt idx="184">
                  <c:v>0.33771215217955919</c:v>
                </c:pt>
                <c:pt idx="185">
                  <c:v>0.34021065353171986</c:v>
                </c:pt>
                <c:pt idx="186">
                  <c:v>0.37816188533784467</c:v>
                </c:pt>
                <c:pt idx="187">
                  <c:v>0.4369972245639025</c:v>
                </c:pt>
                <c:pt idx="188">
                  <c:v>0.49633246961398231</c:v>
                </c:pt>
                <c:pt idx="189">
                  <c:v>0.4904098218673596</c:v>
                </c:pt>
                <c:pt idx="190">
                  <c:v>0.54327628282076956</c:v>
                </c:pt>
                <c:pt idx="191">
                  <c:v>0.57139268814733968</c:v>
                </c:pt>
                <c:pt idx="192">
                  <c:v>0.58219996699838206</c:v>
                </c:pt>
                <c:pt idx="193">
                  <c:v>0.56977829529279456</c:v>
                </c:pt>
                <c:pt idx="194">
                  <c:v>0.62335244387740552</c:v>
                </c:pt>
                <c:pt idx="195">
                  <c:v>0.69784198644821049</c:v>
                </c:pt>
                <c:pt idx="196">
                  <c:v>0.7428953880008029</c:v>
                </c:pt>
                <c:pt idx="197">
                  <c:v>0.73722134966628738</c:v>
                </c:pt>
                <c:pt idx="198">
                  <c:v>0.74524190019605907</c:v>
                </c:pt>
                <c:pt idx="199">
                  <c:v>0.78422306562111699</c:v>
                </c:pt>
                <c:pt idx="200">
                  <c:v>0.81105615784503127</c:v>
                </c:pt>
                <c:pt idx="201">
                  <c:v>0.81439795859519581</c:v>
                </c:pt>
                <c:pt idx="202">
                  <c:v>0.81131626991554717</c:v>
                </c:pt>
                <c:pt idx="203">
                  <c:v>0.77749405506127245</c:v>
                </c:pt>
                <c:pt idx="204">
                  <c:v>0.74257731124026916</c:v>
                </c:pt>
                <c:pt idx="205">
                  <c:v>0.76265585907378475</c:v>
                </c:pt>
                <c:pt idx="206">
                  <c:v>0.77854510510603281</c:v>
                </c:pt>
                <c:pt idx="207">
                  <c:v>0.78162805696393656</c:v>
                </c:pt>
                <c:pt idx="208">
                  <c:v>0.79011093581274461</c:v>
                </c:pt>
                <c:pt idx="209">
                  <c:v>0.78021501690781692</c:v>
                </c:pt>
                <c:pt idx="210">
                  <c:v>0.73894731447568407</c:v>
                </c:pt>
                <c:pt idx="211">
                  <c:v>0.73994916226642005</c:v>
                </c:pt>
                <c:pt idx="212">
                  <c:v>0.74702374723410525</c:v>
                </c:pt>
                <c:pt idx="213">
                  <c:v>0.73213681597448621</c:v>
                </c:pt>
                <c:pt idx="214">
                  <c:v>0.70248783635276746</c:v>
                </c:pt>
                <c:pt idx="215">
                  <c:v>0.66337101989017999</c:v>
                </c:pt>
                <c:pt idx="216">
                  <c:v>0.64061962989721666</c:v>
                </c:pt>
                <c:pt idx="217">
                  <c:v>0.67277628921246857</c:v>
                </c:pt>
                <c:pt idx="218">
                  <c:v>0.70217291383399905</c:v>
                </c:pt>
                <c:pt idx="219">
                  <c:v>0.69888333288837456</c:v>
                </c:pt>
                <c:pt idx="220">
                  <c:v>0.68230215291358687</c:v>
                </c:pt>
                <c:pt idx="221">
                  <c:v>0.63963432494961514</c:v>
                </c:pt>
                <c:pt idx="222">
                  <c:v>0.61588402424089395</c:v>
                </c:pt>
                <c:pt idx="223">
                  <c:v>0.60826276891849074</c:v>
                </c:pt>
                <c:pt idx="224">
                  <c:v>0.58785004605863367</c:v>
                </c:pt>
                <c:pt idx="225">
                  <c:v>0.58558103432764519</c:v>
                </c:pt>
                <c:pt idx="226">
                  <c:v>0.58793844922353666</c:v>
                </c:pt>
                <c:pt idx="227">
                  <c:v>0.60352055490563261</c:v>
                </c:pt>
                <c:pt idx="228">
                  <c:v>0.59102766285545194</c:v>
                </c:pt>
                <c:pt idx="229">
                  <c:v>0.58740575690805119</c:v>
                </c:pt>
                <c:pt idx="230">
                  <c:v>0.59052031779078551</c:v>
                </c:pt>
                <c:pt idx="231">
                  <c:v>0.5614982383237862</c:v>
                </c:pt>
                <c:pt idx="232">
                  <c:v>0.51035176427571227</c:v>
                </c:pt>
                <c:pt idx="233">
                  <c:v>0.50644350928828441</c:v>
                </c:pt>
                <c:pt idx="234">
                  <c:v>0.53823728646947333</c:v>
                </c:pt>
                <c:pt idx="235">
                  <c:v>0.54641127084888919</c:v>
                </c:pt>
                <c:pt idx="236">
                  <c:v>0.54185133328234547</c:v>
                </c:pt>
                <c:pt idx="237">
                  <c:v>0.54596918919436266</c:v>
                </c:pt>
                <c:pt idx="238">
                  <c:v>0.53936424505528757</c:v>
                </c:pt>
                <c:pt idx="239">
                  <c:v>0.53858022082497103</c:v>
                </c:pt>
                <c:pt idx="240">
                  <c:v>0.52657251699540419</c:v>
                </c:pt>
                <c:pt idx="241">
                  <c:v>0.52029475461130992</c:v>
                </c:pt>
                <c:pt idx="242">
                  <c:v>0.51669961784947793</c:v>
                </c:pt>
                <c:pt idx="243">
                  <c:v>0.51515671929928264</c:v>
                </c:pt>
                <c:pt idx="244">
                  <c:v>0.46909773509970354</c:v>
                </c:pt>
                <c:pt idx="245">
                  <c:v>0.44096080458316245</c:v>
                </c:pt>
                <c:pt idx="246">
                  <c:v>0.43419252016581089</c:v>
                </c:pt>
                <c:pt idx="247">
                  <c:v>0.43038322695396003</c:v>
                </c:pt>
                <c:pt idx="248">
                  <c:v>0.44501633571261845</c:v>
                </c:pt>
                <c:pt idx="249">
                  <c:v>0.44976582277300586</c:v>
                </c:pt>
                <c:pt idx="250">
                  <c:v>0.44454469196208712</c:v>
                </c:pt>
                <c:pt idx="251">
                  <c:v>0.4438204367579367</c:v>
                </c:pt>
                <c:pt idx="252">
                  <c:v>0.45977312343133098</c:v>
                </c:pt>
                <c:pt idx="253">
                  <c:v>0.45224532851069887</c:v>
                </c:pt>
                <c:pt idx="254">
                  <c:v>0.44880843541945015</c:v>
                </c:pt>
                <c:pt idx="255">
                  <c:v>0.44995775161986312</c:v>
                </c:pt>
                <c:pt idx="256">
                  <c:v>0.43038180624181033</c:v>
                </c:pt>
                <c:pt idx="257">
                  <c:v>0.41128232046690227</c:v>
                </c:pt>
                <c:pt idx="258">
                  <c:v>0.41608198534488716</c:v>
                </c:pt>
                <c:pt idx="259">
                  <c:v>0.40941841955659675</c:v>
                </c:pt>
                <c:pt idx="260">
                  <c:v>0.41741760975861203</c:v>
                </c:pt>
                <c:pt idx="261">
                  <c:v>0.42287592384075762</c:v>
                </c:pt>
                <c:pt idx="262">
                  <c:v>0.41054564465838705</c:v>
                </c:pt>
                <c:pt idx="263">
                  <c:v>0.40757650439124071</c:v>
                </c:pt>
                <c:pt idx="264">
                  <c:v>0.3795059380462254</c:v>
                </c:pt>
                <c:pt idx="265">
                  <c:v>0.51903696386946485</c:v>
                </c:pt>
                <c:pt idx="266">
                  <c:v>0.55091286020121899</c:v>
                </c:pt>
                <c:pt idx="267">
                  <c:v>0.55954811539832749</c:v>
                </c:pt>
                <c:pt idx="268">
                  <c:v>0.53434728462902403</c:v>
                </c:pt>
                <c:pt idx="269">
                  <c:v>0.52979960635734347</c:v>
                </c:pt>
                <c:pt idx="270">
                  <c:v>0.52936699717763724</c:v>
                </c:pt>
                <c:pt idx="271">
                  <c:v>0.52912073356371991</c:v>
                </c:pt>
                <c:pt idx="272">
                  <c:v>0.5295434158410347</c:v>
                </c:pt>
                <c:pt idx="273">
                  <c:v>0.52006778612350746</c:v>
                </c:pt>
                <c:pt idx="274">
                  <c:v>0.51896804525525742</c:v>
                </c:pt>
                <c:pt idx="275">
                  <c:v>0.52040652380144992</c:v>
                </c:pt>
                <c:pt idx="276">
                  <c:v>0.55387914953543038</c:v>
                </c:pt>
                <c:pt idx="277">
                  <c:v>0.63807531205515489</c:v>
                </c:pt>
              </c:numCache>
            </c:numRef>
          </c:val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FHL/FNM</c:v>
                </c:pt>
              </c:strCache>
            </c:strRef>
          </c:tx>
          <c:invertIfNegative val="0"/>
          <c:cat>
            <c:numRef>
              <c:f>Sheet2!$E$2:$E$279</c:f>
              <c:numCache>
                <c:formatCode>General</c:formatCode>
                <c:ptCount val="278"/>
                <c:pt idx="0">
                  <c:v>199302</c:v>
                </c:pt>
                <c:pt idx="1">
                  <c:v>199303</c:v>
                </c:pt>
                <c:pt idx="2">
                  <c:v>199304</c:v>
                </c:pt>
                <c:pt idx="3">
                  <c:v>199305</c:v>
                </c:pt>
                <c:pt idx="4">
                  <c:v>199306</c:v>
                </c:pt>
                <c:pt idx="5">
                  <c:v>199307</c:v>
                </c:pt>
                <c:pt idx="6">
                  <c:v>199308</c:v>
                </c:pt>
                <c:pt idx="7">
                  <c:v>199309</c:v>
                </c:pt>
                <c:pt idx="8">
                  <c:v>199310</c:v>
                </c:pt>
                <c:pt idx="9">
                  <c:v>199311</c:v>
                </c:pt>
                <c:pt idx="10">
                  <c:v>199312</c:v>
                </c:pt>
                <c:pt idx="11">
                  <c:v>199401</c:v>
                </c:pt>
                <c:pt idx="12">
                  <c:v>199402</c:v>
                </c:pt>
                <c:pt idx="13">
                  <c:v>199403</c:v>
                </c:pt>
                <c:pt idx="14">
                  <c:v>199404</c:v>
                </c:pt>
                <c:pt idx="15">
                  <c:v>199405</c:v>
                </c:pt>
                <c:pt idx="16">
                  <c:v>199406</c:v>
                </c:pt>
                <c:pt idx="17">
                  <c:v>199407</c:v>
                </c:pt>
                <c:pt idx="18">
                  <c:v>199408</c:v>
                </c:pt>
                <c:pt idx="19">
                  <c:v>199409</c:v>
                </c:pt>
                <c:pt idx="20">
                  <c:v>199410</c:v>
                </c:pt>
                <c:pt idx="21">
                  <c:v>199411</c:v>
                </c:pt>
                <c:pt idx="22">
                  <c:v>199412</c:v>
                </c:pt>
                <c:pt idx="23">
                  <c:v>199501</c:v>
                </c:pt>
                <c:pt idx="24">
                  <c:v>199502</c:v>
                </c:pt>
                <c:pt idx="25">
                  <c:v>199503</c:v>
                </c:pt>
                <c:pt idx="26">
                  <c:v>199504</c:v>
                </c:pt>
                <c:pt idx="27">
                  <c:v>199505</c:v>
                </c:pt>
                <c:pt idx="28">
                  <c:v>199506</c:v>
                </c:pt>
                <c:pt idx="29">
                  <c:v>199507</c:v>
                </c:pt>
                <c:pt idx="30">
                  <c:v>199508</c:v>
                </c:pt>
                <c:pt idx="31">
                  <c:v>199509</c:v>
                </c:pt>
                <c:pt idx="32">
                  <c:v>199510</c:v>
                </c:pt>
                <c:pt idx="33">
                  <c:v>199511</c:v>
                </c:pt>
                <c:pt idx="34">
                  <c:v>199512</c:v>
                </c:pt>
                <c:pt idx="35">
                  <c:v>199601</c:v>
                </c:pt>
                <c:pt idx="36">
                  <c:v>199602</c:v>
                </c:pt>
                <c:pt idx="37">
                  <c:v>199603</c:v>
                </c:pt>
                <c:pt idx="38">
                  <c:v>199604</c:v>
                </c:pt>
                <c:pt idx="39">
                  <c:v>199605</c:v>
                </c:pt>
                <c:pt idx="40">
                  <c:v>199606</c:v>
                </c:pt>
                <c:pt idx="41">
                  <c:v>199607</c:v>
                </c:pt>
                <c:pt idx="42">
                  <c:v>199608</c:v>
                </c:pt>
                <c:pt idx="43">
                  <c:v>199609</c:v>
                </c:pt>
                <c:pt idx="44">
                  <c:v>199610</c:v>
                </c:pt>
                <c:pt idx="45">
                  <c:v>199611</c:v>
                </c:pt>
                <c:pt idx="46">
                  <c:v>199612</c:v>
                </c:pt>
                <c:pt idx="47">
                  <c:v>199701</c:v>
                </c:pt>
                <c:pt idx="48">
                  <c:v>199702</c:v>
                </c:pt>
                <c:pt idx="49">
                  <c:v>199703</c:v>
                </c:pt>
                <c:pt idx="50">
                  <c:v>199704</c:v>
                </c:pt>
                <c:pt idx="51">
                  <c:v>199705</c:v>
                </c:pt>
                <c:pt idx="52">
                  <c:v>199706</c:v>
                </c:pt>
                <c:pt idx="53">
                  <c:v>199707</c:v>
                </c:pt>
                <c:pt idx="54">
                  <c:v>199708</c:v>
                </c:pt>
                <c:pt idx="55">
                  <c:v>199709</c:v>
                </c:pt>
                <c:pt idx="56">
                  <c:v>199710</c:v>
                </c:pt>
                <c:pt idx="57">
                  <c:v>199711</c:v>
                </c:pt>
                <c:pt idx="58">
                  <c:v>199712</c:v>
                </c:pt>
                <c:pt idx="59">
                  <c:v>199801</c:v>
                </c:pt>
                <c:pt idx="60">
                  <c:v>199802</c:v>
                </c:pt>
                <c:pt idx="61">
                  <c:v>199803</c:v>
                </c:pt>
                <c:pt idx="62">
                  <c:v>199804</c:v>
                </c:pt>
                <c:pt idx="63">
                  <c:v>199805</c:v>
                </c:pt>
                <c:pt idx="64">
                  <c:v>199806</c:v>
                </c:pt>
                <c:pt idx="65">
                  <c:v>199807</c:v>
                </c:pt>
                <c:pt idx="66">
                  <c:v>199808</c:v>
                </c:pt>
                <c:pt idx="67">
                  <c:v>199809</c:v>
                </c:pt>
                <c:pt idx="68">
                  <c:v>199810</c:v>
                </c:pt>
                <c:pt idx="69">
                  <c:v>199811</c:v>
                </c:pt>
                <c:pt idx="70">
                  <c:v>199812</c:v>
                </c:pt>
                <c:pt idx="71">
                  <c:v>199901</c:v>
                </c:pt>
                <c:pt idx="72">
                  <c:v>199902</c:v>
                </c:pt>
                <c:pt idx="73">
                  <c:v>199903</c:v>
                </c:pt>
                <c:pt idx="74">
                  <c:v>199904</c:v>
                </c:pt>
                <c:pt idx="75">
                  <c:v>199905</c:v>
                </c:pt>
                <c:pt idx="76">
                  <c:v>199906</c:v>
                </c:pt>
                <c:pt idx="77">
                  <c:v>199907</c:v>
                </c:pt>
                <c:pt idx="78">
                  <c:v>199908</c:v>
                </c:pt>
                <c:pt idx="79">
                  <c:v>199909</c:v>
                </c:pt>
                <c:pt idx="80">
                  <c:v>199910</c:v>
                </c:pt>
                <c:pt idx="81">
                  <c:v>199911</c:v>
                </c:pt>
                <c:pt idx="82">
                  <c:v>199912</c:v>
                </c:pt>
                <c:pt idx="83">
                  <c:v>200001</c:v>
                </c:pt>
                <c:pt idx="84">
                  <c:v>200002</c:v>
                </c:pt>
                <c:pt idx="85">
                  <c:v>200003</c:v>
                </c:pt>
                <c:pt idx="86">
                  <c:v>200004</c:v>
                </c:pt>
                <c:pt idx="87">
                  <c:v>200005</c:v>
                </c:pt>
                <c:pt idx="88">
                  <c:v>200006</c:v>
                </c:pt>
                <c:pt idx="89">
                  <c:v>200007</c:v>
                </c:pt>
                <c:pt idx="90">
                  <c:v>200008</c:v>
                </c:pt>
                <c:pt idx="91">
                  <c:v>200009</c:v>
                </c:pt>
                <c:pt idx="92">
                  <c:v>200010</c:v>
                </c:pt>
                <c:pt idx="93">
                  <c:v>200011</c:v>
                </c:pt>
                <c:pt idx="94">
                  <c:v>200012</c:v>
                </c:pt>
                <c:pt idx="95">
                  <c:v>200101</c:v>
                </c:pt>
                <c:pt idx="96">
                  <c:v>200102</c:v>
                </c:pt>
                <c:pt idx="97">
                  <c:v>200103</c:v>
                </c:pt>
                <c:pt idx="98">
                  <c:v>200104</c:v>
                </c:pt>
                <c:pt idx="99">
                  <c:v>200105</c:v>
                </c:pt>
                <c:pt idx="100">
                  <c:v>200106</c:v>
                </c:pt>
                <c:pt idx="101">
                  <c:v>200107</c:v>
                </c:pt>
                <c:pt idx="102">
                  <c:v>200108</c:v>
                </c:pt>
                <c:pt idx="103">
                  <c:v>200109</c:v>
                </c:pt>
                <c:pt idx="104">
                  <c:v>200110</c:v>
                </c:pt>
                <c:pt idx="105">
                  <c:v>200111</c:v>
                </c:pt>
                <c:pt idx="106">
                  <c:v>200112</c:v>
                </c:pt>
                <c:pt idx="107">
                  <c:v>200201</c:v>
                </c:pt>
                <c:pt idx="108">
                  <c:v>200202</c:v>
                </c:pt>
                <c:pt idx="109">
                  <c:v>200203</c:v>
                </c:pt>
                <c:pt idx="110">
                  <c:v>200204</c:v>
                </c:pt>
                <c:pt idx="111">
                  <c:v>200205</c:v>
                </c:pt>
                <c:pt idx="112">
                  <c:v>200206</c:v>
                </c:pt>
                <c:pt idx="113">
                  <c:v>200207</c:v>
                </c:pt>
                <c:pt idx="114">
                  <c:v>200208</c:v>
                </c:pt>
                <c:pt idx="115">
                  <c:v>200209</c:v>
                </c:pt>
                <c:pt idx="116">
                  <c:v>200210</c:v>
                </c:pt>
                <c:pt idx="117">
                  <c:v>200211</c:v>
                </c:pt>
                <c:pt idx="118">
                  <c:v>200212</c:v>
                </c:pt>
                <c:pt idx="119">
                  <c:v>200301</c:v>
                </c:pt>
                <c:pt idx="120">
                  <c:v>200302</c:v>
                </c:pt>
                <c:pt idx="121">
                  <c:v>200303</c:v>
                </c:pt>
                <c:pt idx="122">
                  <c:v>200304</c:v>
                </c:pt>
                <c:pt idx="123">
                  <c:v>200305</c:v>
                </c:pt>
                <c:pt idx="124">
                  <c:v>200306</c:v>
                </c:pt>
                <c:pt idx="125">
                  <c:v>200307</c:v>
                </c:pt>
                <c:pt idx="126">
                  <c:v>200308</c:v>
                </c:pt>
                <c:pt idx="127">
                  <c:v>200309</c:v>
                </c:pt>
                <c:pt idx="128">
                  <c:v>200310</c:v>
                </c:pt>
                <c:pt idx="129">
                  <c:v>200311</c:v>
                </c:pt>
                <c:pt idx="130">
                  <c:v>200312</c:v>
                </c:pt>
                <c:pt idx="131">
                  <c:v>200401</c:v>
                </c:pt>
                <c:pt idx="132">
                  <c:v>200402</c:v>
                </c:pt>
                <c:pt idx="133">
                  <c:v>200403</c:v>
                </c:pt>
                <c:pt idx="134">
                  <c:v>200404</c:v>
                </c:pt>
                <c:pt idx="135">
                  <c:v>200405</c:v>
                </c:pt>
                <c:pt idx="136">
                  <c:v>200406</c:v>
                </c:pt>
                <c:pt idx="137">
                  <c:v>200407</c:v>
                </c:pt>
                <c:pt idx="138">
                  <c:v>200408</c:v>
                </c:pt>
                <c:pt idx="139">
                  <c:v>200409</c:v>
                </c:pt>
                <c:pt idx="140">
                  <c:v>200410</c:v>
                </c:pt>
                <c:pt idx="141">
                  <c:v>200411</c:v>
                </c:pt>
                <c:pt idx="142">
                  <c:v>200412</c:v>
                </c:pt>
                <c:pt idx="143">
                  <c:v>200501</c:v>
                </c:pt>
                <c:pt idx="144">
                  <c:v>200502</c:v>
                </c:pt>
                <c:pt idx="145">
                  <c:v>200503</c:v>
                </c:pt>
                <c:pt idx="146">
                  <c:v>200504</c:v>
                </c:pt>
                <c:pt idx="147">
                  <c:v>200505</c:v>
                </c:pt>
                <c:pt idx="148">
                  <c:v>200506</c:v>
                </c:pt>
                <c:pt idx="149">
                  <c:v>200507</c:v>
                </c:pt>
                <c:pt idx="150">
                  <c:v>200508</c:v>
                </c:pt>
                <c:pt idx="151">
                  <c:v>200509</c:v>
                </c:pt>
                <c:pt idx="152">
                  <c:v>200510</c:v>
                </c:pt>
                <c:pt idx="153">
                  <c:v>200511</c:v>
                </c:pt>
                <c:pt idx="154">
                  <c:v>200512</c:v>
                </c:pt>
                <c:pt idx="155">
                  <c:v>200601</c:v>
                </c:pt>
                <c:pt idx="156">
                  <c:v>200602</c:v>
                </c:pt>
                <c:pt idx="157">
                  <c:v>200603</c:v>
                </c:pt>
                <c:pt idx="158">
                  <c:v>200604</c:v>
                </c:pt>
                <c:pt idx="159">
                  <c:v>200605</c:v>
                </c:pt>
                <c:pt idx="160">
                  <c:v>200606</c:v>
                </c:pt>
                <c:pt idx="161">
                  <c:v>200607</c:v>
                </c:pt>
                <c:pt idx="162">
                  <c:v>200608</c:v>
                </c:pt>
                <c:pt idx="163">
                  <c:v>200609</c:v>
                </c:pt>
                <c:pt idx="164">
                  <c:v>200610</c:v>
                </c:pt>
                <c:pt idx="165">
                  <c:v>200611</c:v>
                </c:pt>
                <c:pt idx="166">
                  <c:v>200612</c:v>
                </c:pt>
                <c:pt idx="167">
                  <c:v>200701</c:v>
                </c:pt>
                <c:pt idx="168">
                  <c:v>200702</c:v>
                </c:pt>
                <c:pt idx="169">
                  <c:v>200703</c:v>
                </c:pt>
                <c:pt idx="170">
                  <c:v>200704</c:v>
                </c:pt>
                <c:pt idx="171">
                  <c:v>200705</c:v>
                </c:pt>
                <c:pt idx="172">
                  <c:v>200706</c:v>
                </c:pt>
                <c:pt idx="173">
                  <c:v>200707</c:v>
                </c:pt>
                <c:pt idx="174">
                  <c:v>200708</c:v>
                </c:pt>
                <c:pt idx="175">
                  <c:v>200709</c:v>
                </c:pt>
                <c:pt idx="176">
                  <c:v>200710</c:v>
                </c:pt>
                <c:pt idx="177">
                  <c:v>200711</c:v>
                </c:pt>
                <c:pt idx="178">
                  <c:v>200712</c:v>
                </c:pt>
                <c:pt idx="179">
                  <c:v>200801</c:v>
                </c:pt>
                <c:pt idx="180">
                  <c:v>200802</c:v>
                </c:pt>
                <c:pt idx="181">
                  <c:v>200803</c:v>
                </c:pt>
                <c:pt idx="182">
                  <c:v>200804</c:v>
                </c:pt>
                <c:pt idx="183">
                  <c:v>200805</c:v>
                </c:pt>
                <c:pt idx="184">
                  <c:v>200806</c:v>
                </c:pt>
                <c:pt idx="185">
                  <c:v>200807</c:v>
                </c:pt>
                <c:pt idx="186">
                  <c:v>200808</c:v>
                </c:pt>
                <c:pt idx="187">
                  <c:v>200809</c:v>
                </c:pt>
                <c:pt idx="188">
                  <c:v>200810</c:v>
                </c:pt>
                <c:pt idx="189">
                  <c:v>200811</c:v>
                </c:pt>
                <c:pt idx="190">
                  <c:v>200812</c:v>
                </c:pt>
                <c:pt idx="191">
                  <c:v>200901</c:v>
                </c:pt>
                <c:pt idx="192">
                  <c:v>200902</c:v>
                </c:pt>
                <c:pt idx="193">
                  <c:v>200903</c:v>
                </c:pt>
                <c:pt idx="194">
                  <c:v>200904</c:v>
                </c:pt>
                <c:pt idx="195">
                  <c:v>200905</c:v>
                </c:pt>
                <c:pt idx="196">
                  <c:v>200906</c:v>
                </c:pt>
                <c:pt idx="197">
                  <c:v>200907</c:v>
                </c:pt>
                <c:pt idx="198">
                  <c:v>200908</c:v>
                </c:pt>
                <c:pt idx="199">
                  <c:v>200909</c:v>
                </c:pt>
                <c:pt idx="200">
                  <c:v>200910</c:v>
                </c:pt>
                <c:pt idx="201">
                  <c:v>200911</c:v>
                </c:pt>
                <c:pt idx="202">
                  <c:v>200912</c:v>
                </c:pt>
                <c:pt idx="203">
                  <c:v>201001</c:v>
                </c:pt>
                <c:pt idx="204">
                  <c:v>201002</c:v>
                </c:pt>
                <c:pt idx="205">
                  <c:v>201003</c:v>
                </c:pt>
                <c:pt idx="206">
                  <c:v>201004</c:v>
                </c:pt>
                <c:pt idx="207">
                  <c:v>201005</c:v>
                </c:pt>
                <c:pt idx="208">
                  <c:v>201006</c:v>
                </c:pt>
                <c:pt idx="209">
                  <c:v>201007</c:v>
                </c:pt>
                <c:pt idx="210">
                  <c:v>201008</c:v>
                </c:pt>
                <c:pt idx="211">
                  <c:v>201009</c:v>
                </c:pt>
                <c:pt idx="212">
                  <c:v>201010</c:v>
                </c:pt>
                <c:pt idx="213">
                  <c:v>201011</c:v>
                </c:pt>
                <c:pt idx="214">
                  <c:v>201012</c:v>
                </c:pt>
                <c:pt idx="215">
                  <c:v>201101</c:v>
                </c:pt>
                <c:pt idx="216">
                  <c:v>201102</c:v>
                </c:pt>
                <c:pt idx="217">
                  <c:v>201103</c:v>
                </c:pt>
                <c:pt idx="218">
                  <c:v>201104</c:v>
                </c:pt>
                <c:pt idx="219">
                  <c:v>201105</c:v>
                </c:pt>
                <c:pt idx="220">
                  <c:v>201106</c:v>
                </c:pt>
                <c:pt idx="221">
                  <c:v>201107</c:v>
                </c:pt>
                <c:pt idx="222">
                  <c:v>201108</c:v>
                </c:pt>
                <c:pt idx="223">
                  <c:v>201109</c:v>
                </c:pt>
                <c:pt idx="224">
                  <c:v>201110</c:v>
                </c:pt>
                <c:pt idx="225">
                  <c:v>201111</c:v>
                </c:pt>
                <c:pt idx="226">
                  <c:v>201112</c:v>
                </c:pt>
                <c:pt idx="227">
                  <c:v>201201</c:v>
                </c:pt>
                <c:pt idx="228">
                  <c:v>201202</c:v>
                </c:pt>
                <c:pt idx="229">
                  <c:v>201203</c:v>
                </c:pt>
                <c:pt idx="230">
                  <c:v>201204</c:v>
                </c:pt>
                <c:pt idx="231">
                  <c:v>201205</c:v>
                </c:pt>
                <c:pt idx="232">
                  <c:v>201206</c:v>
                </c:pt>
                <c:pt idx="233">
                  <c:v>201207</c:v>
                </c:pt>
                <c:pt idx="234">
                  <c:v>201208</c:v>
                </c:pt>
                <c:pt idx="235">
                  <c:v>201209</c:v>
                </c:pt>
                <c:pt idx="236">
                  <c:v>201210</c:v>
                </c:pt>
                <c:pt idx="237">
                  <c:v>201211</c:v>
                </c:pt>
                <c:pt idx="238">
                  <c:v>201212</c:v>
                </c:pt>
                <c:pt idx="239">
                  <c:v>201301</c:v>
                </c:pt>
                <c:pt idx="240">
                  <c:v>201302</c:v>
                </c:pt>
                <c:pt idx="241">
                  <c:v>201303</c:v>
                </c:pt>
                <c:pt idx="242">
                  <c:v>201304</c:v>
                </c:pt>
                <c:pt idx="243">
                  <c:v>201305</c:v>
                </c:pt>
                <c:pt idx="244">
                  <c:v>201306</c:v>
                </c:pt>
                <c:pt idx="245">
                  <c:v>201307</c:v>
                </c:pt>
                <c:pt idx="246">
                  <c:v>201308</c:v>
                </c:pt>
                <c:pt idx="247">
                  <c:v>201309</c:v>
                </c:pt>
                <c:pt idx="248">
                  <c:v>201310</c:v>
                </c:pt>
                <c:pt idx="249">
                  <c:v>201311</c:v>
                </c:pt>
                <c:pt idx="250">
                  <c:v>201312</c:v>
                </c:pt>
                <c:pt idx="251">
                  <c:v>201401</c:v>
                </c:pt>
                <c:pt idx="252">
                  <c:v>201402</c:v>
                </c:pt>
                <c:pt idx="253">
                  <c:v>201403</c:v>
                </c:pt>
                <c:pt idx="254">
                  <c:v>201404</c:v>
                </c:pt>
                <c:pt idx="255">
                  <c:v>201405</c:v>
                </c:pt>
                <c:pt idx="256">
                  <c:v>201406</c:v>
                </c:pt>
                <c:pt idx="257">
                  <c:v>201407</c:v>
                </c:pt>
                <c:pt idx="258">
                  <c:v>201408</c:v>
                </c:pt>
                <c:pt idx="259">
                  <c:v>201409</c:v>
                </c:pt>
                <c:pt idx="260">
                  <c:v>201410</c:v>
                </c:pt>
                <c:pt idx="261">
                  <c:v>201411</c:v>
                </c:pt>
                <c:pt idx="262">
                  <c:v>201412</c:v>
                </c:pt>
                <c:pt idx="263">
                  <c:v>201501</c:v>
                </c:pt>
                <c:pt idx="264">
                  <c:v>201502</c:v>
                </c:pt>
                <c:pt idx="265">
                  <c:v>201503</c:v>
                </c:pt>
                <c:pt idx="266">
                  <c:v>201504</c:v>
                </c:pt>
                <c:pt idx="267">
                  <c:v>201505</c:v>
                </c:pt>
                <c:pt idx="268">
                  <c:v>201506</c:v>
                </c:pt>
                <c:pt idx="269">
                  <c:v>201507</c:v>
                </c:pt>
                <c:pt idx="270">
                  <c:v>201508</c:v>
                </c:pt>
                <c:pt idx="271">
                  <c:v>201509</c:v>
                </c:pt>
                <c:pt idx="272">
                  <c:v>201510</c:v>
                </c:pt>
                <c:pt idx="273">
                  <c:v>201511</c:v>
                </c:pt>
                <c:pt idx="274">
                  <c:v>201512</c:v>
                </c:pt>
                <c:pt idx="275">
                  <c:v>201601</c:v>
                </c:pt>
                <c:pt idx="276">
                  <c:v>201602</c:v>
                </c:pt>
                <c:pt idx="277">
                  <c:v>201603</c:v>
                </c:pt>
              </c:numCache>
            </c:numRef>
          </c:cat>
          <c:val>
            <c:numRef>
              <c:f>Sheet2!$G$2:$G$279</c:f>
              <c:numCache>
                <c:formatCode>0.0%</c:formatCode>
                <c:ptCount val="278"/>
                <c:pt idx="0">
                  <c:v>4.7834395919762573E-2</c:v>
                </c:pt>
                <c:pt idx="1">
                  <c:v>5.9012635092018928E-2</c:v>
                </c:pt>
                <c:pt idx="2">
                  <c:v>2.438444163581921E-2</c:v>
                </c:pt>
                <c:pt idx="3">
                  <c:v>4.2198444392903656E-2</c:v>
                </c:pt>
                <c:pt idx="4">
                  <c:v>4.052882906811528E-2</c:v>
                </c:pt>
                <c:pt idx="5">
                  <c:v>3.7836482011114447E-2</c:v>
                </c:pt>
                <c:pt idx="6">
                  <c:v>2.191816659931789E-2</c:v>
                </c:pt>
                <c:pt idx="7">
                  <c:v>2.1843233571153808E-2</c:v>
                </c:pt>
                <c:pt idx="8">
                  <c:v>3.3619920856785779E-2</c:v>
                </c:pt>
                <c:pt idx="9">
                  <c:v>2.7927095690514103E-2</c:v>
                </c:pt>
                <c:pt idx="10">
                  <c:v>3.7407232703219995E-2</c:v>
                </c:pt>
                <c:pt idx="11">
                  <c:v>5.50939598144915E-2</c:v>
                </c:pt>
                <c:pt idx="12">
                  <c:v>4.255087521776646E-2</c:v>
                </c:pt>
                <c:pt idx="13">
                  <c:v>5.1598776817595504E-2</c:v>
                </c:pt>
                <c:pt idx="14">
                  <c:v>3.8561440795384483E-2</c:v>
                </c:pt>
                <c:pt idx="15">
                  <c:v>7.8360709879841117E-2</c:v>
                </c:pt>
                <c:pt idx="16">
                  <c:v>5.9452421249249432E-2</c:v>
                </c:pt>
                <c:pt idx="17">
                  <c:v>8.0988773131145275E-2</c:v>
                </c:pt>
                <c:pt idx="18">
                  <c:v>4.7318500948551723E-2</c:v>
                </c:pt>
                <c:pt idx="19">
                  <c:v>6.4494558478328301E-2</c:v>
                </c:pt>
                <c:pt idx="20">
                  <c:v>6.7758589523056467E-2</c:v>
                </c:pt>
                <c:pt idx="21">
                  <c:v>6.6012627535150914E-2</c:v>
                </c:pt>
                <c:pt idx="22">
                  <c:v>7.0899868304528657E-2</c:v>
                </c:pt>
                <c:pt idx="23">
                  <c:v>6.8195176494725618E-2</c:v>
                </c:pt>
                <c:pt idx="24">
                  <c:v>3.7666732116764634E-2</c:v>
                </c:pt>
                <c:pt idx="25">
                  <c:v>4.1106928758131267E-2</c:v>
                </c:pt>
                <c:pt idx="26">
                  <c:v>3.9850344542653238E-2</c:v>
                </c:pt>
                <c:pt idx="27">
                  <c:v>5.8070543585902357E-2</c:v>
                </c:pt>
                <c:pt idx="28">
                  <c:v>3.528790385558167E-2</c:v>
                </c:pt>
                <c:pt idx="29">
                  <c:v>4.1884168540111788E-2</c:v>
                </c:pt>
                <c:pt idx="30">
                  <c:v>3.6880629347034399E-2</c:v>
                </c:pt>
                <c:pt idx="31">
                  <c:v>5.7979719457212586E-2</c:v>
                </c:pt>
                <c:pt idx="32">
                  <c:v>6.9245232467660456E-2</c:v>
                </c:pt>
                <c:pt idx="33">
                  <c:v>5.3815209385742135E-2</c:v>
                </c:pt>
                <c:pt idx="34">
                  <c:v>7.0291807778375182E-2</c:v>
                </c:pt>
                <c:pt idx="35">
                  <c:v>5.098526086948052E-2</c:v>
                </c:pt>
                <c:pt idx="36">
                  <c:v>4.5671161485175915E-2</c:v>
                </c:pt>
                <c:pt idx="37">
                  <c:v>4.5822801870294305E-2</c:v>
                </c:pt>
                <c:pt idx="38">
                  <c:v>4.884128560087786E-2</c:v>
                </c:pt>
                <c:pt idx="39">
                  <c:v>3.2507866693181398E-2</c:v>
                </c:pt>
                <c:pt idx="40">
                  <c:v>3.1697990784679497E-2</c:v>
                </c:pt>
                <c:pt idx="41">
                  <c:v>5.3842348118781636E-2</c:v>
                </c:pt>
                <c:pt idx="42">
                  <c:v>3.4922348785384583E-2</c:v>
                </c:pt>
                <c:pt idx="43">
                  <c:v>4.8843679495929937E-2</c:v>
                </c:pt>
                <c:pt idx="44">
                  <c:v>6.3060639982711164E-2</c:v>
                </c:pt>
                <c:pt idx="45">
                  <c:v>3.7340649675708049E-2</c:v>
                </c:pt>
                <c:pt idx="46">
                  <c:v>6.0048166734011477E-2</c:v>
                </c:pt>
                <c:pt idx="47">
                  <c:v>5.8382216619467631E-2</c:v>
                </c:pt>
                <c:pt idx="48">
                  <c:v>6.9799768012404839E-2</c:v>
                </c:pt>
                <c:pt idx="49">
                  <c:v>5.3731596131762371E-2</c:v>
                </c:pt>
                <c:pt idx="50">
                  <c:v>6.5244413435305959E-2</c:v>
                </c:pt>
                <c:pt idx="51">
                  <c:v>3.7808148052467572E-2</c:v>
                </c:pt>
                <c:pt idx="52">
                  <c:v>4.3270974333370904E-2</c:v>
                </c:pt>
                <c:pt idx="53">
                  <c:v>6.4097463593434933E-2</c:v>
                </c:pt>
                <c:pt idx="54">
                  <c:v>6.019731539590123E-2</c:v>
                </c:pt>
                <c:pt idx="55">
                  <c:v>5.8286750124276532E-2</c:v>
                </c:pt>
                <c:pt idx="56">
                  <c:v>6.5991804166250057E-2</c:v>
                </c:pt>
                <c:pt idx="57">
                  <c:v>6.2774433569510069E-2</c:v>
                </c:pt>
                <c:pt idx="58">
                  <c:v>5.0979904150676658E-2</c:v>
                </c:pt>
                <c:pt idx="59">
                  <c:v>5.9598428354870281E-2</c:v>
                </c:pt>
                <c:pt idx="60">
                  <c:v>4.8381516935900093E-2</c:v>
                </c:pt>
                <c:pt idx="61">
                  <c:v>4.0707257453874157E-2</c:v>
                </c:pt>
                <c:pt idx="62">
                  <c:v>5.3076987894569716E-2</c:v>
                </c:pt>
                <c:pt idx="63">
                  <c:v>5.6912785328920856E-2</c:v>
                </c:pt>
                <c:pt idx="64">
                  <c:v>6.0548804593869798E-2</c:v>
                </c:pt>
                <c:pt idx="65">
                  <c:v>5.0189725699059107E-2</c:v>
                </c:pt>
                <c:pt idx="66">
                  <c:v>6.0856189120110593E-2</c:v>
                </c:pt>
                <c:pt idx="67">
                  <c:v>6.0056513380836174E-2</c:v>
                </c:pt>
                <c:pt idx="68">
                  <c:v>6.3468476482668623E-2</c:v>
                </c:pt>
                <c:pt idx="69">
                  <c:v>5.3420109402020355E-2</c:v>
                </c:pt>
                <c:pt idx="70">
                  <c:v>4.8365309583364935E-2</c:v>
                </c:pt>
                <c:pt idx="71">
                  <c:v>5.1631821751169871E-2</c:v>
                </c:pt>
                <c:pt idx="72">
                  <c:v>6.7485473465571766E-2</c:v>
                </c:pt>
                <c:pt idx="73">
                  <c:v>6.5821428025740314E-2</c:v>
                </c:pt>
                <c:pt idx="74">
                  <c:v>6.602121852799625E-2</c:v>
                </c:pt>
                <c:pt idx="75">
                  <c:v>7.1272805118037463E-2</c:v>
                </c:pt>
                <c:pt idx="76">
                  <c:v>7.9937696868587538E-2</c:v>
                </c:pt>
                <c:pt idx="77">
                  <c:v>7.8376662406612119E-2</c:v>
                </c:pt>
                <c:pt idx="78">
                  <c:v>8.307363675640056E-2</c:v>
                </c:pt>
                <c:pt idx="79">
                  <c:v>7.1195952196535628E-2</c:v>
                </c:pt>
                <c:pt idx="80">
                  <c:v>0.10307887407871774</c:v>
                </c:pt>
                <c:pt idx="81">
                  <c:v>9.1715350686975228E-2</c:v>
                </c:pt>
                <c:pt idx="82">
                  <c:v>8.871425159621904E-2</c:v>
                </c:pt>
                <c:pt idx="83">
                  <c:v>0.13817001475355983</c:v>
                </c:pt>
                <c:pt idx="84">
                  <c:v>0.12115361045705442</c:v>
                </c:pt>
                <c:pt idx="85">
                  <c:v>9.9646945474125781E-2</c:v>
                </c:pt>
                <c:pt idx="86">
                  <c:v>0.10419941374425024</c:v>
                </c:pt>
                <c:pt idx="87">
                  <c:v>0.11798904579447156</c:v>
                </c:pt>
                <c:pt idx="88">
                  <c:v>0.1021895693303515</c:v>
                </c:pt>
                <c:pt idx="89">
                  <c:v>0.130696558435907</c:v>
                </c:pt>
                <c:pt idx="90">
                  <c:v>7.6998081157067855E-2</c:v>
                </c:pt>
                <c:pt idx="91">
                  <c:v>0.10310822895061222</c:v>
                </c:pt>
                <c:pt idx="92">
                  <c:v>0.14136272674365014</c:v>
                </c:pt>
                <c:pt idx="93">
                  <c:v>0.11127025403258106</c:v>
                </c:pt>
                <c:pt idx="94">
                  <c:v>0.12407863907528949</c:v>
                </c:pt>
                <c:pt idx="95">
                  <c:v>0.14335420035713398</c:v>
                </c:pt>
                <c:pt idx="96">
                  <c:v>0.1033390767973954</c:v>
                </c:pt>
                <c:pt idx="97">
                  <c:v>0.1235284568967161</c:v>
                </c:pt>
                <c:pt idx="98">
                  <c:v>0.13484910727756894</c:v>
                </c:pt>
                <c:pt idx="99">
                  <c:v>0.12246002508744458</c:v>
                </c:pt>
                <c:pt idx="100">
                  <c:v>0.11976473043121139</c:v>
                </c:pt>
                <c:pt idx="101">
                  <c:v>0.12066653242621894</c:v>
                </c:pt>
                <c:pt idx="102">
                  <c:v>0.11722208934541278</c:v>
                </c:pt>
                <c:pt idx="103">
                  <c:v>0.14859266228616019</c:v>
                </c:pt>
                <c:pt idx="104">
                  <c:v>0.15780037053083407</c:v>
                </c:pt>
                <c:pt idx="105">
                  <c:v>0.15498700225903206</c:v>
                </c:pt>
                <c:pt idx="106">
                  <c:v>0.15008626369493505</c:v>
                </c:pt>
                <c:pt idx="107">
                  <c:v>0.16325194708827684</c:v>
                </c:pt>
                <c:pt idx="108">
                  <c:v>0.16760404340287427</c:v>
                </c:pt>
                <c:pt idx="109">
                  <c:v>0.15872814353169651</c:v>
                </c:pt>
                <c:pt idx="110">
                  <c:v>0.15147578209369772</c:v>
                </c:pt>
                <c:pt idx="111">
                  <c:v>0.14959981245465714</c:v>
                </c:pt>
                <c:pt idx="112">
                  <c:v>0.15538099807882422</c:v>
                </c:pt>
                <c:pt idx="113">
                  <c:v>0.17617808155695625</c:v>
                </c:pt>
                <c:pt idx="114">
                  <c:v>0.17908008894254024</c:v>
                </c:pt>
                <c:pt idx="115">
                  <c:v>0.19434582816663071</c:v>
                </c:pt>
                <c:pt idx="116">
                  <c:v>0.19362142819123107</c:v>
                </c:pt>
                <c:pt idx="117">
                  <c:v>0.19946866795843132</c:v>
                </c:pt>
                <c:pt idx="118">
                  <c:v>0.198220652495671</c:v>
                </c:pt>
                <c:pt idx="119">
                  <c:v>0.21030400375784808</c:v>
                </c:pt>
                <c:pt idx="120">
                  <c:v>0.24724019973266731</c:v>
                </c:pt>
                <c:pt idx="121">
                  <c:v>0.40152758155622936</c:v>
                </c:pt>
                <c:pt idx="122">
                  <c:v>0.52158742928130941</c:v>
                </c:pt>
                <c:pt idx="123">
                  <c:v>0.53584241369759023</c:v>
                </c:pt>
                <c:pt idx="124">
                  <c:v>0.52775057483167021</c:v>
                </c:pt>
                <c:pt idx="125">
                  <c:v>0.50446600423740084</c:v>
                </c:pt>
                <c:pt idx="126">
                  <c:v>0.49547318186814238</c:v>
                </c:pt>
                <c:pt idx="127">
                  <c:v>0.50056630695043614</c:v>
                </c:pt>
                <c:pt idx="128">
                  <c:v>0.50745164268768583</c:v>
                </c:pt>
                <c:pt idx="129">
                  <c:v>0.50033622942429934</c:v>
                </c:pt>
                <c:pt idx="130">
                  <c:v>0.50597411414944871</c:v>
                </c:pt>
                <c:pt idx="131">
                  <c:v>0.50684733082621325</c:v>
                </c:pt>
                <c:pt idx="132">
                  <c:v>0.49813975042124614</c:v>
                </c:pt>
                <c:pt idx="133">
                  <c:v>0.4934542625709406</c:v>
                </c:pt>
                <c:pt idx="134">
                  <c:v>0.48111304357945139</c:v>
                </c:pt>
                <c:pt idx="135">
                  <c:v>0.49082901116822997</c:v>
                </c:pt>
                <c:pt idx="136">
                  <c:v>0.50852058524630794</c:v>
                </c:pt>
                <c:pt idx="137">
                  <c:v>0.54304886726365131</c:v>
                </c:pt>
                <c:pt idx="138">
                  <c:v>0.57641912788938621</c:v>
                </c:pt>
                <c:pt idx="139">
                  <c:v>0.58737320433069495</c:v>
                </c:pt>
                <c:pt idx="140">
                  <c:v>0.58303815452881658</c:v>
                </c:pt>
                <c:pt idx="141">
                  <c:v>0.57040901836089486</c:v>
                </c:pt>
                <c:pt idx="142">
                  <c:v>0.56450946059104645</c:v>
                </c:pt>
                <c:pt idx="143">
                  <c:v>0.57505913365803607</c:v>
                </c:pt>
                <c:pt idx="144">
                  <c:v>0.58253561238809248</c:v>
                </c:pt>
                <c:pt idx="145">
                  <c:v>0.5468066364943196</c:v>
                </c:pt>
                <c:pt idx="146">
                  <c:v>0.54927881816526702</c:v>
                </c:pt>
                <c:pt idx="147">
                  <c:v>0.57891701208225399</c:v>
                </c:pt>
                <c:pt idx="148">
                  <c:v>0.60475401698206555</c:v>
                </c:pt>
                <c:pt idx="149">
                  <c:v>0.62292924189682708</c:v>
                </c:pt>
                <c:pt idx="150">
                  <c:v>0.61759999907217811</c:v>
                </c:pt>
                <c:pt idx="151">
                  <c:v>0.63591197520747966</c:v>
                </c:pt>
                <c:pt idx="152">
                  <c:v>0.66781468454124449</c:v>
                </c:pt>
                <c:pt idx="153">
                  <c:v>0.7639418390367716</c:v>
                </c:pt>
                <c:pt idx="154">
                  <c:v>0.82921667616026173</c:v>
                </c:pt>
                <c:pt idx="155">
                  <c:v>0.83603093526132866</c:v>
                </c:pt>
                <c:pt idx="156">
                  <c:v>0.8159032601320293</c:v>
                </c:pt>
                <c:pt idx="157">
                  <c:v>0.79767845862258291</c:v>
                </c:pt>
                <c:pt idx="158">
                  <c:v>0.80096659046331964</c:v>
                </c:pt>
                <c:pt idx="159">
                  <c:v>0.80584828193021318</c:v>
                </c:pt>
                <c:pt idx="160">
                  <c:v>0.82575275492952804</c:v>
                </c:pt>
                <c:pt idx="161">
                  <c:v>0.85090213481828558</c:v>
                </c:pt>
                <c:pt idx="162">
                  <c:v>0.85620264436858062</c:v>
                </c:pt>
                <c:pt idx="163">
                  <c:v>0.86825293053400066</c:v>
                </c:pt>
                <c:pt idx="164">
                  <c:v>0.86532694839034097</c:v>
                </c:pt>
                <c:pt idx="165">
                  <c:v>0.86681874359446998</c:v>
                </c:pt>
                <c:pt idx="166">
                  <c:v>0.86745228671671737</c:v>
                </c:pt>
                <c:pt idx="167">
                  <c:v>0.86822107407415894</c:v>
                </c:pt>
                <c:pt idx="168">
                  <c:v>0.87673903498753092</c:v>
                </c:pt>
                <c:pt idx="169">
                  <c:v>0.88333784821242256</c:v>
                </c:pt>
                <c:pt idx="170">
                  <c:v>0.8929970103710152</c:v>
                </c:pt>
                <c:pt idx="171">
                  <c:v>0.89783787982482188</c:v>
                </c:pt>
                <c:pt idx="172">
                  <c:v>0.90422324041880642</c:v>
                </c:pt>
                <c:pt idx="173">
                  <c:v>0.91283913083037416</c:v>
                </c:pt>
                <c:pt idx="174">
                  <c:v>0.91437716008633485</c:v>
                </c:pt>
                <c:pt idx="175">
                  <c:v>0.91889039724367627</c:v>
                </c:pt>
                <c:pt idx="176">
                  <c:v>0.91469778729767115</c:v>
                </c:pt>
                <c:pt idx="177">
                  <c:v>0.90565089065261539</c:v>
                </c:pt>
                <c:pt idx="178">
                  <c:v>0.89445806376245562</c:v>
                </c:pt>
                <c:pt idx="179">
                  <c:v>0.88082873943424167</c:v>
                </c:pt>
                <c:pt idx="180">
                  <c:v>0.85040448923272882</c:v>
                </c:pt>
                <c:pt idx="181">
                  <c:v>0.82155922533264125</c:v>
                </c:pt>
                <c:pt idx="182">
                  <c:v>0.78492059108618117</c:v>
                </c:pt>
                <c:pt idx="183">
                  <c:v>0.71938279098815805</c:v>
                </c:pt>
                <c:pt idx="184">
                  <c:v>0.66228784782044081</c:v>
                </c:pt>
                <c:pt idx="185">
                  <c:v>0.65978934646828014</c:v>
                </c:pt>
                <c:pt idx="186">
                  <c:v>0.62183811466215533</c:v>
                </c:pt>
                <c:pt idx="187">
                  <c:v>0.56300277543609756</c:v>
                </c:pt>
                <c:pt idx="188">
                  <c:v>0.50366753038601764</c:v>
                </c:pt>
                <c:pt idx="189">
                  <c:v>0.5095901781326404</c:v>
                </c:pt>
                <c:pt idx="190">
                  <c:v>0.45672371717923044</c:v>
                </c:pt>
                <c:pt idx="191">
                  <c:v>0.42860731185266032</c:v>
                </c:pt>
                <c:pt idx="192">
                  <c:v>0.41780003300161794</c:v>
                </c:pt>
                <c:pt idx="193">
                  <c:v>0.43022170470720544</c:v>
                </c:pt>
                <c:pt idx="194">
                  <c:v>0.37664755612259448</c:v>
                </c:pt>
                <c:pt idx="195">
                  <c:v>0.30215801355178951</c:v>
                </c:pt>
                <c:pt idx="196">
                  <c:v>0.2571046119991971</c:v>
                </c:pt>
                <c:pt idx="197">
                  <c:v>0.26277865033371262</c:v>
                </c:pt>
                <c:pt idx="198">
                  <c:v>0.25475809980394093</c:v>
                </c:pt>
                <c:pt idx="199">
                  <c:v>0.21577693437888301</c:v>
                </c:pt>
                <c:pt idx="200">
                  <c:v>0.18894384215496873</c:v>
                </c:pt>
                <c:pt idx="201">
                  <c:v>0.18560204140480419</c:v>
                </c:pt>
                <c:pt idx="202">
                  <c:v>0.18868373008445283</c:v>
                </c:pt>
                <c:pt idx="203">
                  <c:v>0.22250594493872755</c:v>
                </c:pt>
                <c:pt idx="204">
                  <c:v>0.25742268875973084</c:v>
                </c:pt>
                <c:pt idx="205">
                  <c:v>0.23734414092621525</c:v>
                </c:pt>
                <c:pt idx="206">
                  <c:v>0.22145489489396719</c:v>
                </c:pt>
                <c:pt idx="207">
                  <c:v>0.21837194303606344</c:v>
                </c:pt>
                <c:pt idx="208">
                  <c:v>0.20988906418725539</c:v>
                </c:pt>
                <c:pt idx="209">
                  <c:v>0.21978498309218308</c:v>
                </c:pt>
                <c:pt idx="210">
                  <c:v>0.26105268552431593</c:v>
                </c:pt>
                <c:pt idx="211">
                  <c:v>0.26005083773357995</c:v>
                </c:pt>
                <c:pt idx="212">
                  <c:v>0.25297625276589475</c:v>
                </c:pt>
                <c:pt idx="213">
                  <c:v>0.26786318402551379</c:v>
                </c:pt>
                <c:pt idx="214">
                  <c:v>0.29751216364723254</c:v>
                </c:pt>
                <c:pt idx="215">
                  <c:v>0.33662898010982001</c:v>
                </c:pt>
                <c:pt idx="216">
                  <c:v>0.35938037010278334</c:v>
                </c:pt>
                <c:pt idx="217">
                  <c:v>0.32722371078753143</c:v>
                </c:pt>
                <c:pt idx="218">
                  <c:v>0.29782708616600095</c:v>
                </c:pt>
                <c:pt idx="219">
                  <c:v>0.30111666711162544</c:v>
                </c:pt>
                <c:pt idx="220">
                  <c:v>0.31769784708641313</c:v>
                </c:pt>
                <c:pt idx="221">
                  <c:v>0.36036567505038486</c:v>
                </c:pt>
                <c:pt idx="222">
                  <c:v>0.38411597575910605</c:v>
                </c:pt>
                <c:pt idx="223">
                  <c:v>0.39173723108150926</c:v>
                </c:pt>
                <c:pt idx="224">
                  <c:v>0.41214995394136633</c:v>
                </c:pt>
                <c:pt idx="225">
                  <c:v>0.41441896567235481</c:v>
                </c:pt>
                <c:pt idx="226">
                  <c:v>0.41206155077646334</c:v>
                </c:pt>
                <c:pt idx="227">
                  <c:v>0.39647944509436739</c:v>
                </c:pt>
                <c:pt idx="228">
                  <c:v>0.40897233714454806</c:v>
                </c:pt>
                <c:pt idx="229">
                  <c:v>0.41259424309194881</c:v>
                </c:pt>
                <c:pt idx="230">
                  <c:v>0.40947968220921449</c:v>
                </c:pt>
                <c:pt idx="231">
                  <c:v>0.4385017616762138</c:v>
                </c:pt>
                <c:pt idx="232">
                  <c:v>0.48964823572428773</c:v>
                </c:pt>
                <c:pt idx="233">
                  <c:v>0.49355649071171559</c:v>
                </c:pt>
                <c:pt idx="234">
                  <c:v>0.46176271353052667</c:v>
                </c:pt>
                <c:pt idx="235">
                  <c:v>0.45358872915111081</c:v>
                </c:pt>
                <c:pt idx="236">
                  <c:v>0.45814866671765453</c:v>
                </c:pt>
                <c:pt idx="237">
                  <c:v>0.45403081080563734</c:v>
                </c:pt>
                <c:pt idx="238">
                  <c:v>0.46063575494471243</c:v>
                </c:pt>
                <c:pt idx="239">
                  <c:v>0.46141977917502897</c:v>
                </c:pt>
                <c:pt idx="240">
                  <c:v>0.47342748300459581</c:v>
                </c:pt>
                <c:pt idx="241">
                  <c:v>0.47970524538869008</c:v>
                </c:pt>
                <c:pt idx="242">
                  <c:v>0.48330038215052207</c:v>
                </c:pt>
                <c:pt idx="243">
                  <c:v>0.48484328070071736</c:v>
                </c:pt>
                <c:pt idx="244">
                  <c:v>0.53090226490029646</c:v>
                </c:pt>
                <c:pt idx="245">
                  <c:v>0.55903919541683755</c:v>
                </c:pt>
                <c:pt idx="246">
                  <c:v>0.56580747983418911</c:v>
                </c:pt>
                <c:pt idx="247">
                  <c:v>0.56961677304603997</c:v>
                </c:pt>
                <c:pt idx="248">
                  <c:v>0.55498366428738155</c:v>
                </c:pt>
                <c:pt idx="249">
                  <c:v>0.55023417722699408</c:v>
                </c:pt>
                <c:pt idx="250">
                  <c:v>0.55545530803791288</c:v>
                </c:pt>
                <c:pt idx="251">
                  <c:v>0.5561795632420633</c:v>
                </c:pt>
                <c:pt idx="252">
                  <c:v>0.54022687656866908</c:v>
                </c:pt>
                <c:pt idx="253">
                  <c:v>0.54775467148930113</c:v>
                </c:pt>
                <c:pt idx="254">
                  <c:v>0.55119156458054985</c:v>
                </c:pt>
                <c:pt idx="255">
                  <c:v>0.55004224838013682</c:v>
                </c:pt>
                <c:pt idx="256">
                  <c:v>0.56961819375818967</c:v>
                </c:pt>
                <c:pt idx="257">
                  <c:v>0.58871767953309773</c:v>
                </c:pt>
                <c:pt idx="258">
                  <c:v>0.58391801465511284</c:v>
                </c:pt>
                <c:pt idx="259">
                  <c:v>0.59058158044340325</c:v>
                </c:pt>
                <c:pt idx="260">
                  <c:v>0.58258239024138803</c:v>
                </c:pt>
                <c:pt idx="261">
                  <c:v>0.57712407615924244</c:v>
                </c:pt>
                <c:pt idx="262">
                  <c:v>0.58945435534161295</c:v>
                </c:pt>
                <c:pt idx="263">
                  <c:v>0.59242349560875929</c:v>
                </c:pt>
                <c:pt idx="264">
                  <c:v>0.62049406195377466</c:v>
                </c:pt>
                <c:pt idx="265">
                  <c:v>0.48096303613053515</c:v>
                </c:pt>
                <c:pt idx="266">
                  <c:v>0.44908713979878101</c:v>
                </c:pt>
                <c:pt idx="267">
                  <c:v>0.44045188460167251</c:v>
                </c:pt>
                <c:pt idx="268">
                  <c:v>0.46565271537097597</c:v>
                </c:pt>
                <c:pt idx="269">
                  <c:v>0.47020039364265653</c:v>
                </c:pt>
                <c:pt idx="270">
                  <c:v>0.47063300282236276</c:v>
                </c:pt>
                <c:pt idx="271">
                  <c:v>0.47087926643628009</c:v>
                </c:pt>
                <c:pt idx="272">
                  <c:v>0.4704565841589653</c:v>
                </c:pt>
                <c:pt idx="273">
                  <c:v>0.47993221387649254</c:v>
                </c:pt>
                <c:pt idx="274">
                  <c:v>0.48103195474474258</c:v>
                </c:pt>
                <c:pt idx="275">
                  <c:v>0.47959347619855008</c:v>
                </c:pt>
                <c:pt idx="276">
                  <c:v>0.44612085046456962</c:v>
                </c:pt>
                <c:pt idx="277">
                  <c:v>0.36192468794484511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047680"/>
        <c:axId val="85401984"/>
      </c:barChart>
      <c:catAx>
        <c:axId val="5704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401984"/>
        <c:crosses val="autoZero"/>
        <c:auto val="1"/>
        <c:lblAlgn val="ctr"/>
        <c:lblOffset val="100"/>
        <c:noMultiLvlLbl val="0"/>
      </c:catAx>
      <c:valAx>
        <c:axId val="854019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7047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FHA/VA</c:v>
                </c:pt>
              </c:strCache>
            </c:strRef>
          </c:tx>
          <c:invertIfNegative val="0"/>
          <c:cat>
            <c:numRef>
              <c:f>Sheet2!$A$2:$A$279</c:f>
              <c:numCache>
                <c:formatCode>General</c:formatCode>
                <c:ptCount val="278"/>
                <c:pt idx="0">
                  <c:v>199302</c:v>
                </c:pt>
                <c:pt idx="1">
                  <c:v>199303</c:v>
                </c:pt>
                <c:pt idx="2">
                  <c:v>199304</c:v>
                </c:pt>
                <c:pt idx="3">
                  <c:v>199305</c:v>
                </c:pt>
                <c:pt idx="4">
                  <c:v>199306</c:v>
                </c:pt>
                <c:pt idx="5">
                  <c:v>199307</c:v>
                </c:pt>
                <c:pt idx="6">
                  <c:v>199308</c:v>
                </c:pt>
                <c:pt idx="7">
                  <c:v>199309</c:v>
                </c:pt>
                <c:pt idx="8">
                  <c:v>199310</c:v>
                </c:pt>
                <c:pt idx="9">
                  <c:v>199311</c:v>
                </c:pt>
                <c:pt idx="10">
                  <c:v>199312</c:v>
                </c:pt>
                <c:pt idx="11">
                  <c:v>199401</c:v>
                </c:pt>
                <c:pt idx="12">
                  <c:v>199402</c:v>
                </c:pt>
                <c:pt idx="13">
                  <c:v>199403</c:v>
                </c:pt>
                <c:pt idx="14">
                  <c:v>199404</c:v>
                </c:pt>
                <c:pt idx="15">
                  <c:v>199405</c:v>
                </c:pt>
                <c:pt idx="16">
                  <c:v>199406</c:v>
                </c:pt>
                <c:pt idx="17">
                  <c:v>199407</c:v>
                </c:pt>
                <c:pt idx="18">
                  <c:v>199408</c:v>
                </c:pt>
                <c:pt idx="19">
                  <c:v>199409</c:v>
                </c:pt>
                <c:pt idx="20">
                  <c:v>199410</c:v>
                </c:pt>
                <c:pt idx="21">
                  <c:v>199411</c:v>
                </c:pt>
                <c:pt idx="22">
                  <c:v>199412</c:v>
                </c:pt>
                <c:pt idx="23">
                  <c:v>199501</c:v>
                </c:pt>
                <c:pt idx="24">
                  <c:v>199502</c:v>
                </c:pt>
                <c:pt idx="25">
                  <c:v>199503</c:v>
                </c:pt>
                <c:pt idx="26">
                  <c:v>199504</c:v>
                </c:pt>
                <c:pt idx="27">
                  <c:v>199505</c:v>
                </c:pt>
                <c:pt idx="28">
                  <c:v>199506</c:v>
                </c:pt>
                <c:pt idx="29">
                  <c:v>199507</c:v>
                </c:pt>
                <c:pt idx="30">
                  <c:v>199508</c:v>
                </c:pt>
                <c:pt idx="31">
                  <c:v>199509</c:v>
                </c:pt>
                <c:pt idx="32">
                  <c:v>199510</c:v>
                </c:pt>
                <c:pt idx="33">
                  <c:v>199511</c:v>
                </c:pt>
                <c:pt idx="34">
                  <c:v>199512</c:v>
                </c:pt>
                <c:pt idx="35">
                  <c:v>199601</c:v>
                </c:pt>
                <c:pt idx="36">
                  <c:v>199602</c:v>
                </c:pt>
                <c:pt idx="37">
                  <c:v>199603</c:v>
                </c:pt>
                <c:pt idx="38">
                  <c:v>199604</c:v>
                </c:pt>
                <c:pt idx="39">
                  <c:v>199605</c:v>
                </c:pt>
                <c:pt idx="40">
                  <c:v>199606</c:v>
                </c:pt>
                <c:pt idx="41">
                  <c:v>199607</c:v>
                </c:pt>
                <c:pt idx="42">
                  <c:v>199608</c:v>
                </c:pt>
                <c:pt idx="43">
                  <c:v>199609</c:v>
                </c:pt>
                <c:pt idx="44">
                  <c:v>199610</c:v>
                </c:pt>
                <c:pt idx="45">
                  <c:v>199611</c:v>
                </c:pt>
                <c:pt idx="46">
                  <c:v>199612</c:v>
                </c:pt>
                <c:pt idx="47">
                  <c:v>199701</c:v>
                </c:pt>
                <c:pt idx="48">
                  <c:v>199702</c:v>
                </c:pt>
                <c:pt idx="49">
                  <c:v>199703</c:v>
                </c:pt>
                <c:pt idx="50">
                  <c:v>199704</c:v>
                </c:pt>
                <c:pt idx="51">
                  <c:v>199705</c:v>
                </c:pt>
                <c:pt idx="52">
                  <c:v>199706</c:v>
                </c:pt>
                <c:pt idx="53">
                  <c:v>199707</c:v>
                </c:pt>
                <c:pt idx="54">
                  <c:v>199708</c:v>
                </c:pt>
                <c:pt idx="55">
                  <c:v>199709</c:v>
                </c:pt>
                <c:pt idx="56">
                  <c:v>199710</c:v>
                </c:pt>
                <c:pt idx="57">
                  <c:v>199711</c:v>
                </c:pt>
                <c:pt idx="58">
                  <c:v>199712</c:v>
                </c:pt>
                <c:pt idx="59">
                  <c:v>199801</c:v>
                </c:pt>
                <c:pt idx="60">
                  <c:v>199802</c:v>
                </c:pt>
                <c:pt idx="61">
                  <c:v>199803</c:v>
                </c:pt>
                <c:pt idx="62">
                  <c:v>199804</c:v>
                </c:pt>
                <c:pt idx="63">
                  <c:v>199805</c:v>
                </c:pt>
                <c:pt idx="64">
                  <c:v>199806</c:v>
                </c:pt>
                <c:pt idx="65">
                  <c:v>199807</c:v>
                </c:pt>
                <c:pt idx="66">
                  <c:v>199808</c:v>
                </c:pt>
                <c:pt idx="67">
                  <c:v>199809</c:v>
                </c:pt>
                <c:pt idx="68">
                  <c:v>199810</c:v>
                </c:pt>
                <c:pt idx="69">
                  <c:v>199811</c:v>
                </c:pt>
                <c:pt idx="70">
                  <c:v>199812</c:v>
                </c:pt>
                <c:pt idx="71">
                  <c:v>199901</c:v>
                </c:pt>
                <c:pt idx="72">
                  <c:v>199902</c:v>
                </c:pt>
                <c:pt idx="73">
                  <c:v>199903</c:v>
                </c:pt>
                <c:pt idx="74">
                  <c:v>199904</c:v>
                </c:pt>
                <c:pt idx="75">
                  <c:v>199905</c:v>
                </c:pt>
                <c:pt idx="76">
                  <c:v>199906</c:v>
                </c:pt>
                <c:pt idx="77">
                  <c:v>199907</c:v>
                </c:pt>
                <c:pt idx="78">
                  <c:v>199908</c:v>
                </c:pt>
                <c:pt idx="79">
                  <c:v>199909</c:v>
                </c:pt>
                <c:pt idx="80">
                  <c:v>199910</c:v>
                </c:pt>
                <c:pt idx="81">
                  <c:v>199911</c:v>
                </c:pt>
                <c:pt idx="82">
                  <c:v>199912</c:v>
                </c:pt>
                <c:pt idx="83">
                  <c:v>200001</c:v>
                </c:pt>
                <c:pt idx="84">
                  <c:v>200002</c:v>
                </c:pt>
                <c:pt idx="85">
                  <c:v>200003</c:v>
                </c:pt>
                <c:pt idx="86">
                  <c:v>200004</c:v>
                </c:pt>
                <c:pt idx="87">
                  <c:v>200005</c:v>
                </c:pt>
                <c:pt idx="88">
                  <c:v>200006</c:v>
                </c:pt>
                <c:pt idx="89">
                  <c:v>200007</c:v>
                </c:pt>
                <c:pt idx="90">
                  <c:v>200008</c:v>
                </c:pt>
                <c:pt idx="91">
                  <c:v>200009</c:v>
                </c:pt>
                <c:pt idx="92">
                  <c:v>200010</c:v>
                </c:pt>
                <c:pt idx="93">
                  <c:v>200011</c:v>
                </c:pt>
                <c:pt idx="94">
                  <c:v>200012</c:v>
                </c:pt>
                <c:pt idx="95">
                  <c:v>200101</c:v>
                </c:pt>
                <c:pt idx="96">
                  <c:v>200102</c:v>
                </c:pt>
                <c:pt idx="97">
                  <c:v>200103</c:v>
                </c:pt>
                <c:pt idx="98">
                  <c:v>200104</c:v>
                </c:pt>
                <c:pt idx="99">
                  <c:v>200105</c:v>
                </c:pt>
                <c:pt idx="100">
                  <c:v>200106</c:v>
                </c:pt>
                <c:pt idx="101">
                  <c:v>200107</c:v>
                </c:pt>
                <c:pt idx="102">
                  <c:v>200108</c:v>
                </c:pt>
                <c:pt idx="103">
                  <c:v>200109</c:v>
                </c:pt>
                <c:pt idx="104">
                  <c:v>200110</c:v>
                </c:pt>
                <c:pt idx="105">
                  <c:v>200111</c:v>
                </c:pt>
                <c:pt idx="106">
                  <c:v>200112</c:v>
                </c:pt>
                <c:pt idx="107">
                  <c:v>200201</c:v>
                </c:pt>
                <c:pt idx="108">
                  <c:v>200202</c:v>
                </c:pt>
                <c:pt idx="109">
                  <c:v>200203</c:v>
                </c:pt>
                <c:pt idx="110">
                  <c:v>200204</c:v>
                </c:pt>
                <c:pt idx="111">
                  <c:v>200205</c:v>
                </c:pt>
                <c:pt idx="112">
                  <c:v>200206</c:v>
                </c:pt>
                <c:pt idx="113">
                  <c:v>200207</c:v>
                </c:pt>
                <c:pt idx="114">
                  <c:v>200208</c:v>
                </c:pt>
                <c:pt idx="115">
                  <c:v>200209</c:v>
                </c:pt>
                <c:pt idx="116">
                  <c:v>200210</c:v>
                </c:pt>
                <c:pt idx="117">
                  <c:v>200211</c:v>
                </c:pt>
                <c:pt idx="118">
                  <c:v>200212</c:v>
                </c:pt>
                <c:pt idx="119">
                  <c:v>200301</c:v>
                </c:pt>
                <c:pt idx="120">
                  <c:v>200302</c:v>
                </c:pt>
                <c:pt idx="121">
                  <c:v>200303</c:v>
                </c:pt>
                <c:pt idx="122">
                  <c:v>200304</c:v>
                </c:pt>
                <c:pt idx="123">
                  <c:v>200305</c:v>
                </c:pt>
                <c:pt idx="124">
                  <c:v>200306</c:v>
                </c:pt>
                <c:pt idx="125">
                  <c:v>200307</c:v>
                </c:pt>
                <c:pt idx="126">
                  <c:v>200308</c:v>
                </c:pt>
                <c:pt idx="127">
                  <c:v>200309</c:v>
                </c:pt>
                <c:pt idx="128">
                  <c:v>200310</c:v>
                </c:pt>
                <c:pt idx="129">
                  <c:v>200311</c:v>
                </c:pt>
                <c:pt idx="130">
                  <c:v>200312</c:v>
                </c:pt>
                <c:pt idx="131">
                  <c:v>200401</c:v>
                </c:pt>
                <c:pt idx="132">
                  <c:v>200402</c:v>
                </c:pt>
                <c:pt idx="133">
                  <c:v>200403</c:v>
                </c:pt>
                <c:pt idx="134">
                  <c:v>200404</c:v>
                </c:pt>
                <c:pt idx="135">
                  <c:v>200405</c:v>
                </c:pt>
                <c:pt idx="136">
                  <c:v>200406</c:v>
                </c:pt>
                <c:pt idx="137">
                  <c:v>200407</c:v>
                </c:pt>
                <c:pt idx="138">
                  <c:v>200408</c:v>
                </c:pt>
                <c:pt idx="139">
                  <c:v>200409</c:v>
                </c:pt>
                <c:pt idx="140">
                  <c:v>200410</c:v>
                </c:pt>
                <c:pt idx="141">
                  <c:v>200411</c:v>
                </c:pt>
                <c:pt idx="142">
                  <c:v>200412</c:v>
                </c:pt>
                <c:pt idx="143">
                  <c:v>200501</c:v>
                </c:pt>
                <c:pt idx="144">
                  <c:v>200502</c:v>
                </c:pt>
                <c:pt idx="145">
                  <c:v>200503</c:v>
                </c:pt>
                <c:pt idx="146">
                  <c:v>200504</c:v>
                </c:pt>
                <c:pt idx="147">
                  <c:v>200505</c:v>
                </c:pt>
                <c:pt idx="148">
                  <c:v>200506</c:v>
                </c:pt>
                <c:pt idx="149">
                  <c:v>200507</c:v>
                </c:pt>
                <c:pt idx="150">
                  <c:v>200508</c:v>
                </c:pt>
                <c:pt idx="151">
                  <c:v>200509</c:v>
                </c:pt>
                <c:pt idx="152">
                  <c:v>200510</c:v>
                </c:pt>
                <c:pt idx="153">
                  <c:v>200511</c:v>
                </c:pt>
                <c:pt idx="154">
                  <c:v>200512</c:v>
                </c:pt>
                <c:pt idx="155">
                  <c:v>200601</c:v>
                </c:pt>
                <c:pt idx="156">
                  <c:v>200602</c:v>
                </c:pt>
                <c:pt idx="157">
                  <c:v>200603</c:v>
                </c:pt>
                <c:pt idx="158">
                  <c:v>200604</c:v>
                </c:pt>
                <c:pt idx="159">
                  <c:v>200605</c:v>
                </c:pt>
                <c:pt idx="160">
                  <c:v>200606</c:v>
                </c:pt>
                <c:pt idx="161">
                  <c:v>200607</c:v>
                </c:pt>
                <c:pt idx="162">
                  <c:v>200608</c:v>
                </c:pt>
                <c:pt idx="163">
                  <c:v>200609</c:v>
                </c:pt>
                <c:pt idx="164">
                  <c:v>200610</c:v>
                </c:pt>
                <c:pt idx="165">
                  <c:v>200611</c:v>
                </c:pt>
                <c:pt idx="166">
                  <c:v>200612</c:v>
                </c:pt>
                <c:pt idx="167">
                  <c:v>200701</c:v>
                </c:pt>
                <c:pt idx="168">
                  <c:v>200702</c:v>
                </c:pt>
                <c:pt idx="169">
                  <c:v>200703</c:v>
                </c:pt>
                <c:pt idx="170">
                  <c:v>200704</c:v>
                </c:pt>
                <c:pt idx="171">
                  <c:v>200705</c:v>
                </c:pt>
                <c:pt idx="172">
                  <c:v>200706</c:v>
                </c:pt>
                <c:pt idx="173">
                  <c:v>200707</c:v>
                </c:pt>
                <c:pt idx="174">
                  <c:v>200708</c:v>
                </c:pt>
                <c:pt idx="175">
                  <c:v>200709</c:v>
                </c:pt>
                <c:pt idx="176">
                  <c:v>200710</c:v>
                </c:pt>
                <c:pt idx="177">
                  <c:v>200711</c:v>
                </c:pt>
                <c:pt idx="178">
                  <c:v>200712</c:v>
                </c:pt>
                <c:pt idx="179">
                  <c:v>200801</c:v>
                </c:pt>
                <c:pt idx="180">
                  <c:v>200802</c:v>
                </c:pt>
                <c:pt idx="181">
                  <c:v>200803</c:v>
                </c:pt>
                <c:pt idx="182">
                  <c:v>200804</c:v>
                </c:pt>
                <c:pt idx="183">
                  <c:v>200805</c:v>
                </c:pt>
                <c:pt idx="184">
                  <c:v>200806</c:v>
                </c:pt>
                <c:pt idx="185">
                  <c:v>200807</c:v>
                </c:pt>
                <c:pt idx="186">
                  <c:v>200808</c:v>
                </c:pt>
                <c:pt idx="187">
                  <c:v>200809</c:v>
                </c:pt>
                <c:pt idx="188">
                  <c:v>200810</c:v>
                </c:pt>
                <c:pt idx="189">
                  <c:v>200811</c:v>
                </c:pt>
                <c:pt idx="190">
                  <c:v>200812</c:v>
                </c:pt>
                <c:pt idx="191">
                  <c:v>200901</c:v>
                </c:pt>
                <c:pt idx="192">
                  <c:v>200902</c:v>
                </c:pt>
                <c:pt idx="193">
                  <c:v>200903</c:v>
                </c:pt>
                <c:pt idx="194">
                  <c:v>200904</c:v>
                </c:pt>
                <c:pt idx="195">
                  <c:v>200905</c:v>
                </c:pt>
                <c:pt idx="196">
                  <c:v>200906</c:v>
                </c:pt>
                <c:pt idx="197">
                  <c:v>200907</c:v>
                </c:pt>
                <c:pt idx="198">
                  <c:v>200908</c:v>
                </c:pt>
                <c:pt idx="199">
                  <c:v>200909</c:v>
                </c:pt>
                <c:pt idx="200">
                  <c:v>200910</c:v>
                </c:pt>
                <c:pt idx="201">
                  <c:v>200911</c:v>
                </c:pt>
                <c:pt idx="202">
                  <c:v>200912</c:v>
                </c:pt>
                <c:pt idx="203">
                  <c:v>201001</c:v>
                </c:pt>
                <c:pt idx="204">
                  <c:v>201002</c:v>
                </c:pt>
                <c:pt idx="205">
                  <c:v>201003</c:v>
                </c:pt>
                <c:pt idx="206">
                  <c:v>201004</c:v>
                </c:pt>
                <c:pt idx="207">
                  <c:v>201005</c:v>
                </c:pt>
                <c:pt idx="208">
                  <c:v>201006</c:v>
                </c:pt>
                <c:pt idx="209">
                  <c:v>201007</c:v>
                </c:pt>
                <c:pt idx="210">
                  <c:v>201008</c:v>
                </c:pt>
                <c:pt idx="211">
                  <c:v>201009</c:v>
                </c:pt>
                <c:pt idx="212">
                  <c:v>201010</c:v>
                </c:pt>
                <c:pt idx="213">
                  <c:v>201011</c:v>
                </c:pt>
                <c:pt idx="214">
                  <c:v>201012</c:v>
                </c:pt>
                <c:pt idx="215">
                  <c:v>201101</c:v>
                </c:pt>
                <c:pt idx="216">
                  <c:v>201102</c:v>
                </c:pt>
                <c:pt idx="217">
                  <c:v>201103</c:v>
                </c:pt>
                <c:pt idx="218">
                  <c:v>201104</c:v>
                </c:pt>
                <c:pt idx="219">
                  <c:v>201105</c:v>
                </c:pt>
                <c:pt idx="220">
                  <c:v>201106</c:v>
                </c:pt>
                <c:pt idx="221">
                  <c:v>201107</c:v>
                </c:pt>
                <c:pt idx="222">
                  <c:v>201108</c:v>
                </c:pt>
                <c:pt idx="223">
                  <c:v>201109</c:v>
                </c:pt>
                <c:pt idx="224">
                  <c:v>201110</c:v>
                </c:pt>
                <c:pt idx="225">
                  <c:v>201111</c:v>
                </c:pt>
                <c:pt idx="226">
                  <c:v>201112</c:v>
                </c:pt>
                <c:pt idx="227">
                  <c:v>201201</c:v>
                </c:pt>
                <c:pt idx="228">
                  <c:v>201202</c:v>
                </c:pt>
                <c:pt idx="229">
                  <c:v>201203</c:v>
                </c:pt>
                <c:pt idx="230">
                  <c:v>201204</c:v>
                </c:pt>
                <c:pt idx="231">
                  <c:v>201205</c:v>
                </c:pt>
                <c:pt idx="232">
                  <c:v>201206</c:v>
                </c:pt>
                <c:pt idx="233">
                  <c:v>201207</c:v>
                </c:pt>
                <c:pt idx="234">
                  <c:v>201208</c:v>
                </c:pt>
                <c:pt idx="235">
                  <c:v>201209</c:v>
                </c:pt>
                <c:pt idx="236">
                  <c:v>201210</c:v>
                </c:pt>
                <c:pt idx="237">
                  <c:v>201211</c:v>
                </c:pt>
                <c:pt idx="238">
                  <c:v>201212</c:v>
                </c:pt>
                <c:pt idx="239">
                  <c:v>201301</c:v>
                </c:pt>
                <c:pt idx="240">
                  <c:v>201302</c:v>
                </c:pt>
                <c:pt idx="241">
                  <c:v>201303</c:v>
                </c:pt>
                <c:pt idx="242">
                  <c:v>201304</c:v>
                </c:pt>
                <c:pt idx="243">
                  <c:v>201305</c:v>
                </c:pt>
                <c:pt idx="244">
                  <c:v>201306</c:v>
                </c:pt>
                <c:pt idx="245">
                  <c:v>201307</c:v>
                </c:pt>
                <c:pt idx="246">
                  <c:v>201308</c:v>
                </c:pt>
                <c:pt idx="247">
                  <c:v>201309</c:v>
                </c:pt>
                <c:pt idx="248">
                  <c:v>201310</c:v>
                </c:pt>
                <c:pt idx="249">
                  <c:v>201311</c:v>
                </c:pt>
                <c:pt idx="250">
                  <c:v>201312</c:v>
                </c:pt>
                <c:pt idx="251">
                  <c:v>201401</c:v>
                </c:pt>
                <c:pt idx="252">
                  <c:v>201402</c:v>
                </c:pt>
                <c:pt idx="253">
                  <c:v>201403</c:v>
                </c:pt>
                <c:pt idx="254">
                  <c:v>201404</c:v>
                </c:pt>
                <c:pt idx="255">
                  <c:v>201405</c:v>
                </c:pt>
                <c:pt idx="256">
                  <c:v>201406</c:v>
                </c:pt>
                <c:pt idx="257">
                  <c:v>201407</c:v>
                </c:pt>
                <c:pt idx="258">
                  <c:v>201408</c:v>
                </c:pt>
                <c:pt idx="259">
                  <c:v>201409</c:v>
                </c:pt>
                <c:pt idx="260">
                  <c:v>201410</c:v>
                </c:pt>
                <c:pt idx="261">
                  <c:v>201411</c:v>
                </c:pt>
                <c:pt idx="262">
                  <c:v>201412</c:v>
                </c:pt>
                <c:pt idx="263">
                  <c:v>201501</c:v>
                </c:pt>
                <c:pt idx="264">
                  <c:v>201502</c:v>
                </c:pt>
                <c:pt idx="265">
                  <c:v>201503</c:v>
                </c:pt>
                <c:pt idx="266">
                  <c:v>201504</c:v>
                </c:pt>
                <c:pt idx="267">
                  <c:v>201505</c:v>
                </c:pt>
                <c:pt idx="268">
                  <c:v>201506</c:v>
                </c:pt>
                <c:pt idx="269">
                  <c:v>201507</c:v>
                </c:pt>
                <c:pt idx="270">
                  <c:v>201508</c:v>
                </c:pt>
                <c:pt idx="271">
                  <c:v>201509</c:v>
                </c:pt>
                <c:pt idx="272">
                  <c:v>201510</c:v>
                </c:pt>
                <c:pt idx="273">
                  <c:v>201511</c:v>
                </c:pt>
                <c:pt idx="274">
                  <c:v>201512</c:v>
                </c:pt>
                <c:pt idx="275">
                  <c:v>201601</c:v>
                </c:pt>
                <c:pt idx="276">
                  <c:v>201602</c:v>
                </c:pt>
                <c:pt idx="277">
                  <c:v>201603</c:v>
                </c:pt>
              </c:numCache>
            </c:numRef>
          </c:cat>
          <c:val>
            <c:numRef>
              <c:f>Sheet2!$B$2:$B$279</c:f>
              <c:numCache>
                <c:formatCode>General</c:formatCode>
                <c:ptCount val="278"/>
                <c:pt idx="0">
                  <c:v>32256000</c:v>
                </c:pt>
                <c:pt idx="1">
                  <c:v>37019000</c:v>
                </c:pt>
                <c:pt idx="2">
                  <c:v>65312000</c:v>
                </c:pt>
                <c:pt idx="3">
                  <c:v>89247000</c:v>
                </c:pt>
                <c:pt idx="4">
                  <c:v>105806000</c:v>
                </c:pt>
                <c:pt idx="5">
                  <c:v>107982000</c:v>
                </c:pt>
                <c:pt idx="6">
                  <c:v>116532000</c:v>
                </c:pt>
                <c:pt idx="7">
                  <c:v>140915000</c:v>
                </c:pt>
                <c:pt idx="8">
                  <c:v>165910000</c:v>
                </c:pt>
                <c:pt idx="9">
                  <c:v>204764000</c:v>
                </c:pt>
                <c:pt idx="10">
                  <c:v>213735000</c:v>
                </c:pt>
                <c:pt idx="11">
                  <c:v>183947000</c:v>
                </c:pt>
                <c:pt idx="12">
                  <c:v>126338000</c:v>
                </c:pt>
                <c:pt idx="13">
                  <c:v>120235000</c:v>
                </c:pt>
                <c:pt idx="14">
                  <c:v>121417000</c:v>
                </c:pt>
                <c:pt idx="15">
                  <c:v>68788000</c:v>
                </c:pt>
                <c:pt idx="16">
                  <c:v>47649000</c:v>
                </c:pt>
                <c:pt idx="17">
                  <c:v>34257000</c:v>
                </c:pt>
                <c:pt idx="18">
                  <c:v>27336000</c:v>
                </c:pt>
                <c:pt idx="19">
                  <c:v>28410000</c:v>
                </c:pt>
                <c:pt idx="20">
                  <c:v>23790000</c:v>
                </c:pt>
                <c:pt idx="21">
                  <c:v>17326000</c:v>
                </c:pt>
                <c:pt idx="22">
                  <c:v>14646000</c:v>
                </c:pt>
                <c:pt idx="23">
                  <c:v>15587000</c:v>
                </c:pt>
                <c:pt idx="24">
                  <c:v>9986000</c:v>
                </c:pt>
                <c:pt idx="25">
                  <c:v>11769000</c:v>
                </c:pt>
                <c:pt idx="26">
                  <c:v>16607000</c:v>
                </c:pt>
                <c:pt idx="27">
                  <c:v>23445000</c:v>
                </c:pt>
                <c:pt idx="28">
                  <c:v>33016000</c:v>
                </c:pt>
                <c:pt idx="29">
                  <c:v>46107000</c:v>
                </c:pt>
                <c:pt idx="30">
                  <c:v>54289000</c:v>
                </c:pt>
                <c:pt idx="31">
                  <c:v>59541000</c:v>
                </c:pt>
                <c:pt idx="32">
                  <c:v>49942000</c:v>
                </c:pt>
                <c:pt idx="33">
                  <c:v>59671000</c:v>
                </c:pt>
                <c:pt idx="34">
                  <c:v>64574000</c:v>
                </c:pt>
                <c:pt idx="35">
                  <c:v>66509000</c:v>
                </c:pt>
                <c:pt idx="36">
                  <c:v>62979400</c:v>
                </c:pt>
                <c:pt idx="37">
                  <c:v>78465000</c:v>
                </c:pt>
                <c:pt idx="38">
                  <c:v>80632000</c:v>
                </c:pt>
                <c:pt idx="39">
                  <c:v>62031000</c:v>
                </c:pt>
                <c:pt idx="40">
                  <c:v>57593000</c:v>
                </c:pt>
                <c:pt idx="41">
                  <c:v>46946000</c:v>
                </c:pt>
                <c:pt idx="42">
                  <c:v>44762000</c:v>
                </c:pt>
                <c:pt idx="43">
                  <c:v>43351000</c:v>
                </c:pt>
                <c:pt idx="44">
                  <c:v>40632000</c:v>
                </c:pt>
                <c:pt idx="45">
                  <c:v>41054000</c:v>
                </c:pt>
                <c:pt idx="46">
                  <c:v>44789000</c:v>
                </c:pt>
                <c:pt idx="47">
                  <c:v>49687000</c:v>
                </c:pt>
                <c:pt idx="48">
                  <c:v>42668000</c:v>
                </c:pt>
                <c:pt idx="49">
                  <c:v>37726000</c:v>
                </c:pt>
                <c:pt idx="50">
                  <c:v>50825000</c:v>
                </c:pt>
                <c:pt idx="51">
                  <c:v>48449000</c:v>
                </c:pt>
                <c:pt idx="52">
                  <c:v>47554000</c:v>
                </c:pt>
                <c:pt idx="53">
                  <c:v>52024000</c:v>
                </c:pt>
                <c:pt idx="54">
                  <c:v>68796000</c:v>
                </c:pt>
                <c:pt idx="55">
                  <c:v>75141000</c:v>
                </c:pt>
                <c:pt idx="56">
                  <c:v>80775000</c:v>
                </c:pt>
                <c:pt idx="57">
                  <c:v>94297000</c:v>
                </c:pt>
                <c:pt idx="58">
                  <c:v>94550000</c:v>
                </c:pt>
                <c:pt idx="59">
                  <c:v>95513000</c:v>
                </c:pt>
                <c:pt idx="60">
                  <c:v>90682000</c:v>
                </c:pt>
                <c:pt idx="61">
                  <c:v>121061000</c:v>
                </c:pt>
                <c:pt idx="62">
                  <c:v>155294000</c:v>
                </c:pt>
                <c:pt idx="63">
                  <c:v>171862000</c:v>
                </c:pt>
                <c:pt idx="64">
                  <c:v>178712000</c:v>
                </c:pt>
                <c:pt idx="65">
                  <c:v>198316000</c:v>
                </c:pt>
                <c:pt idx="66">
                  <c:v>201596000</c:v>
                </c:pt>
                <c:pt idx="67">
                  <c:v>206709000</c:v>
                </c:pt>
                <c:pt idx="68">
                  <c:v>220426000</c:v>
                </c:pt>
                <c:pt idx="69">
                  <c:v>302109000</c:v>
                </c:pt>
                <c:pt idx="70">
                  <c:v>294115000</c:v>
                </c:pt>
                <c:pt idx="71">
                  <c:v>295582000</c:v>
                </c:pt>
                <c:pt idx="72">
                  <c:v>229857000</c:v>
                </c:pt>
                <c:pt idx="73">
                  <c:v>234040000</c:v>
                </c:pt>
                <c:pt idx="74">
                  <c:v>254285000</c:v>
                </c:pt>
                <c:pt idx="75">
                  <c:v>237116000</c:v>
                </c:pt>
                <c:pt idx="76">
                  <c:v>222065000</c:v>
                </c:pt>
                <c:pt idx="77">
                  <c:v>179327000</c:v>
                </c:pt>
                <c:pt idx="78">
                  <c:v>140614000</c:v>
                </c:pt>
                <c:pt idx="79">
                  <c:v>119450000</c:v>
                </c:pt>
                <c:pt idx="80">
                  <c:v>95597000</c:v>
                </c:pt>
                <c:pt idx="81">
                  <c:v>88626000</c:v>
                </c:pt>
                <c:pt idx="82">
                  <c:v>76306000</c:v>
                </c:pt>
                <c:pt idx="83">
                  <c:v>75592000</c:v>
                </c:pt>
                <c:pt idx="84">
                  <c:v>45976000</c:v>
                </c:pt>
                <c:pt idx="85">
                  <c:v>44743000</c:v>
                </c:pt>
                <c:pt idx="86">
                  <c:v>51583000</c:v>
                </c:pt>
                <c:pt idx="87">
                  <c:v>55036000</c:v>
                </c:pt>
                <c:pt idx="88">
                  <c:v>60645000</c:v>
                </c:pt>
                <c:pt idx="89">
                  <c:v>55439000</c:v>
                </c:pt>
                <c:pt idx="90">
                  <c:v>56723000</c:v>
                </c:pt>
                <c:pt idx="91">
                  <c:v>73581000</c:v>
                </c:pt>
                <c:pt idx="92">
                  <c:v>71781000</c:v>
                </c:pt>
                <c:pt idx="93">
                  <c:v>78411000</c:v>
                </c:pt>
                <c:pt idx="94">
                  <c:v>80452000</c:v>
                </c:pt>
                <c:pt idx="95">
                  <c:v>80228000</c:v>
                </c:pt>
                <c:pt idx="96">
                  <c:v>121851000</c:v>
                </c:pt>
                <c:pt idx="97">
                  <c:v>180716000</c:v>
                </c:pt>
                <c:pt idx="98">
                  <c:v>242580000</c:v>
                </c:pt>
                <c:pt idx="99">
                  <c:v>263555000</c:v>
                </c:pt>
                <c:pt idx="100">
                  <c:v>268191000</c:v>
                </c:pt>
                <c:pt idx="101">
                  <c:v>262651000</c:v>
                </c:pt>
                <c:pt idx="102">
                  <c:v>269154000</c:v>
                </c:pt>
                <c:pt idx="103">
                  <c:v>291623000</c:v>
                </c:pt>
                <c:pt idx="104">
                  <c:v>303213000</c:v>
                </c:pt>
                <c:pt idx="105">
                  <c:v>430281184</c:v>
                </c:pt>
                <c:pt idx="106">
                  <c:v>498753000</c:v>
                </c:pt>
                <c:pt idx="107">
                  <c:v>372205000</c:v>
                </c:pt>
                <c:pt idx="108">
                  <c:v>259303000</c:v>
                </c:pt>
                <c:pt idx="109">
                  <c:v>252944000</c:v>
                </c:pt>
                <c:pt idx="110">
                  <c:v>296716000</c:v>
                </c:pt>
                <c:pt idx="111">
                  <c:v>274381000</c:v>
                </c:pt>
                <c:pt idx="112">
                  <c:v>307939000</c:v>
                </c:pt>
                <c:pt idx="113">
                  <c:v>331120000</c:v>
                </c:pt>
                <c:pt idx="114">
                  <c:v>410193000</c:v>
                </c:pt>
                <c:pt idx="115">
                  <c:v>527188542</c:v>
                </c:pt>
                <c:pt idx="116">
                  <c:v>634210000</c:v>
                </c:pt>
                <c:pt idx="117">
                  <c:v>852381165</c:v>
                </c:pt>
                <c:pt idx="118">
                  <c:v>855764000</c:v>
                </c:pt>
                <c:pt idx="119">
                  <c:v>906541000</c:v>
                </c:pt>
                <c:pt idx="120">
                  <c:v>858399000</c:v>
                </c:pt>
                <c:pt idx="121">
                  <c:v>915755000</c:v>
                </c:pt>
                <c:pt idx="122">
                  <c:v>1293402000</c:v>
                </c:pt>
                <c:pt idx="123">
                  <c:v>1437148000</c:v>
                </c:pt>
                <c:pt idx="124">
                  <c:v>1627974000</c:v>
                </c:pt>
                <c:pt idx="125">
                  <c:v>2322028000</c:v>
                </c:pt>
                <c:pt idx="126">
                  <c:v>2502718000</c:v>
                </c:pt>
                <c:pt idx="127">
                  <c:v>1773372000</c:v>
                </c:pt>
                <c:pt idx="128">
                  <c:v>1178610000</c:v>
                </c:pt>
                <c:pt idx="129">
                  <c:v>1153958000</c:v>
                </c:pt>
                <c:pt idx="130">
                  <c:v>940513000</c:v>
                </c:pt>
                <c:pt idx="131">
                  <c:v>974995000</c:v>
                </c:pt>
                <c:pt idx="132">
                  <c:v>805835000</c:v>
                </c:pt>
                <c:pt idx="133">
                  <c:v>964177000</c:v>
                </c:pt>
                <c:pt idx="134">
                  <c:v>1371099000</c:v>
                </c:pt>
                <c:pt idx="135">
                  <c:v>1371675000</c:v>
                </c:pt>
                <c:pt idx="136">
                  <c:v>996741000</c:v>
                </c:pt>
                <c:pt idx="137">
                  <c:v>778280000</c:v>
                </c:pt>
                <c:pt idx="138">
                  <c:v>692121000</c:v>
                </c:pt>
                <c:pt idx="139">
                  <c:v>761786000</c:v>
                </c:pt>
                <c:pt idx="140">
                  <c:v>767023000</c:v>
                </c:pt>
                <c:pt idx="141">
                  <c:v>829690000</c:v>
                </c:pt>
                <c:pt idx="142">
                  <c:v>842176000</c:v>
                </c:pt>
                <c:pt idx="143">
                  <c:v>790132388</c:v>
                </c:pt>
                <c:pt idx="144">
                  <c:v>626689000</c:v>
                </c:pt>
                <c:pt idx="145">
                  <c:v>791209000</c:v>
                </c:pt>
                <c:pt idx="146">
                  <c:v>964580000</c:v>
                </c:pt>
                <c:pt idx="147">
                  <c:v>836877000</c:v>
                </c:pt>
                <c:pt idx="148">
                  <c:v>934650000</c:v>
                </c:pt>
                <c:pt idx="149">
                  <c:v>1081011000</c:v>
                </c:pt>
                <c:pt idx="150">
                  <c:v>1077632000</c:v>
                </c:pt>
                <c:pt idx="151">
                  <c:v>1046958000</c:v>
                </c:pt>
                <c:pt idx="152">
                  <c:v>888994000</c:v>
                </c:pt>
                <c:pt idx="153">
                  <c:v>823828000</c:v>
                </c:pt>
                <c:pt idx="154">
                  <c:v>704523000</c:v>
                </c:pt>
                <c:pt idx="155">
                  <c:v>655490000</c:v>
                </c:pt>
                <c:pt idx="156">
                  <c:v>618598000</c:v>
                </c:pt>
                <c:pt idx="157">
                  <c:v>796439000</c:v>
                </c:pt>
                <c:pt idx="158">
                  <c:v>950982055</c:v>
                </c:pt>
                <c:pt idx="159">
                  <c:v>851031000</c:v>
                </c:pt>
                <c:pt idx="160">
                  <c:v>841477000</c:v>
                </c:pt>
                <c:pt idx="161">
                  <c:v>749191000</c:v>
                </c:pt>
                <c:pt idx="162">
                  <c:v>630819000</c:v>
                </c:pt>
                <c:pt idx="163">
                  <c:v>653474000</c:v>
                </c:pt>
                <c:pt idx="164">
                  <c:v>667379000</c:v>
                </c:pt>
                <c:pt idx="165">
                  <c:v>713582000</c:v>
                </c:pt>
                <c:pt idx="166">
                  <c:v>689781000</c:v>
                </c:pt>
                <c:pt idx="167">
                  <c:v>747661000</c:v>
                </c:pt>
                <c:pt idx="168">
                  <c:v>637152000</c:v>
                </c:pt>
                <c:pt idx="169">
                  <c:v>663069000</c:v>
                </c:pt>
                <c:pt idx="170">
                  <c:v>883146000</c:v>
                </c:pt>
                <c:pt idx="171">
                  <c:v>961648000</c:v>
                </c:pt>
                <c:pt idx="172">
                  <c:v>1054871000</c:v>
                </c:pt>
                <c:pt idx="173">
                  <c:v>987599000</c:v>
                </c:pt>
                <c:pt idx="174">
                  <c:v>885067000</c:v>
                </c:pt>
                <c:pt idx="175">
                  <c:v>915275000</c:v>
                </c:pt>
                <c:pt idx="176">
                  <c:v>941857000</c:v>
                </c:pt>
                <c:pt idx="177">
                  <c:v>1171373000</c:v>
                </c:pt>
                <c:pt idx="178">
                  <c:v>1238765000</c:v>
                </c:pt>
                <c:pt idx="179">
                  <c:v>1503753000</c:v>
                </c:pt>
                <c:pt idx="180">
                  <c:v>1688771000</c:v>
                </c:pt>
                <c:pt idx="181">
                  <c:v>2586600299</c:v>
                </c:pt>
                <c:pt idx="182">
                  <c:v>2937983000</c:v>
                </c:pt>
                <c:pt idx="183">
                  <c:v>3636383000</c:v>
                </c:pt>
                <c:pt idx="184">
                  <c:v>3902355000</c:v>
                </c:pt>
                <c:pt idx="185">
                  <c:v>3602249000</c:v>
                </c:pt>
                <c:pt idx="186">
                  <c:v>3180729707</c:v>
                </c:pt>
                <c:pt idx="187">
                  <c:v>2906779000</c:v>
                </c:pt>
                <c:pt idx="188">
                  <c:v>3639319000</c:v>
                </c:pt>
                <c:pt idx="189">
                  <c:v>3770749300</c:v>
                </c:pt>
                <c:pt idx="190">
                  <c:v>2992550000</c:v>
                </c:pt>
                <c:pt idx="191">
                  <c:v>5294082000</c:v>
                </c:pt>
                <c:pt idx="192">
                  <c:v>7115783311</c:v>
                </c:pt>
                <c:pt idx="193">
                  <c:v>7793052003</c:v>
                </c:pt>
                <c:pt idx="194">
                  <c:v>9704021645</c:v>
                </c:pt>
                <c:pt idx="195">
                  <c:v>12593514000</c:v>
                </c:pt>
                <c:pt idx="196">
                  <c:v>17114835000</c:v>
                </c:pt>
                <c:pt idx="197">
                  <c:v>16300971108</c:v>
                </c:pt>
                <c:pt idx="198">
                  <c:v>13765789000</c:v>
                </c:pt>
                <c:pt idx="199">
                  <c:v>12717446000</c:v>
                </c:pt>
                <c:pt idx="200">
                  <c:v>13486251000</c:v>
                </c:pt>
                <c:pt idx="201">
                  <c:v>16081394000</c:v>
                </c:pt>
                <c:pt idx="202">
                  <c:v>16644857384</c:v>
                </c:pt>
                <c:pt idx="203">
                  <c:v>13266855000</c:v>
                </c:pt>
                <c:pt idx="204">
                  <c:v>8793130000</c:v>
                </c:pt>
                <c:pt idx="205">
                  <c:v>8661501000</c:v>
                </c:pt>
                <c:pt idx="206">
                  <c:v>12493490000</c:v>
                </c:pt>
                <c:pt idx="207">
                  <c:v>13645857108</c:v>
                </c:pt>
                <c:pt idx="208">
                  <c:v>14382005442</c:v>
                </c:pt>
                <c:pt idx="209">
                  <c:v>17091212000</c:v>
                </c:pt>
                <c:pt idx="210">
                  <c:v>12511641205</c:v>
                </c:pt>
                <c:pt idx="211">
                  <c:v>16122616000</c:v>
                </c:pt>
                <c:pt idx="212">
                  <c:v>17566326067</c:v>
                </c:pt>
                <c:pt idx="213">
                  <c:v>17284727407</c:v>
                </c:pt>
                <c:pt idx="214">
                  <c:v>15216488000</c:v>
                </c:pt>
                <c:pt idx="215">
                  <c:v>12743226000</c:v>
                </c:pt>
                <c:pt idx="216">
                  <c:v>8149776000</c:v>
                </c:pt>
                <c:pt idx="217">
                  <c:v>7276767000</c:v>
                </c:pt>
                <c:pt idx="218">
                  <c:v>8906186114</c:v>
                </c:pt>
                <c:pt idx="219">
                  <c:v>9037416000</c:v>
                </c:pt>
                <c:pt idx="220">
                  <c:v>9400774000</c:v>
                </c:pt>
                <c:pt idx="221">
                  <c:v>10073797250</c:v>
                </c:pt>
                <c:pt idx="222">
                  <c:v>9246027000</c:v>
                </c:pt>
                <c:pt idx="223">
                  <c:v>10194419544</c:v>
                </c:pt>
                <c:pt idx="224">
                  <c:v>10570173000</c:v>
                </c:pt>
                <c:pt idx="225">
                  <c:v>11283620000</c:v>
                </c:pt>
                <c:pt idx="226">
                  <c:v>11317918385</c:v>
                </c:pt>
                <c:pt idx="227">
                  <c:v>12183087193</c:v>
                </c:pt>
                <c:pt idx="228">
                  <c:v>10526543960</c:v>
                </c:pt>
                <c:pt idx="229">
                  <c:v>12475365349</c:v>
                </c:pt>
                <c:pt idx="230">
                  <c:v>15624476096</c:v>
                </c:pt>
                <c:pt idx="231">
                  <c:v>15513540990</c:v>
                </c:pt>
                <c:pt idx="232">
                  <c:v>15182407897</c:v>
                </c:pt>
                <c:pt idx="233">
                  <c:v>16865630761</c:v>
                </c:pt>
                <c:pt idx="234">
                  <c:v>19345775365</c:v>
                </c:pt>
                <c:pt idx="235">
                  <c:v>21227081040</c:v>
                </c:pt>
                <c:pt idx="236">
                  <c:v>18590246000</c:v>
                </c:pt>
                <c:pt idx="237">
                  <c:v>21204397273</c:v>
                </c:pt>
                <c:pt idx="238">
                  <c:v>19442438000</c:v>
                </c:pt>
                <c:pt idx="239">
                  <c:v>19760995000</c:v>
                </c:pt>
                <c:pt idx="240">
                  <c:v>17735788424</c:v>
                </c:pt>
                <c:pt idx="241">
                  <c:v>16289737401</c:v>
                </c:pt>
                <c:pt idx="242">
                  <c:v>18576468000</c:v>
                </c:pt>
                <c:pt idx="243">
                  <c:v>19620934425</c:v>
                </c:pt>
                <c:pt idx="244">
                  <c:v>18423791911</c:v>
                </c:pt>
                <c:pt idx="245">
                  <c:v>16207776667</c:v>
                </c:pt>
                <c:pt idx="246">
                  <c:v>14861450881</c:v>
                </c:pt>
                <c:pt idx="247">
                  <c:v>13117341405</c:v>
                </c:pt>
                <c:pt idx="248">
                  <c:v>11129094325</c:v>
                </c:pt>
                <c:pt idx="249">
                  <c:v>10824547968</c:v>
                </c:pt>
                <c:pt idx="250">
                  <c:v>9496352965</c:v>
                </c:pt>
                <c:pt idx="251">
                  <c:v>9581800000</c:v>
                </c:pt>
                <c:pt idx="252">
                  <c:v>7101352000</c:v>
                </c:pt>
                <c:pt idx="253">
                  <c:v>7094613000</c:v>
                </c:pt>
                <c:pt idx="254">
                  <c:v>9103458000</c:v>
                </c:pt>
                <c:pt idx="255">
                  <c:v>10114643000</c:v>
                </c:pt>
                <c:pt idx="256">
                  <c:v>10888832000</c:v>
                </c:pt>
                <c:pt idx="257">
                  <c:v>11669095000</c:v>
                </c:pt>
                <c:pt idx="258">
                  <c:v>11842085000</c:v>
                </c:pt>
                <c:pt idx="259">
                  <c:v>11109073000</c:v>
                </c:pt>
                <c:pt idx="260">
                  <c:v>10766548000</c:v>
                </c:pt>
                <c:pt idx="261">
                  <c:v>10896898000</c:v>
                </c:pt>
                <c:pt idx="262">
                  <c:v>9374643000</c:v>
                </c:pt>
                <c:pt idx="263">
                  <c:v>10565322000</c:v>
                </c:pt>
                <c:pt idx="264">
                  <c:v>7136922000</c:v>
                </c:pt>
                <c:pt idx="265">
                  <c:v>15445412000</c:v>
                </c:pt>
                <c:pt idx="266">
                  <c:v>22448560000</c:v>
                </c:pt>
                <c:pt idx="267">
                  <c:v>22378759000</c:v>
                </c:pt>
                <c:pt idx="268">
                  <c:v>21761325000</c:v>
                </c:pt>
                <c:pt idx="269">
                  <c:v>23428488000</c:v>
                </c:pt>
                <c:pt idx="270">
                  <c:v>21557771000</c:v>
                </c:pt>
                <c:pt idx="271">
                  <c:v>19939311000</c:v>
                </c:pt>
                <c:pt idx="272">
                  <c:v>19137883000</c:v>
                </c:pt>
                <c:pt idx="273">
                  <c:v>17367856000</c:v>
                </c:pt>
                <c:pt idx="274">
                  <c:v>14284272000</c:v>
                </c:pt>
                <c:pt idx="275">
                  <c:v>16427519000</c:v>
                </c:pt>
                <c:pt idx="276">
                  <c:v>11863111000</c:v>
                </c:pt>
                <c:pt idx="277">
                  <c:v>8500069000</c:v>
                </c:pt>
              </c:numCache>
            </c:numRef>
          </c:val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FHL/FNM</c:v>
                </c:pt>
              </c:strCache>
            </c:strRef>
          </c:tx>
          <c:invertIfNegative val="0"/>
          <c:cat>
            <c:numRef>
              <c:f>Sheet2!$A$2:$A$279</c:f>
              <c:numCache>
                <c:formatCode>General</c:formatCode>
                <c:ptCount val="278"/>
                <c:pt idx="0">
                  <c:v>199302</c:v>
                </c:pt>
                <c:pt idx="1">
                  <c:v>199303</c:v>
                </c:pt>
                <c:pt idx="2">
                  <c:v>199304</c:v>
                </c:pt>
                <c:pt idx="3">
                  <c:v>199305</c:v>
                </c:pt>
                <c:pt idx="4">
                  <c:v>199306</c:v>
                </c:pt>
                <c:pt idx="5">
                  <c:v>199307</c:v>
                </c:pt>
                <c:pt idx="6">
                  <c:v>199308</c:v>
                </c:pt>
                <c:pt idx="7">
                  <c:v>199309</c:v>
                </c:pt>
                <c:pt idx="8">
                  <c:v>199310</c:v>
                </c:pt>
                <c:pt idx="9">
                  <c:v>199311</c:v>
                </c:pt>
                <c:pt idx="10">
                  <c:v>199312</c:v>
                </c:pt>
                <c:pt idx="11">
                  <c:v>199401</c:v>
                </c:pt>
                <c:pt idx="12">
                  <c:v>199402</c:v>
                </c:pt>
                <c:pt idx="13">
                  <c:v>199403</c:v>
                </c:pt>
                <c:pt idx="14">
                  <c:v>199404</c:v>
                </c:pt>
                <c:pt idx="15">
                  <c:v>199405</c:v>
                </c:pt>
                <c:pt idx="16">
                  <c:v>199406</c:v>
                </c:pt>
                <c:pt idx="17">
                  <c:v>199407</c:v>
                </c:pt>
                <c:pt idx="18">
                  <c:v>199408</c:v>
                </c:pt>
                <c:pt idx="19">
                  <c:v>199409</c:v>
                </c:pt>
                <c:pt idx="20">
                  <c:v>199410</c:v>
                </c:pt>
                <c:pt idx="21">
                  <c:v>199411</c:v>
                </c:pt>
                <c:pt idx="22">
                  <c:v>199412</c:v>
                </c:pt>
                <c:pt idx="23">
                  <c:v>199501</c:v>
                </c:pt>
                <c:pt idx="24">
                  <c:v>199502</c:v>
                </c:pt>
                <c:pt idx="25">
                  <c:v>199503</c:v>
                </c:pt>
                <c:pt idx="26">
                  <c:v>199504</c:v>
                </c:pt>
                <c:pt idx="27">
                  <c:v>199505</c:v>
                </c:pt>
                <c:pt idx="28">
                  <c:v>199506</c:v>
                </c:pt>
                <c:pt idx="29">
                  <c:v>199507</c:v>
                </c:pt>
                <c:pt idx="30">
                  <c:v>199508</c:v>
                </c:pt>
                <c:pt idx="31">
                  <c:v>199509</c:v>
                </c:pt>
                <c:pt idx="32">
                  <c:v>199510</c:v>
                </c:pt>
                <c:pt idx="33">
                  <c:v>199511</c:v>
                </c:pt>
                <c:pt idx="34">
                  <c:v>199512</c:v>
                </c:pt>
                <c:pt idx="35">
                  <c:v>199601</c:v>
                </c:pt>
                <c:pt idx="36">
                  <c:v>199602</c:v>
                </c:pt>
                <c:pt idx="37">
                  <c:v>199603</c:v>
                </c:pt>
                <c:pt idx="38">
                  <c:v>199604</c:v>
                </c:pt>
                <c:pt idx="39">
                  <c:v>199605</c:v>
                </c:pt>
                <c:pt idx="40">
                  <c:v>199606</c:v>
                </c:pt>
                <c:pt idx="41">
                  <c:v>199607</c:v>
                </c:pt>
                <c:pt idx="42">
                  <c:v>199608</c:v>
                </c:pt>
                <c:pt idx="43">
                  <c:v>199609</c:v>
                </c:pt>
                <c:pt idx="44">
                  <c:v>199610</c:v>
                </c:pt>
                <c:pt idx="45">
                  <c:v>199611</c:v>
                </c:pt>
                <c:pt idx="46">
                  <c:v>199612</c:v>
                </c:pt>
                <c:pt idx="47">
                  <c:v>199701</c:v>
                </c:pt>
                <c:pt idx="48">
                  <c:v>199702</c:v>
                </c:pt>
                <c:pt idx="49">
                  <c:v>199703</c:v>
                </c:pt>
                <c:pt idx="50">
                  <c:v>199704</c:v>
                </c:pt>
                <c:pt idx="51">
                  <c:v>199705</c:v>
                </c:pt>
                <c:pt idx="52">
                  <c:v>199706</c:v>
                </c:pt>
                <c:pt idx="53">
                  <c:v>199707</c:v>
                </c:pt>
                <c:pt idx="54">
                  <c:v>199708</c:v>
                </c:pt>
                <c:pt idx="55">
                  <c:v>199709</c:v>
                </c:pt>
                <c:pt idx="56">
                  <c:v>199710</c:v>
                </c:pt>
                <c:pt idx="57">
                  <c:v>199711</c:v>
                </c:pt>
                <c:pt idx="58">
                  <c:v>199712</c:v>
                </c:pt>
                <c:pt idx="59">
                  <c:v>199801</c:v>
                </c:pt>
                <c:pt idx="60">
                  <c:v>199802</c:v>
                </c:pt>
                <c:pt idx="61">
                  <c:v>199803</c:v>
                </c:pt>
                <c:pt idx="62">
                  <c:v>199804</c:v>
                </c:pt>
                <c:pt idx="63">
                  <c:v>199805</c:v>
                </c:pt>
                <c:pt idx="64">
                  <c:v>199806</c:v>
                </c:pt>
                <c:pt idx="65">
                  <c:v>199807</c:v>
                </c:pt>
                <c:pt idx="66">
                  <c:v>199808</c:v>
                </c:pt>
                <c:pt idx="67">
                  <c:v>199809</c:v>
                </c:pt>
                <c:pt idx="68">
                  <c:v>199810</c:v>
                </c:pt>
                <c:pt idx="69">
                  <c:v>199811</c:v>
                </c:pt>
                <c:pt idx="70">
                  <c:v>199812</c:v>
                </c:pt>
                <c:pt idx="71">
                  <c:v>199901</c:v>
                </c:pt>
                <c:pt idx="72">
                  <c:v>199902</c:v>
                </c:pt>
                <c:pt idx="73">
                  <c:v>199903</c:v>
                </c:pt>
                <c:pt idx="74">
                  <c:v>199904</c:v>
                </c:pt>
                <c:pt idx="75">
                  <c:v>199905</c:v>
                </c:pt>
                <c:pt idx="76">
                  <c:v>199906</c:v>
                </c:pt>
                <c:pt idx="77">
                  <c:v>199907</c:v>
                </c:pt>
                <c:pt idx="78">
                  <c:v>199908</c:v>
                </c:pt>
                <c:pt idx="79">
                  <c:v>199909</c:v>
                </c:pt>
                <c:pt idx="80">
                  <c:v>199910</c:v>
                </c:pt>
                <c:pt idx="81">
                  <c:v>199911</c:v>
                </c:pt>
                <c:pt idx="82">
                  <c:v>199912</c:v>
                </c:pt>
                <c:pt idx="83">
                  <c:v>200001</c:v>
                </c:pt>
                <c:pt idx="84">
                  <c:v>200002</c:v>
                </c:pt>
                <c:pt idx="85">
                  <c:v>200003</c:v>
                </c:pt>
                <c:pt idx="86">
                  <c:v>200004</c:v>
                </c:pt>
                <c:pt idx="87">
                  <c:v>200005</c:v>
                </c:pt>
                <c:pt idx="88">
                  <c:v>200006</c:v>
                </c:pt>
                <c:pt idx="89">
                  <c:v>200007</c:v>
                </c:pt>
                <c:pt idx="90">
                  <c:v>200008</c:v>
                </c:pt>
                <c:pt idx="91">
                  <c:v>200009</c:v>
                </c:pt>
                <c:pt idx="92">
                  <c:v>200010</c:v>
                </c:pt>
                <c:pt idx="93">
                  <c:v>200011</c:v>
                </c:pt>
                <c:pt idx="94">
                  <c:v>200012</c:v>
                </c:pt>
                <c:pt idx="95">
                  <c:v>200101</c:v>
                </c:pt>
                <c:pt idx="96">
                  <c:v>200102</c:v>
                </c:pt>
                <c:pt idx="97">
                  <c:v>200103</c:v>
                </c:pt>
                <c:pt idx="98">
                  <c:v>200104</c:v>
                </c:pt>
                <c:pt idx="99">
                  <c:v>200105</c:v>
                </c:pt>
                <c:pt idx="100">
                  <c:v>200106</c:v>
                </c:pt>
                <c:pt idx="101">
                  <c:v>200107</c:v>
                </c:pt>
                <c:pt idx="102">
                  <c:v>200108</c:v>
                </c:pt>
                <c:pt idx="103">
                  <c:v>200109</c:v>
                </c:pt>
                <c:pt idx="104">
                  <c:v>200110</c:v>
                </c:pt>
                <c:pt idx="105">
                  <c:v>200111</c:v>
                </c:pt>
                <c:pt idx="106">
                  <c:v>200112</c:v>
                </c:pt>
                <c:pt idx="107">
                  <c:v>200201</c:v>
                </c:pt>
                <c:pt idx="108">
                  <c:v>200202</c:v>
                </c:pt>
                <c:pt idx="109">
                  <c:v>200203</c:v>
                </c:pt>
                <c:pt idx="110">
                  <c:v>200204</c:v>
                </c:pt>
                <c:pt idx="111">
                  <c:v>200205</c:v>
                </c:pt>
                <c:pt idx="112">
                  <c:v>200206</c:v>
                </c:pt>
                <c:pt idx="113">
                  <c:v>200207</c:v>
                </c:pt>
                <c:pt idx="114">
                  <c:v>200208</c:v>
                </c:pt>
                <c:pt idx="115">
                  <c:v>200209</c:v>
                </c:pt>
                <c:pt idx="116">
                  <c:v>200210</c:v>
                </c:pt>
                <c:pt idx="117">
                  <c:v>200211</c:v>
                </c:pt>
                <c:pt idx="118">
                  <c:v>200212</c:v>
                </c:pt>
                <c:pt idx="119">
                  <c:v>200301</c:v>
                </c:pt>
                <c:pt idx="120">
                  <c:v>200302</c:v>
                </c:pt>
                <c:pt idx="121">
                  <c:v>200303</c:v>
                </c:pt>
                <c:pt idx="122">
                  <c:v>200304</c:v>
                </c:pt>
                <c:pt idx="123">
                  <c:v>200305</c:v>
                </c:pt>
                <c:pt idx="124">
                  <c:v>200306</c:v>
                </c:pt>
                <c:pt idx="125">
                  <c:v>200307</c:v>
                </c:pt>
                <c:pt idx="126">
                  <c:v>200308</c:v>
                </c:pt>
                <c:pt idx="127">
                  <c:v>200309</c:v>
                </c:pt>
                <c:pt idx="128">
                  <c:v>200310</c:v>
                </c:pt>
                <c:pt idx="129">
                  <c:v>200311</c:v>
                </c:pt>
                <c:pt idx="130">
                  <c:v>200312</c:v>
                </c:pt>
                <c:pt idx="131">
                  <c:v>200401</c:v>
                </c:pt>
                <c:pt idx="132">
                  <c:v>200402</c:v>
                </c:pt>
                <c:pt idx="133">
                  <c:v>200403</c:v>
                </c:pt>
                <c:pt idx="134">
                  <c:v>200404</c:v>
                </c:pt>
                <c:pt idx="135">
                  <c:v>200405</c:v>
                </c:pt>
                <c:pt idx="136">
                  <c:v>200406</c:v>
                </c:pt>
                <c:pt idx="137">
                  <c:v>200407</c:v>
                </c:pt>
                <c:pt idx="138">
                  <c:v>200408</c:v>
                </c:pt>
                <c:pt idx="139">
                  <c:v>200409</c:v>
                </c:pt>
                <c:pt idx="140">
                  <c:v>200410</c:v>
                </c:pt>
                <c:pt idx="141">
                  <c:v>200411</c:v>
                </c:pt>
                <c:pt idx="142">
                  <c:v>200412</c:v>
                </c:pt>
                <c:pt idx="143">
                  <c:v>200501</c:v>
                </c:pt>
                <c:pt idx="144">
                  <c:v>200502</c:v>
                </c:pt>
                <c:pt idx="145">
                  <c:v>200503</c:v>
                </c:pt>
                <c:pt idx="146">
                  <c:v>200504</c:v>
                </c:pt>
                <c:pt idx="147">
                  <c:v>200505</c:v>
                </c:pt>
                <c:pt idx="148">
                  <c:v>200506</c:v>
                </c:pt>
                <c:pt idx="149">
                  <c:v>200507</c:v>
                </c:pt>
                <c:pt idx="150">
                  <c:v>200508</c:v>
                </c:pt>
                <c:pt idx="151">
                  <c:v>200509</c:v>
                </c:pt>
                <c:pt idx="152">
                  <c:v>200510</c:v>
                </c:pt>
                <c:pt idx="153">
                  <c:v>200511</c:v>
                </c:pt>
                <c:pt idx="154">
                  <c:v>200512</c:v>
                </c:pt>
                <c:pt idx="155">
                  <c:v>200601</c:v>
                </c:pt>
                <c:pt idx="156">
                  <c:v>200602</c:v>
                </c:pt>
                <c:pt idx="157">
                  <c:v>200603</c:v>
                </c:pt>
                <c:pt idx="158">
                  <c:v>200604</c:v>
                </c:pt>
                <c:pt idx="159">
                  <c:v>200605</c:v>
                </c:pt>
                <c:pt idx="160">
                  <c:v>200606</c:v>
                </c:pt>
                <c:pt idx="161">
                  <c:v>200607</c:v>
                </c:pt>
                <c:pt idx="162">
                  <c:v>200608</c:v>
                </c:pt>
                <c:pt idx="163">
                  <c:v>200609</c:v>
                </c:pt>
                <c:pt idx="164">
                  <c:v>200610</c:v>
                </c:pt>
                <c:pt idx="165">
                  <c:v>200611</c:v>
                </c:pt>
                <c:pt idx="166">
                  <c:v>200612</c:v>
                </c:pt>
                <c:pt idx="167">
                  <c:v>200701</c:v>
                </c:pt>
                <c:pt idx="168">
                  <c:v>200702</c:v>
                </c:pt>
                <c:pt idx="169">
                  <c:v>200703</c:v>
                </c:pt>
                <c:pt idx="170">
                  <c:v>200704</c:v>
                </c:pt>
                <c:pt idx="171">
                  <c:v>200705</c:v>
                </c:pt>
                <c:pt idx="172">
                  <c:v>200706</c:v>
                </c:pt>
                <c:pt idx="173">
                  <c:v>200707</c:v>
                </c:pt>
                <c:pt idx="174">
                  <c:v>200708</c:v>
                </c:pt>
                <c:pt idx="175">
                  <c:v>200709</c:v>
                </c:pt>
                <c:pt idx="176">
                  <c:v>200710</c:v>
                </c:pt>
                <c:pt idx="177">
                  <c:v>200711</c:v>
                </c:pt>
                <c:pt idx="178">
                  <c:v>200712</c:v>
                </c:pt>
                <c:pt idx="179">
                  <c:v>200801</c:v>
                </c:pt>
                <c:pt idx="180">
                  <c:v>200802</c:v>
                </c:pt>
                <c:pt idx="181">
                  <c:v>200803</c:v>
                </c:pt>
                <c:pt idx="182">
                  <c:v>200804</c:v>
                </c:pt>
                <c:pt idx="183">
                  <c:v>200805</c:v>
                </c:pt>
                <c:pt idx="184">
                  <c:v>200806</c:v>
                </c:pt>
                <c:pt idx="185">
                  <c:v>200807</c:v>
                </c:pt>
                <c:pt idx="186">
                  <c:v>200808</c:v>
                </c:pt>
                <c:pt idx="187">
                  <c:v>200809</c:v>
                </c:pt>
                <c:pt idx="188">
                  <c:v>200810</c:v>
                </c:pt>
                <c:pt idx="189">
                  <c:v>200811</c:v>
                </c:pt>
                <c:pt idx="190">
                  <c:v>200812</c:v>
                </c:pt>
                <c:pt idx="191">
                  <c:v>200901</c:v>
                </c:pt>
                <c:pt idx="192">
                  <c:v>200902</c:v>
                </c:pt>
                <c:pt idx="193">
                  <c:v>200903</c:v>
                </c:pt>
                <c:pt idx="194">
                  <c:v>200904</c:v>
                </c:pt>
                <c:pt idx="195">
                  <c:v>200905</c:v>
                </c:pt>
                <c:pt idx="196">
                  <c:v>200906</c:v>
                </c:pt>
                <c:pt idx="197">
                  <c:v>200907</c:v>
                </c:pt>
                <c:pt idx="198">
                  <c:v>200908</c:v>
                </c:pt>
                <c:pt idx="199">
                  <c:v>200909</c:v>
                </c:pt>
                <c:pt idx="200">
                  <c:v>200910</c:v>
                </c:pt>
                <c:pt idx="201">
                  <c:v>200911</c:v>
                </c:pt>
                <c:pt idx="202">
                  <c:v>200912</c:v>
                </c:pt>
                <c:pt idx="203">
                  <c:v>201001</c:v>
                </c:pt>
                <c:pt idx="204">
                  <c:v>201002</c:v>
                </c:pt>
                <c:pt idx="205">
                  <c:v>201003</c:v>
                </c:pt>
                <c:pt idx="206">
                  <c:v>201004</c:v>
                </c:pt>
                <c:pt idx="207">
                  <c:v>201005</c:v>
                </c:pt>
                <c:pt idx="208">
                  <c:v>201006</c:v>
                </c:pt>
                <c:pt idx="209">
                  <c:v>201007</c:v>
                </c:pt>
                <c:pt idx="210">
                  <c:v>201008</c:v>
                </c:pt>
                <c:pt idx="211">
                  <c:v>201009</c:v>
                </c:pt>
                <c:pt idx="212">
                  <c:v>201010</c:v>
                </c:pt>
                <c:pt idx="213">
                  <c:v>201011</c:v>
                </c:pt>
                <c:pt idx="214">
                  <c:v>201012</c:v>
                </c:pt>
                <c:pt idx="215">
                  <c:v>201101</c:v>
                </c:pt>
                <c:pt idx="216">
                  <c:v>201102</c:v>
                </c:pt>
                <c:pt idx="217">
                  <c:v>201103</c:v>
                </c:pt>
                <c:pt idx="218">
                  <c:v>201104</c:v>
                </c:pt>
                <c:pt idx="219">
                  <c:v>201105</c:v>
                </c:pt>
                <c:pt idx="220">
                  <c:v>201106</c:v>
                </c:pt>
                <c:pt idx="221">
                  <c:v>201107</c:v>
                </c:pt>
                <c:pt idx="222">
                  <c:v>201108</c:v>
                </c:pt>
                <c:pt idx="223">
                  <c:v>201109</c:v>
                </c:pt>
                <c:pt idx="224">
                  <c:v>201110</c:v>
                </c:pt>
                <c:pt idx="225">
                  <c:v>201111</c:v>
                </c:pt>
                <c:pt idx="226">
                  <c:v>201112</c:v>
                </c:pt>
                <c:pt idx="227">
                  <c:v>201201</c:v>
                </c:pt>
                <c:pt idx="228">
                  <c:v>201202</c:v>
                </c:pt>
                <c:pt idx="229">
                  <c:v>201203</c:v>
                </c:pt>
                <c:pt idx="230">
                  <c:v>201204</c:v>
                </c:pt>
                <c:pt idx="231">
                  <c:v>201205</c:v>
                </c:pt>
                <c:pt idx="232">
                  <c:v>201206</c:v>
                </c:pt>
                <c:pt idx="233">
                  <c:v>201207</c:v>
                </c:pt>
                <c:pt idx="234">
                  <c:v>201208</c:v>
                </c:pt>
                <c:pt idx="235">
                  <c:v>201209</c:v>
                </c:pt>
                <c:pt idx="236">
                  <c:v>201210</c:v>
                </c:pt>
                <c:pt idx="237">
                  <c:v>201211</c:v>
                </c:pt>
                <c:pt idx="238">
                  <c:v>201212</c:v>
                </c:pt>
                <c:pt idx="239">
                  <c:v>201301</c:v>
                </c:pt>
                <c:pt idx="240">
                  <c:v>201302</c:v>
                </c:pt>
                <c:pt idx="241">
                  <c:v>201303</c:v>
                </c:pt>
                <c:pt idx="242">
                  <c:v>201304</c:v>
                </c:pt>
                <c:pt idx="243">
                  <c:v>201305</c:v>
                </c:pt>
                <c:pt idx="244">
                  <c:v>201306</c:v>
                </c:pt>
                <c:pt idx="245">
                  <c:v>201307</c:v>
                </c:pt>
                <c:pt idx="246">
                  <c:v>201308</c:v>
                </c:pt>
                <c:pt idx="247">
                  <c:v>201309</c:v>
                </c:pt>
                <c:pt idx="248">
                  <c:v>201310</c:v>
                </c:pt>
                <c:pt idx="249">
                  <c:v>201311</c:v>
                </c:pt>
                <c:pt idx="250">
                  <c:v>201312</c:v>
                </c:pt>
                <c:pt idx="251">
                  <c:v>201401</c:v>
                </c:pt>
                <c:pt idx="252">
                  <c:v>201402</c:v>
                </c:pt>
                <c:pt idx="253">
                  <c:v>201403</c:v>
                </c:pt>
                <c:pt idx="254">
                  <c:v>201404</c:v>
                </c:pt>
                <c:pt idx="255">
                  <c:v>201405</c:v>
                </c:pt>
                <c:pt idx="256">
                  <c:v>201406</c:v>
                </c:pt>
                <c:pt idx="257">
                  <c:v>201407</c:v>
                </c:pt>
                <c:pt idx="258">
                  <c:v>201408</c:v>
                </c:pt>
                <c:pt idx="259">
                  <c:v>201409</c:v>
                </c:pt>
                <c:pt idx="260">
                  <c:v>201410</c:v>
                </c:pt>
                <c:pt idx="261">
                  <c:v>201411</c:v>
                </c:pt>
                <c:pt idx="262">
                  <c:v>201412</c:v>
                </c:pt>
                <c:pt idx="263">
                  <c:v>201501</c:v>
                </c:pt>
                <c:pt idx="264">
                  <c:v>201502</c:v>
                </c:pt>
                <c:pt idx="265">
                  <c:v>201503</c:v>
                </c:pt>
                <c:pt idx="266">
                  <c:v>201504</c:v>
                </c:pt>
                <c:pt idx="267">
                  <c:v>201505</c:v>
                </c:pt>
                <c:pt idx="268">
                  <c:v>201506</c:v>
                </c:pt>
                <c:pt idx="269">
                  <c:v>201507</c:v>
                </c:pt>
                <c:pt idx="270">
                  <c:v>201508</c:v>
                </c:pt>
                <c:pt idx="271">
                  <c:v>201509</c:v>
                </c:pt>
                <c:pt idx="272">
                  <c:v>201510</c:v>
                </c:pt>
                <c:pt idx="273">
                  <c:v>201511</c:v>
                </c:pt>
                <c:pt idx="274">
                  <c:v>201512</c:v>
                </c:pt>
                <c:pt idx="275">
                  <c:v>201601</c:v>
                </c:pt>
                <c:pt idx="276">
                  <c:v>201602</c:v>
                </c:pt>
                <c:pt idx="277">
                  <c:v>201603</c:v>
                </c:pt>
              </c:numCache>
            </c:numRef>
          </c:cat>
          <c:val>
            <c:numRef>
              <c:f>Sheet2!$C$2:$C$279</c:f>
              <c:numCache>
                <c:formatCode>General</c:formatCode>
                <c:ptCount val="278"/>
                <c:pt idx="0">
                  <c:v>1620460</c:v>
                </c:pt>
                <c:pt idx="1">
                  <c:v>2321592</c:v>
                </c:pt>
                <c:pt idx="2">
                  <c:v>1632401.8599999999</c:v>
                </c:pt>
                <c:pt idx="3">
                  <c:v>3932009.24</c:v>
                </c:pt>
                <c:pt idx="4">
                  <c:v>4469330</c:v>
                </c:pt>
                <c:pt idx="5">
                  <c:v>4246325</c:v>
                </c:pt>
                <c:pt idx="6">
                  <c:v>2611405</c:v>
                </c:pt>
                <c:pt idx="7">
                  <c:v>3146775</c:v>
                </c:pt>
                <c:pt idx="8">
                  <c:v>5771933</c:v>
                </c:pt>
                <c:pt idx="9">
                  <c:v>5882752</c:v>
                </c:pt>
                <c:pt idx="10">
                  <c:v>8305937</c:v>
                </c:pt>
                <c:pt idx="11">
                  <c:v>10725266</c:v>
                </c:pt>
                <c:pt idx="12">
                  <c:v>5614703</c:v>
                </c:pt>
                <c:pt idx="13">
                  <c:v>6541513</c:v>
                </c:pt>
                <c:pt idx="14">
                  <c:v>4869801</c:v>
                </c:pt>
                <c:pt idx="15">
                  <c:v>5848575</c:v>
                </c:pt>
                <c:pt idx="16">
                  <c:v>3011914</c:v>
                </c:pt>
                <c:pt idx="17">
                  <c:v>3018932</c:v>
                </c:pt>
                <c:pt idx="18">
                  <c:v>1357745</c:v>
                </c:pt>
                <c:pt idx="19">
                  <c:v>1958610.1</c:v>
                </c:pt>
                <c:pt idx="20">
                  <c:v>1729141</c:v>
                </c:pt>
                <c:pt idx="21">
                  <c:v>1224572</c:v>
                </c:pt>
                <c:pt idx="22">
                  <c:v>1117640</c:v>
                </c:pt>
                <c:pt idx="23">
                  <c:v>1140752</c:v>
                </c:pt>
                <c:pt idx="24">
                  <c:v>390862.5</c:v>
                </c:pt>
                <c:pt idx="25">
                  <c:v>504527</c:v>
                </c:pt>
                <c:pt idx="26">
                  <c:v>689262</c:v>
                </c:pt>
                <c:pt idx="27">
                  <c:v>1445399</c:v>
                </c:pt>
                <c:pt idx="28">
                  <c:v>1207682</c:v>
                </c:pt>
                <c:pt idx="29">
                  <c:v>2015574</c:v>
                </c:pt>
                <c:pt idx="30">
                  <c:v>2078883</c:v>
                </c:pt>
                <c:pt idx="31">
                  <c:v>3664645.6</c:v>
                </c:pt>
                <c:pt idx="32">
                  <c:v>3715528</c:v>
                </c:pt>
                <c:pt idx="33">
                  <c:v>3393848</c:v>
                </c:pt>
                <c:pt idx="34">
                  <c:v>4882202</c:v>
                </c:pt>
                <c:pt idx="35">
                  <c:v>3573157.06</c:v>
                </c:pt>
                <c:pt idx="36">
                  <c:v>3013995</c:v>
                </c:pt>
                <c:pt idx="37">
                  <c:v>3768153.5</c:v>
                </c:pt>
                <c:pt idx="38">
                  <c:v>4140392.64</c:v>
                </c:pt>
                <c:pt idx="39">
                  <c:v>2084250</c:v>
                </c:pt>
                <c:pt idx="40">
                  <c:v>1885344</c:v>
                </c:pt>
                <c:pt idx="41">
                  <c:v>2671524</c:v>
                </c:pt>
                <c:pt idx="42">
                  <c:v>1619760</c:v>
                </c:pt>
                <c:pt idx="43">
                  <c:v>2226156</c:v>
                </c:pt>
                <c:pt idx="44">
                  <c:v>2734734</c:v>
                </c:pt>
                <c:pt idx="45">
                  <c:v>1592446</c:v>
                </c:pt>
                <c:pt idx="46">
                  <c:v>2861314</c:v>
                </c:pt>
                <c:pt idx="47">
                  <c:v>3080695</c:v>
                </c:pt>
                <c:pt idx="48">
                  <c:v>3201694</c:v>
                </c:pt>
                <c:pt idx="49">
                  <c:v>2142181</c:v>
                </c:pt>
                <c:pt idx="50">
                  <c:v>3547502</c:v>
                </c:pt>
                <c:pt idx="51">
                  <c:v>1903744</c:v>
                </c:pt>
                <c:pt idx="52">
                  <c:v>2150774</c:v>
                </c:pt>
                <c:pt idx="53">
                  <c:v>3562984.73</c:v>
                </c:pt>
                <c:pt idx="54">
                  <c:v>4406600</c:v>
                </c:pt>
                <c:pt idx="55">
                  <c:v>4650805</c:v>
                </c:pt>
                <c:pt idx="56">
                  <c:v>5707110.5</c:v>
                </c:pt>
                <c:pt idx="57">
                  <c:v>6315919</c:v>
                </c:pt>
                <c:pt idx="58">
                  <c:v>5079081</c:v>
                </c:pt>
                <c:pt idx="59">
                  <c:v>6053185</c:v>
                </c:pt>
                <c:pt idx="60">
                  <c:v>4610390.4000000004</c:v>
                </c:pt>
                <c:pt idx="61">
                  <c:v>5137181.88</c:v>
                </c:pt>
                <c:pt idx="62">
                  <c:v>8704549</c:v>
                </c:pt>
                <c:pt idx="63">
                  <c:v>10371411</c:v>
                </c:pt>
                <c:pt idx="64">
                  <c:v>11518211.93</c:v>
                </c:pt>
                <c:pt idx="65">
                  <c:v>10479383</c:v>
                </c:pt>
                <c:pt idx="66">
                  <c:v>13063350</c:v>
                </c:pt>
                <c:pt idx="67">
                  <c:v>13207413</c:v>
                </c:pt>
                <c:pt idx="68">
                  <c:v>14938207.68</c:v>
                </c:pt>
                <c:pt idx="69">
                  <c:v>17049480.969999999</c:v>
                </c:pt>
                <c:pt idx="70">
                  <c:v>14947924</c:v>
                </c:pt>
                <c:pt idx="71">
                  <c:v>16092312.550000001</c:v>
                </c:pt>
                <c:pt idx="72">
                  <c:v>16634602.5</c:v>
                </c:pt>
                <c:pt idx="73">
                  <c:v>16490259.440000001</c:v>
                </c:pt>
                <c:pt idx="74">
                  <c:v>17974932.5</c:v>
                </c:pt>
                <c:pt idx="75">
                  <c:v>18196864</c:v>
                </c:pt>
                <c:pt idx="76">
                  <c:v>19293655</c:v>
                </c:pt>
                <c:pt idx="77">
                  <c:v>15250321</c:v>
                </c:pt>
                <c:pt idx="78">
                  <c:v>12739645</c:v>
                </c:pt>
                <c:pt idx="79">
                  <c:v>9156244</c:v>
                </c:pt>
                <c:pt idx="80">
                  <c:v>10986508</c:v>
                </c:pt>
                <c:pt idx="81">
                  <c:v>8949138</c:v>
                </c:pt>
                <c:pt idx="82">
                  <c:v>7428438</c:v>
                </c:pt>
                <c:pt idx="83">
                  <c:v>12119035</c:v>
                </c:pt>
                <c:pt idx="84">
                  <c:v>6338034.1099999994</c:v>
                </c:pt>
                <c:pt idx="85">
                  <c:v>4951949.9700000007</c:v>
                </c:pt>
                <c:pt idx="86">
                  <c:v>6000128.2000000002</c:v>
                </c:pt>
                <c:pt idx="87">
                  <c:v>7362318</c:v>
                </c:pt>
                <c:pt idx="88">
                  <c:v>6902667</c:v>
                </c:pt>
                <c:pt idx="89">
                  <c:v>8335048.6799999997</c:v>
                </c:pt>
                <c:pt idx="90">
                  <c:v>4731910.16</c:v>
                </c:pt>
                <c:pt idx="91">
                  <c:v>8458999</c:v>
                </c:pt>
                <c:pt idx="92">
                  <c:v>11817746.800000001</c:v>
                </c:pt>
                <c:pt idx="93">
                  <c:v>9817171</c:v>
                </c:pt>
                <c:pt idx="94">
                  <c:v>11396427.940000001</c:v>
                </c:pt>
                <c:pt idx="95">
                  <c:v>13425643.119999999</c:v>
                </c:pt>
                <c:pt idx="96">
                  <c:v>14043179</c:v>
                </c:pt>
                <c:pt idx="97">
                  <c:v>25469815.640000001</c:v>
                </c:pt>
                <c:pt idx="98">
                  <c:v>37810394.370000005</c:v>
                </c:pt>
                <c:pt idx="99">
                  <c:v>36778896.5</c:v>
                </c:pt>
                <c:pt idx="100">
                  <c:v>36490042.980000004</c:v>
                </c:pt>
                <c:pt idx="101">
                  <c:v>36042282.68</c:v>
                </c:pt>
                <c:pt idx="102">
                  <c:v>35740353.100000001</c:v>
                </c:pt>
                <c:pt idx="103">
                  <c:v>50895776.950000003</c:v>
                </c:pt>
                <c:pt idx="104">
                  <c:v>56812093.090000004</c:v>
                </c:pt>
                <c:pt idx="105">
                  <c:v>78919485.280000001</c:v>
                </c:pt>
                <c:pt idx="106">
                  <c:v>88074790.50999999</c:v>
                </c:pt>
                <c:pt idx="107">
                  <c:v>72618263.950000003</c:v>
                </c:pt>
                <c:pt idx="108">
                  <c:v>52211007.18</c:v>
                </c:pt>
                <c:pt idx="109">
                  <c:v>47724562.789999999</c:v>
                </c:pt>
                <c:pt idx="110">
                  <c:v>52968774.740000002</c:v>
                </c:pt>
                <c:pt idx="111">
                  <c:v>48268270.329999998</c:v>
                </c:pt>
                <c:pt idx="112">
                  <c:v>56650240</c:v>
                </c:pt>
                <c:pt idx="113">
                  <c:v>70811524.99000001</c:v>
                </c:pt>
                <c:pt idx="114">
                  <c:v>89481809.290000007</c:v>
                </c:pt>
                <c:pt idx="115">
                  <c:v>127172299.7</c:v>
                </c:pt>
                <c:pt idx="116">
                  <c:v>152281633.30000001</c:v>
                </c:pt>
                <c:pt idx="117">
                  <c:v>212388108.71000001</c:v>
                </c:pt>
                <c:pt idx="118">
                  <c:v>211567058.93000001</c:v>
                </c:pt>
                <c:pt idx="119">
                  <c:v>241421006.03</c:v>
                </c:pt>
                <c:pt idx="120">
                  <c:v>281936867.69</c:v>
                </c:pt>
                <c:pt idx="121">
                  <c:v>614399058.52999997</c:v>
                </c:pt>
                <c:pt idx="122">
                  <c:v>1410126458.8299999</c:v>
                </c:pt>
                <c:pt idx="123">
                  <c:v>1659102158.1600001</c:v>
                </c:pt>
                <c:pt idx="124">
                  <c:v>1819301768.3499999</c:v>
                </c:pt>
                <c:pt idx="125">
                  <c:v>2363882593.1300001</c:v>
                </c:pt>
                <c:pt idx="126">
                  <c:v>2457807209.0799999</c:v>
                </c:pt>
                <c:pt idx="127">
                  <c:v>1777393646.53</c:v>
                </c:pt>
                <c:pt idx="128">
                  <c:v>1214271800.3399999</c:v>
                </c:pt>
                <c:pt idx="129">
                  <c:v>1155511022.8800001</c:v>
                </c:pt>
                <c:pt idx="130">
                  <c:v>963259710.98000002</c:v>
                </c:pt>
                <c:pt idx="131">
                  <c:v>1002070239.52</c:v>
                </c:pt>
                <c:pt idx="132">
                  <c:v>799861009.35000002</c:v>
                </c:pt>
                <c:pt idx="133">
                  <c:v>939258225.60000002</c:v>
                </c:pt>
                <c:pt idx="134">
                  <c:v>1271285787.3499999</c:v>
                </c:pt>
                <c:pt idx="135">
                  <c:v>1322262852.0899999</c:v>
                </c:pt>
                <c:pt idx="136">
                  <c:v>1031301213.12</c:v>
                </c:pt>
                <c:pt idx="137">
                  <c:v>924921817.97000003</c:v>
                </c:pt>
                <c:pt idx="138">
                  <c:v>941855049.37</c:v>
                </c:pt>
                <c:pt idx="139">
                  <c:v>1084400452.25</c:v>
                </c:pt>
                <c:pt idx="140">
                  <c:v>1072529007.77</c:v>
                </c:pt>
                <c:pt idx="141">
                  <c:v>1101658737.4299998</c:v>
                </c:pt>
                <c:pt idx="142">
                  <c:v>1091680017.04</c:v>
                </c:pt>
                <c:pt idx="143">
                  <c:v>1069261354.95</c:v>
                </c:pt>
                <c:pt idx="144">
                  <c:v>874490546.32000005</c:v>
                </c:pt>
                <c:pt idx="145">
                  <c:v>954644014.88</c:v>
                </c:pt>
                <c:pt idx="146">
                  <c:v>1175501360.4400001</c:v>
                </c:pt>
                <c:pt idx="147">
                  <c:v>1150562587.95</c:v>
                </c:pt>
                <c:pt idx="148">
                  <c:v>1430079915.4400001</c:v>
                </c:pt>
                <c:pt idx="149">
                  <c:v>1785854108.9200001</c:v>
                </c:pt>
                <c:pt idx="150">
                  <c:v>1740443306.97</c:v>
                </c:pt>
                <c:pt idx="151">
                  <c:v>1828604854.8800001</c:v>
                </c:pt>
                <c:pt idx="152">
                  <c:v>1787204972.77</c:v>
                </c:pt>
                <c:pt idx="153">
                  <c:v>2666108533.5999999</c:v>
                </c:pt>
                <c:pt idx="154">
                  <c:v>3420721691.1100001</c:v>
                </c:pt>
                <c:pt idx="155">
                  <c:v>3342154318.1199999</c:v>
                </c:pt>
                <c:pt idx="156">
                  <c:v>2741581003.9499998</c:v>
                </c:pt>
                <c:pt idx="157">
                  <c:v>3140062247.3600001</c:v>
                </c:pt>
                <c:pt idx="158">
                  <c:v>3827020076.4700003</c:v>
                </c:pt>
                <c:pt idx="159">
                  <c:v>3532298740.5799999</c:v>
                </c:pt>
                <c:pt idx="160">
                  <c:v>3987735649.3000002</c:v>
                </c:pt>
                <c:pt idx="161">
                  <c:v>4275636143.48</c:v>
                </c:pt>
                <c:pt idx="162">
                  <c:v>3756041921.2600002</c:v>
                </c:pt>
                <c:pt idx="163">
                  <c:v>4306590786.6300001</c:v>
                </c:pt>
                <c:pt idx="164">
                  <c:v>4288170696.27</c:v>
                </c:pt>
                <c:pt idx="165">
                  <c:v>4644394184.1800003</c:v>
                </c:pt>
                <c:pt idx="166">
                  <c:v>4514239370.5799999</c:v>
                </c:pt>
                <c:pt idx="167">
                  <c:v>4925939651.6000004</c:v>
                </c:pt>
                <c:pt idx="168">
                  <c:v>4531978388.8099995</c:v>
                </c:pt>
                <c:pt idx="169">
                  <c:v>5020599523.5100002</c:v>
                </c:pt>
                <c:pt idx="170">
                  <c:v>7370324328.8400002</c:v>
                </c:pt>
                <c:pt idx="171">
                  <c:v>8451312482.3299999</c:v>
                </c:pt>
                <c:pt idx="172">
                  <c:v>9958980425.0499992</c:v>
                </c:pt>
                <c:pt idx="173">
                  <c:v>10343162262.58</c:v>
                </c:pt>
                <c:pt idx="174">
                  <c:v>9451742674.7600002</c:v>
                </c:pt>
                <c:pt idx="175">
                  <c:v>10369147175.630001</c:v>
                </c:pt>
                <c:pt idx="176">
                  <c:v>10099556465.869999</c:v>
                </c:pt>
                <c:pt idx="177">
                  <c:v>11243932328.290001</c:v>
                </c:pt>
                <c:pt idx="178">
                  <c:v>10498417812.450001</c:v>
                </c:pt>
                <c:pt idx="179">
                  <c:v>11114666851.07</c:v>
                </c:pt>
                <c:pt idx="180">
                  <c:v>9600143963.6800003</c:v>
                </c:pt>
                <c:pt idx="181">
                  <c:v>11908967229.34</c:v>
                </c:pt>
                <c:pt idx="182">
                  <c:v>10722008976.16</c:v>
                </c:pt>
                <c:pt idx="183">
                  <c:v>9322134450.8899994</c:v>
                </c:pt>
                <c:pt idx="184">
                  <c:v>7652914701.7700005</c:v>
                </c:pt>
                <c:pt idx="185">
                  <c:v>6986040821.6300001</c:v>
                </c:pt>
                <c:pt idx="186">
                  <c:v>5230296973.1700001</c:v>
                </c:pt>
                <c:pt idx="187">
                  <c:v>3744931437.98</c:v>
                </c:pt>
                <c:pt idx="188">
                  <c:v>3693102759.21</c:v>
                </c:pt>
                <c:pt idx="189">
                  <c:v>3918226597.02</c:v>
                </c:pt>
                <c:pt idx="190">
                  <c:v>2515789117</c:v>
                </c:pt>
                <c:pt idx="191">
                  <c:v>3971143316.6999998</c:v>
                </c:pt>
                <c:pt idx="192">
                  <c:v>5106449108.0200005</c:v>
                </c:pt>
                <c:pt idx="193">
                  <c:v>5884288933.6100006</c:v>
                </c:pt>
                <c:pt idx="194">
                  <c:v>5863450240.79</c:v>
                </c:pt>
                <c:pt idx="195">
                  <c:v>5452855012.6999998</c:v>
                </c:pt>
                <c:pt idx="196">
                  <c:v>5923179875.8999996</c:v>
                </c:pt>
                <c:pt idx="197">
                  <c:v>5810394922.54</c:v>
                </c:pt>
                <c:pt idx="198">
                  <c:v>4705782440.6000004</c:v>
                </c:pt>
                <c:pt idx="199">
                  <c:v>3499172150.5100002</c:v>
                </c:pt>
                <c:pt idx="200">
                  <c:v>3141760352.3000002</c:v>
                </c:pt>
                <c:pt idx="201">
                  <c:v>3664964436.04</c:v>
                </c:pt>
                <c:pt idx="202">
                  <c:v>3871010473.2200003</c:v>
                </c:pt>
                <c:pt idx="203">
                  <c:v>3796754571.8499999</c:v>
                </c:pt>
                <c:pt idx="204">
                  <c:v>3048236369.4000001</c:v>
                </c:pt>
                <c:pt idx="205">
                  <c:v>2695523137.3599997</c:v>
                </c:pt>
                <c:pt idx="206">
                  <c:v>3553736959.6999998</c:v>
                </c:pt>
                <c:pt idx="207">
                  <c:v>3812391718.1800003</c:v>
                </c:pt>
                <c:pt idx="208">
                  <c:v>3820508648.2600002</c:v>
                </c:pt>
                <c:pt idx="209">
                  <c:v>4814559652.1999998</c:v>
                </c:pt>
                <c:pt idx="210">
                  <c:v>4420068214.4699993</c:v>
                </c:pt>
                <c:pt idx="211">
                  <c:v>5666199802.7199993</c:v>
                </c:pt>
                <c:pt idx="212">
                  <c:v>5948757800.1999998</c:v>
                </c:pt>
                <c:pt idx="213">
                  <c:v>6323875561.5500002</c:v>
                </c:pt>
                <c:pt idx="214">
                  <c:v>6444368192.1900005</c:v>
                </c:pt>
                <c:pt idx="215">
                  <c:v>6466576083.4699993</c:v>
                </c:pt>
                <c:pt idx="216">
                  <c:v>4571932201.96</c:v>
                </c:pt>
                <c:pt idx="217">
                  <c:v>3539260729.6900001</c:v>
                </c:pt>
                <c:pt idx="218">
                  <c:v>3777564481.52</c:v>
                </c:pt>
                <c:pt idx="219">
                  <c:v>3893806672.96</c:v>
                </c:pt>
                <c:pt idx="220">
                  <c:v>4377247892.29</c:v>
                </c:pt>
                <c:pt idx="221">
                  <c:v>5675509591.5200005</c:v>
                </c:pt>
                <c:pt idx="222">
                  <c:v>5766583550.1700001</c:v>
                </c:pt>
                <c:pt idx="223">
                  <c:v>6565474477.0100002</c:v>
                </c:pt>
                <c:pt idx="224">
                  <c:v>7410897293.1300001</c:v>
                </c:pt>
                <c:pt idx="225">
                  <c:v>7985480839.2299995</c:v>
                </c:pt>
                <c:pt idx="226">
                  <c:v>7932257207.2700005</c:v>
                </c:pt>
                <c:pt idx="227">
                  <c:v>8003610830.7399998</c:v>
                </c:pt>
                <c:pt idx="228">
                  <c:v>7284033482.5900002</c:v>
                </c:pt>
                <c:pt idx="229">
                  <c:v>8762705953.9899998</c:v>
                </c:pt>
                <c:pt idx="230">
                  <c:v>10834352881.220001</c:v>
                </c:pt>
                <c:pt idx="231">
                  <c:v>12115291891.67</c:v>
                </c:pt>
                <c:pt idx="232">
                  <c:v>14566500522.17</c:v>
                </c:pt>
                <c:pt idx="233">
                  <c:v>16436466021.129999</c:v>
                </c:pt>
                <c:pt idx="234">
                  <c:v>16597062211.15</c:v>
                </c:pt>
                <c:pt idx="235">
                  <c:v>17621094633.650002</c:v>
                </c:pt>
                <c:pt idx="236">
                  <c:v>15718511509.9</c:v>
                </c:pt>
                <c:pt idx="237">
                  <c:v>17633686803.299999</c:v>
                </c:pt>
                <c:pt idx="238">
                  <c:v>16604515757.58</c:v>
                </c:pt>
                <c:pt idx="239">
                  <c:v>16929908668.41</c:v>
                </c:pt>
                <c:pt idx="240">
                  <c:v>15945780308.83</c:v>
                </c:pt>
                <c:pt idx="241">
                  <c:v>15018933802.440001</c:v>
                </c:pt>
                <c:pt idx="242">
                  <c:v>17375693291.150002</c:v>
                </c:pt>
                <c:pt idx="243">
                  <c:v>18466377047.299999</c:v>
                </c:pt>
                <c:pt idx="244">
                  <c:v>20851161968.459999</c:v>
                </c:pt>
                <c:pt idx="245">
                  <c:v>20547818158.080002</c:v>
                </c:pt>
                <c:pt idx="246">
                  <c:v>19366340227.25</c:v>
                </c:pt>
                <c:pt idx="247">
                  <c:v>17360940701.48</c:v>
                </c:pt>
                <c:pt idx="248">
                  <c:v>13879188364.620001</c:v>
                </c:pt>
                <c:pt idx="249">
                  <c:v>13242527429.73</c:v>
                </c:pt>
                <c:pt idx="250">
                  <c:v>11865622864.889999</c:v>
                </c:pt>
                <c:pt idx="251">
                  <c:v>12007561837.4</c:v>
                </c:pt>
                <c:pt idx="252">
                  <c:v>8343987533.9899998</c:v>
                </c:pt>
                <c:pt idx="253">
                  <c:v>8592918861</c:v>
                </c:pt>
                <c:pt idx="254">
                  <c:v>11180158085.540001</c:v>
                </c:pt>
                <c:pt idx="255">
                  <c:v>12364451900.77</c:v>
                </c:pt>
                <c:pt idx="256">
                  <c:v>14411568347.040001</c:v>
                </c:pt>
                <c:pt idx="257">
                  <c:v>16703374273.059999</c:v>
                </c:pt>
                <c:pt idx="258">
                  <c:v>16618856394</c:v>
                </c:pt>
                <c:pt idx="259">
                  <c:v>16024715978.110001</c:v>
                </c:pt>
                <c:pt idx="260">
                  <c:v>15026681006.860001</c:v>
                </c:pt>
                <c:pt idx="261">
                  <c:v>14871648719.4</c:v>
                </c:pt>
                <c:pt idx="262">
                  <c:v>13459950721.73</c:v>
                </c:pt>
                <c:pt idx="263">
                  <c:v>15356981877.110001</c:v>
                </c:pt>
                <c:pt idx="264">
                  <c:v>11668902321.860001</c:v>
                </c:pt>
                <c:pt idx="265">
                  <c:v>14312414658.15</c:v>
                </c:pt>
                <c:pt idx="266">
                  <c:v>18299372425.830002</c:v>
                </c:pt>
                <c:pt idx="267">
                  <c:v>17615583549.200001</c:v>
                </c:pt>
                <c:pt idx="268">
                  <c:v>18963734574.52</c:v>
                </c:pt>
                <c:pt idx="269">
                  <c:v>20792926510.07</c:v>
                </c:pt>
                <c:pt idx="270">
                  <c:v>19165906741.41</c:v>
                </c:pt>
                <c:pt idx="271">
                  <c:v>17744547777.760002</c:v>
                </c:pt>
                <c:pt idx="272">
                  <c:v>17002464377.57</c:v>
                </c:pt>
                <c:pt idx="273">
                  <c:v>16027513725.66</c:v>
                </c:pt>
                <c:pt idx="274">
                  <c:v>13240104752.279999</c:v>
                </c:pt>
                <c:pt idx="275">
                  <c:v>15139185583.18</c:v>
                </c:pt>
                <c:pt idx="276">
                  <c:v>9555118969.3899994</c:v>
                </c:pt>
                <c:pt idx="277">
                  <c:v>4821350649.6999998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2250368"/>
        <c:axId val="312251904"/>
      </c:barChart>
      <c:catAx>
        <c:axId val="31225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2251904"/>
        <c:crosses val="autoZero"/>
        <c:auto val="1"/>
        <c:lblAlgn val="ctr"/>
        <c:lblOffset val="100"/>
        <c:noMultiLvlLbl val="0"/>
      </c:catAx>
      <c:valAx>
        <c:axId val="31225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2250368"/>
        <c:crosses val="autoZero"/>
        <c:crossBetween val="between"/>
        <c:dispUnits>
          <c:builtInUnit val="billion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423861</xdr:colOff>
      <xdr:row>4</xdr:row>
      <xdr:rowOff>128586</xdr:rowOff>
    </xdr:from>
    <xdr:to>
      <xdr:col>21</xdr:col>
      <xdr:colOff>581024</xdr:colOff>
      <xdr:row>22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490537</xdr:colOff>
      <xdr:row>25</xdr:row>
      <xdr:rowOff>100011</xdr:rowOff>
    </xdr:from>
    <xdr:to>
      <xdr:col>21</xdr:col>
      <xdr:colOff>600075</xdr:colOff>
      <xdr:row>43</xdr:row>
      <xdr:rowOff>47624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U389"/>
  <sheetViews>
    <sheetView workbookViewId="0">
      <selection sqref="A1:C1048576"/>
    </sheetView>
  </sheetViews>
  <sheetFormatPr defaultRowHeight="15" x14ac:dyDescent="0.25"/>
  <sheetData>
    <row r="1" spans="8:21" x14ac:dyDescent="0.25">
      <c r="H1" t="s">
        <v>3</v>
      </c>
      <c r="I1" t="s">
        <v>0</v>
      </c>
      <c r="J1" t="s">
        <v>1</v>
      </c>
      <c r="N1" t="s">
        <v>4</v>
      </c>
      <c r="O1" t="s">
        <v>0</v>
      </c>
      <c r="P1" t="s">
        <v>1</v>
      </c>
      <c r="S1" t="s">
        <v>5</v>
      </c>
      <c r="T1" t="s">
        <v>0</v>
      </c>
      <c r="U1" t="s">
        <v>1</v>
      </c>
    </row>
    <row r="2" spans="8:21" x14ac:dyDescent="0.25">
      <c r="I2" t="s">
        <v>2</v>
      </c>
      <c r="J2">
        <v>11033991000</v>
      </c>
      <c r="O2">
        <v>198306</v>
      </c>
      <c r="P2">
        <v>75865</v>
      </c>
      <c r="T2">
        <v>198702</v>
      </c>
      <c r="U2">
        <v>85000</v>
      </c>
    </row>
    <row r="3" spans="8:21" x14ac:dyDescent="0.25">
      <c r="I3">
        <v>198401</v>
      </c>
      <c r="J3">
        <v>435000</v>
      </c>
      <c r="O3">
        <v>198311</v>
      </c>
      <c r="P3">
        <v>48876</v>
      </c>
      <c r="T3">
        <v>199107</v>
      </c>
      <c r="U3">
        <v>216000</v>
      </c>
    </row>
    <row r="4" spans="8:21" x14ac:dyDescent="0.25">
      <c r="I4">
        <v>198402</v>
      </c>
      <c r="J4">
        <v>306000</v>
      </c>
      <c r="O4">
        <v>198510</v>
      </c>
      <c r="P4">
        <v>65041</v>
      </c>
      <c r="T4">
        <v>199109</v>
      </c>
      <c r="U4">
        <v>30600</v>
      </c>
    </row>
    <row r="5" spans="8:21" x14ac:dyDescent="0.25">
      <c r="I5">
        <v>198403</v>
      </c>
      <c r="J5">
        <v>814000</v>
      </c>
      <c r="O5">
        <v>198704</v>
      </c>
      <c r="P5">
        <v>18900</v>
      </c>
      <c r="T5">
        <v>199111</v>
      </c>
      <c r="U5">
        <v>29250</v>
      </c>
    </row>
    <row r="6" spans="8:21" x14ac:dyDescent="0.25">
      <c r="I6">
        <v>198404</v>
      </c>
      <c r="J6">
        <v>813000</v>
      </c>
      <c r="O6">
        <v>198803</v>
      </c>
      <c r="P6">
        <v>55000</v>
      </c>
      <c r="T6">
        <v>199201</v>
      </c>
      <c r="U6">
        <v>62720</v>
      </c>
    </row>
    <row r="7" spans="8:21" x14ac:dyDescent="0.25">
      <c r="I7">
        <v>198405</v>
      </c>
      <c r="J7">
        <v>1199000</v>
      </c>
      <c r="O7">
        <v>198805</v>
      </c>
      <c r="P7">
        <v>40413</v>
      </c>
      <c r="T7">
        <v>199205</v>
      </c>
      <c r="U7">
        <v>108000</v>
      </c>
    </row>
    <row r="8" spans="8:21" x14ac:dyDescent="0.25">
      <c r="I8">
        <v>198406</v>
      </c>
      <c r="J8">
        <v>683000</v>
      </c>
      <c r="O8">
        <v>198806</v>
      </c>
      <c r="P8">
        <v>65000</v>
      </c>
      <c r="T8">
        <v>199206</v>
      </c>
      <c r="U8">
        <v>34850</v>
      </c>
    </row>
    <row r="9" spans="8:21" x14ac:dyDescent="0.25">
      <c r="I9">
        <v>198407</v>
      </c>
      <c r="J9">
        <v>650000</v>
      </c>
      <c r="O9">
        <v>198807</v>
      </c>
      <c r="P9">
        <v>269145</v>
      </c>
      <c r="T9">
        <v>199207</v>
      </c>
      <c r="U9">
        <v>100800</v>
      </c>
    </row>
    <row r="10" spans="8:21" x14ac:dyDescent="0.25">
      <c r="I10">
        <v>198408</v>
      </c>
      <c r="J10">
        <v>785000</v>
      </c>
      <c r="O10">
        <v>198811</v>
      </c>
      <c r="P10">
        <v>68022</v>
      </c>
      <c r="T10">
        <v>199209</v>
      </c>
      <c r="U10">
        <v>52200</v>
      </c>
    </row>
    <row r="11" spans="8:21" x14ac:dyDescent="0.25">
      <c r="I11">
        <v>198409</v>
      </c>
      <c r="J11">
        <v>601000</v>
      </c>
      <c r="O11">
        <v>198812</v>
      </c>
      <c r="P11">
        <v>103321</v>
      </c>
      <c r="T11">
        <v>199210</v>
      </c>
      <c r="U11">
        <v>150900</v>
      </c>
    </row>
    <row r="12" spans="8:21" x14ac:dyDescent="0.25">
      <c r="I12">
        <v>198410</v>
      </c>
      <c r="J12">
        <v>636000</v>
      </c>
      <c r="O12">
        <v>198901</v>
      </c>
      <c r="P12">
        <v>215173</v>
      </c>
      <c r="T12">
        <v>199211</v>
      </c>
      <c r="U12">
        <v>171000</v>
      </c>
    </row>
    <row r="13" spans="8:21" x14ac:dyDescent="0.25">
      <c r="I13">
        <v>198411</v>
      </c>
      <c r="J13">
        <v>804000</v>
      </c>
      <c r="O13">
        <v>198906</v>
      </c>
      <c r="P13">
        <v>89847</v>
      </c>
      <c r="T13">
        <v>199302</v>
      </c>
      <c r="U13">
        <v>129910</v>
      </c>
    </row>
    <row r="14" spans="8:21" x14ac:dyDescent="0.25">
      <c r="I14">
        <v>198412</v>
      </c>
      <c r="J14">
        <v>1042000</v>
      </c>
      <c r="O14">
        <v>199003</v>
      </c>
      <c r="P14">
        <v>130173</v>
      </c>
      <c r="T14">
        <v>199303</v>
      </c>
      <c r="U14">
        <v>518300</v>
      </c>
    </row>
    <row r="15" spans="8:21" x14ac:dyDescent="0.25">
      <c r="I15">
        <v>198501</v>
      </c>
      <c r="J15">
        <v>1331000</v>
      </c>
      <c r="O15">
        <v>199010</v>
      </c>
      <c r="P15">
        <v>79039</v>
      </c>
      <c r="T15">
        <v>199304</v>
      </c>
      <c r="U15">
        <v>305456.86</v>
      </c>
    </row>
    <row r="16" spans="8:21" x14ac:dyDescent="0.25">
      <c r="I16">
        <v>198502</v>
      </c>
      <c r="J16">
        <v>1442000</v>
      </c>
      <c r="O16">
        <v>199011</v>
      </c>
      <c r="P16">
        <v>48600</v>
      </c>
      <c r="T16">
        <v>199305</v>
      </c>
      <c r="U16">
        <v>769135.24</v>
      </c>
    </row>
    <row r="17" spans="9:21" x14ac:dyDescent="0.25">
      <c r="I17">
        <v>198503</v>
      </c>
      <c r="J17">
        <v>1438000</v>
      </c>
      <c r="O17">
        <v>199012</v>
      </c>
      <c r="P17">
        <v>17700</v>
      </c>
      <c r="T17">
        <v>199306</v>
      </c>
      <c r="U17">
        <v>77900</v>
      </c>
    </row>
    <row r="18" spans="9:21" x14ac:dyDescent="0.25">
      <c r="I18">
        <v>198504</v>
      </c>
      <c r="J18">
        <v>1574000</v>
      </c>
      <c r="O18">
        <v>199101</v>
      </c>
      <c r="P18">
        <v>130500</v>
      </c>
      <c r="T18">
        <v>199307</v>
      </c>
      <c r="U18">
        <v>346500</v>
      </c>
    </row>
    <row r="19" spans="9:21" x14ac:dyDescent="0.25">
      <c r="I19">
        <v>198505</v>
      </c>
      <c r="J19">
        <v>1002000</v>
      </c>
      <c r="O19">
        <v>199102</v>
      </c>
      <c r="P19">
        <v>126900</v>
      </c>
      <c r="T19">
        <v>199308</v>
      </c>
      <c r="U19">
        <v>275300</v>
      </c>
    </row>
    <row r="20" spans="9:21" x14ac:dyDescent="0.25">
      <c r="I20">
        <v>198506</v>
      </c>
      <c r="J20">
        <v>2498000</v>
      </c>
      <c r="O20">
        <v>199104</v>
      </c>
      <c r="P20">
        <v>70000</v>
      </c>
      <c r="T20">
        <v>199309</v>
      </c>
      <c r="U20">
        <v>441650</v>
      </c>
    </row>
    <row r="21" spans="9:21" x14ac:dyDescent="0.25">
      <c r="I21">
        <v>198507</v>
      </c>
      <c r="J21">
        <v>3098000</v>
      </c>
      <c r="O21">
        <v>199107</v>
      </c>
      <c r="P21">
        <v>65500</v>
      </c>
      <c r="T21">
        <v>199310</v>
      </c>
      <c r="U21">
        <v>2149700</v>
      </c>
    </row>
    <row r="22" spans="9:21" x14ac:dyDescent="0.25">
      <c r="I22">
        <v>198508</v>
      </c>
      <c r="J22">
        <v>4872000</v>
      </c>
      <c r="O22">
        <v>199108</v>
      </c>
      <c r="P22">
        <v>212210</v>
      </c>
      <c r="T22">
        <v>199311</v>
      </c>
      <c r="U22">
        <v>1936890</v>
      </c>
    </row>
    <row r="23" spans="9:21" x14ac:dyDescent="0.25">
      <c r="I23">
        <v>198509</v>
      </c>
      <c r="J23">
        <v>5109000</v>
      </c>
      <c r="O23">
        <v>199109</v>
      </c>
      <c r="P23">
        <v>50000</v>
      </c>
      <c r="T23">
        <v>199312</v>
      </c>
      <c r="U23">
        <v>1269400</v>
      </c>
    </row>
    <row r="24" spans="9:21" x14ac:dyDescent="0.25">
      <c r="I24">
        <v>198510</v>
      </c>
      <c r="J24">
        <v>4581000</v>
      </c>
      <c r="O24">
        <v>199110</v>
      </c>
      <c r="P24">
        <v>70000</v>
      </c>
      <c r="T24">
        <v>199401</v>
      </c>
      <c r="U24">
        <v>2444465</v>
      </c>
    </row>
    <row r="25" spans="9:21" x14ac:dyDescent="0.25">
      <c r="I25">
        <v>198511</v>
      </c>
      <c r="J25">
        <v>5877000</v>
      </c>
      <c r="O25">
        <v>199112</v>
      </c>
      <c r="P25">
        <v>100800</v>
      </c>
      <c r="T25">
        <v>199402</v>
      </c>
      <c r="U25">
        <v>865650</v>
      </c>
    </row>
    <row r="26" spans="9:21" x14ac:dyDescent="0.25">
      <c r="I26">
        <v>198512</v>
      </c>
      <c r="J26">
        <v>5600000</v>
      </c>
      <c r="O26">
        <v>199201</v>
      </c>
      <c r="P26">
        <v>438425</v>
      </c>
      <c r="T26">
        <v>199403</v>
      </c>
      <c r="U26">
        <v>870510</v>
      </c>
    </row>
    <row r="27" spans="9:21" x14ac:dyDescent="0.25">
      <c r="I27">
        <v>198601</v>
      </c>
      <c r="J27">
        <v>8529000</v>
      </c>
      <c r="O27">
        <v>199203</v>
      </c>
      <c r="P27">
        <v>208990</v>
      </c>
      <c r="T27">
        <v>199404</v>
      </c>
      <c r="U27">
        <v>799900</v>
      </c>
    </row>
    <row r="28" spans="9:21" x14ac:dyDescent="0.25">
      <c r="I28">
        <v>198602</v>
      </c>
      <c r="J28">
        <v>9114000</v>
      </c>
      <c r="O28">
        <v>199204</v>
      </c>
      <c r="P28">
        <v>402921</v>
      </c>
      <c r="T28">
        <v>199405</v>
      </c>
      <c r="U28">
        <v>711425</v>
      </c>
    </row>
    <row r="29" spans="9:21" x14ac:dyDescent="0.25">
      <c r="I29">
        <v>198603</v>
      </c>
      <c r="J29">
        <v>10436000</v>
      </c>
      <c r="O29">
        <v>199205</v>
      </c>
      <c r="P29">
        <v>321650</v>
      </c>
      <c r="T29">
        <v>199406</v>
      </c>
      <c r="U29">
        <v>256960</v>
      </c>
    </row>
    <row r="30" spans="9:21" x14ac:dyDescent="0.25">
      <c r="I30">
        <v>198604</v>
      </c>
      <c r="J30">
        <v>21396000</v>
      </c>
      <c r="O30">
        <v>199206</v>
      </c>
      <c r="P30">
        <v>40600</v>
      </c>
      <c r="T30">
        <v>199407</v>
      </c>
      <c r="U30">
        <v>544625</v>
      </c>
    </row>
    <row r="31" spans="9:21" x14ac:dyDescent="0.25">
      <c r="I31">
        <v>198605</v>
      </c>
      <c r="J31">
        <v>25647000</v>
      </c>
      <c r="O31">
        <v>199207</v>
      </c>
      <c r="P31">
        <v>453700</v>
      </c>
      <c r="T31">
        <v>199408</v>
      </c>
      <c r="U31">
        <v>242000</v>
      </c>
    </row>
    <row r="32" spans="9:21" x14ac:dyDescent="0.25">
      <c r="I32">
        <v>198606</v>
      </c>
      <c r="J32">
        <v>31980000</v>
      </c>
      <c r="O32">
        <v>199208</v>
      </c>
      <c r="P32">
        <v>819013</v>
      </c>
      <c r="T32">
        <v>199409</v>
      </c>
      <c r="U32">
        <v>425655.1</v>
      </c>
    </row>
    <row r="33" spans="9:21" x14ac:dyDescent="0.25">
      <c r="I33">
        <v>198607</v>
      </c>
      <c r="J33">
        <v>31631000</v>
      </c>
      <c r="O33">
        <v>199209</v>
      </c>
      <c r="P33">
        <v>959777</v>
      </c>
      <c r="T33">
        <v>199410</v>
      </c>
      <c r="U33">
        <v>235200</v>
      </c>
    </row>
    <row r="34" spans="9:21" x14ac:dyDescent="0.25">
      <c r="I34">
        <v>198608</v>
      </c>
      <c r="J34">
        <v>39587000</v>
      </c>
      <c r="O34">
        <v>199210</v>
      </c>
      <c r="P34">
        <v>950324</v>
      </c>
      <c r="T34">
        <v>199411</v>
      </c>
      <c r="U34">
        <v>264375</v>
      </c>
    </row>
    <row r="35" spans="9:21" x14ac:dyDescent="0.25">
      <c r="I35">
        <v>198609</v>
      </c>
      <c r="J35">
        <v>38899000</v>
      </c>
      <c r="O35">
        <v>199211</v>
      </c>
      <c r="P35">
        <v>1500400</v>
      </c>
      <c r="T35">
        <v>199412</v>
      </c>
      <c r="U35">
        <v>227330</v>
      </c>
    </row>
    <row r="36" spans="9:21" x14ac:dyDescent="0.25">
      <c r="I36">
        <v>198610</v>
      </c>
      <c r="J36">
        <v>42590000</v>
      </c>
      <c r="O36">
        <v>199212</v>
      </c>
      <c r="P36">
        <v>948600</v>
      </c>
      <c r="T36">
        <v>199501</v>
      </c>
      <c r="U36">
        <v>280880</v>
      </c>
    </row>
    <row r="37" spans="9:21" x14ac:dyDescent="0.25">
      <c r="I37">
        <v>198611</v>
      </c>
      <c r="J37">
        <v>44949000</v>
      </c>
      <c r="O37">
        <v>199301</v>
      </c>
      <c r="P37">
        <v>1384001</v>
      </c>
      <c r="T37">
        <v>199502</v>
      </c>
      <c r="U37">
        <v>289512.5</v>
      </c>
    </row>
    <row r="38" spans="9:21" x14ac:dyDescent="0.25">
      <c r="I38">
        <v>198612</v>
      </c>
      <c r="J38">
        <v>38433000</v>
      </c>
      <c r="O38">
        <v>199302</v>
      </c>
      <c r="P38">
        <v>1490550</v>
      </c>
      <c r="T38">
        <v>199503</v>
      </c>
      <c r="U38">
        <v>31350</v>
      </c>
    </row>
    <row r="39" spans="9:21" x14ac:dyDescent="0.25">
      <c r="I39">
        <v>198701</v>
      </c>
      <c r="J39">
        <v>55450000</v>
      </c>
      <c r="O39">
        <v>199303</v>
      </c>
      <c r="P39">
        <v>1803292</v>
      </c>
      <c r="T39">
        <v>199504</v>
      </c>
      <c r="U39">
        <v>143850</v>
      </c>
    </row>
    <row r="40" spans="9:21" x14ac:dyDescent="0.25">
      <c r="I40">
        <v>198702</v>
      </c>
      <c r="J40">
        <v>44397000</v>
      </c>
      <c r="O40">
        <v>199304</v>
      </c>
      <c r="P40">
        <v>1326945</v>
      </c>
      <c r="T40">
        <v>199505</v>
      </c>
      <c r="U40">
        <v>90900</v>
      </c>
    </row>
    <row r="41" spans="9:21" x14ac:dyDescent="0.25">
      <c r="I41">
        <v>198703</v>
      </c>
      <c r="J41">
        <v>51797000</v>
      </c>
      <c r="O41">
        <v>199305</v>
      </c>
      <c r="P41">
        <v>3162874</v>
      </c>
      <c r="T41">
        <v>199506</v>
      </c>
      <c r="U41">
        <v>371350</v>
      </c>
    </row>
    <row r="42" spans="9:21" x14ac:dyDescent="0.25">
      <c r="I42">
        <v>198704</v>
      </c>
      <c r="J42">
        <v>74408000</v>
      </c>
      <c r="O42">
        <v>199306</v>
      </c>
      <c r="P42">
        <v>4391430</v>
      </c>
      <c r="T42">
        <v>199507</v>
      </c>
      <c r="U42">
        <v>798374</v>
      </c>
    </row>
    <row r="43" spans="9:21" x14ac:dyDescent="0.25">
      <c r="I43">
        <v>198705</v>
      </c>
      <c r="J43">
        <v>59454000</v>
      </c>
      <c r="O43">
        <v>199307</v>
      </c>
      <c r="P43">
        <v>3899825</v>
      </c>
      <c r="T43">
        <v>199508</v>
      </c>
      <c r="U43">
        <v>347150</v>
      </c>
    </row>
    <row r="44" spans="9:21" x14ac:dyDescent="0.25">
      <c r="I44">
        <v>198706</v>
      </c>
      <c r="J44">
        <v>46464000</v>
      </c>
      <c r="O44">
        <v>199308</v>
      </c>
      <c r="P44">
        <v>2336105</v>
      </c>
      <c r="T44">
        <v>199509</v>
      </c>
      <c r="U44">
        <v>826635.6</v>
      </c>
    </row>
    <row r="45" spans="9:21" x14ac:dyDescent="0.25">
      <c r="I45">
        <v>198707</v>
      </c>
      <c r="J45">
        <v>29075000</v>
      </c>
      <c r="O45">
        <v>199309</v>
      </c>
      <c r="P45">
        <v>2705125</v>
      </c>
      <c r="T45">
        <v>199510</v>
      </c>
      <c r="U45">
        <v>533750</v>
      </c>
    </row>
    <row r="46" spans="9:21" x14ac:dyDescent="0.25">
      <c r="I46">
        <v>198708</v>
      </c>
      <c r="J46">
        <v>25748000</v>
      </c>
      <c r="O46">
        <v>199310</v>
      </c>
      <c r="P46">
        <v>3622233</v>
      </c>
      <c r="T46">
        <v>199511</v>
      </c>
      <c r="U46">
        <v>898288</v>
      </c>
    </row>
    <row r="47" spans="9:21" x14ac:dyDescent="0.25">
      <c r="I47">
        <v>198709</v>
      </c>
      <c r="J47">
        <v>21024000</v>
      </c>
      <c r="O47">
        <v>199311</v>
      </c>
      <c r="P47">
        <v>3945862</v>
      </c>
      <c r="T47">
        <v>199512</v>
      </c>
      <c r="U47">
        <v>1037910</v>
      </c>
    </row>
    <row r="48" spans="9:21" x14ac:dyDescent="0.25">
      <c r="I48">
        <v>198710</v>
      </c>
      <c r="J48">
        <v>16674000</v>
      </c>
      <c r="O48">
        <v>199312</v>
      </c>
      <c r="P48">
        <v>7036537</v>
      </c>
      <c r="T48">
        <v>199601</v>
      </c>
      <c r="U48">
        <v>1239355.06</v>
      </c>
    </row>
    <row r="49" spans="9:21" x14ac:dyDescent="0.25">
      <c r="I49">
        <v>198711</v>
      </c>
      <c r="J49">
        <v>12588000</v>
      </c>
      <c r="O49">
        <v>199401</v>
      </c>
      <c r="P49">
        <v>8280801</v>
      </c>
      <c r="T49">
        <v>199602</v>
      </c>
      <c r="U49">
        <v>708740</v>
      </c>
    </row>
    <row r="50" spans="9:21" x14ac:dyDescent="0.25">
      <c r="I50">
        <v>198712</v>
      </c>
      <c r="J50">
        <v>8751000</v>
      </c>
      <c r="O50">
        <v>199402</v>
      </c>
      <c r="P50">
        <v>4749053</v>
      </c>
      <c r="T50">
        <v>199603</v>
      </c>
      <c r="U50">
        <v>1088087.5</v>
      </c>
    </row>
    <row r="51" spans="9:21" x14ac:dyDescent="0.25">
      <c r="I51">
        <v>198801</v>
      </c>
      <c r="J51">
        <v>10694000</v>
      </c>
      <c r="O51">
        <v>199403</v>
      </c>
      <c r="P51">
        <v>5671003</v>
      </c>
      <c r="T51">
        <v>199604</v>
      </c>
      <c r="U51">
        <v>964862.64</v>
      </c>
    </row>
    <row r="52" spans="9:21" x14ac:dyDescent="0.25">
      <c r="I52">
        <v>198802</v>
      </c>
      <c r="J52">
        <v>8029000</v>
      </c>
      <c r="O52">
        <v>199404</v>
      </c>
      <c r="P52">
        <v>4069901</v>
      </c>
      <c r="T52">
        <v>199605</v>
      </c>
      <c r="U52">
        <v>413500</v>
      </c>
    </row>
    <row r="53" spans="9:21" x14ac:dyDescent="0.25">
      <c r="I53">
        <v>198803</v>
      </c>
      <c r="J53">
        <v>9287000</v>
      </c>
      <c r="O53">
        <v>199405</v>
      </c>
      <c r="P53">
        <v>5137150</v>
      </c>
      <c r="T53">
        <v>199606</v>
      </c>
      <c r="U53">
        <v>369525</v>
      </c>
    </row>
    <row r="54" spans="9:21" x14ac:dyDescent="0.25">
      <c r="I54">
        <v>198804</v>
      </c>
      <c r="J54">
        <v>15011000</v>
      </c>
      <c r="O54">
        <v>199406</v>
      </c>
      <c r="P54">
        <v>2754954</v>
      </c>
      <c r="T54">
        <v>199607</v>
      </c>
      <c r="U54">
        <v>1415090</v>
      </c>
    </row>
    <row r="55" spans="9:21" x14ac:dyDescent="0.25">
      <c r="I55">
        <v>198805</v>
      </c>
      <c r="J55">
        <v>17162000</v>
      </c>
      <c r="O55">
        <v>199407</v>
      </c>
      <c r="P55">
        <v>2474307</v>
      </c>
      <c r="T55">
        <v>199608</v>
      </c>
      <c r="U55">
        <v>334060</v>
      </c>
    </row>
    <row r="56" spans="9:21" x14ac:dyDescent="0.25">
      <c r="I56">
        <v>198806</v>
      </c>
      <c r="J56">
        <v>16484000</v>
      </c>
      <c r="O56">
        <v>199408</v>
      </c>
      <c r="P56">
        <v>1115745</v>
      </c>
      <c r="T56">
        <v>199609</v>
      </c>
      <c r="U56">
        <v>532505</v>
      </c>
    </row>
    <row r="57" spans="9:21" x14ac:dyDescent="0.25">
      <c r="I57">
        <v>198807</v>
      </c>
      <c r="J57">
        <v>17109000</v>
      </c>
      <c r="O57">
        <v>199409</v>
      </c>
      <c r="P57">
        <v>1532955</v>
      </c>
      <c r="T57">
        <v>199610</v>
      </c>
      <c r="U57">
        <v>595675</v>
      </c>
    </row>
    <row r="58" spans="9:21" x14ac:dyDescent="0.25">
      <c r="I58">
        <v>198808</v>
      </c>
      <c r="J58">
        <v>15574000</v>
      </c>
      <c r="O58">
        <v>199410</v>
      </c>
      <c r="P58">
        <v>1493941</v>
      </c>
      <c r="T58">
        <v>199611</v>
      </c>
      <c r="U58">
        <v>755300</v>
      </c>
    </row>
    <row r="59" spans="9:21" x14ac:dyDescent="0.25">
      <c r="I59">
        <v>198809</v>
      </c>
      <c r="J59">
        <v>16388000</v>
      </c>
      <c r="O59">
        <v>199411</v>
      </c>
      <c r="P59">
        <v>960197</v>
      </c>
      <c r="T59">
        <v>199612</v>
      </c>
      <c r="U59">
        <v>443250</v>
      </c>
    </row>
    <row r="60" spans="9:21" x14ac:dyDescent="0.25">
      <c r="I60">
        <v>198810</v>
      </c>
      <c r="J60">
        <v>15035000</v>
      </c>
      <c r="O60">
        <v>199412</v>
      </c>
      <c r="P60">
        <v>890310</v>
      </c>
      <c r="T60">
        <v>199701</v>
      </c>
      <c r="U60">
        <v>1267245</v>
      </c>
    </row>
    <row r="61" spans="9:21" x14ac:dyDescent="0.25">
      <c r="I61">
        <v>198811</v>
      </c>
      <c r="J61">
        <v>12913000</v>
      </c>
      <c r="O61">
        <v>199501</v>
      </c>
      <c r="P61">
        <v>859872</v>
      </c>
      <c r="T61">
        <v>199702</v>
      </c>
      <c r="U61">
        <v>1228584</v>
      </c>
    </row>
    <row r="62" spans="9:21" x14ac:dyDescent="0.25">
      <c r="I62">
        <v>198812</v>
      </c>
      <c r="J62">
        <v>14545000</v>
      </c>
      <c r="O62">
        <v>199502</v>
      </c>
      <c r="P62">
        <v>101350</v>
      </c>
      <c r="T62">
        <v>199703</v>
      </c>
      <c r="U62">
        <v>1131204</v>
      </c>
    </row>
    <row r="63" spans="9:21" x14ac:dyDescent="0.25">
      <c r="I63">
        <v>198901</v>
      </c>
      <c r="J63">
        <v>16821000</v>
      </c>
      <c r="O63">
        <v>199503</v>
      </c>
      <c r="P63">
        <v>473177</v>
      </c>
      <c r="T63">
        <v>199704</v>
      </c>
      <c r="U63">
        <v>1650210</v>
      </c>
    </row>
    <row r="64" spans="9:21" x14ac:dyDescent="0.25">
      <c r="I64">
        <v>198902</v>
      </c>
      <c r="J64">
        <v>11269000</v>
      </c>
      <c r="O64">
        <v>199504</v>
      </c>
      <c r="P64">
        <v>545412</v>
      </c>
      <c r="T64">
        <v>199705</v>
      </c>
      <c r="U64">
        <v>793800</v>
      </c>
    </row>
    <row r="65" spans="9:21" x14ac:dyDescent="0.25">
      <c r="I65">
        <v>198903</v>
      </c>
      <c r="J65">
        <v>10009000</v>
      </c>
      <c r="O65">
        <v>199505</v>
      </c>
      <c r="P65">
        <v>1354499</v>
      </c>
      <c r="T65">
        <v>199706</v>
      </c>
      <c r="U65">
        <v>956350</v>
      </c>
    </row>
    <row r="66" spans="9:21" x14ac:dyDescent="0.25">
      <c r="I66">
        <v>198904</v>
      </c>
      <c r="J66">
        <v>11628000</v>
      </c>
      <c r="O66">
        <v>199506</v>
      </c>
      <c r="P66">
        <v>836332</v>
      </c>
      <c r="T66">
        <v>199707</v>
      </c>
      <c r="U66">
        <v>808470.73</v>
      </c>
    </row>
    <row r="67" spans="9:21" x14ac:dyDescent="0.25">
      <c r="I67">
        <v>198905</v>
      </c>
      <c r="J67">
        <v>11863000</v>
      </c>
      <c r="O67">
        <v>199507</v>
      </c>
      <c r="P67">
        <v>1217200</v>
      </c>
      <c r="T67">
        <v>199708</v>
      </c>
      <c r="U67">
        <v>1338160</v>
      </c>
    </row>
    <row r="68" spans="9:21" x14ac:dyDescent="0.25">
      <c r="I68">
        <v>198906</v>
      </c>
      <c r="J68">
        <v>13676000</v>
      </c>
      <c r="O68">
        <v>199508</v>
      </c>
      <c r="P68">
        <v>1731733</v>
      </c>
      <c r="T68">
        <v>199709</v>
      </c>
      <c r="U68">
        <v>1643874</v>
      </c>
    </row>
    <row r="69" spans="9:21" x14ac:dyDescent="0.25">
      <c r="I69">
        <v>198907</v>
      </c>
      <c r="J69">
        <v>18166000</v>
      </c>
      <c r="O69">
        <v>199509</v>
      </c>
      <c r="P69">
        <v>2838010</v>
      </c>
      <c r="T69">
        <v>199710</v>
      </c>
      <c r="U69">
        <v>2042175.5</v>
      </c>
    </row>
    <row r="70" spans="9:21" x14ac:dyDescent="0.25">
      <c r="I70">
        <v>198908</v>
      </c>
      <c r="J70">
        <v>19093000</v>
      </c>
      <c r="O70">
        <v>199510</v>
      </c>
      <c r="P70">
        <v>3181778</v>
      </c>
      <c r="T70">
        <v>199711</v>
      </c>
      <c r="U70">
        <v>1974195</v>
      </c>
    </row>
    <row r="71" spans="9:21" x14ac:dyDescent="0.25">
      <c r="I71">
        <v>198909</v>
      </c>
      <c r="J71">
        <v>25017000</v>
      </c>
      <c r="O71">
        <v>199511</v>
      </c>
      <c r="P71">
        <v>2495560</v>
      </c>
      <c r="T71">
        <v>199712</v>
      </c>
      <c r="U71">
        <v>1512205</v>
      </c>
    </row>
    <row r="72" spans="9:21" x14ac:dyDescent="0.25">
      <c r="I72">
        <v>198910</v>
      </c>
      <c r="J72">
        <v>24380000</v>
      </c>
      <c r="O72">
        <v>199512</v>
      </c>
      <c r="P72">
        <v>3844292</v>
      </c>
      <c r="T72">
        <v>199801</v>
      </c>
      <c r="U72">
        <v>2504488</v>
      </c>
    </row>
    <row r="73" spans="9:21" x14ac:dyDescent="0.25">
      <c r="I73">
        <v>198911</v>
      </c>
      <c r="J73">
        <v>26022000</v>
      </c>
      <c r="O73">
        <v>199601</v>
      </c>
      <c r="P73">
        <v>2333802</v>
      </c>
      <c r="T73">
        <v>199802</v>
      </c>
      <c r="U73">
        <v>1353996.4</v>
      </c>
    </row>
    <row r="74" spans="9:21" x14ac:dyDescent="0.25">
      <c r="I74">
        <v>198912</v>
      </c>
      <c r="J74">
        <v>25052000</v>
      </c>
      <c r="O74">
        <v>199602</v>
      </c>
      <c r="P74">
        <v>2305255</v>
      </c>
      <c r="T74">
        <v>199803</v>
      </c>
      <c r="U74">
        <v>1939610.88</v>
      </c>
    </row>
    <row r="75" spans="9:21" x14ac:dyDescent="0.25">
      <c r="I75">
        <v>199001</v>
      </c>
      <c r="J75">
        <v>22011000</v>
      </c>
      <c r="O75">
        <v>199603</v>
      </c>
      <c r="P75">
        <v>2680066</v>
      </c>
      <c r="T75">
        <v>199804</v>
      </c>
      <c r="U75">
        <v>3361748</v>
      </c>
    </row>
    <row r="76" spans="9:21" x14ac:dyDescent="0.25">
      <c r="I76">
        <v>199002</v>
      </c>
      <c r="J76">
        <v>18758000</v>
      </c>
      <c r="O76">
        <v>199604</v>
      </c>
      <c r="P76">
        <v>3175530</v>
      </c>
      <c r="T76">
        <v>199805</v>
      </c>
      <c r="U76">
        <v>2887713</v>
      </c>
    </row>
    <row r="77" spans="9:21" x14ac:dyDescent="0.25">
      <c r="I77">
        <v>199003</v>
      </c>
      <c r="J77">
        <v>14340000</v>
      </c>
      <c r="O77">
        <v>199605</v>
      </c>
      <c r="P77">
        <v>1670750</v>
      </c>
      <c r="T77">
        <v>199806</v>
      </c>
      <c r="U77">
        <v>2782284.93</v>
      </c>
    </row>
    <row r="78" spans="9:21" x14ac:dyDescent="0.25">
      <c r="I78">
        <v>199004</v>
      </c>
      <c r="J78">
        <v>16245000</v>
      </c>
      <c r="O78">
        <v>199606</v>
      </c>
      <c r="P78">
        <v>1515819</v>
      </c>
      <c r="T78">
        <v>199807</v>
      </c>
      <c r="U78">
        <v>3133553</v>
      </c>
    </row>
    <row r="79" spans="9:21" x14ac:dyDescent="0.25">
      <c r="I79">
        <v>199005</v>
      </c>
      <c r="J79">
        <v>17075000</v>
      </c>
      <c r="O79">
        <v>199607</v>
      </c>
      <c r="P79">
        <v>1256434</v>
      </c>
      <c r="T79">
        <v>199808</v>
      </c>
      <c r="U79">
        <v>5301803</v>
      </c>
    </row>
    <row r="80" spans="9:21" x14ac:dyDescent="0.25">
      <c r="I80">
        <v>199006</v>
      </c>
      <c r="J80">
        <v>18219000</v>
      </c>
      <c r="O80">
        <v>199608</v>
      </c>
      <c r="P80">
        <v>1285700</v>
      </c>
      <c r="T80">
        <v>199809</v>
      </c>
      <c r="U80">
        <v>4983026</v>
      </c>
    </row>
    <row r="81" spans="9:21" x14ac:dyDescent="0.25">
      <c r="I81">
        <v>199007</v>
      </c>
      <c r="J81">
        <v>17401000</v>
      </c>
      <c r="O81">
        <v>199609</v>
      </c>
      <c r="P81">
        <v>1693651</v>
      </c>
      <c r="T81">
        <v>199810</v>
      </c>
      <c r="U81">
        <v>5992685.6799999997</v>
      </c>
    </row>
    <row r="82" spans="9:21" x14ac:dyDescent="0.25">
      <c r="I82">
        <v>199008</v>
      </c>
      <c r="J82">
        <v>17636000</v>
      </c>
      <c r="O82">
        <v>199610</v>
      </c>
      <c r="P82">
        <v>2139059</v>
      </c>
      <c r="T82">
        <v>199811</v>
      </c>
      <c r="U82">
        <v>6848937.9699999997</v>
      </c>
    </row>
    <row r="83" spans="9:21" x14ac:dyDescent="0.25">
      <c r="I83">
        <v>199009</v>
      </c>
      <c r="J83">
        <v>19338000</v>
      </c>
      <c r="O83">
        <v>199611</v>
      </c>
      <c r="P83">
        <v>837146</v>
      </c>
      <c r="T83">
        <v>199812</v>
      </c>
      <c r="U83">
        <v>5202202</v>
      </c>
    </row>
    <row r="84" spans="9:21" x14ac:dyDescent="0.25">
      <c r="I84">
        <v>199010</v>
      </c>
      <c r="J84">
        <v>15977000</v>
      </c>
      <c r="O84">
        <v>199612</v>
      </c>
      <c r="P84">
        <v>2418064</v>
      </c>
      <c r="T84">
        <v>199901</v>
      </c>
      <c r="U84">
        <v>5487080.5499999998</v>
      </c>
    </row>
    <row r="85" spans="9:21" x14ac:dyDescent="0.25">
      <c r="I85">
        <v>199011</v>
      </c>
      <c r="J85">
        <v>17002000</v>
      </c>
      <c r="O85">
        <v>199701</v>
      </c>
      <c r="P85">
        <v>1813450</v>
      </c>
      <c r="T85">
        <v>199902</v>
      </c>
      <c r="U85">
        <v>6203231.5</v>
      </c>
    </row>
    <row r="86" spans="9:21" x14ac:dyDescent="0.25">
      <c r="I86">
        <v>199012</v>
      </c>
      <c r="J86">
        <v>14475000</v>
      </c>
      <c r="O86">
        <v>199702</v>
      </c>
      <c r="P86">
        <v>1973110</v>
      </c>
      <c r="T86">
        <v>199903</v>
      </c>
      <c r="U86">
        <v>7185178.4400000004</v>
      </c>
    </row>
    <row r="87" spans="9:21" x14ac:dyDescent="0.25">
      <c r="I87">
        <v>199101</v>
      </c>
      <c r="J87">
        <v>15802000</v>
      </c>
      <c r="O87">
        <v>199703</v>
      </c>
      <c r="P87">
        <v>1010977</v>
      </c>
      <c r="T87">
        <v>199904</v>
      </c>
      <c r="U87">
        <v>5650837.5</v>
      </c>
    </row>
    <row r="88" spans="9:21" x14ac:dyDescent="0.25">
      <c r="I88">
        <v>199102</v>
      </c>
      <c r="J88">
        <v>13093000</v>
      </c>
      <c r="O88">
        <v>199704</v>
      </c>
      <c r="P88">
        <v>1897292</v>
      </c>
      <c r="T88">
        <v>199905</v>
      </c>
      <c r="U88">
        <v>5717397</v>
      </c>
    </row>
    <row r="89" spans="9:21" x14ac:dyDescent="0.25">
      <c r="I89">
        <v>199103</v>
      </c>
      <c r="J89">
        <v>11997000</v>
      </c>
      <c r="O89">
        <v>199705</v>
      </c>
      <c r="P89">
        <v>1109944</v>
      </c>
      <c r="T89">
        <v>199906</v>
      </c>
      <c r="U89">
        <v>5513594</v>
      </c>
    </row>
    <row r="90" spans="9:21" x14ac:dyDescent="0.25">
      <c r="I90">
        <v>199104</v>
      </c>
      <c r="J90">
        <v>17246000</v>
      </c>
      <c r="O90">
        <v>199706</v>
      </c>
      <c r="P90">
        <v>1194424</v>
      </c>
      <c r="T90">
        <v>199907</v>
      </c>
      <c r="U90">
        <v>5674093</v>
      </c>
    </row>
    <row r="91" spans="9:21" x14ac:dyDescent="0.25">
      <c r="I91">
        <v>199105</v>
      </c>
      <c r="J91">
        <v>18186000</v>
      </c>
      <c r="O91">
        <v>199707</v>
      </c>
      <c r="P91">
        <v>2754514</v>
      </c>
      <c r="T91">
        <v>199908</v>
      </c>
      <c r="U91">
        <v>5255955</v>
      </c>
    </row>
    <row r="92" spans="9:21" x14ac:dyDescent="0.25">
      <c r="I92">
        <v>199106</v>
      </c>
      <c r="J92">
        <v>22208000</v>
      </c>
      <c r="O92">
        <v>199708</v>
      </c>
      <c r="P92">
        <v>3068440</v>
      </c>
      <c r="T92">
        <v>199909</v>
      </c>
      <c r="U92">
        <v>4539485</v>
      </c>
    </row>
    <row r="93" spans="9:21" x14ac:dyDescent="0.25">
      <c r="I93">
        <v>199107</v>
      </c>
      <c r="J93">
        <v>26765000</v>
      </c>
      <c r="O93">
        <v>199709</v>
      </c>
      <c r="P93">
        <v>3006931</v>
      </c>
      <c r="T93">
        <v>199910</v>
      </c>
      <c r="U93">
        <v>6014394</v>
      </c>
    </row>
    <row r="94" spans="9:21" x14ac:dyDescent="0.25">
      <c r="I94">
        <v>199108</v>
      </c>
      <c r="J94">
        <v>14996000</v>
      </c>
      <c r="O94">
        <v>199710</v>
      </c>
      <c r="P94">
        <v>3664935</v>
      </c>
      <c r="T94">
        <v>199911</v>
      </c>
      <c r="U94">
        <v>5777838</v>
      </c>
    </row>
    <row r="95" spans="9:21" x14ac:dyDescent="0.25">
      <c r="I95">
        <v>199109</v>
      </c>
      <c r="J95">
        <v>19471000</v>
      </c>
      <c r="O95">
        <v>199711</v>
      </c>
      <c r="P95">
        <v>4341724</v>
      </c>
      <c r="T95">
        <v>199912</v>
      </c>
      <c r="U95">
        <v>4764828</v>
      </c>
    </row>
    <row r="96" spans="9:21" x14ac:dyDescent="0.25">
      <c r="I96">
        <v>199110</v>
      </c>
      <c r="J96">
        <v>18974000</v>
      </c>
      <c r="O96">
        <v>199712</v>
      </c>
      <c r="P96">
        <v>3566876</v>
      </c>
      <c r="T96">
        <v>200001</v>
      </c>
      <c r="U96">
        <v>6807905</v>
      </c>
    </row>
    <row r="97" spans="9:21" x14ac:dyDescent="0.25">
      <c r="I97">
        <v>199111</v>
      </c>
      <c r="J97">
        <v>22434000</v>
      </c>
      <c r="O97">
        <v>199801</v>
      </c>
      <c r="P97">
        <v>3548697</v>
      </c>
      <c r="T97">
        <v>200002</v>
      </c>
      <c r="U97">
        <v>3727271.11</v>
      </c>
    </row>
    <row r="98" spans="9:21" x14ac:dyDescent="0.25">
      <c r="I98">
        <v>199112</v>
      </c>
      <c r="J98">
        <v>23614000</v>
      </c>
      <c r="O98">
        <v>199802</v>
      </c>
      <c r="P98">
        <v>3256394</v>
      </c>
      <c r="T98">
        <v>200003</v>
      </c>
      <c r="U98">
        <v>3232959.97</v>
      </c>
    </row>
    <row r="99" spans="9:21" x14ac:dyDescent="0.25">
      <c r="I99">
        <v>199201</v>
      </c>
      <c r="J99">
        <v>29179000</v>
      </c>
      <c r="O99">
        <v>199803</v>
      </c>
      <c r="P99">
        <v>3197571</v>
      </c>
      <c r="T99">
        <v>200004</v>
      </c>
      <c r="U99">
        <v>3786768.2</v>
      </c>
    </row>
    <row r="100" spans="9:21" x14ac:dyDescent="0.25">
      <c r="I100">
        <v>199202</v>
      </c>
      <c r="J100">
        <v>25873000</v>
      </c>
      <c r="O100">
        <v>199804</v>
      </c>
      <c r="P100">
        <v>5342801</v>
      </c>
      <c r="T100">
        <v>200005</v>
      </c>
      <c r="U100">
        <v>4851313</v>
      </c>
    </row>
    <row r="101" spans="9:21" x14ac:dyDescent="0.25">
      <c r="I101">
        <v>199203</v>
      </c>
      <c r="J101">
        <v>25012000</v>
      </c>
      <c r="O101">
        <v>199805</v>
      </c>
      <c r="P101">
        <v>7483698</v>
      </c>
      <c r="T101">
        <v>200006</v>
      </c>
      <c r="U101">
        <v>3870657</v>
      </c>
    </row>
    <row r="102" spans="9:21" x14ac:dyDescent="0.25">
      <c r="I102">
        <v>199204</v>
      </c>
      <c r="J102">
        <v>29743000</v>
      </c>
      <c r="O102">
        <v>199806</v>
      </c>
      <c r="P102">
        <v>8735927</v>
      </c>
      <c r="T102">
        <v>200007</v>
      </c>
      <c r="U102">
        <v>4814151.6799999997</v>
      </c>
    </row>
    <row r="103" spans="9:21" x14ac:dyDescent="0.25">
      <c r="I103">
        <v>199205</v>
      </c>
      <c r="J103">
        <v>30439000</v>
      </c>
      <c r="O103">
        <v>199807</v>
      </c>
      <c r="P103">
        <v>7345830</v>
      </c>
      <c r="T103">
        <v>200008</v>
      </c>
      <c r="U103">
        <v>3180734.16</v>
      </c>
    </row>
    <row r="104" spans="9:21" x14ac:dyDescent="0.25">
      <c r="I104">
        <v>199206</v>
      </c>
      <c r="J104">
        <v>28219000</v>
      </c>
      <c r="O104">
        <v>199808</v>
      </c>
      <c r="P104">
        <v>7761547</v>
      </c>
      <c r="T104">
        <v>200009</v>
      </c>
      <c r="U104">
        <v>4926229</v>
      </c>
    </row>
    <row r="105" spans="9:21" x14ac:dyDescent="0.25">
      <c r="I105">
        <v>199207</v>
      </c>
      <c r="J105">
        <v>34090000</v>
      </c>
      <c r="O105">
        <v>199809</v>
      </c>
      <c r="P105">
        <v>8224387</v>
      </c>
      <c r="T105">
        <v>200010</v>
      </c>
      <c r="U105">
        <v>7956830.7999999998</v>
      </c>
    </row>
    <row r="106" spans="9:21" x14ac:dyDescent="0.25">
      <c r="I106">
        <v>199208</v>
      </c>
      <c r="J106">
        <v>38628000</v>
      </c>
      <c r="O106">
        <v>199810</v>
      </c>
      <c r="P106">
        <v>8945522</v>
      </c>
      <c r="T106">
        <v>200011</v>
      </c>
      <c r="U106">
        <v>5935159</v>
      </c>
    </row>
    <row r="107" spans="9:21" x14ac:dyDescent="0.25">
      <c r="I107">
        <v>199209</v>
      </c>
      <c r="J107">
        <v>47111000</v>
      </c>
      <c r="O107">
        <v>199811</v>
      </c>
      <c r="P107">
        <v>10200543</v>
      </c>
      <c r="T107">
        <v>200012</v>
      </c>
      <c r="U107">
        <v>6908349.9400000004</v>
      </c>
    </row>
    <row r="108" spans="9:21" x14ac:dyDescent="0.25">
      <c r="I108">
        <v>199210</v>
      </c>
      <c r="J108">
        <v>56316000</v>
      </c>
      <c r="O108">
        <v>199812</v>
      </c>
      <c r="P108">
        <v>9745722</v>
      </c>
      <c r="T108">
        <v>200101</v>
      </c>
      <c r="U108">
        <v>8915090.1199999992</v>
      </c>
    </row>
    <row r="109" spans="9:21" x14ac:dyDescent="0.25">
      <c r="I109">
        <v>199211</v>
      </c>
      <c r="J109">
        <v>57212000</v>
      </c>
      <c r="O109">
        <v>199901</v>
      </c>
      <c r="P109">
        <v>10605232</v>
      </c>
      <c r="T109">
        <v>200102</v>
      </c>
      <c r="U109">
        <v>9516403</v>
      </c>
    </row>
    <row r="110" spans="9:21" x14ac:dyDescent="0.25">
      <c r="I110">
        <v>199212</v>
      </c>
      <c r="J110">
        <v>46935000</v>
      </c>
      <c r="O110">
        <v>199902</v>
      </c>
      <c r="P110">
        <v>10431371</v>
      </c>
      <c r="T110">
        <v>200103</v>
      </c>
      <c r="U110">
        <v>12859077.640000001</v>
      </c>
    </row>
    <row r="111" spans="9:21" x14ac:dyDescent="0.25">
      <c r="I111">
        <v>199301</v>
      </c>
      <c r="J111">
        <v>43564000</v>
      </c>
      <c r="O111">
        <v>199903</v>
      </c>
      <c r="P111">
        <v>9305081</v>
      </c>
      <c r="T111">
        <v>200104</v>
      </c>
      <c r="U111">
        <v>20628698.370000001</v>
      </c>
    </row>
    <row r="112" spans="9:21" x14ac:dyDescent="0.25">
      <c r="I112">
        <v>199302</v>
      </c>
      <c r="J112">
        <v>32256000</v>
      </c>
      <c r="O112">
        <v>199904</v>
      </c>
      <c r="P112">
        <v>12324095</v>
      </c>
      <c r="T112">
        <v>200105</v>
      </c>
      <c r="U112">
        <v>26646971.5</v>
      </c>
    </row>
    <row r="113" spans="9:21" x14ac:dyDescent="0.25">
      <c r="I113">
        <v>199303</v>
      </c>
      <c r="J113">
        <v>37019000</v>
      </c>
      <c r="O113">
        <v>199905</v>
      </c>
      <c r="P113">
        <v>12479467</v>
      </c>
      <c r="T113">
        <v>200106</v>
      </c>
      <c r="U113">
        <v>23997507.98</v>
      </c>
    </row>
    <row r="114" spans="9:21" x14ac:dyDescent="0.25">
      <c r="I114">
        <v>199304</v>
      </c>
      <c r="J114">
        <v>65312000</v>
      </c>
      <c r="O114">
        <v>199906</v>
      </c>
      <c r="P114">
        <v>13780061</v>
      </c>
      <c r="T114">
        <v>200107</v>
      </c>
      <c r="U114">
        <v>22101833.68</v>
      </c>
    </row>
    <row r="115" spans="9:21" x14ac:dyDescent="0.25">
      <c r="I115">
        <v>199305</v>
      </c>
      <c r="J115">
        <v>89247000</v>
      </c>
      <c r="O115">
        <v>199907</v>
      </c>
      <c r="P115">
        <v>9576228</v>
      </c>
      <c r="T115">
        <v>200108</v>
      </c>
      <c r="U115">
        <v>23783119.100000001</v>
      </c>
    </row>
    <row r="116" spans="9:21" x14ac:dyDescent="0.25">
      <c r="I116">
        <v>199306</v>
      </c>
      <c r="J116">
        <v>105806000</v>
      </c>
      <c r="O116">
        <v>199908</v>
      </c>
      <c r="P116">
        <v>7483690</v>
      </c>
      <c r="T116">
        <v>200109</v>
      </c>
      <c r="U116">
        <v>29333090.949999999</v>
      </c>
    </row>
    <row r="117" spans="9:21" x14ac:dyDescent="0.25">
      <c r="I117">
        <v>199307</v>
      </c>
      <c r="J117">
        <v>107982000</v>
      </c>
      <c r="O117">
        <v>199909</v>
      </c>
      <c r="P117">
        <v>4616759</v>
      </c>
      <c r="T117">
        <v>200110</v>
      </c>
      <c r="U117">
        <v>33278688.09</v>
      </c>
    </row>
    <row r="118" spans="9:21" x14ac:dyDescent="0.25">
      <c r="I118">
        <v>199308</v>
      </c>
      <c r="J118">
        <v>116532000</v>
      </c>
      <c r="O118">
        <v>199910</v>
      </c>
      <c r="P118">
        <v>4972114</v>
      </c>
      <c r="T118">
        <v>200111</v>
      </c>
      <c r="U118">
        <v>45544220.280000001</v>
      </c>
    </row>
    <row r="119" spans="9:21" x14ac:dyDescent="0.25">
      <c r="I119">
        <v>199309</v>
      </c>
      <c r="J119">
        <v>140915000</v>
      </c>
      <c r="O119">
        <v>199911</v>
      </c>
      <c r="P119">
        <v>3171300</v>
      </c>
      <c r="T119">
        <v>200112</v>
      </c>
      <c r="U119">
        <v>50319790.509999998</v>
      </c>
    </row>
    <row r="120" spans="9:21" x14ac:dyDescent="0.25">
      <c r="I120">
        <v>199310</v>
      </c>
      <c r="J120">
        <v>165910000</v>
      </c>
      <c r="O120">
        <v>199912</v>
      </c>
      <c r="P120">
        <v>2663610</v>
      </c>
      <c r="T120">
        <v>200201</v>
      </c>
      <c r="U120">
        <v>48973440.950000003</v>
      </c>
    </row>
    <row r="121" spans="9:21" x14ac:dyDescent="0.25">
      <c r="I121">
        <v>199311</v>
      </c>
      <c r="J121">
        <v>204764000</v>
      </c>
      <c r="O121">
        <v>200001</v>
      </c>
      <c r="P121">
        <v>5311130</v>
      </c>
      <c r="T121">
        <v>200202</v>
      </c>
      <c r="U121">
        <v>36930614.18</v>
      </c>
    </row>
    <row r="122" spans="9:21" x14ac:dyDescent="0.25">
      <c r="I122">
        <v>199312</v>
      </c>
      <c r="J122">
        <v>213735000</v>
      </c>
      <c r="O122">
        <v>200002</v>
      </c>
      <c r="P122">
        <v>2610763</v>
      </c>
      <c r="T122">
        <v>200203</v>
      </c>
      <c r="U122">
        <v>33628939.789999999</v>
      </c>
    </row>
    <row r="123" spans="9:21" x14ac:dyDescent="0.25">
      <c r="I123">
        <v>199401</v>
      </c>
      <c r="J123">
        <v>183947000</v>
      </c>
      <c r="O123">
        <v>200003</v>
      </c>
      <c r="P123">
        <v>1718990</v>
      </c>
      <c r="T123">
        <v>200204</v>
      </c>
      <c r="U123">
        <v>40083731.740000002</v>
      </c>
    </row>
    <row r="124" spans="9:21" x14ac:dyDescent="0.25">
      <c r="I124">
        <v>199402</v>
      </c>
      <c r="J124">
        <v>126338000</v>
      </c>
      <c r="O124">
        <v>200004</v>
      </c>
      <c r="P124">
        <v>2213360</v>
      </c>
      <c r="T124">
        <v>200205</v>
      </c>
      <c r="U124">
        <v>33387666.329999998</v>
      </c>
    </row>
    <row r="125" spans="9:21" x14ac:dyDescent="0.25">
      <c r="I125">
        <v>199403</v>
      </c>
      <c r="J125">
        <v>120235000</v>
      </c>
      <c r="O125">
        <v>200005</v>
      </c>
      <c r="P125">
        <v>2511005</v>
      </c>
      <c r="T125">
        <v>200206</v>
      </c>
      <c r="U125">
        <v>38538386</v>
      </c>
    </row>
    <row r="126" spans="9:21" x14ac:dyDescent="0.25">
      <c r="I126">
        <v>199404</v>
      </c>
      <c r="J126">
        <v>121417000</v>
      </c>
      <c r="O126">
        <v>200006</v>
      </c>
      <c r="P126">
        <v>3032010</v>
      </c>
      <c r="T126">
        <v>200207</v>
      </c>
      <c r="U126">
        <v>52727390.990000002</v>
      </c>
    </row>
    <row r="127" spans="9:21" x14ac:dyDescent="0.25">
      <c r="I127">
        <v>199405</v>
      </c>
      <c r="J127">
        <v>68788000</v>
      </c>
      <c r="O127">
        <v>200007</v>
      </c>
      <c r="P127">
        <v>3520897</v>
      </c>
      <c r="T127">
        <v>200208</v>
      </c>
      <c r="U127">
        <v>71196880.290000007</v>
      </c>
    </row>
    <row r="128" spans="9:21" x14ac:dyDescent="0.25">
      <c r="I128">
        <v>199406</v>
      </c>
      <c r="J128">
        <v>47649000</v>
      </c>
      <c r="O128">
        <v>200008</v>
      </c>
      <c r="P128">
        <v>1551176</v>
      </c>
      <c r="T128">
        <v>200209</v>
      </c>
      <c r="U128">
        <v>95299371.700000003</v>
      </c>
    </row>
    <row r="129" spans="9:21" x14ac:dyDescent="0.25">
      <c r="I129">
        <v>199407</v>
      </c>
      <c r="J129">
        <v>34257000</v>
      </c>
      <c r="O129">
        <v>200009</v>
      </c>
      <c r="P129">
        <v>3532770</v>
      </c>
      <c r="T129">
        <v>200210</v>
      </c>
      <c r="U129">
        <v>115441855.3</v>
      </c>
    </row>
    <row r="130" spans="9:21" x14ac:dyDescent="0.25">
      <c r="I130">
        <v>199408</v>
      </c>
      <c r="J130">
        <v>27336000</v>
      </c>
      <c r="O130">
        <v>200010</v>
      </c>
      <c r="P130">
        <v>3860916</v>
      </c>
      <c r="T130">
        <v>200211</v>
      </c>
      <c r="U130">
        <v>165157992.71000001</v>
      </c>
    </row>
    <row r="131" spans="9:21" x14ac:dyDescent="0.25">
      <c r="I131">
        <v>199409</v>
      </c>
      <c r="J131">
        <v>28410000</v>
      </c>
      <c r="O131">
        <v>200011</v>
      </c>
      <c r="P131">
        <v>3882012</v>
      </c>
      <c r="T131">
        <v>200212</v>
      </c>
      <c r="U131">
        <v>166312172.93000001</v>
      </c>
    </row>
    <row r="132" spans="9:21" x14ac:dyDescent="0.25">
      <c r="I132">
        <v>199410</v>
      </c>
      <c r="J132">
        <v>23790000</v>
      </c>
      <c r="O132">
        <v>200012</v>
      </c>
      <c r="P132">
        <v>4488078</v>
      </c>
      <c r="T132">
        <v>200301</v>
      </c>
      <c r="U132">
        <v>188855723.03</v>
      </c>
    </row>
    <row r="133" spans="9:21" x14ac:dyDescent="0.25">
      <c r="I133">
        <v>199411</v>
      </c>
      <c r="J133">
        <v>17326000</v>
      </c>
      <c r="O133">
        <v>200101</v>
      </c>
      <c r="P133">
        <v>4510553</v>
      </c>
      <c r="T133">
        <v>200302</v>
      </c>
      <c r="U133">
        <v>235053559.69</v>
      </c>
    </row>
    <row r="134" spans="9:21" x14ac:dyDescent="0.25">
      <c r="I134">
        <v>199412</v>
      </c>
      <c r="J134">
        <v>14646000</v>
      </c>
      <c r="O134">
        <v>200102</v>
      </c>
      <c r="P134">
        <v>4526776</v>
      </c>
      <c r="T134">
        <v>200303</v>
      </c>
      <c r="U134">
        <v>560104564.52999997</v>
      </c>
    </row>
    <row r="135" spans="9:21" x14ac:dyDescent="0.25">
      <c r="I135">
        <v>199501</v>
      </c>
      <c r="J135">
        <v>15587000</v>
      </c>
      <c r="O135">
        <v>200103</v>
      </c>
      <c r="P135">
        <v>12610738</v>
      </c>
      <c r="T135">
        <v>200304</v>
      </c>
      <c r="U135">
        <v>1346731068.8299999</v>
      </c>
    </row>
    <row r="136" spans="9:21" x14ac:dyDescent="0.25">
      <c r="I136">
        <v>199502</v>
      </c>
      <c r="J136">
        <v>9986000</v>
      </c>
      <c r="O136">
        <v>200104</v>
      </c>
      <c r="P136">
        <v>17181696</v>
      </c>
      <c r="T136">
        <v>200305</v>
      </c>
      <c r="U136">
        <v>1594775712.1600001</v>
      </c>
    </row>
    <row r="137" spans="9:21" x14ac:dyDescent="0.25">
      <c r="I137">
        <v>199503</v>
      </c>
      <c r="J137">
        <v>11769000</v>
      </c>
      <c r="O137">
        <v>200105</v>
      </c>
      <c r="P137">
        <v>10131925</v>
      </c>
      <c r="T137">
        <v>200306</v>
      </c>
      <c r="U137">
        <v>1747387637.3499999</v>
      </c>
    </row>
    <row r="138" spans="9:21" x14ac:dyDescent="0.25">
      <c r="I138">
        <v>199504</v>
      </c>
      <c r="J138">
        <v>16607000</v>
      </c>
      <c r="O138">
        <v>200106</v>
      </c>
      <c r="P138">
        <v>12492535</v>
      </c>
      <c r="T138">
        <v>200307</v>
      </c>
      <c r="U138">
        <v>2271262302.1300001</v>
      </c>
    </row>
    <row r="139" spans="9:21" x14ac:dyDescent="0.25">
      <c r="I139">
        <v>199505</v>
      </c>
      <c r="J139">
        <v>23445000</v>
      </c>
      <c r="O139">
        <v>200107</v>
      </c>
      <c r="P139">
        <v>13940449</v>
      </c>
      <c r="T139">
        <v>200308</v>
      </c>
      <c r="U139">
        <v>2349119045.0799999</v>
      </c>
    </row>
    <row r="140" spans="9:21" x14ac:dyDescent="0.25">
      <c r="I140">
        <v>199506</v>
      </c>
      <c r="J140">
        <v>33016000</v>
      </c>
      <c r="O140">
        <v>200108</v>
      </c>
      <c r="P140">
        <v>11957234</v>
      </c>
      <c r="T140">
        <v>200309</v>
      </c>
      <c r="U140">
        <v>1699315890.53</v>
      </c>
    </row>
    <row r="141" spans="9:21" x14ac:dyDescent="0.25">
      <c r="I141">
        <v>199507</v>
      </c>
      <c r="J141">
        <v>46107000</v>
      </c>
      <c r="O141">
        <v>200109</v>
      </c>
      <c r="P141">
        <v>21562686</v>
      </c>
      <c r="T141">
        <v>200310</v>
      </c>
      <c r="U141">
        <v>1157361802.3399999</v>
      </c>
    </row>
    <row r="142" spans="9:21" x14ac:dyDescent="0.25">
      <c r="I142">
        <v>199508</v>
      </c>
      <c r="J142">
        <v>54289000</v>
      </c>
      <c r="O142">
        <v>200110</v>
      </c>
      <c r="P142">
        <v>23533405</v>
      </c>
      <c r="T142">
        <v>200311</v>
      </c>
      <c r="U142">
        <v>1087726345.8800001</v>
      </c>
    </row>
    <row r="143" spans="9:21" x14ac:dyDescent="0.25">
      <c r="I143">
        <v>199509</v>
      </c>
      <c r="J143">
        <v>59541000</v>
      </c>
      <c r="O143">
        <v>200111</v>
      </c>
      <c r="P143">
        <v>33375265</v>
      </c>
      <c r="T143">
        <v>200312</v>
      </c>
      <c r="U143">
        <v>911712239.98000002</v>
      </c>
    </row>
    <row r="144" spans="9:21" x14ac:dyDescent="0.25">
      <c r="I144">
        <v>199510</v>
      </c>
      <c r="J144">
        <v>49942000</v>
      </c>
      <c r="O144">
        <v>200112</v>
      </c>
      <c r="P144">
        <v>37755000</v>
      </c>
      <c r="T144">
        <v>200401</v>
      </c>
      <c r="U144">
        <v>935893755.51999998</v>
      </c>
    </row>
    <row r="145" spans="9:21" x14ac:dyDescent="0.25">
      <c r="I145">
        <v>199511</v>
      </c>
      <c r="J145">
        <v>59671000</v>
      </c>
      <c r="O145">
        <v>200201</v>
      </c>
      <c r="P145">
        <v>23644823</v>
      </c>
      <c r="T145">
        <v>200402</v>
      </c>
      <c r="U145">
        <v>745322058.35000002</v>
      </c>
    </row>
    <row r="146" spans="9:21" x14ac:dyDescent="0.25">
      <c r="I146">
        <v>199512</v>
      </c>
      <c r="J146">
        <v>64574000</v>
      </c>
      <c r="O146">
        <v>200202</v>
      </c>
      <c r="P146">
        <v>15280393</v>
      </c>
      <c r="T146">
        <v>200403</v>
      </c>
      <c r="U146">
        <v>888831842.60000002</v>
      </c>
    </row>
    <row r="147" spans="9:21" x14ac:dyDescent="0.25">
      <c r="I147">
        <v>199601</v>
      </c>
      <c r="J147">
        <v>66509000</v>
      </c>
      <c r="O147">
        <v>200203</v>
      </c>
      <c r="P147">
        <v>14095623</v>
      </c>
      <c r="T147">
        <v>200404</v>
      </c>
      <c r="U147">
        <v>1203187181.3499999</v>
      </c>
    </row>
    <row r="148" spans="9:21" x14ac:dyDescent="0.25">
      <c r="I148">
        <v>199602</v>
      </c>
      <c r="J148">
        <v>62979400</v>
      </c>
      <c r="O148">
        <v>200204</v>
      </c>
      <c r="P148">
        <v>12885043</v>
      </c>
      <c r="T148">
        <v>200405</v>
      </c>
      <c r="U148">
        <v>1251421737.0899999</v>
      </c>
    </row>
    <row r="149" spans="9:21" x14ac:dyDescent="0.25">
      <c r="I149">
        <v>199603</v>
      </c>
      <c r="J149">
        <v>78465000</v>
      </c>
      <c r="O149">
        <v>200205</v>
      </c>
      <c r="P149">
        <v>14880604</v>
      </c>
      <c r="T149">
        <v>200406</v>
      </c>
      <c r="U149">
        <v>979739659.12</v>
      </c>
    </row>
    <row r="150" spans="9:21" x14ac:dyDescent="0.25">
      <c r="I150">
        <v>199604</v>
      </c>
      <c r="J150">
        <v>80632000</v>
      </c>
      <c r="O150">
        <v>200206</v>
      </c>
      <c r="P150">
        <v>18111854</v>
      </c>
      <c r="T150">
        <v>200407</v>
      </c>
      <c r="U150">
        <v>870044914.97000003</v>
      </c>
    </row>
    <row r="151" spans="9:21" x14ac:dyDescent="0.25">
      <c r="I151">
        <v>199605</v>
      </c>
      <c r="J151">
        <v>62031000</v>
      </c>
      <c r="O151">
        <v>200207</v>
      </c>
      <c r="P151">
        <v>18084134</v>
      </c>
      <c r="T151">
        <v>200408</v>
      </c>
      <c r="U151">
        <v>893073941.37</v>
      </c>
    </row>
    <row r="152" spans="9:21" x14ac:dyDescent="0.25">
      <c r="I152">
        <v>199606</v>
      </c>
      <c r="J152">
        <v>57593000</v>
      </c>
      <c r="O152">
        <v>200208</v>
      </c>
      <c r="P152">
        <v>18284929</v>
      </c>
      <c r="T152">
        <v>200409</v>
      </c>
      <c r="U152">
        <v>1025044125.25</v>
      </c>
    </row>
    <row r="153" spans="9:21" x14ac:dyDescent="0.25">
      <c r="I153">
        <v>199607</v>
      </c>
      <c r="J153">
        <v>46946000</v>
      </c>
      <c r="O153">
        <v>200209</v>
      </c>
      <c r="P153">
        <v>31872928</v>
      </c>
      <c r="T153">
        <v>200410</v>
      </c>
      <c r="U153">
        <v>1019820078.77</v>
      </c>
    </row>
    <row r="154" spans="9:21" x14ac:dyDescent="0.25">
      <c r="I154">
        <v>199608</v>
      </c>
      <c r="J154">
        <v>44762000</v>
      </c>
      <c r="O154">
        <v>200210</v>
      </c>
      <c r="P154">
        <v>36839778</v>
      </c>
      <c r="T154">
        <v>200411</v>
      </c>
      <c r="U154">
        <v>1049782431.4299999</v>
      </c>
    </row>
    <row r="155" spans="9:21" x14ac:dyDescent="0.25">
      <c r="I155">
        <v>199609</v>
      </c>
      <c r="J155">
        <v>43351000</v>
      </c>
      <c r="O155">
        <v>200211</v>
      </c>
      <c r="P155">
        <v>47230116</v>
      </c>
      <c r="T155">
        <v>200412</v>
      </c>
      <c r="U155">
        <v>1029403018.04</v>
      </c>
    </row>
    <row r="156" spans="9:21" x14ac:dyDescent="0.25">
      <c r="I156">
        <v>199610</v>
      </c>
      <c r="J156">
        <v>40632000</v>
      </c>
      <c r="O156">
        <v>200212</v>
      </c>
      <c r="P156">
        <v>45254886</v>
      </c>
      <c r="T156">
        <v>200501</v>
      </c>
      <c r="U156">
        <v>997755696.95000005</v>
      </c>
    </row>
    <row r="157" spans="9:21" x14ac:dyDescent="0.25">
      <c r="I157">
        <v>199611</v>
      </c>
      <c r="J157">
        <v>41054000</v>
      </c>
      <c r="O157">
        <v>200301</v>
      </c>
      <c r="P157">
        <v>52565283</v>
      </c>
      <c r="T157">
        <v>200502</v>
      </c>
      <c r="U157">
        <v>822998211.32000005</v>
      </c>
    </row>
    <row r="158" spans="9:21" x14ac:dyDescent="0.25">
      <c r="I158">
        <v>199612</v>
      </c>
      <c r="J158">
        <v>44789000</v>
      </c>
      <c r="O158">
        <v>200302</v>
      </c>
      <c r="P158">
        <v>46883308</v>
      </c>
      <c r="T158">
        <v>200503</v>
      </c>
      <c r="U158">
        <v>900994305.88</v>
      </c>
    </row>
    <row r="159" spans="9:21" x14ac:dyDescent="0.25">
      <c r="I159">
        <v>199701</v>
      </c>
      <c r="J159">
        <v>49687000</v>
      </c>
      <c r="O159">
        <v>200303</v>
      </c>
      <c r="P159">
        <v>54294494</v>
      </c>
      <c r="T159">
        <v>200504</v>
      </c>
      <c r="U159">
        <v>1117440808.4400001</v>
      </c>
    </row>
    <row r="160" spans="9:21" x14ac:dyDescent="0.25">
      <c r="I160">
        <v>199702</v>
      </c>
      <c r="J160">
        <v>42668000</v>
      </c>
      <c r="O160">
        <v>200304</v>
      </c>
      <c r="P160">
        <v>63395390</v>
      </c>
      <c r="T160">
        <v>200505</v>
      </c>
      <c r="U160">
        <v>1076360641.95</v>
      </c>
    </row>
    <row r="161" spans="9:21" x14ac:dyDescent="0.25">
      <c r="I161">
        <v>199703</v>
      </c>
      <c r="J161">
        <v>37726000</v>
      </c>
      <c r="O161">
        <v>200305</v>
      </c>
      <c r="P161">
        <v>64326446</v>
      </c>
      <c r="T161">
        <v>200506</v>
      </c>
      <c r="U161">
        <v>1340197467.4400001</v>
      </c>
    </row>
    <row r="162" spans="9:21" x14ac:dyDescent="0.25">
      <c r="I162">
        <v>199704</v>
      </c>
      <c r="J162">
        <v>50825000</v>
      </c>
      <c r="O162">
        <v>200306</v>
      </c>
      <c r="P162">
        <v>71914131</v>
      </c>
      <c r="T162">
        <v>200507</v>
      </c>
      <c r="U162">
        <v>1674165140.9200001</v>
      </c>
    </row>
    <row r="163" spans="9:21" x14ac:dyDescent="0.25">
      <c r="I163">
        <v>199705</v>
      </c>
      <c r="J163">
        <v>48449000</v>
      </c>
      <c r="O163">
        <v>200307</v>
      </c>
      <c r="P163">
        <v>92620291</v>
      </c>
      <c r="T163">
        <v>200508</v>
      </c>
      <c r="U163">
        <v>1604087342.97</v>
      </c>
    </row>
    <row r="164" spans="9:21" x14ac:dyDescent="0.25">
      <c r="I164">
        <v>199706</v>
      </c>
      <c r="J164">
        <v>47554000</v>
      </c>
      <c r="O164">
        <v>200308</v>
      </c>
      <c r="P164">
        <v>108688164</v>
      </c>
      <c r="T164">
        <v>200509</v>
      </c>
      <c r="U164">
        <v>1614857777.8800001</v>
      </c>
    </row>
    <row r="165" spans="9:21" x14ac:dyDescent="0.25">
      <c r="I165">
        <v>199707</v>
      </c>
      <c r="J165">
        <v>52024000</v>
      </c>
      <c r="O165">
        <v>200309</v>
      </c>
      <c r="P165">
        <v>78077756</v>
      </c>
      <c r="T165">
        <v>200510</v>
      </c>
      <c r="U165">
        <v>1394235789.77</v>
      </c>
    </row>
    <row r="166" spans="9:21" x14ac:dyDescent="0.25">
      <c r="I166">
        <v>199708</v>
      </c>
      <c r="J166">
        <v>68796000</v>
      </c>
      <c r="O166">
        <v>200310</v>
      </c>
      <c r="P166">
        <v>56909998</v>
      </c>
      <c r="T166">
        <v>200511</v>
      </c>
      <c r="U166">
        <v>1284199224.5999999</v>
      </c>
    </row>
    <row r="167" spans="9:21" x14ac:dyDescent="0.25">
      <c r="I167">
        <v>199709</v>
      </c>
      <c r="J167">
        <v>75141000</v>
      </c>
      <c r="O167">
        <v>200311</v>
      </c>
      <c r="P167">
        <v>67784677</v>
      </c>
      <c r="T167">
        <v>200512</v>
      </c>
      <c r="U167">
        <v>1069792195.11</v>
      </c>
    </row>
    <row r="168" spans="9:21" x14ac:dyDescent="0.25">
      <c r="I168">
        <v>199710</v>
      </c>
      <c r="J168">
        <v>80775000</v>
      </c>
      <c r="O168">
        <v>200312</v>
      </c>
      <c r="P168">
        <v>51547471</v>
      </c>
      <c r="T168">
        <v>200601</v>
      </c>
      <c r="U168">
        <v>992683196.12</v>
      </c>
    </row>
    <row r="169" spans="9:21" x14ac:dyDescent="0.25">
      <c r="I169">
        <v>199711</v>
      </c>
      <c r="J169">
        <v>94297000</v>
      </c>
      <c r="O169">
        <v>200401</v>
      </c>
      <c r="P169">
        <v>66176484</v>
      </c>
      <c r="T169">
        <v>200602</v>
      </c>
      <c r="U169">
        <v>802903822.95000005</v>
      </c>
    </row>
    <row r="170" spans="9:21" x14ac:dyDescent="0.25">
      <c r="I170">
        <v>199712</v>
      </c>
      <c r="J170">
        <v>94550000</v>
      </c>
      <c r="O170">
        <v>200402</v>
      </c>
      <c r="P170">
        <v>54538951</v>
      </c>
      <c r="T170">
        <v>200603</v>
      </c>
      <c r="U170">
        <v>955148635.36000001</v>
      </c>
    </row>
    <row r="171" spans="9:21" x14ac:dyDescent="0.25">
      <c r="I171">
        <v>199801</v>
      </c>
      <c r="J171">
        <v>95513000</v>
      </c>
      <c r="O171">
        <v>200403</v>
      </c>
      <c r="P171">
        <v>50426383</v>
      </c>
      <c r="T171">
        <v>200604</v>
      </c>
      <c r="U171">
        <v>1233708651.47</v>
      </c>
    </row>
    <row r="172" spans="9:21" x14ac:dyDescent="0.25">
      <c r="I172">
        <v>199802</v>
      </c>
      <c r="J172">
        <v>90682000</v>
      </c>
      <c r="O172">
        <v>200404</v>
      </c>
      <c r="P172">
        <v>68098606</v>
      </c>
      <c r="T172">
        <v>200605</v>
      </c>
      <c r="U172">
        <v>1160093981.5799999</v>
      </c>
    </row>
    <row r="173" spans="9:21" x14ac:dyDescent="0.25">
      <c r="I173">
        <v>199803</v>
      </c>
      <c r="J173">
        <v>121061000</v>
      </c>
      <c r="O173">
        <v>200405</v>
      </c>
      <c r="P173">
        <v>70841115</v>
      </c>
      <c r="T173">
        <v>200606</v>
      </c>
      <c r="U173">
        <v>1295106903.3</v>
      </c>
    </row>
    <row r="174" spans="9:21" x14ac:dyDescent="0.25">
      <c r="I174">
        <v>199804</v>
      </c>
      <c r="J174">
        <v>155294000</v>
      </c>
      <c r="O174">
        <v>200406</v>
      </c>
      <c r="P174">
        <v>51561554</v>
      </c>
      <c r="T174">
        <v>200607</v>
      </c>
      <c r="U174">
        <v>1266379502.48</v>
      </c>
    </row>
    <row r="175" spans="9:21" x14ac:dyDescent="0.25">
      <c r="I175">
        <v>199805</v>
      </c>
      <c r="J175">
        <v>171862000</v>
      </c>
      <c r="O175">
        <v>200407</v>
      </c>
      <c r="P175">
        <v>54876903</v>
      </c>
      <c r="T175">
        <v>200608</v>
      </c>
      <c r="U175">
        <v>1171261149.26</v>
      </c>
    </row>
    <row r="176" spans="9:21" x14ac:dyDescent="0.25">
      <c r="I176">
        <v>199806</v>
      </c>
      <c r="J176">
        <v>178712000</v>
      </c>
      <c r="O176">
        <v>200408</v>
      </c>
      <c r="P176">
        <v>48781108</v>
      </c>
      <c r="T176">
        <v>200609</v>
      </c>
      <c r="U176">
        <v>1389739909.6300001</v>
      </c>
    </row>
    <row r="177" spans="9:21" x14ac:dyDescent="0.25">
      <c r="I177">
        <v>199807</v>
      </c>
      <c r="J177">
        <v>198316000</v>
      </c>
      <c r="O177">
        <v>200409</v>
      </c>
      <c r="P177">
        <v>59356327</v>
      </c>
      <c r="T177">
        <v>200610</v>
      </c>
      <c r="U177">
        <v>1390713814.27</v>
      </c>
    </row>
    <row r="178" spans="9:21" x14ac:dyDescent="0.25">
      <c r="I178">
        <v>199808</v>
      </c>
      <c r="J178">
        <v>201596000</v>
      </c>
      <c r="O178">
        <v>200410</v>
      </c>
      <c r="P178">
        <v>52708929</v>
      </c>
      <c r="T178">
        <v>200611</v>
      </c>
      <c r="U178">
        <v>1437263758.1800001</v>
      </c>
    </row>
    <row r="179" spans="9:21" x14ac:dyDescent="0.25">
      <c r="I179">
        <v>199809</v>
      </c>
      <c r="J179">
        <v>206709000</v>
      </c>
      <c r="O179">
        <v>200411</v>
      </c>
      <c r="P179">
        <v>51876306</v>
      </c>
      <c r="T179">
        <v>200612</v>
      </c>
      <c r="U179">
        <v>1451523025.5799999</v>
      </c>
    </row>
    <row r="180" spans="9:21" x14ac:dyDescent="0.25">
      <c r="I180">
        <v>199810</v>
      </c>
      <c r="J180">
        <v>220426000</v>
      </c>
      <c r="O180">
        <v>200412</v>
      </c>
      <c r="P180">
        <v>62276999</v>
      </c>
      <c r="T180">
        <v>200701</v>
      </c>
      <c r="U180">
        <v>1575412795.5999999</v>
      </c>
    </row>
    <row r="181" spans="9:21" x14ac:dyDescent="0.25">
      <c r="I181">
        <v>199811</v>
      </c>
      <c r="J181">
        <v>302109000</v>
      </c>
      <c r="O181">
        <v>200501</v>
      </c>
      <c r="P181">
        <v>71505658</v>
      </c>
      <c r="T181">
        <v>200702</v>
      </c>
      <c r="U181">
        <v>1471207604.8099999</v>
      </c>
    </row>
    <row r="182" spans="9:21" x14ac:dyDescent="0.25">
      <c r="I182">
        <v>199812</v>
      </c>
      <c r="J182">
        <v>294115000</v>
      </c>
      <c r="O182">
        <v>200502</v>
      </c>
      <c r="P182">
        <v>51492335</v>
      </c>
      <c r="T182">
        <v>200703</v>
      </c>
      <c r="U182">
        <v>1646660599.51</v>
      </c>
    </row>
    <row r="183" spans="9:21" x14ac:dyDescent="0.25">
      <c r="I183">
        <v>199901</v>
      </c>
      <c r="J183">
        <v>295582000</v>
      </c>
      <c r="O183">
        <v>200503</v>
      </c>
      <c r="P183">
        <v>53649709</v>
      </c>
      <c r="T183">
        <v>200704</v>
      </c>
      <c r="U183">
        <v>2336122287.8400002</v>
      </c>
    </row>
    <row r="184" spans="9:21" x14ac:dyDescent="0.25">
      <c r="I184">
        <v>199902</v>
      </c>
      <c r="J184">
        <v>229857000</v>
      </c>
      <c r="O184">
        <v>200504</v>
      </c>
      <c r="P184">
        <v>58060552</v>
      </c>
      <c r="T184">
        <v>200705</v>
      </c>
      <c r="U184">
        <v>2816553340.3299999</v>
      </c>
    </row>
    <row r="185" spans="9:21" x14ac:dyDescent="0.25">
      <c r="I185">
        <v>199903</v>
      </c>
      <c r="J185">
        <v>234040000</v>
      </c>
      <c r="O185">
        <v>200505</v>
      </c>
      <c r="P185">
        <v>74201946</v>
      </c>
      <c r="T185">
        <v>200706</v>
      </c>
      <c r="U185">
        <v>3287015195.0500002</v>
      </c>
    </row>
    <row r="186" spans="9:21" x14ac:dyDescent="0.25">
      <c r="I186">
        <v>199904</v>
      </c>
      <c r="J186">
        <v>254285000</v>
      </c>
      <c r="O186">
        <v>200506</v>
      </c>
      <c r="P186">
        <v>89882448</v>
      </c>
      <c r="T186">
        <v>200707</v>
      </c>
      <c r="U186">
        <v>2965088855.5799999</v>
      </c>
    </row>
    <row r="187" spans="9:21" x14ac:dyDescent="0.25">
      <c r="I187">
        <v>199905</v>
      </c>
      <c r="J187">
        <v>237116000</v>
      </c>
      <c r="O187">
        <v>200507</v>
      </c>
      <c r="P187">
        <v>111688968</v>
      </c>
      <c r="T187">
        <v>200708</v>
      </c>
      <c r="U187">
        <v>2471679712.7600002</v>
      </c>
    </row>
    <row r="188" spans="9:21" x14ac:dyDescent="0.25">
      <c r="I188">
        <v>199906</v>
      </c>
      <c r="J188">
        <v>222065000</v>
      </c>
      <c r="O188">
        <v>200508</v>
      </c>
      <c r="P188">
        <v>136355964</v>
      </c>
      <c r="T188">
        <v>200709</v>
      </c>
      <c r="U188">
        <v>2773354727.6300001</v>
      </c>
    </row>
    <row r="189" spans="9:21" x14ac:dyDescent="0.25">
      <c r="I189">
        <v>199907</v>
      </c>
      <c r="J189">
        <v>179327000</v>
      </c>
      <c r="O189">
        <v>200509</v>
      </c>
      <c r="P189">
        <v>213747077</v>
      </c>
      <c r="T189">
        <v>200710</v>
      </c>
      <c r="U189">
        <v>3014687759.8699999</v>
      </c>
    </row>
    <row r="190" spans="9:21" x14ac:dyDescent="0.25">
      <c r="I190">
        <v>199908</v>
      </c>
      <c r="J190">
        <v>140614000</v>
      </c>
      <c r="O190">
        <v>200510</v>
      </c>
      <c r="P190">
        <v>392969183</v>
      </c>
      <c r="T190">
        <v>200711</v>
      </c>
      <c r="U190">
        <v>3397830186.29</v>
      </c>
    </row>
    <row r="191" spans="9:21" x14ac:dyDescent="0.25">
      <c r="I191">
        <v>199909</v>
      </c>
      <c r="J191">
        <v>119450000</v>
      </c>
      <c r="O191">
        <v>200511</v>
      </c>
      <c r="P191">
        <v>1381909309</v>
      </c>
      <c r="T191">
        <v>200712</v>
      </c>
      <c r="U191">
        <v>3436517835.4499998</v>
      </c>
    </row>
    <row r="192" spans="9:21" x14ac:dyDescent="0.25">
      <c r="I192">
        <v>199910</v>
      </c>
      <c r="J192">
        <v>95597000</v>
      </c>
      <c r="O192">
        <v>200512</v>
      </c>
      <c r="P192">
        <v>2350929496</v>
      </c>
      <c r="T192">
        <v>200801</v>
      </c>
      <c r="U192">
        <v>3680180946.0700002</v>
      </c>
    </row>
    <row r="193" spans="9:21" x14ac:dyDescent="0.25">
      <c r="I193">
        <v>199911</v>
      </c>
      <c r="J193">
        <v>88626000</v>
      </c>
      <c r="O193">
        <v>200601</v>
      </c>
      <c r="P193">
        <v>2349471122</v>
      </c>
      <c r="T193">
        <v>200802</v>
      </c>
      <c r="U193">
        <v>3341834185.6799998</v>
      </c>
    </row>
    <row r="194" spans="9:21" x14ac:dyDescent="0.25">
      <c r="I194">
        <v>199912</v>
      </c>
      <c r="J194">
        <v>76306000</v>
      </c>
      <c r="O194">
        <v>200602</v>
      </c>
      <c r="P194">
        <v>1938677181</v>
      </c>
      <c r="T194">
        <v>200803</v>
      </c>
      <c r="U194">
        <v>3924389569.3400002</v>
      </c>
    </row>
    <row r="195" spans="9:21" x14ac:dyDescent="0.25">
      <c r="I195">
        <v>200001</v>
      </c>
      <c r="J195">
        <v>75592000</v>
      </c>
      <c r="O195">
        <v>200603</v>
      </c>
      <c r="P195">
        <v>2184913612</v>
      </c>
      <c r="T195">
        <v>200804</v>
      </c>
      <c r="U195">
        <v>3306053218.1599998</v>
      </c>
    </row>
    <row r="196" spans="9:21" x14ac:dyDescent="0.25">
      <c r="I196">
        <v>200002</v>
      </c>
      <c r="J196">
        <v>45976000</v>
      </c>
      <c r="O196">
        <v>200604</v>
      </c>
      <c r="P196">
        <v>2593311425</v>
      </c>
      <c r="T196">
        <v>200805</v>
      </c>
      <c r="U196">
        <v>3085183066.8899999</v>
      </c>
    </row>
    <row r="197" spans="9:21" x14ac:dyDescent="0.25">
      <c r="I197">
        <v>200003</v>
      </c>
      <c r="J197">
        <v>44743000</v>
      </c>
      <c r="O197">
        <v>200605</v>
      </c>
      <c r="P197">
        <v>2372204759</v>
      </c>
      <c r="T197">
        <v>200806</v>
      </c>
      <c r="U197">
        <v>2680184380.77</v>
      </c>
    </row>
    <row r="198" spans="9:21" x14ac:dyDescent="0.25">
      <c r="I198">
        <v>200004</v>
      </c>
      <c r="J198">
        <v>51583000</v>
      </c>
      <c r="O198">
        <v>200606</v>
      </c>
      <c r="P198">
        <v>2692628746</v>
      </c>
      <c r="T198">
        <v>200807</v>
      </c>
      <c r="U198">
        <v>2104837201.6300001</v>
      </c>
    </row>
    <row r="199" spans="9:21" x14ac:dyDescent="0.25">
      <c r="I199">
        <v>200005</v>
      </c>
      <c r="J199">
        <v>55036000</v>
      </c>
      <c r="O199">
        <v>200607</v>
      </c>
      <c r="P199">
        <v>3009256641</v>
      </c>
      <c r="T199">
        <v>200808</v>
      </c>
      <c r="U199">
        <v>1515465911.1700001</v>
      </c>
    </row>
    <row r="200" spans="9:21" x14ac:dyDescent="0.25">
      <c r="I200">
        <v>200006</v>
      </c>
      <c r="J200">
        <v>60645000</v>
      </c>
      <c r="O200">
        <v>200608</v>
      </c>
      <c r="P200">
        <v>2584780772</v>
      </c>
      <c r="T200">
        <v>200809</v>
      </c>
      <c r="U200">
        <v>1182804391.98</v>
      </c>
    </row>
    <row r="201" spans="9:21" x14ac:dyDescent="0.25">
      <c r="I201">
        <v>200007</v>
      </c>
      <c r="J201">
        <v>55439000</v>
      </c>
      <c r="O201">
        <v>200609</v>
      </c>
      <c r="P201">
        <v>2916850877</v>
      </c>
      <c r="T201">
        <v>200810</v>
      </c>
      <c r="U201">
        <v>1152284846.21</v>
      </c>
    </row>
    <row r="202" spans="9:21" x14ac:dyDescent="0.25">
      <c r="I202">
        <v>200008</v>
      </c>
      <c r="J202">
        <v>56723000</v>
      </c>
      <c r="O202">
        <v>200610</v>
      </c>
      <c r="P202">
        <v>2897456882</v>
      </c>
      <c r="T202">
        <v>200811</v>
      </c>
      <c r="U202">
        <v>1290933786.02</v>
      </c>
    </row>
    <row r="203" spans="9:21" x14ac:dyDescent="0.25">
      <c r="I203">
        <v>200009</v>
      </c>
      <c r="J203">
        <v>73581000</v>
      </c>
      <c r="O203">
        <v>200611</v>
      </c>
      <c r="P203">
        <v>3207130426</v>
      </c>
      <c r="T203">
        <v>200812</v>
      </c>
      <c r="U203">
        <v>907263998</v>
      </c>
    </row>
    <row r="204" spans="9:21" x14ac:dyDescent="0.25">
      <c r="I204">
        <v>200010</v>
      </c>
      <c r="J204">
        <v>71781000</v>
      </c>
      <c r="O204">
        <v>200612</v>
      </c>
      <c r="P204">
        <v>3062716345</v>
      </c>
      <c r="T204">
        <v>200901</v>
      </c>
      <c r="U204">
        <v>1351147408.7</v>
      </c>
    </row>
    <row r="205" spans="9:21" x14ac:dyDescent="0.25">
      <c r="I205">
        <v>200011</v>
      </c>
      <c r="J205">
        <v>78411000</v>
      </c>
      <c r="O205">
        <v>200701</v>
      </c>
      <c r="P205">
        <v>3350526856</v>
      </c>
      <c r="T205">
        <v>200902</v>
      </c>
      <c r="U205">
        <v>2371749536.02</v>
      </c>
    </row>
    <row r="206" spans="9:21" x14ac:dyDescent="0.25">
      <c r="I206">
        <v>200012</v>
      </c>
      <c r="J206">
        <v>80452000</v>
      </c>
      <c r="O206">
        <v>200702</v>
      </c>
      <c r="P206">
        <v>3060770784</v>
      </c>
      <c r="T206">
        <v>200903</v>
      </c>
      <c r="U206">
        <v>2729335976.6100001</v>
      </c>
    </row>
    <row r="207" spans="9:21" x14ac:dyDescent="0.25">
      <c r="I207">
        <v>200101</v>
      </c>
      <c r="J207">
        <v>80228000</v>
      </c>
      <c r="O207">
        <v>200703</v>
      </c>
      <c r="P207">
        <v>3373938924</v>
      </c>
      <c r="T207">
        <v>200904</v>
      </c>
      <c r="U207">
        <v>2437077000.79</v>
      </c>
    </row>
    <row r="208" spans="9:21" x14ac:dyDescent="0.25">
      <c r="I208">
        <v>200102</v>
      </c>
      <c r="J208">
        <v>121851000</v>
      </c>
      <c r="O208">
        <v>200704</v>
      </c>
      <c r="P208">
        <v>5034202041</v>
      </c>
      <c r="T208">
        <v>200905</v>
      </c>
      <c r="U208">
        <v>2420470592.6999998</v>
      </c>
    </row>
    <row r="209" spans="9:21" x14ac:dyDescent="0.25">
      <c r="I209">
        <v>200103</v>
      </c>
      <c r="J209">
        <v>180716000</v>
      </c>
      <c r="O209">
        <v>200705</v>
      </c>
      <c r="P209">
        <v>5634759142</v>
      </c>
      <c r="T209">
        <v>200906</v>
      </c>
      <c r="U209">
        <v>2937240325.9000001</v>
      </c>
    </row>
    <row r="210" spans="9:21" x14ac:dyDescent="0.25">
      <c r="I210">
        <v>200104</v>
      </c>
      <c r="J210">
        <v>242580000</v>
      </c>
      <c r="O210">
        <v>200706</v>
      </c>
      <c r="P210">
        <v>6671965230</v>
      </c>
      <c r="T210">
        <v>200907</v>
      </c>
      <c r="U210">
        <v>2601356588.54</v>
      </c>
    </row>
    <row r="211" spans="9:21" x14ac:dyDescent="0.25">
      <c r="I211">
        <v>200105</v>
      </c>
      <c r="J211">
        <v>263555000</v>
      </c>
      <c r="O211">
        <v>200707</v>
      </c>
      <c r="P211">
        <v>7378073407</v>
      </c>
      <c r="T211">
        <v>200908</v>
      </c>
      <c r="U211">
        <v>1684497651.5999999</v>
      </c>
    </row>
    <row r="212" spans="9:21" x14ac:dyDescent="0.25">
      <c r="I212">
        <v>200106</v>
      </c>
      <c r="J212">
        <v>268191000</v>
      </c>
      <c r="O212">
        <v>200708</v>
      </c>
      <c r="P212">
        <v>6980062962</v>
      </c>
      <c r="T212">
        <v>200909</v>
      </c>
      <c r="U212">
        <v>1410101548.51</v>
      </c>
    </row>
    <row r="213" spans="9:21" x14ac:dyDescent="0.25">
      <c r="I213">
        <v>200107</v>
      </c>
      <c r="J213">
        <v>262651000</v>
      </c>
      <c r="O213">
        <v>200709</v>
      </c>
      <c r="P213">
        <v>7595792448</v>
      </c>
      <c r="T213">
        <v>200910</v>
      </c>
      <c r="U213">
        <v>1269860785.3</v>
      </c>
    </row>
    <row r="214" spans="9:21" x14ac:dyDescent="0.25">
      <c r="I214">
        <v>200108</v>
      </c>
      <c r="J214">
        <v>269154000</v>
      </c>
      <c r="O214">
        <v>200710</v>
      </c>
      <c r="P214">
        <v>7084868706</v>
      </c>
      <c r="T214">
        <v>200911</v>
      </c>
      <c r="U214">
        <v>1477700397.04</v>
      </c>
    </row>
    <row r="215" spans="9:21" x14ac:dyDescent="0.25">
      <c r="I215">
        <v>200109</v>
      </c>
      <c r="J215">
        <v>291623000</v>
      </c>
      <c r="O215">
        <v>200711</v>
      </c>
      <c r="P215">
        <v>7846102142</v>
      </c>
      <c r="T215">
        <v>200912</v>
      </c>
      <c r="U215">
        <v>1724501308.22</v>
      </c>
    </row>
    <row r="216" spans="9:21" x14ac:dyDescent="0.25">
      <c r="I216">
        <v>200110</v>
      </c>
      <c r="J216">
        <v>303213000</v>
      </c>
      <c r="O216">
        <v>200712</v>
      </c>
      <c r="P216">
        <v>7061899977</v>
      </c>
      <c r="T216">
        <v>201001</v>
      </c>
      <c r="U216">
        <v>1672111657.8499999</v>
      </c>
    </row>
    <row r="217" spans="9:21" x14ac:dyDescent="0.25">
      <c r="I217">
        <v>200111</v>
      </c>
      <c r="J217">
        <v>430281184</v>
      </c>
      <c r="O217">
        <v>200801</v>
      </c>
      <c r="P217">
        <v>7434485905</v>
      </c>
      <c r="T217">
        <v>201002</v>
      </c>
      <c r="U217">
        <v>1370202826.4000001</v>
      </c>
    </row>
    <row r="218" spans="9:21" x14ac:dyDescent="0.25">
      <c r="I218">
        <v>200112</v>
      </c>
      <c r="J218">
        <v>498753000</v>
      </c>
      <c r="O218">
        <v>200802</v>
      </c>
      <c r="P218">
        <v>6258309778</v>
      </c>
      <c r="T218">
        <v>201003</v>
      </c>
      <c r="U218">
        <v>1154044016.3599999</v>
      </c>
    </row>
    <row r="219" spans="9:21" x14ac:dyDescent="0.25">
      <c r="I219">
        <v>200201</v>
      </c>
      <c r="J219">
        <v>372205000</v>
      </c>
      <c r="O219">
        <v>200803</v>
      </c>
      <c r="P219">
        <v>7984577660</v>
      </c>
      <c r="T219">
        <v>201004</v>
      </c>
      <c r="U219">
        <v>1690463730.7</v>
      </c>
    </row>
    <row r="220" spans="9:21" x14ac:dyDescent="0.25">
      <c r="I220">
        <v>200202</v>
      </c>
      <c r="J220">
        <v>259303000</v>
      </c>
      <c r="O220">
        <v>200804</v>
      </c>
      <c r="P220">
        <v>7415955758</v>
      </c>
      <c r="T220">
        <v>201005</v>
      </c>
      <c r="U220">
        <v>1798829768.1800001</v>
      </c>
    </row>
    <row r="221" spans="9:21" x14ac:dyDescent="0.25">
      <c r="I221">
        <v>200203</v>
      </c>
      <c r="J221">
        <v>252944000</v>
      </c>
      <c r="O221">
        <v>200805</v>
      </c>
      <c r="P221">
        <v>6236951384</v>
      </c>
      <c r="T221">
        <v>201006</v>
      </c>
      <c r="U221">
        <v>1793820207.26</v>
      </c>
    </row>
    <row r="222" spans="9:21" x14ac:dyDescent="0.25">
      <c r="I222">
        <v>200204</v>
      </c>
      <c r="J222">
        <v>296716000</v>
      </c>
      <c r="O222">
        <v>200806</v>
      </c>
      <c r="P222">
        <v>4972730321</v>
      </c>
      <c r="T222">
        <v>201007</v>
      </c>
      <c r="U222">
        <v>2282961708.1999998</v>
      </c>
    </row>
    <row r="223" spans="9:21" x14ac:dyDescent="0.25">
      <c r="I223">
        <v>200205</v>
      </c>
      <c r="J223">
        <v>274381000</v>
      </c>
      <c r="O223">
        <v>200807</v>
      </c>
      <c r="P223">
        <v>4881203620</v>
      </c>
      <c r="T223">
        <v>201008</v>
      </c>
      <c r="U223">
        <v>2328402920.4699998</v>
      </c>
    </row>
    <row r="224" spans="9:21" x14ac:dyDescent="0.25">
      <c r="I224">
        <v>200206</v>
      </c>
      <c r="J224">
        <v>307939000</v>
      </c>
      <c r="O224">
        <v>200808</v>
      </c>
      <c r="P224">
        <v>3714831062</v>
      </c>
      <c r="T224">
        <v>201009</v>
      </c>
      <c r="U224">
        <v>3334315473.7199998</v>
      </c>
    </row>
    <row r="225" spans="9:21" x14ac:dyDescent="0.25">
      <c r="I225">
        <v>200207</v>
      </c>
      <c r="J225">
        <v>331120000</v>
      </c>
      <c r="O225">
        <v>200809</v>
      </c>
      <c r="P225">
        <v>2562127046</v>
      </c>
      <c r="T225">
        <v>201010</v>
      </c>
      <c r="U225">
        <v>3487945183.1999998</v>
      </c>
    </row>
    <row r="226" spans="9:21" x14ac:dyDescent="0.25">
      <c r="I226">
        <v>200208</v>
      </c>
      <c r="J226">
        <v>410193000</v>
      </c>
      <c r="O226">
        <v>200810</v>
      </c>
      <c r="P226">
        <v>2540817913</v>
      </c>
      <c r="T226">
        <v>201011</v>
      </c>
      <c r="U226">
        <v>3610163017.5500002</v>
      </c>
    </row>
    <row r="227" spans="9:21" x14ac:dyDescent="0.25">
      <c r="I227">
        <v>200209</v>
      </c>
      <c r="J227">
        <v>527188542</v>
      </c>
      <c r="O227">
        <v>200811</v>
      </c>
      <c r="P227">
        <v>2627292811</v>
      </c>
      <c r="T227">
        <v>201012</v>
      </c>
      <c r="U227">
        <v>3809108652.1900001</v>
      </c>
    </row>
    <row r="228" spans="9:21" x14ac:dyDescent="0.25">
      <c r="I228">
        <v>200210</v>
      </c>
      <c r="J228">
        <v>634210000</v>
      </c>
      <c r="O228">
        <v>200812</v>
      </c>
      <c r="P228">
        <v>1608525119</v>
      </c>
      <c r="T228">
        <v>201101</v>
      </c>
      <c r="U228">
        <v>3632922678.4699998</v>
      </c>
    </row>
    <row r="229" spans="9:21" x14ac:dyDescent="0.25">
      <c r="I229">
        <v>200211</v>
      </c>
      <c r="J229">
        <v>852381165</v>
      </c>
      <c r="O229">
        <v>200901</v>
      </c>
      <c r="P229">
        <v>2619995908</v>
      </c>
      <c r="T229">
        <v>201102</v>
      </c>
      <c r="U229">
        <v>2562811842.96</v>
      </c>
    </row>
    <row r="230" spans="9:21" x14ac:dyDescent="0.25">
      <c r="I230">
        <v>200212</v>
      </c>
      <c r="J230">
        <v>855764000</v>
      </c>
      <c r="O230">
        <v>200902</v>
      </c>
      <c r="P230">
        <v>2734699572</v>
      </c>
      <c r="T230">
        <v>201103</v>
      </c>
      <c r="U230">
        <v>2159535626.6900001</v>
      </c>
    </row>
    <row r="231" spans="9:21" x14ac:dyDescent="0.25">
      <c r="I231">
        <v>200301</v>
      </c>
      <c r="J231">
        <v>906541000</v>
      </c>
      <c r="O231">
        <v>200903</v>
      </c>
      <c r="P231">
        <v>3154952957</v>
      </c>
      <c r="T231">
        <v>201104</v>
      </c>
      <c r="U231">
        <v>2169533786.52</v>
      </c>
    </row>
    <row r="232" spans="9:21" x14ac:dyDescent="0.25">
      <c r="I232">
        <v>200302</v>
      </c>
      <c r="J232">
        <v>858399000</v>
      </c>
      <c r="O232">
        <v>200904</v>
      </c>
      <c r="P232">
        <v>3426373240</v>
      </c>
      <c r="T232">
        <v>201105</v>
      </c>
      <c r="U232">
        <v>2114977617.96</v>
      </c>
    </row>
    <row r="233" spans="9:21" x14ac:dyDescent="0.25">
      <c r="I233">
        <v>200303</v>
      </c>
      <c r="J233">
        <v>915755000</v>
      </c>
      <c r="O233">
        <v>200905</v>
      </c>
      <c r="P233">
        <v>3032384420</v>
      </c>
      <c r="T233">
        <v>201106</v>
      </c>
      <c r="U233">
        <v>2432707572.29</v>
      </c>
    </row>
    <row r="234" spans="9:21" x14ac:dyDescent="0.25">
      <c r="I234">
        <v>200304</v>
      </c>
      <c r="J234">
        <v>1293402000</v>
      </c>
      <c r="O234">
        <v>200906</v>
      </c>
      <c r="P234">
        <v>2985939550</v>
      </c>
      <c r="T234">
        <v>201107</v>
      </c>
      <c r="U234">
        <v>3084999710.52</v>
      </c>
    </row>
    <row r="235" spans="9:21" x14ac:dyDescent="0.25">
      <c r="I235">
        <v>200305</v>
      </c>
      <c r="J235">
        <v>1437148000</v>
      </c>
      <c r="O235">
        <v>200907</v>
      </c>
      <c r="P235">
        <v>3209038334</v>
      </c>
      <c r="T235">
        <v>201108</v>
      </c>
      <c r="U235">
        <v>3348562406.1700001</v>
      </c>
    </row>
    <row r="236" spans="9:21" x14ac:dyDescent="0.25">
      <c r="I236">
        <v>200306</v>
      </c>
      <c r="J236">
        <v>1627974000</v>
      </c>
      <c r="O236">
        <v>200908</v>
      </c>
      <c r="P236">
        <v>3021284789</v>
      </c>
      <c r="T236">
        <v>201109</v>
      </c>
      <c r="U236">
        <v>3991121223.0100002</v>
      </c>
    </row>
    <row r="237" spans="9:21" x14ac:dyDescent="0.25">
      <c r="I237">
        <v>200307</v>
      </c>
      <c r="J237">
        <v>2322028000</v>
      </c>
      <c r="O237">
        <v>200909</v>
      </c>
      <c r="P237">
        <v>2089070602</v>
      </c>
      <c r="T237">
        <v>201110</v>
      </c>
      <c r="U237">
        <v>4730987814.1300001</v>
      </c>
    </row>
    <row r="238" spans="9:21" x14ac:dyDescent="0.25">
      <c r="I238">
        <v>200308</v>
      </c>
      <c r="J238">
        <v>2502718000</v>
      </c>
      <c r="O238">
        <v>200910</v>
      </c>
      <c r="P238">
        <v>1871899567</v>
      </c>
      <c r="T238">
        <v>201111</v>
      </c>
      <c r="U238">
        <v>5619974455.2299995</v>
      </c>
    </row>
    <row r="239" spans="9:21" x14ac:dyDescent="0.25">
      <c r="I239">
        <v>200309</v>
      </c>
      <c r="J239">
        <v>1773372000</v>
      </c>
      <c r="O239">
        <v>200911</v>
      </c>
      <c r="P239">
        <v>2187264039</v>
      </c>
      <c r="T239">
        <v>201112</v>
      </c>
      <c r="U239">
        <v>5434937287.2700005</v>
      </c>
    </row>
    <row r="240" spans="9:21" x14ac:dyDescent="0.25">
      <c r="I240">
        <v>200310</v>
      </c>
      <c r="J240">
        <v>1178610000</v>
      </c>
      <c r="O240">
        <v>200912</v>
      </c>
      <c r="P240">
        <v>2146509165</v>
      </c>
      <c r="T240">
        <v>201201</v>
      </c>
      <c r="U240">
        <v>5144755508.7399998</v>
      </c>
    </row>
    <row r="241" spans="9:21" x14ac:dyDescent="0.25">
      <c r="I241">
        <v>200311</v>
      </c>
      <c r="J241">
        <v>1153958000</v>
      </c>
      <c r="O241">
        <v>201001</v>
      </c>
      <c r="P241">
        <v>2124642914</v>
      </c>
      <c r="T241">
        <v>201202</v>
      </c>
      <c r="U241">
        <v>4999347219.5900002</v>
      </c>
    </row>
    <row r="242" spans="9:21" x14ac:dyDescent="0.25">
      <c r="I242">
        <v>200312</v>
      </c>
      <c r="J242">
        <v>940513000</v>
      </c>
      <c r="O242">
        <v>201002</v>
      </c>
      <c r="P242">
        <v>1678033543</v>
      </c>
      <c r="T242">
        <v>201203</v>
      </c>
      <c r="U242">
        <v>6113491815.9899998</v>
      </c>
    </row>
    <row r="243" spans="9:21" x14ac:dyDescent="0.25">
      <c r="I243">
        <v>200401</v>
      </c>
      <c r="J243">
        <v>974995000</v>
      </c>
      <c r="O243">
        <v>201003</v>
      </c>
      <c r="P243">
        <v>1541479121</v>
      </c>
      <c r="T243">
        <v>201204</v>
      </c>
      <c r="U243">
        <v>7636088194.2200003</v>
      </c>
    </row>
    <row r="244" spans="9:21" x14ac:dyDescent="0.25">
      <c r="I244">
        <v>200402</v>
      </c>
      <c r="J244">
        <v>805835000</v>
      </c>
      <c r="O244">
        <v>201004</v>
      </c>
      <c r="P244">
        <v>1863273229</v>
      </c>
      <c r="T244">
        <v>201205</v>
      </c>
      <c r="U244">
        <v>8156029907.6700001</v>
      </c>
    </row>
    <row r="245" spans="9:21" x14ac:dyDescent="0.25">
      <c r="I245">
        <v>200403</v>
      </c>
      <c r="J245">
        <v>964177000</v>
      </c>
      <c r="O245">
        <v>201005</v>
      </c>
      <c r="P245">
        <v>2013561950</v>
      </c>
      <c r="T245">
        <v>201206</v>
      </c>
      <c r="U245">
        <v>10052644581.17</v>
      </c>
    </row>
    <row r="246" spans="9:21" x14ac:dyDescent="0.25">
      <c r="I246">
        <v>200404</v>
      </c>
      <c r="J246">
        <v>1371099000</v>
      </c>
      <c r="O246">
        <v>201006</v>
      </c>
      <c r="P246">
        <v>2026688441</v>
      </c>
      <c r="T246">
        <v>201207</v>
      </c>
      <c r="U246">
        <v>11434316286.129999</v>
      </c>
    </row>
    <row r="247" spans="9:21" x14ac:dyDescent="0.25">
      <c r="I247">
        <v>200405</v>
      </c>
      <c r="J247">
        <v>1371675000</v>
      </c>
      <c r="O247">
        <v>201007</v>
      </c>
      <c r="P247">
        <v>2531597944</v>
      </c>
      <c r="T247">
        <v>201208</v>
      </c>
      <c r="U247">
        <v>11367313543.15</v>
      </c>
    </row>
    <row r="248" spans="9:21" x14ac:dyDescent="0.25">
      <c r="I248">
        <v>200406</v>
      </c>
      <c r="J248">
        <v>996741000</v>
      </c>
      <c r="O248">
        <v>201008</v>
      </c>
      <c r="P248">
        <v>2091665294</v>
      </c>
      <c r="T248">
        <v>201209</v>
      </c>
      <c r="U248">
        <v>11811974006.65</v>
      </c>
    </row>
    <row r="249" spans="9:21" x14ac:dyDescent="0.25">
      <c r="I249">
        <v>200407</v>
      </c>
      <c r="J249">
        <v>778280000</v>
      </c>
      <c r="O249">
        <v>201009</v>
      </c>
      <c r="P249">
        <v>2331884329</v>
      </c>
      <c r="T249">
        <v>201210</v>
      </c>
      <c r="U249">
        <v>10278095933.9</v>
      </c>
    </row>
    <row r="250" spans="9:21" x14ac:dyDescent="0.25">
      <c r="I250">
        <v>200408</v>
      </c>
      <c r="J250">
        <v>692121000</v>
      </c>
      <c r="O250">
        <v>201010</v>
      </c>
      <c r="P250">
        <v>2460812617</v>
      </c>
      <c r="T250">
        <v>201211</v>
      </c>
      <c r="U250">
        <v>11873826835.299999</v>
      </c>
    </row>
    <row r="251" spans="9:21" x14ac:dyDescent="0.25">
      <c r="I251">
        <v>200409</v>
      </c>
      <c r="J251">
        <v>761786000</v>
      </c>
      <c r="O251">
        <v>201011</v>
      </c>
      <c r="P251">
        <v>2713712544</v>
      </c>
      <c r="T251">
        <v>201212</v>
      </c>
      <c r="U251">
        <v>11316360694.58</v>
      </c>
    </row>
    <row r="252" spans="9:21" x14ac:dyDescent="0.25">
      <c r="I252">
        <v>200410</v>
      </c>
      <c r="J252">
        <v>767023000</v>
      </c>
      <c r="O252">
        <v>201012</v>
      </c>
      <c r="P252">
        <v>2635259540</v>
      </c>
      <c r="T252">
        <v>201301</v>
      </c>
      <c r="U252">
        <v>11273254466.41</v>
      </c>
    </row>
    <row r="253" spans="9:21" x14ac:dyDescent="0.25">
      <c r="I253">
        <v>200411</v>
      </c>
      <c r="J253">
        <v>829690000</v>
      </c>
      <c r="O253">
        <v>201101</v>
      </c>
      <c r="P253">
        <v>2833653405</v>
      </c>
      <c r="T253">
        <v>201302</v>
      </c>
      <c r="U253">
        <v>10195052040.83</v>
      </c>
    </row>
    <row r="254" spans="9:21" x14ac:dyDescent="0.25">
      <c r="I254">
        <v>200412</v>
      </c>
      <c r="J254">
        <v>842176000</v>
      </c>
      <c r="O254">
        <v>201102</v>
      </c>
      <c r="P254">
        <v>2009120359</v>
      </c>
      <c r="T254">
        <v>201303</v>
      </c>
      <c r="U254">
        <v>9151835084.4400005</v>
      </c>
    </row>
    <row r="255" spans="9:21" x14ac:dyDescent="0.25">
      <c r="I255">
        <v>200501</v>
      </c>
      <c r="J255">
        <v>790132388</v>
      </c>
      <c r="O255">
        <v>201103</v>
      </c>
      <c r="P255">
        <v>1379725103</v>
      </c>
      <c r="T255">
        <v>201304</v>
      </c>
      <c r="U255">
        <v>11450745979.15</v>
      </c>
    </row>
    <row r="256" spans="9:21" x14ac:dyDescent="0.25">
      <c r="I256">
        <v>200502</v>
      </c>
      <c r="J256">
        <v>626689000</v>
      </c>
      <c r="O256">
        <v>201104</v>
      </c>
      <c r="P256">
        <v>1608030695</v>
      </c>
      <c r="T256">
        <v>201305</v>
      </c>
      <c r="U256">
        <v>12344117706.299999</v>
      </c>
    </row>
    <row r="257" spans="9:21" x14ac:dyDescent="0.25">
      <c r="I257">
        <v>200503</v>
      </c>
      <c r="J257">
        <v>791209000</v>
      </c>
      <c r="O257">
        <v>201105</v>
      </c>
      <c r="P257">
        <v>1778829055</v>
      </c>
      <c r="T257">
        <v>201306</v>
      </c>
      <c r="U257">
        <v>13455008178.459999</v>
      </c>
    </row>
    <row r="258" spans="9:21" x14ac:dyDescent="0.25">
      <c r="I258">
        <v>200504</v>
      </c>
      <c r="J258">
        <v>964580000</v>
      </c>
      <c r="O258">
        <v>201106</v>
      </c>
      <c r="P258">
        <v>1944540320</v>
      </c>
      <c r="T258">
        <v>201307</v>
      </c>
      <c r="U258">
        <v>14024213017.08</v>
      </c>
    </row>
    <row r="259" spans="9:21" x14ac:dyDescent="0.25">
      <c r="I259">
        <v>200505</v>
      </c>
      <c r="J259">
        <v>836877000</v>
      </c>
      <c r="O259">
        <v>201107</v>
      </c>
      <c r="P259">
        <v>2590509881</v>
      </c>
      <c r="T259">
        <v>201308</v>
      </c>
      <c r="U259">
        <v>13322922860.25</v>
      </c>
    </row>
    <row r="260" spans="9:21" x14ac:dyDescent="0.25">
      <c r="I260">
        <v>200506</v>
      </c>
      <c r="J260">
        <v>934650000</v>
      </c>
      <c r="O260">
        <v>201108</v>
      </c>
      <c r="P260">
        <v>2418021144</v>
      </c>
      <c r="T260">
        <v>201309</v>
      </c>
      <c r="U260">
        <v>12171749948.48</v>
      </c>
    </row>
    <row r="261" spans="9:21" x14ac:dyDescent="0.25">
      <c r="I261">
        <v>200507</v>
      </c>
      <c r="J261">
        <v>1081011000</v>
      </c>
      <c r="O261">
        <v>201109</v>
      </c>
      <c r="P261">
        <v>2574353254</v>
      </c>
      <c r="T261">
        <v>201310</v>
      </c>
      <c r="U261">
        <v>9841271353.6200008</v>
      </c>
    </row>
    <row r="262" spans="9:21" x14ac:dyDescent="0.25">
      <c r="I262">
        <v>200508</v>
      </c>
      <c r="J262">
        <v>1077632000</v>
      </c>
      <c r="O262">
        <v>201110</v>
      </c>
      <c r="P262">
        <v>2679909479</v>
      </c>
      <c r="T262">
        <v>201311</v>
      </c>
      <c r="U262">
        <v>9024523522.7299995</v>
      </c>
    </row>
    <row r="263" spans="9:21" x14ac:dyDescent="0.25">
      <c r="I263">
        <v>200509</v>
      </c>
      <c r="J263">
        <v>1046958000</v>
      </c>
      <c r="O263">
        <v>201111</v>
      </c>
      <c r="P263">
        <v>2365506384</v>
      </c>
      <c r="T263">
        <v>201312</v>
      </c>
      <c r="U263">
        <v>7494047809.8900003</v>
      </c>
    </row>
    <row r="264" spans="9:21" x14ac:dyDescent="0.25">
      <c r="I264">
        <v>200510</v>
      </c>
      <c r="J264">
        <v>888994000</v>
      </c>
      <c r="O264">
        <v>201112</v>
      </c>
      <c r="P264">
        <v>2497319920</v>
      </c>
      <c r="T264">
        <v>201401</v>
      </c>
      <c r="U264">
        <v>7395769553.3999996</v>
      </c>
    </row>
    <row r="265" spans="9:21" x14ac:dyDescent="0.25">
      <c r="I265">
        <v>200511</v>
      </c>
      <c r="J265">
        <v>823828000</v>
      </c>
      <c r="O265">
        <v>201201</v>
      </c>
      <c r="P265">
        <v>2858855322</v>
      </c>
      <c r="T265">
        <v>201402</v>
      </c>
      <c r="U265">
        <v>5310563012.9899998</v>
      </c>
    </row>
    <row r="266" spans="9:21" x14ac:dyDescent="0.25">
      <c r="I266">
        <v>200512</v>
      </c>
      <c r="J266">
        <v>704523000</v>
      </c>
      <c r="O266">
        <v>201202</v>
      </c>
      <c r="P266">
        <v>2284686263</v>
      </c>
      <c r="T266">
        <v>201403</v>
      </c>
      <c r="U266">
        <v>5339236055</v>
      </c>
    </row>
    <row r="267" spans="9:21" x14ac:dyDescent="0.25">
      <c r="I267">
        <v>200601</v>
      </c>
      <c r="J267">
        <v>655490000</v>
      </c>
      <c r="O267">
        <v>201203</v>
      </c>
      <c r="P267">
        <v>2649214138</v>
      </c>
      <c r="T267">
        <v>201404</v>
      </c>
      <c r="U267">
        <v>6754037403.54</v>
      </c>
    </row>
    <row r="268" spans="9:21" x14ac:dyDescent="0.25">
      <c r="I268">
        <v>200602</v>
      </c>
      <c r="J268">
        <v>618598000</v>
      </c>
      <c r="O268">
        <v>201204</v>
      </c>
      <c r="P268">
        <v>3198264687</v>
      </c>
      <c r="T268">
        <v>201405</v>
      </c>
      <c r="U268">
        <v>7545238957.7700005</v>
      </c>
    </row>
    <row r="269" spans="9:21" x14ac:dyDescent="0.25">
      <c r="I269">
        <v>200603</v>
      </c>
      <c r="J269">
        <v>796439000</v>
      </c>
      <c r="O269">
        <v>201205</v>
      </c>
      <c r="P269">
        <v>3959261984</v>
      </c>
      <c r="T269">
        <v>201406</v>
      </c>
      <c r="U269">
        <v>8865743352.0400009</v>
      </c>
    </row>
    <row r="270" spans="9:21" x14ac:dyDescent="0.25">
      <c r="I270">
        <v>200604</v>
      </c>
      <c r="J270">
        <v>950982055</v>
      </c>
      <c r="O270">
        <v>201206</v>
      </c>
      <c r="P270">
        <v>4513855941</v>
      </c>
      <c r="T270">
        <v>201407</v>
      </c>
      <c r="U270">
        <v>10003051381.059999</v>
      </c>
    </row>
    <row r="271" spans="9:21" x14ac:dyDescent="0.25">
      <c r="I271">
        <v>200605</v>
      </c>
      <c r="J271">
        <v>851031000</v>
      </c>
      <c r="O271">
        <v>201207</v>
      </c>
      <c r="P271">
        <v>5002149735</v>
      </c>
      <c r="T271">
        <v>201408</v>
      </c>
      <c r="U271">
        <v>9964084310</v>
      </c>
    </row>
    <row r="272" spans="9:21" x14ac:dyDescent="0.25">
      <c r="I272">
        <v>200606</v>
      </c>
      <c r="J272">
        <v>841477000</v>
      </c>
      <c r="O272">
        <v>201208</v>
      </c>
      <c r="P272">
        <v>5229748668</v>
      </c>
      <c r="T272">
        <v>201409</v>
      </c>
      <c r="U272">
        <v>9657437614.1100006</v>
      </c>
    </row>
    <row r="273" spans="9:21" x14ac:dyDescent="0.25">
      <c r="I273">
        <v>200607</v>
      </c>
      <c r="J273">
        <v>749191000</v>
      </c>
      <c r="O273">
        <v>201209</v>
      </c>
      <c r="P273">
        <v>5809120627</v>
      </c>
      <c r="T273">
        <v>201410</v>
      </c>
      <c r="U273">
        <v>9247188805.8600006</v>
      </c>
    </row>
    <row r="274" spans="9:21" x14ac:dyDescent="0.25">
      <c r="I274">
        <v>200608</v>
      </c>
      <c r="J274">
        <v>630819000</v>
      </c>
      <c r="O274">
        <v>201210</v>
      </c>
      <c r="P274">
        <v>5440415576</v>
      </c>
      <c r="T274">
        <v>201411</v>
      </c>
      <c r="U274">
        <v>9425810343.3999996</v>
      </c>
    </row>
    <row r="275" spans="9:21" x14ac:dyDescent="0.25">
      <c r="I275">
        <v>200609</v>
      </c>
      <c r="J275">
        <v>653474000</v>
      </c>
      <c r="O275">
        <v>201211</v>
      </c>
      <c r="P275">
        <v>5759859968</v>
      </c>
      <c r="T275">
        <v>201412</v>
      </c>
      <c r="U275">
        <v>8487298844.7299995</v>
      </c>
    </row>
    <row r="276" spans="9:21" x14ac:dyDescent="0.25">
      <c r="I276">
        <v>200610</v>
      </c>
      <c r="J276">
        <v>667379000</v>
      </c>
      <c r="O276">
        <v>201212</v>
      </c>
      <c r="P276">
        <v>5288155063</v>
      </c>
      <c r="T276">
        <v>201501</v>
      </c>
      <c r="U276">
        <v>10072252342.110001</v>
      </c>
    </row>
    <row r="277" spans="9:21" x14ac:dyDescent="0.25">
      <c r="I277">
        <v>200611</v>
      </c>
      <c r="J277">
        <v>713582000</v>
      </c>
      <c r="O277">
        <v>201301</v>
      </c>
      <c r="P277">
        <v>5656654202</v>
      </c>
      <c r="T277">
        <v>201502</v>
      </c>
      <c r="U277">
        <v>7095689912.8599997</v>
      </c>
    </row>
    <row r="278" spans="9:21" x14ac:dyDescent="0.25">
      <c r="I278">
        <v>200612</v>
      </c>
      <c r="J278">
        <v>689781000</v>
      </c>
      <c r="O278">
        <v>201302</v>
      </c>
      <c r="P278">
        <v>5750728268</v>
      </c>
      <c r="T278">
        <v>201503</v>
      </c>
      <c r="U278">
        <v>8822210696.1499996</v>
      </c>
    </row>
    <row r="279" spans="9:21" x14ac:dyDescent="0.25">
      <c r="I279">
        <v>200701</v>
      </c>
      <c r="J279">
        <v>747661000</v>
      </c>
      <c r="O279">
        <v>201303</v>
      </c>
      <c r="P279">
        <v>5867098718</v>
      </c>
      <c r="T279">
        <v>201504</v>
      </c>
      <c r="U279">
        <v>10811307605.83</v>
      </c>
    </row>
    <row r="280" spans="9:21" x14ac:dyDescent="0.25">
      <c r="I280">
        <v>200702</v>
      </c>
      <c r="J280">
        <v>637152000</v>
      </c>
      <c r="O280">
        <v>201304</v>
      </c>
      <c r="P280">
        <v>5924947312</v>
      </c>
      <c r="T280">
        <v>201505</v>
      </c>
      <c r="U280">
        <v>10414597296.200001</v>
      </c>
    </row>
    <row r="281" spans="9:21" x14ac:dyDescent="0.25">
      <c r="I281">
        <v>200703</v>
      </c>
      <c r="J281">
        <v>663069000</v>
      </c>
      <c r="O281">
        <v>201305</v>
      </c>
      <c r="P281">
        <v>6122259341</v>
      </c>
      <c r="T281">
        <v>201506</v>
      </c>
      <c r="U281">
        <v>11448237416.52</v>
      </c>
    </row>
    <row r="282" spans="9:21" x14ac:dyDescent="0.25">
      <c r="I282">
        <v>200704</v>
      </c>
      <c r="J282">
        <v>883146000</v>
      </c>
      <c r="O282">
        <v>201306</v>
      </c>
      <c r="P282">
        <v>7396153790</v>
      </c>
      <c r="T282">
        <v>201507</v>
      </c>
      <c r="U282">
        <v>12940319201.07</v>
      </c>
    </row>
    <row r="283" spans="9:21" x14ac:dyDescent="0.25">
      <c r="I283">
        <v>200705</v>
      </c>
      <c r="J283">
        <v>961648000</v>
      </c>
      <c r="O283">
        <v>201307</v>
      </c>
      <c r="P283">
        <v>6523605141</v>
      </c>
      <c r="T283">
        <v>201508</v>
      </c>
      <c r="U283">
        <v>11746837054.41</v>
      </c>
    </row>
    <row r="284" spans="9:21" x14ac:dyDescent="0.25">
      <c r="I284">
        <v>200706</v>
      </c>
      <c r="J284">
        <v>1054871000</v>
      </c>
      <c r="O284">
        <v>201308</v>
      </c>
      <c r="P284">
        <v>6043417367</v>
      </c>
      <c r="T284">
        <v>201509</v>
      </c>
      <c r="U284">
        <v>10779987157.76</v>
      </c>
    </row>
    <row r="285" spans="9:21" x14ac:dyDescent="0.25">
      <c r="I285">
        <v>200707</v>
      </c>
      <c r="J285">
        <v>987599000</v>
      </c>
      <c r="O285">
        <v>201309</v>
      </c>
      <c r="P285">
        <v>5189190753</v>
      </c>
      <c r="T285">
        <v>201510</v>
      </c>
      <c r="U285">
        <v>10372174688.57</v>
      </c>
    </row>
    <row r="286" spans="9:21" x14ac:dyDescent="0.25">
      <c r="I286">
        <v>200708</v>
      </c>
      <c r="J286">
        <v>885067000</v>
      </c>
      <c r="O286">
        <v>201310</v>
      </c>
      <c r="P286">
        <v>4037917011</v>
      </c>
      <c r="T286">
        <v>201511</v>
      </c>
      <c r="U286">
        <v>9609076128.6599998</v>
      </c>
    </row>
    <row r="287" spans="9:21" x14ac:dyDescent="0.25">
      <c r="I287">
        <v>200709</v>
      </c>
      <c r="J287">
        <v>915275000</v>
      </c>
      <c r="O287">
        <v>201311</v>
      </c>
      <c r="P287">
        <v>4218003907</v>
      </c>
      <c r="T287">
        <v>201512</v>
      </c>
      <c r="U287">
        <v>7875813588.2799997</v>
      </c>
    </row>
    <row r="288" spans="9:21" x14ac:dyDescent="0.25">
      <c r="I288">
        <v>200710</v>
      </c>
      <c r="J288">
        <v>941857000</v>
      </c>
      <c r="O288">
        <v>201312</v>
      </c>
      <c r="P288">
        <v>4371575055</v>
      </c>
      <c r="T288">
        <v>201601</v>
      </c>
      <c r="U288">
        <v>9013110512.1800003</v>
      </c>
    </row>
    <row r="289" spans="9:21" x14ac:dyDescent="0.25">
      <c r="I289">
        <v>200711</v>
      </c>
      <c r="J289">
        <v>1171373000</v>
      </c>
      <c r="O289">
        <v>201401</v>
      </c>
      <c r="P289">
        <v>4611792284</v>
      </c>
      <c r="T289">
        <v>201602</v>
      </c>
      <c r="U289">
        <v>6090825989.3900003</v>
      </c>
    </row>
    <row r="290" spans="9:21" x14ac:dyDescent="0.25">
      <c r="I290">
        <v>200712</v>
      </c>
      <c r="J290">
        <v>1238765000</v>
      </c>
      <c r="O290">
        <v>201402</v>
      </c>
      <c r="P290">
        <v>3033424521</v>
      </c>
      <c r="T290">
        <v>201603</v>
      </c>
      <c r="U290">
        <v>3276752853.6999998</v>
      </c>
    </row>
    <row r="291" spans="9:21" x14ac:dyDescent="0.25">
      <c r="I291">
        <v>200801</v>
      </c>
      <c r="J291">
        <v>1503753000</v>
      </c>
      <c r="O291">
        <v>201403</v>
      </c>
      <c r="P291">
        <v>3253682806</v>
      </c>
      <c r="T291">
        <v>201604</v>
      </c>
      <c r="U291">
        <v>87507981</v>
      </c>
    </row>
    <row r="292" spans="9:21" x14ac:dyDescent="0.25">
      <c r="I292">
        <v>200802</v>
      </c>
      <c r="J292">
        <v>1688771000</v>
      </c>
      <c r="O292">
        <v>201404</v>
      </c>
      <c r="P292">
        <v>4426120682</v>
      </c>
    </row>
    <row r="293" spans="9:21" x14ac:dyDescent="0.25">
      <c r="I293">
        <v>200803</v>
      </c>
      <c r="J293">
        <v>2586600299</v>
      </c>
      <c r="O293">
        <v>201405</v>
      </c>
      <c r="P293">
        <v>4819212943</v>
      </c>
    </row>
    <row r="294" spans="9:21" x14ac:dyDescent="0.25">
      <c r="I294">
        <v>200804</v>
      </c>
      <c r="J294">
        <v>2937983000</v>
      </c>
      <c r="O294">
        <v>201406</v>
      </c>
      <c r="P294">
        <v>5545824995</v>
      </c>
    </row>
    <row r="295" spans="9:21" x14ac:dyDescent="0.25">
      <c r="I295">
        <v>200805</v>
      </c>
      <c r="J295">
        <v>3636383000</v>
      </c>
      <c r="O295">
        <v>201407</v>
      </c>
      <c r="P295">
        <v>6700322892</v>
      </c>
    </row>
    <row r="296" spans="9:21" x14ac:dyDescent="0.25">
      <c r="I296">
        <v>200806</v>
      </c>
      <c r="J296">
        <v>3902355000</v>
      </c>
      <c r="O296">
        <v>201408</v>
      </c>
      <c r="P296">
        <v>6654772084</v>
      </c>
    </row>
    <row r="297" spans="9:21" x14ac:dyDescent="0.25">
      <c r="I297">
        <v>200807</v>
      </c>
      <c r="J297">
        <v>3602249000</v>
      </c>
      <c r="O297">
        <v>201409</v>
      </c>
      <c r="P297">
        <v>6367278364</v>
      </c>
    </row>
    <row r="298" spans="9:21" x14ac:dyDescent="0.25">
      <c r="I298">
        <v>200808</v>
      </c>
      <c r="J298">
        <v>3180729707</v>
      </c>
      <c r="O298">
        <v>201410</v>
      </c>
      <c r="P298">
        <v>5779492201</v>
      </c>
    </row>
    <row r="299" spans="9:21" x14ac:dyDescent="0.25">
      <c r="I299">
        <v>200809</v>
      </c>
      <c r="J299">
        <v>2906779000</v>
      </c>
      <c r="O299">
        <v>201411</v>
      </c>
      <c r="P299">
        <v>5445838376</v>
      </c>
    </row>
    <row r="300" spans="9:21" x14ac:dyDescent="0.25">
      <c r="I300">
        <v>200810</v>
      </c>
      <c r="J300">
        <v>3639319000</v>
      </c>
      <c r="O300">
        <v>201412</v>
      </c>
      <c r="P300">
        <v>4972651877</v>
      </c>
    </row>
    <row r="301" spans="9:21" x14ac:dyDescent="0.25">
      <c r="I301">
        <v>200811</v>
      </c>
      <c r="J301">
        <v>3770749300</v>
      </c>
      <c r="O301">
        <v>201501</v>
      </c>
      <c r="P301">
        <v>5284729535</v>
      </c>
    </row>
    <row r="302" spans="9:21" x14ac:dyDescent="0.25">
      <c r="I302">
        <v>200812</v>
      </c>
      <c r="J302">
        <v>2992550000</v>
      </c>
      <c r="O302">
        <v>201502</v>
      </c>
      <c r="P302">
        <v>4573212409</v>
      </c>
    </row>
    <row r="303" spans="9:21" x14ac:dyDescent="0.25">
      <c r="I303">
        <v>200901</v>
      </c>
      <c r="J303">
        <v>5294082000</v>
      </c>
      <c r="O303">
        <v>201503</v>
      </c>
      <c r="P303">
        <v>5490203962</v>
      </c>
    </row>
    <row r="304" spans="9:21" x14ac:dyDescent="0.25">
      <c r="I304">
        <v>200902</v>
      </c>
      <c r="J304">
        <v>7115783311</v>
      </c>
      <c r="O304">
        <v>201504</v>
      </c>
      <c r="P304">
        <v>7488064820</v>
      </c>
    </row>
    <row r="305" spans="9:16" x14ac:dyDescent="0.25">
      <c r="I305">
        <v>200903</v>
      </c>
      <c r="J305">
        <v>7793052003</v>
      </c>
      <c r="O305">
        <v>201505</v>
      </c>
      <c r="P305">
        <v>7200986253</v>
      </c>
    </row>
    <row r="306" spans="9:16" x14ac:dyDescent="0.25">
      <c r="I306">
        <v>200904</v>
      </c>
      <c r="J306">
        <v>9704021645</v>
      </c>
      <c r="O306">
        <v>201506</v>
      </c>
      <c r="P306">
        <v>7515497158</v>
      </c>
    </row>
    <row r="307" spans="9:16" x14ac:dyDescent="0.25">
      <c r="I307">
        <v>200905</v>
      </c>
      <c r="J307">
        <v>12593514000</v>
      </c>
      <c r="O307">
        <v>201507</v>
      </c>
      <c r="P307">
        <v>7852607309</v>
      </c>
    </row>
    <row r="308" spans="9:16" x14ac:dyDescent="0.25">
      <c r="I308">
        <v>200906</v>
      </c>
      <c r="J308">
        <v>17114835000</v>
      </c>
      <c r="O308">
        <v>201508</v>
      </c>
      <c r="P308">
        <v>7419069687</v>
      </c>
    </row>
    <row r="309" spans="9:16" x14ac:dyDescent="0.25">
      <c r="I309">
        <v>200907</v>
      </c>
      <c r="J309">
        <v>16300971108</v>
      </c>
      <c r="O309">
        <v>201509</v>
      </c>
      <c r="P309">
        <v>6964560620</v>
      </c>
    </row>
    <row r="310" spans="9:16" x14ac:dyDescent="0.25">
      <c r="I310">
        <v>200908</v>
      </c>
      <c r="J310">
        <v>13765789000</v>
      </c>
      <c r="O310">
        <v>201510</v>
      </c>
      <c r="P310">
        <v>6630289689</v>
      </c>
    </row>
    <row r="311" spans="9:16" x14ac:dyDescent="0.25">
      <c r="I311">
        <v>200909</v>
      </c>
      <c r="J311">
        <v>12717446000</v>
      </c>
      <c r="O311">
        <v>201511</v>
      </c>
      <c r="P311">
        <v>6418437597</v>
      </c>
    </row>
    <row r="312" spans="9:16" x14ac:dyDescent="0.25">
      <c r="I312">
        <v>200910</v>
      </c>
      <c r="J312">
        <v>13486251000</v>
      </c>
      <c r="O312">
        <v>201512</v>
      </c>
      <c r="P312">
        <v>5364291164</v>
      </c>
    </row>
    <row r="313" spans="9:16" x14ac:dyDescent="0.25">
      <c r="I313">
        <v>200911</v>
      </c>
      <c r="J313">
        <v>16081394000</v>
      </c>
      <c r="O313">
        <v>201601</v>
      </c>
      <c r="P313">
        <v>6126075071</v>
      </c>
    </row>
    <row r="314" spans="9:16" x14ac:dyDescent="0.25">
      <c r="I314">
        <v>200912</v>
      </c>
      <c r="J314">
        <v>16644857384</v>
      </c>
      <c r="O314">
        <v>201602</v>
      </c>
      <c r="P314">
        <v>3464292980</v>
      </c>
    </row>
    <row r="315" spans="9:16" x14ac:dyDescent="0.25">
      <c r="I315">
        <v>201001</v>
      </c>
      <c r="J315">
        <v>13266855000</v>
      </c>
      <c r="O315">
        <v>201603</v>
      </c>
      <c r="P315">
        <v>1544597796</v>
      </c>
    </row>
    <row r="316" spans="9:16" x14ac:dyDescent="0.25">
      <c r="I316">
        <v>201002</v>
      </c>
      <c r="J316">
        <v>8793130000</v>
      </c>
    </row>
    <row r="317" spans="9:16" x14ac:dyDescent="0.25">
      <c r="I317">
        <v>201003</v>
      </c>
      <c r="J317">
        <v>8661501000</v>
      </c>
    </row>
    <row r="318" spans="9:16" x14ac:dyDescent="0.25">
      <c r="I318">
        <v>201004</v>
      </c>
      <c r="J318">
        <v>12493490000</v>
      </c>
    </row>
    <row r="319" spans="9:16" x14ac:dyDescent="0.25">
      <c r="I319">
        <v>201005</v>
      </c>
      <c r="J319">
        <v>13645857108</v>
      </c>
    </row>
    <row r="320" spans="9:16" x14ac:dyDescent="0.25">
      <c r="I320">
        <v>201006</v>
      </c>
      <c r="J320">
        <v>14382005442</v>
      </c>
    </row>
    <row r="321" spans="9:10" x14ac:dyDescent="0.25">
      <c r="I321">
        <v>201007</v>
      </c>
      <c r="J321">
        <v>17091212000</v>
      </c>
    </row>
    <row r="322" spans="9:10" x14ac:dyDescent="0.25">
      <c r="I322">
        <v>201008</v>
      </c>
      <c r="J322">
        <v>12511641205</v>
      </c>
    </row>
    <row r="323" spans="9:10" x14ac:dyDescent="0.25">
      <c r="I323">
        <v>201009</v>
      </c>
      <c r="J323">
        <v>16122616000</v>
      </c>
    </row>
    <row r="324" spans="9:10" x14ac:dyDescent="0.25">
      <c r="I324">
        <v>201010</v>
      </c>
      <c r="J324">
        <v>17566326067</v>
      </c>
    </row>
    <row r="325" spans="9:10" x14ac:dyDescent="0.25">
      <c r="I325">
        <v>201011</v>
      </c>
      <c r="J325">
        <v>17284727407</v>
      </c>
    </row>
    <row r="326" spans="9:10" x14ac:dyDescent="0.25">
      <c r="I326">
        <v>201012</v>
      </c>
      <c r="J326">
        <v>15216488000</v>
      </c>
    </row>
    <row r="327" spans="9:10" x14ac:dyDescent="0.25">
      <c r="I327">
        <v>201101</v>
      </c>
      <c r="J327">
        <v>12743226000</v>
      </c>
    </row>
    <row r="328" spans="9:10" x14ac:dyDescent="0.25">
      <c r="I328">
        <v>201102</v>
      </c>
      <c r="J328">
        <v>8149776000</v>
      </c>
    </row>
    <row r="329" spans="9:10" x14ac:dyDescent="0.25">
      <c r="I329">
        <v>201103</v>
      </c>
      <c r="J329">
        <v>7276767000</v>
      </c>
    </row>
    <row r="330" spans="9:10" x14ac:dyDescent="0.25">
      <c r="I330">
        <v>201104</v>
      </c>
      <c r="J330">
        <v>8906186114</v>
      </c>
    </row>
    <row r="331" spans="9:10" x14ac:dyDescent="0.25">
      <c r="I331">
        <v>201105</v>
      </c>
      <c r="J331">
        <v>9037416000</v>
      </c>
    </row>
    <row r="332" spans="9:10" x14ac:dyDescent="0.25">
      <c r="I332">
        <v>201106</v>
      </c>
      <c r="J332">
        <v>9400774000</v>
      </c>
    </row>
    <row r="333" spans="9:10" x14ac:dyDescent="0.25">
      <c r="I333">
        <v>201107</v>
      </c>
      <c r="J333">
        <v>10073797250</v>
      </c>
    </row>
    <row r="334" spans="9:10" x14ac:dyDescent="0.25">
      <c r="I334">
        <v>201108</v>
      </c>
      <c r="J334">
        <v>9246027000</v>
      </c>
    </row>
    <row r="335" spans="9:10" x14ac:dyDescent="0.25">
      <c r="I335">
        <v>201109</v>
      </c>
      <c r="J335">
        <v>10194419544</v>
      </c>
    </row>
    <row r="336" spans="9:10" x14ac:dyDescent="0.25">
      <c r="I336">
        <v>201110</v>
      </c>
      <c r="J336">
        <v>10570173000</v>
      </c>
    </row>
    <row r="337" spans="9:10" x14ac:dyDescent="0.25">
      <c r="I337">
        <v>201111</v>
      </c>
      <c r="J337">
        <v>11283620000</v>
      </c>
    </row>
    <row r="338" spans="9:10" x14ac:dyDescent="0.25">
      <c r="I338">
        <v>201112</v>
      </c>
      <c r="J338">
        <v>11317918385</v>
      </c>
    </row>
    <row r="339" spans="9:10" x14ac:dyDescent="0.25">
      <c r="I339">
        <v>201201</v>
      </c>
      <c r="J339">
        <v>12183087193</v>
      </c>
    </row>
    <row r="340" spans="9:10" x14ac:dyDescent="0.25">
      <c r="I340">
        <v>201202</v>
      </c>
      <c r="J340">
        <v>10526543960</v>
      </c>
    </row>
    <row r="341" spans="9:10" x14ac:dyDescent="0.25">
      <c r="I341">
        <v>201203</v>
      </c>
      <c r="J341">
        <v>12475365349</v>
      </c>
    </row>
    <row r="342" spans="9:10" x14ac:dyDescent="0.25">
      <c r="I342">
        <v>201204</v>
      </c>
      <c r="J342">
        <v>15624476096</v>
      </c>
    </row>
    <row r="343" spans="9:10" x14ac:dyDescent="0.25">
      <c r="I343">
        <v>201205</v>
      </c>
      <c r="J343">
        <v>15513540990</v>
      </c>
    </row>
    <row r="344" spans="9:10" x14ac:dyDescent="0.25">
      <c r="I344">
        <v>201206</v>
      </c>
      <c r="J344">
        <v>15182407897</v>
      </c>
    </row>
    <row r="345" spans="9:10" x14ac:dyDescent="0.25">
      <c r="I345">
        <v>201207</v>
      </c>
      <c r="J345">
        <v>16865630761</v>
      </c>
    </row>
    <row r="346" spans="9:10" x14ac:dyDescent="0.25">
      <c r="I346">
        <v>201208</v>
      </c>
      <c r="J346">
        <v>19345775365</v>
      </c>
    </row>
    <row r="347" spans="9:10" x14ac:dyDescent="0.25">
      <c r="I347">
        <v>201209</v>
      </c>
      <c r="J347">
        <v>21227081040</v>
      </c>
    </row>
    <row r="348" spans="9:10" x14ac:dyDescent="0.25">
      <c r="I348">
        <v>201210</v>
      </c>
      <c r="J348">
        <v>18590246000</v>
      </c>
    </row>
    <row r="349" spans="9:10" x14ac:dyDescent="0.25">
      <c r="I349">
        <v>201211</v>
      </c>
      <c r="J349">
        <v>21204397273</v>
      </c>
    </row>
    <row r="350" spans="9:10" x14ac:dyDescent="0.25">
      <c r="I350">
        <v>201212</v>
      </c>
      <c r="J350">
        <v>19442438000</v>
      </c>
    </row>
    <row r="351" spans="9:10" x14ac:dyDescent="0.25">
      <c r="I351">
        <v>201301</v>
      </c>
      <c r="J351">
        <v>19760995000</v>
      </c>
    </row>
    <row r="352" spans="9:10" x14ac:dyDescent="0.25">
      <c r="I352">
        <v>201302</v>
      </c>
      <c r="J352">
        <v>17735788424</v>
      </c>
    </row>
    <row r="353" spans="9:10" x14ac:dyDescent="0.25">
      <c r="I353">
        <v>201303</v>
      </c>
      <c r="J353">
        <v>16289737401</v>
      </c>
    </row>
    <row r="354" spans="9:10" x14ac:dyDescent="0.25">
      <c r="I354">
        <v>201304</v>
      </c>
      <c r="J354">
        <v>18576468000</v>
      </c>
    </row>
    <row r="355" spans="9:10" x14ac:dyDescent="0.25">
      <c r="I355">
        <v>201305</v>
      </c>
      <c r="J355">
        <v>19620934425</v>
      </c>
    </row>
    <row r="356" spans="9:10" x14ac:dyDescent="0.25">
      <c r="I356">
        <v>201306</v>
      </c>
      <c r="J356">
        <v>18423791911</v>
      </c>
    </row>
    <row r="357" spans="9:10" x14ac:dyDescent="0.25">
      <c r="I357">
        <v>201307</v>
      </c>
      <c r="J357">
        <v>16207776667</v>
      </c>
    </row>
    <row r="358" spans="9:10" x14ac:dyDescent="0.25">
      <c r="I358">
        <v>201308</v>
      </c>
      <c r="J358">
        <v>14861450881</v>
      </c>
    </row>
    <row r="359" spans="9:10" x14ac:dyDescent="0.25">
      <c r="I359">
        <v>201309</v>
      </c>
      <c r="J359">
        <v>13117341405</v>
      </c>
    </row>
    <row r="360" spans="9:10" x14ac:dyDescent="0.25">
      <c r="I360">
        <v>201310</v>
      </c>
      <c r="J360">
        <v>11129094325</v>
      </c>
    </row>
    <row r="361" spans="9:10" x14ac:dyDescent="0.25">
      <c r="I361">
        <v>201311</v>
      </c>
      <c r="J361">
        <v>10824547968</v>
      </c>
    </row>
    <row r="362" spans="9:10" x14ac:dyDescent="0.25">
      <c r="I362">
        <v>201312</v>
      </c>
      <c r="J362">
        <v>9496352965</v>
      </c>
    </row>
    <row r="363" spans="9:10" x14ac:dyDescent="0.25">
      <c r="I363">
        <v>201401</v>
      </c>
      <c r="J363">
        <v>9581800000</v>
      </c>
    </row>
    <row r="364" spans="9:10" x14ac:dyDescent="0.25">
      <c r="I364">
        <v>201402</v>
      </c>
      <c r="J364">
        <v>7101352000</v>
      </c>
    </row>
    <row r="365" spans="9:10" x14ac:dyDescent="0.25">
      <c r="I365">
        <v>201403</v>
      </c>
      <c r="J365">
        <v>7094613000</v>
      </c>
    </row>
    <row r="366" spans="9:10" x14ac:dyDescent="0.25">
      <c r="I366">
        <v>201404</v>
      </c>
      <c r="J366">
        <v>9103458000</v>
      </c>
    </row>
    <row r="367" spans="9:10" x14ac:dyDescent="0.25">
      <c r="I367">
        <v>201405</v>
      </c>
      <c r="J367">
        <v>10114643000</v>
      </c>
    </row>
    <row r="368" spans="9:10" x14ac:dyDescent="0.25">
      <c r="I368">
        <v>201406</v>
      </c>
      <c r="J368">
        <v>10888832000</v>
      </c>
    </row>
    <row r="369" spans="9:10" x14ac:dyDescent="0.25">
      <c r="I369">
        <v>201407</v>
      </c>
      <c r="J369">
        <v>11669095000</v>
      </c>
    </row>
    <row r="370" spans="9:10" x14ac:dyDescent="0.25">
      <c r="I370">
        <v>201408</v>
      </c>
      <c r="J370">
        <v>11842085000</v>
      </c>
    </row>
    <row r="371" spans="9:10" x14ac:dyDescent="0.25">
      <c r="I371">
        <v>201409</v>
      </c>
      <c r="J371">
        <v>11109073000</v>
      </c>
    </row>
    <row r="372" spans="9:10" x14ac:dyDescent="0.25">
      <c r="I372">
        <v>201410</v>
      </c>
      <c r="J372">
        <v>10766548000</v>
      </c>
    </row>
    <row r="373" spans="9:10" x14ac:dyDescent="0.25">
      <c r="I373">
        <v>201411</v>
      </c>
      <c r="J373">
        <v>10896898000</v>
      </c>
    </row>
    <row r="374" spans="9:10" x14ac:dyDescent="0.25">
      <c r="I374">
        <v>201412</v>
      </c>
      <c r="J374">
        <v>9374643000</v>
      </c>
    </row>
    <row r="375" spans="9:10" x14ac:dyDescent="0.25">
      <c r="I375">
        <v>201501</v>
      </c>
      <c r="J375">
        <v>10565322000</v>
      </c>
    </row>
    <row r="376" spans="9:10" x14ac:dyDescent="0.25">
      <c r="I376">
        <v>201502</v>
      </c>
      <c r="J376">
        <v>7136922000</v>
      </c>
    </row>
    <row r="377" spans="9:10" x14ac:dyDescent="0.25">
      <c r="I377">
        <v>201503</v>
      </c>
      <c r="J377">
        <v>15445412000</v>
      </c>
    </row>
    <row r="378" spans="9:10" x14ac:dyDescent="0.25">
      <c r="I378">
        <v>201504</v>
      </c>
      <c r="J378">
        <v>22448560000</v>
      </c>
    </row>
    <row r="379" spans="9:10" x14ac:dyDescent="0.25">
      <c r="I379">
        <v>201505</v>
      </c>
      <c r="J379">
        <v>22378759000</v>
      </c>
    </row>
    <row r="380" spans="9:10" x14ac:dyDescent="0.25">
      <c r="I380">
        <v>201506</v>
      </c>
      <c r="J380">
        <v>21761325000</v>
      </c>
    </row>
    <row r="381" spans="9:10" x14ac:dyDescent="0.25">
      <c r="I381">
        <v>201507</v>
      </c>
      <c r="J381">
        <v>23428488000</v>
      </c>
    </row>
    <row r="382" spans="9:10" x14ac:dyDescent="0.25">
      <c r="I382">
        <v>201508</v>
      </c>
      <c r="J382">
        <v>21557771000</v>
      </c>
    </row>
    <row r="383" spans="9:10" x14ac:dyDescent="0.25">
      <c r="I383">
        <v>201509</v>
      </c>
      <c r="J383">
        <v>19939311000</v>
      </c>
    </row>
    <row r="384" spans="9:10" x14ac:dyDescent="0.25">
      <c r="I384">
        <v>201510</v>
      </c>
      <c r="J384">
        <v>19137883000</v>
      </c>
    </row>
    <row r="385" spans="9:10" x14ac:dyDescent="0.25">
      <c r="I385">
        <v>201511</v>
      </c>
      <c r="J385">
        <v>17367856000</v>
      </c>
    </row>
    <row r="386" spans="9:10" x14ac:dyDescent="0.25">
      <c r="I386">
        <v>201512</v>
      </c>
      <c r="J386">
        <v>14284272000</v>
      </c>
    </row>
    <row r="387" spans="9:10" x14ac:dyDescent="0.25">
      <c r="I387">
        <v>201601</v>
      </c>
      <c r="J387">
        <v>16427519000</v>
      </c>
    </row>
    <row r="388" spans="9:10" x14ac:dyDescent="0.25">
      <c r="I388">
        <v>201602</v>
      </c>
      <c r="J388">
        <v>11863111000</v>
      </c>
    </row>
    <row r="389" spans="9:10" x14ac:dyDescent="0.25">
      <c r="I389">
        <v>201603</v>
      </c>
      <c r="J389">
        <v>8500069000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9"/>
  <sheetViews>
    <sheetView tabSelected="1" workbookViewId="0">
      <selection activeCell="AB36" sqref="AB36"/>
    </sheetView>
  </sheetViews>
  <sheetFormatPr defaultRowHeight="15" x14ac:dyDescent="0.25"/>
  <sheetData>
    <row r="1" spans="1:7" x14ac:dyDescent="0.25">
      <c r="B1" t="s">
        <v>6</v>
      </c>
      <c r="C1" t="s">
        <v>7</v>
      </c>
      <c r="F1" t="s">
        <v>6</v>
      </c>
      <c r="G1" t="s">
        <v>7</v>
      </c>
    </row>
    <row r="2" spans="1:7" x14ac:dyDescent="0.25">
      <c r="A2">
        <v>199302</v>
      </c>
      <c r="B2">
        <f>VLOOKUP(A2,Sheet1!I:J,2,0)</f>
        <v>32256000</v>
      </c>
      <c r="C2">
        <f>VLOOKUP(A2,Sheet1!O:P,2,0)+VLOOKUP(A2,Sheet1!T:U,2,0)</f>
        <v>1620460</v>
      </c>
      <c r="E2">
        <v>199302</v>
      </c>
      <c r="F2" s="1">
        <f>B2/(B2+C2)</f>
        <v>0.95216560408023743</v>
      </c>
      <c r="G2" s="1">
        <f>1-F2</f>
        <v>4.7834395919762573E-2</v>
      </c>
    </row>
    <row r="3" spans="1:7" x14ac:dyDescent="0.25">
      <c r="A3">
        <v>199303</v>
      </c>
      <c r="B3">
        <f>VLOOKUP(A3,Sheet1!I:J,2,0)</f>
        <v>37019000</v>
      </c>
      <c r="C3">
        <f>VLOOKUP(A3,Sheet1!O:P,2,0)+VLOOKUP(A3,Sheet1!T:U,2,0)</f>
        <v>2321592</v>
      </c>
      <c r="E3">
        <v>199303</v>
      </c>
      <c r="F3" s="1">
        <f t="shared" ref="F3:F66" si="0">B3/(B3+C3)</f>
        <v>0.94098736490798107</v>
      </c>
      <c r="G3" s="1">
        <f t="shared" ref="G3:G66" si="1">1-F3</f>
        <v>5.9012635092018928E-2</v>
      </c>
    </row>
    <row r="4" spans="1:7" x14ac:dyDescent="0.25">
      <c r="A4">
        <v>199304</v>
      </c>
      <c r="B4">
        <f>VLOOKUP(A4,Sheet1!I:J,2,0)</f>
        <v>65312000</v>
      </c>
      <c r="C4">
        <f>VLOOKUP(A4,Sheet1!O:P,2,0)+VLOOKUP(A4,Sheet1!T:U,2,0)</f>
        <v>1632401.8599999999</v>
      </c>
      <c r="E4">
        <v>199304</v>
      </c>
      <c r="F4" s="1">
        <f t="shared" si="0"/>
        <v>0.97561555836418079</v>
      </c>
      <c r="G4" s="1">
        <f t="shared" si="1"/>
        <v>2.438444163581921E-2</v>
      </c>
    </row>
    <row r="5" spans="1:7" x14ac:dyDescent="0.25">
      <c r="A5">
        <v>199305</v>
      </c>
      <c r="B5">
        <f>VLOOKUP(A5,Sheet1!I:J,2,0)</f>
        <v>89247000</v>
      </c>
      <c r="C5">
        <f>VLOOKUP(A5,Sheet1!O:P,2,0)+VLOOKUP(A5,Sheet1!T:U,2,0)</f>
        <v>3932009.24</v>
      </c>
      <c r="E5">
        <v>199305</v>
      </c>
      <c r="F5" s="1">
        <f t="shared" si="0"/>
        <v>0.95780155560709634</v>
      </c>
      <c r="G5" s="1">
        <f t="shared" si="1"/>
        <v>4.2198444392903656E-2</v>
      </c>
    </row>
    <row r="6" spans="1:7" x14ac:dyDescent="0.25">
      <c r="A6">
        <v>199306</v>
      </c>
      <c r="B6">
        <f>VLOOKUP(A6,Sheet1!I:J,2,0)</f>
        <v>105806000</v>
      </c>
      <c r="C6">
        <f>VLOOKUP(A6,Sheet1!O:P,2,0)+VLOOKUP(A6,Sheet1!T:U,2,0)</f>
        <v>4469330</v>
      </c>
      <c r="E6">
        <v>199306</v>
      </c>
      <c r="F6" s="1">
        <f t="shared" si="0"/>
        <v>0.95947117093188472</v>
      </c>
      <c r="G6" s="1">
        <f t="shared" si="1"/>
        <v>4.052882906811528E-2</v>
      </c>
    </row>
    <row r="7" spans="1:7" x14ac:dyDescent="0.25">
      <c r="A7">
        <v>199307</v>
      </c>
      <c r="B7">
        <f>VLOOKUP(A7,Sheet1!I:J,2,0)</f>
        <v>107982000</v>
      </c>
      <c r="C7">
        <f>VLOOKUP(A7,Sheet1!O:P,2,0)+VLOOKUP(A7,Sheet1!T:U,2,0)</f>
        <v>4246325</v>
      </c>
      <c r="E7">
        <v>199307</v>
      </c>
      <c r="F7" s="1">
        <f t="shared" si="0"/>
        <v>0.96216351798888555</v>
      </c>
      <c r="G7" s="1">
        <f t="shared" si="1"/>
        <v>3.7836482011114447E-2</v>
      </c>
    </row>
    <row r="8" spans="1:7" x14ac:dyDescent="0.25">
      <c r="A8">
        <v>199308</v>
      </c>
      <c r="B8">
        <f>VLOOKUP(A8,Sheet1!I:J,2,0)</f>
        <v>116532000</v>
      </c>
      <c r="C8">
        <f>VLOOKUP(A8,Sheet1!O:P,2,0)+VLOOKUP(A8,Sheet1!T:U,2,0)</f>
        <v>2611405</v>
      </c>
      <c r="E8">
        <v>199308</v>
      </c>
      <c r="F8" s="1">
        <f t="shared" si="0"/>
        <v>0.97808183340068211</v>
      </c>
      <c r="G8" s="1">
        <f t="shared" si="1"/>
        <v>2.191816659931789E-2</v>
      </c>
    </row>
    <row r="9" spans="1:7" x14ac:dyDescent="0.25">
      <c r="A9">
        <v>199309</v>
      </c>
      <c r="B9">
        <f>VLOOKUP(A9,Sheet1!I:J,2,0)</f>
        <v>140915000</v>
      </c>
      <c r="C9">
        <f>VLOOKUP(A9,Sheet1!O:P,2,0)+VLOOKUP(A9,Sheet1!T:U,2,0)</f>
        <v>3146775</v>
      </c>
      <c r="E9">
        <v>199309</v>
      </c>
      <c r="F9" s="1">
        <f t="shared" si="0"/>
        <v>0.97815676642884619</v>
      </c>
      <c r="G9" s="1">
        <f t="shared" si="1"/>
        <v>2.1843233571153808E-2</v>
      </c>
    </row>
    <row r="10" spans="1:7" x14ac:dyDescent="0.25">
      <c r="A10">
        <v>199310</v>
      </c>
      <c r="B10">
        <f>VLOOKUP(A10,Sheet1!I:J,2,0)</f>
        <v>165910000</v>
      </c>
      <c r="C10">
        <f>VLOOKUP(A10,Sheet1!O:P,2,0)+VLOOKUP(A10,Sheet1!T:U,2,0)</f>
        <v>5771933</v>
      </c>
      <c r="E10">
        <v>199310</v>
      </c>
      <c r="F10" s="1">
        <f t="shared" si="0"/>
        <v>0.96638007914321422</v>
      </c>
      <c r="G10" s="1">
        <f t="shared" si="1"/>
        <v>3.3619920856785779E-2</v>
      </c>
    </row>
    <row r="11" spans="1:7" x14ac:dyDescent="0.25">
      <c r="A11">
        <v>199311</v>
      </c>
      <c r="B11">
        <f>VLOOKUP(A11,Sheet1!I:J,2,0)</f>
        <v>204764000</v>
      </c>
      <c r="C11">
        <f>VLOOKUP(A11,Sheet1!O:P,2,0)+VLOOKUP(A11,Sheet1!T:U,2,0)</f>
        <v>5882752</v>
      </c>
      <c r="E11">
        <v>199311</v>
      </c>
      <c r="F11" s="1">
        <f t="shared" si="0"/>
        <v>0.9720729043094859</v>
      </c>
      <c r="G11" s="1">
        <f t="shared" si="1"/>
        <v>2.7927095690514103E-2</v>
      </c>
    </row>
    <row r="12" spans="1:7" x14ac:dyDescent="0.25">
      <c r="A12">
        <v>199312</v>
      </c>
      <c r="B12">
        <f>VLOOKUP(A12,Sheet1!I:J,2,0)</f>
        <v>213735000</v>
      </c>
      <c r="C12">
        <f>VLOOKUP(A12,Sheet1!O:P,2,0)+VLOOKUP(A12,Sheet1!T:U,2,0)</f>
        <v>8305937</v>
      </c>
      <c r="E12">
        <v>199312</v>
      </c>
      <c r="F12" s="1">
        <f t="shared" si="0"/>
        <v>0.96259276729678001</v>
      </c>
      <c r="G12" s="1">
        <f t="shared" si="1"/>
        <v>3.7407232703219995E-2</v>
      </c>
    </row>
    <row r="13" spans="1:7" x14ac:dyDescent="0.25">
      <c r="A13">
        <v>199401</v>
      </c>
      <c r="B13">
        <f>VLOOKUP(A13,Sheet1!I:J,2,0)</f>
        <v>183947000</v>
      </c>
      <c r="C13">
        <f>VLOOKUP(A13,Sheet1!O:P,2,0)+VLOOKUP(A13,Sheet1!T:U,2,0)</f>
        <v>10725266</v>
      </c>
      <c r="E13">
        <v>199401</v>
      </c>
      <c r="F13" s="1">
        <f t="shared" si="0"/>
        <v>0.9449060401855085</v>
      </c>
      <c r="G13" s="1">
        <f t="shared" si="1"/>
        <v>5.50939598144915E-2</v>
      </c>
    </row>
    <row r="14" spans="1:7" x14ac:dyDescent="0.25">
      <c r="A14">
        <v>199402</v>
      </c>
      <c r="B14">
        <f>VLOOKUP(A14,Sheet1!I:J,2,0)</f>
        <v>126338000</v>
      </c>
      <c r="C14">
        <f>VLOOKUP(A14,Sheet1!O:P,2,0)+VLOOKUP(A14,Sheet1!T:U,2,0)</f>
        <v>5614703</v>
      </c>
      <c r="E14">
        <v>199402</v>
      </c>
      <c r="F14" s="1">
        <f t="shared" si="0"/>
        <v>0.95744912478223354</v>
      </c>
      <c r="G14" s="1">
        <f t="shared" si="1"/>
        <v>4.255087521776646E-2</v>
      </c>
    </row>
    <row r="15" spans="1:7" x14ac:dyDescent="0.25">
      <c r="A15">
        <v>199403</v>
      </c>
      <c r="B15">
        <f>VLOOKUP(A15,Sheet1!I:J,2,0)</f>
        <v>120235000</v>
      </c>
      <c r="C15">
        <f>VLOOKUP(A15,Sheet1!O:P,2,0)+VLOOKUP(A15,Sheet1!T:U,2,0)</f>
        <v>6541513</v>
      </c>
      <c r="E15">
        <v>199403</v>
      </c>
      <c r="F15" s="1">
        <f t="shared" si="0"/>
        <v>0.9484012231824045</v>
      </c>
      <c r="G15" s="1">
        <f t="shared" si="1"/>
        <v>5.1598776817595504E-2</v>
      </c>
    </row>
    <row r="16" spans="1:7" x14ac:dyDescent="0.25">
      <c r="A16">
        <v>199404</v>
      </c>
      <c r="B16">
        <f>VLOOKUP(A16,Sheet1!I:J,2,0)</f>
        <v>121417000</v>
      </c>
      <c r="C16">
        <f>VLOOKUP(A16,Sheet1!O:P,2,0)+VLOOKUP(A16,Sheet1!T:U,2,0)</f>
        <v>4869801</v>
      </c>
      <c r="E16">
        <v>199404</v>
      </c>
      <c r="F16" s="1">
        <f t="shared" si="0"/>
        <v>0.96143855920461552</v>
      </c>
      <c r="G16" s="1">
        <f t="shared" si="1"/>
        <v>3.8561440795384483E-2</v>
      </c>
    </row>
    <row r="17" spans="1:7" x14ac:dyDescent="0.25">
      <c r="A17">
        <v>199405</v>
      </c>
      <c r="B17">
        <f>VLOOKUP(A17,Sheet1!I:J,2,0)</f>
        <v>68788000</v>
      </c>
      <c r="C17">
        <f>VLOOKUP(A17,Sheet1!O:P,2,0)+VLOOKUP(A17,Sheet1!T:U,2,0)</f>
        <v>5848575</v>
      </c>
      <c r="E17">
        <v>199405</v>
      </c>
      <c r="F17" s="1">
        <f t="shared" si="0"/>
        <v>0.92163929012015888</v>
      </c>
      <c r="G17" s="1">
        <f t="shared" si="1"/>
        <v>7.8360709879841117E-2</v>
      </c>
    </row>
    <row r="18" spans="1:7" x14ac:dyDescent="0.25">
      <c r="A18">
        <v>199406</v>
      </c>
      <c r="B18">
        <f>VLOOKUP(A18,Sheet1!I:J,2,0)</f>
        <v>47649000</v>
      </c>
      <c r="C18">
        <f>VLOOKUP(A18,Sheet1!O:P,2,0)+VLOOKUP(A18,Sheet1!T:U,2,0)</f>
        <v>3011914</v>
      </c>
      <c r="E18">
        <v>199406</v>
      </c>
      <c r="F18" s="1">
        <f t="shared" si="0"/>
        <v>0.94054757875075057</v>
      </c>
      <c r="G18" s="1">
        <f t="shared" si="1"/>
        <v>5.9452421249249432E-2</v>
      </c>
    </row>
    <row r="19" spans="1:7" x14ac:dyDescent="0.25">
      <c r="A19">
        <v>199407</v>
      </c>
      <c r="B19">
        <f>VLOOKUP(A19,Sheet1!I:J,2,0)</f>
        <v>34257000</v>
      </c>
      <c r="C19">
        <f>VLOOKUP(A19,Sheet1!O:P,2,0)+VLOOKUP(A19,Sheet1!T:U,2,0)</f>
        <v>3018932</v>
      </c>
      <c r="E19">
        <v>199407</v>
      </c>
      <c r="F19" s="1">
        <f t="shared" si="0"/>
        <v>0.91901122686885472</v>
      </c>
      <c r="G19" s="1">
        <f t="shared" si="1"/>
        <v>8.0988773131145275E-2</v>
      </c>
    </row>
    <row r="20" spans="1:7" x14ac:dyDescent="0.25">
      <c r="A20">
        <v>199408</v>
      </c>
      <c r="B20">
        <f>VLOOKUP(A20,Sheet1!I:J,2,0)</f>
        <v>27336000</v>
      </c>
      <c r="C20">
        <f>VLOOKUP(A20,Sheet1!O:P,2,0)+VLOOKUP(A20,Sheet1!T:U,2,0)</f>
        <v>1357745</v>
      </c>
      <c r="E20">
        <v>199408</v>
      </c>
      <c r="F20" s="1">
        <f t="shared" si="0"/>
        <v>0.95268149905144828</v>
      </c>
      <c r="G20" s="1">
        <f t="shared" si="1"/>
        <v>4.7318500948551723E-2</v>
      </c>
    </row>
    <row r="21" spans="1:7" x14ac:dyDescent="0.25">
      <c r="A21">
        <v>199409</v>
      </c>
      <c r="B21">
        <f>VLOOKUP(A21,Sheet1!I:J,2,0)</f>
        <v>28410000</v>
      </c>
      <c r="C21">
        <f>VLOOKUP(A21,Sheet1!O:P,2,0)+VLOOKUP(A21,Sheet1!T:U,2,0)</f>
        <v>1958610.1</v>
      </c>
      <c r="E21">
        <v>199409</v>
      </c>
      <c r="F21" s="1">
        <f t="shared" si="0"/>
        <v>0.9355054415216717</v>
      </c>
      <c r="G21" s="1">
        <f t="shared" si="1"/>
        <v>6.4494558478328301E-2</v>
      </c>
    </row>
    <row r="22" spans="1:7" x14ac:dyDescent="0.25">
      <c r="A22">
        <v>199410</v>
      </c>
      <c r="B22">
        <f>VLOOKUP(A22,Sheet1!I:J,2,0)</f>
        <v>23790000</v>
      </c>
      <c r="C22">
        <f>VLOOKUP(A22,Sheet1!O:P,2,0)+VLOOKUP(A22,Sheet1!T:U,2,0)</f>
        <v>1729141</v>
      </c>
      <c r="E22">
        <v>199410</v>
      </c>
      <c r="F22" s="1">
        <f t="shared" si="0"/>
        <v>0.93224141047694353</v>
      </c>
      <c r="G22" s="1">
        <f t="shared" si="1"/>
        <v>6.7758589523056467E-2</v>
      </c>
    </row>
    <row r="23" spans="1:7" x14ac:dyDescent="0.25">
      <c r="A23">
        <v>199411</v>
      </c>
      <c r="B23">
        <f>VLOOKUP(A23,Sheet1!I:J,2,0)</f>
        <v>17326000</v>
      </c>
      <c r="C23">
        <f>VLOOKUP(A23,Sheet1!O:P,2,0)+VLOOKUP(A23,Sheet1!T:U,2,0)</f>
        <v>1224572</v>
      </c>
      <c r="E23">
        <v>199411</v>
      </c>
      <c r="F23" s="1">
        <f t="shared" si="0"/>
        <v>0.93398737246484909</v>
      </c>
      <c r="G23" s="1">
        <f t="shared" si="1"/>
        <v>6.6012627535150914E-2</v>
      </c>
    </row>
    <row r="24" spans="1:7" x14ac:dyDescent="0.25">
      <c r="A24">
        <v>199412</v>
      </c>
      <c r="B24">
        <f>VLOOKUP(A24,Sheet1!I:J,2,0)</f>
        <v>14646000</v>
      </c>
      <c r="C24">
        <f>VLOOKUP(A24,Sheet1!O:P,2,0)+VLOOKUP(A24,Sheet1!T:U,2,0)</f>
        <v>1117640</v>
      </c>
      <c r="E24">
        <v>199412</v>
      </c>
      <c r="F24" s="1">
        <f t="shared" si="0"/>
        <v>0.92910013169547134</v>
      </c>
      <c r="G24" s="1">
        <f t="shared" si="1"/>
        <v>7.0899868304528657E-2</v>
      </c>
    </row>
    <row r="25" spans="1:7" x14ac:dyDescent="0.25">
      <c r="A25">
        <v>199501</v>
      </c>
      <c r="B25">
        <f>VLOOKUP(A25,Sheet1!I:J,2,0)</f>
        <v>15587000</v>
      </c>
      <c r="C25">
        <f>VLOOKUP(A25,Sheet1!O:P,2,0)+VLOOKUP(A25,Sheet1!T:U,2,0)</f>
        <v>1140752</v>
      </c>
      <c r="E25">
        <v>199501</v>
      </c>
      <c r="F25" s="1">
        <f t="shared" si="0"/>
        <v>0.93180482350527438</v>
      </c>
      <c r="G25" s="1">
        <f t="shared" si="1"/>
        <v>6.8195176494725618E-2</v>
      </c>
    </row>
    <row r="26" spans="1:7" x14ac:dyDescent="0.25">
      <c r="A26">
        <v>199502</v>
      </c>
      <c r="B26">
        <f>VLOOKUP(A26,Sheet1!I:J,2,0)</f>
        <v>9986000</v>
      </c>
      <c r="C26">
        <f>VLOOKUP(A26,Sheet1!O:P,2,0)+VLOOKUP(A26,Sheet1!T:U,2,0)</f>
        <v>390862.5</v>
      </c>
      <c r="E26">
        <v>199502</v>
      </c>
      <c r="F26" s="1">
        <f t="shared" si="0"/>
        <v>0.96233326788323537</v>
      </c>
      <c r="G26" s="1">
        <f t="shared" si="1"/>
        <v>3.7666732116764634E-2</v>
      </c>
    </row>
    <row r="27" spans="1:7" x14ac:dyDescent="0.25">
      <c r="A27">
        <v>199503</v>
      </c>
      <c r="B27">
        <f>VLOOKUP(A27,Sheet1!I:J,2,0)</f>
        <v>11769000</v>
      </c>
      <c r="C27">
        <f>VLOOKUP(A27,Sheet1!O:P,2,0)+VLOOKUP(A27,Sheet1!T:U,2,0)</f>
        <v>504527</v>
      </c>
      <c r="E27">
        <v>199503</v>
      </c>
      <c r="F27" s="1">
        <f t="shared" si="0"/>
        <v>0.95889307124186873</v>
      </c>
      <c r="G27" s="1">
        <f t="shared" si="1"/>
        <v>4.1106928758131267E-2</v>
      </c>
    </row>
    <row r="28" spans="1:7" x14ac:dyDescent="0.25">
      <c r="A28">
        <v>199504</v>
      </c>
      <c r="B28">
        <f>VLOOKUP(A28,Sheet1!I:J,2,0)</f>
        <v>16607000</v>
      </c>
      <c r="C28">
        <f>VLOOKUP(A28,Sheet1!O:P,2,0)+VLOOKUP(A28,Sheet1!T:U,2,0)</f>
        <v>689262</v>
      </c>
      <c r="E28">
        <v>199504</v>
      </c>
      <c r="F28" s="1">
        <f t="shared" si="0"/>
        <v>0.96014965545734676</v>
      </c>
      <c r="G28" s="1">
        <f t="shared" si="1"/>
        <v>3.9850344542653238E-2</v>
      </c>
    </row>
    <row r="29" spans="1:7" x14ac:dyDescent="0.25">
      <c r="A29">
        <v>199505</v>
      </c>
      <c r="B29">
        <f>VLOOKUP(A29,Sheet1!I:J,2,0)</f>
        <v>23445000</v>
      </c>
      <c r="C29">
        <f>VLOOKUP(A29,Sheet1!O:P,2,0)+VLOOKUP(A29,Sheet1!T:U,2,0)</f>
        <v>1445399</v>
      </c>
      <c r="E29">
        <v>199505</v>
      </c>
      <c r="F29" s="1">
        <f t="shared" si="0"/>
        <v>0.94192945641409764</v>
      </c>
      <c r="G29" s="1">
        <f t="shared" si="1"/>
        <v>5.8070543585902357E-2</v>
      </c>
    </row>
    <row r="30" spans="1:7" x14ac:dyDescent="0.25">
      <c r="A30">
        <v>199506</v>
      </c>
      <c r="B30">
        <f>VLOOKUP(A30,Sheet1!I:J,2,0)</f>
        <v>33016000</v>
      </c>
      <c r="C30">
        <f>VLOOKUP(A30,Sheet1!O:P,2,0)+VLOOKUP(A30,Sheet1!T:U,2,0)</f>
        <v>1207682</v>
      </c>
      <c r="E30">
        <v>199506</v>
      </c>
      <c r="F30" s="1">
        <f t="shared" si="0"/>
        <v>0.96471209614441833</v>
      </c>
      <c r="G30" s="1">
        <f t="shared" si="1"/>
        <v>3.528790385558167E-2</v>
      </c>
    </row>
    <row r="31" spans="1:7" x14ac:dyDescent="0.25">
      <c r="A31">
        <v>199507</v>
      </c>
      <c r="B31">
        <f>VLOOKUP(A31,Sheet1!I:J,2,0)</f>
        <v>46107000</v>
      </c>
      <c r="C31">
        <f>VLOOKUP(A31,Sheet1!O:P,2,0)+VLOOKUP(A31,Sheet1!T:U,2,0)</f>
        <v>2015574</v>
      </c>
      <c r="E31">
        <v>199507</v>
      </c>
      <c r="F31" s="1">
        <f t="shared" si="0"/>
        <v>0.95811583145988821</v>
      </c>
      <c r="G31" s="1">
        <f t="shared" si="1"/>
        <v>4.1884168540111788E-2</v>
      </c>
    </row>
    <row r="32" spans="1:7" x14ac:dyDescent="0.25">
      <c r="A32">
        <v>199508</v>
      </c>
      <c r="B32">
        <f>VLOOKUP(A32,Sheet1!I:J,2,0)</f>
        <v>54289000</v>
      </c>
      <c r="C32">
        <f>VLOOKUP(A32,Sheet1!O:P,2,0)+VLOOKUP(A32,Sheet1!T:U,2,0)</f>
        <v>2078883</v>
      </c>
      <c r="E32">
        <v>199508</v>
      </c>
      <c r="F32" s="1">
        <f t="shared" si="0"/>
        <v>0.9631193706529656</v>
      </c>
      <c r="G32" s="1">
        <f t="shared" si="1"/>
        <v>3.6880629347034399E-2</v>
      </c>
    </row>
    <row r="33" spans="1:7" x14ac:dyDescent="0.25">
      <c r="A33">
        <v>199509</v>
      </c>
      <c r="B33">
        <f>VLOOKUP(A33,Sheet1!I:J,2,0)</f>
        <v>59541000</v>
      </c>
      <c r="C33">
        <f>VLOOKUP(A33,Sheet1!O:P,2,0)+VLOOKUP(A33,Sheet1!T:U,2,0)</f>
        <v>3664645.6</v>
      </c>
      <c r="E33">
        <v>199509</v>
      </c>
      <c r="F33" s="1">
        <f t="shared" si="0"/>
        <v>0.94202028054278741</v>
      </c>
      <c r="G33" s="1">
        <f t="shared" si="1"/>
        <v>5.7979719457212586E-2</v>
      </c>
    </row>
    <row r="34" spans="1:7" x14ac:dyDescent="0.25">
      <c r="A34">
        <v>199510</v>
      </c>
      <c r="B34">
        <f>VLOOKUP(A34,Sheet1!I:J,2,0)</f>
        <v>49942000</v>
      </c>
      <c r="C34">
        <f>VLOOKUP(A34,Sheet1!O:P,2,0)+VLOOKUP(A34,Sheet1!T:U,2,0)</f>
        <v>3715528</v>
      </c>
      <c r="E34">
        <v>199510</v>
      </c>
      <c r="F34" s="1">
        <f t="shared" si="0"/>
        <v>0.93075476753233954</v>
      </c>
      <c r="G34" s="1">
        <f t="shared" si="1"/>
        <v>6.9245232467660456E-2</v>
      </c>
    </row>
    <row r="35" spans="1:7" x14ac:dyDescent="0.25">
      <c r="A35">
        <v>199511</v>
      </c>
      <c r="B35">
        <f>VLOOKUP(A35,Sheet1!I:J,2,0)</f>
        <v>59671000</v>
      </c>
      <c r="C35">
        <f>VLOOKUP(A35,Sheet1!O:P,2,0)+VLOOKUP(A35,Sheet1!T:U,2,0)</f>
        <v>3393848</v>
      </c>
      <c r="E35">
        <v>199511</v>
      </c>
      <c r="F35" s="1">
        <f t="shared" si="0"/>
        <v>0.94618479061425786</v>
      </c>
      <c r="G35" s="1">
        <f t="shared" si="1"/>
        <v>5.3815209385742135E-2</v>
      </c>
    </row>
    <row r="36" spans="1:7" x14ac:dyDescent="0.25">
      <c r="A36">
        <v>199512</v>
      </c>
      <c r="B36">
        <f>VLOOKUP(A36,Sheet1!I:J,2,0)</f>
        <v>64574000</v>
      </c>
      <c r="C36">
        <f>VLOOKUP(A36,Sheet1!O:P,2,0)+VLOOKUP(A36,Sheet1!T:U,2,0)</f>
        <v>4882202</v>
      </c>
      <c r="E36">
        <v>199512</v>
      </c>
      <c r="F36" s="1">
        <f t="shared" si="0"/>
        <v>0.92970819222162482</v>
      </c>
      <c r="G36" s="1">
        <f t="shared" si="1"/>
        <v>7.0291807778375182E-2</v>
      </c>
    </row>
    <row r="37" spans="1:7" x14ac:dyDescent="0.25">
      <c r="A37">
        <v>199601</v>
      </c>
      <c r="B37">
        <f>VLOOKUP(A37,Sheet1!I:J,2,0)</f>
        <v>66509000</v>
      </c>
      <c r="C37">
        <f>VLOOKUP(A37,Sheet1!O:P,2,0)+VLOOKUP(A37,Sheet1!T:U,2,0)</f>
        <v>3573157.06</v>
      </c>
      <c r="E37">
        <v>199601</v>
      </c>
      <c r="F37" s="1">
        <f t="shared" si="0"/>
        <v>0.94901473913051948</v>
      </c>
      <c r="G37" s="1">
        <f t="shared" si="1"/>
        <v>5.098526086948052E-2</v>
      </c>
    </row>
    <row r="38" spans="1:7" x14ac:dyDescent="0.25">
      <c r="A38">
        <v>199602</v>
      </c>
      <c r="B38">
        <f>VLOOKUP(A38,Sheet1!I:J,2,0)</f>
        <v>62979400</v>
      </c>
      <c r="C38">
        <f>VLOOKUP(A38,Sheet1!O:P,2,0)+VLOOKUP(A38,Sheet1!T:U,2,0)</f>
        <v>3013995</v>
      </c>
      <c r="E38">
        <v>199602</v>
      </c>
      <c r="F38" s="1">
        <f t="shared" si="0"/>
        <v>0.95432883851482408</v>
      </c>
      <c r="G38" s="1">
        <f t="shared" si="1"/>
        <v>4.5671161485175915E-2</v>
      </c>
    </row>
    <row r="39" spans="1:7" x14ac:dyDescent="0.25">
      <c r="A39">
        <v>199603</v>
      </c>
      <c r="B39">
        <f>VLOOKUP(A39,Sheet1!I:J,2,0)</f>
        <v>78465000</v>
      </c>
      <c r="C39">
        <f>VLOOKUP(A39,Sheet1!O:P,2,0)+VLOOKUP(A39,Sheet1!T:U,2,0)</f>
        <v>3768153.5</v>
      </c>
      <c r="E39">
        <v>199603</v>
      </c>
      <c r="F39" s="1">
        <f t="shared" si="0"/>
        <v>0.95417719812970569</v>
      </c>
      <c r="G39" s="1">
        <f t="shared" si="1"/>
        <v>4.5822801870294305E-2</v>
      </c>
    </row>
    <row r="40" spans="1:7" x14ac:dyDescent="0.25">
      <c r="A40">
        <v>199604</v>
      </c>
      <c r="B40">
        <f>VLOOKUP(A40,Sheet1!I:J,2,0)</f>
        <v>80632000</v>
      </c>
      <c r="C40">
        <f>VLOOKUP(A40,Sheet1!O:P,2,0)+VLOOKUP(A40,Sheet1!T:U,2,0)</f>
        <v>4140392.64</v>
      </c>
      <c r="E40">
        <v>199604</v>
      </c>
      <c r="F40" s="1">
        <f t="shared" si="0"/>
        <v>0.95115871439912214</v>
      </c>
      <c r="G40" s="1">
        <f t="shared" si="1"/>
        <v>4.884128560087786E-2</v>
      </c>
    </row>
    <row r="41" spans="1:7" x14ac:dyDescent="0.25">
      <c r="A41">
        <v>199605</v>
      </c>
      <c r="B41">
        <f>VLOOKUP(A41,Sheet1!I:J,2,0)</f>
        <v>62031000</v>
      </c>
      <c r="C41">
        <f>VLOOKUP(A41,Sheet1!O:P,2,0)+VLOOKUP(A41,Sheet1!T:U,2,0)</f>
        <v>2084250</v>
      </c>
      <c r="E41">
        <v>199605</v>
      </c>
      <c r="F41" s="1">
        <f t="shared" si="0"/>
        <v>0.9674921333068186</v>
      </c>
      <c r="G41" s="1">
        <f t="shared" si="1"/>
        <v>3.2507866693181398E-2</v>
      </c>
    </row>
    <row r="42" spans="1:7" x14ac:dyDescent="0.25">
      <c r="A42">
        <v>199606</v>
      </c>
      <c r="B42">
        <f>VLOOKUP(A42,Sheet1!I:J,2,0)</f>
        <v>57593000</v>
      </c>
      <c r="C42">
        <f>VLOOKUP(A42,Sheet1!O:P,2,0)+VLOOKUP(A42,Sheet1!T:U,2,0)</f>
        <v>1885344</v>
      </c>
      <c r="E42">
        <v>199606</v>
      </c>
      <c r="F42" s="1">
        <f t="shared" si="0"/>
        <v>0.9683020092153205</v>
      </c>
      <c r="G42" s="1">
        <f t="shared" si="1"/>
        <v>3.1697990784679497E-2</v>
      </c>
    </row>
    <row r="43" spans="1:7" x14ac:dyDescent="0.25">
      <c r="A43">
        <v>199607</v>
      </c>
      <c r="B43">
        <f>VLOOKUP(A43,Sheet1!I:J,2,0)</f>
        <v>46946000</v>
      </c>
      <c r="C43">
        <f>VLOOKUP(A43,Sheet1!O:P,2,0)+VLOOKUP(A43,Sheet1!T:U,2,0)</f>
        <v>2671524</v>
      </c>
      <c r="E43">
        <v>199607</v>
      </c>
      <c r="F43" s="1">
        <f t="shared" si="0"/>
        <v>0.94615765188121836</v>
      </c>
      <c r="G43" s="1">
        <f t="shared" si="1"/>
        <v>5.3842348118781636E-2</v>
      </c>
    </row>
    <row r="44" spans="1:7" x14ac:dyDescent="0.25">
      <c r="A44">
        <v>199608</v>
      </c>
      <c r="B44">
        <f>VLOOKUP(A44,Sheet1!I:J,2,0)</f>
        <v>44762000</v>
      </c>
      <c r="C44">
        <f>VLOOKUP(A44,Sheet1!O:P,2,0)+VLOOKUP(A44,Sheet1!T:U,2,0)</f>
        <v>1619760</v>
      </c>
      <c r="E44">
        <v>199608</v>
      </c>
      <c r="F44" s="1">
        <f t="shared" si="0"/>
        <v>0.96507765121461542</v>
      </c>
      <c r="G44" s="1">
        <f t="shared" si="1"/>
        <v>3.4922348785384583E-2</v>
      </c>
    </row>
    <row r="45" spans="1:7" x14ac:dyDescent="0.25">
      <c r="A45">
        <v>199609</v>
      </c>
      <c r="B45">
        <f>VLOOKUP(A45,Sheet1!I:J,2,0)</f>
        <v>43351000</v>
      </c>
      <c r="C45">
        <f>VLOOKUP(A45,Sheet1!O:P,2,0)+VLOOKUP(A45,Sheet1!T:U,2,0)</f>
        <v>2226156</v>
      </c>
      <c r="E45">
        <v>199609</v>
      </c>
      <c r="F45" s="1">
        <f t="shared" si="0"/>
        <v>0.95115632050407006</v>
      </c>
      <c r="G45" s="1">
        <f t="shared" si="1"/>
        <v>4.8843679495929937E-2</v>
      </c>
    </row>
    <row r="46" spans="1:7" x14ac:dyDescent="0.25">
      <c r="A46">
        <v>199610</v>
      </c>
      <c r="B46">
        <f>VLOOKUP(A46,Sheet1!I:J,2,0)</f>
        <v>40632000</v>
      </c>
      <c r="C46">
        <f>VLOOKUP(A46,Sheet1!O:P,2,0)+VLOOKUP(A46,Sheet1!T:U,2,0)</f>
        <v>2734734</v>
      </c>
      <c r="E46">
        <v>199610</v>
      </c>
      <c r="F46" s="1">
        <f t="shared" si="0"/>
        <v>0.93693936001728884</v>
      </c>
      <c r="G46" s="1">
        <f t="shared" si="1"/>
        <v>6.3060639982711164E-2</v>
      </c>
    </row>
    <row r="47" spans="1:7" x14ac:dyDescent="0.25">
      <c r="A47">
        <v>199611</v>
      </c>
      <c r="B47">
        <f>VLOOKUP(A47,Sheet1!I:J,2,0)</f>
        <v>41054000</v>
      </c>
      <c r="C47">
        <f>VLOOKUP(A47,Sheet1!O:P,2,0)+VLOOKUP(A47,Sheet1!T:U,2,0)</f>
        <v>1592446</v>
      </c>
      <c r="E47">
        <v>199611</v>
      </c>
      <c r="F47" s="1">
        <f t="shared" si="0"/>
        <v>0.96265935032429195</v>
      </c>
      <c r="G47" s="1">
        <f t="shared" si="1"/>
        <v>3.7340649675708049E-2</v>
      </c>
    </row>
    <row r="48" spans="1:7" x14ac:dyDescent="0.25">
      <c r="A48">
        <v>199612</v>
      </c>
      <c r="B48">
        <f>VLOOKUP(A48,Sheet1!I:J,2,0)</f>
        <v>44789000</v>
      </c>
      <c r="C48">
        <f>VLOOKUP(A48,Sheet1!O:P,2,0)+VLOOKUP(A48,Sheet1!T:U,2,0)</f>
        <v>2861314</v>
      </c>
      <c r="E48">
        <v>199612</v>
      </c>
      <c r="F48" s="1">
        <f t="shared" si="0"/>
        <v>0.93995183326598852</v>
      </c>
      <c r="G48" s="1">
        <f t="shared" si="1"/>
        <v>6.0048166734011477E-2</v>
      </c>
    </row>
    <row r="49" spans="1:7" x14ac:dyDescent="0.25">
      <c r="A49">
        <v>199701</v>
      </c>
      <c r="B49">
        <f>VLOOKUP(A49,Sheet1!I:J,2,0)</f>
        <v>49687000</v>
      </c>
      <c r="C49">
        <f>VLOOKUP(A49,Sheet1!O:P,2,0)+VLOOKUP(A49,Sheet1!T:U,2,0)</f>
        <v>3080695</v>
      </c>
      <c r="E49">
        <v>199701</v>
      </c>
      <c r="F49" s="1">
        <f t="shared" si="0"/>
        <v>0.94161778338053237</v>
      </c>
      <c r="G49" s="1">
        <f t="shared" si="1"/>
        <v>5.8382216619467631E-2</v>
      </c>
    </row>
    <row r="50" spans="1:7" x14ac:dyDescent="0.25">
      <c r="A50">
        <v>199702</v>
      </c>
      <c r="B50">
        <f>VLOOKUP(A50,Sheet1!I:J,2,0)</f>
        <v>42668000</v>
      </c>
      <c r="C50">
        <f>VLOOKUP(A50,Sheet1!O:P,2,0)+VLOOKUP(A50,Sheet1!T:U,2,0)</f>
        <v>3201694</v>
      </c>
      <c r="E50">
        <v>199702</v>
      </c>
      <c r="F50" s="1">
        <f t="shared" si="0"/>
        <v>0.93020023198759516</v>
      </c>
      <c r="G50" s="1">
        <f t="shared" si="1"/>
        <v>6.9799768012404839E-2</v>
      </c>
    </row>
    <row r="51" spans="1:7" x14ac:dyDescent="0.25">
      <c r="A51">
        <v>199703</v>
      </c>
      <c r="B51">
        <f>VLOOKUP(A51,Sheet1!I:J,2,0)</f>
        <v>37726000</v>
      </c>
      <c r="C51">
        <f>VLOOKUP(A51,Sheet1!O:P,2,0)+VLOOKUP(A51,Sheet1!T:U,2,0)</f>
        <v>2142181</v>
      </c>
      <c r="E51">
        <v>199703</v>
      </c>
      <c r="F51" s="1">
        <f t="shared" si="0"/>
        <v>0.94626840386823763</v>
      </c>
      <c r="G51" s="1">
        <f t="shared" si="1"/>
        <v>5.3731596131762371E-2</v>
      </c>
    </row>
    <row r="52" spans="1:7" x14ac:dyDescent="0.25">
      <c r="A52">
        <v>199704</v>
      </c>
      <c r="B52">
        <f>VLOOKUP(A52,Sheet1!I:J,2,0)</f>
        <v>50825000</v>
      </c>
      <c r="C52">
        <f>VLOOKUP(A52,Sheet1!O:P,2,0)+VLOOKUP(A52,Sheet1!T:U,2,0)</f>
        <v>3547502</v>
      </c>
      <c r="E52">
        <v>199704</v>
      </c>
      <c r="F52" s="1">
        <f t="shared" si="0"/>
        <v>0.93475558656469404</v>
      </c>
      <c r="G52" s="1">
        <f t="shared" si="1"/>
        <v>6.5244413435305959E-2</v>
      </c>
    </row>
    <row r="53" spans="1:7" x14ac:dyDescent="0.25">
      <c r="A53">
        <v>199705</v>
      </c>
      <c r="B53">
        <f>VLOOKUP(A53,Sheet1!I:J,2,0)</f>
        <v>48449000</v>
      </c>
      <c r="C53">
        <f>VLOOKUP(A53,Sheet1!O:P,2,0)+VLOOKUP(A53,Sheet1!T:U,2,0)</f>
        <v>1903744</v>
      </c>
      <c r="E53">
        <v>199705</v>
      </c>
      <c r="F53" s="1">
        <f t="shared" si="0"/>
        <v>0.96219185194753243</v>
      </c>
      <c r="G53" s="1">
        <f t="shared" si="1"/>
        <v>3.7808148052467572E-2</v>
      </c>
    </row>
    <row r="54" spans="1:7" x14ac:dyDescent="0.25">
      <c r="A54">
        <v>199706</v>
      </c>
      <c r="B54">
        <f>VLOOKUP(A54,Sheet1!I:J,2,0)</f>
        <v>47554000</v>
      </c>
      <c r="C54">
        <f>VLOOKUP(A54,Sheet1!O:P,2,0)+VLOOKUP(A54,Sheet1!T:U,2,0)</f>
        <v>2150774</v>
      </c>
      <c r="E54">
        <v>199706</v>
      </c>
      <c r="F54" s="1">
        <f t="shared" si="0"/>
        <v>0.9567290256666291</v>
      </c>
      <c r="G54" s="1">
        <f t="shared" si="1"/>
        <v>4.3270974333370904E-2</v>
      </c>
    </row>
    <row r="55" spans="1:7" x14ac:dyDescent="0.25">
      <c r="A55">
        <v>199707</v>
      </c>
      <c r="B55">
        <f>VLOOKUP(A55,Sheet1!I:J,2,0)</f>
        <v>52024000</v>
      </c>
      <c r="C55">
        <f>VLOOKUP(A55,Sheet1!O:P,2,0)+VLOOKUP(A55,Sheet1!T:U,2,0)</f>
        <v>3562984.73</v>
      </c>
      <c r="E55">
        <v>199707</v>
      </c>
      <c r="F55" s="1">
        <f t="shared" si="0"/>
        <v>0.93590253640656507</v>
      </c>
      <c r="G55" s="1">
        <f t="shared" si="1"/>
        <v>6.4097463593434933E-2</v>
      </c>
    </row>
    <row r="56" spans="1:7" x14ac:dyDescent="0.25">
      <c r="A56">
        <v>199708</v>
      </c>
      <c r="B56">
        <f>VLOOKUP(A56,Sheet1!I:J,2,0)</f>
        <v>68796000</v>
      </c>
      <c r="C56">
        <f>VLOOKUP(A56,Sheet1!O:P,2,0)+VLOOKUP(A56,Sheet1!T:U,2,0)</f>
        <v>4406600</v>
      </c>
      <c r="E56">
        <v>199708</v>
      </c>
      <c r="F56" s="1">
        <f t="shared" si="0"/>
        <v>0.93980268460409877</v>
      </c>
      <c r="G56" s="1">
        <f t="shared" si="1"/>
        <v>6.019731539590123E-2</v>
      </c>
    </row>
    <row r="57" spans="1:7" x14ac:dyDescent="0.25">
      <c r="A57">
        <v>199709</v>
      </c>
      <c r="B57">
        <f>VLOOKUP(A57,Sheet1!I:J,2,0)</f>
        <v>75141000</v>
      </c>
      <c r="C57">
        <f>VLOOKUP(A57,Sheet1!O:P,2,0)+VLOOKUP(A57,Sheet1!T:U,2,0)</f>
        <v>4650805</v>
      </c>
      <c r="E57">
        <v>199709</v>
      </c>
      <c r="F57" s="1">
        <f t="shared" si="0"/>
        <v>0.94171324987572347</v>
      </c>
      <c r="G57" s="1">
        <f t="shared" si="1"/>
        <v>5.8286750124276532E-2</v>
      </c>
    </row>
    <row r="58" spans="1:7" x14ac:dyDescent="0.25">
      <c r="A58">
        <v>199710</v>
      </c>
      <c r="B58">
        <f>VLOOKUP(A58,Sheet1!I:J,2,0)</f>
        <v>80775000</v>
      </c>
      <c r="C58">
        <f>VLOOKUP(A58,Sheet1!O:P,2,0)+VLOOKUP(A58,Sheet1!T:U,2,0)</f>
        <v>5707110.5</v>
      </c>
      <c r="E58">
        <v>199710</v>
      </c>
      <c r="F58" s="1">
        <f t="shared" si="0"/>
        <v>0.93400819583374994</v>
      </c>
      <c r="G58" s="1">
        <f t="shared" si="1"/>
        <v>6.5991804166250057E-2</v>
      </c>
    </row>
    <row r="59" spans="1:7" x14ac:dyDescent="0.25">
      <c r="A59">
        <v>199711</v>
      </c>
      <c r="B59">
        <f>VLOOKUP(A59,Sheet1!I:J,2,0)</f>
        <v>94297000</v>
      </c>
      <c r="C59">
        <f>VLOOKUP(A59,Sheet1!O:P,2,0)+VLOOKUP(A59,Sheet1!T:U,2,0)</f>
        <v>6315919</v>
      </c>
      <c r="E59">
        <v>199711</v>
      </c>
      <c r="F59" s="1">
        <f t="shared" si="0"/>
        <v>0.93722556643048993</v>
      </c>
      <c r="G59" s="1">
        <f t="shared" si="1"/>
        <v>6.2774433569510069E-2</v>
      </c>
    </row>
    <row r="60" spans="1:7" x14ac:dyDescent="0.25">
      <c r="A60">
        <v>199712</v>
      </c>
      <c r="B60">
        <f>VLOOKUP(A60,Sheet1!I:J,2,0)</f>
        <v>94550000</v>
      </c>
      <c r="C60">
        <f>VLOOKUP(A60,Sheet1!O:P,2,0)+VLOOKUP(A60,Sheet1!T:U,2,0)</f>
        <v>5079081</v>
      </c>
      <c r="E60">
        <v>199712</v>
      </c>
      <c r="F60" s="1">
        <f t="shared" si="0"/>
        <v>0.94902009584932334</v>
      </c>
      <c r="G60" s="1">
        <f t="shared" si="1"/>
        <v>5.0979904150676658E-2</v>
      </c>
    </row>
    <row r="61" spans="1:7" x14ac:dyDescent="0.25">
      <c r="A61">
        <v>199801</v>
      </c>
      <c r="B61">
        <f>VLOOKUP(A61,Sheet1!I:J,2,0)</f>
        <v>95513000</v>
      </c>
      <c r="C61">
        <f>VLOOKUP(A61,Sheet1!O:P,2,0)+VLOOKUP(A61,Sheet1!T:U,2,0)</f>
        <v>6053185</v>
      </c>
      <c r="E61">
        <v>199801</v>
      </c>
      <c r="F61" s="1">
        <f t="shared" si="0"/>
        <v>0.94040157164512972</v>
      </c>
      <c r="G61" s="1">
        <f t="shared" si="1"/>
        <v>5.9598428354870281E-2</v>
      </c>
    </row>
    <row r="62" spans="1:7" x14ac:dyDescent="0.25">
      <c r="A62">
        <v>199802</v>
      </c>
      <c r="B62">
        <f>VLOOKUP(A62,Sheet1!I:J,2,0)</f>
        <v>90682000</v>
      </c>
      <c r="C62">
        <f>VLOOKUP(A62,Sheet1!O:P,2,0)+VLOOKUP(A62,Sheet1!T:U,2,0)</f>
        <v>4610390.4000000004</v>
      </c>
      <c r="E62">
        <v>199802</v>
      </c>
      <c r="F62" s="1">
        <f t="shared" si="0"/>
        <v>0.95161848306409991</v>
      </c>
      <c r="G62" s="1">
        <f t="shared" si="1"/>
        <v>4.8381516935900093E-2</v>
      </c>
    </row>
    <row r="63" spans="1:7" x14ac:dyDescent="0.25">
      <c r="A63">
        <v>199803</v>
      </c>
      <c r="B63">
        <f>VLOOKUP(A63,Sheet1!I:J,2,0)</f>
        <v>121061000</v>
      </c>
      <c r="C63">
        <f>VLOOKUP(A63,Sheet1!O:P,2,0)+VLOOKUP(A63,Sheet1!T:U,2,0)</f>
        <v>5137181.88</v>
      </c>
      <c r="E63">
        <v>199803</v>
      </c>
      <c r="F63" s="1">
        <f t="shared" si="0"/>
        <v>0.95929274254612584</v>
      </c>
      <c r="G63" s="1">
        <f t="shared" si="1"/>
        <v>4.0707257453874157E-2</v>
      </c>
    </row>
    <row r="64" spans="1:7" x14ac:dyDescent="0.25">
      <c r="A64">
        <v>199804</v>
      </c>
      <c r="B64">
        <f>VLOOKUP(A64,Sheet1!I:J,2,0)</f>
        <v>155294000</v>
      </c>
      <c r="C64">
        <f>VLOOKUP(A64,Sheet1!O:P,2,0)+VLOOKUP(A64,Sheet1!T:U,2,0)</f>
        <v>8704549</v>
      </c>
      <c r="E64">
        <v>199804</v>
      </c>
      <c r="F64" s="1">
        <f t="shared" si="0"/>
        <v>0.94692301210543028</v>
      </c>
      <c r="G64" s="1">
        <f t="shared" si="1"/>
        <v>5.3076987894569716E-2</v>
      </c>
    </row>
    <row r="65" spans="1:7" x14ac:dyDescent="0.25">
      <c r="A65">
        <v>199805</v>
      </c>
      <c r="B65">
        <f>VLOOKUP(A65,Sheet1!I:J,2,0)</f>
        <v>171862000</v>
      </c>
      <c r="C65">
        <f>VLOOKUP(A65,Sheet1!O:P,2,0)+VLOOKUP(A65,Sheet1!T:U,2,0)</f>
        <v>10371411</v>
      </c>
      <c r="E65">
        <v>199805</v>
      </c>
      <c r="F65" s="1">
        <f t="shared" si="0"/>
        <v>0.94308721467107914</v>
      </c>
      <c r="G65" s="1">
        <f t="shared" si="1"/>
        <v>5.6912785328920856E-2</v>
      </c>
    </row>
    <row r="66" spans="1:7" x14ac:dyDescent="0.25">
      <c r="A66">
        <v>199806</v>
      </c>
      <c r="B66">
        <f>VLOOKUP(A66,Sheet1!I:J,2,0)</f>
        <v>178712000</v>
      </c>
      <c r="C66">
        <f>VLOOKUP(A66,Sheet1!O:P,2,0)+VLOOKUP(A66,Sheet1!T:U,2,0)</f>
        <v>11518211.93</v>
      </c>
      <c r="E66">
        <v>199806</v>
      </c>
      <c r="F66" s="1">
        <f t="shared" si="0"/>
        <v>0.9394511954061302</v>
      </c>
      <c r="G66" s="1">
        <f t="shared" si="1"/>
        <v>6.0548804593869798E-2</v>
      </c>
    </row>
    <row r="67" spans="1:7" x14ac:dyDescent="0.25">
      <c r="A67">
        <v>199807</v>
      </c>
      <c r="B67">
        <f>VLOOKUP(A67,Sheet1!I:J,2,0)</f>
        <v>198316000</v>
      </c>
      <c r="C67">
        <f>VLOOKUP(A67,Sheet1!O:P,2,0)+VLOOKUP(A67,Sheet1!T:U,2,0)</f>
        <v>10479383</v>
      </c>
      <c r="E67">
        <v>199807</v>
      </c>
      <c r="F67" s="1">
        <f t="shared" ref="F67:F130" si="2">B67/(B67+C67)</f>
        <v>0.94981027430094089</v>
      </c>
      <c r="G67" s="1">
        <f t="shared" ref="G67:G130" si="3">1-F67</f>
        <v>5.0189725699059107E-2</v>
      </c>
    </row>
    <row r="68" spans="1:7" x14ac:dyDescent="0.25">
      <c r="A68">
        <v>199808</v>
      </c>
      <c r="B68">
        <f>VLOOKUP(A68,Sheet1!I:J,2,0)</f>
        <v>201596000</v>
      </c>
      <c r="C68">
        <f>VLOOKUP(A68,Sheet1!O:P,2,0)+VLOOKUP(A68,Sheet1!T:U,2,0)</f>
        <v>13063350</v>
      </c>
      <c r="E68">
        <v>199808</v>
      </c>
      <c r="F68" s="1">
        <f t="shared" si="2"/>
        <v>0.93914381087988941</v>
      </c>
      <c r="G68" s="1">
        <f t="shared" si="3"/>
        <v>6.0856189120110593E-2</v>
      </c>
    </row>
    <row r="69" spans="1:7" x14ac:dyDescent="0.25">
      <c r="A69">
        <v>199809</v>
      </c>
      <c r="B69">
        <f>VLOOKUP(A69,Sheet1!I:J,2,0)</f>
        <v>206709000</v>
      </c>
      <c r="C69">
        <f>VLOOKUP(A69,Sheet1!O:P,2,0)+VLOOKUP(A69,Sheet1!T:U,2,0)</f>
        <v>13207413</v>
      </c>
      <c r="E69">
        <v>199809</v>
      </c>
      <c r="F69" s="1">
        <f t="shared" si="2"/>
        <v>0.93994348661916383</v>
      </c>
      <c r="G69" s="1">
        <f t="shared" si="3"/>
        <v>6.0056513380836174E-2</v>
      </c>
    </row>
    <row r="70" spans="1:7" x14ac:dyDescent="0.25">
      <c r="A70">
        <v>199810</v>
      </c>
      <c r="B70">
        <f>VLOOKUP(A70,Sheet1!I:J,2,0)</f>
        <v>220426000</v>
      </c>
      <c r="C70">
        <f>VLOOKUP(A70,Sheet1!O:P,2,0)+VLOOKUP(A70,Sheet1!T:U,2,0)</f>
        <v>14938207.68</v>
      </c>
      <c r="E70">
        <v>199810</v>
      </c>
      <c r="F70" s="1">
        <f t="shared" si="2"/>
        <v>0.93653152351733138</v>
      </c>
      <c r="G70" s="1">
        <f t="shared" si="3"/>
        <v>6.3468476482668623E-2</v>
      </c>
    </row>
    <row r="71" spans="1:7" x14ac:dyDescent="0.25">
      <c r="A71">
        <v>199811</v>
      </c>
      <c r="B71">
        <f>VLOOKUP(A71,Sheet1!I:J,2,0)</f>
        <v>302109000</v>
      </c>
      <c r="C71">
        <f>VLOOKUP(A71,Sheet1!O:P,2,0)+VLOOKUP(A71,Sheet1!T:U,2,0)</f>
        <v>17049480.969999999</v>
      </c>
      <c r="E71">
        <v>199811</v>
      </c>
      <c r="F71" s="1">
        <f t="shared" si="2"/>
        <v>0.94657989059797965</v>
      </c>
      <c r="G71" s="1">
        <f t="shared" si="3"/>
        <v>5.3420109402020355E-2</v>
      </c>
    </row>
    <row r="72" spans="1:7" x14ac:dyDescent="0.25">
      <c r="A72">
        <v>199812</v>
      </c>
      <c r="B72">
        <f>VLOOKUP(A72,Sheet1!I:J,2,0)</f>
        <v>294115000</v>
      </c>
      <c r="C72">
        <f>VLOOKUP(A72,Sheet1!O:P,2,0)+VLOOKUP(A72,Sheet1!T:U,2,0)</f>
        <v>14947924</v>
      </c>
      <c r="E72">
        <v>199812</v>
      </c>
      <c r="F72" s="1">
        <f t="shared" si="2"/>
        <v>0.95163469041663507</v>
      </c>
      <c r="G72" s="1">
        <f t="shared" si="3"/>
        <v>4.8365309583364935E-2</v>
      </c>
    </row>
    <row r="73" spans="1:7" x14ac:dyDescent="0.25">
      <c r="A73">
        <v>199901</v>
      </c>
      <c r="B73">
        <f>VLOOKUP(A73,Sheet1!I:J,2,0)</f>
        <v>295582000</v>
      </c>
      <c r="C73">
        <f>VLOOKUP(A73,Sheet1!O:P,2,0)+VLOOKUP(A73,Sheet1!T:U,2,0)</f>
        <v>16092312.550000001</v>
      </c>
      <c r="E73">
        <v>199901</v>
      </c>
      <c r="F73" s="1">
        <f t="shared" si="2"/>
        <v>0.94836817824883013</v>
      </c>
      <c r="G73" s="1">
        <f t="shared" si="3"/>
        <v>5.1631821751169871E-2</v>
      </c>
    </row>
    <row r="74" spans="1:7" x14ac:dyDescent="0.25">
      <c r="A74">
        <v>199902</v>
      </c>
      <c r="B74">
        <f>VLOOKUP(A74,Sheet1!I:J,2,0)</f>
        <v>229857000</v>
      </c>
      <c r="C74">
        <f>VLOOKUP(A74,Sheet1!O:P,2,0)+VLOOKUP(A74,Sheet1!T:U,2,0)</f>
        <v>16634602.5</v>
      </c>
      <c r="E74">
        <v>199902</v>
      </c>
      <c r="F74" s="1">
        <f t="shared" si="2"/>
        <v>0.93251452653442823</v>
      </c>
      <c r="G74" s="1">
        <f t="shared" si="3"/>
        <v>6.7485473465571766E-2</v>
      </c>
    </row>
    <row r="75" spans="1:7" x14ac:dyDescent="0.25">
      <c r="A75">
        <v>199903</v>
      </c>
      <c r="B75">
        <f>VLOOKUP(A75,Sheet1!I:J,2,0)</f>
        <v>234040000</v>
      </c>
      <c r="C75">
        <f>VLOOKUP(A75,Sheet1!O:P,2,0)+VLOOKUP(A75,Sheet1!T:U,2,0)</f>
        <v>16490259.440000001</v>
      </c>
      <c r="E75">
        <v>199903</v>
      </c>
      <c r="F75" s="1">
        <f t="shared" si="2"/>
        <v>0.93417857197425969</v>
      </c>
      <c r="G75" s="1">
        <f t="shared" si="3"/>
        <v>6.5821428025740314E-2</v>
      </c>
    </row>
    <row r="76" spans="1:7" x14ac:dyDescent="0.25">
      <c r="A76">
        <v>199904</v>
      </c>
      <c r="B76">
        <f>VLOOKUP(A76,Sheet1!I:J,2,0)</f>
        <v>254285000</v>
      </c>
      <c r="C76">
        <f>VLOOKUP(A76,Sheet1!O:P,2,0)+VLOOKUP(A76,Sheet1!T:U,2,0)</f>
        <v>17974932.5</v>
      </c>
      <c r="E76">
        <v>199904</v>
      </c>
      <c r="F76" s="1">
        <f t="shared" si="2"/>
        <v>0.93397878147200375</v>
      </c>
      <c r="G76" s="1">
        <f t="shared" si="3"/>
        <v>6.602121852799625E-2</v>
      </c>
    </row>
    <row r="77" spans="1:7" x14ac:dyDescent="0.25">
      <c r="A77">
        <v>199905</v>
      </c>
      <c r="B77">
        <f>VLOOKUP(A77,Sheet1!I:J,2,0)</f>
        <v>237116000</v>
      </c>
      <c r="C77">
        <f>VLOOKUP(A77,Sheet1!O:P,2,0)+VLOOKUP(A77,Sheet1!T:U,2,0)</f>
        <v>18196864</v>
      </c>
      <c r="E77">
        <v>199905</v>
      </c>
      <c r="F77" s="1">
        <f t="shared" si="2"/>
        <v>0.92872719488196254</v>
      </c>
      <c r="G77" s="1">
        <f t="shared" si="3"/>
        <v>7.1272805118037463E-2</v>
      </c>
    </row>
    <row r="78" spans="1:7" x14ac:dyDescent="0.25">
      <c r="A78">
        <v>199906</v>
      </c>
      <c r="B78">
        <f>VLOOKUP(A78,Sheet1!I:J,2,0)</f>
        <v>222065000</v>
      </c>
      <c r="C78">
        <f>VLOOKUP(A78,Sheet1!O:P,2,0)+VLOOKUP(A78,Sheet1!T:U,2,0)</f>
        <v>19293655</v>
      </c>
      <c r="E78">
        <v>199906</v>
      </c>
      <c r="F78" s="1">
        <f t="shared" si="2"/>
        <v>0.92006230313141246</v>
      </c>
      <c r="G78" s="1">
        <f t="shared" si="3"/>
        <v>7.9937696868587538E-2</v>
      </c>
    </row>
    <row r="79" spans="1:7" x14ac:dyDescent="0.25">
      <c r="A79">
        <v>199907</v>
      </c>
      <c r="B79">
        <f>VLOOKUP(A79,Sheet1!I:J,2,0)</f>
        <v>179327000</v>
      </c>
      <c r="C79">
        <f>VLOOKUP(A79,Sheet1!O:P,2,0)+VLOOKUP(A79,Sheet1!T:U,2,0)</f>
        <v>15250321</v>
      </c>
      <c r="E79">
        <v>199907</v>
      </c>
      <c r="F79" s="1">
        <f t="shared" si="2"/>
        <v>0.92162333759338788</v>
      </c>
      <c r="G79" s="1">
        <f t="shared" si="3"/>
        <v>7.8376662406612119E-2</v>
      </c>
    </row>
    <row r="80" spans="1:7" x14ac:dyDescent="0.25">
      <c r="A80">
        <v>199908</v>
      </c>
      <c r="B80">
        <f>VLOOKUP(A80,Sheet1!I:J,2,0)</f>
        <v>140614000</v>
      </c>
      <c r="C80">
        <f>VLOOKUP(A80,Sheet1!O:P,2,0)+VLOOKUP(A80,Sheet1!T:U,2,0)</f>
        <v>12739645</v>
      </c>
      <c r="E80">
        <v>199908</v>
      </c>
      <c r="F80" s="1">
        <f t="shared" si="2"/>
        <v>0.91692636324359944</v>
      </c>
      <c r="G80" s="1">
        <f t="shared" si="3"/>
        <v>8.307363675640056E-2</v>
      </c>
    </row>
    <row r="81" spans="1:7" x14ac:dyDescent="0.25">
      <c r="A81">
        <v>199909</v>
      </c>
      <c r="B81">
        <f>VLOOKUP(A81,Sheet1!I:J,2,0)</f>
        <v>119450000</v>
      </c>
      <c r="C81">
        <f>VLOOKUP(A81,Sheet1!O:P,2,0)+VLOOKUP(A81,Sheet1!T:U,2,0)</f>
        <v>9156244</v>
      </c>
      <c r="E81">
        <v>199909</v>
      </c>
      <c r="F81" s="1">
        <f t="shared" si="2"/>
        <v>0.92880404780346437</v>
      </c>
      <c r="G81" s="1">
        <f t="shared" si="3"/>
        <v>7.1195952196535628E-2</v>
      </c>
    </row>
    <row r="82" spans="1:7" x14ac:dyDescent="0.25">
      <c r="A82">
        <v>199910</v>
      </c>
      <c r="B82">
        <f>VLOOKUP(A82,Sheet1!I:J,2,0)</f>
        <v>95597000</v>
      </c>
      <c r="C82">
        <f>VLOOKUP(A82,Sheet1!O:P,2,0)+VLOOKUP(A82,Sheet1!T:U,2,0)</f>
        <v>10986508</v>
      </c>
      <c r="E82">
        <v>199910</v>
      </c>
      <c r="F82" s="1">
        <f t="shared" si="2"/>
        <v>0.89692112592128226</v>
      </c>
      <c r="G82" s="1">
        <f t="shared" si="3"/>
        <v>0.10307887407871774</v>
      </c>
    </row>
    <row r="83" spans="1:7" x14ac:dyDescent="0.25">
      <c r="A83">
        <v>199911</v>
      </c>
      <c r="B83">
        <f>VLOOKUP(A83,Sheet1!I:J,2,0)</f>
        <v>88626000</v>
      </c>
      <c r="C83">
        <f>VLOOKUP(A83,Sheet1!O:P,2,0)+VLOOKUP(A83,Sheet1!T:U,2,0)</f>
        <v>8949138</v>
      </c>
      <c r="E83">
        <v>199911</v>
      </c>
      <c r="F83" s="1">
        <f t="shared" si="2"/>
        <v>0.90828464931302477</v>
      </c>
      <c r="G83" s="1">
        <f t="shared" si="3"/>
        <v>9.1715350686975228E-2</v>
      </c>
    </row>
    <row r="84" spans="1:7" x14ac:dyDescent="0.25">
      <c r="A84">
        <v>199912</v>
      </c>
      <c r="B84">
        <f>VLOOKUP(A84,Sheet1!I:J,2,0)</f>
        <v>76306000</v>
      </c>
      <c r="C84">
        <f>VLOOKUP(A84,Sheet1!O:P,2,0)+VLOOKUP(A84,Sheet1!T:U,2,0)</f>
        <v>7428438</v>
      </c>
      <c r="E84">
        <v>199912</v>
      </c>
      <c r="F84" s="1">
        <f t="shared" si="2"/>
        <v>0.91128574840378096</v>
      </c>
      <c r="G84" s="1">
        <f t="shared" si="3"/>
        <v>8.871425159621904E-2</v>
      </c>
    </row>
    <row r="85" spans="1:7" x14ac:dyDescent="0.25">
      <c r="A85">
        <v>200001</v>
      </c>
      <c r="B85">
        <f>VLOOKUP(A85,Sheet1!I:J,2,0)</f>
        <v>75592000</v>
      </c>
      <c r="C85">
        <f>VLOOKUP(A85,Sheet1!O:P,2,0)+VLOOKUP(A85,Sheet1!T:U,2,0)</f>
        <v>12119035</v>
      </c>
      <c r="E85">
        <v>200001</v>
      </c>
      <c r="F85" s="1">
        <f t="shared" si="2"/>
        <v>0.86182998524644017</v>
      </c>
      <c r="G85" s="1">
        <f t="shared" si="3"/>
        <v>0.13817001475355983</v>
      </c>
    </row>
    <row r="86" spans="1:7" x14ac:dyDescent="0.25">
      <c r="A86">
        <v>200002</v>
      </c>
      <c r="B86">
        <f>VLOOKUP(A86,Sheet1!I:J,2,0)</f>
        <v>45976000</v>
      </c>
      <c r="C86">
        <f>VLOOKUP(A86,Sheet1!O:P,2,0)+VLOOKUP(A86,Sheet1!T:U,2,0)</f>
        <v>6338034.1099999994</v>
      </c>
      <c r="E86">
        <v>200002</v>
      </c>
      <c r="F86" s="1">
        <f t="shared" si="2"/>
        <v>0.87884638954294558</v>
      </c>
      <c r="G86" s="1">
        <f t="shared" si="3"/>
        <v>0.12115361045705442</v>
      </c>
    </row>
    <row r="87" spans="1:7" x14ac:dyDescent="0.25">
      <c r="A87">
        <v>200003</v>
      </c>
      <c r="B87">
        <f>VLOOKUP(A87,Sheet1!I:J,2,0)</f>
        <v>44743000</v>
      </c>
      <c r="C87">
        <f>VLOOKUP(A87,Sheet1!O:P,2,0)+VLOOKUP(A87,Sheet1!T:U,2,0)</f>
        <v>4951949.9700000007</v>
      </c>
      <c r="E87">
        <v>200003</v>
      </c>
      <c r="F87" s="1">
        <f t="shared" si="2"/>
        <v>0.90035305452587422</v>
      </c>
      <c r="G87" s="1">
        <f t="shared" si="3"/>
        <v>9.9646945474125781E-2</v>
      </c>
    </row>
    <row r="88" spans="1:7" x14ac:dyDescent="0.25">
      <c r="A88">
        <v>200004</v>
      </c>
      <c r="B88">
        <f>VLOOKUP(A88,Sheet1!I:J,2,0)</f>
        <v>51583000</v>
      </c>
      <c r="C88">
        <f>VLOOKUP(A88,Sheet1!O:P,2,0)+VLOOKUP(A88,Sheet1!T:U,2,0)</f>
        <v>6000128.2000000002</v>
      </c>
      <c r="E88">
        <v>200004</v>
      </c>
      <c r="F88" s="1">
        <f t="shared" si="2"/>
        <v>0.89580058625574976</v>
      </c>
      <c r="G88" s="1">
        <f t="shared" si="3"/>
        <v>0.10419941374425024</v>
      </c>
    </row>
    <row r="89" spans="1:7" x14ac:dyDescent="0.25">
      <c r="A89">
        <v>200005</v>
      </c>
      <c r="B89">
        <f>VLOOKUP(A89,Sheet1!I:J,2,0)</f>
        <v>55036000</v>
      </c>
      <c r="C89">
        <f>VLOOKUP(A89,Sheet1!O:P,2,0)+VLOOKUP(A89,Sheet1!T:U,2,0)</f>
        <v>7362318</v>
      </c>
      <c r="E89">
        <v>200005</v>
      </c>
      <c r="F89" s="1">
        <f t="shared" si="2"/>
        <v>0.88201095420552844</v>
      </c>
      <c r="G89" s="1">
        <f t="shared" si="3"/>
        <v>0.11798904579447156</v>
      </c>
    </row>
    <row r="90" spans="1:7" x14ac:dyDescent="0.25">
      <c r="A90">
        <v>200006</v>
      </c>
      <c r="B90">
        <f>VLOOKUP(A90,Sheet1!I:J,2,0)</f>
        <v>60645000</v>
      </c>
      <c r="C90">
        <f>VLOOKUP(A90,Sheet1!O:P,2,0)+VLOOKUP(A90,Sheet1!T:U,2,0)</f>
        <v>6902667</v>
      </c>
      <c r="E90">
        <v>200006</v>
      </c>
      <c r="F90" s="1">
        <f t="shared" si="2"/>
        <v>0.8978104306696485</v>
      </c>
      <c r="G90" s="1">
        <f t="shared" si="3"/>
        <v>0.1021895693303515</v>
      </c>
    </row>
    <row r="91" spans="1:7" x14ac:dyDescent="0.25">
      <c r="A91">
        <v>200007</v>
      </c>
      <c r="B91">
        <f>VLOOKUP(A91,Sheet1!I:J,2,0)</f>
        <v>55439000</v>
      </c>
      <c r="C91">
        <f>VLOOKUP(A91,Sheet1!O:P,2,0)+VLOOKUP(A91,Sheet1!T:U,2,0)</f>
        <v>8335048.6799999997</v>
      </c>
      <c r="E91">
        <v>200007</v>
      </c>
      <c r="F91" s="1">
        <f t="shared" si="2"/>
        <v>0.869303441564093</v>
      </c>
      <c r="G91" s="1">
        <f t="shared" si="3"/>
        <v>0.130696558435907</v>
      </c>
    </row>
    <row r="92" spans="1:7" x14ac:dyDescent="0.25">
      <c r="A92">
        <v>200008</v>
      </c>
      <c r="B92">
        <f>VLOOKUP(A92,Sheet1!I:J,2,0)</f>
        <v>56723000</v>
      </c>
      <c r="C92">
        <f>VLOOKUP(A92,Sheet1!O:P,2,0)+VLOOKUP(A92,Sheet1!T:U,2,0)</f>
        <v>4731910.16</v>
      </c>
      <c r="E92">
        <v>200008</v>
      </c>
      <c r="F92" s="1">
        <f t="shared" si="2"/>
        <v>0.92300191884293215</v>
      </c>
      <c r="G92" s="1">
        <f t="shared" si="3"/>
        <v>7.6998081157067855E-2</v>
      </c>
    </row>
    <row r="93" spans="1:7" x14ac:dyDescent="0.25">
      <c r="A93">
        <v>200009</v>
      </c>
      <c r="B93">
        <f>VLOOKUP(A93,Sheet1!I:J,2,0)</f>
        <v>73581000</v>
      </c>
      <c r="C93">
        <f>VLOOKUP(A93,Sheet1!O:P,2,0)+VLOOKUP(A93,Sheet1!T:U,2,0)</f>
        <v>8458999</v>
      </c>
      <c r="E93">
        <v>200009</v>
      </c>
      <c r="F93" s="1">
        <f t="shared" si="2"/>
        <v>0.89689177104938778</v>
      </c>
      <c r="G93" s="1">
        <f t="shared" si="3"/>
        <v>0.10310822895061222</v>
      </c>
    </row>
    <row r="94" spans="1:7" x14ac:dyDescent="0.25">
      <c r="A94">
        <v>200010</v>
      </c>
      <c r="B94">
        <f>VLOOKUP(A94,Sheet1!I:J,2,0)</f>
        <v>71781000</v>
      </c>
      <c r="C94">
        <f>VLOOKUP(A94,Sheet1!O:P,2,0)+VLOOKUP(A94,Sheet1!T:U,2,0)</f>
        <v>11817746.800000001</v>
      </c>
      <c r="E94">
        <v>200010</v>
      </c>
      <c r="F94" s="1">
        <f t="shared" si="2"/>
        <v>0.85863727325634986</v>
      </c>
      <c r="G94" s="1">
        <f t="shared" si="3"/>
        <v>0.14136272674365014</v>
      </c>
    </row>
    <row r="95" spans="1:7" x14ac:dyDescent="0.25">
      <c r="A95">
        <v>200011</v>
      </c>
      <c r="B95">
        <f>VLOOKUP(A95,Sheet1!I:J,2,0)</f>
        <v>78411000</v>
      </c>
      <c r="C95">
        <f>VLOOKUP(A95,Sheet1!O:P,2,0)+VLOOKUP(A95,Sheet1!T:U,2,0)</f>
        <v>9817171</v>
      </c>
      <c r="E95">
        <v>200011</v>
      </c>
      <c r="F95" s="1">
        <f t="shared" si="2"/>
        <v>0.88872974596741894</v>
      </c>
      <c r="G95" s="1">
        <f t="shared" si="3"/>
        <v>0.11127025403258106</v>
      </c>
    </row>
    <row r="96" spans="1:7" x14ac:dyDescent="0.25">
      <c r="A96">
        <v>200012</v>
      </c>
      <c r="B96">
        <f>VLOOKUP(A96,Sheet1!I:J,2,0)</f>
        <v>80452000</v>
      </c>
      <c r="C96">
        <f>VLOOKUP(A96,Sheet1!O:P,2,0)+VLOOKUP(A96,Sheet1!T:U,2,0)</f>
        <v>11396427.940000001</v>
      </c>
      <c r="E96">
        <v>200012</v>
      </c>
      <c r="F96" s="1">
        <f t="shared" si="2"/>
        <v>0.87592136092471051</v>
      </c>
      <c r="G96" s="1">
        <f t="shared" si="3"/>
        <v>0.12407863907528949</v>
      </c>
    </row>
    <row r="97" spans="1:7" x14ac:dyDescent="0.25">
      <c r="A97">
        <v>200101</v>
      </c>
      <c r="B97">
        <f>VLOOKUP(A97,Sheet1!I:J,2,0)</f>
        <v>80228000</v>
      </c>
      <c r="C97">
        <f>VLOOKUP(A97,Sheet1!O:P,2,0)+VLOOKUP(A97,Sheet1!T:U,2,0)</f>
        <v>13425643.119999999</v>
      </c>
      <c r="E97">
        <v>200101</v>
      </c>
      <c r="F97" s="1">
        <f t="shared" si="2"/>
        <v>0.85664579964286602</v>
      </c>
      <c r="G97" s="1">
        <f t="shared" si="3"/>
        <v>0.14335420035713398</v>
      </c>
    </row>
    <row r="98" spans="1:7" x14ac:dyDescent="0.25">
      <c r="A98">
        <v>200102</v>
      </c>
      <c r="B98">
        <f>VLOOKUP(A98,Sheet1!I:J,2,0)</f>
        <v>121851000</v>
      </c>
      <c r="C98">
        <f>VLOOKUP(A98,Sheet1!O:P,2,0)+VLOOKUP(A98,Sheet1!T:U,2,0)</f>
        <v>14043179</v>
      </c>
      <c r="E98">
        <v>200102</v>
      </c>
      <c r="F98" s="1">
        <f t="shared" si="2"/>
        <v>0.8966609232026046</v>
      </c>
      <c r="G98" s="1">
        <f t="shared" si="3"/>
        <v>0.1033390767973954</v>
      </c>
    </row>
    <row r="99" spans="1:7" x14ac:dyDescent="0.25">
      <c r="A99">
        <v>200103</v>
      </c>
      <c r="B99">
        <f>VLOOKUP(A99,Sheet1!I:J,2,0)</f>
        <v>180716000</v>
      </c>
      <c r="C99">
        <f>VLOOKUP(A99,Sheet1!O:P,2,0)+VLOOKUP(A99,Sheet1!T:U,2,0)</f>
        <v>25469815.640000001</v>
      </c>
      <c r="E99">
        <v>200103</v>
      </c>
      <c r="F99" s="1">
        <f t="shared" si="2"/>
        <v>0.8764715431032839</v>
      </c>
      <c r="G99" s="1">
        <f t="shared" si="3"/>
        <v>0.1235284568967161</v>
      </c>
    </row>
    <row r="100" spans="1:7" x14ac:dyDescent="0.25">
      <c r="A100">
        <v>200104</v>
      </c>
      <c r="B100">
        <f>VLOOKUP(A100,Sheet1!I:J,2,0)</f>
        <v>242580000</v>
      </c>
      <c r="C100">
        <f>VLOOKUP(A100,Sheet1!O:P,2,0)+VLOOKUP(A100,Sheet1!T:U,2,0)</f>
        <v>37810394.370000005</v>
      </c>
      <c r="E100">
        <v>200104</v>
      </c>
      <c r="F100" s="1">
        <f t="shared" si="2"/>
        <v>0.86515089272243106</v>
      </c>
      <c r="G100" s="1">
        <f t="shared" si="3"/>
        <v>0.13484910727756894</v>
      </c>
    </row>
    <row r="101" spans="1:7" x14ac:dyDescent="0.25">
      <c r="A101">
        <v>200105</v>
      </c>
      <c r="B101">
        <f>VLOOKUP(A101,Sheet1!I:J,2,0)</f>
        <v>263555000</v>
      </c>
      <c r="C101">
        <f>VLOOKUP(A101,Sheet1!O:P,2,0)+VLOOKUP(A101,Sheet1!T:U,2,0)</f>
        <v>36778896.5</v>
      </c>
      <c r="E101">
        <v>200105</v>
      </c>
      <c r="F101" s="1">
        <f t="shared" si="2"/>
        <v>0.87753997491255542</v>
      </c>
      <c r="G101" s="1">
        <f t="shared" si="3"/>
        <v>0.12246002508744458</v>
      </c>
    </row>
    <row r="102" spans="1:7" x14ac:dyDescent="0.25">
      <c r="A102">
        <v>200106</v>
      </c>
      <c r="B102">
        <f>VLOOKUP(A102,Sheet1!I:J,2,0)</f>
        <v>268191000</v>
      </c>
      <c r="C102">
        <f>VLOOKUP(A102,Sheet1!O:P,2,0)+VLOOKUP(A102,Sheet1!T:U,2,0)</f>
        <v>36490042.980000004</v>
      </c>
      <c r="E102">
        <v>200106</v>
      </c>
      <c r="F102" s="1">
        <f t="shared" si="2"/>
        <v>0.88023526956878861</v>
      </c>
      <c r="G102" s="1">
        <f t="shared" si="3"/>
        <v>0.11976473043121139</v>
      </c>
    </row>
    <row r="103" spans="1:7" x14ac:dyDescent="0.25">
      <c r="A103">
        <v>200107</v>
      </c>
      <c r="B103">
        <f>VLOOKUP(A103,Sheet1!I:J,2,0)</f>
        <v>262651000</v>
      </c>
      <c r="C103">
        <f>VLOOKUP(A103,Sheet1!O:P,2,0)+VLOOKUP(A103,Sheet1!T:U,2,0)</f>
        <v>36042282.68</v>
      </c>
      <c r="E103">
        <v>200107</v>
      </c>
      <c r="F103" s="1">
        <f t="shared" si="2"/>
        <v>0.87933346757378106</v>
      </c>
      <c r="G103" s="1">
        <f t="shared" si="3"/>
        <v>0.12066653242621894</v>
      </c>
    </row>
    <row r="104" spans="1:7" x14ac:dyDescent="0.25">
      <c r="A104">
        <v>200108</v>
      </c>
      <c r="B104">
        <f>VLOOKUP(A104,Sheet1!I:J,2,0)</f>
        <v>269154000</v>
      </c>
      <c r="C104">
        <f>VLOOKUP(A104,Sheet1!O:P,2,0)+VLOOKUP(A104,Sheet1!T:U,2,0)</f>
        <v>35740353.100000001</v>
      </c>
      <c r="E104">
        <v>200108</v>
      </c>
      <c r="F104" s="1">
        <f t="shared" si="2"/>
        <v>0.88277791065458722</v>
      </c>
      <c r="G104" s="1">
        <f t="shared" si="3"/>
        <v>0.11722208934541278</v>
      </c>
    </row>
    <row r="105" spans="1:7" x14ac:dyDescent="0.25">
      <c r="A105">
        <v>200109</v>
      </c>
      <c r="B105">
        <f>VLOOKUP(A105,Sheet1!I:J,2,0)</f>
        <v>291623000</v>
      </c>
      <c r="C105">
        <f>VLOOKUP(A105,Sheet1!O:P,2,0)+VLOOKUP(A105,Sheet1!T:U,2,0)</f>
        <v>50895776.950000003</v>
      </c>
      <c r="E105">
        <v>200109</v>
      </c>
      <c r="F105" s="1">
        <f t="shared" si="2"/>
        <v>0.85140733771383981</v>
      </c>
      <c r="G105" s="1">
        <f t="shared" si="3"/>
        <v>0.14859266228616019</v>
      </c>
    </row>
    <row r="106" spans="1:7" x14ac:dyDescent="0.25">
      <c r="A106">
        <v>200110</v>
      </c>
      <c r="B106">
        <f>VLOOKUP(A106,Sheet1!I:J,2,0)</f>
        <v>303213000</v>
      </c>
      <c r="C106">
        <f>VLOOKUP(A106,Sheet1!O:P,2,0)+VLOOKUP(A106,Sheet1!T:U,2,0)</f>
        <v>56812093.090000004</v>
      </c>
      <c r="E106">
        <v>200110</v>
      </c>
      <c r="F106" s="1">
        <f t="shared" si="2"/>
        <v>0.84219962946916593</v>
      </c>
      <c r="G106" s="1">
        <f t="shared" si="3"/>
        <v>0.15780037053083407</v>
      </c>
    </row>
    <row r="107" spans="1:7" x14ac:dyDescent="0.25">
      <c r="A107">
        <v>200111</v>
      </c>
      <c r="B107">
        <f>VLOOKUP(A107,Sheet1!I:J,2,0)</f>
        <v>430281184</v>
      </c>
      <c r="C107">
        <f>VLOOKUP(A107,Sheet1!O:P,2,0)+VLOOKUP(A107,Sheet1!T:U,2,0)</f>
        <v>78919485.280000001</v>
      </c>
      <c r="E107">
        <v>200111</v>
      </c>
      <c r="F107" s="1">
        <f t="shared" si="2"/>
        <v>0.84501299774096794</v>
      </c>
      <c r="G107" s="1">
        <f t="shared" si="3"/>
        <v>0.15498700225903206</v>
      </c>
    </row>
    <row r="108" spans="1:7" x14ac:dyDescent="0.25">
      <c r="A108">
        <v>200112</v>
      </c>
      <c r="B108">
        <f>VLOOKUP(A108,Sheet1!I:J,2,0)</f>
        <v>498753000</v>
      </c>
      <c r="C108">
        <f>VLOOKUP(A108,Sheet1!O:P,2,0)+VLOOKUP(A108,Sheet1!T:U,2,0)</f>
        <v>88074790.50999999</v>
      </c>
      <c r="E108">
        <v>200112</v>
      </c>
      <c r="F108" s="1">
        <f t="shared" si="2"/>
        <v>0.84991373630506495</v>
      </c>
      <c r="G108" s="1">
        <f t="shared" si="3"/>
        <v>0.15008626369493505</v>
      </c>
    </row>
    <row r="109" spans="1:7" x14ac:dyDescent="0.25">
      <c r="A109">
        <v>200201</v>
      </c>
      <c r="B109">
        <f>VLOOKUP(A109,Sheet1!I:J,2,0)</f>
        <v>372205000</v>
      </c>
      <c r="C109">
        <f>VLOOKUP(A109,Sheet1!O:P,2,0)+VLOOKUP(A109,Sheet1!T:U,2,0)</f>
        <v>72618263.950000003</v>
      </c>
      <c r="E109">
        <v>200201</v>
      </c>
      <c r="F109" s="1">
        <f t="shared" si="2"/>
        <v>0.83674805291172316</v>
      </c>
      <c r="G109" s="1">
        <f t="shared" si="3"/>
        <v>0.16325194708827684</v>
      </c>
    </row>
    <row r="110" spans="1:7" x14ac:dyDescent="0.25">
      <c r="A110">
        <v>200202</v>
      </c>
      <c r="B110">
        <f>VLOOKUP(A110,Sheet1!I:J,2,0)</f>
        <v>259303000</v>
      </c>
      <c r="C110">
        <f>VLOOKUP(A110,Sheet1!O:P,2,0)+VLOOKUP(A110,Sheet1!T:U,2,0)</f>
        <v>52211007.18</v>
      </c>
      <c r="E110">
        <v>200202</v>
      </c>
      <c r="F110" s="1">
        <f t="shared" si="2"/>
        <v>0.83239595659712573</v>
      </c>
      <c r="G110" s="1">
        <f t="shared" si="3"/>
        <v>0.16760404340287427</v>
      </c>
    </row>
    <row r="111" spans="1:7" x14ac:dyDescent="0.25">
      <c r="A111">
        <v>200203</v>
      </c>
      <c r="B111">
        <f>VLOOKUP(A111,Sheet1!I:J,2,0)</f>
        <v>252944000</v>
      </c>
      <c r="C111">
        <f>VLOOKUP(A111,Sheet1!O:P,2,0)+VLOOKUP(A111,Sheet1!T:U,2,0)</f>
        <v>47724562.789999999</v>
      </c>
      <c r="E111">
        <v>200203</v>
      </c>
      <c r="F111" s="1">
        <f t="shared" si="2"/>
        <v>0.84127185646830349</v>
      </c>
      <c r="G111" s="1">
        <f t="shared" si="3"/>
        <v>0.15872814353169651</v>
      </c>
    </row>
    <row r="112" spans="1:7" x14ac:dyDescent="0.25">
      <c r="A112">
        <v>200204</v>
      </c>
      <c r="B112">
        <f>VLOOKUP(A112,Sheet1!I:J,2,0)</f>
        <v>296716000</v>
      </c>
      <c r="C112">
        <f>VLOOKUP(A112,Sheet1!O:P,2,0)+VLOOKUP(A112,Sheet1!T:U,2,0)</f>
        <v>52968774.740000002</v>
      </c>
      <c r="E112">
        <v>200204</v>
      </c>
      <c r="F112" s="1">
        <f t="shared" si="2"/>
        <v>0.84852421790630228</v>
      </c>
      <c r="G112" s="1">
        <f t="shared" si="3"/>
        <v>0.15147578209369772</v>
      </c>
    </row>
    <row r="113" spans="1:7" x14ac:dyDescent="0.25">
      <c r="A113">
        <v>200205</v>
      </c>
      <c r="B113">
        <f>VLOOKUP(A113,Sheet1!I:J,2,0)</f>
        <v>274381000</v>
      </c>
      <c r="C113">
        <f>VLOOKUP(A113,Sheet1!O:P,2,0)+VLOOKUP(A113,Sheet1!T:U,2,0)</f>
        <v>48268270.329999998</v>
      </c>
      <c r="E113">
        <v>200205</v>
      </c>
      <c r="F113" s="1">
        <f t="shared" si="2"/>
        <v>0.85040018754534286</v>
      </c>
      <c r="G113" s="1">
        <f t="shared" si="3"/>
        <v>0.14959981245465714</v>
      </c>
    </row>
    <row r="114" spans="1:7" x14ac:dyDescent="0.25">
      <c r="A114">
        <v>200206</v>
      </c>
      <c r="B114">
        <f>VLOOKUP(A114,Sheet1!I:J,2,0)</f>
        <v>307939000</v>
      </c>
      <c r="C114">
        <f>VLOOKUP(A114,Sheet1!O:P,2,0)+VLOOKUP(A114,Sheet1!T:U,2,0)</f>
        <v>56650240</v>
      </c>
      <c r="E114">
        <v>200206</v>
      </c>
      <c r="F114" s="1">
        <f t="shared" si="2"/>
        <v>0.84461900192117578</v>
      </c>
      <c r="G114" s="1">
        <f t="shared" si="3"/>
        <v>0.15538099807882422</v>
      </c>
    </row>
    <row r="115" spans="1:7" x14ac:dyDescent="0.25">
      <c r="A115">
        <v>200207</v>
      </c>
      <c r="B115">
        <f>VLOOKUP(A115,Sheet1!I:J,2,0)</f>
        <v>331120000</v>
      </c>
      <c r="C115">
        <f>VLOOKUP(A115,Sheet1!O:P,2,0)+VLOOKUP(A115,Sheet1!T:U,2,0)</f>
        <v>70811524.99000001</v>
      </c>
      <c r="E115">
        <v>200207</v>
      </c>
      <c r="F115" s="1">
        <f t="shared" si="2"/>
        <v>0.82382191844304375</v>
      </c>
      <c r="G115" s="1">
        <f t="shared" si="3"/>
        <v>0.17617808155695625</v>
      </c>
    </row>
    <row r="116" spans="1:7" x14ac:dyDescent="0.25">
      <c r="A116">
        <v>200208</v>
      </c>
      <c r="B116">
        <f>VLOOKUP(A116,Sheet1!I:J,2,0)</f>
        <v>410193000</v>
      </c>
      <c r="C116">
        <f>VLOOKUP(A116,Sheet1!O:P,2,0)+VLOOKUP(A116,Sheet1!T:U,2,0)</f>
        <v>89481809.290000007</v>
      </c>
      <c r="E116">
        <v>200208</v>
      </c>
      <c r="F116" s="1">
        <f t="shared" si="2"/>
        <v>0.82091991105745976</v>
      </c>
      <c r="G116" s="1">
        <f t="shared" si="3"/>
        <v>0.17908008894254024</v>
      </c>
    </row>
    <row r="117" spans="1:7" x14ac:dyDescent="0.25">
      <c r="A117">
        <v>200209</v>
      </c>
      <c r="B117">
        <f>VLOOKUP(A117,Sheet1!I:J,2,0)</f>
        <v>527188542</v>
      </c>
      <c r="C117">
        <f>VLOOKUP(A117,Sheet1!O:P,2,0)+VLOOKUP(A117,Sheet1!T:U,2,0)</f>
        <v>127172299.7</v>
      </c>
      <c r="E117">
        <v>200209</v>
      </c>
      <c r="F117" s="1">
        <f t="shared" si="2"/>
        <v>0.80565417183336929</v>
      </c>
      <c r="G117" s="1">
        <f t="shared" si="3"/>
        <v>0.19434582816663071</v>
      </c>
    </row>
    <row r="118" spans="1:7" x14ac:dyDescent="0.25">
      <c r="A118">
        <v>200210</v>
      </c>
      <c r="B118">
        <f>VLOOKUP(A118,Sheet1!I:J,2,0)</f>
        <v>634210000</v>
      </c>
      <c r="C118">
        <f>VLOOKUP(A118,Sheet1!O:P,2,0)+VLOOKUP(A118,Sheet1!T:U,2,0)</f>
        <v>152281633.30000001</v>
      </c>
      <c r="E118">
        <v>200210</v>
      </c>
      <c r="F118" s="1">
        <f t="shared" si="2"/>
        <v>0.80637857180876893</v>
      </c>
      <c r="G118" s="1">
        <f t="shared" si="3"/>
        <v>0.19362142819123107</v>
      </c>
    </row>
    <row r="119" spans="1:7" x14ac:dyDescent="0.25">
      <c r="A119">
        <v>200211</v>
      </c>
      <c r="B119">
        <f>VLOOKUP(A119,Sheet1!I:J,2,0)</f>
        <v>852381165</v>
      </c>
      <c r="C119">
        <f>VLOOKUP(A119,Sheet1!O:P,2,0)+VLOOKUP(A119,Sheet1!T:U,2,0)</f>
        <v>212388108.71000001</v>
      </c>
      <c r="E119">
        <v>200211</v>
      </c>
      <c r="F119" s="1">
        <f t="shared" si="2"/>
        <v>0.80053133204156868</v>
      </c>
      <c r="G119" s="1">
        <f t="shared" si="3"/>
        <v>0.19946866795843132</v>
      </c>
    </row>
    <row r="120" spans="1:7" x14ac:dyDescent="0.25">
      <c r="A120">
        <v>200212</v>
      </c>
      <c r="B120">
        <f>VLOOKUP(A120,Sheet1!I:J,2,0)</f>
        <v>855764000</v>
      </c>
      <c r="C120">
        <f>VLOOKUP(A120,Sheet1!O:P,2,0)+VLOOKUP(A120,Sheet1!T:U,2,0)</f>
        <v>211567058.93000001</v>
      </c>
      <c r="E120">
        <v>200212</v>
      </c>
      <c r="F120" s="1">
        <f t="shared" si="2"/>
        <v>0.801779347504329</v>
      </c>
      <c r="G120" s="1">
        <f t="shared" si="3"/>
        <v>0.198220652495671</v>
      </c>
    </row>
    <row r="121" spans="1:7" x14ac:dyDescent="0.25">
      <c r="A121">
        <v>200301</v>
      </c>
      <c r="B121">
        <f>VLOOKUP(A121,Sheet1!I:J,2,0)</f>
        <v>906541000</v>
      </c>
      <c r="C121">
        <f>VLOOKUP(A121,Sheet1!O:P,2,0)+VLOOKUP(A121,Sheet1!T:U,2,0)</f>
        <v>241421006.03</v>
      </c>
      <c r="E121">
        <v>200301</v>
      </c>
      <c r="F121" s="1">
        <f t="shared" si="2"/>
        <v>0.78969599624215192</v>
      </c>
      <c r="G121" s="1">
        <f t="shared" si="3"/>
        <v>0.21030400375784808</v>
      </c>
    </row>
    <row r="122" spans="1:7" x14ac:dyDescent="0.25">
      <c r="A122">
        <v>200302</v>
      </c>
      <c r="B122">
        <f>VLOOKUP(A122,Sheet1!I:J,2,0)</f>
        <v>858399000</v>
      </c>
      <c r="C122">
        <f>VLOOKUP(A122,Sheet1!O:P,2,0)+VLOOKUP(A122,Sheet1!T:U,2,0)</f>
        <v>281936867.69</v>
      </c>
      <c r="E122">
        <v>200302</v>
      </c>
      <c r="F122" s="1">
        <f t="shared" si="2"/>
        <v>0.75275980026733269</v>
      </c>
      <c r="G122" s="1">
        <f t="shared" si="3"/>
        <v>0.24724019973266731</v>
      </c>
    </row>
    <row r="123" spans="1:7" x14ac:dyDescent="0.25">
      <c r="A123">
        <v>200303</v>
      </c>
      <c r="B123">
        <f>VLOOKUP(A123,Sheet1!I:J,2,0)</f>
        <v>915755000</v>
      </c>
      <c r="C123">
        <f>VLOOKUP(A123,Sheet1!O:P,2,0)+VLOOKUP(A123,Sheet1!T:U,2,0)</f>
        <v>614399058.52999997</v>
      </c>
      <c r="E123">
        <v>200303</v>
      </c>
      <c r="F123" s="1">
        <f t="shared" si="2"/>
        <v>0.59847241844377064</v>
      </c>
      <c r="G123" s="1">
        <f t="shared" si="3"/>
        <v>0.40152758155622936</v>
      </c>
    </row>
    <row r="124" spans="1:7" x14ac:dyDescent="0.25">
      <c r="A124">
        <v>200304</v>
      </c>
      <c r="B124">
        <f>VLOOKUP(A124,Sheet1!I:J,2,0)</f>
        <v>1293402000</v>
      </c>
      <c r="C124">
        <f>VLOOKUP(A124,Sheet1!O:P,2,0)+VLOOKUP(A124,Sheet1!T:U,2,0)</f>
        <v>1410126458.8299999</v>
      </c>
      <c r="E124">
        <v>200304</v>
      </c>
      <c r="F124" s="1">
        <f t="shared" si="2"/>
        <v>0.47841257071869064</v>
      </c>
      <c r="G124" s="1">
        <f t="shared" si="3"/>
        <v>0.52158742928130941</v>
      </c>
    </row>
    <row r="125" spans="1:7" x14ac:dyDescent="0.25">
      <c r="A125">
        <v>200305</v>
      </c>
      <c r="B125">
        <f>VLOOKUP(A125,Sheet1!I:J,2,0)</f>
        <v>1437148000</v>
      </c>
      <c r="C125">
        <f>VLOOKUP(A125,Sheet1!O:P,2,0)+VLOOKUP(A125,Sheet1!T:U,2,0)</f>
        <v>1659102158.1600001</v>
      </c>
      <c r="E125">
        <v>200305</v>
      </c>
      <c r="F125" s="1">
        <f t="shared" si="2"/>
        <v>0.46415758630240977</v>
      </c>
      <c r="G125" s="1">
        <f t="shared" si="3"/>
        <v>0.53584241369759023</v>
      </c>
    </row>
    <row r="126" spans="1:7" x14ac:dyDescent="0.25">
      <c r="A126">
        <v>200306</v>
      </c>
      <c r="B126">
        <f>VLOOKUP(A126,Sheet1!I:J,2,0)</f>
        <v>1627974000</v>
      </c>
      <c r="C126">
        <f>VLOOKUP(A126,Sheet1!O:P,2,0)+VLOOKUP(A126,Sheet1!T:U,2,0)</f>
        <v>1819301768.3499999</v>
      </c>
      <c r="E126">
        <v>200306</v>
      </c>
      <c r="F126" s="1">
        <f t="shared" si="2"/>
        <v>0.47224942516832985</v>
      </c>
      <c r="G126" s="1">
        <f t="shared" si="3"/>
        <v>0.52775057483167021</v>
      </c>
    </row>
    <row r="127" spans="1:7" x14ac:dyDescent="0.25">
      <c r="A127">
        <v>200307</v>
      </c>
      <c r="B127">
        <f>VLOOKUP(A127,Sheet1!I:J,2,0)</f>
        <v>2322028000</v>
      </c>
      <c r="C127">
        <f>VLOOKUP(A127,Sheet1!O:P,2,0)+VLOOKUP(A127,Sheet1!T:U,2,0)</f>
        <v>2363882593.1300001</v>
      </c>
      <c r="E127">
        <v>200307</v>
      </c>
      <c r="F127" s="1">
        <f t="shared" si="2"/>
        <v>0.49553399576259916</v>
      </c>
      <c r="G127" s="1">
        <f t="shared" si="3"/>
        <v>0.50446600423740084</v>
      </c>
    </row>
    <row r="128" spans="1:7" x14ac:dyDescent="0.25">
      <c r="A128">
        <v>200308</v>
      </c>
      <c r="B128">
        <f>VLOOKUP(A128,Sheet1!I:J,2,0)</f>
        <v>2502718000</v>
      </c>
      <c r="C128">
        <f>VLOOKUP(A128,Sheet1!O:P,2,0)+VLOOKUP(A128,Sheet1!T:U,2,0)</f>
        <v>2457807209.0799999</v>
      </c>
      <c r="E128">
        <v>200308</v>
      </c>
      <c r="F128" s="1">
        <f t="shared" si="2"/>
        <v>0.50452681813185762</v>
      </c>
      <c r="G128" s="1">
        <f t="shared" si="3"/>
        <v>0.49547318186814238</v>
      </c>
    </row>
    <row r="129" spans="1:7" x14ac:dyDescent="0.25">
      <c r="A129">
        <v>200309</v>
      </c>
      <c r="B129">
        <f>VLOOKUP(A129,Sheet1!I:J,2,0)</f>
        <v>1773372000</v>
      </c>
      <c r="C129">
        <f>VLOOKUP(A129,Sheet1!O:P,2,0)+VLOOKUP(A129,Sheet1!T:U,2,0)</f>
        <v>1777393646.53</v>
      </c>
      <c r="E129">
        <v>200309</v>
      </c>
      <c r="F129" s="1">
        <f t="shared" si="2"/>
        <v>0.49943369304956386</v>
      </c>
      <c r="G129" s="1">
        <f t="shared" si="3"/>
        <v>0.50056630695043614</v>
      </c>
    </row>
    <row r="130" spans="1:7" x14ac:dyDescent="0.25">
      <c r="A130">
        <v>200310</v>
      </c>
      <c r="B130">
        <f>VLOOKUP(A130,Sheet1!I:J,2,0)</f>
        <v>1178610000</v>
      </c>
      <c r="C130">
        <f>VLOOKUP(A130,Sheet1!O:P,2,0)+VLOOKUP(A130,Sheet1!T:U,2,0)</f>
        <v>1214271800.3399999</v>
      </c>
      <c r="E130">
        <v>200310</v>
      </c>
      <c r="F130" s="1">
        <f t="shared" si="2"/>
        <v>0.49254835731231417</v>
      </c>
      <c r="G130" s="1">
        <f t="shared" si="3"/>
        <v>0.50745164268768583</v>
      </c>
    </row>
    <row r="131" spans="1:7" x14ac:dyDescent="0.25">
      <c r="A131">
        <v>200311</v>
      </c>
      <c r="B131">
        <f>VLOOKUP(A131,Sheet1!I:J,2,0)</f>
        <v>1153958000</v>
      </c>
      <c r="C131">
        <f>VLOOKUP(A131,Sheet1!O:P,2,0)+VLOOKUP(A131,Sheet1!T:U,2,0)</f>
        <v>1155511022.8800001</v>
      </c>
      <c r="E131">
        <v>200311</v>
      </c>
      <c r="F131" s="1">
        <f t="shared" ref="F131:F194" si="4">B131/(B131+C131)</f>
        <v>0.49966377057570066</v>
      </c>
      <c r="G131" s="1">
        <f t="shared" ref="G131:G194" si="5">1-F131</f>
        <v>0.50033622942429934</v>
      </c>
    </row>
    <row r="132" spans="1:7" x14ac:dyDescent="0.25">
      <c r="A132">
        <v>200312</v>
      </c>
      <c r="B132">
        <f>VLOOKUP(A132,Sheet1!I:J,2,0)</f>
        <v>940513000</v>
      </c>
      <c r="C132">
        <f>VLOOKUP(A132,Sheet1!O:P,2,0)+VLOOKUP(A132,Sheet1!T:U,2,0)</f>
        <v>963259710.98000002</v>
      </c>
      <c r="E132">
        <v>200312</v>
      </c>
      <c r="F132" s="1">
        <f t="shared" si="4"/>
        <v>0.49402588585055124</v>
      </c>
      <c r="G132" s="1">
        <f t="shared" si="5"/>
        <v>0.50597411414944871</v>
      </c>
    </row>
    <row r="133" spans="1:7" x14ac:dyDescent="0.25">
      <c r="A133">
        <v>200401</v>
      </c>
      <c r="B133">
        <f>VLOOKUP(A133,Sheet1!I:J,2,0)</f>
        <v>974995000</v>
      </c>
      <c r="C133">
        <f>VLOOKUP(A133,Sheet1!O:P,2,0)+VLOOKUP(A133,Sheet1!T:U,2,0)</f>
        <v>1002070239.52</v>
      </c>
      <c r="E133">
        <v>200401</v>
      </c>
      <c r="F133" s="1">
        <f t="shared" si="4"/>
        <v>0.49315266917378675</v>
      </c>
      <c r="G133" s="1">
        <f t="shared" si="5"/>
        <v>0.50684733082621325</v>
      </c>
    </row>
    <row r="134" spans="1:7" x14ac:dyDescent="0.25">
      <c r="A134">
        <v>200402</v>
      </c>
      <c r="B134">
        <f>VLOOKUP(A134,Sheet1!I:J,2,0)</f>
        <v>805835000</v>
      </c>
      <c r="C134">
        <f>VLOOKUP(A134,Sheet1!O:P,2,0)+VLOOKUP(A134,Sheet1!T:U,2,0)</f>
        <v>799861009.35000002</v>
      </c>
      <c r="E134">
        <v>200402</v>
      </c>
      <c r="F134" s="1">
        <f t="shared" si="4"/>
        <v>0.50186024957875386</v>
      </c>
      <c r="G134" s="1">
        <f t="shared" si="5"/>
        <v>0.49813975042124614</v>
      </c>
    </row>
    <row r="135" spans="1:7" x14ac:dyDescent="0.25">
      <c r="A135">
        <v>200403</v>
      </c>
      <c r="B135">
        <f>VLOOKUP(A135,Sheet1!I:J,2,0)</f>
        <v>964177000</v>
      </c>
      <c r="C135">
        <f>VLOOKUP(A135,Sheet1!O:P,2,0)+VLOOKUP(A135,Sheet1!T:U,2,0)</f>
        <v>939258225.60000002</v>
      </c>
      <c r="E135">
        <v>200403</v>
      </c>
      <c r="F135" s="1">
        <f t="shared" si="4"/>
        <v>0.5065457374290594</v>
      </c>
      <c r="G135" s="1">
        <f t="shared" si="5"/>
        <v>0.4934542625709406</v>
      </c>
    </row>
    <row r="136" spans="1:7" x14ac:dyDescent="0.25">
      <c r="A136">
        <v>200404</v>
      </c>
      <c r="B136">
        <f>VLOOKUP(A136,Sheet1!I:J,2,0)</f>
        <v>1371099000</v>
      </c>
      <c r="C136">
        <f>VLOOKUP(A136,Sheet1!O:P,2,0)+VLOOKUP(A136,Sheet1!T:U,2,0)</f>
        <v>1271285787.3499999</v>
      </c>
      <c r="E136">
        <v>200404</v>
      </c>
      <c r="F136" s="1">
        <f t="shared" si="4"/>
        <v>0.51888695642054861</v>
      </c>
      <c r="G136" s="1">
        <f t="shared" si="5"/>
        <v>0.48111304357945139</v>
      </c>
    </row>
    <row r="137" spans="1:7" x14ac:dyDescent="0.25">
      <c r="A137">
        <v>200405</v>
      </c>
      <c r="B137">
        <f>VLOOKUP(A137,Sheet1!I:J,2,0)</f>
        <v>1371675000</v>
      </c>
      <c r="C137">
        <f>VLOOKUP(A137,Sheet1!O:P,2,0)+VLOOKUP(A137,Sheet1!T:U,2,0)</f>
        <v>1322262852.0899999</v>
      </c>
      <c r="E137">
        <v>200405</v>
      </c>
      <c r="F137" s="1">
        <f t="shared" si="4"/>
        <v>0.50917098883177003</v>
      </c>
      <c r="G137" s="1">
        <f t="shared" si="5"/>
        <v>0.49082901116822997</v>
      </c>
    </row>
    <row r="138" spans="1:7" x14ac:dyDescent="0.25">
      <c r="A138">
        <v>200406</v>
      </c>
      <c r="B138">
        <f>VLOOKUP(A138,Sheet1!I:J,2,0)</f>
        <v>996741000</v>
      </c>
      <c r="C138">
        <f>VLOOKUP(A138,Sheet1!O:P,2,0)+VLOOKUP(A138,Sheet1!T:U,2,0)</f>
        <v>1031301213.12</v>
      </c>
      <c r="E138">
        <v>200406</v>
      </c>
      <c r="F138" s="1">
        <f t="shared" si="4"/>
        <v>0.49147941475369206</v>
      </c>
      <c r="G138" s="1">
        <f t="shared" si="5"/>
        <v>0.50852058524630794</v>
      </c>
    </row>
    <row r="139" spans="1:7" x14ac:dyDescent="0.25">
      <c r="A139">
        <v>200407</v>
      </c>
      <c r="B139">
        <f>VLOOKUP(A139,Sheet1!I:J,2,0)</f>
        <v>778280000</v>
      </c>
      <c r="C139">
        <f>VLOOKUP(A139,Sheet1!O:P,2,0)+VLOOKUP(A139,Sheet1!T:U,2,0)</f>
        <v>924921817.97000003</v>
      </c>
      <c r="E139">
        <v>200407</v>
      </c>
      <c r="F139" s="1">
        <f t="shared" si="4"/>
        <v>0.45695113273634874</v>
      </c>
      <c r="G139" s="1">
        <f t="shared" si="5"/>
        <v>0.54304886726365131</v>
      </c>
    </row>
    <row r="140" spans="1:7" x14ac:dyDescent="0.25">
      <c r="A140">
        <v>200408</v>
      </c>
      <c r="B140">
        <f>VLOOKUP(A140,Sheet1!I:J,2,0)</f>
        <v>692121000</v>
      </c>
      <c r="C140">
        <f>VLOOKUP(A140,Sheet1!O:P,2,0)+VLOOKUP(A140,Sheet1!T:U,2,0)</f>
        <v>941855049.37</v>
      </c>
      <c r="E140">
        <v>200408</v>
      </c>
      <c r="F140" s="1">
        <f t="shared" si="4"/>
        <v>0.42358087211061385</v>
      </c>
      <c r="G140" s="1">
        <f t="shared" si="5"/>
        <v>0.57641912788938621</v>
      </c>
    </row>
    <row r="141" spans="1:7" x14ac:dyDescent="0.25">
      <c r="A141">
        <v>200409</v>
      </c>
      <c r="B141">
        <f>VLOOKUP(A141,Sheet1!I:J,2,0)</f>
        <v>761786000</v>
      </c>
      <c r="C141">
        <f>VLOOKUP(A141,Sheet1!O:P,2,0)+VLOOKUP(A141,Sheet1!T:U,2,0)</f>
        <v>1084400452.25</v>
      </c>
      <c r="E141">
        <v>200409</v>
      </c>
      <c r="F141" s="1">
        <f t="shared" si="4"/>
        <v>0.4126267956693051</v>
      </c>
      <c r="G141" s="1">
        <f t="shared" si="5"/>
        <v>0.58737320433069495</v>
      </c>
    </row>
    <row r="142" spans="1:7" x14ac:dyDescent="0.25">
      <c r="A142">
        <v>200410</v>
      </c>
      <c r="B142">
        <f>VLOOKUP(A142,Sheet1!I:J,2,0)</f>
        <v>767023000</v>
      </c>
      <c r="C142">
        <f>VLOOKUP(A142,Sheet1!O:P,2,0)+VLOOKUP(A142,Sheet1!T:U,2,0)</f>
        <v>1072529007.77</v>
      </c>
      <c r="E142">
        <v>200410</v>
      </c>
      <c r="F142" s="1">
        <f t="shared" si="4"/>
        <v>0.41696184547118348</v>
      </c>
      <c r="G142" s="1">
        <f t="shared" si="5"/>
        <v>0.58303815452881658</v>
      </c>
    </row>
    <row r="143" spans="1:7" x14ac:dyDescent="0.25">
      <c r="A143">
        <v>200411</v>
      </c>
      <c r="B143">
        <f>VLOOKUP(A143,Sheet1!I:J,2,0)</f>
        <v>829690000</v>
      </c>
      <c r="C143">
        <f>VLOOKUP(A143,Sheet1!O:P,2,0)+VLOOKUP(A143,Sheet1!T:U,2,0)</f>
        <v>1101658737.4299998</v>
      </c>
      <c r="E143">
        <v>200411</v>
      </c>
      <c r="F143" s="1">
        <f t="shared" si="4"/>
        <v>0.42959098163910514</v>
      </c>
      <c r="G143" s="1">
        <f t="shared" si="5"/>
        <v>0.57040901836089486</v>
      </c>
    </row>
    <row r="144" spans="1:7" x14ac:dyDescent="0.25">
      <c r="A144">
        <v>200412</v>
      </c>
      <c r="B144">
        <f>VLOOKUP(A144,Sheet1!I:J,2,0)</f>
        <v>842176000</v>
      </c>
      <c r="C144">
        <f>VLOOKUP(A144,Sheet1!O:P,2,0)+VLOOKUP(A144,Sheet1!T:U,2,0)</f>
        <v>1091680017.04</v>
      </c>
      <c r="E144">
        <v>200412</v>
      </c>
      <c r="F144" s="1">
        <f t="shared" si="4"/>
        <v>0.43549053940895355</v>
      </c>
      <c r="G144" s="1">
        <f t="shared" si="5"/>
        <v>0.56450946059104645</v>
      </c>
    </row>
    <row r="145" spans="1:7" x14ac:dyDescent="0.25">
      <c r="A145">
        <v>200501</v>
      </c>
      <c r="B145">
        <f>VLOOKUP(A145,Sheet1!I:J,2,0)</f>
        <v>790132388</v>
      </c>
      <c r="C145">
        <f>VLOOKUP(A145,Sheet1!O:P,2,0)+VLOOKUP(A145,Sheet1!T:U,2,0)</f>
        <v>1069261354.95</v>
      </c>
      <c r="E145">
        <v>200501</v>
      </c>
      <c r="F145" s="1">
        <f t="shared" si="4"/>
        <v>0.42494086634196393</v>
      </c>
      <c r="G145" s="1">
        <f t="shared" si="5"/>
        <v>0.57505913365803607</v>
      </c>
    </row>
    <row r="146" spans="1:7" x14ac:dyDescent="0.25">
      <c r="A146">
        <v>200502</v>
      </c>
      <c r="B146">
        <f>VLOOKUP(A146,Sheet1!I:J,2,0)</f>
        <v>626689000</v>
      </c>
      <c r="C146">
        <f>VLOOKUP(A146,Sheet1!O:P,2,0)+VLOOKUP(A146,Sheet1!T:U,2,0)</f>
        <v>874490546.32000005</v>
      </c>
      <c r="E146">
        <v>200502</v>
      </c>
      <c r="F146" s="1">
        <f t="shared" si="4"/>
        <v>0.41746438761190752</v>
      </c>
      <c r="G146" s="1">
        <f t="shared" si="5"/>
        <v>0.58253561238809248</v>
      </c>
    </row>
    <row r="147" spans="1:7" x14ac:dyDescent="0.25">
      <c r="A147">
        <v>200503</v>
      </c>
      <c r="B147">
        <f>VLOOKUP(A147,Sheet1!I:J,2,0)</f>
        <v>791209000</v>
      </c>
      <c r="C147">
        <f>VLOOKUP(A147,Sheet1!O:P,2,0)+VLOOKUP(A147,Sheet1!T:U,2,0)</f>
        <v>954644014.88</v>
      </c>
      <c r="E147">
        <v>200503</v>
      </c>
      <c r="F147" s="1">
        <f t="shared" si="4"/>
        <v>0.45319336350568046</v>
      </c>
      <c r="G147" s="1">
        <f t="shared" si="5"/>
        <v>0.5468066364943196</v>
      </c>
    </row>
    <row r="148" spans="1:7" x14ac:dyDescent="0.25">
      <c r="A148">
        <v>200504</v>
      </c>
      <c r="B148">
        <f>VLOOKUP(A148,Sheet1!I:J,2,0)</f>
        <v>964580000</v>
      </c>
      <c r="C148">
        <f>VLOOKUP(A148,Sheet1!O:P,2,0)+VLOOKUP(A148,Sheet1!T:U,2,0)</f>
        <v>1175501360.4400001</v>
      </c>
      <c r="E148">
        <v>200504</v>
      </c>
      <c r="F148" s="1">
        <f t="shared" si="4"/>
        <v>0.45072118183473298</v>
      </c>
      <c r="G148" s="1">
        <f t="shared" si="5"/>
        <v>0.54927881816526702</v>
      </c>
    </row>
    <row r="149" spans="1:7" x14ac:dyDescent="0.25">
      <c r="A149">
        <v>200505</v>
      </c>
      <c r="B149">
        <f>VLOOKUP(A149,Sheet1!I:J,2,0)</f>
        <v>836877000</v>
      </c>
      <c r="C149">
        <f>VLOOKUP(A149,Sheet1!O:P,2,0)+VLOOKUP(A149,Sheet1!T:U,2,0)</f>
        <v>1150562587.95</v>
      </c>
      <c r="E149">
        <v>200505</v>
      </c>
      <c r="F149" s="1">
        <f t="shared" si="4"/>
        <v>0.42108298791774601</v>
      </c>
      <c r="G149" s="1">
        <f t="shared" si="5"/>
        <v>0.57891701208225399</v>
      </c>
    </row>
    <row r="150" spans="1:7" x14ac:dyDescent="0.25">
      <c r="A150">
        <v>200506</v>
      </c>
      <c r="B150">
        <f>VLOOKUP(A150,Sheet1!I:J,2,0)</f>
        <v>934650000</v>
      </c>
      <c r="C150">
        <f>VLOOKUP(A150,Sheet1!O:P,2,0)+VLOOKUP(A150,Sheet1!T:U,2,0)</f>
        <v>1430079915.4400001</v>
      </c>
      <c r="E150">
        <v>200506</v>
      </c>
      <c r="F150" s="1">
        <f t="shared" si="4"/>
        <v>0.39524598301793451</v>
      </c>
      <c r="G150" s="1">
        <f t="shared" si="5"/>
        <v>0.60475401698206555</v>
      </c>
    </row>
    <row r="151" spans="1:7" x14ac:dyDescent="0.25">
      <c r="A151">
        <v>200507</v>
      </c>
      <c r="B151">
        <f>VLOOKUP(A151,Sheet1!I:J,2,0)</f>
        <v>1081011000</v>
      </c>
      <c r="C151">
        <f>VLOOKUP(A151,Sheet1!O:P,2,0)+VLOOKUP(A151,Sheet1!T:U,2,0)</f>
        <v>1785854108.9200001</v>
      </c>
      <c r="E151">
        <v>200507</v>
      </c>
      <c r="F151" s="1">
        <f t="shared" si="4"/>
        <v>0.37707075810317298</v>
      </c>
      <c r="G151" s="1">
        <f t="shared" si="5"/>
        <v>0.62292924189682708</v>
      </c>
    </row>
    <row r="152" spans="1:7" x14ac:dyDescent="0.25">
      <c r="A152">
        <v>200508</v>
      </c>
      <c r="B152">
        <f>VLOOKUP(A152,Sheet1!I:J,2,0)</f>
        <v>1077632000</v>
      </c>
      <c r="C152">
        <f>VLOOKUP(A152,Sheet1!O:P,2,0)+VLOOKUP(A152,Sheet1!T:U,2,0)</f>
        <v>1740443306.97</v>
      </c>
      <c r="E152">
        <v>200508</v>
      </c>
      <c r="F152" s="1">
        <f t="shared" si="4"/>
        <v>0.38240000092782189</v>
      </c>
      <c r="G152" s="1">
        <f t="shared" si="5"/>
        <v>0.61759999907217811</v>
      </c>
    </row>
    <row r="153" spans="1:7" x14ac:dyDescent="0.25">
      <c r="A153">
        <v>200509</v>
      </c>
      <c r="B153">
        <f>VLOOKUP(A153,Sheet1!I:J,2,0)</f>
        <v>1046958000</v>
      </c>
      <c r="C153">
        <f>VLOOKUP(A153,Sheet1!O:P,2,0)+VLOOKUP(A153,Sheet1!T:U,2,0)</f>
        <v>1828604854.8800001</v>
      </c>
      <c r="E153">
        <v>200509</v>
      </c>
      <c r="F153" s="1">
        <f t="shared" si="4"/>
        <v>0.36408802479252034</v>
      </c>
      <c r="G153" s="1">
        <f t="shared" si="5"/>
        <v>0.63591197520747966</v>
      </c>
    </row>
    <row r="154" spans="1:7" x14ac:dyDescent="0.25">
      <c r="A154">
        <v>200510</v>
      </c>
      <c r="B154">
        <f>VLOOKUP(A154,Sheet1!I:J,2,0)</f>
        <v>888994000</v>
      </c>
      <c r="C154">
        <f>VLOOKUP(A154,Sheet1!O:P,2,0)+VLOOKUP(A154,Sheet1!T:U,2,0)</f>
        <v>1787204972.77</v>
      </c>
      <c r="E154">
        <v>200510</v>
      </c>
      <c r="F154" s="1">
        <f t="shared" si="4"/>
        <v>0.33218531545875557</v>
      </c>
      <c r="G154" s="1">
        <f t="shared" si="5"/>
        <v>0.66781468454124449</v>
      </c>
    </row>
    <row r="155" spans="1:7" x14ac:dyDescent="0.25">
      <c r="A155">
        <v>200511</v>
      </c>
      <c r="B155">
        <f>VLOOKUP(A155,Sheet1!I:J,2,0)</f>
        <v>823828000</v>
      </c>
      <c r="C155">
        <f>VLOOKUP(A155,Sheet1!O:P,2,0)+VLOOKUP(A155,Sheet1!T:U,2,0)</f>
        <v>2666108533.5999999</v>
      </c>
      <c r="E155">
        <v>200511</v>
      </c>
      <c r="F155" s="1">
        <f t="shared" si="4"/>
        <v>0.23605816096322835</v>
      </c>
      <c r="G155" s="1">
        <f t="shared" si="5"/>
        <v>0.7639418390367716</v>
      </c>
    </row>
    <row r="156" spans="1:7" x14ac:dyDescent="0.25">
      <c r="A156">
        <v>200512</v>
      </c>
      <c r="B156">
        <f>VLOOKUP(A156,Sheet1!I:J,2,0)</f>
        <v>704523000</v>
      </c>
      <c r="C156">
        <f>VLOOKUP(A156,Sheet1!O:P,2,0)+VLOOKUP(A156,Sheet1!T:U,2,0)</f>
        <v>3420721691.1100001</v>
      </c>
      <c r="E156">
        <v>200512</v>
      </c>
      <c r="F156" s="1">
        <f t="shared" si="4"/>
        <v>0.17078332383973821</v>
      </c>
      <c r="G156" s="1">
        <f t="shared" si="5"/>
        <v>0.82921667616026173</v>
      </c>
    </row>
    <row r="157" spans="1:7" x14ac:dyDescent="0.25">
      <c r="A157">
        <v>200601</v>
      </c>
      <c r="B157">
        <f>VLOOKUP(A157,Sheet1!I:J,2,0)</f>
        <v>655490000</v>
      </c>
      <c r="C157">
        <f>VLOOKUP(A157,Sheet1!O:P,2,0)+VLOOKUP(A157,Sheet1!T:U,2,0)</f>
        <v>3342154318.1199999</v>
      </c>
      <c r="E157">
        <v>200601</v>
      </c>
      <c r="F157" s="1">
        <f t="shared" si="4"/>
        <v>0.16396906473867137</v>
      </c>
      <c r="G157" s="1">
        <f t="shared" si="5"/>
        <v>0.83603093526132866</v>
      </c>
    </row>
    <row r="158" spans="1:7" x14ac:dyDescent="0.25">
      <c r="A158">
        <v>200602</v>
      </c>
      <c r="B158">
        <f>VLOOKUP(A158,Sheet1!I:J,2,0)</f>
        <v>618598000</v>
      </c>
      <c r="C158">
        <f>VLOOKUP(A158,Sheet1!O:P,2,0)+VLOOKUP(A158,Sheet1!T:U,2,0)</f>
        <v>2741581003.9499998</v>
      </c>
      <c r="E158">
        <v>200602</v>
      </c>
      <c r="F158" s="1">
        <f t="shared" si="4"/>
        <v>0.1840967398679707</v>
      </c>
      <c r="G158" s="1">
        <f t="shared" si="5"/>
        <v>0.8159032601320293</v>
      </c>
    </row>
    <row r="159" spans="1:7" x14ac:dyDescent="0.25">
      <c r="A159">
        <v>200603</v>
      </c>
      <c r="B159">
        <f>VLOOKUP(A159,Sheet1!I:J,2,0)</f>
        <v>796439000</v>
      </c>
      <c r="C159">
        <f>VLOOKUP(A159,Sheet1!O:P,2,0)+VLOOKUP(A159,Sheet1!T:U,2,0)</f>
        <v>3140062247.3600001</v>
      </c>
      <c r="E159">
        <v>200603</v>
      </c>
      <c r="F159" s="1">
        <f t="shared" si="4"/>
        <v>0.20232154137741704</v>
      </c>
      <c r="G159" s="1">
        <f t="shared" si="5"/>
        <v>0.79767845862258291</v>
      </c>
    </row>
    <row r="160" spans="1:7" x14ac:dyDescent="0.25">
      <c r="A160">
        <v>200604</v>
      </c>
      <c r="B160">
        <f>VLOOKUP(A160,Sheet1!I:J,2,0)</f>
        <v>950982055</v>
      </c>
      <c r="C160">
        <f>VLOOKUP(A160,Sheet1!O:P,2,0)+VLOOKUP(A160,Sheet1!T:U,2,0)</f>
        <v>3827020076.4700003</v>
      </c>
      <c r="E160">
        <v>200604</v>
      </c>
      <c r="F160" s="1">
        <f t="shared" si="4"/>
        <v>0.19903340953668031</v>
      </c>
      <c r="G160" s="1">
        <f t="shared" si="5"/>
        <v>0.80096659046331964</v>
      </c>
    </row>
    <row r="161" spans="1:7" x14ac:dyDescent="0.25">
      <c r="A161">
        <v>200605</v>
      </c>
      <c r="B161">
        <f>VLOOKUP(A161,Sheet1!I:J,2,0)</f>
        <v>851031000</v>
      </c>
      <c r="C161">
        <f>VLOOKUP(A161,Sheet1!O:P,2,0)+VLOOKUP(A161,Sheet1!T:U,2,0)</f>
        <v>3532298740.5799999</v>
      </c>
      <c r="E161">
        <v>200605</v>
      </c>
      <c r="F161" s="1">
        <f t="shared" si="4"/>
        <v>0.19415171806978684</v>
      </c>
      <c r="G161" s="1">
        <f t="shared" si="5"/>
        <v>0.80584828193021318</v>
      </c>
    </row>
    <row r="162" spans="1:7" x14ac:dyDescent="0.25">
      <c r="A162">
        <v>200606</v>
      </c>
      <c r="B162">
        <f>VLOOKUP(A162,Sheet1!I:J,2,0)</f>
        <v>841477000</v>
      </c>
      <c r="C162">
        <f>VLOOKUP(A162,Sheet1!O:P,2,0)+VLOOKUP(A162,Sheet1!T:U,2,0)</f>
        <v>3987735649.3000002</v>
      </c>
      <c r="E162">
        <v>200606</v>
      </c>
      <c r="F162" s="1">
        <f t="shared" si="4"/>
        <v>0.1742472450704719</v>
      </c>
      <c r="G162" s="1">
        <f t="shared" si="5"/>
        <v>0.82575275492952804</v>
      </c>
    </row>
    <row r="163" spans="1:7" x14ac:dyDescent="0.25">
      <c r="A163">
        <v>200607</v>
      </c>
      <c r="B163">
        <f>VLOOKUP(A163,Sheet1!I:J,2,0)</f>
        <v>749191000</v>
      </c>
      <c r="C163">
        <f>VLOOKUP(A163,Sheet1!O:P,2,0)+VLOOKUP(A163,Sheet1!T:U,2,0)</f>
        <v>4275636143.48</v>
      </c>
      <c r="E163">
        <v>200607</v>
      </c>
      <c r="F163" s="1">
        <f t="shared" si="4"/>
        <v>0.14909786518171439</v>
      </c>
      <c r="G163" s="1">
        <f t="shared" si="5"/>
        <v>0.85090213481828558</v>
      </c>
    </row>
    <row r="164" spans="1:7" x14ac:dyDescent="0.25">
      <c r="A164">
        <v>200608</v>
      </c>
      <c r="B164">
        <f>VLOOKUP(A164,Sheet1!I:J,2,0)</f>
        <v>630819000</v>
      </c>
      <c r="C164">
        <f>VLOOKUP(A164,Sheet1!O:P,2,0)+VLOOKUP(A164,Sheet1!T:U,2,0)</f>
        <v>3756041921.2600002</v>
      </c>
      <c r="E164">
        <v>200608</v>
      </c>
      <c r="F164" s="1">
        <f t="shared" si="4"/>
        <v>0.14379735563141932</v>
      </c>
      <c r="G164" s="1">
        <f t="shared" si="5"/>
        <v>0.85620264436858062</v>
      </c>
    </row>
    <row r="165" spans="1:7" x14ac:dyDescent="0.25">
      <c r="A165">
        <v>200609</v>
      </c>
      <c r="B165">
        <f>VLOOKUP(A165,Sheet1!I:J,2,0)</f>
        <v>653474000</v>
      </c>
      <c r="C165">
        <f>VLOOKUP(A165,Sheet1!O:P,2,0)+VLOOKUP(A165,Sheet1!T:U,2,0)</f>
        <v>4306590786.6300001</v>
      </c>
      <c r="E165">
        <v>200609</v>
      </c>
      <c r="F165" s="1">
        <f t="shared" si="4"/>
        <v>0.13174706946599937</v>
      </c>
      <c r="G165" s="1">
        <f t="shared" si="5"/>
        <v>0.86825293053400066</v>
      </c>
    </row>
    <row r="166" spans="1:7" x14ac:dyDescent="0.25">
      <c r="A166">
        <v>200610</v>
      </c>
      <c r="B166">
        <f>VLOOKUP(A166,Sheet1!I:J,2,0)</f>
        <v>667379000</v>
      </c>
      <c r="C166">
        <f>VLOOKUP(A166,Sheet1!O:P,2,0)+VLOOKUP(A166,Sheet1!T:U,2,0)</f>
        <v>4288170696.27</v>
      </c>
      <c r="E166">
        <v>200610</v>
      </c>
      <c r="F166" s="1">
        <f t="shared" si="4"/>
        <v>0.13467305160965906</v>
      </c>
      <c r="G166" s="1">
        <f t="shared" si="5"/>
        <v>0.86532694839034097</v>
      </c>
    </row>
    <row r="167" spans="1:7" x14ac:dyDescent="0.25">
      <c r="A167">
        <v>200611</v>
      </c>
      <c r="B167">
        <f>VLOOKUP(A167,Sheet1!I:J,2,0)</f>
        <v>713582000</v>
      </c>
      <c r="C167">
        <f>VLOOKUP(A167,Sheet1!O:P,2,0)+VLOOKUP(A167,Sheet1!T:U,2,0)</f>
        <v>4644394184.1800003</v>
      </c>
      <c r="E167">
        <v>200611</v>
      </c>
      <c r="F167" s="1">
        <f t="shared" si="4"/>
        <v>0.13318125640553002</v>
      </c>
      <c r="G167" s="1">
        <f t="shared" si="5"/>
        <v>0.86681874359446998</v>
      </c>
    </row>
    <row r="168" spans="1:7" x14ac:dyDescent="0.25">
      <c r="A168">
        <v>200612</v>
      </c>
      <c r="B168">
        <f>VLOOKUP(A168,Sheet1!I:J,2,0)</f>
        <v>689781000</v>
      </c>
      <c r="C168">
        <f>VLOOKUP(A168,Sheet1!O:P,2,0)+VLOOKUP(A168,Sheet1!T:U,2,0)</f>
        <v>4514239370.5799999</v>
      </c>
      <c r="E168">
        <v>200612</v>
      </c>
      <c r="F168" s="1">
        <f t="shared" si="4"/>
        <v>0.13254771328328263</v>
      </c>
      <c r="G168" s="1">
        <f t="shared" si="5"/>
        <v>0.86745228671671737</v>
      </c>
    </row>
    <row r="169" spans="1:7" x14ac:dyDescent="0.25">
      <c r="A169">
        <v>200701</v>
      </c>
      <c r="B169">
        <f>VLOOKUP(A169,Sheet1!I:J,2,0)</f>
        <v>747661000</v>
      </c>
      <c r="C169">
        <f>VLOOKUP(A169,Sheet1!O:P,2,0)+VLOOKUP(A169,Sheet1!T:U,2,0)</f>
        <v>4925939651.6000004</v>
      </c>
      <c r="E169">
        <v>200701</v>
      </c>
      <c r="F169" s="1">
        <f t="shared" si="4"/>
        <v>0.13177892592584106</v>
      </c>
      <c r="G169" s="1">
        <f t="shared" si="5"/>
        <v>0.86822107407415894</v>
      </c>
    </row>
    <row r="170" spans="1:7" x14ac:dyDescent="0.25">
      <c r="A170">
        <v>200702</v>
      </c>
      <c r="B170">
        <f>VLOOKUP(A170,Sheet1!I:J,2,0)</f>
        <v>637152000</v>
      </c>
      <c r="C170">
        <f>VLOOKUP(A170,Sheet1!O:P,2,0)+VLOOKUP(A170,Sheet1!T:U,2,0)</f>
        <v>4531978388.8099995</v>
      </c>
      <c r="E170">
        <v>200702</v>
      </c>
      <c r="F170" s="1">
        <f t="shared" si="4"/>
        <v>0.12326096501246907</v>
      </c>
      <c r="G170" s="1">
        <f t="shared" si="5"/>
        <v>0.87673903498753092</v>
      </c>
    </row>
    <row r="171" spans="1:7" x14ac:dyDescent="0.25">
      <c r="A171">
        <v>200703</v>
      </c>
      <c r="B171">
        <f>VLOOKUP(A171,Sheet1!I:J,2,0)</f>
        <v>663069000</v>
      </c>
      <c r="C171">
        <f>VLOOKUP(A171,Sheet1!O:P,2,0)+VLOOKUP(A171,Sheet1!T:U,2,0)</f>
        <v>5020599523.5100002</v>
      </c>
      <c r="E171">
        <v>200703</v>
      </c>
      <c r="F171" s="1">
        <f t="shared" si="4"/>
        <v>0.11666215178757748</v>
      </c>
      <c r="G171" s="1">
        <f t="shared" si="5"/>
        <v>0.88333784821242256</v>
      </c>
    </row>
    <row r="172" spans="1:7" x14ac:dyDescent="0.25">
      <c r="A172">
        <v>200704</v>
      </c>
      <c r="B172">
        <f>VLOOKUP(A172,Sheet1!I:J,2,0)</f>
        <v>883146000</v>
      </c>
      <c r="C172">
        <f>VLOOKUP(A172,Sheet1!O:P,2,0)+VLOOKUP(A172,Sheet1!T:U,2,0)</f>
        <v>7370324328.8400002</v>
      </c>
      <c r="E172">
        <v>200704</v>
      </c>
      <c r="F172" s="1">
        <f t="shared" si="4"/>
        <v>0.10700298962898476</v>
      </c>
      <c r="G172" s="1">
        <f t="shared" si="5"/>
        <v>0.8929970103710152</v>
      </c>
    </row>
    <row r="173" spans="1:7" x14ac:dyDescent="0.25">
      <c r="A173">
        <v>200705</v>
      </c>
      <c r="B173">
        <f>VLOOKUP(A173,Sheet1!I:J,2,0)</f>
        <v>961648000</v>
      </c>
      <c r="C173">
        <f>VLOOKUP(A173,Sheet1!O:P,2,0)+VLOOKUP(A173,Sheet1!T:U,2,0)</f>
        <v>8451312482.3299999</v>
      </c>
      <c r="E173">
        <v>200705</v>
      </c>
      <c r="F173" s="1">
        <f t="shared" si="4"/>
        <v>0.10216212017517812</v>
      </c>
      <c r="G173" s="1">
        <f t="shared" si="5"/>
        <v>0.89783787982482188</v>
      </c>
    </row>
    <row r="174" spans="1:7" x14ac:dyDescent="0.25">
      <c r="A174">
        <v>200706</v>
      </c>
      <c r="B174">
        <f>VLOOKUP(A174,Sheet1!I:J,2,0)</f>
        <v>1054871000</v>
      </c>
      <c r="C174">
        <f>VLOOKUP(A174,Sheet1!O:P,2,0)+VLOOKUP(A174,Sheet1!T:U,2,0)</f>
        <v>9958980425.0499992</v>
      </c>
      <c r="E174">
        <v>200706</v>
      </c>
      <c r="F174" s="1">
        <f t="shared" si="4"/>
        <v>9.5776759581193568E-2</v>
      </c>
      <c r="G174" s="1">
        <f t="shared" si="5"/>
        <v>0.90422324041880642</v>
      </c>
    </row>
    <row r="175" spans="1:7" x14ac:dyDescent="0.25">
      <c r="A175">
        <v>200707</v>
      </c>
      <c r="B175">
        <f>VLOOKUP(A175,Sheet1!I:J,2,0)</f>
        <v>987599000</v>
      </c>
      <c r="C175">
        <f>VLOOKUP(A175,Sheet1!O:P,2,0)+VLOOKUP(A175,Sheet1!T:U,2,0)</f>
        <v>10343162262.58</v>
      </c>
      <c r="E175">
        <v>200707</v>
      </c>
      <c r="F175" s="1">
        <f t="shared" si="4"/>
        <v>8.7160869169625857E-2</v>
      </c>
      <c r="G175" s="1">
        <f t="shared" si="5"/>
        <v>0.91283913083037416</v>
      </c>
    </row>
    <row r="176" spans="1:7" x14ac:dyDescent="0.25">
      <c r="A176">
        <v>200708</v>
      </c>
      <c r="B176">
        <f>VLOOKUP(A176,Sheet1!I:J,2,0)</f>
        <v>885067000</v>
      </c>
      <c r="C176">
        <f>VLOOKUP(A176,Sheet1!O:P,2,0)+VLOOKUP(A176,Sheet1!T:U,2,0)</f>
        <v>9451742674.7600002</v>
      </c>
      <c r="E176">
        <v>200708</v>
      </c>
      <c r="F176" s="1">
        <f t="shared" si="4"/>
        <v>8.5622839913665094E-2</v>
      </c>
      <c r="G176" s="1">
        <f t="shared" si="5"/>
        <v>0.91437716008633485</v>
      </c>
    </row>
    <row r="177" spans="1:7" x14ac:dyDescent="0.25">
      <c r="A177">
        <v>200709</v>
      </c>
      <c r="B177">
        <f>VLOOKUP(A177,Sheet1!I:J,2,0)</f>
        <v>915275000</v>
      </c>
      <c r="C177">
        <f>VLOOKUP(A177,Sheet1!O:P,2,0)+VLOOKUP(A177,Sheet1!T:U,2,0)</f>
        <v>10369147175.630001</v>
      </c>
      <c r="E177">
        <v>200709</v>
      </c>
      <c r="F177" s="1">
        <f t="shared" si="4"/>
        <v>8.1109602756323756E-2</v>
      </c>
      <c r="G177" s="1">
        <f t="shared" si="5"/>
        <v>0.91889039724367627</v>
      </c>
    </row>
    <row r="178" spans="1:7" x14ac:dyDescent="0.25">
      <c r="A178">
        <v>200710</v>
      </c>
      <c r="B178">
        <f>VLOOKUP(A178,Sheet1!I:J,2,0)</f>
        <v>941857000</v>
      </c>
      <c r="C178">
        <f>VLOOKUP(A178,Sheet1!O:P,2,0)+VLOOKUP(A178,Sheet1!T:U,2,0)</f>
        <v>10099556465.869999</v>
      </c>
      <c r="E178">
        <v>200710</v>
      </c>
      <c r="F178" s="1">
        <f t="shared" si="4"/>
        <v>8.5302212702328795E-2</v>
      </c>
      <c r="G178" s="1">
        <f t="shared" si="5"/>
        <v>0.91469778729767115</v>
      </c>
    </row>
    <row r="179" spans="1:7" x14ac:dyDescent="0.25">
      <c r="A179">
        <v>200711</v>
      </c>
      <c r="B179">
        <f>VLOOKUP(A179,Sheet1!I:J,2,0)</f>
        <v>1171373000</v>
      </c>
      <c r="C179">
        <f>VLOOKUP(A179,Sheet1!O:P,2,0)+VLOOKUP(A179,Sheet1!T:U,2,0)</f>
        <v>11243932328.290001</v>
      </c>
      <c r="E179">
        <v>200711</v>
      </c>
      <c r="F179" s="1">
        <f t="shared" si="4"/>
        <v>9.4349109347384608E-2</v>
      </c>
      <c r="G179" s="1">
        <f t="shared" si="5"/>
        <v>0.90565089065261539</v>
      </c>
    </row>
    <row r="180" spans="1:7" x14ac:dyDescent="0.25">
      <c r="A180">
        <v>200712</v>
      </c>
      <c r="B180">
        <f>VLOOKUP(A180,Sheet1!I:J,2,0)</f>
        <v>1238765000</v>
      </c>
      <c r="C180">
        <f>VLOOKUP(A180,Sheet1!O:P,2,0)+VLOOKUP(A180,Sheet1!T:U,2,0)</f>
        <v>10498417812.450001</v>
      </c>
      <c r="E180">
        <v>200712</v>
      </c>
      <c r="F180" s="1">
        <f t="shared" si="4"/>
        <v>0.1055419362375444</v>
      </c>
      <c r="G180" s="1">
        <f t="shared" si="5"/>
        <v>0.89445806376245562</v>
      </c>
    </row>
    <row r="181" spans="1:7" x14ac:dyDescent="0.25">
      <c r="A181">
        <v>200801</v>
      </c>
      <c r="B181">
        <f>VLOOKUP(A181,Sheet1!I:J,2,0)</f>
        <v>1503753000</v>
      </c>
      <c r="C181">
        <f>VLOOKUP(A181,Sheet1!O:P,2,0)+VLOOKUP(A181,Sheet1!T:U,2,0)</f>
        <v>11114666851.07</v>
      </c>
      <c r="E181">
        <v>200801</v>
      </c>
      <c r="F181" s="1">
        <f t="shared" si="4"/>
        <v>0.1191712605657583</v>
      </c>
      <c r="G181" s="1">
        <f t="shared" si="5"/>
        <v>0.88082873943424167</v>
      </c>
    </row>
    <row r="182" spans="1:7" x14ac:dyDescent="0.25">
      <c r="A182">
        <v>200802</v>
      </c>
      <c r="B182">
        <f>VLOOKUP(A182,Sheet1!I:J,2,0)</f>
        <v>1688771000</v>
      </c>
      <c r="C182">
        <f>VLOOKUP(A182,Sheet1!O:P,2,0)+VLOOKUP(A182,Sheet1!T:U,2,0)</f>
        <v>9600143963.6800003</v>
      </c>
      <c r="E182">
        <v>200802</v>
      </c>
      <c r="F182" s="1">
        <f t="shared" si="4"/>
        <v>0.14959551076727115</v>
      </c>
      <c r="G182" s="1">
        <f t="shared" si="5"/>
        <v>0.85040448923272882</v>
      </c>
    </row>
    <row r="183" spans="1:7" x14ac:dyDescent="0.25">
      <c r="A183">
        <v>200803</v>
      </c>
      <c r="B183">
        <f>VLOOKUP(A183,Sheet1!I:J,2,0)</f>
        <v>2586600299</v>
      </c>
      <c r="C183">
        <f>VLOOKUP(A183,Sheet1!O:P,2,0)+VLOOKUP(A183,Sheet1!T:U,2,0)</f>
        <v>11908967229.34</v>
      </c>
      <c r="E183">
        <v>200803</v>
      </c>
      <c r="F183" s="1">
        <f t="shared" si="4"/>
        <v>0.17844077466735872</v>
      </c>
      <c r="G183" s="1">
        <f t="shared" si="5"/>
        <v>0.82155922533264125</v>
      </c>
    </row>
    <row r="184" spans="1:7" x14ac:dyDescent="0.25">
      <c r="A184">
        <v>200804</v>
      </c>
      <c r="B184">
        <f>VLOOKUP(A184,Sheet1!I:J,2,0)</f>
        <v>2937983000</v>
      </c>
      <c r="C184">
        <f>VLOOKUP(A184,Sheet1!O:P,2,0)+VLOOKUP(A184,Sheet1!T:U,2,0)</f>
        <v>10722008976.16</v>
      </c>
      <c r="E184">
        <v>200804</v>
      </c>
      <c r="F184" s="1">
        <f t="shared" si="4"/>
        <v>0.21507940891381877</v>
      </c>
      <c r="G184" s="1">
        <f t="shared" si="5"/>
        <v>0.78492059108618117</v>
      </c>
    </row>
    <row r="185" spans="1:7" x14ac:dyDescent="0.25">
      <c r="A185">
        <v>200805</v>
      </c>
      <c r="B185">
        <f>VLOOKUP(A185,Sheet1!I:J,2,0)</f>
        <v>3636383000</v>
      </c>
      <c r="C185">
        <f>VLOOKUP(A185,Sheet1!O:P,2,0)+VLOOKUP(A185,Sheet1!T:U,2,0)</f>
        <v>9322134450.8899994</v>
      </c>
      <c r="E185">
        <v>200805</v>
      </c>
      <c r="F185" s="1">
        <f t="shared" si="4"/>
        <v>0.28061720901184195</v>
      </c>
      <c r="G185" s="1">
        <f t="shared" si="5"/>
        <v>0.71938279098815805</v>
      </c>
    </row>
    <row r="186" spans="1:7" x14ac:dyDescent="0.25">
      <c r="A186">
        <v>200806</v>
      </c>
      <c r="B186">
        <f>VLOOKUP(A186,Sheet1!I:J,2,0)</f>
        <v>3902355000</v>
      </c>
      <c r="C186">
        <f>VLOOKUP(A186,Sheet1!O:P,2,0)+VLOOKUP(A186,Sheet1!T:U,2,0)</f>
        <v>7652914701.7700005</v>
      </c>
      <c r="E186">
        <v>200806</v>
      </c>
      <c r="F186" s="1">
        <f t="shared" si="4"/>
        <v>0.33771215217955919</v>
      </c>
      <c r="G186" s="1">
        <f t="shared" si="5"/>
        <v>0.66228784782044081</v>
      </c>
    </row>
    <row r="187" spans="1:7" x14ac:dyDescent="0.25">
      <c r="A187">
        <v>200807</v>
      </c>
      <c r="B187">
        <f>VLOOKUP(A187,Sheet1!I:J,2,0)</f>
        <v>3602249000</v>
      </c>
      <c r="C187">
        <f>VLOOKUP(A187,Sheet1!O:P,2,0)+VLOOKUP(A187,Sheet1!T:U,2,0)</f>
        <v>6986040821.6300001</v>
      </c>
      <c r="E187">
        <v>200807</v>
      </c>
      <c r="F187" s="1">
        <f t="shared" si="4"/>
        <v>0.34021065353171986</v>
      </c>
      <c r="G187" s="1">
        <f t="shared" si="5"/>
        <v>0.65978934646828014</v>
      </c>
    </row>
    <row r="188" spans="1:7" x14ac:dyDescent="0.25">
      <c r="A188">
        <v>200808</v>
      </c>
      <c r="B188">
        <f>VLOOKUP(A188,Sheet1!I:J,2,0)</f>
        <v>3180729707</v>
      </c>
      <c r="C188">
        <f>VLOOKUP(A188,Sheet1!O:P,2,0)+VLOOKUP(A188,Sheet1!T:U,2,0)</f>
        <v>5230296973.1700001</v>
      </c>
      <c r="E188">
        <v>200808</v>
      </c>
      <c r="F188" s="1">
        <f t="shared" si="4"/>
        <v>0.37816188533784467</v>
      </c>
      <c r="G188" s="1">
        <f t="shared" si="5"/>
        <v>0.62183811466215533</v>
      </c>
    </row>
    <row r="189" spans="1:7" x14ac:dyDescent="0.25">
      <c r="A189">
        <v>200809</v>
      </c>
      <c r="B189">
        <f>VLOOKUP(A189,Sheet1!I:J,2,0)</f>
        <v>2906779000</v>
      </c>
      <c r="C189">
        <f>VLOOKUP(A189,Sheet1!O:P,2,0)+VLOOKUP(A189,Sheet1!T:U,2,0)</f>
        <v>3744931437.98</v>
      </c>
      <c r="E189">
        <v>200809</v>
      </c>
      <c r="F189" s="1">
        <f t="shared" si="4"/>
        <v>0.4369972245639025</v>
      </c>
      <c r="G189" s="1">
        <f t="shared" si="5"/>
        <v>0.56300277543609756</v>
      </c>
    </row>
    <row r="190" spans="1:7" x14ac:dyDescent="0.25">
      <c r="A190">
        <v>200810</v>
      </c>
      <c r="B190">
        <f>VLOOKUP(A190,Sheet1!I:J,2,0)</f>
        <v>3639319000</v>
      </c>
      <c r="C190">
        <f>VLOOKUP(A190,Sheet1!O:P,2,0)+VLOOKUP(A190,Sheet1!T:U,2,0)</f>
        <v>3693102759.21</v>
      </c>
      <c r="E190">
        <v>200810</v>
      </c>
      <c r="F190" s="1">
        <f t="shared" si="4"/>
        <v>0.49633246961398231</v>
      </c>
      <c r="G190" s="1">
        <f t="shared" si="5"/>
        <v>0.50366753038601764</v>
      </c>
    </row>
    <row r="191" spans="1:7" x14ac:dyDescent="0.25">
      <c r="A191">
        <v>200811</v>
      </c>
      <c r="B191">
        <f>VLOOKUP(A191,Sheet1!I:J,2,0)</f>
        <v>3770749300</v>
      </c>
      <c r="C191">
        <f>VLOOKUP(A191,Sheet1!O:P,2,0)+VLOOKUP(A191,Sheet1!T:U,2,0)</f>
        <v>3918226597.02</v>
      </c>
      <c r="E191">
        <v>200811</v>
      </c>
      <c r="F191" s="1">
        <f t="shared" si="4"/>
        <v>0.4904098218673596</v>
      </c>
      <c r="G191" s="1">
        <f t="shared" si="5"/>
        <v>0.5095901781326404</v>
      </c>
    </row>
    <row r="192" spans="1:7" x14ac:dyDescent="0.25">
      <c r="A192">
        <v>200812</v>
      </c>
      <c r="B192">
        <f>VLOOKUP(A192,Sheet1!I:J,2,0)</f>
        <v>2992550000</v>
      </c>
      <c r="C192">
        <f>VLOOKUP(A192,Sheet1!O:P,2,0)+VLOOKUP(A192,Sheet1!T:U,2,0)</f>
        <v>2515789117</v>
      </c>
      <c r="E192">
        <v>200812</v>
      </c>
      <c r="F192" s="1">
        <f t="shared" si="4"/>
        <v>0.54327628282076956</v>
      </c>
      <c r="G192" s="1">
        <f t="shared" si="5"/>
        <v>0.45672371717923044</v>
      </c>
    </row>
    <row r="193" spans="1:7" x14ac:dyDescent="0.25">
      <c r="A193">
        <v>200901</v>
      </c>
      <c r="B193">
        <f>VLOOKUP(A193,Sheet1!I:J,2,0)</f>
        <v>5294082000</v>
      </c>
      <c r="C193">
        <f>VLOOKUP(A193,Sheet1!O:P,2,0)+VLOOKUP(A193,Sheet1!T:U,2,0)</f>
        <v>3971143316.6999998</v>
      </c>
      <c r="E193">
        <v>200901</v>
      </c>
      <c r="F193" s="1">
        <f t="shared" si="4"/>
        <v>0.57139268814733968</v>
      </c>
      <c r="G193" s="1">
        <f t="shared" si="5"/>
        <v>0.42860731185266032</v>
      </c>
    </row>
    <row r="194" spans="1:7" x14ac:dyDescent="0.25">
      <c r="A194">
        <v>200902</v>
      </c>
      <c r="B194">
        <f>VLOOKUP(A194,Sheet1!I:J,2,0)</f>
        <v>7115783311</v>
      </c>
      <c r="C194">
        <f>VLOOKUP(A194,Sheet1!O:P,2,0)+VLOOKUP(A194,Sheet1!T:U,2,0)</f>
        <v>5106449108.0200005</v>
      </c>
      <c r="E194">
        <v>200902</v>
      </c>
      <c r="F194" s="1">
        <f t="shared" si="4"/>
        <v>0.58219996699838206</v>
      </c>
      <c r="G194" s="1">
        <f t="shared" si="5"/>
        <v>0.41780003300161794</v>
      </c>
    </row>
    <row r="195" spans="1:7" x14ac:dyDescent="0.25">
      <c r="A195">
        <v>200903</v>
      </c>
      <c r="B195">
        <f>VLOOKUP(A195,Sheet1!I:J,2,0)</f>
        <v>7793052003</v>
      </c>
      <c r="C195">
        <f>VLOOKUP(A195,Sheet1!O:P,2,0)+VLOOKUP(A195,Sheet1!T:U,2,0)</f>
        <v>5884288933.6100006</v>
      </c>
      <c r="E195">
        <v>200903</v>
      </c>
      <c r="F195" s="1">
        <f t="shared" ref="F195:F258" si="6">B195/(B195+C195)</f>
        <v>0.56977829529279456</v>
      </c>
      <c r="G195" s="1">
        <f t="shared" ref="G195:G258" si="7">1-F195</f>
        <v>0.43022170470720544</v>
      </c>
    </row>
    <row r="196" spans="1:7" x14ac:dyDescent="0.25">
      <c r="A196">
        <v>200904</v>
      </c>
      <c r="B196">
        <f>VLOOKUP(A196,Sheet1!I:J,2,0)</f>
        <v>9704021645</v>
      </c>
      <c r="C196">
        <f>VLOOKUP(A196,Sheet1!O:P,2,0)+VLOOKUP(A196,Sheet1!T:U,2,0)</f>
        <v>5863450240.79</v>
      </c>
      <c r="E196">
        <v>200904</v>
      </c>
      <c r="F196" s="1">
        <f t="shared" si="6"/>
        <v>0.62335244387740552</v>
      </c>
      <c r="G196" s="1">
        <f t="shared" si="7"/>
        <v>0.37664755612259448</v>
      </c>
    </row>
    <row r="197" spans="1:7" x14ac:dyDescent="0.25">
      <c r="A197">
        <v>200905</v>
      </c>
      <c r="B197">
        <f>VLOOKUP(A197,Sheet1!I:J,2,0)</f>
        <v>12593514000</v>
      </c>
      <c r="C197">
        <f>VLOOKUP(A197,Sheet1!O:P,2,0)+VLOOKUP(A197,Sheet1!T:U,2,0)</f>
        <v>5452855012.6999998</v>
      </c>
      <c r="E197">
        <v>200905</v>
      </c>
      <c r="F197" s="1">
        <f t="shared" si="6"/>
        <v>0.69784198644821049</v>
      </c>
      <c r="G197" s="1">
        <f t="shared" si="7"/>
        <v>0.30215801355178951</v>
      </c>
    </row>
    <row r="198" spans="1:7" x14ac:dyDescent="0.25">
      <c r="A198">
        <v>200906</v>
      </c>
      <c r="B198">
        <f>VLOOKUP(A198,Sheet1!I:J,2,0)</f>
        <v>17114835000</v>
      </c>
      <c r="C198">
        <f>VLOOKUP(A198,Sheet1!O:P,2,0)+VLOOKUP(A198,Sheet1!T:U,2,0)</f>
        <v>5923179875.8999996</v>
      </c>
      <c r="E198">
        <v>200906</v>
      </c>
      <c r="F198" s="1">
        <f t="shared" si="6"/>
        <v>0.7428953880008029</v>
      </c>
      <c r="G198" s="1">
        <f t="shared" si="7"/>
        <v>0.2571046119991971</v>
      </c>
    </row>
    <row r="199" spans="1:7" x14ac:dyDescent="0.25">
      <c r="A199">
        <v>200907</v>
      </c>
      <c r="B199">
        <f>VLOOKUP(A199,Sheet1!I:J,2,0)</f>
        <v>16300971108</v>
      </c>
      <c r="C199">
        <f>VLOOKUP(A199,Sheet1!O:P,2,0)+VLOOKUP(A199,Sheet1!T:U,2,0)</f>
        <v>5810394922.54</v>
      </c>
      <c r="E199">
        <v>200907</v>
      </c>
      <c r="F199" s="1">
        <f t="shared" si="6"/>
        <v>0.73722134966628738</v>
      </c>
      <c r="G199" s="1">
        <f t="shared" si="7"/>
        <v>0.26277865033371262</v>
      </c>
    </row>
    <row r="200" spans="1:7" x14ac:dyDescent="0.25">
      <c r="A200">
        <v>200908</v>
      </c>
      <c r="B200">
        <f>VLOOKUP(A200,Sheet1!I:J,2,0)</f>
        <v>13765789000</v>
      </c>
      <c r="C200">
        <f>VLOOKUP(A200,Sheet1!O:P,2,0)+VLOOKUP(A200,Sheet1!T:U,2,0)</f>
        <v>4705782440.6000004</v>
      </c>
      <c r="E200">
        <v>200908</v>
      </c>
      <c r="F200" s="1">
        <f t="shared" si="6"/>
        <v>0.74524190019605907</v>
      </c>
      <c r="G200" s="1">
        <f t="shared" si="7"/>
        <v>0.25475809980394093</v>
      </c>
    </row>
    <row r="201" spans="1:7" x14ac:dyDescent="0.25">
      <c r="A201">
        <v>200909</v>
      </c>
      <c r="B201">
        <f>VLOOKUP(A201,Sheet1!I:J,2,0)</f>
        <v>12717446000</v>
      </c>
      <c r="C201">
        <f>VLOOKUP(A201,Sheet1!O:P,2,0)+VLOOKUP(A201,Sheet1!T:U,2,0)</f>
        <v>3499172150.5100002</v>
      </c>
      <c r="E201">
        <v>200909</v>
      </c>
      <c r="F201" s="1">
        <f t="shared" si="6"/>
        <v>0.78422306562111699</v>
      </c>
      <c r="G201" s="1">
        <f t="shared" si="7"/>
        <v>0.21577693437888301</v>
      </c>
    </row>
    <row r="202" spans="1:7" x14ac:dyDescent="0.25">
      <c r="A202">
        <v>200910</v>
      </c>
      <c r="B202">
        <f>VLOOKUP(A202,Sheet1!I:J,2,0)</f>
        <v>13486251000</v>
      </c>
      <c r="C202">
        <f>VLOOKUP(A202,Sheet1!O:P,2,0)+VLOOKUP(A202,Sheet1!T:U,2,0)</f>
        <v>3141760352.3000002</v>
      </c>
      <c r="E202">
        <v>200910</v>
      </c>
      <c r="F202" s="1">
        <f t="shared" si="6"/>
        <v>0.81105615784503127</v>
      </c>
      <c r="G202" s="1">
        <f t="shared" si="7"/>
        <v>0.18894384215496873</v>
      </c>
    </row>
    <row r="203" spans="1:7" x14ac:dyDescent="0.25">
      <c r="A203">
        <v>200911</v>
      </c>
      <c r="B203">
        <f>VLOOKUP(A203,Sheet1!I:J,2,0)</f>
        <v>16081394000</v>
      </c>
      <c r="C203">
        <f>VLOOKUP(A203,Sheet1!O:P,2,0)+VLOOKUP(A203,Sheet1!T:U,2,0)</f>
        <v>3664964436.04</v>
      </c>
      <c r="E203">
        <v>200911</v>
      </c>
      <c r="F203" s="1">
        <f t="shared" si="6"/>
        <v>0.81439795859519581</v>
      </c>
      <c r="G203" s="1">
        <f t="shared" si="7"/>
        <v>0.18560204140480419</v>
      </c>
    </row>
    <row r="204" spans="1:7" x14ac:dyDescent="0.25">
      <c r="A204">
        <v>200912</v>
      </c>
      <c r="B204">
        <f>VLOOKUP(A204,Sheet1!I:J,2,0)</f>
        <v>16644857384</v>
      </c>
      <c r="C204">
        <f>VLOOKUP(A204,Sheet1!O:P,2,0)+VLOOKUP(A204,Sheet1!T:U,2,0)</f>
        <v>3871010473.2200003</v>
      </c>
      <c r="E204">
        <v>200912</v>
      </c>
      <c r="F204" s="1">
        <f t="shared" si="6"/>
        <v>0.81131626991554717</v>
      </c>
      <c r="G204" s="1">
        <f t="shared" si="7"/>
        <v>0.18868373008445283</v>
      </c>
    </row>
    <row r="205" spans="1:7" x14ac:dyDescent="0.25">
      <c r="A205">
        <v>201001</v>
      </c>
      <c r="B205">
        <f>VLOOKUP(A205,Sheet1!I:J,2,0)</f>
        <v>13266855000</v>
      </c>
      <c r="C205">
        <f>VLOOKUP(A205,Sheet1!O:P,2,0)+VLOOKUP(A205,Sheet1!T:U,2,0)</f>
        <v>3796754571.8499999</v>
      </c>
      <c r="E205">
        <v>201001</v>
      </c>
      <c r="F205" s="1">
        <f t="shared" si="6"/>
        <v>0.77749405506127245</v>
      </c>
      <c r="G205" s="1">
        <f t="shared" si="7"/>
        <v>0.22250594493872755</v>
      </c>
    </row>
    <row r="206" spans="1:7" x14ac:dyDescent="0.25">
      <c r="A206">
        <v>201002</v>
      </c>
      <c r="B206">
        <f>VLOOKUP(A206,Sheet1!I:J,2,0)</f>
        <v>8793130000</v>
      </c>
      <c r="C206">
        <f>VLOOKUP(A206,Sheet1!O:P,2,0)+VLOOKUP(A206,Sheet1!T:U,2,0)</f>
        <v>3048236369.4000001</v>
      </c>
      <c r="E206">
        <v>201002</v>
      </c>
      <c r="F206" s="1">
        <f t="shared" si="6"/>
        <v>0.74257731124026916</v>
      </c>
      <c r="G206" s="1">
        <f t="shared" si="7"/>
        <v>0.25742268875973084</v>
      </c>
    </row>
    <row r="207" spans="1:7" x14ac:dyDescent="0.25">
      <c r="A207">
        <v>201003</v>
      </c>
      <c r="B207">
        <f>VLOOKUP(A207,Sheet1!I:J,2,0)</f>
        <v>8661501000</v>
      </c>
      <c r="C207">
        <f>VLOOKUP(A207,Sheet1!O:P,2,0)+VLOOKUP(A207,Sheet1!T:U,2,0)</f>
        <v>2695523137.3599997</v>
      </c>
      <c r="E207">
        <v>201003</v>
      </c>
      <c r="F207" s="1">
        <f t="shared" si="6"/>
        <v>0.76265585907378475</v>
      </c>
      <c r="G207" s="1">
        <f t="shared" si="7"/>
        <v>0.23734414092621525</v>
      </c>
    </row>
    <row r="208" spans="1:7" x14ac:dyDescent="0.25">
      <c r="A208">
        <v>201004</v>
      </c>
      <c r="B208">
        <f>VLOOKUP(A208,Sheet1!I:J,2,0)</f>
        <v>12493490000</v>
      </c>
      <c r="C208">
        <f>VLOOKUP(A208,Sheet1!O:P,2,0)+VLOOKUP(A208,Sheet1!T:U,2,0)</f>
        <v>3553736959.6999998</v>
      </c>
      <c r="E208">
        <v>201004</v>
      </c>
      <c r="F208" s="1">
        <f t="shared" si="6"/>
        <v>0.77854510510603281</v>
      </c>
      <c r="G208" s="1">
        <f t="shared" si="7"/>
        <v>0.22145489489396719</v>
      </c>
    </row>
    <row r="209" spans="1:7" x14ac:dyDescent="0.25">
      <c r="A209">
        <v>201005</v>
      </c>
      <c r="B209">
        <f>VLOOKUP(A209,Sheet1!I:J,2,0)</f>
        <v>13645857108</v>
      </c>
      <c r="C209">
        <f>VLOOKUP(A209,Sheet1!O:P,2,0)+VLOOKUP(A209,Sheet1!T:U,2,0)</f>
        <v>3812391718.1800003</v>
      </c>
      <c r="E209">
        <v>201005</v>
      </c>
      <c r="F209" s="1">
        <f t="shared" si="6"/>
        <v>0.78162805696393656</v>
      </c>
      <c r="G209" s="1">
        <f t="shared" si="7"/>
        <v>0.21837194303606344</v>
      </c>
    </row>
    <row r="210" spans="1:7" x14ac:dyDescent="0.25">
      <c r="A210">
        <v>201006</v>
      </c>
      <c r="B210">
        <f>VLOOKUP(A210,Sheet1!I:J,2,0)</f>
        <v>14382005442</v>
      </c>
      <c r="C210">
        <f>VLOOKUP(A210,Sheet1!O:P,2,0)+VLOOKUP(A210,Sheet1!T:U,2,0)</f>
        <v>3820508648.2600002</v>
      </c>
      <c r="E210">
        <v>201006</v>
      </c>
      <c r="F210" s="1">
        <f t="shared" si="6"/>
        <v>0.79011093581274461</v>
      </c>
      <c r="G210" s="1">
        <f t="shared" si="7"/>
        <v>0.20988906418725539</v>
      </c>
    </row>
    <row r="211" spans="1:7" x14ac:dyDescent="0.25">
      <c r="A211">
        <v>201007</v>
      </c>
      <c r="B211">
        <f>VLOOKUP(A211,Sheet1!I:J,2,0)</f>
        <v>17091212000</v>
      </c>
      <c r="C211">
        <f>VLOOKUP(A211,Sheet1!O:P,2,0)+VLOOKUP(A211,Sheet1!T:U,2,0)</f>
        <v>4814559652.1999998</v>
      </c>
      <c r="E211">
        <v>201007</v>
      </c>
      <c r="F211" s="1">
        <f t="shared" si="6"/>
        <v>0.78021501690781692</v>
      </c>
      <c r="G211" s="1">
        <f t="shared" si="7"/>
        <v>0.21978498309218308</v>
      </c>
    </row>
    <row r="212" spans="1:7" x14ac:dyDescent="0.25">
      <c r="A212">
        <v>201008</v>
      </c>
      <c r="B212">
        <f>VLOOKUP(A212,Sheet1!I:J,2,0)</f>
        <v>12511641205</v>
      </c>
      <c r="C212">
        <f>VLOOKUP(A212,Sheet1!O:P,2,0)+VLOOKUP(A212,Sheet1!T:U,2,0)</f>
        <v>4420068214.4699993</v>
      </c>
      <c r="E212">
        <v>201008</v>
      </c>
      <c r="F212" s="1">
        <f t="shared" si="6"/>
        <v>0.73894731447568407</v>
      </c>
      <c r="G212" s="1">
        <f t="shared" si="7"/>
        <v>0.26105268552431593</v>
      </c>
    </row>
    <row r="213" spans="1:7" x14ac:dyDescent="0.25">
      <c r="A213">
        <v>201009</v>
      </c>
      <c r="B213">
        <f>VLOOKUP(A213,Sheet1!I:J,2,0)</f>
        <v>16122616000</v>
      </c>
      <c r="C213">
        <f>VLOOKUP(A213,Sheet1!O:P,2,0)+VLOOKUP(A213,Sheet1!T:U,2,0)</f>
        <v>5666199802.7199993</v>
      </c>
      <c r="E213">
        <v>201009</v>
      </c>
      <c r="F213" s="1">
        <f t="shared" si="6"/>
        <v>0.73994916226642005</v>
      </c>
      <c r="G213" s="1">
        <f t="shared" si="7"/>
        <v>0.26005083773357995</v>
      </c>
    </row>
    <row r="214" spans="1:7" x14ac:dyDescent="0.25">
      <c r="A214">
        <v>201010</v>
      </c>
      <c r="B214">
        <f>VLOOKUP(A214,Sheet1!I:J,2,0)</f>
        <v>17566326067</v>
      </c>
      <c r="C214">
        <f>VLOOKUP(A214,Sheet1!O:P,2,0)+VLOOKUP(A214,Sheet1!T:U,2,0)</f>
        <v>5948757800.1999998</v>
      </c>
      <c r="E214">
        <v>201010</v>
      </c>
      <c r="F214" s="1">
        <f t="shared" si="6"/>
        <v>0.74702374723410525</v>
      </c>
      <c r="G214" s="1">
        <f t="shared" si="7"/>
        <v>0.25297625276589475</v>
      </c>
    </row>
    <row r="215" spans="1:7" x14ac:dyDescent="0.25">
      <c r="A215">
        <v>201011</v>
      </c>
      <c r="B215">
        <f>VLOOKUP(A215,Sheet1!I:J,2,0)</f>
        <v>17284727407</v>
      </c>
      <c r="C215">
        <f>VLOOKUP(A215,Sheet1!O:P,2,0)+VLOOKUP(A215,Sheet1!T:U,2,0)</f>
        <v>6323875561.5500002</v>
      </c>
      <c r="E215">
        <v>201011</v>
      </c>
      <c r="F215" s="1">
        <f t="shared" si="6"/>
        <v>0.73213681597448621</v>
      </c>
      <c r="G215" s="1">
        <f t="shared" si="7"/>
        <v>0.26786318402551379</v>
      </c>
    </row>
    <row r="216" spans="1:7" x14ac:dyDescent="0.25">
      <c r="A216">
        <v>201012</v>
      </c>
      <c r="B216">
        <f>VLOOKUP(A216,Sheet1!I:J,2,0)</f>
        <v>15216488000</v>
      </c>
      <c r="C216">
        <f>VLOOKUP(A216,Sheet1!O:P,2,0)+VLOOKUP(A216,Sheet1!T:U,2,0)</f>
        <v>6444368192.1900005</v>
      </c>
      <c r="E216">
        <v>201012</v>
      </c>
      <c r="F216" s="1">
        <f t="shared" si="6"/>
        <v>0.70248783635276746</v>
      </c>
      <c r="G216" s="1">
        <f t="shared" si="7"/>
        <v>0.29751216364723254</v>
      </c>
    </row>
    <row r="217" spans="1:7" x14ac:dyDescent="0.25">
      <c r="A217">
        <v>201101</v>
      </c>
      <c r="B217">
        <f>VLOOKUP(A217,Sheet1!I:J,2,0)</f>
        <v>12743226000</v>
      </c>
      <c r="C217">
        <f>VLOOKUP(A217,Sheet1!O:P,2,0)+VLOOKUP(A217,Sheet1!T:U,2,0)</f>
        <v>6466576083.4699993</v>
      </c>
      <c r="E217">
        <v>201101</v>
      </c>
      <c r="F217" s="1">
        <f t="shared" si="6"/>
        <v>0.66337101989017999</v>
      </c>
      <c r="G217" s="1">
        <f t="shared" si="7"/>
        <v>0.33662898010982001</v>
      </c>
    </row>
    <row r="218" spans="1:7" x14ac:dyDescent="0.25">
      <c r="A218">
        <v>201102</v>
      </c>
      <c r="B218">
        <f>VLOOKUP(A218,Sheet1!I:J,2,0)</f>
        <v>8149776000</v>
      </c>
      <c r="C218">
        <f>VLOOKUP(A218,Sheet1!O:P,2,0)+VLOOKUP(A218,Sheet1!T:U,2,0)</f>
        <v>4571932201.96</v>
      </c>
      <c r="E218">
        <v>201102</v>
      </c>
      <c r="F218" s="1">
        <f t="shared" si="6"/>
        <v>0.64061962989721666</v>
      </c>
      <c r="G218" s="1">
        <f t="shared" si="7"/>
        <v>0.35938037010278334</v>
      </c>
    </row>
    <row r="219" spans="1:7" x14ac:dyDescent="0.25">
      <c r="A219">
        <v>201103</v>
      </c>
      <c r="B219">
        <f>VLOOKUP(A219,Sheet1!I:J,2,0)</f>
        <v>7276767000</v>
      </c>
      <c r="C219">
        <f>VLOOKUP(A219,Sheet1!O:P,2,0)+VLOOKUP(A219,Sheet1!T:U,2,0)</f>
        <v>3539260729.6900001</v>
      </c>
      <c r="E219">
        <v>201103</v>
      </c>
      <c r="F219" s="1">
        <f t="shared" si="6"/>
        <v>0.67277628921246857</v>
      </c>
      <c r="G219" s="1">
        <f t="shared" si="7"/>
        <v>0.32722371078753143</v>
      </c>
    </row>
    <row r="220" spans="1:7" x14ac:dyDescent="0.25">
      <c r="A220">
        <v>201104</v>
      </c>
      <c r="B220">
        <f>VLOOKUP(A220,Sheet1!I:J,2,0)</f>
        <v>8906186114</v>
      </c>
      <c r="C220">
        <f>VLOOKUP(A220,Sheet1!O:P,2,0)+VLOOKUP(A220,Sheet1!T:U,2,0)</f>
        <v>3777564481.52</v>
      </c>
      <c r="E220">
        <v>201104</v>
      </c>
      <c r="F220" s="1">
        <f t="shared" si="6"/>
        <v>0.70217291383399905</v>
      </c>
      <c r="G220" s="1">
        <f t="shared" si="7"/>
        <v>0.29782708616600095</v>
      </c>
    </row>
    <row r="221" spans="1:7" x14ac:dyDescent="0.25">
      <c r="A221">
        <v>201105</v>
      </c>
      <c r="B221">
        <f>VLOOKUP(A221,Sheet1!I:J,2,0)</f>
        <v>9037416000</v>
      </c>
      <c r="C221">
        <f>VLOOKUP(A221,Sheet1!O:P,2,0)+VLOOKUP(A221,Sheet1!T:U,2,0)</f>
        <v>3893806672.96</v>
      </c>
      <c r="E221">
        <v>201105</v>
      </c>
      <c r="F221" s="1">
        <f t="shared" si="6"/>
        <v>0.69888333288837456</v>
      </c>
      <c r="G221" s="1">
        <f t="shared" si="7"/>
        <v>0.30111666711162544</v>
      </c>
    </row>
    <row r="222" spans="1:7" x14ac:dyDescent="0.25">
      <c r="A222">
        <v>201106</v>
      </c>
      <c r="B222">
        <f>VLOOKUP(A222,Sheet1!I:J,2,0)</f>
        <v>9400774000</v>
      </c>
      <c r="C222">
        <f>VLOOKUP(A222,Sheet1!O:P,2,0)+VLOOKUP(A222,Sheet1!T:U,2,0)</f>
        <v>4377247892.29</v>
      </c>
      <c r="E222">
        <v>201106</v>
      </c>
      <c r="F222" s="1">
        <f t="shared" si="6"/>
        <v>0.68230215291358687</v>
      </c>
      <c r="G222" s="1">
        <f t="shared" si="7"/>
        <v>0.31769784708641313</v>
      </c>
    </row>
    <row r="223" spans="1:7" x14ac:dyDescent="0.25">
      <c r="A223">
        <v>201107</v>
      </c>
      <c r="B223">
        <f>VLOOKUP(A223,Sheet1!I:J,2,0)</f>
        <v>10073797250</v>
      </c>
      <c r="C223">
        <f>VLOOKUP(A223,Sheet1!O:P,2,0)+VLOOKUP(A223,Sheet1!T:U,2,0)</f>
        <v>5675509591.5200005</v>
      </c>
      <c r="E223">
        <v>201107</v>
      </c>
      <c r="F223" s="1">
        <f t="shared" si="6"/>
        <v>0.63963432494961514</v>
      </c>
      <c r="G223" s="1">
        <f t="shared" si="7"/>
        <v>0.36036567505038486</v>
      </c>
    </row>
    <row r="224" spans="1:7" x14ac:dyDescent="0.25">
      <c r="A224">
        <v>201108</v>
      </c>
      <c r="B224">
        <f>VLOOKUP(A224,Sheet1!I:J,2,0)</f>
        <v>9246027000</v>
      </c>
      <c r="C224">
        <f>VLOOKUP(A224,Sheet1!O:P,2,0)+VLOOKUP(A224,Sheet1!T:U,2,0)</f>
        <v>5766583550.1700001</v>
      </c>
      <c r="E224">
        <v>201108</v>
      </c>
      <c r="F224" s="1">
        <f t="shared" si="6"/>
        <v>0.61588402424089395</v>
      </c>
      <c r="G224" s="1">
        <f t="shared" si="7"/>
        <v>0.38411597575910605</v>
      </c>
    </row>
    <row r="225" spans="1:7" x14ac:dyDescent="0.25">
      <c r="A225">
        <v>201109</v>
      </c>
      <c r="B225">
        <f>VLOOKUP(A225,Sheet1!I:J,2,0)</f>
        <v>10194419544</v>
      </c>
      <c r="C225">
        <f>VLOOKUP(A225,Sheet1!O:P,2,0)+VLOOKUP(A225,Sheet1!T:U,2,0)</f>
        <v>6565474477.0100002</v>
      </c>
      <c r="E225">
        <v>201109</v>
      </c>
      <c r="F225" s="1">
        <f t="shared" si="6"/>
        <v>0.60826276891849074</v>
      </c>
      <c r="G225" s="1">
        <f t="shared" si="7"/>
        <v>0.39173723108150926</v>
      </c>
    </row>
    <row r="226" spans="1:7" x14ac:dyDescent="0.25">
      <c r="A226">
        <v>201110</v>
      </c>
      <c r="B226">
        <f>VLOOKUP(A226,Sheet1!I:J,2,0)</f>
        <v>10570173000</v>
      </c>
      <c r="C226">
        <f>VLOOKUP(A226,Sheet1!O:P,2,0)+VLOOKUP(A226,Sheet1!T:U,2,0)</f>
        <v>7410897293.1300001</v>
      </c>
      <c r="E226">
        <v>201110</v>
      </c>
      <c r="F226" s="1">
        <f t="shared" si="6"/>
        <v>0.58785004605863367</v>
      </c>
      <c r="G226" s="1">
        <f t="shared" si="7"/>
        <v>0.41214995394136633</v>
      </c>
    </row>
    <row r="227" spans="1:7" x14ac:dyDescent="0.25">
      <c r="A227">
        <v>201111</v>
      </c>
      <c r="B227">
        <f>VLOOKUP(A227,Sheet1!I:J,2,0)</f>
        <v>11283620000</v>
      </c>
      <c r="C227">
        <f>VLOOKUP(A227,Sheet1!O:P,2,0)+VLOOKUP(A227,Sheet1!T:U,2,0)</f>
        <v>7985480839.2299995</v>
      </c>
      <c r="E227">
        <v>201111</v>
      </c>
      <c r="F227" s="1">
        <f t="shared" si="6"/>
        <v>0.58558103432764519</v>
      </c>
      <c r="G227" s="1">
        <f t="shared" si="7"/>
        <v>0.41441896567235481</v>
      </c>
    </row>
    <row r="228" spans="1:7" x14ac:dyDescent="0.25">
      <c r="A228">
        <v>201112</v>
      </c>
      <c r="B228">
        <f>VLOOKUP(A228,Sheet1!I:J,2,0)</f>
        <v>11317918385</v>
      </c>
      <c r="C228">
        <f>VLOOKUP(A228,Sheet1!O:P,2,0)+VLOOKUP(A228,Sheet1!T:U,2,0)</f>
        <v>7932257207.2700005</v>
      </c>
      <c r="E228">
        <v>201112</v>
      </c>
      <c r="F228" s="1">
        <f t="shared" si="6"/>
        <v>0.58793844922353666</v>
      </c>
      <c r="G228" s="1">
        <f t="shared" si="7"/>
        <v>0.41206155077646334</v>
      </c>
    </row>
    <row r="229" spans="1:7" x14ac:dyDescent="0.25">
      <c r="A229">
        <v>201201</v>
      </c>
      <c r="B229">
        <f>VLOOKUP(A229,Sheet1!I:J,2,0)</f>
        <v>12183087193</v>
      </c>
      <c r="C229">
        <f>VLOOKUP(A229,Sheet1!O:P,2,0)+VLOOKUP(A229,Sheet1!T:U,2,0)</f>
        <v>8003610830.7399998</v>
      </c>
      <c r="E229">
        <v>201201</v>
      </c>
      <c r="F229" s="1">
        <f t="shared" si="6"/>
        <v>0.60352055490563261</v>
      </c>
      <c r="G229" s="1">
        <f t="shared" si="7"/>
        <v>0.39647944509436739</v>
      </c>
    </row>
    <row r="230" spans="1:7" x14ac:dyDescent="0.25">
      <c r="A230">
        <v>201202</v>
      </c>
      <c r="B230">
        <f>VLOOKUP(A230,Sheet1!I:J,2,0)</f>
        <v>10526543960</v>
      </c>
      <c r="C230">
        <f>VLOOKUP(A230,Sheet1!O:P,2,0)+VLOOKUP(A230,Sheet1!T:U,2,0)</f>
        <v>7284033482.5900002</v>
      </c>
      <c r="E230">
        <v>201202</v>
      </c>
      <c r="F230" s="1">
        <f t="shared" si="6"/>
        <v>0.59102766285545194</v>
      </c>
      <c r="G230" s="1">
        <f t="shared" si="7"/>
        <v>0.40897233714454806</v>
      </c>
    </row>
    <row r="231" spans="1:7" x14ac:dyDescent="0.25">
      <c r="A231">
        <v>201203</v>
      </c>
      <c r="B231">
        <f>VLOOKUP(A231,Sheet1!I:J,2,0)</f>
        <v>12475365349</v>
      </c>
      <c r="C231">
        <f>VLOOKUP(A231,Sheet1!O:P,2,0)+VLOOKUP(A231,Sheet1!T:U,2,0)</f>
        <v>8762705953.9899998</v>
      </c>
      <c r="E231">
        <v>201203</v>
      </c>
      <c r="F231" s="1">
        <f t="shared" si="6"/>
        <v>0.58740575690805119</v>
      </c>
      <c r="G231" s="1">
        <f t="shared" si="7"/>
        <v>0.41259424309194881</v>
      </c>
    </row>
    <row r="232" spans="1:7" x14ac:dyDescent="0.25">
      <c r="A232">
        <v>201204</v>
      </c>
      <c r="B232">
        <f>VLOOKUP(A232,Sheet1!I:J,2,0)</f>
        <v>15624476096</v>
      </c>
      <c r="C232">
        <f>VLOOKUP(A232,Sheet1!O:P,2,0)+VLOOKUP(A232,Sheet1!T:U,2,0)</f>
        <v>10834352881.220001</v>
      </c>
      <c r="E232">
        <v>201204</v>
      </c>
      <c r="F232" s="1">
        <f t="shared" si="6"/>
        <v>0.59052031779078551</v>
      </c>
      <c r="G232" s="1">
        <f t="shared" si="7"/>
        <v>0.40947968220921449</v>
      </c>
    </row>
    <row r="233" spans="1:7" x14ac:dyDescent="0.25">
      <c r="A233">
        <v>201205</v>
      </c>
      <c r="B233">
        <f>VLOOKUP(A233,Sheet1!I:J,2,0)</f>
        <v>15513540990</v>
      </c>
      <c r="C233">
        <f>VLOOKUP(A233,Sheet1!O:P,2,0)+VLOOKUP(A233,Sheet1!T:U,2,0)</f>
        <v>12115291891.67</v>
      </c>
      <c r="E233">
        <v>201205</v>
      </c>
      <c r="F233" s="1">
        <f t="shared" si="6"/>
        <v>0.5614982383237862</v>
      </c>
      <c r="G233" s="1">
        <f t="shared" si="7"/>
        <v>0.4385017616762138</v>
      </c>
    </row>
    <row r="234" spans="1:7" x14ac:dyDescent="0.25">
      <c r="A234">
        <v>201206</v>
      </c>
      <c r="B234">
        <f>VLOOKUP(A234,Sheet1!I:J,2,0)</f>
        <v>15182407897</v>
      </c>
      <c r="C234">
        <f>VLOOKUP(A234,Sheet1!O:P,2,0)+VLOOKUP(A234,Sheet1!T:U,2,0)</f>
        <v>14566500522.17</v>
      </c>
      <c r="E234">
        <v>201206</v>
      </c>
      <c r="F234" s="1">
        <f t="shared" si="6"/>
        <v>0.51035176427571227</v>
      </c>
      <c r="G234" s="1">
        <f t="shared" si="7"/>
        <v>0.48964823572428773</v>
      </c>
    </row>
    <row r="235" spans="1:7" x14ac:dyDescent="0.25">
      <c r="A235">
        <v>201207</v>
      </c>
      <c r="B235">
        <f>VLOOKUP(A235,Sheet1!I:J,2,0)</f>
        <v>16865630761</v>
      </c>
      <c r="C235">
        <f>VLOOKUP(A235,Sheet1!O:P,2,0)+VLOOKUP(A235,Sheet1!T:U,2,0)</f>
        <v>16436466021.129999</v>
      </c>
      <c r="E235">
        <v>201207</v>
      </c>
      <c r="F235" s="1">
        <f t="shared" si="6"/>
        <v>0.50644350928828441</v>
      </c>
      <c r="G235" s="1">
        <f t="shared" si="7"/>
        <v>0.49355649071171559</v>
      </c>
    </row>
    <row r="236" spans="1:7" x14ac:dyDescent="0.25">
      <c r="A236">
        <v>201208</v>
      </c>
      <c r="B236">
        <f>VLOOKUP(A236,Sheet1!I:J,2,0)</f>
        <v>19345775365</v>
      </c>
      <c r="C236">
        <f>VLOOKUP(A236,Sheet1!O:P,2,0)+VLOOKUP(A236,Sheet1!T:U,2,0)</f>
        <v>16597062211.15</v>
      </c>
      <c r="E236">
        <v>201208</v>
      </c>
      <c r="F236" s="1">
        <f t="shared" si="6"/>
        <v>0.53823728646947333</v>
      </c>
      <c r="G236" s="1">
        <f t="shared" si="7"/>
        <v>0.46176271353052667</v>
      </c>
    </row>
    <row r="237" spans="1:7" x14ac:dyDescent="0.25">
      <c r="A237">
        <v>201209</v>
      </c>
      <c r="B237">
        <f>VLOOKUP(A237,Sheet1!I:J,2,0)</f>
        <v>21227081040</v>
      </c>
      <c r="C237">
        <f>VLOOKUP(A237,Sheet1!O:P,2,0)+VLOOKUP(A237,Sheet1!T:U,2,0)</f>
        <v>17621094633.650002</v>
      </c>
      <c r="E237">
        <v>201209</v>
      </c>
      <c r="F237" s="1">
        <f t="shared" si="6"/>
        <v>0.54641127084888919</v>
      </c>
      <c r="G237" s="1">
        <f t="shared" si="7"/>
        <v>0.45358872915111081</v>
      </c>
    </row>
    <row r="238" spans="1:7" x14ac:dyDescent="0.25">
      <c r="A238">
        <v>201210</v>
      </c>
      <c r="B238">
        <f>VLOOKUP(A238,Sheet1!I:J,2,0)</f>
        <v>18590246000</v>
      </c>
      <c r="C238">
        <f>VLOOKUP(A238,Sheet1!O:P,2,0)+VLOOKUP(A238,Sheet1!T:U,2,0)</f>
        <v>15718511509.9</v>
      </c>
      <c r="E238">
        <v>201210</v>
      </c>
      <c r="F238" s="1">
        <f t="shared" si="6"/>
        <v>0.54185133328234547</v>
      </c>
      <c r="G238" s="1">
        <f t="shared" si="7"/>
        <v>0.45814866671765453</v>
      </c>
    </row>
    <row r="239" spans="1:7" x14ac:dyDescent="0.25">
      <c r="A239">
        <v>201211</v>
      </c>
      <c r="B239">
        <f>VLOOKUP(A239,Sheet1!I:J,2,0)</f>
        <v>21204397273</v>
      </c>
      <c r="C239">
        <f>VLOOKUP(A239,Sheet1!O:P,2,0)+VLOOKUP(A239,Sheet1!T:U,2,0)</f>
        <v>17633686803.299999</v>
      </c>
      <c r="E239">
        <v>201211</v>
      </c>
      <c r="F239" s="1">
        <f t="shared" si="6"/>
        <v>0.54596918919436266</v>
      </c>
      <c r="G239" s="1">
        <f t="shared" si="7"/>
        <v>0.45403081080563734</v>
      </c>
    </row>
    <row r="240" spans="1:7" x14ac:dyDescent="0.25">
      <c r="A240">
        <v>201212</v>
      </c>
      <c r="B240">
        <f>VLOOKUP(A240,Sheet1!I:J,2,0)</f>
        <v>19442438000</v>
      </c>
      <c r="C240">
        <f>VLOOKUP(A240,Sheet1!O:P,2,0)+VLOOKUP(A240,Sheet1!T:U,2,0)</f>
        <v>16604515757.58</v>
      </c>
      <c r="E240">
        <v>201212</v>
      </c>
      <c r="F240" s="1">
        <f t="shared" si="6"/>
        <v>0.53936424505528757</v>
      </c>
      <c r="G240" s="1">
        <f t="shared" si="7"/>
        <v>0.46063575494471243</v>
      </c>
    </row>
    <row r="241" spans="1:7" x14ac:dyDescent="0.25">
      <c r="A241">
        <v>201301</v>
      </c>
      <c r="B241">
        <f>VLOOKUP(A241,Sheet1!I:J,2,0)</f>
        <v>19760995000</v>
      </c>
      <c r="C241">
        <f>VLOOKUP(A241,Sheet1!O:P,2,0)+VLOOKUP(A241,Sheet1!T:U,2,0)</f>
        <v>16929908668.41</v>
      </c>
      <c r="E241">
        <v>201301</v>
      </c>
      <c r="F241" s="1">
        <f t="shared" si="6"/>
        <v>0.53858022082497103</v>
      </c>
      <c r="G241" s="1">
        <f t="shared" si="7"/>
        <v>0.46141977917502897</v>
      </c>
    </row>
    <row r="242" spans="1:7" x14ac:dyDescent="0.25">
      <c r="A242">
        <v>201302</v>
      </c>
      <c r="B242">
        <f>VLOOKUP(A242,Sheet1!I:J,2,0)</f>
        <v>17735788424</v>
      </c>
      <c r="C242">
        <f>VLOOKUP(A242,Sheet1!O:P,2,0)+VLOOKUP(A242,Sheet1!T:U,2,0)</f>
        <v>15945780308.83</v>
      </c>
      <c r="E242">
        <v>201302</v>
      </c>
      <c r="F242" s="1">
        <f t="shared" si="6"/>
        <v>0.52657251699540419</v>
      </c>
      <c r="G242" s="1">
        <f t="shared" si="7"/>
        <v>0.47342748300459581</v>
      </c>
    </row>
    <row r="243" spans="1:7" x14ac:dyDescent="0.25">
      <c r="A243">
        <v>201303</v>
      </c>
      <c r="B243">
        <f>VLOOKUP(A243,Sheet1!I:J,2,0)</f>
        <v>16289737401</v>
      </c>
      <c r="C243">
        <f>VLOOKUP(A243,Sheet1!O:P,2,0)+VLOOKUP(A243,Sheet1!T:U,2,0)</f>
        <v>15018933802.440001</v>
      </c>
      <c r="E243">
        <v>201303</v>
      </c>
      <c r="F243" s="1">
        <f t="shared" si="6"/>
        <v>0.52029475461130992</v>
      </c>
      <c r="G243" s="1">
        <f t="shared" si="7"/>
        <v>0.47970524538869008</v>
      </c>
    </row>
    <row r="244" spans="1:7" x14ac:dyDescent="0.25">
      <c r="A244">
        <v>201304</v>
      </c>
      <c r="B244">
        <f>VLOOKUP(A244,Sheet1!I:J,2,0)</f>
        <v>18576468000</v>
      </c>
      <c r="C244">
        <f>VLOOKUP(A244,Sheet1!O:P,2,0)+VLOOKUP(A244,Sheet1!T:U,2,0)</f>
        <v>17375693291.150002</v>
      </c>
      <c r="E244">
        <v>201304</v>
      </c>
      <c r="F244" s="1">
        <f t="shared" si="6"/>
        <v>0.51669961784947793</v>
      </c>
      <c r="G244" s="1">
        <f t="shared" si="7"/>
        <v>0.48330038215052207</v>
      </c>
    </row>
    <row r="245" spans="1:7" x14ac:dyDescent="0.25">
      <c r="A245">
        <v>201305</v>
      </c>
      <c r="B245">
        <f>VLOOKUP(A245,Sheet1!I:J,2,0)</f>
        <v>19620934425</v>
      </c>
      <c r="C245">
        <f>VLOOKUP(A245,Sheet1!O:P,2,0)+VLOOKUP(A245,Sheet1!T:U,2,0)</f>
        <v>18466377047.299999</v>
      </c>
      <c r="E245">
        <v>201305</v>
      </c>
      <c r="F245" s="1">
        <f t="shared" si="6"/>
        <v>0.51515671929928264</v>
      </c>
      <c r="G245" s="1">
        <f t="shared" si="7"/>
        <v>0.48484328070071736</v>
      </c>
    </row>
    <row r="246" spans="1:7" x14ac:dyDescent="0.25">
      <c r="A246">
        <v>201306</v>
      </c>
      <c r="B246">
        <f>VLOOKUP(A246,Sheet1!I:J,2,0)</f>
        <v>18423791911</v>
      </c>
      <c r="C246">
        <f>VLOOKUP(A246,Sheet1!O:P,2,0)+VLOOKUP(A246,Sheet1!T:U,2,0)</f>
        <v>20851161968.459999</v>
      </c>
      <c r="E246">
        <v>201306</v>
      </c>
      <c r="F246" s="1">
        <f t="shared" si="6"/>
        <v>0.46909773509970354</v>
      </c>
      <c r="G246" s="1">
        <f t="shared" si="7"/>
        <v>0.53090226490029646</v>
      </c>
    </row>
    <row r="247" spans="1:7" x14ac:dyDescent="0.25">
      <c r="A247">
        <v>201307</v>
      </c>
      <c r="B247">
        <f>VLOOKUP(A247,Sheet1!I:J,2,0)</f>
        <v>16207776667</v>
      </c>
      <c r="C247">
        <f>VLOOKUP(A247,Sheet1!O:P,2,0)+VLOOKUP(A247,Sheet1!T:U,2,0)</f>
        <v>20547818158.080002</v>
      </c>
      <c r="E247">
        <v>201307</v>
      </c>
      <c r="F247" s="1">
        <f t="shared" si="6"/>
        <v>0.44096080458316245</v>
      </c>
      <c r="G247" s="1">
        <f t="shared" si="7"/>
        <v>0.55903919541683755</v>
      </c>
    </row>
    <row r="248" spans="1:7" x14ac:dyDescent="0.25">
      <c r="A248">
        <v>201308</v>
      </c>
      <c r="B248">
        <f>VLOOKUP(A248,Sheet1!I:J,2,0)</f>
        <v>14861450881</v>
      </c>
      <c r="C248">
        <f>VLOOKUP(A248,Sheet1!O:P,2,0)+VLOOKUP(A248,Sheet1!T:U,2,0)</f>
        <v>19366340227.25</v>
      </c>
      <c r="E248">
        <v>201308</v>
      </c>
      <c r="F248" s="1">
        <f t="shared" si="6"/>
        <v>0.43419252016581089</v>
      </c>
      <c r="G248" s="1">
        <f t="shared" si="7"/>
        <v>0.56580747983418911</v>
      </c>
    </row>
    <row r="249" spans="1:7" x14ac:dyDescent="0.25">
      <c r="A249">
        <v>201309</v>
      </c>
      <c r="B249">
        <f>VLOOKUP(A249,Sheet1!I:J,2,0)</f>
        <v>13117341405</v>
      </c>
      <c r="C249">
        <f>VLOOKUP(A249,Sheet1!O:P,2,0)+VLOOKUP(A249,Sheet1!T:U,2,0)</f>
        <v>17360940701.48</v>
      </c>
      <c r="E249">
        <v>201309</v>
      </c>
      <c r="F249" s="1">
        <f t="shared" si="6"/>
        <v>0.43038322695396003</v>
      </c>
      <c r="G249" s="1">
        <f t="shared" si="7"/>
        <v>0.56961677304603997</v>
      </c>
    </row>
    <row r="250" spans="1:7" x14ac:dyDescent="0.25">
      <c r="A250">
        <v>201310</v>
      </c>
      <c r="B250">
        <f>VLOOKUP(A250,Sheet1!I:J,2,0)</f>
        <v>11129094325</v>
      </c>
      <c r="C250">
        <f>VLOOKUP(A250,Sheet1!O:P,2,0)+VLOOKUP(A250,Sheet1!T:U,2,0)</f>
        <v>13879188364.620001</v>
      </c>
      <c r="E250">
        <v>201310</v>
      </c>
      <c r="F250" s="1">
        <f t="shared" si="6"/>
        <v>0.44501633571261845</v>
      </c>
      <c r="G250" s="1">
        <f t="shared" si="7"/>
        <v>0.55498366428738155</v>
      </c>
    </row>
    <row r="251" spans="1:7" x14ac:dyDescent="0.25">
      <c r="A251">
        <v>201311</v>
      </c>
      <c r="B251">
        <f>VLOOKUP(A251,Sheet1!I:J,2,0)</f>
        <v>10824547968</v>
      </c>
      <c r="C251">
        <f>VLOOKUP(A251,Sheet1!O:P,2,0)+VLOOKUP(A251,Sheet1!T:U,2,0)</f>
        <v>13242527429.73</v>
      </c>
      <c r="E251">
        <v>201311</v>
      </c>
      <c r="F251" s="1">
        <f t="shared" si="6"/>
        <v>0.44976582277300586</v>
      </c>
      <c r="G251" s="1">
        <f t="shared" si="7"/>
        <v>0.55023417722699408</v>
      </c>
    </row>
    <row r="252" spans="1:7" x14ac:dyDescent="0.25">
      <c r="A252">
        <v>201312</v>
      </c>
      <c r="B252">
        <f>VLOOKUP(A252,Sheet1!I:J,2,0)</f>
        <v>9496352965</v>
      </c>
      <c r="C252">
        <f>VLOOKUP(A252,Sheet1!O:P,2,0)+VLOOKUP(A252,Sheet1!T:U,2,0)</f>
        <v>11865622864.889999</v>
      </c>
      <c r="E252">
        <v>201312</v>
      </c>
      <c r="F252" s="1">
        <f t="shared" si="6"/>
        <v>0.44454469196208712</v>
      </c>
      <c r="G252" s="1">
        <f t="shared" si="7"/>
        <v>0.55545530803791288</v>
      </c>
    </row>
    <row r="253" spans="1:7" x14ac:dyDescent="0.25">
      <c r="A253">
        <v>201401</v>
      </c>
      <c r="B253">
        <f>VLOOKUP(A253,Sheet1!I:J,2,0)</f>
        <v>9581800000</v>
      </c>
      <c r="C253">
        <f>VLOOKUP(A253,Sheet1!O:P,2,0)+VLOOKUP(A253,Sheet1!T:U,2,0)</f>
        <v>12007561837.4</v>
      </c>
      <c r="E253">
        <v>201401</v>
      </c>
      <c r="F253" s="1">
        <f t="shared" si="6"/>
        <v>0.4438204367579367</v>
      </c>
      <c r="G253" s="1">
        <f t="shared" si="7"/>
        <v>0.5561795632420633</v>
      </c>
    </row>
    <row r="254" spans="1:7" x14ac:dyDescent="0.25">
      <c r="A254">
        <v>201402</v>
      </c>
      <c r="B254">
        <f>VLOOKUP(A254,Sheet1!I:J,2,0)</f>
        <v>7101352000</v>
      </c>
      <c r="C254">
        <f>VLOOKUP(A254,Sheet1!O:P,2,0)+VLOOKUP(A254,Sheet1!T:U,2,0)</f>
        <v>8343987533.9899998</v>
      </c>
      <c r="E254">
        <v>201402</v>
      </c>
      <c r="F254" s="1">
        <f t="shared" si="6"/>
        <v>0.45977312343133098</v>
      </c>
      <c r="G254" s="1">
        <f t="shared" si="7"/>
        <v>0.54022687656866908</v>
      </c>
    </row>
    <row r="255" spans="1:7" x14ac:dyDescent="0.25">
      <c r="A255">
        <v>201403</v>
      </c>
      <c r="B255">
        <f>VLOOKUP(A255,Sheet1!I:J,2,0)</f>
        <v>7094613000</v>
      </c>
      <c r="C255">
        <f>VLOOKUP(A255,Sheet1!O:P,2,0)+VLOOKUP(A255,Sheet1!T:U,2,0)</f>
        <v>8592918861</v>
      </c>
      <c r="E255">
        <v>201403</v>
      </c>
      <c r="F255" s="1">
        <f t="shared" si="6"/>
        <v>0.45224532851069887</v>
      </c>
      <c r="G255" s="1">
        <f t="shared" si="7"/>
        <v>0.54775467148930113</v>
      </c>
    </row>
    <row r="256" spans="1:7" x14ac:dyDescent="0.25">
      <c r="A256">
        <v>201404</v>
      </c>
      <c r="B256">
        <f>VLOOKUP(A256,Sheet1!I:J,2,0)</f>
        <v>9103458000</v>
      </c>
      <c r="C256">
        <f>VLOOKUP(A256,Sheet1!O:P,2,0)+VLOOKUP(A256,Sheet1!T:U,2,0)</f>
        <v>11180158085.540001</v>
      </c>
      <c r="E256">
        <v>201404</v>
      </c>
      <c r="F256" s="1">
        <f t="shared" si="6"/>
        <v>0.44880843541945015</v>
      </c>
      <c r="G256" s="1">
        <f t="shared" si="7"/>
        <v>0.55119156458054985</v>
      </c>
    </row>
    <row r="257" spans="1:7" x14ac:dyDescent="0.25">
      <c r="A257">
        <v>201405</v>
      </c>
      <c r="B257">
        <f>VLOOKUP(A257,Sheet1!I:J,2,0)</f>
        <v>10114643000</v>
      </c>
      <c r="C257">
        <f>VLOOKUP(A257,Sheet1!O:P,2,0)+VLOOKUP(A257,Sheet1!T:U,2,0)</f>
        <v>12364451900.77</v>
      </c>
      <c r="E257">
        <v>201405</v>
      </c>
      <c r="F257" s="1">
        <f t="shared" si="6"/>
        <v>0.44995775161986312</v>
      </c>
      <c r="G257" s="1">
        <f t="shared" si="7"/>
        <v>0.55004224838013682</v>
      </c>
    </row>
    <row r="258" spans="1:7" x14ac:dyDescent="0.25">
      <c r="A258">
        <v>201406</v>
      </c>
      <c r="B258">
        <f>VLOOKUP(A258,Sheet1!I:J,2,0)</f>
        <v>10888832000</v>
      </c>
      <c r="C258">
        <f>VLOOKUP(A258,Sheet1!O:P,2,0)+VLOOKUP(A258,Sheet1!T:U,2,0)</f>
        <v>14411568347.040001</v>
      </c>
      <c r="E258">
        <v>201406</v>
      </c>
      <c r="F258" s="1">
        <f t="shared" si="6"/>
        <v>0.43038180624181033</v>
      </c>
      <c r="G258" s="1">
        <f t="shared" si="7"/>
        <v>0.56961819375818967</v>
      </c>
    </row>
    <row r="259" spans="1:7" x14ac:dyDescent="0.25">
      <c r="A259">
        <v>201407</v>
      </c>
      <c r="B259">
        <f>VLOOKUP(A259,Sheet1!I:J,2,0)</f>
        <v>11669095000</v>
      </c>
      <c r="C259">
        <f>VLOOKUP(A259,Sheet1!O:P,2,0)+VLOOKUP(A259,Sheet1!T:U,2,0)</f>
        <v>16703374273.059999</v>
      </c>
      <c r="E259">
        <v>201407</v>
      </c>
      <c r="F259" s="1">
        <f t="shared" ref="F259:F279" si="8">B259/(B259+C259)</f>
        <v>0.41128232046690227</v>
      </c>
      <c r="G259" s="1">
        <f t="shared" ref="G259:G279" si="9">1-F259</f>
        <v>0.58871767953309773</v>
      </c>
    </row>
    <row r="260" spans="1:7" x14ac:dyDescent="0.25">
      <c r="A260">
        <v>201408</v>
      </c>
      <c r="B260">
        <f>VLOOKUP(A260,Sheet1!I:J,2,0)</f>
        <v>11842085000</v>
      </c>
      <c r="C260">
        <f>VLOOKUP(A260,Sheet1!O:P,2,0)+VLOOKUP(A260,Sheet1!T:U,2,0)</f>
        <v>16618856394</v>
      </c>
      <c r="E260">
        <v>201408</v>
      </c>
      <c r="F260" s="1">
        <f t="shared" si="8"/>
        <v>0.41608198534488716</v>
      </c>
      <c r="G260" s="1">
        <f t="shared" si="9"/>
        <v>0.58391801465511284</v>
      </c>
    </row>
    <row r="261" spans="1:7" x14ac:dyDescent="0.25">
      <c r="A261">
        <v>201409</v>
      </c>
      <c r="B261">
        <f>VLOOKUP(A261,Sheet1!I:J,2,0)</f>
        <v>11109073000</v>
      </c>
      <c r="C261">
        <f>VLOOKUP(A261,Sheet1!O:P,2,0)+VLOOKUP(A261,Sheet1!T:U,2,0)</f>
        <v>16024715978.110001</v>
      </c>
      <c r="E261">
        <v>201409</v>
      </c>
      <c r="F261" s="1">
        <f t="shared" si="8"/>
        <v>0.40941841955659675</v>
      </c>
      <c r="G261" s="1">
        <f t="shared" si="9"/>
        <v>0.59058158044340325</v>
      </c>
    </row>
    <row r="262" spans="1:7" x14ac:dyDescent="0.25">
      <c r="A262">
        <v>201410</v>
      </c>
      <c r="B262">
        <f>VLOOKUP(A262,Sheet1!I:J,2,0)</f>
        <v>10766548000</v>
      </c>
      <c r="C262">
        <f>VLOOKUP(A262,Sheet1!O:P,2,0)+VLOOKUP(A262,Sheet1!T:U,2,0)</f>
        <v>15026681006.860001</v>
      </c>
      <c r="E262">
        <v>201410</v>
      </c>
      <c r="F262" s="1">
        <f t="shared" si="8"/>
        <v>0.41741760975861203</v>
      </c>
      <c r="G262" s="1">
        <f t="shared" si="9"/>
        <v>0.58258239024138803</v>
      </c>
    </row>
    <row r="263" spans="1:7" x14ac:dyDescent="0.25">
      <c r="A263">
        <v>201411</v>
      </c>
      <c r="B263">
        <f>VLOOKUP(A263,Sheet1!I:J,2,0)</f>
        <v>10896898000</v>
      </c>
      <c r="C263">
        <f>VLOOKUP(A263,Sheet1!O:P,2,0)+VLOOKUP(A263,Sheet1!T:U,2,0)</f>
        <v>14871648719.4</v>
      </c>
      <c r="E263">
        <v>201411</v>
      </c>
      <c r="F263" s="1">
        <f t="shared" si="8"/>
        <v>0.42287592384075762</v>
      </c>
      <c r="G263" s="1">
        <f t="shared" si="9"/>
        <v>0.57712407615924244</v>
      </c>
    </row>
    <row r="264" spans="1:7" x14ac:dyDescent="0.25">
      <c r="A264">
        <v>201412</v>
      </c>
      <c r="B264">
        <f>VLOOKUP(A264,Sheet1!I:J,2,0)</f>
        <v>9374643000</v>
      </c>
      <c r="C264">
        <f>VLOOKUP(A264,Sheet1!O:P,2,0)+VLOOKUP(A264,Sheet1!T:U,2,0)</f>
        <v>13459950721.73</v>
      </c>
      <c r="E264">
        <v>201412</v>
      </c>
      <c r="F264" s="1">
        <f t="shared" si="8"/>
        <v>0.41054564465838705</v>
      </c>
      <c r="G264" s="1">
        <f t="shared" si="9"/>
        <v>0.58945435534161295</v>
      </c>
    </row>
    <row r="265" spans="1:7" x14ac:dyDescent="0.25">
      <c r="A265">
        <v>201501</v>
      </c>
      <c r="B265">
        <f>VLOOKUP(A265,Sheet1!I:J,2,0)</f>
        <v>10565322000</v>
      </c>
      <c r="C265">
        <f>VLOOKUP(A265,Sheet1!O:P,2,0)+VLOOKUP(A265,Sheet1!T:U,2,0)</f>
        <v>15356981877.110001</v>
      </c>
      <c r="E265">
        <v>201501</v>
      </c>
      <c r="F265" s="1">
        <f t="shared" si="8"/>
        <v>0.40757650439124071</v>
      </c>
      <c r="G265" s="1">
        <f t="shared" si="9"/>
        <v>0.59242349560875929</v>
      </c>
    </row>
    <row r="266" spans="1:7" x14ac:dyDescent="0.25">
      <c r="A266">
        <v>201502</v>
      </c>
      <c r="B266">
        <f>VLOOKUP(A266,Sheet1!I:J,2,0)</f>
        <v>7136922000</v>
      </c>
      <c r="C266">
        <f>VLOOKUP(A266,Sheet1!O:P,2,0)+VLOOKUP(A266,Sheet1!T:U,2,0)</f>
        <v>11668902321.860001</v>
      </c>
      <c r="E266">
        <v>201502</v>
      </c>
      <c r="F266" s="1">
        <f t="shared" si="8"/>
        <v>0.3795059380462254</v>
      </c>
      <c r="G266" s="1">
        <f t="shared" si="9"/>
        <v>0.62049406195377466</v>
      </c>
    </row>
    <row r="267" spans="1:7" x14ac:dyDescent="0.25">
      <c r="A267">
        <v>201503</v>
      </c>
      <c r="B267">
        <f>VLOOKUP(A267,Sheet1!I:J,2,0)</f>
        <v>15445412000</v>
      </c>
      <c r="C267">
        <f>VLOOKUP(A267,Sheet1!O:P,2,0)+VLOOKUP(A267,Sheet1!T:U,2,0)</f>
        <v>14312414658.15</v>
      </c>
      <c r="E267">
        <v>201503</v>
      </c>
      <c r="F267" s="1">
        <f t="shared" si="8"/>
        <v>0.51903696386946485</v>
      </c>
      <c r="G267" s="1">
        <f t="shared" si="9"/>
        <v>0.48096303613053515</v>
      </c>
    </row>
    <row r="268" spans="1:7" x14ac:dyDescent="0.25">
      <c r="A268">
        <v>201504</v>
      </c>
      <c r="B268">
        <f>VLOOKUP(A268,Sheet1!I:J,2,0)</f>
        <v>22448560000</v>
      </c>
      <c r="C268">
        <f>VLOOKUP(A268,Sheet1!O:P,2,0)+VLOOKUP(A268,Sheet1!T:U,2,0)</f>
        <v>18299372425.830002</v>
      </c>
      <c r="E268">
        <v>201504</v>
      </c>
      <c r="F268" s="1">
        <f t="shared" si="8"/>
        <v>0.55091286020121899</v>
      </c>
      <c r="G268" s="1">
        <f t="shared" si="9"/>
        <v>0.44908713979878101</v>
      </c>
    </row>
    <row r="269" spans="1:7" x14ac:dyDescent="0.25">
      <c r="A269">
        <v>201505</v>
      </c>
      <c r="B269">
        <f>VLOOKUP(A269,Sheet1!I:J,2,0)</f>
        <v>22378759000</v>
      </c>
      <c r="C269">
        <f>VLOOKUP(A269,Sheet1!O:P,2,0)+VLOOKUP(A269,Sheet1!T:U,2,0)</f>
        <v>17615583549.200001</v>
      </c>
      <c r="E269">
        <v>201505</v>
      </c>
      <c r="F269" s="1">
        <f t="shared" si="8"/>
        <v>0.55954811539832749</v>
      </c>
      <c r="G269" s="1">
        <f t="shared" si="9"/>
        <v>0.44045188460167251</v>
      </c>
    </row>
    <row r="270" spans="1:7" x14ac:dyDescent="0.25">
      <c r="A270">
        <v>201506</v>
      </c>
      <c r="B270">
        <f>VLOOKUP(A270,Sheet1!I:J,2,0)</f>
        <v>21761325000</v>
      </c>
      <c r="C270">
        <f>VLOOKUP(A270,Sheet1!O:P,2,0)+VLOOKUP(A270,Sheet1!T:U,2,0)</f>
        <v>18963734574.52</v>
      </c>
      <c r="E270">
        <v>201506</v>
      </c>
      <c r="F270" s="1">
        <f t="shared" si="8"/>
        <v>0.53434728462902403</v>
      </c>
      <c r="G270" s="1">
        <f t="shared" si="9"/>
        <v>0.46565271537097597</v>
      </c>
    </row>
    <row r="271" spans="1:7" x14ac:dyDescent="0.25">
      <c r="A271">
        <v>201507</v>
      </c>
      <c r="B271">
        <f>VLOOKUP(A271,Sheet1!I:J,2,0)</f>
        <v>23428488000</v>
      </c>
      <c r="C271">
        <f>VLOOKUP(A271,Sheet1!O:P,2,0)+VLOOKUP(A271,Sheet1!T:U,2,0)</f>
        <v>20792926510.07</v>
      </c>
      <c r="E271">
        <v>201507</v>
      </c>
      <c r="F271" s="1">
        <f t="shared" si="8"/>
        <v>0.52979960635734347</v>
      </c>
      <c r="G271" s="1">
        <f t="shared" si="9"/>
        <v>0.47020039364265653</v>
      </c>
    </row>
    <row r="272" spans="1:7" x14ac:dyDescent="0.25">
      <c r="A272">
        <v>201508</v>
      </c>
      <c r="B272">
        <f>VLOOKUP(A272,Sheet1!I:J,2,0)</f>
        <v>21557771000</v>
      </c>
      <c r="C272">
        <f>VLOOKUP(A272,Sheet1!O:P,2,0)+VLOOKUP(A272,Sheet1!T:U,2,0)</f>
        <v>19165906741.41</v>
      </c>
      <c r="E272">
        <v>201508</v>
      </c>
      <c r="F272" s="1">
        <f t="shared" si="8"/>
        <v>0.52936699717763724</v>
      </c>
      <c r="G272" s="1">
        <f t="shared" si="9"/>
        <v>0.47063300282236276</v>
      </c>
    </row>
    <row r="273" spans="1:7" x14ac:dyDescent="0.25">
      <c r="A273">
        <v>201509</v>
      </c>
      <c r="B273">
        <f>VLOOKUP(A273,Sheet1!I:J,2,0)</f>
        <v>19939311000</v>
      </c>
      <c r="C273">
        <f>VLOOKUP(A273,Sheet1!O:P,2,0)+VLOOKUP(A273,Sheet1!T:U,2,0)</f>
        <v>17744547777.760002</v>
      </c>
      <c r="E273">
        <v>201509</v>
      </c>
      <c r="F273" s="1">
        <f t="shared" si="8"/>
        <v>0.52912073356371991</v>
      </c>
      <c r="G273" s="1">
        <f t="shared" si="9"/>
        <v>0.47087926643628009</v>
      </c>
    </row>
    <row r="274" spans="1:7" x14ac:dyDescent="0.25">
      <c r="A274">
        <v>201510</v>
      </c>
      <c r="B274">
        <f>VLOOKUP(A274,Sheet1!I:J,2,0)</f>
        <v>19137883000</v>
      </c>
      <c r="C274">
        <f>VLOOKUP(A274,Sheet1!O:P,2,0)+VLOOKUP(A274,Sheet1!T:U,2,0)</f>
        <v>17002464377.57</v>
      </c>
      <c r="E274">
        <v>201510</v>
      </c>
      <c r="F274" s="1">
        <f t="shared" si="8"/>
        <v>0.5295434158410347</v>
      </c>
      <c r="G274" s="1">
        <f t="shared" si="9"/>
        <v>0.4704565841589653</v>
      </c>
    </row>
    <row r="275" spans="1:7" x14ac:dyDescent="0.25">
      <c r="A275">
        <v>201511</v>
      </c>
      <c r="B275">
        <f>VLOOKUP(A275,Sheet1!I:J,2,0)</f>
        <v>17367856000</v>
      </c>
      <c r="C275">
        <f>VLOOKUP(A275,Sheet1!O:P,2,0)+VLOOKUP(A275,Sheet1!T:U,2,0)</f>
        <v>16027513725.66</v>
      </c>
      <c r="E275">
        <v>201511</v>
      </c>
      <c r="F275" s="1">
        <f t="shared" si="8"/>
        <v>0.52006778612350746</v>
      </c>
      <c r="G275" s="1">
        <f t="shared" si="9"/>
        <v>0.47993221387649254</v>
      </c>
    </row>
    <row r="276" spans="1:7" x14ac:dyDescent="0.25">
      <c r="A276">
        <v>201512</v>
      </c>
      <c r="B276">
        <f>VLOOKUP(A276,Sheet1!I:J,2,0)</f>
        <v>14284272000</v>
      </c>
      <c r="C276">
        <f>VLOOKUP(A276,Sheet1!O:P,2,0)+VLOOKUP(A276,Sheet1!T:U,2,0)</f>
        <v>13240104752.279999</v>
      </c>
      <c r="E276">
        <v>201512</v>
      </c>
      <c r="F276" s="1">
        <f t="shared" si="8"/>
        <v>0.51896804525525742</v>
      </c>
      <c r="G276" s="1">
        <f t="shared" si="9"/>
        <v>0.48103195474474258</v>
      </c>
    </row>
    <row r="277" spans="1:7" x14ac:dyDescent="0.25">
      <c r="A277">
        <v>201601</v>
      </c>
      <c r="B277">
        <f>VLOOKUP(A277,Sheet1!I:J,2,0)</f>
        <v>16427519000</v>
      </c>
      <c r="C277">
        <f>VLOOKUP(A277,Sheet1!O:P,2,0)+VLOOKUP(A277,Sheet1!T:U,2,0)</f>
        <v>15139185583.18</v>
      </c>
      <c r="E277">
        <v>201601</v>
      </c>
      <c r="F277" s="1">
        <f t="shared" si="8"/>
        <v>0.52040652380144992</v>
      </c>
      <c r="G277" s="1">
        <f t="shared" si="9"/>
        <v>0.47959347619855008</v>
      </c>
    </row>
    <row r="278" spans="1:7" x14ac:dyDescent="0.25">
      <c r="A278">
        <v>201602</v>
      </c>
      <c r="B278">
        <f>VLOOKUP(A278,Sheet1!I:J,2,0)</f>
        <v>11863111000</v>
      </c>
      <c r="C278">
        <f>VLOOKUP(A278,Sheet1!O:P,2,0)+VLOOKUP(A278,Sheet1!T:U,2,0)</f>
        <v>9555118969.3899994</v>
      </c>
      <c r="E278">
        <v>201602</v>
      </c>
      <c r="F278" s="1">
        <f t="shared" si="8"/>
        <v>0.55387914953543038</v>
      </c>
      <c r="G278" s="1">
        <f t="shared" si="9"/>
        <v>0.44612085046456962</v>
      </c>
    </row>
    <row r="279" spans="1:7" x14ac:dyDescent="0.25">
      <c r="A279">
        <v>201603</v>
      </c>
      <c r="B279">
        <f>VLOOKUP(A279,Sheet1!I:J,2,0)</f>
        <v>8500069000</v>
      </c>
      <c r="C279">
        <f>VLOOKUP(A279,Sheet1!O:P,2,0)+VLOOKUP(A279,Sheet1!T:U,2,0)</f>
        <v>4821350649.6999998</v>
      </c>
      <c r="E279">
        <v>201603</v>
      </c>
      <c r="F279" s="1">
        <f t="shared" si="8"/>
        <v>0.63807531205515489</v>
      </c>
      <c r="G279" s="1">
        <f t="shared" si="9"/>
        <v>0.36192468794484511</v>
      </c>
    </row>
  </sheetData>
  <pageMargins left="0.7" right="0.7" top="0.75" bottom="0.75" header="0.3" footer="0.3"/>
  <pageSetup scale="1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2016-03-17T14:23:01Z</cp:lastPrinted>
  <dcterms:created xsi:type="dcterms:W3CDTF">2016-03-17T14:12:25Z</dcterms:created>
  <dcterms:modified xsi:type="dcterms:W3CDTF">2016-03-17T14:45:28Z</dcterms:modified>
</cp:coreProperties>
</file>