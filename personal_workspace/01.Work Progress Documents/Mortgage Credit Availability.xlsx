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3955" windowHeight="9720"/>
  </bookViews>
  <sheets>
    <sheet name="Sheet1" sheetId="4" r:id="rId1"/>
    <sheet name="MBA" sheetId="1" r:id="rId2"/>
    <sheet name="Cello" sheetId="2" r:id="rId3"/>
    <sheet name="HPA2Yr" sheetId="3" r:id="rId4"/>
  </sheets>
  <calcPr calcId="145621"/>
</workbook>
</file>

<file path=xl/calcChain.xml><?xml version="1.0" encoding="utf-8"?>
<calcChain xmlns="http://schemas.openxmlformats.org/spreadsheetml/2006/main">
  <c r="D3" i="4" l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2" i="4"/>
</calcChain>
</file>

<file path=xl/sharedStrings.xml><?xml version="1.0" encoding="utf-8"?>
<sst xmlns="http://schemas.openxmlformats.org/spreadsheetml/2006/main" count="10" uniqueCount="8">
  <si>
    <t>Date</t>
  </si>
  <si>
    <t>MCAI</t>
  </si>
  <si>
    <t>Source: MBA</t>
  </si>
  <si>
    <t>Column1</t>
  </si>
  <si>
    <t>HPA2Yr</t>
  </si>
  <si>
    <t>MCAI-Universe</t>
  </si>
  <si>
    <t>Cello MCAI</t>
  </si>
  <si>
    <t>MBA MCAI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</si>
</sst>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12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 style="thin">
        <color indexed="12"/>
      </left>
      <right/>
      <top/>
      <bottom/>
      <diagonal/>
    </border>
    <border>
      <left style="thin">
        <color indexed="12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4" fillId="2" borderId="0"/>
  </cellStyleXfs>
  <cellXfs count="17">
    <xf numFmtId="0" fontId="0" fillId="0" borderId="0" xfId="0"/>
    <xf numFmtId="164" fontId="0" fillId="0" borderId="0" xfId="0" applyNumberFormat="1" applyAlignment="1">
      <alignment horizontal="center"/>
    </xf>
    <xf numFmtId="14" fontId="0" fillId="0" borderId="0" xfId="0" applyNumberFormat="1" applyFill="1" applyAlignment="1">
      <alignment horizontal="center"/>
    </xf>
    <xf numFmtId="164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164" fontId="1" fillId="0" borderId="0" xfId="0" applyNumberFormat="1" applyFont="1" applyFill="1" applyAlignment="1">
      <alignment horizontal="center"/>
    </xf>
    <xf numFmtId="14" fontId="0" fillId="0" borderId="0" xfId="0" applyNumberFormat="1"/>
    <xf numFmtId="0" fontId="2" fillId="0" borderId="0" xfId="0" applyFont="1"/>
    <xf numFmtId="0" fontId="0" fillId="0" borderId="1" xfId="0" applyBorder="1"/>
    <xf numFmtId="0" fontId="0" fillId="0" borderId="2" xfId="0" applyBorder="1"/>
    <xf numFmtId="14" fontId="0" fillId="0" borderId="3" xfId="0" applyNumberFormat="1" applyBorder="1"/>
    <xf numFmtId="14" fontId="0" fillId="0" borderId="4" xfId="0" applyNumberFormat="1" applyBorder="1"/>
    <xf numFmtId="0" fontId="0" fillId="0" borderId="5" xfId="0" applyBorder="1"/>
    <xf numFmtId="10" fontId="0" fillId="0" borderId="0" xfId="1" applyNumberFormat="1" applyFont="1"/>
    <xf numFmtId="10" fontId="0" fillId="0" borderId="0" xfId="0" applyNumberFormat="1"/>
    <xf numFmtId="2" fontId="0" fillId="0" borderId="0" xfId="0" applyNumberFormat="1"/>
  </cellXfs>
  <cellStyles count="3">
    <cellStyle name="Normal" xfId="0" builtinId="0"/>
    <cellStyle name="Normal 2 7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MBA MCAI</c:v>
                </c:pt>
              </c:strCache>
            </c:strRef>
          </c:tx>
          <c:marker>
            <c:symbol val="none"/>
          </c:marker>
          <c:cat>
            <c:numRef>
              <c:f>Sheet1!$A$2:$A$144</c:f>
              <c:numCache>
                <c:formatCode>m/d/yyyy</c:formatCode>
                <c:ptCount val="143"/>
                <c:pt idx="0">
                  <c:v>38139</c:v>
                </c:pt>
                <c:pt idx="1">
                  <c:v>38169</c:v>
                </c:pt>
                <c:pt idx="2">
                  <c:v>38200</c:v>
                </c:pt>
                <c:pt idx="3">
                  <c:v>38231</c:v>
                </c:pt>
                <c:pt idx="4">
                  <c:v>38261</c:v>
                </c:pt>
                <c:pt idx="5">
                  <c:v>38292</c:v>
                </c:pt>
                <c:pt idx="6">
                  <c:v>38322</c:v>
                </c:pt>
                <c:pt idx="7">
                  <c:v>38353</c:v>
                </c:pt>
                <c:pt idx="8">
                  <c:v>38384</c:v>
                </c:pt>
                <c:pt idx="9">
                  <c:v>38412</c:v>
                </c:pt>
                <c:pt idx="10">
                  <c:v>38443</c:v>
                </c:pt>
                <c:pt idx="11">
                  <c:v>38473</c:v>
                </c:pt>
                <c:pt idx="12">
                  <c:v>38504</c:v>
                </c:pt>
                <c:pt idx="13">
                  <c:v>38534</c:v>
                </c:pt>
                <c:pt idx="14">
                  <c:v>38565</c:v>
                </c:pt>
                <c:pt idx="15">
                  <c:v>38596</c:v>
                </c:pt>
                <c:pt idx="16">
                  <c:v>38626</c:v>
                </c:pt>
                <c:pt idx="17">
                  <c:v>38657</c:v>
                </c:pt>
                <c:pt idx="18">
                  <c:v>38687</c:v>
                </c:pt>
                <c:pt idx="19">
                  <c:v>38718</c:v>
                </c:pt>
                <c:pt idx="20">
                  <c:v>38749</c:v>
                </c:pt>
                <c:pt idx="21">
                  <c:v>38777</c:v>
                </c:pt>
                <c:pt idx="22">
                  <c:v>38808</c:v>
                </c:pt>
                <c:pt idx="23">
                  <c:v>38838</c:v>
                </c:pt>
                <c:pt idx="24">
                  <c:v>38869</c:v>
                </c:pt>
                <c:pt idx="25">
                  <c:v>38899</c:v>
                </c:pt>
                <c:pt idx="26">
                  <c:v>38930</c:v>
                </c:pt>
                <c:pt idx="27">
                  <c:v>38961</c:v>
                </c:pt>
                <c:pt idx="28">
                  <c:v>38991</c:v>
                </c:pt>
                <c:pt idx="29">
                  <c:v>39022</c:v>
                </c:pt>
                <c:pt idx="30">
                  <c:v>39052</c:v>
                </c:pt>
                <c:pt idx="31">
                  <c:v>39083</c:v>
                </c:pt>
                <c:pt idx="32">
                  <c:v>39114</c:v>
                </c:pt>
                <c:pt idx="33">
                  <c:v>39142</c:v>
                </c:pt>
                <c:pt idx="34">
                  <c:v>39173</c:v>
                </c:pt>
                <c:pt idx="35">
                  <c:v>39203</c:v>
                </c:pt>
                <c:pt idx="36">
                  <c:v>39234</c:v>
                </c:pt>
                <c:pt idx="37">
                  <c:v>39264</c:v>
                </c:pt>
                <c:pt idx="38">
                  <c:v>39295</c:v>
                </c:pt>
                <c:pt idx="39">
                  <c:v>39326</c:v>
                </c:pt>
                <c:pt idx="40">
                  <c:v>39356</c:v>
                </c:pt>
                <c:pt idx="41">
                  <c:v>39387</c:v>
                </c:pt>
                <c:pt idx="42">
                  <c:v>39417</c:v>
                </c:pt>
                <c:pt idx="43">
                  <c:v>39448</c:v>
                </c:pt>
                <c:pt idx="44">
                  <c:v>39479</c:v>
                </c:pt>
                <c:pt idx="45">
                  <c:v>39508</c:v>
                </c:pt>
                <c:pt idx="46">
                  <c:v>39539</c:v>
                </c:pt>
                <c:pt idx="47">
                  <c:v>39569</c:v>
                </c:pt>
                <c:pt idx="48">
                  <c:v>39600</c:v>
                </c:pt>
                <c:pt idx="49">
                  <c:v>39630</c:v>
                </c:pt>
                <c:pt idx="50">
                  <c:v>39661</c:v>
                </c:pt>
                <c:pt idx="51">
                  <c:v>39692</c:v>
                </c:pt>
                <c:pt idx="52">
                  <c:v>39722</c:v>
                </c:pt>
                <c:pt idx="53">
                  <c:v>39753</c:v>
                </c:pt>
                <c:pt idx="54">
                  <c:v>39783</c:v>
                </c:pt>
                <c:pt idx="55">
                  <c:v>39814</c:v>
                </c:pt>
                <c:pt idx="56">
                  <c:v>39845</c:v>
                </c:pt>
                <c:pt idx="57">
                  <c:v>39873</c:v>
                </c:pt>
                <c:pt idx="58">
                  <c:v>39904</c:v>
                </c:pt>
                <c:pt idx="59">
                  <c:v>39934</c:v>
                </c:pt>
                <c:pt idx="60">
                  <c:v>39965</c:v>
                </c:pt>
                <c:pt idx="61">
                  <c:v>39995</c:v>
                </c:pt>
                <c:pt idx="62">
                  <c:v>40026</c:v>
                </c:pt>
                <c:pt idx="63">
                  <c:v>40057</c:v>
                </c:pt>
                <c:pt idx="64">
                  <c:v>40087</c:v>
                </c:pt>
                <c:pt idx="65">
                  <c:v>40118</c:v>
                </c:pt>
                <c:pt idx="66">
                  <c:v>40148</c:v>
                </c:pt>
                <c:pt idx="67">
                  <c:v>40179</c:v>
                </c:pt>
                <c:pt idx="68">
                  <c:v>40210</c:v>
                </c:pt>
                <c:pt idx="69">
                  <c:v>40238</c:v>
                </c:pt>
                <c:pt idx="70">
                  <c:v>40269</c:v>
                </c:pt>
                <c:pt idx="71">
                  <c:v>40299</c:v>
                </c:pt>
                <c:pt idx="72">
                  <c:v>40330</c:v>
                </c:pt>
                <c:pt idx="73">
                  <c:v>40360</c:v>
                </c:pt>
                <c:pt idx="74">
                  <c:v>40391</c:v>
                </c:pt>
                <c:pt idx="75">
                  <c:v>40422</c:v>
                </c:pt>
                <c:pt idx="76">
                  <c:v>40452</c:v>
                </c:pt>
                <c:pt idx="77">
                  <c:v>40483</c:v>
                </c:pt>
                <c:pt idx="78">
                  <c:v>40513</c:v>
                </c:pt>
                <c:pt idx="79">
                  <c:v>40544</c:v>
                </c:pt>
                <c:pt idx="80">
                  <c:v>40575</c:v>
                </c:pt>
                <c:pt idx="81">
                  <c:v>40603</c:v>
                </c:pt>
                <c:pt idx="82">
                  <c:v>40634</c:v>
                </c:pt>
                <c:pt idx="83">
                  <c:v>40664</c:v>
                </c:pt>
                <c:pt idx="84">
                  <c:v>40695</c:v>
                </c:pt>
                <c:pt idx="85">
                  <c:v>40725</c:v>
                </c:pt>
                <c:pt idx="86">
                  <c:v>40756</c:v>
                </c:pt>
                <c:pt idx="87">
                  <c:v>40787</c:v>
                </c:pt>
                <c:pt idx="88">
                  <c:v>40817</c:v>
                </c:pt>
                <c:pt idx="89">
                  <c:v>40848</c:v>
                </c:pt>
                <c:pt idx="90">
                  <c:v>40878</c:v>
                </c:pt>
                <c:pt idx="91">
                  <c:v>40909</c:v>
                </c:pt>
                <c:pt idx="92">
                  <c:v>40940</c:v>
                </c:pt>
                <c:pt idx="93">
                  <c:v>40969</c:v>
                </c:pt>
                <c:pt idx="94">
                  <c:v>41000</c:v>
                </c:pt>
                <c:pt idx="95">
                  <c:v>41030</c:v>
                </c:pt>
                <c:pt idx="96">
                  <c:v>41061</c:v>
                </c:pt>
                <c:pt idx="97">
                  <c:v>41091</c:v>
                </c:pt>
                <c:pt idx="98">
                  <c:v>41122</c:v>
                </c:pt>
                <c:pt idx="99">
                  <c:v>41153</c:v>
                </c:pt>
                <c:pt idx="100">
                  <c:v>41183</c:v>
                </c:pt>
                <c:pt idx="101">
                  <c:v>41214</c:v>
                </c:pt>
                <c:pt idx="102">
                  <c:v>41244</c:v>
                </c:pt>
                <c:pt idx="103">
                  <c:v>41275</c:v>
                </c:pt>
                <c:pt idx="104">
                  <c:v>41306</c:v>
                </c:pt>
                <c:pt idx="105">
                  <c:v>41334</c:v>
                </c:pt>
                <c:pt idx="106">
                  <c:v>41365</c:v>
                </c:pt>
                <c:pt idx="107">
                  <c:v>41395</c:v>
                </c:pt>
                <c:pt idx="108">
                  <c:v>41426</c:v>
                </c:pt>
                <c:pt idx="109">
                  <c:v>41456</c:v>
                </c:pt>
                <c:pt idx="110">
                  <c:v>41487</c:v>
                </c:pt>
                <c:pt idx="111">
                  <c:v>41518</c:v>
                </c:pt>
                <c:pt idx="112">
                  <c:v>41548</c:v>
                </c:pt>
                <c:pt idx="113">
                  <c:v>41579</c:v>
                </c:pt>
                <c:pt idx="114">
                  <c:v>41609</c:v>
                </c:pt>
                <c:pt idx="115">
                  <c:v>41640</c:v>
                </c:pt>
                <c:pt idx="116">
                  <c:v>41671</c:v>
                </c:pt>
                <c:pt idx="117">
                  <c:v>41699</c:v>
                </c:pt>
                <c:pt idx="118">
                  <c:v>41730</c:v>
                </c:pt>
                <c:pt idx="119">
                  <c:v>41760</c:v>
                </c:pt>
                <c:pt idx="120">
                  <c:v>41791</c:v>
                </c:pt>
                <c:pt idx="121">
                  <c:v>41821</c:v>
                </c:pt>
                <c:pt idx="122">
                  <c:v>41852</c:v>
                </c:pt>
                <c:pt idx="123">
                  <c:v>41883</c:v>
                </c:pt>
                <c:pt idx="124">
                  <c:v>41913</c:v>
                </c:pt>
                <c:pt idx="125">
                  <c:v>41944</c:v>
                </c:pt>
                <c:pt idx="126">
                  <c:v>41974</c:v>
                </c:pt>
                <c:pt idx="127">
                  <c:v>42005</c:v>
                </c:pt>
                <c:pt idx="128">
                  <c:v>42036</c:v>
                </c:pt>
                <c:pt idx="129">
                  <c:v>42064</c:v>
                </c:pt>
                <c:pt idx="130">
                  <c:v>42095</c:v>
                </c:pt>
                <c:pt idx="131">
                  <c:v>42125</c:v>
                </c:pt>
                <c:pt idx="132">
                  <c:v>42156</c:v>
                </c:pt>
                <c:pt idx="133">
                  <c:v>42186</c:v>
                </c:pt>
                <c:pt idx="134">
                  <c:v>42217</c:v>
                </c:pt>
                <c:pt idx="135">
                  <c:v>42248</c:v>
                </c:pt>
                <c:pt idx="136">
                  <c:v>42278</c:v>
                </c:pt>
                <c:pt idx="137">
                  <c:v>42309</c:v>
                </c:pt>
                <c:pt idx="138">
                  <c:v>42339</c:v>
                </c:pt>
                <c:pt idx="139">
                  <c:v>42370</c:v>
                </c:pt>
                <c:pt idx="140">
                  <c:v>42401</c:v>
                </c:pt>
                <c:pt idx="141">
                  <c:v>42430</c:v>
                </c:pt>
                <c:pt idx="142">
                  <c:v>42461</c:v>
                </c:pt>
              </c:numCache>
            </c:numRef>
          </c:cat>
          <c:val>
            <c:numRef>
              <c:f>Sheet1!$B$2:$B$144</c:f>
              <c:numCache>
                <c:formatCode>0.0</c:formatCode>
                <c:ptCount val="143"/>
                <c:pt idx="0">
                  <c:v>377</c:v>
                </c:pt>
                <c:pt idx="1">
                  <c:v>383.5</c:v>
                </c:pt>
                <c:pt idx="2">
                  <c:v>390</c:v>
                </c:pt>
                <c:pt idx="3">
                  <c:v>396.5</c:v>
                </c:pt>
                <c:pt idx="4">
                  <c:v>403</c:v>
                </c:pt>
                <c:pt idx="5">
                  <c:v>409.5</c:v>
                </c:pt>
                <c:pt idx="6">
                  <c:v>416</c:v>
                </c:pt>
                <c:pt idx="7">
                  <c:v>480.83333333333331</c:v>
                </c:pt>
                <c:pt idx="8">
                  <c:v>545.66666666666663</c:v>
                </c:pt>
                <c:pt idx="9">
                  <c:v>610.5</c:v>
                </c:pt>
                <c:pt idx="10">
                  <c:v>675.33333333333337</c:v>
                </c:pt>
                <c:pt idx="11">
                  <c:v>740.16666666666674</c:v>
                </c:pt>
                <c:pt idx="12">
                  <c:v>805</c:v>
                </c:pt>
                <c:pt idx="13">
                  <c:v>812.16666666666663</c:v>
                </c:pt>
                <c:pt idx="14">
                  <c:v>819.33333333333326</c:v>
                </c:pt>
                <c:pt idx="15">
                  <c:v>826.49999999999989</c:v>
                </c:pt>
                <c:pt idx="16">
                  <c:v>833.66666666666652</c:v>
                </c:pt>
                <c:pt idx="17">
                  <c:v>840.83333333333314</c:v>
                </c:pt>
                <c:pt idx="18">
                  <c:v>848</c:v>
                </c:pt>
                <c:pt idx="19">
                  <c:v>851.83333333333337</c:v>
                </c:pt>
                <c:pt idx="20">
                  <c:v>855.66666666666674</c:v>
                </c:pt>
                <c:pt idx="21">
                  <c:v>859.50000000000011</c:v>
                </c:pt>
                <c:pt idx="22">
                  <c:v>863.33333333333348</c:v>
                </c:pt>
                <c:pt idx="23">
                  <c:v>867.16666666666686</c:v>
                </c:pt>
                <c:pt idx="24">
                  <c:v>871</c:v>
                </c:pt>
                <c:pt idx="25">
                  <c:v>846.83333333333337</c:v>
                </c:pt>
                <c:pt idx="26">
                  <c:v>822.66666666666674</c:v>
                </c:pt>
                <c:pt idx="27">
                  <c:v>798.50000000000011</c:v>
                </c:pt>
                <c:pt idx="28">
                  <c:v>774.33333333333348</c:v>
                </c:pt>
                <c:pt idx="29">
                  <c:v>750.16666666666686</c:v>
                </c:pt>
                <c:pt idx="30">
                  <c:v>726</c:v>
                </c:pt>
                <c:pt idx="31">
                  <c:v>696.33333333333337</c:v>
                </c:pt>
                <c:pt idx="32">
                  <c:v>666.66666666666674</c:v>
                </c:pt>
                <c:pt idx="33">
                  <c:v>637.00000000000011</c:v>
                </c:pt>
                <c:pt idx="34">
                  <c:v>607.33333333333348</c:v>
                </c:pt>
                <c:pt idx="35">
                  <c:v>577.66666666666686</c:v>
                </c:pt>
                <c:pt idx="36">
                  <c:v>548</c:v>
                </c:pt>
                <c:pt idx="37">
                  <c:v>509.5</c:v>
                </c:pt>
                <c:pt idx="38">
                  <c:v>471</c:v>
                </c:pt>
                <c:pt idx="39">
                  <c:v>432.5</c:v>
                </c:pt>
                <c:pt idx="40">
                  <c:v>394</c:v>
                </c:pt>
                <c:pt idx="41">
                  <c:v>355.5</c:v>
                </c:pt>
                <c:pt idx="42">
                  <c:v>317</c:v>
                </c:pt>
                <c:pt idx="43">
                  <c:v>283.83333333333331</c:v>
                </c:pt>
                <c:pt idx="44">
                  <c:v>250.66666666666666</c:v>
                </c:pt>
                <c:pt idx="45">
                  <c:v>217.5</c:v>
                </c:pt>
                <c:pt idx="46">
                  <c:v>184.33333333333334</c:v>
                </c:pt>
                <c:pt idx="47">
                  <c:v>151.16666666666669</c:v>
                </c:pt>
                <c:pt idx="48">
                  <c:v>118</c:v>
                </c:pt>
                <c:pt idx="49">
                  <c:v>112.33333333333333</c:v>
                </c:pt>
                <c:pt idx="50">
                  <c:v>106.66666666666666</c:v>
                </c:pt>
                <c:pt idx="51">
                  <c:v>100.99999999999999</c:v>
                </c:pt>
                <c:pt idx="52">
                  <c:v>95.333333333333314</c:v>
                </c:pt>
                <c:pt idx="53">
                  <c:v>89.666666666666643</c:v>
                </c:pt>
                <c:pt idx="54">
                  <c:v>84</c:v>
                </c:pt>
                <c:pt idx="55">
                  <c:v>91.166666666666671</c:v>
                </c:pt>
                <c:pt idx="56">
                  <c:v>98.333333333333343</c:v>
                </c:pt>
                <c:pt idx="57">
                  <c:v>105.50000000000001</c:v>
                </c:pt>
                <c:pt idx="58">
                  <c:v>112.66666666666669</c:v>
                </c:pt>
                <c:pt idx="59">
                  <c:v>119.83333333333336</c:v>
                </c:pt>
                <c:pt idx="60">
                  <c:v>127</c:v>
                </c:pt>
                <c:pt idx="61">
                  <c:v>121.5</c:v>
                </c:pt>
                <c:pt idx="62">
                  <c:v>116</c:v>
                </c:pt>
                <c:pt idx="63">
                  <c:v>110.5</c:v>
                </c:pt>
                <c:pt idx="64">
                  <c:v>105</c:v>
                </c:pt>
                <c:pt idx="65">
                  <c:v>99.5</c:v>
                </c:pt>
                <c:pt idx="66">
                  <c:v>94</c:v>
                </c:pt>
                <c:pt idx="67">
                  <c:v>94.666666666666671</c:v>
                </c:pt>
                <c:pt idx="68">
                  <c:v>95.333333333333343</c:v>
                </c:pt>
                <c:pt idx="69">
                  <c:v>96.000000000000014</c:v>
                </c:pt>
                <c:pt idx="70">
                  <c:v>96.666666666666686</c:v>
                </c:pt>
                <c:pt idx="71">
                  <c:v>97.333333333333357</c:v>
                </c:pt>
                <c:pt idx="72">
                  <c:v>98</c:v>
                </c:pt>
                <c:pt idx="73">
                  <c:v>101.16666666666667</c:v>
                </c:pt>
                <c:pt idx="74">
                  <c:v>104.33333333333334</c:v>
                </c:pt>
                <c:pt idx="75">
                  <c:v>107.50000000000001</c:v>
                </c:pt>
                <c:pt idx="76">
                  <c:v>110.66666666666669</c:v>
                </c:pt>
                <c:pt idx="77">
                  <c:v>113.83333333333336</c:v>
                </c:pt>
                <c:pt idx="78">
                  <c:v>117</c:v>
                </c:pt>
                <c:pt idx="79">
                  <c:v>115.83333333333333</c:v>
                </c:pt>
                <c:pt idx="80">
                  <c:v>114.66666666666666</c:v>
                </c:pt>
                <c:pt idx="81">
                  <c:v>112.08</c:v>
                </c:pt>
                <c:pt idx="82">
                  <c:v>107.04</c:v>
                </c:pt>
                <c:pt idx="83">
                  <c:v>109.28</c:v>
                </c:pt>
                <c:pt idx="84">
                  <c:v>110.55</c:v>
                </c:pt>
                <c:pt idx="85">
                  <c:v>109.95</c:v>
                </c:pt>
                <c:pt idx="86">
                  <c:v>107.75</c:v>
                </c:pt>
                <c:pt idx="87">
                  <c:v>111.19</c:v>
                </c:pt>
                <c:pt idx="88">
                  <c:v>107.1</c:v>
                </c:pt>
                <c:pt idx="89">
                  <c:v>106.28</c:v>
                </c:pt>
                <c:pt idx="90">
                  <c:v>104.92</c:v>
                </c:pt>
                <c:pt idx="91">
                  <c:v>102.38</c:v>
                </c:pt>
                <c:pt idx="92">
                  <c:v>99.04</c:v>
                </c:pt>
                <c:pt idx="93">
                  <c:v>100</c:v>
                </c:pt>
                <c:pt idx="94">
                  <c:v>101.71</c:v>
                </c:pt>
                <c:pt idx="95">
                  <c:v>101.55</c:v>
                </c:pt>
                <c:pt idx="96">
                  <c:v>103.01</c:v>
                </c:pt>
                <c:pt idx="97">
                  <c:v>99.67</c:v>
                </c:pt>
                <c:pt idx="98">
                  <c:v>103.93</c:v>
                </c:pt>
                <c:pt idx="99">
                  <c:v>103.92</c:v>
                </c:pt>
                <c:pt idx="100">
                  <c:v>101.4</c:v>
                </c:pt>
                <c:pt idx="101">
                  <c:v>105.95</c:v>
                </c:pt>
                <c:pt idx="102">
                  <c:v>108.16</c:v>
                </c:pt>
                <c:pt idx="103">
                  <c:v>108.21</c:v>
                </c:pt>
                <c:pt idx="104">
                  <c:v>109.13</c:v>
                </c:pt>
                <c:pt idx="105">
                  <c:v>108.01</c:v>
                </c:pt>
                <c:pt idx="106">
                  <c:v>108.56</c:v>
                </c:pt>
                <c:pt idx="107">
                  <c:v>108.87</c:v>
                </c:pt>
                <c:pt idx="108">
                  <c:v>109.81</c:v>
                </c:pt>
                <c:pt idx="109">
                  <c:v>112.3</c:v>
                </c:pt>
                <c:pt idx="110">
                  <c:v>111.5</c:v>
                </c:pt>
                <c:pt idx="111">
                  <c:v>110.7</c:v>
                </c:pt>
                <c:pt idx="112">
                  <c:v>111.5</c:v>
                </c:pt>
                <c:pt idx="113">
                  <c:v>110.2</c:v>
                </c:pt>
                <c:pt idx="114">
                  <c:v>110.9</c:v>
                </c:pt>
                <c:pt idx="115">
                  <c:v>113</c:v>
                </c:pt>
                <c:pt idx="116">
                  <c:v>113.5</c:v>
                </c:pt>
                <c:pt idx="117">
                  <c:v>114</c:v>
                </c:pt>
                <c:pt idx="118">
                  <c:v>113.8</c:v>
                </c:pt>
                <c:pt idx="119">
                  <c:v>115.1</c:v>
                </c:pt>
                <c:pt idx="120">
                  <c:v>115.8</c:v>
                </c:pt>
                <c:pt idx="121">
                  <c:v>116.4</c:v>
                </c:pt>
                <c:pt idx="122">
                  <c:v>116.1</c:v>
                </c:pt>
                <c:pt idx="123">
                  <c:v>116.1</c:v>
                </c:pt>
                <c:pt idx="124">
                  <c:v>113.2</c:v>
                </c:pt>
                <c:pt idx="125">
                  <c:v>114.6</c:v>
                </c:pt>
                <c:pt idx="126">
                  <c:v>115.7</c:v>
                </c:pt>
                <c:pt idx="127">
                  <c:v>117.8</c:v>
                </c:pt>
                <c:pt idx="128">
                  <c:v>118.6</c:v>
                </c:pt>
                <c:pt idx="129">
                  <c:v>121.35899999999999</c:v>
                </c:pt>
                <c:pt idx="130">
                  <c:v>122</c:v>
                </c:pt>
                <c:pt idx="131">
                  <c:v>122.6</c:v>
                </c:pt>
                <c:pt idx="132">
                  <c:v>122</c:v>
                </c:pt>
                <c:pt idx="133">
                  <c:v>125.5</c:v>
                </c:pt>
                <c:pt idx="134">
                  <c:v>126.1</c:v>
                </c:pt>
                <c:pt idx="135">
                  <c:v>126.5</c:v>
                </c:pt>
                <c:pt idx="136">
                  <c:v>128.4</c:v>
                </c:pt>
                <c:pt idx="137">
                  <c:v>127.4</c:v>
                </c:pt>
                <c:pt idx="138">
                  <c:v>124.346</c:v>
                </c:pt>
                <c:pt idx="139">
                  <c:v>123.8</c:v>
                </c:pt>
                <c:pt idx="140">
                  <c:v>123.8</c:v>
                </c:pt>
                <c:pt idx="141">
                  <c:v>123.5</c:v>
                </c:pt>
                <c:pt idx="142">
                  <c:v>122.4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3544576"/>
        <c:axId val="324347776"/>
      </c:lineChart>
      <c:lineChart>
        <c:grouping val="standard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HPA2Yr</c:v>
                </c:pt>
              </c:strCache>
            </c:strRef>
          </c:tx>
          <c:marker>
            <c:symbol val="none"/>
          </c:marker>
          <c:cat>
            <c:numRef>
              <c:f>Sheet1!$A$2:$A$144</c:f>
              <c:numCache>
                <c:formatCode>m/d/yyyy</c:formatCode>
                <c:ptCount val="143"/>
                <c:pt idx="0">
                  <c:v>38139</c:v>
                </c:pt>
                <c:pt idx="1">
                  <c:v>38169</c:v>
                </c:pt>
                <c:pt idx="2">
                  <c:v>38200</c:v>
                </c:pt>
                <c:pt idx="3">
                  <c:v>38231</c:v>
                </c:pt>
                <c:pt idx="4">
                  <c:v>38261</c:v>
                </c:pt>
                <c:pt idx="5">
                  <c:v>38292</c:v>
                </c:pt>
                <c:pt idx="6">
                  <c:v>38322</c:v>
                </c:pt>
                <c:pt idx="7">
                  <c:v>38353</c:v>
                </c:pt>
                <c:pt idx="8">
                  <c:v>38384</c:v>
                </c:pt>
                <c:pt idx="9">
                  <c:v>38412</c:v>
                </c:pt>
                <c:pt idx="10">
                  <c:v>38443</c:v>
                </c:pt>
                <c:pt idx="11">
                  <c:v>38473</c:v>
                </c:pt>
                <c:pt idx="12">
                  <c:v>38504</c:v>
                </c:pt>
                <c:pt idx="13">
                  <c:v>38534</c:v>
                </c:pt>
                <c:pt idx="14">
                  <c:v>38565</c:v>
                </c:pt>
                <c:pt idx="15">
                  <c:v>38596</c:v>
                </c:pt>
                <c:pt idx="16">
                  <c:v>38626</c:v>
                </c:pt>
                <c:pt idx="17">
                  <c:v>38657</c:v>
                </c:pt>
                <c:pt idx="18">
                  <c:v>38687</c:v>
                </c:pt>
                <c:pt idx="19">
                  <c:v>38718</c:v>
                </c:pt>
                <c:pt idx="20">
                  <c:v>38749</c:v>
                </c:pt>
                <c:pt idx="21">
                  <c:v>38777</c:v>
                </c:pt>
                <c:pt idx="22">
                  <c:v>38808</c:v>
                </c:pt>
                <c:pt idx="23">
                  <c:v>38838</c:v>
                </c:pt>
                <c:pt idx="24">
                  <c:v>38869</c:v>
                </c:pt>
                <c:pt idx="25">
                  <c:v>38899</c:v>
                </c:pt>
                <c:pt idx="26">
                  <c:v>38930</c:v>
                </c:pt>
                <c:pt idx="27">
                  <c:v>38961</c:v>
                </c:pt>
                <c:pt idx="28">
                  <c:v>38991</c:v>
                </c:pt>
                <c:pt idx="29">
                  <c:v>39022</c:v>
                </c:pt>
                <c:pt idx="30">
                  <c:v>39052</c:v>
                </c:pt>
                <c:pt idx="31">
                  <c:v>39083</c:v>
                </c:pt>
                <c:pt idx="32">
                  <c:v>39114</c:v>
                </c:pt>
                <c:pt idx="33">
                  <c:v>39142</c:v>
                </c:pt>
                <c:pt idx="34">
                  <c:v>39173</c:v>
                </c:pt>
                <c:pt idx="35">
                  <c:v>39203</c:v>
                </c:pt>
                <c:pt idx="36">
                  <c:v>39234</c:v>
                </c:pt>
                <c:pt idx="37">
                  <c:v>39264</c:v>
                </c:pt>
                <c:pt idx="38">
                  <c:v>39295</c:v>
                </c:pt>
                <c:pt idx="39">
                  <c:v>39326</c:v>
                </c:pt>
                <c:pt idx="40">
                  <c:v>39356</c:v>
                </c:pt>
                <c:pt idx="41">
                  <c:v>39387</c:v>
                </c:pt>
                <c:pt idx="42">
                  <c:v>39417</c:v>
                </c:pt>
                <c:pt idx="43">
                  <c:v>39448</c:v>
                </c:pt>
                <c:pt idx="44">
                  <c:v>39479</c:v>
                </c:pt>
                <c:pt idx="45">
                  <c:v>39508</c:v>
                </c:pt>
                <c:pt idx="46">
                  <c:v>39539</c:v>
                </c:pt>
                <c:pt idx="47">
                  <c:v>39569</c:v>
                </c:pt>
                <c:pt idx="48">
                  <c:v>39600</c:v>
                </c:pt>
                <c:pt idx="49">
                  <c:v>39630</c:v>
                </c:pt>
                <c:pt idx="50">
                  <c:v>39661</c:v>
                </c:pt>
                <c:pt idx="51">
                  <c:v>39692</c:v>
                </c:pt>
                <c:pt idx="52">
                  <c:v>39722</c:v>
                </c:pt>
                <c:pt idx="53">
                  <c:v>39753</c:v>
                </c:pt>
                <c:pt idx="54">
                  <c:v>39783</c:v>
                </c:pt>
                <c:pt idx="55">
                  <c:v>39814</c:v>
                </c:pt>
                <c:pt idx="56">
                  <c:v>39845</c:v>
                </c:pt>
                <c:pt idx="57">
                  <c:v>39873</c:v>
                </c:pt>
                <c:pt idx="58">
                  <c:v>39904</c:v>
                </c:pt>
                <c:pt idx="59">
                  <c:v>39934</c:v>
                </c:pt>
                <c:pt idx="60">
                  <c:v>39965</c:v>
                </c:pt>
                <c:pt idx="61">
                  <c:v>39995</c:v>
                </c:pt>
                <c:pt idx="62">
                  <c:v>40026</c:v>
                </c:pt>
                <c:pt idx="63">
                  <c:v>40057</c:v>
                </c:pt>
                <c:pt idx="64">
                  <c:v>40087</c:v>
                </c:pt>
                <c:pt idx="65">
                  <c:v>40118</c:v>
                </c:pt>
                <c:pt idx="66">
                  <c:v>40148</c:v>
                </c:pt>
                <c:pt idx="67">
                  <c:v>40179</c:v>
                </c:pt>
                <c:pt idx="68">
                  <c:v>40210</c:v>
                </c:pt>
                <c:pt idx="69">
                  <c:v>40238</c:v>
                </c:pt>
                <c:pt idx="70">
                  <c:v>40269</c:v>
                </c:pt>
                <c:pt idx="71">
                  <c:v>40299</c:v>
                </c:pt>
                <c:pt idx="72">
                  <c:v>40330</c:v>
                </c:pt>
                <c:pt idx="73">
                  <c:v>40360</c:v>
                </c:pt>
                <c:pt idx="74">
                  <c:v>40391</c:v>
                </c:pt>
                <c:pt idx="75">
                  <c:v>40422</c:v>
                </c:pt>
                <c:pt idx="76">
                  <c:v>40452</c:v>
                </c:pt>
                <c:pt idx="77">
                  <c:v>40483</c:v>
                </c:pt>
                <c:pt idx="78">
                  <c:v>40513</c:v>
                </c:pt>
                <c:pt idx="79">
                  <c:v>40544</c:v>
                </c:pt>
                <c:pt idx="80">
                  <c:v>40575</c:v>
                </c:pt>
                <c:pt idx="81">
                  <c:v>40603</c:v>
                </c:pt>
                <c:pt idx="82">
                  <c:v>40634</c:v>
                </c:pt>
                <c:pt idx="83">
                  <c:v>40664</c:v>
                </c:pt>
                <c:pt idx="84">
                  <c:v>40695</c:v>
                </c:pt>
                <c:pt idx="85">
                  <c:v>40725</c:v>
                </c:pt>
                <c:pt idx="86">
                  <c:v>40756</c:v>
                </c:pt>
                <c:pt idx="87">
                  <c:v>40787</c:v>
                </c:pt>
                <c:pt idx="88">
                  <c:v>40817</c:v>
                </c:pt>
                <c:pt idx="89">
                  <c:v>40848</c:v>
                </c:pt>
                <c:pt idx="90">
                  <c:v>40878</c:v>
                </c:pt>
                <c:pt idx="91">
                  <c:v>40909</c:v>
                </c:pt>
                <c:pt idx="92">
                  <c:v>40940</c:v>
                </c:pt>
                <c:pt idx="93">
                  <c:v>40969</c:v>
                </c:pt>
                <c:pt idx="94">
                  <c:v>41000</c:v>
                </c:pt>
                <c:pt idx="95">
                  <c:v>41030</c:v>
                </c:pt>
                <c:pt idx="96">
                  <c:v>41061</c:v>
                </c:pt>
                <c:pt idx="97">
                  <c:v>41091</c:v>
                </c:pt>
                <c:pt idx="98">
                  <c:v>41122</c:v>
                </c:pt>
                <c:pt idx="99">
                  <c:v>41153</c:v>
                </c:pt>
                <c:pt idx="100">
                  <c:v>41183</c:v>
                </c:pt>
                <c:pt idx="101">
                  <c:v>41214</c:v>
                </c:pt>
                <c:pt idx="102">
                  <c:v>41244</c:v>
                </c:pt>
                <c:pt idx="103">
                  <c:v>41275</c:v>
                </c:pt>
                <c:pt idx="104">
                  <c:v>41306</c:v>
                </c:pt>
                <c:pt idx="105">
                  <c:v>41334</c:v>
                </c:pt>
                <c:pt idx="106">
                  <c:v>41365</c:v>
                </c:pt>
                <c:pt idx="107">
                  <c:v>41395</c:v>
                </c:pt>
                <c:pt idx="108">
                  <c:v>41426</c:v>
                </c:pt>
                <c:pt idx="109">
                  <c:v>41456</c:v>
                </c:pt>
                <c:pt idx="110">
                  <c:v>41487</c:v>
                </c:pt>
                <c:pt idx="111">
                  <c:v>41518</c:v>
                </c:pt>
                <c:pt idx="112">
                  <c:v>41548</c:v>
                </c:pt>
                <c:pt idx="113">
                  <c:v>41579</c:v>
                </c:pt>
                <c:pt idx="114">
                  <c:v>41609</c:v>
                </c:pt>
                <c:pt idx="115">
                  <c:v>41640</c:v>
                </c:pt>
                <c:pt idx="116">
                  <c:v>41671</c:v>
                </c:pt>
                <c:pt idx="117">
                  <c:v>41699</c:v>
                </c:pt>
                <c:pt idx="118">
                  <c:v>41730</c:v>
                </c:pt>
                <c:pt idx="119">
                  <c:v>41760</c:v>
                </c:pt>
                <c:pt idx="120">
                  <c:v>41791</c:v>
                </c:pt>
                <c:pt idx="121">
                  <c:v>41821</c:v>
                </c:pt>
                <c:pt idx="122">
                  <c:v>41852</c:v>
                </c:pt>
                <c:pt idx="123">
                  <c:v>41883</c:v>
                </c:pt>
                <c:pt idx="124">
                  <c:v>41913</c:v>
                </c:pt>
                <c:pt idx="125">
                  <c:v>41944</c:v>
                </c:pt>
                <c:pt idx="126">
                  <c:v>41974</c:v>
                </c:pt>
                <c:pt idx="127">
                  <c:v>42005</c:v>
                </c:pt>
                <c:pt idx="128">
                  <c:v>42036</c:v>
                </c:pt>
                <c:pt idx="129">
                  <c:v>42064</c:v>
                </c:pt>
                <c:pt idx="130">
                  <c:v>42095</c:v>
                </c:pt>
                <c:pt idx="131">
                  <c:v>42125</c:v>
                </c:pt>
                <c:pt idx="132">
                  <c:v>42156</c:v>
                </c:pt>
                <c:pt idx="133">
                  <c:v>42186</c:v>
                </c:pt>
                <c:pt idx="134">
                  <c:v>42217</c:v>
                </c:pt>
                <c:pt idx="135">
                  <c:v>42248</c:v>
                </c:pt>
                <c:pt idx="136">
                  <c:v>42278</c:v>
                </c:pt>
                <c:pt idx="137">
                  <c:v>42309</c:v>
                </c:pt>
                <c:pt idx="138">
                  <c:v>42339</c:v>
                </c:pt>
                <c:pt idx="139">
                  <c:v>42370</c:v>
                </c:pt>
                <c:pt idx="140">
                  <c:v>42401</c:v>
                </c:pt>
                <c:pt idx="141">
                  <c:v>42430</c:v>
                </c:pt>
                <c:pt idx="142">
                  <c:v>42461</c:v>
                </c:pt>
              </c:numCache>
            </c:numRef>
          </c:cat>
          <c:val>
            <c:numRef>
              <c:f>Sheet1!$C$2:$C$144</c:f>
              <c:numCache>
                <c:formatCode>General</c:formatCode>
                <c:ptCount val="143"/>
                <c:pt idx="0">
                  <c:v>115.07</c:v>
                </c:pt>
                <c:pt idx="1">
                  <c:v>115.77</c:v>
                </c:pt>
                <c:pt idx="2">
                  <c:v>116.46</c:v>
                </c:pt>
                <c:pt idx="3">
                  <c:v>117.15</c:v>
                </c:pt>
                <c:pt idx="4">
                  <c:v>117.42</c:v>
                </c:pt>
                <c:pt idx="5">
                  <c:v>117.69</c:v>
                </c:pt>
                <c:pt idx="6">
                  <c:v>117.96</c:v>
                </c:pt>
                <c:pt idx="7">
                  <c:v>118.39</c:v>
                </c:pt>
                <c:pt idx="8">
                  <c:v>118.81</c:v>
                </c:pt>
                <c:pt idx="9">
                  <c:v>119.23</c:v>
                </c:pt>
                <c:pt idx="10">
                  <c:v>120.01</c:v>
                </c:pt>
                <c:pt idx="11">
                  <c:v>120.79</c:v>
                </c:pt>
                <c:pt idx="12">
                  <c:v>121.56</c:v>
                </c:pt>
                <c:pt idx="13">
                  <c:v>122.15</c:v>
                </c:pt>
                <c:pt idx="14">
                  <c:v>122.75</c:v>
                </c:pt>
                <c:pt idx="15">
                  <c:v>123.33</c:v>
                </c:pt>
                <c:pt idx="16">
                  <c:v>123.1</c:v>
                </c:pt>
                <c:pt idx="17">
                  <c:v>122.88</c:v>
                </c:pt>
                <c:pt idx="18">
                  <c:v>122.66</c:v>
                </c:pt>
                <c:pt idx="19">
                  <c:v>122.67</c:v>
                </c:pt>
                <c:pt idx="20">
                  <c:v>122.69</c:v>
                </c:pt>
                <c:pt idx="21">
                  <c:v>122.7</c:v>
                </c:pt>
                <c:pt idx="22">
                  <c:v>122.13</c:v>
                </c:pt>
                <c:pt idx="23">
                  <c:v>121.57</c:v>
                </c:pt>
                <c:pt idx="24">
                  <c:v>121.02</c:v>
                </c:pt>
                <c:pt idx="25">
                  <c:v>119.83</c:v>
                </c:pt>
                <c:pt idx="26">
                  <c:v>118.67</c:v>
                </c:pt>
                <c:pt idx="27">
                  <c:v>117.54</c:v>
                </c:pt>
                <c:pt idx="28">
                  <c:v>117.11</c:v>
                </c:pt>
                <c:pt idx="29">
                  <c:v>116.68</c:v>
                </c:pt>
                <c:pt idx="30">
                  <c:v>116.26</c:v>
                </c:pt>
                <c:pt idx="31">
                  <c:v>115.52</c:v>
                </c:pt>
                <c:pt idx="32">
                  <c:v>114.78</c:v>
                </c:pt>
                <c:pt idx="33">
                  <c:v>114.06</c:v>
                </c:pt>
                <c:pt idx="34">
                  <c:v>112.84</c:v>
                </c:pt>
                <c:pt idx="35">
                  <c:v>111.64</c:v>
                </c:pt>
                <c:pt idx="36">
                  <c:v>110.46</c:v>
                </c:pt>
                <c:pt idx="37">
                  <c:v>108.96</c:v>
                </c:pt>
                <c:pt idx="38">
                  <c:v>107.49</c:v>
                </c:pt>
                <c:pt idx="39">
                  <c:v>106.05</c:v>
                </c:pt>
                <c:pt idx="40">
                  <c:v>105.16</c:v>
                </c:pt>
                <c:pt idx="41">
                  <c:v>104.28</c:v>
                </c:pt>
                <c:pt idx="42">
                  <c:v>103.41</c:v>
                </c:pt>
                <c:pt idx="43">
                  <c:v>102.62</c:v>
                </c:pt>
                <c:pt idx="44">
                  <c:v>101.84</c:v>
                </c:pt>
                <c:pt idx="45">
                  <c:v>101.07</c:v>
                </c:pt>
                <c:pt idx="46">
                  <c:v>99.89</c:v>
                </c:pt>
                <c:pt idx="47">
                  <c:v>98.73</c:v>
                </c:pt>
                <c:pt idx="48">
                  <c:v>97.57</c:v>
                </c:pt>
                <c:pt idx="49">
                  <c:v>96.28</c:v>
                </c:pt>
                <c:pt idx="50">
                  <c:v>95.01</c:v>
                </c:pt>
                <c:pt idx="51">
                  <c:v>93.74</c:v>
                </c:pt>
                <c:pt idx="52">
                  <c:v>93.15</c:v>
                </c:pt>
                <c:pt idx="53">
                  <c:v>92.55</c:v>
                </c:pt>
                <c:pt idx="54">
                  <c:v>91.97</c:v>
                </c:pt>
                <c:pt idx="55">
                  <c:v>92.08</c:v>
                </c:pt>
                <c:pt idx="56">
                  <c:v>92.19</c:v>
                </c:pt>
                <c:pt idx="57">
                  <c:v>92.31</c:v>
                </c:pt>
                <c:pt idx="58">
                  <c:v>91.51</c:v>
                </c:pt>
                <c:pt idx="59">
                  <c:v>90.71</c:v>
                </c:pt>
                <c:pt idx="60">
                  <c:v>89.92</c:v>
                </c:pt>
                <c:pt idx="61">
                  <c:v>89.45</c:v>
                </c:pt>
                <c:pt idx="62">
                  <c:v>88.99</c:v>
                </c:pt>
                <c:pt idx="63">
                  <c:v>88.52</c:v>
                </c:pt>
                <c:pt idx="64">
                  <c:v>88.39</c:v>
                </c:pt>
                <c:pt idx="65">
                  <c:v>88.26</c:v>
                </c:pt>
                <c:pt idx="66">
                  <c:v>88.13</c:v>
                </c:pt>
                <c:pt idx="67">
                  <c:v>87.98</c:v>
                </c:pt>
                <c:pt idx="68">
                  <c:v>87.84</c:v>
                </c:pt>
                <c:pt idx="69">
                  <c:v>87.69</c:v>
                </c:pt>
                <c:pt idx="70">
                  <c:v>88.16</c:v>
                </c:pt>
                <c:pt idx="71">
                  <c:v>88.63</c:v>
                </c:pt>
                <c:pt idx="72">
                  <c:v>89.12</c:v>
                </c:pt>
                <c:pt idx="73">
                  <c:v>90.35</c:v>
                </c:pt>
                <c:pt idx="74">
                  <c:v>91.6</c:v>
                </c:pt>
                <c:pt idx="75">
                  <c:v>92.88</c:v>
                </c:pt>
                <c:pt idx="76">
                  <c:v>92.93</c:v>
                </c:pt>
                <c:pt idx="77">
                  <c:v>92.99</c:v>
                </c:pt>
                <c:pt idx="78">
                  <c:v>93.04</c:v>
                </c:pt>
                <c:pt idx="79">
                  <c:v>91.96</c:v>
                </c:pt>
                <c:pt idx="80">
                  <c:v>90.88</c:v>
                </c:pt>
                <c:pt idx="81">
                  <c:v>89.81</c:v>
                </c:pt>
                <c:pt idx="82">
                  <c:v>90.1</c:v>
                </c:pt>
                <c:pt idx="83">
                  <c:v>90.4</c:v>
                </c:pt>
                <c:pt idx="84">
                  <c:v>90.7</c:v>
                </c:pt>
                <c:pt idx="85">
                  <c:v>91.74</c:v>
                </c:pt>
                <c:pt idx="86">
                  <c:v>92.81</c:v>
                </c:pt>
                <c:pt idx="87">
                  <c:v>93.89</c:v>
                </c:pt>
                <c:pt idx="88">
                  <c:v>94.26</c:v>
                </c:pt>
                <c:pt idx="89">
                  <c:v>94.63</c:v>
                </c:pt>
                <c:pt idx="90">
                  <c:v>95.01</c:v>
                </c:pt>
                <c:pt idx="91">
                  <c:v>95.06</c:v>
                </c:pt>
                <c:pt idx="92">
                  <c:v>95.12</c:v>
                </c:pt>
                <c:pt idx="93">
                  <c:v>95.17</c:v>
                </c:pt>
                <c:pt idx="94">
                  <c:v>95.34</c:v>
                </c:pt>
                <c:pt idx="95">
                  <c:v>95.5</c:v>
                </c:pt>
                <c:pt idx="96">
                  <c:v>95.67</c:v>
                </c:pt>
                <c:pt idx="97">
                  <c:v>95.77</c:v>
                </c:pt>
                <c:pt idx="98">
                  <c:v>95.88</c:v>
                </c:pt>
                <c:pt idx="99">
                  <c:v>95.98</c:v>
                </c:pt>
                <c:pt idx="100">
                  <c:v>96.47</c:v>
                </c:pt>
                <c:pt idx="101">
                  <c:v>96.97</c:v>
                </c:pt>
                <c:pt idx="102">
                  <c:v>97.47</c:v>
                </c:pt>
                <c:pt idx="103">
                  <c:v>98.55</c:v>
                </c:pt>
                <c:pt idx="104">
                  <c:v>99.64</c:v>
                </c:pt>
                <c:pt idx="105">
                  <c:v>100.76</c:v>
                </c:pt>
                <c:pt idx="106">
                  <c:v>101.88</c:v>
                </c:pt>
                <c:pt idx="107">
                  <c:v>103</c:v>
                </c:pt>
                <c:pt idx="108">
                  <c:v>104.14</c:v>
                </c:pt>
                <c:pt idx="109">
                  <c:v>104.44</c:v>
                </c:pt>
                <c:pt idx="110">
                  <c:v>104.74</c:v>
                </c:pt>
                <c:pt idx="111">
                  <c:v>105.03</c:v>
                </c:pt>
                <c:pt idx="112">
                  <c:v>105.2</c:v>
                </c:pt>
                <c:pt idx="113">
                  <c:v>105.38</c:v>
                </c:pt>
                <c:pt idx="114">
                  <c:v>105.55</c:v>
                </c:pt>
                <c:pt idx="115">
                  <c:v>106.24</c:v>
                </c:pt>
                <c:pt idx="116">
                  <c:v>106.93</c:v>
                </c:pt>
                <c:pt idx="117">
                  <c:v>107.63</c:v>
                </c:pt>
                <c:pt idx="118">
                  <c:v>108.51</c:v>
                </c:pt>
                <c:pt idx="119">
                  <c:v>109.39</c:v>
                </c:pt>
                <c:pt idx="120">
                  <c:v>110.28</c:v>
                </c:pt>
                <c:pt idx="121">
                  <c:v>110.37</c:v>
                </c:pt>
                <c:pt idx="122">
                  <c:v>110.47</c:v>
                </c:pt>
                <c:pt idx="123">
                  <c:v>110.56</c:v>
                </c:pt>
                <c:pt idx="124">
                  <c:v>110.58</c:v>
                </c:pt>
                <c:pt idx="125">
                  <c:v>110.61</c:v>
                </c:pt>
                <c:pt idx="126">
                  <c:v>110.63</c:v>
                </c:pt>
                <c:pt idx="127">
                  <c:v>110.78</c:v>
                </c:pt>
                <c:pt idx="128">
                  <c:v>110.93</c:v>
                </c:pt>
                <c:pt idx="129">
                  <c:v>111.08</c:v>
                </c:pt>
                <c:pt idx="130">
                  <c:v>111.22</c:v>
                </c:pt>
                <c:pt idx="131">
                  <c:v>111.36</c:v>
                </c:pt>
                <c:pt idx="132">
                  <c:v>111.49</c:v>
                </c:pt>
                <c:pt idx="133">
                  <c:v>111.53</c:v>
                </c:pt>
                <c:pt idx="134">
                  <c:v>111.56</c:v>
                </c:pt>
                <c:pt idx="135">
                  <c:v>111.6</c:v>
                </c:pt>
                <c:pt idx="136">
                  <c:v>111.52</c:v>
                </c:pt>
                <c:pt idx="137">
                  <c:v>111.45</c:v>
                </c:pt>
                <c:pt idx="138">
                  <c:v>111.37</c:v>
                </c:pt>
                <c:pt idx="139">
                  <c:v>111.31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1668736"/>
        <c:axId val="751262336"/>
      </c:lineChart>
      <c:dateAx>
        <c:axId val="3235445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24347776"/>
        <c:crosses val="autoZero"/>
        <c:auto val="1"/>
        <c:lblOffset val="100"/>
        <c:baseTimeUnit val="months"/>
      </c:dateAx>
      <c:valAx>
        <c:axId val="324347776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323544576"/>
        <c:crosses val="autoZero"/>
        <c:crossBetween val="between"/>
      </c:valAx>
      <c:valAx>
        <c:axId val="751262336"/>
        <c:scaling>
          <c:orientation val="minMax"/>
          <c:min val="80"/>
        </c:scaling>
        <c:delete val="0"/>
        <c:axPos val="r"/>
        <c:numFmt formatCode="General" sourceLinked="1"/>
        <c:majorTickMark val="out"/>
        <c:minorTickMark val="none"/>
        <c:tickLblPos val="nextTo"/>
        <c:crossAx val="761668736"/>
        <c:crosses val="max"/>
        <c:crossBetween val="between"/>
      </c:valAx>
      <c:dateAx>
        <c:axId val="76166873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751262336"/>
        <c:auto val="1"/>
        <c:lblOffset val="100"/>
        <c:baseTimeUnit val="months"/>
      </c:date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MBA MCAI</c:v>
                </c:pt>
              </c:strCache>
            </c:strRef>
          </c:tx>
          <c:marker>
            <c:symbol val="none"/>
          </c:marker>
          <c:cat>
            <c:numRef>
              <c:f>Sheet1!$A$2:$A$144</c:f>
              <c:numCache>
                <c:formatCode>m/d/yyyy</c:formatCode>
                <c:ptCount val="143"/>
                <c:pt idx="0">
                  <c:v>38139</c:v>
                </c:pt>
                <c:pt idx="1">
                  <c:v>38169</c:v>
                </c:pt>
                <c:pt idx="2">
                  <c:v>38200</c:v>
                </c:pt>
                <c:pt idx="3">
                  <c:v>38231</c:v>
                </c:pt>
                <c:pt idx="4">
                  <c:v>38261</c:v>
                </c:pt>
                <c:pt idx="5">
                  <c:v>38292</c:v>
                </c:pt>
                <c:pt idx="6">
                  <c:v>38322</c:v>
                </c:pt>
                <c:pt idx="7">
                  <c:v>38353</c:v>
                </c:pt>
                <c:pt idx="8">
                  <c:v>38384</c:v>
                </c:pt>
                <c:pt idx="9">
                  <c:v>38412</c:v>
                </c:pt>
                <c:pt idx="10">
                  <c:v>38443</c:v>
                </c:pt>
                <c:pt idx="11">
                  <c:v>38473</c:v>
                </c:pt>
                <c:pt idx="12">
                  <c:v>38504</c:v>
                </c:pt>
                <c:pt idx="13">
                  <c:v>38534</c:v>
                </c:pt>
                <c:pt idx="14">
                  <c:v>38565</c:v>
                </c:pt>
                <c:pt idx="15">
                  <c:v>38596</c:v>
                </c:pt>
                <c:pt idx="16">
                  <c:v>38626</c:v>
                </c:pt>
                <c:pt idx="17">
                  <c:v>38657</c:v>
                </c:pt>
                <c:pt idx="18">
                  <c:v>38687</c:v>
                </c:pt>
                <c:pt idx="19">
                  <c:v>38718</c:v>
                </c:pt>
                <c:pt idx="20">
                  <c:v>38749</c:v>
                </c:pt>
                <c:pt idx="21">
                  <c:v>38777</c:v>
                </c:pt>
                <c:pt idx="22">
                  <c:v>38808</c:v>
                </c:pt>
                <c:pt idx="23">
                  <c:v>38838</c:v>
                </c:pt>
                <c:pt idx="24">
                  <c:v>38869</c:v>
                </c:pt>
                <c:pt idx="25">
                  <c:v>38899</c:v>
                </c:pt>
                <c:pt idx="26">
                  <c:v>38930</c:v>
                </c:pt>
                <c:pt idx="27">
                  <c:v>38961</c:v>
                </c:pt>
                <c:pt idx="28">
                  <c:v>38991</c:v>
                </c:pt>
                <c:pt idx="29">
                  <c:v>39022</c:v>
                </c:pt>
                <c:pt idx="30">
                  <c:v>39052</c:v>
                </c:pt>
                <c:pt idx="31">
                  <c:v>39083</c:v>
                </c:pt>
                <c:pt idx="32">
                  <c:v>39114</c:v>
                </c:pt>
                <c:pt idx="33">
                  <c:v>39142</c:v>
                </c:pt>
                <c:pt idx="34">
                  <c:v>39173</c:v>
                </c:pt>
                <c:pt idx="35">
                  <c:v>39203</c:v>
                </c:pt>
                <c:pt idx="36">
                  <c:v>39234</c:v>
                </c:pt>
                <c:pt idx="37">
                  <c:v>39264</c:v>
                </c:pt>
                <c:pt idx="38">
                  <c:v>39295</c:v>
                </c:pt>
                <c:pt idx="39">
                  <c:v>39326</c:v>
                </c:pt>
                <c:pt idx="40">
                  <c:v>39356</c:v>
                </c:pt>
                <c:pt idx="41">
                  <c:v>39387</c:v>
                </c:pt>
                <c:pt idx="42">
                  <c:v>39417</c:v>
                </c:pt>
                <c:pt idx="43">
                  <c:v>39448</c:v>
                </c:pt>
                <c:pt idx="44">
                  <c:v>39479</c:v>
                </c:pt>
                <c:pt idx="45">
                  <c:v>39508</c:v>
                </c:pt>
                <c:pt idx="46">
                  <c:v>39539</c:v>
                </c:pt>
                <c:pt idx="47">
                  <c:v>39569</c:v>
                </c:pt>
                <c:pt idx="48">
                  <c:v>39600</c:v>
                </c:pt>
                <c:pt idx="49">
                  <c:v>39630</c:v>
                </c:pt>
                <c:pt idx="50">
                  <c:v>39661</c:v>
                </c:pt>
                <c:pt idx="51">
                  <c:v>39692</c:v>
                </c:pt>
                <c:pt idx="52">
                  <c:v>39722</c:v>
                </c:pt>
                <c:pt idx="53">
                  <c:v>39753</c:v>
                </c:pt>
                <c:pt idx="54">
                  <c:v>39783</c:v>
                </c:pt>
                <c:pt idx="55">
                  <c:v>39814</c:v>
                </c:pt>
                <c:pt idx="56">
                  <c:v>39845</c:v>
                </c:pt>
                <c:pt idx="57">
                  <c:v>39873</c:v>
                </c:pt>
                <c:pt idx="58">
                  <c:v>39904</c:v>
                </c:pt>
                <c:pt idx="59">
                  <c:v>39934</c:v>
                </c:pt>
                <c:pt idx="60">
                  <c:v>39965</c:v>
                </c:pt>
                <c:pt idx="61">
                  <c:v>39995</c:v>
                </c:pt>
                <c:pt idx="62">
                  <c:v>40026</c:v>
                </c:pt>
                <c:pt idx="63">
                  <c:v>40057</c:v>
                </c:pt>
                <c:pt idx="64">
                  <c:v>40087</c:v>
                </c:pt>
                <c:pt idx="65">
                  <c:v>40118</c:v>
                </c:pt>
                <c:pt idx="66">
                  <c:v>40148</c:v>
                </c:pt>
                <c:pt idx="67">
                  <c:v>40179</c:v>
                </c:pt>
                <c:pt idx="68">
                  <c:v>40210</c:v>
                </c:pt>
                <c:pt idx="69">
                  <c:v>40238</c:v>
                </c:pt>
                <c:pt idx="70">
                  <c:v>40269</c:v>
                </c:pt>
                <c:pt idx="71">
                  <c:v>40299</c:v>
                </c:pt>
                <c:pt idx="72">
                  <c:v>40330</c:v>
                </c:pt>
                <c:pt idx="73">
                  <c:v>40360</c:v>
                </c:pt>
                <c:pt idx="74">
                  <c:v>40391</c:v>
                </c:pt>
                <c:pt idx="75">
                  <c:v>40422</c:v>
                </c:pt>
                <c:pt idx="76">
                  <c:v>40452</c:v>
                </c:pt>
                <c:pt idx="77">
                  <c:v>40483</c:v>
                </c:pt>
                <c:pt idx="78">
                  <c:v>40513</c:v>
                </c:pt>
                <c:pt idx="79">
                  <c:v>40544</c:v>
                </c:pt>
                <c:pt idx="80">
                  <c:v>40575</c:v>
                </c:pt>
                <c:pt idx="81">
                  <c:v>40603</c:v>
                </c:pt>
                <c:pt idx="82">
                  <c:v>40634</c:v>
                </c:pt>
                <c:pt idx="83">
                  <c:v>40664</c:v>
                </c:pt>
                <c:pt idx="84">
                  <c:v>40695</c:v>
                </c:pt>
                <c:pt idx="85">
                  <c:v>40725</c:v>
                </c:pt>
                <c:pt idx="86">
                  <c:v>40756</c:v>
                </c:pt>
                <c:pt idx="87">
                  <c:v>40787</c:v>
                </c:pt>
                <c:pt idx="88">
                  <c:v>40817</c:v>
                </c:pt>
                <c:pt idx="89">
                  <c:v>40848</c:v>
                </c:pt>
                <c:pt idx="90">
                  <c:v>40878</c:v>
                </c:pt>
                <c:pt idx="91">
                  <c:v>40909</c:v>
                </c:pt>
                <c:pt idx="92">
                  <c:v>40940</c:v>
                </c:pt>
                <c:pt idx="93">
                  <c:v>40969</c:v>
                </c:pt>
                <c:pt idx="94">
                  <c:v>41000</c:v>
                </c:pt>
                <c:pt idx="95">
                  <c:v>41030</c:v>
                </c:pt>
                <c:pt idx="96">
                  <c:v>41061</c:v>
                </c:pt>
                <c:pt idx="97">
                  <c:v>41091</c:v>
                </c:pt>
                <c:pt idx="98">
                  <c:v>41122</c:v>
                </c:pt>
                <c:pt idx="99">
                  <c:v>41153</c:v>
                </c:pt>
                <c:pt idx="100">
                  <c:v>41183</c:v>
                </c:pt>
                <c:pt idx="101">
                  <c:v>41214</c:v>
                </c:pt>
                <c:pt idx="102">
                  <c:v>41244</c:v>
                </c:pt>
                <c:pt idx="103">
                  <c:v>41275</c:v>
                </c:pt>
                <c:pt idx="104">
                  <c:v>41306</c:v>
                </c:pt>
                <c:pt idx="105">
                  <c:v>41334</c:v>
                </c:pt>
                <c:pt idx="106">
                  <c:v>41365</c:v>
                </c:pt>
                <c:pt idx="107">
                  <c:v>41395</c:v>
                </c:pt>
                <c:pt idx="108">
                  <c:v>41426</c:v>
                </c:pt>
                <c:pt idx="109">
                  <c:v>41456</c:v>
                </c:pt>
                <c:pt idx="110">
                  <c:v>41487</c:v>
                </c:pt>
                <c:pt idx="111">
                  <c:v>41518</c:v>
                </c:pt>
                <c:pt idx="112">
                  <c:v>41548</c:v>
                </c:pt>
                <c:pt idx="113">
                  <c:v>41579</c:v>
                </c:pt>
                <c:pt idx="114">
                  <c:v>41609</c:v>
                </c:pt>
                <c:pt idx="115">
                  <c:v>41640</c:v>
                </c:pt>
                <c:pt idx="116">
                  <c:v>41671</c:v>
                </c:pt>
                <c:pt idx="117">
                  <c:v>41699</c:v>
                </c:pt>
                <c:pt idx="118">
                  <c:v>41730</c:v>
                </c:pt>
                <c:pt idx="119">
                  <c:v>41760</c:v>
                </c:pt>
                <c:pt idx="120">
                  <c:v>41791</c:v>
                </c:pt>
                <c:pt idx="121">
                  <c:v>41821</c:v>
                </c:pt>
                <c:pt idx="122">
                  <c:v>41852</c:v>
                </c:pt>
                <c:pt idx="123">
                  <c:v>41883</c:v>
                </c:pt>
                <c:pt idx="124">
                  <c:v>41913</c:v>
                </c:pt>
                <c:pt idx="125">
                  <c:v>41944</c:v>
                </c:pt>
                <c:pt idx="126">
                  <c:v>41974</c:v>
                </c:pt>
                <c:pt idx="127">
                  <c:v>42005</c:v>
                </c:pt>
                <c:pt idx="128">
                  <c:v>42036</c:v>
                </c:pt>
                <c:pt idx="129">
                  <c:v>42064</c:v>
                </c:pt>
                <c:pt idx="130">
                  <c:v>42095</c:v>
                </c:pt>
                <c:pt idx="131">
                  <c:v>42125</c:v>
                </c:pt>
                <c:pt idx="132">
                  <c:v>42156</c:v>
                </c:pt>
                <c:pt idx="133">
                  <c:v>42186</c:v>
                </c:pt>
                <c:pt idx="134">
                  <c:v>42217</c:v>
                </c:pt>
                <c:pt idx="135">
                  <c:v>42248</c:v>
                </c:pt>
                <c:pt idx="136">
                  <c:v>42278</c:v>
                </c:pt>
                <c:pt idx="137">
                  <c:v>42309</c:v>
                </c:pt>
                <c:pt idx="138">
                  <c:v>42339</c:v>
                </c:pt>
                <c:pt idx="139">
                  <c:v>42370</c:v>
                </c:pt>
                <c:pt idx="140">
                  <c:v>42401</c:v>
                </c:pt>
                <c:pt idx="141">
                  <c:v>42430</c:v>
                </c:pt>
                <c:pt idx="142">
                  <c:v>42461</c:v>
                </c:pt>
              </c:numCache>
            </c:numRef>
          </c:cat>
          <c:val>
            <c:numRef>
              <c:f>Sheet1!$B$2:$B$144</c:f>
              <c:numCache>
                <c:formatCode>0.0</c:formatCode>
                <c:ptCount val="143"/>
                <c:pt idx="0">
                  <c:v>377</c:v>
                </c:pt>
                <c:pt idx="1">
                  <c:v>383.5</c:v>
                </c:pt>
                <c:pt idx="2">
                  <c:v>390</c:v>
                </c:pt>
                <c:pt idx="3">
                  <c:v>396.5</c:v>
                </c:pt>
                <c:pt idx="4">
                  <c:v>403</c:v>
                </c:pt>
                <c:pt idx="5">
                  <c:v>409.5</c:v>
                </c:pt>
                <c:pt idx="6">
                  <c:v>416</c:v>
                </c:pt>
                <c:pt idx="7">
                  <c:v>480.83333333333331</c:v>
                </c:pt>
                <c:pt idx="8">
                  <c:v>545.66666666666663</c:v>
                </c:pt>
                <c:pt idx="9">
                  <c:v>610.5</c:v>
                </c:pt>
                <c:pt idx="10">
                  <c:v>675.33333333333337</c:v>
                </c:pt>
                <c:pt idx="11">
                  <c:v>740.16666666666674</c:v>
                </c:pt>
                <c:pt idx="12">
                  <c:v>805</c:v>
                </c:pt>
                <c:pt idx="13">
                  <c:v>812.16666666666663</c:v>
                </c:pt>
                <c:pt idx="14">
                  <c:v>819.33333333333326</c:v>
                </c:pt>
                <c:pt idx="15">
                  <c:v>826.49999999999989</c:v>
                </c:pt>
                <c:pt idx="16">
                  <c:v>833.66666666666652</c:v>
                </c:pt>
                <c:pt idx="17">
                  <c:v>840.83333333333314</c:v>
                </c:pt>
                <c:pt idx="18">
                  <c:v>848</c:v>
                </c:pt>
                <c:pt idx="19">
                  <c:v>851.83333333333337</c:v>
                </c:pt>
                <c:pt idx="20">
                  <c:v>855.66666666666674</c:v>
                </c:pt>
                <c:pt idx="21">
                  <c:v>859.50000000000011</c:v>
                </c:pt>
                <c:pt idx="22">
                  <c:v>863.33333333333348</c:v>
                </c:pt>
                <c:pt idx="23">
                  <c:v>867.16666666666686</c:v>
                </c:pt>
                <c:pt idx="24">
                  <c:v>871</c:v>
                </c:pt>
                <c:pt idx="25">
                  <c:v>846.83333333333337</c:v>
                </c:pt>
                <c:pt idx="26">
                  <c:v>822.66666666666674</c:v>
                </c:pt>
                <c:pt idx="27">
                  <c:v>798.50000000000011</c:v>
                </c:pt>
                <c:pt idx="28">
                  <c:v>774.33333333333348</c:v>
                </c:pt>
                <c:pt idx="29">
                  <c:v>750.16666666666686</c:v>
                </c:pt>
                <c:pt idx="30">
                  <c:v>726</c:v>
                </c:pt>
                <c:pt idx="31">
                  <c:v>696.33333333333337</c:v>
                </c:pt>
                <c:pt idx="32">
                  <c:v>666.66666666666674</c:v>
                </c:pt>
                <c:pt idx="33">
                  <c:v>637.00000000000011</c:v>
                </c:pt>
                <c:pt idx="34">
                  <c:v>607.33333333333348</c:v>
                </c:pt>
                <c:pt idx="35">
                  <c:v>577.66666666666686</c:v>
                </c:pt>
                <c:pt idx="36">
                  <c:v>548</c:v>
                </c:pt>
                <c:pt idx="37">
                  <c:v>509.5</c:v>
                </c:pt>
                <c:pt idx="38">
                  <c:v>471</c:v>
                </c:pt>
                <c:pt idx="39">
                  <c:v>432.5</c:v>
                </c:pt>
                <c:pt idx="40">
                  <c:v>394</c:v>
                </c:pt>
                <c:pt idx="41">
                  <c:v>355.5</c:v>
                </c:pt>
                <c:pt idx="42">
                  <c:v>317</c:v>
                </c:pt>
                <c:pt idx="43">
                  <c:v>283.83333333333331</c:v>
                </c:pt>
                <c:pt idx="44">
                  <c:v>250.66666666666666</c:v>
                </c:pt>
                <c:pt idx="45">
                  <c:v>217.5</c:v>
                </c:pt>
                <c:pt idx="46">
                  <c:v>184.33333333333334</c:v>
                </c:pt>
                <c:pt idx="47">
                  <c:v>151.16666666666669</c:v>
                </c:pt>
                <c:pt idx="48">
                  <c:v>118</c:v>
                </c:pt>
                <c:pt idx="49">
                  <c:v>112.33333333333333</c:v>
                </c:pt>
                <c:pt idx="50">
                  <c:v>106.66666666666666</c:v>
                </c:pt>
                <c:pt idx="51">
                  <c:v>100.99999999999999</c:v>
                </c:pt>
                <c:pt idx="52">
                  <c:v>95.333333333333314</c:v>
                </c:pt>
                <c:pt idx="53">
                  <c:v>89.666666666666643</c:v>
                </c:pt>
                <c:pt idx="54">
                  <c:v>84</c:v>
                </c:pt>
                <c:pt idx="55">
                  <c:v>91.166666666666671</c:v>
                </c:pt>
                <c:pt idx="56">
                  <c:v>98.333333333333343</c:v>
                </c:pt>
                <c:pt idx="57">
                  <c:v>105.50000000000001</c:v>
                </c:pt>
                <c:pt idx="58">
                  <c:v>112.66666666666669</c:v>
                </c:pt>
                <c:pt idx="59">
                  <c:v>119.83333333333336</c:v>
                </c:pt>
                <c:pt idx="60">
                  <c:v>127</c:v>
                </c:pt>
                <c:pt idx="61">
                  <c:v>121.5</c:v>
                </c:pt>
                <c:pt idx="62">
                  <c:v>116</c:v>
                </c:pt>
                <c:pt idx="63">
                  <c:v>110.5</c:v>
                </c:pt>
                <c:pt idx="64">
                  <c:v>105</c:v>
                </c:pt>
                <c:pt idx="65">
                  <c:v>99.5</c:v>
                </c:pt>
                <c:pt idx="66">
                  <c:v>94</c:v>
                </c:pt>
                <c:pt idx="67">
                  <c:v>94.666666666666671</c:v>
                </c:pt>
                <c:pt idx="68">
                  <c:v>95.333333333333343</c:v>
                </c:pt>
                <c:pt idx="69">
                  <c:v>96.000000000000014</c:v>
                </c:pt>
                <c:pt idx="70">
                  <c:v>96.666666666666686</c:v>
                </c:pt>
                <c:pt idx="71">
                  <c:v>97.333333333333357</c:v>
                </c:pt>
                <c:pt idx="72">
                  <c:v>98</c:v>
                </c:pt>
                <c:pt idx="73">
                  <c:v>101.16666666666667</c:v>
                </c:pt>
                <c:pt idx="74">
                  <c:v>104.33333333333334</c:v>
                </c:pt>
                <c:pt idx="75">
                  <c:v>107.50000000000001</c:v>
                </c:pt>
                <c:pt idx="76">
                  <c:v>110.66666666666669</c:v>
                </c:pt>
                <c:pt idx="77">
                  <c:v>113.83333333333336</c:v>
                </c:pt>
                <c:pt idx="78">
                  <c:v>117</c:v>
                </c:pt>
                <c:pt idx="79">
                  <c:v>115.83333333333333</c:v>
                </c:pt>
                <c:pt idx="80">
                  <c:v>114.66666666666666</c:v>
                </c:pt>
                <c:pt idx="81">
                  <c:v>112.08</c:v>
                </c:pt>
                <c:pt idx="82">
                  <c:v>107.04</c:v>
                </c:pt>
                <c:pt idx="83">
                  <c:v>109.28</c:v>
                </c:pt>
                <c:pt idx="84">
                  <c:v>110.55</c:v>
                </c:pt>
                <c:pt idx="85">
                  <c:v>109.95</c:v>
                </c:pt>
                <c:pt idx="86">
                  <c:v>107.75</c:v>
                </c:pt>
                <c:pt idx="87">
                  <c:v>111.19</c:v>
                </c:pt>
                <c:pt idx="88">
                  <c:v>107.1</c:v>
                </c:pt>
                <c:pt idx="89">
                  <c:v>106.28</c:v>
                </c:pt>
                <c:pt idx="90">
                  <c:v>104.92</c:v>
                </c:pt>
                <c:pt idx="91">
                  <c:v>102.38</c:v>
                </c:pt>
                <c:pt idx="92">
                  <c:v>99.04</c:v>
                </c:pt>
                <c:pt idx="93">
                  <c:v>100</c:v>
                </c:pt>
                <c:pt idx="94">
                  <c:v>101.71</c:v>
                </c:pt>
                <c:pt idx="95">
                  <c:v>101.55</c:v>
                </c:pt>
                <c:pt idx="96">
                  <c:v>103.01</c:v>
                </c:pt>
                <c:pt idx="97">
                  <c:v>99.67</c:v>
                </c:pt>
                <c:pt idx="98">
                  <c:v>103.93</c:v>
                </c:pt>
                <c:pt idx="99">
                  <c:v>103.92</c:v>
                </c:pt>
                <c:pt idx="100">
                  <c:v>101.4</c:v>
                </c:pt>
                <c:pt idx="101">
                  <c:v>105.95</c:v>
                </c:pt>
                <c:pt idx="102">
                  <c:v>108.16</c:v>
                </c:pt>
                <c:pt idx="103">
                  <c:v>108.21</c:v>
                </c:pt>
                <c:pt idx="104">
                  <c:v>109.13</c:v>
                </c:pt>
                <c:pt idx="105">
                  <c:v>108.01</c:v>
                </c:pt>
                <c:pt idx="106">
                  <c:v>108.56</c:v>
                </c:pt>
                <c:pt idx="107">
                  <c:v>108.87</c:v>
                </c:pt>
                <c:pt idx="108">
                  <c:v>109.81</c:v>
                </c:pt>
                <c:pt idx="109">
                  <c:v>112.3</c:v>
                </c:pt>
                <c:pt idx="110">
                  <c:v>111.5</c:v>
                </c:pt>
                <c:pt idx="111">
                  <c:v>110.7</c:v>
                </c:pt>
                <c:pt idx="112">
                  <c:v>111.5</c:v>
                </c:pt>
                <c:pt idx="113">
                  <c:v>110.2</c:v>
                </c:pt>
                <c:pt idx="114">
                  <c:v>110.9</c:v>
                </c:pt>
                <c:pt idx="115">
                  <c:v>113</c:v>
                </c:pt>
                <c:pt idx="116">
                  <c:v>113.5</c:v>
                </c:pt>
                <c:pt idx="117">
                  <c:v>114</c:v>
                </c:pt>
                <c:pt idx="118">
                  <c:v>113.8</c:v>
                </c:pt>
                <c:pt idx="119">
                  <c:v>115.1</c:v>
                </c:pt>
                <c:pt idx="120">
                  <c:v>115.8</c:v>
                </c:pt>
                <c:pt idx="121">
                  <c:v>116.4</c:v>
                </c:pt>
                <c:pt idx="122">
                  <c:v>116.1</c:v>
                </c:pt>
                <c:pt idx="123">
                  <c:v>116.1</c:v>
                </c:pt>
                <c:pt idx="124">
                  <c:v>113.2</c:v>
                </c:pt>
                <c:pt idx="125">
                  <c:v>114.6</c:v>
                </c:pt>
                <c:pt idx="126">
                  <c:v>115.7</c:v>
                </c:pt>
                <c:pt idx="127">
                  <c:v>117.8</c:v>
                </c:pt>
                <c:pt idx="128">
                  <c:v>118.6</c:v>
                </c:pt>
                <c:pt idx="129">
                  <c:v>121.35899999999999</c:v>
                </c:pt>
                <c:pt idx="130">
                  <c:v>122</c:v>
                </c:pt>
                <c:pt idx="131">
                  <c:v>122.6</c:v>
                </c:pt>
                <c:pt idx="132">
                  <c:v>122</c:v>
                </c:pt>
                <c:pt idx="133">
                  <c:v>125.5</c:v>
                </c:pt>
                <c:pt idx="134">
                  <c:v>126.1</c:v>
                </c:pt>
                <c:pt idx="135">
                  <c:v>126.5</c:v>
                </c:pt>
                <c:pt idx="136">
                  <c:v>128.4</c:v>
                </c:pt>
                <c:pt idx="137">
                  <c:v>127.4</c:v>
                </c:pt>
                <c:pt idx="138">
                  <c:v>124.346</c:v>
                </c:pt>
                <c:pt idx="139">
                  <c:v>123.8</c:v>
                </c:pt>
                <c:pt idx="140">
                  <c:v>123.8</c:v>
                </c:pt>
                <c:pt idx="141">
                  <c:v>123.5</c:v>
                </c:pt>
                <c:pt idx="142">
                  <c:v>122.4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6261120"/>
        <c:axId val="751268992"/>
      </c:lineChart>
      <c:lineChart>
        <c:grouping val="standard"/>
        <c:varyColors val="0"/>
        <c:ser>
          <c:idx val="1"/>
          <c:order val="1"/>
          <c:tx>
            <c:strRef>
              <c:f>Sheet1!$D$1</c:f>
              <c:strCache>
                <c:ptCount val="1"/>
                <c:pt idx="0">
                  <c:v>Cello MCAI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cat>
            <c:numRef>
              <c:f>Sheet1!$A$2:$A$144</c:f>
              <c:numCache>
                <c:formatCode>m/d/yyyy</c:formatCode>
                <c:ptCount val="143"/>
                <c:pt idx="0">
                  <c:v>38139</c:v>
                </c:pt>
                <c:pt idx="1">
                  <c:v>38169</c:v>
                </c:pt>
                <c:pt idx="2">
                  <c:v>38200</c:v>
                </c:pt>
                <c:pt idx="3">
                  <c:v>38231</c:v>
                </c:pt>
                <c:pt idx="4">
                  <c:v>38261</c:v>
                </c:pt>
                <c:pt idx="5">
                  <c:v>38292</c:v>
                </c:pt>
                <c:pt idx="6">
                  <c:v>38322</c:v>
                </c:pt>
                <c:pt idx="7">
                  <c:v>38353</c:v>
                </c:pt>
                <c:pt idx="8">
                  <c:v>38384</c:v>
                </c:pt>
                <c:pt idx="9">
                  <c:v>38412</c:v>
                </c:pt>
                <c:pt idx="10">
                  <c:v>38443</c:v>
                </c:pt>
                <c:pt idx="11">
                  <c:v>38473</c:v>
                </c:pt>
                <c:pt idx="12">
                  <c:v>38504</c:v>
                </c:pt>
                <c:pt idx="13">
                  <c:v>38534</c:v>
                </c:pt>
                <c:pt idx="14">
                  <c:v>38565</c:v>
                </c:pt>
                <c:pt idx="15">
                  <c:v>38596</c:v>
                </c:pt>
                <c:pt idx="16">
                  <c:v>38626</c:v>
                </c:pt>
                <c:pt idx="17">
                  <c:v>38657</c:v>
                </c:pt>
                <c:pt idx="18">
                  <c:v>38687</c:v>
                </c:pt>
                <c:pt idx="19">
                  <c:v>38718</c:v>
                </c:pt>
                <c:pt idx="20">
                  <c:v>38749</c:v>
                </c:pt>
                <c:pt idx="21">
                  <c:v>38777</c:v>
                </c:pt>
                <c:pt idx="22">
                  <c:v>38808</c:v>
                </c:pt>
                <c:pt idx="23">
                  <c:v>38838</c:v>
                </c:pt>
                <c:pt idx="24">
                  <c:v>38869</c:v>
                </c:pt>
                <c:pt idx="25">
                  <c:v>38899</c:v>
                </c:pt>
                <c:pt idx="26">
                  <c:v>38930</c:v>
                </c:pt>
                <c:pt idx="27">
                  <c:v>38961</c:v>
                </c:pt>
                <c:pt idx="28">
                  <c:v>38991</c:v>
                </c:pt>
                <c:pt idx="29">
                  <c:v>39022</c:v>
                </c:pt>
                <c:pt idx="30">
                  <c:v>39052</c:v>
                </c:pt>
                <c:pt idx="31">
                  <c:v>39083</c:v>
                </c:pt>
                <c:pt idx="32">
                  <c:v>39114</c:v>
                </c:pt>
                <c:pt idx="33">
                  <c:v>39142</c:v>
                </c:pt>
                <c:pt idx="34">
                  <c:v>39173</c:v>
                </c:pt>
                <c:pt idx="35">
                  <c:v>39203</c:v>
                </c:pt>
                <c:pt idx="36">
                  <c:v>39234</c:v>
                </c:pt>
                <c:pt idx="37">
                  <c:v>39264</c:v>
                </c:pt>
                <c:pt idx="38">
                  <c:v>39295</c:v>
                </c:pt>
                <c:pt idx="39">
                  <c:v>39326</c:v>
                </c:pt>
                <c:pt idx="40">
                  <c:v>39356</c:v>
                </c:pt>
                <c:pt idx="41">
                  <c:v>39387</c:v>
                </c:pt>
                <c:pt idx="42">
                  <c:v>39417</c:v>
                </c:pt>
                <c:pt idx="43">
                  <c:v>39448</c:v>
                </c:pt>
                <c:pt idx="44">
                  <c:v>39479</c:v>
                </c:pt>
                <c:pt idx="45">
                  <c:v>39508</c:v>
                </c:pt>
                <c:pt idx="46">
                  <c:v>39539</c:v>
                </c:pt>
                <c:pt idx="47">
                  <c:v>39569</c:v>
                </c:pt>
                <c:pt idx="48">
                  <c:v>39600</c:v>
                </c:pt>
                <c:pt idx="49">
                  <c:v>39630</c:v>
                </c:pt>
                <c:pt idx="50">
                  <c:v>39661</c:v>
                </c:pt>
                <c:pt idx="51">
                  <c:v>39692</c:v>
                </c:pt>
                <c:pt idx="52">
                  <c:v>39722</c:v>
                </c:pt>
                <c:pt idx="53">
                  <c:v>39753</c:v>
                </c:pt>
                <c:pt idx="54">
                  <c:v>39783</c:v>
                </c:pt>
                <c:pt idx="55">
                  <c:v>39814</c:v>
                </c:pt>
                <c:pt idx="56">
                  <c:v>39845</c:v>
                </c:pt>
                <c:pt idx="57">
                  <c:v>39873</c:v>
                </c:pt>
                <c:pt idx="58">
                  <c:v>39904</c:v>
                </c:pt>
                <c:pt idx="59">
                  <c:v>39934</c:v>
                </c:pt>
                <c:pt idx="60">
                  <c:v>39965</c:v>
                </c:pt>
                <c:pt idx="61">
                  <c:v>39995</c:v>
                </c:pt>
                <c:pt idx="62">
                  <c:v>40026</c:v>
                </c:pt>
                <c:pt idx="63">
                  <c:v>40057</c:v>
                </c:pt>
                <c:pt idx="64">
                  <c:v>40087</c:v>
                </c:pt>
                <c:pt idx="65">
                  <c:v>40118</c:v>
                </c:pt>
                <c:pt idx="66">
                  <c:v>40148</c:v>
                </c:pt>
                <c:pt idx="67">
                  <c:v>40179</c:v>
                </c:pt>
                <c:pt idx="68">
                  <c:v>40210</c:v>
                </c:pt>
                <c:pt idx="69">
                  <c:v>40238</c:v>
                </c:pt>
                <c:pt idx="70">
                  <c:v>40269</c:v>
                </c:pt>
                <c:pt idx="71">
                  <c:v>40299</c:v>
                </c:pt>
                <c:pt idx="72">
                  <c:v>40330</c:v>
                </c:pt>
                <c:pt idx="73">
                  <c:v>40360</c:v>
                </c:pt>
                <c:pt idx="74">
                  <c:v>40391</c:v>
                </c:pt>
                <c:pt idx="75">
                  <c:v>40422</c:v>
                </c:pt>
                <c:pt idx="76">
                  <c:v>40452</c:v>
                </c:pt>
                <c:pt idx="77">
                  <c:v>40483</c:v>
                </c:pt>
                <c:pt idx="78">
                  <c:v>40513</c:v>
                </c:pt>
                <c:pt idx="79">
                  <c:v>40544</c:v>
                </c:pt>
                <c:pt idx="80">
                  <c:v>40575</c:v>
                </c:pt>
                <c:pt idx="81">
                  <c:v>40603</c:v>
                </c:pt>
                <c:pt idx="82">
                  <c:v>40634</c:v>
                </c:pt>
                <c:pt idx="83">
                  <c:v>40664</c:v>
                </c:pt>
                <c:pt idx="84">
                  <c:v>40695</c:v>
                </c:pt>
                <c:pt idx="85">
                  <c:v>40725</c:v>
                </c:pt>
                <c:pt idx="86">
                  <c:v>40756</c:v>
                </c:pt>
                <c:pt idx="87">
                  <c:v>40787</c:v>
                </c:pt>
                <c:pt idx="88">
                  <c:v>40817</c:v>
                </c:pt>
                <c:pt idx="89">
                  <c:v>40848</c:v>
                </c:pt>
                <c:pt idx="90">
                  <c:v>40878</c:v>
                </c:pt>
                <c:pt idx="91">
                  <c:v>40909</c:v>
                </c:pt>
                <c:pt idx="92">
                  <c:v>40940</c:v>
                </c:pt>
                <c:pt idx="93">
                  <c:v>40969</c:v>
                </c:pt>
                <c:pt idx="94">
                  <c:v>41000</c:v>
                </c:pt>
                <c:pt idx="95">
                  <c:v>41030</c:v>
                </c:pt>
                <c:pt idx="96">
                  <c:v>41061</c:v>
                </c:pt>
                <c:pt idx="97">
                  <c:v>41091</c:v>
                </c:pt>
                <c:pt idx="98">
                  <c:v>41122</c:v>
                </c:pt>
                <c:pt idx="99">
                  <c:v>41153</c:v>
                </c:pt>
                <c:pt idx="100">
                  <c:v>41183</c:v>
                </c:pt>
                <c:pt idx="101">
                  <c:v>41214</c:v>
                </c:pt>
                <c:pt idx="102">
                  <c:v>41244</c:v>
                </c:pt>
                <c:pt idx="103">
                  <c:v>41275</c:v>
                </c:pt>
                <c:pt idx="104">
                  <c:v>41306</c:v>
                </c:pt>
                <c:pt idx="105">
                  <c:v>41334</c:v>
                </c:pt>
                <c:pt idx="106">
                  <c:v>41365</c:v>
                </c:pt>
                <c:pt idx="107">
                  <c:v>41395</c:v>
                </c:pt>
                <c:pt idx="108">
                  <c:v>41426</c:v>
                </c:pt>
                <c:pt idx="109">
                  <c:v>41456</c:v>
                </c:pt>
                <c:pt idx="110">
                  <c:v>41487</c:v>
                </c:pt>
                <c:pt idx="111">
                  <c:v>41518</c:v>
                </c:pt>
                <c:pt idx="112">
                  <c:v>41548</c:v>
                </c:pt>
                <c:pt idx="113">
                  <c:v>41579</c:v>
                </c:pt>
                <c:pt idx="114">
                  <c:v>41609</c:v>
                </c:pt>
                <c:pt idx="115">
                  <c:v>41640</c:v>
                </c:pt>
                <c:pt idx="116">
                  <c:v>41671</c:v>
                </c:pt>
                <c:pt idx="117">
                  <c:v>41699</c:v>
                </c:pt>
                <c:pt idx="118">
                  <c:v>41730</c:v>
                </c:pt>
                <c:pt idx="119">
                  <c:v>41760</c:v>
                </c:pt>
                <c:pt idx="120">
                  <c:v>41791</c:v>
                </c:pt>
                <c:pt idx="121">
                  <c:v>41821</c:v>
                </c:pt>
                <c:pt idx="122">
                  <c:v>41852</c:v>
                </c:pt>
                <c:pt idx="123">
                  <c:v>41883</c:v>
                </c:pt>
                <c:pt idx="124">
                  <c:v>41913</c:v>
                </c:pt>
                <c:pt idx="125">
                  <c:v>41944</c:v>
                </c:pt>
                <c:pt idx="126">
                  <c:v>41974</c:v>
                </c:pt>
                <c:pt idx="127">
                  <c:v>42005</c:v>
                </c:pt>
                <c:pt idx="128">
                  <c:v>42036</c:v>
                </c:pt>
                <c:pt idx="129">
                  <c:v>42064</c:v>
                </c:pt>
                <c:pt idx="130">
                  <c:v>42095</c:v>
                </c:pt>
                <c:pt idx="131">
                  <c:v>42125</c:v>
                </c:pt>
                <c:pt idx="132">
                  <c:v>42156</c:v>
                </c:pt>
                <c:pt idx="133">
                  <c:v>42186</c:v>
                </c:pt>
                <c:pt idx="134">
                  <c:v>42217</c:v>
                </c:pt>
                <c:pt idx="135">
                  <c:v>42248</c:v>
                </c:pt>
                <c:pt idx="136">
                  <c:v>42278</c:v>
                </c:pt>
                <c:pt idx="137">
                  <c:v>42309</c:v>
                </c:pt>
                <c:pt idx="138">
                  <c:v>42339</c:v>
                </c:pt>
                <c:pt idx="139">
                  <c:v>42370</c:v>
                </c:pt>
                <c:pt idx="140">
                  <c:v>42401</c:v>
                </c:pt>
                <c:pt idx="141">
                  <c:v>42430</c:v>
                </c:pt>
                <c:pt idx="142">
                  <c:v>42461</c:v>
                </c:pt>
              </c:numCache>
            </c:numRef>
          </c:cat>
          <c:val>
            <c:numRef>
              <c:f>Sheet1!$D$2:$D$144</c:f>
              <c:numCache>
                <c:formatCode>0.00</c:formatCode>
                <c:ptCount val="143"/>
                <c:pt idx="0">
                  <c:v>4.6486909157875607</c:v>
                </c:pt>
                <c:pt idx="1">
                  <c:v>4.3236855419818072</c:v>
                </c:pt>
                <c:pt idx="2">
                  <c:v>5.0649944803017783</c:v>
                </c:pt>
                <c:pt idx="3">
                  <c:v>5.5267950396253411</c:v>
                </c:pt>
                <c:pt idx="4">
                  <c:v>5.3382000663502644</c:v>
                </c:pt>
                <c:pt idx="5">
                  <c:v>5.4919324593134249</c:v>
                </c:pt>
                <c:pt idx="6">
                  <c:v>5.224683449473698</c:v>
                </c:pt>
                <c:pt idx="7">
                  <c:v>5.8879965570994592</c:v>
                </c:pt>
                <c:pt idx="8">
                  <c:v>5.7210385485708484</c:v>
                </c:pt>
                <c:pt idx="9">
                  <c:v>5.7237223873002767</c:v>
                </c:pt>
                <c:pt idx="10">
                  <c:v>5.7535857913621689</c:v>
                </c:pt>
                <c:pt idx="11">
                  <c:v>5.0773849629879475</c:v>
                </c:pt>
                <c:pt idx="12">
                  <c:v>5.6714358430414249</c:v>
                </c:pt>
                <c:pt idx="13">
                  <c:v>5.7919480634164442</c:v>
                </c:pt>
                <c:pt idx="14">
                  <c:v>5.9594279667824397</c:v>
                </c:pt>
                <c:pt idx="15">
                  <c:v>5.3047415231788149</c:v>
                </c:pt>
                <c:pt idx="16">
                  <c:v>5.608016196485508</c:v>
                </c:pt>
                <c:pt idx="17">
                  <c:v>5.713992687814792</c:v>
                </c:pt>
                <c:pt idx="18">
                  <c:v>5.1508629714844769</c:v>
                </c:pt>
                <c:pt idx="19">
                  <c:v>5.5999784047774543</c:v>
                </c:pt>
                <c:pt idx="20">
                  <c:v>5.8120424698011108</c:v>
                </c:pt>
                <c:pt idx="21">
                  <c:v>6.0419452359080781</c:v>
                </c:pt>
                <c:pt idx="22">
                  <c:v>5.9025947640834628</c:v>
                </c:pt>
                <c:pt idx="23">
                  <c:v>5.9418985447238644</c:v>
                </c:pt>
                <c:pt idx="24">
                  <c:v>5.7020872702753023</c:v>
                </c:pt>
                <c:pt idx="25">
                  <c:v>6.0986823147290297</c:v>
                </c:pt>
                <c:pt idx="26">
                  <c:v>6.2638741808589584</c:v>
                </c:pt>
                <c:pt idx="27">
                  <c:v>6.8768065734841013</c:v>
                </c:pt>
                <c:pt idx="28">
                  <c:v>7.2782687000032835</c:v>
                </c:pt>
                <c:pt idx="29">
                  <c:v>6.7539530922792386</c:v>
                </c:pt>
                <c:pt idx="30">
                  <c:v>7.1577977268320891</c:v>
                </c:pt>
                <c:pt idx="31">
                  <c:v>4.7287089606283939</c:v>
                </c:pt>
                <c:pt idx="32">
                  <c:v>4.6395496385672876</c:v>
                </c:pt>
                <c:pt idx="33">
                  <c:v>4.4713940536751346</c:v>
                </c:pt>
                <c:pt idx="34">
                  <c:v>4.8832001637943501</c:v>
                </c:pt>
                <c:pt idx="35">
                  <c:v>4.895438059434321</c:v>
                </c:pt>
                <c:pt idx="36">
                  <c:v>4.9756465677550379</c:v>
                </c:pt>
                <c:pt idx="37">
                  <c:v>5.1828970478145218</c:v>
                </c:pt>
                <c:pt idx="38">
                  <c:v>4.4770478290258646</c:v>
                </c:pt>
                <c:pt idx="39">
                  <c:v>5.0103643015246941</c:v>
                </c:pt>
                <c:pt idx="40">
                  <c:v>5.6863193413411928</c:v>
                </c:pt>
                <c:pt idx="41">
                  <c:v>5.6172147833547657</c:v>
                </c:pt>
                <c:pt idx="42">
                  <c:v>5.454579576371227</c:v>
                </c:pt>
                <c:pt idx="43">
                  <c:v>4.4248670622532478</c:v>
                </c:pt>
                <c:pt idx="44">
                  <c:v>4.2593614908776649</c:v>
                </c:pt>
                <c:pt idx="45">
                  <c:v>4.6114677566286977</c:v>
                </c:pt>
                <c:pt idx="46">
                  <c:v>3.8736601076070958</c:v>
                </c:pt>
                <c:pt idx="47">
                  <c:v>3.8284468815649682</c:v>
                </c:pt>
                <c:pt idx="48">
                  <c:v>3.3927197443154702</c:v>
                </c:pt>
                <c:pt idx="49">
                  <c:v>3.1419257290814913</c:v>
                </c:pt>
                <c:pt idx="50">
                  <c:v>2.926594214722074</c:v>
                </c:pt>
                <c:pt idx="51">
                  <c:v>2.9689369641678951</c:v>
                </c:pt>
                <c:pt idx="52">
                  <c:v>3.0075968888288767</c:v>
                </c:pt>
                <c:pt idx="53">
                  <c:v>3.5064013061024668</c:v>
                </c:pt>
                <c:pt idx="54">
                  <c:v>2.8324050479201044</c:v>
                </c:pt>
                <c:pt idx="55">
                  <c:v>3.0473524878505986</c:v>
                </c:pt>
                <c:pt idx="56">
                  <c:v>3.2760058186938488</c:v>
                </c:pt>
                <c:pt idx="57">
                  <c:v>2.6698224503658481</c:v>
                </c:pt>
                <c:pt idx="58">
                  <c:v>2.4386709680428642</c:v>
                </c:pt>
                <c:pt idx="59">
                  <c:v>2.5964891051157575</c:v>
                </c:pt>
                <c:pt idx="60">
                  <c:v>2.2819351794300493</c:v>
                </c:pt>
                <c:pt idx="61">
                  <c:v>2.1566128673487608</c:v>
                </c:pt>
                <c:pt idx="62">
                  <c:v>1.9159165398478371</c:v>
                </c:pt>
                <c:pt idx="63">
                  <c:v>2.2688658844794043</c:v>
                </c:pt>
                <c:pt idx="64">
                  <c:v>2.3457781167206306</c:v>
                </c:pt>
                <c:pt idx="65">
                  <c:v>2.4442504131252618</c:v>
                </c:pt>
                <c:pt idx="66">
                  <c:v>2.3361149755491692</c:v>
                </c:pt>
                <c:pt idx="67">
                  <c:v>2.196846650564348</c:v>
                </c:pt>
                <c:pt idx="68">
                  <c:v>1.9028224950805406</c:v>
                </c:pt>
                <c:pt idx="69">
                  <c:v>1.8153236850950587</c:v>
                </c:pt>
                <c:pt idx="70">
                  <c:v>1.8584225296346537</c:v>
                </c:pt>
                <c:pt idx="71">
                  <c:v>1.8508370017022577</c:v>
                </c:pt>
                <c:pt idx="72">
                  <c:v>1.788322969503086</c:v>
                </c:pt>
                <c:pt idx="73">
                  <c:v>1.9687852742639016</c:v>
                </c:pt>
                <c:pt idx="74">
                  <c:v>2.0226541785790415</c:v>
                </c:pt>
                <c:pt idx="75">
                  <c:v>1.9292180299449433</c:v>
                </c:pt>
                <c:pt idx="76">
                  <c:v>1.8666996860846621</c:v>
                </c:pt>
                <c:pt idx="77">
                  <c:v>1.8174961136070751</c:v>
                </c:pt>
                <c:pt idx="78">
                  <c:v>1.8569794784052487</c:v>
                </c:pt>
                <c:pt idx="79">
                  <c:v>1.6491684629313073</c:v>
                </c:pt>
                <c:pt idx="80">
                  <c:v>1.4826195254621493</c:v>
                </c:pt>
                <c:pt idx="81">
                  <c:v>1.6617978926176113</c:v>
                </c:pt>
                <c:pt idx="82">
                  <c:v>1.6477786006875643</c:v>
                </c:pt>
                <c:pt idx="83">
                  <c:v>1.8098143897761092</c:v>
                </c:pt>
                <c:pt idx="84">
                  <c:v>1.7893182097442288</c:v>
                </c:pt>
                <c:pt idx="85">
                  <c:v>1.9328781431477264</c:v>
                </c:pt>
                <c:pt idx="86">
                  <c:v>1.913504436666567</c:v>
                </c:pt>
                <c:pt idx="87">
                  <c:v>1.8588348404513459</c:v>
                </c:pt>
                <c:pt idx="88">
                  <c:v>2.0419862794120225</c:v>
                </c:pt>
                <c:pt idx="89">
                  <c:v>1.996711871779753</c:v>
                </c:pt>
                <c:pt idx="90">
                  <c:v>1.8597707440269777</c:v>
                </c:pt>
                <c:pt idx="91">
                  <c:v>1.82958682078933</c:v>
                </c:pt>
                <c:pt idx="92">
                  <c:v>1.8218513465454227</c:v>
                </c:pt>
                <c:pt idx="93">
                  <c:v>1.8163919629769214</c:v>
                </c:pt>
                <c:pt idx="94">
                  <c:v>1.7827059100058675</c:v>
                </c:pt>
                <c:pt idx="95">
                  <c:v>1.7252240546026358</c:v>
                </c:pt>
                <c:pt idx="96">
                  <c:v>1.8063085410597461</c:v>
                </c:pt>
                <c:pt idx="97">
                  <c:v>1.8561438889717519</c:v>
                </c:pt>
                <c:pt idx="98">
                  <c:v>1.8779817658657791</c:v>
                </c:pt>
                <c:pt idx="99">
                  <c:v>1.9241320777932485</c:v>
                </c:pt>
                <c:pt idx="100">
                  <c:v>1.877594152712404</c:v>
                </c:pt>
                <c:pt idx="101">
                  <c:v>1.9637213437199474</c:v>
                </c:pt>
                <c:pt idx="102">
                  <c:v>1.9682033865423314</c:v>
                </c:pt>
                <c:pt idx="103">
                  <c:v>1.9128413529500743</c:v>
                </c:pt>
                <c:pt idx="104">
                  <c:v>1.905719940703269</c:v>
                </c:pt>
                <c:pt idx="105">
                  <c:v>1.9255466423227878</c:v>
                </c:pt>
                <c:pt idx="106">
                  <c:v>1.9359494200197918</c:v>
                </c:pt>
                <c:pt idx="107">
                  <c:v>2.0040365891215259</c:v>
                </c:pt>
                <c:pt idx="108">
                  <c:v>2.1272557381952155</c:v>
                </c:pt>
                <c:pt idx="109">
                  <c:v>1.9887623005286774</c:v>
                </c:pt>
                <c:pt idx="110">
                  <c:v>1.7477369242045009</c:v>
                </c:pt>
                <c:pt idx="111">
                  <c:v>1.901504796960676</c:v>
                </c:pt>
                <c:pt idx="112">
                  <c:v>2.1043413420695911</c:v>
                </c:pt>
                <c:pt idx="113">
                  <c:v>2.232241346032521</c:v>
                </c:pt>
                <c:pt idx="114">
                  <c:v>2.4610787396044902</c:v>
                </c:pt>
                <c:pt idx="115">
                  <c:v>2.3724672095344483</c:v>
                </c:pt>
                <c:pt idx="116">
                  <c:v>2.249241790241022</c:v>
                </c:pt>
                <c:pt idx="117">
                  <c:v>2.4232831138146245</c:v>
                </c:pt>
                <c:pt idx="118">
                  <c:v>2.5346413627390136</c:v>
                </c:pt>
                <c:pt idx="119">
                  <c:v>2.4845412643709808</c:v>
                </c:pt>
                <c:pt idx="120">
                  <c:v>2.534334227819683</c:v>
                </c:pt>
                <c:pt idx="121">
                  <c:v>2.6838166984538523</c:v>
                </c:pt>
                <c:pt idx="122">
                  <c:v>2.5949391730973499</c:v>
                </c:pt>
                <c:pt idx="123">
                  <c:v>2.6031549357250814</c:v>
                </c:pt>
                <c:pt idx="124">
                  <c:v>2.6627065648873245</c:v>
                </c:pt>
                <c:pt idx="125">
                  <c:v>2.6582155092484445</c:v>
                </c:pt>
                <c:pt idx="126">
                  <c:v>2.7795107951965115</c:v>
                </c:pt>
                <c:pt idx="127">
                  <c:v>2.7292557933428667</c:v>
                </c:pt>
                <c:pt idx="128">
                  <c:v>2.82801030638602</c:v>
                </c:pt>
                <c:pt idx="129">
                  <c:v>2.945371920601795</c:v>
                </c:pt>
                <c:pt idx="130">
                  <c:v>2.6831001208132568</c:v>
                </c:pt>
                <c:pt idx="131">
                  <c:v>2.6512767987565717</c:v>
                </c:pt>
                <c:pt idx="132">
                  <c:v>2.7364721936929577</c:v>
                </c:pt>
                <c:pt idx="133">
                  <c:v>2.4820968026983334</c:v>
                </c:pt>
                <c:pt idx="134">
                  <c:v>2.4483324071397186</c:v>
                </c:pt>
                <c:pt idx="135">
                  <c:v>2.5481926957230998</c:v>
                </c:pt>
                <c:pt idx="136">
                  <c:v>2.6812715702531356</c:v>
                </c:pt>
                <c:pt idx="137">
                  <c:v>2.6780190866197668</c:v>
                </c:pt>
                <c:pt idx="138">
                  <c:v>2.7633029832483746</c:v>
                </c:pt>
                <c:pt idx="139">
                  <c:v>2.4942796067029338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3799808"/>
        <c:axId val="763797504"/>
      </c:lineChart>
      <c:dateAx>
        <c:axId val="72626112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751268992"/>
        <c:crosses val="autoZero"/>
        <c:auto val="1"/>
        <c:lblOffset val="100"/>
        <c:baseTimeUnit val="months"/>
      </c:dateAx>
      <c:valAx>
        <c:axId val="751268992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726261120"/>
        <c:crosses val="autoZero"/>
        <c:crossBetween val="between"/>
      </c:valAx>
      <c:valAx>
        <c:axId val="763797504"/>
        <c:scaling>
          <c:orientation val="minMax"/>
          <c:min val="1"/>
        </c:scaling>
        <c:delete val="0"/>
        <c:axPos val="r"/>
        <c:numFmt formatCode="0.00" sourceLinked="1"/>
        <c:majorTickMark val="out"/>
        <c:minorTickMark val="none"/>
        <c:tickLblPos val="nextTo"/>
        <c:crossAx val="763799808"/>
        <c:crosses val="max"/>
        <c:crossBetween val="between"/>
      </c:valAx>
      <c:dateAx>
        <c:axId val="76379980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763797504"/>
        <c:auto val="1"/>
        <c:lblOffset val="100"/>
        <c:baseTimeUnit val="months"/>
      </c:date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319087</xdr:colOff>
      <xdr:row>13</xdr:row>
      <xdr:rowOff>85725</xdr:rowOff>
    </xdr:from>
    <xdr:to>
      <xdr:col>17</xdr:col>
      <xdr:colOff>14287</xdr:colOff>
      <xdr:row>27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319087</xdr:colOff>
      <xdr:row>29</xdr:row>
      <xdr:rowOff>28575</xdr:rowOff>
    </xdr:from>
    <xdr:to>
      <xdr:col>17</xdr:col>
      <xdr:colOff>14287</xdr:colOff>
      <xdr:row>43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4"/>
  <sheetViews>
    <sheetView tabSelected="1" workbookViewId="0">
      <selection activeCell="G8" sqref="G8"/>
    </sheetView>
  </sheetViews>
  <sheetFormatPr defaultRowHeight="15" x14ac:dyDescent="0.25"/>
  <cols>
    <col min="1" max="1" width="10.85546875" style="4" customWidth="1"/>
    <col min="2" max="2" width="9.140625" style="3"/>
  </cols>
  <sheetData>
    <row r="1" spans="1:4" x14ac:dyDescent="0.25">
      <c r="A1" s="5" t="s">
        <v>0</v>
      </c>
      <c r="B1" s="6" t="s">
        <v>7</v>
      </c>
      <c r="C1" t="s">
        <v>4</v>
      </c>
      <c r="D1" t="s">
        <v>6</v>
      </c>
    </row>
    <row r="2" spans="1:4" x14ac:dyDescent="0.25">
      <c r="A2" s="2">
        <v>38139</v>
      </c>
      <c r="B2" s="1">
        <v>377</v>
      </c>
      <c r="C2">
        <f>VLOOKUP(A2,HPA2Yr!A:B,2,0)</f>
        <v>115.07</v>
      </c>
      <c r="D2" s="16">
        <f>VLOOKUP(A2,Cello!A:B,2,0)*100</f>
        <v>4.6486909157875607</v>
      </c>
    </row>
    <row r="3" spans="1:4" x14ac:dyDescent="0.25">
      <c r="A3" s="2">
        <v>38169</v>
      </c>
      <c r="B3" s="1">
        <v>383.5</v>
      </c>
      <c r="C3">
        <f>VLOOKUP(A3,HPA2Yr!A:B,2,0)</f>
        <v>115.77</v>
      </c>
      <c r="D3" s="16">
        <f>VLOOKUP(A3,Cello!A:B,2,0)*100</f>
        <v>4.3236855419818072</v>
      </c>
    </row>
    <row r="4" spans="1:4" x14ac:dyDescent="0.25">
      <c r="A4" s="2">
        <v>38200</v>
      </c>
      <c r="B4" s="1">
        <v>390</v>
      </c>
      <c r="C4">
        <f>VLOOKUP(A4,HPA2Yr!A:B,2,0)</f>
        <v>116.46</v>
      </c>
      <c r="D4" s="16">
        <f>VLOOKUP(A4,Cello!A:B,2,0)*100</f>
        <v>5.0649944803017783</v>
      </c>
    </row>
    <row r="5" spans="1:4" x14ac:dyDescent="0.25">
      <c r="A5" s="2">
        <v>38231</v>
      </c>
      <c r="B5" s="1">
        <v>396.5</v>
      </c>
      <c r="C5">
        <f>VLOOKUP(A5,HPA2Yr!A:B,2,0)</f>
        <v>117.15</v>
      </c>
      <c r="D5" s="16">
        <f>VLOOKUP(A5,Cello!A:B,2,0)*100</f>
        <v>5.5267950396253411</v>
      </c>
    </row>
    <row r="6" spans="1:4" x14ac:dyDescent="0.25">
      <c r="A6" s="2">
        <v>38261</v>
      </c>
      <c r="B6" s="1">
        <v>403</v>
      </c>
      <c r="C6">
        <f>VLOOKUP(A6,HPA2Yr!A:B,2,0)</f>
        <v>117.42</v>
      </c>
      <c r="D6" s="16">
        <f>VLOOKUP(A6,Cello!A:B,2,0)*100</f>
        <v>5.3382000663502644</v>
      </c>
    </row>
    <row r="7" spans="1:4" x14ac:dyDescent="0.25">
      <c r="A7" s="2">
        <v>38292</v>
      </c>
      <c r="B7" s="1">
        <v>409.5</v>
      </c>
      <c r="C7">
        <f>VLOOKUP(A7,HPA2Yr!A:B,2,0)</f>
        <v>117.69</v>
      </c>
      <c r="D7" s="16">
        <f>VLOOKUP(A7,Cello!A:B,2,0)*100</f>
        <v>5.4919324593134249</v>
      </c>
    </row>
    <row r="8" spans="1:4" x14ac:dyDescent="0.25">
      <c r="A8" s="2">
        <v>38322</v>
      </c>
      <c r="B8" s="1">
        <v>416</v>
      </c>
      <c r="C8">
        <f>VLOOKUP(A8,HPA2Yr!A:B,2,0)</f>
        <v>117.96</v>
      </c>
      <c r="D8" s="16">
        <f>VLOOKUP(A8,Cello!A:B,2,0)*100</f>
        <v>5.224683449473698</v>
      </c>
    </row>
    <row r="9" spans="1:4" x14ac:dyDescent="0.25">
      <c r="A9" s="2">
        <v>38353</v>
      </c>
      <c r="B9" s="1">
        <v>480.83333333333331</v>
      </c>
      <c r="C9">
        <f>VLOOKUP(A9,HPA2Yr!A:B,2,0)</f>
        <v>118.39</v>
      </c>
      <c r="D9" s="16">
        <f>VLOOKUP(A9,Cello!A:B,2,0)*100</f>
        <v>5.8879965570994592</v>
      </c>
    </row>
    <row r="10" spans="1:4" x14ac:dyDescent="0.25">
      <c r="A10" s="2">
        <v>38384</v>
      </c>
      <c r="B10" s="1">
        <v>545.66666666666663</v>
      </c>
      <c r="C10">
        <f>VLOOKUP(A10,HPA2Yr!A:B,2,0)</f>
        <v>118.81</v>
      </c>
      <c r="D10" s="16">
        <f>VLOOKUP(A10,Cello!A:B,2,0)*100</f>
        <v>5.7210385485708484</v>
      </c>
    </row>
    <row r="11" spans="1:4" x14ac:dyDescent="0.25">
      <c r="A11" s="2">
        <v>38412</v>
      </c>
      <c r="B11" s="1">
        <v>610.5</v>
      </c>
      <c r="C11">
        <f>VLOOKUP(A11,HPA2Yr!A:B,2,0)</f>
        <v>119.23</v>
      </c>
      <c r="D11" s="16">
        <f>VLOOKUP(A11,Cello!A:B,2,0)*100</f>
        <v>5.7237223873002767</v>
      </c>
    </row>
    <row r="12" spans="1:4" x14ac:dyDescent="0.25">
      <c r="A12" s="2">
        <v>38443</v>
      </c>
      <c r="B12" s="1">
        <v>675.33333333333337</v>
      </c>
      <c r="C12">
        <f>VLOOKUP(A12,HPA2Yr!A:B,2,0)</f>
        <v>120.01</v>
      </c>
      <c r="D12" s="16">
        <f>VLOOKUP(A12,Cello!A:B,2,0)*100</f>
        <v>5.7535857913621689</v>
      </c>
    </row>
    <row r="13" spans="1:4" x14ac:dyDescent="0.25">
      <c r="A13" s="2">
        <v>38473</v>
      </c>
      <c r="B13" s="1">
        <v>740.16666666666674</v>
      </c>
      <c r="C13">
        <f>VLOOKUP(A13,HPA2Yr!A:B,2,0)</f>
        <v>120.79</v>
      </c>
      <c r="D13" s="16">
        <f>VLOOKUP(A13,Cello!A:B,2,0)*100</f>
        <v>5.0773849629879475</v>
      </c>
    </row>
    <row r="14" spans="1:4" x14ac:dyDescent="0.25">
      <c r="A14" s="2">
        <v>38504</v>
      </c>
      <c r="B14" s="1">
        <v>805</v>
      </c>
      <c r="C14">
        <f>VLOOKUP(A14,HPA2Yr!A:B,2,0)</f>
        <v>121.56</v>
      </c>
      <c r="D14" s="16">
        <f>VLOOKUP(A14,Cello!A:B,2,0)*100</f>
        <v>5.6714358430414249</v>
      </c>
    </row>
    <row r="15" spans="1:4" x14ac:dyDescent="0.25">
      <c r="A15" s="2">
        <v>38534</v>
      </c>
      <c r="B15" s="1">
        <v>812.16666666666663</v>
      </c>
      <c r="C15">
        <f>VLOOKUP(A15,HPA2Yr!A:B,2,0)</f>
        <v>122.15</v>
      </c>
      <c r="D15" s="16">
        <f>VLOOKUP(A15,Cello!A:B,2,0)*100</f>
        <v>5.7919480634164442</v>
      </c>
    </row>
    <row r="16" spans="1:4" x14ac:dyDescent="0.25">
      <c r="A16" s="2">
        <v>38565</v>
      </c>
      <c r="B16" s="1">
        <v>819.33333333333326</v>
      </c>
      <c r="C16">
        <f>VLOOKUP(A16,HPA2Yr!A:B,2,0)</f>
        <v>122.75</v>
      </c>
      <c r="D16" s="16">
        <f>VLOOKUP(A16,Cello!A:B,2,0)*100</f>
        <v>5.9594279667824397</v>
      </c>
    </row>
    <row r="17" spans="1:4" x14ac:dyDescent="0.25">
      <c r="A17" s="2">
        <v>38596</v>
      </c>
      <c r="B17" s="1">
        <v>826.49999999999989</v>
      </c>
      <c r="C17">
        <f>VLOOKUP(A17,HPA2Yr!A:B,2,0)</f>
        <v>123.33</v>
      </c>
      <c r="D17" s="16">
        <f>VLOOKUP(A17,Cello!A:B,2,0)*100</f>
        <v>5.3047415231788149</v>
      </c>
    </row>
    <row r="18" spans="1:4" x14ac:dyDescent="0.25">
      <c r="A18" s="2">
        <v>38626</v>
      </c>
      <c r="B18" s="1">
        <v>833.66666666666652</v>
      </c>
      <c r="C18">
        <f>VLOOKUP(A18,HPA2Yr!A:B,2,0)</f>
        <v>123.1</v>
      </c>
      <c r="D18" s="16">
        <f>VLOOKUP(A18,Cello!A:B,2,0)*100</f>
        <v>5.608016196485508</v>
      </c>
    </row>
    <row r="19" spans="1:4" x14ac:dyDescent="0.25">
      <c r="A19" s="2">
        <v>38657</v>
      </c>
      <c r="B19" s="1">
        <v>840.83333333333314</v>
      </c>
      <c r="C19">
        <f>VLOOKUP(A19,HPA2Yr!A:B,2,0)</f>
        <v>122.88</v>
      </c>
      <c r="D19" s="16">
        <f>VLOOKUP(A19,Cello!A:B,2,0)*100</f>
        <v>5.713992687814792</v>
      </c>
    </row>
    <row r="20" spans="1:4" x14ac:dyDescent="0.25">
      <c r="A20" s="2">
        <v>38687</v>
      </c>
      <c r="B20" s="1">
        <v>848</v>
      </c>
      <c r="C20">
        <f>VLOOKUP(A20,HPA2Yr!A:B,2,0)</f>
        <v>122.66</v>
      </c>
      <c r="D20" s="16">
        <f>VLOOKUP(A20,Cello!A:B,2,0)*100</f>
        <v>5.1508629714844769</v>
      </c>
    </row>
    <row r="21" spans="1:4" x14ac:dyDescent="0.25">
      <c r="A21" s="2">
        <v>38718</v>
      </c>
      <c r="B21" s="1">
        <v>851.83333333333337</v>
      </c>
      <c r="C21">
        <f>VLOOKUP(A21,HPA2Yr!A:B,2,0)</f>
        <v>122.67</v>
      </c>
      <c r="D21" s="16">
        <f>VLOOKUP(A21,Cello!A:B,2,0)*100</f>
        <v>5.5999784047774543</v>
      </c>
    </row>
    <row r="22" spans="1:4" x14ac:dyDescent="0.25">
      <c r="A22" s="2">
        <v>38749</v>
      </c>
      <c r="B22" s="1">
        <v>855.66666666666674</v>
      </c>
      <c r="C22">
        <f>VLOOKUP(A22,HPA2Yr!A:B,2,0)</f>
        <v>122.69</v>
      </c>
      <c r="D22" s="16">
        <f>VLOOKUP(A22,Cello!A:B,2,0)*100</f>
        <v>5.8120424698011108</v>
      </c>
    </row>
    <row r="23" spans="1:4" x14ac:dyDescent="0.25">
      <c r="A23" s="2">
        <v>38777</v>
      </c>
      <c r="B23" s="1">
        <v>859.50000000000011</v>
      </c>
      <c r="C23">
        <f>VLOOKUP(A23,HPA2Yr!A:B,2,0)</f>
        <v>122.7</v>
      </c>
      <c r="D23" s="16">
        <f>VLOOKUP(A23,Cello!A:B,2,0)*100</f>
        <v>6.0419452359080781</v>
      </c>
    </row>
    <row r="24" spans="1:4" x14ac:dyDescent="0.25">
      <c r="A24" s="2">
        <v>38808</v>
      </c>
      <c r="B24" s="1">
        <v>863.33333333333348</v>
      </c>
      <c r="C24">
        <f>VLOOKUP(A24,HPA2Yr!A:B,2,0)</f>
        <v>122.13</v>
      </c>
      <c r="D24" s="16">
        <f>VLOOKUP(A24,Cello!A:B,2,0)*100</f>
        <v>5.9025947640834628</v>
      </c>
    </row>
    <row r="25" spans="1:4" x14ac:dyDescent="0.25">
      <c r="A25" s="2">
        <v>38838</v>
      </c>
      <c r="B25" s="1">
        <v>867.16666666666686</v>
      </c>
      <c r="C25">
        <f>VLOOKUP(A25,HPA2Yr!A:B,2,0)</f>
        <v>121.57</v>
      </c>
      <c r="D25" s="16">
        <f>VLOOKUP(A25,Cello!A:B,2,0)*100</f>
        <v>5.9418985447238644</v>
      </c>
    </row>
    <row r="26" spans="1:4" x14ac:dyDescent="0.25">
      <c r="A26" s="2">
        <v>38869</v>
      </c>
      <c r="B26" s="1">
        <v>871</v>
      </c>
      <c r="C26">
        <f>VLOOKUP(A26,HPA2Yr!A:B,2,0)</f>
        <v>121.02</v>
      </c>
      <c r="D26" s="16">
        <f>VLOOKUP(A26,Cello!A:B,2,0)*100</f>
        <v>5.7020872702753023</v>
      </c>
    </row>
    <row r="27" spans="1:4" x14ac:dyDescent="0.25">
      <c r="A27" s="2">
        <v>38899</v>
      </c>
      <c r="B27" s="1">
        <v>846.83333333333337</v>
      </c>
      <c r="C27">
        <f>VLOOKUP(A27,HPA2Yr!A:B,2,0)</f>
        <v>119.83</v>
      </c>
      <c r="D27" s="16">
        <f>VLOOKUP(A27,Cello!A:B,2,0)*100</f>
        <v>6.0986823147290297</v>
      </c>
    </row>
    <row r="28" spans="1:4" x14ac:dyDescent="0.25">
      <c r="A28" s="2">
        <v>38930</v>
      </c>
      <c r="B28" s="1">
        <v>822.66666666666674</v>
      </c>
      <c r="C28">
        <f>VLOOKUP(A28,HPA2Yr!A:B,2,0)</f>
        <v>118.67</v>
      </c>
      <c r="D28" s="16">
        <f>VLOOKUP(A28,Cello!A:B,2,0)*100</f>
        <v>6.2638741808589584</v>
      </c>
    </row>
    <row r="29" spans="1:4" x14ac:dyDescent="0.25">
      <c r="A29" s="2">
        <v>38961</v>
      </c>
      <c r="B29" s="1">
        <v>798.50000000000011</v>
      </c>
      <c r="C29">
        <f>VLOOKUP(A29,HPA2Yr!A:B,2,0)</f>
        <v>117.54</v>
      </c>
      <c r="D29" s="16">
        <f>VLOOKUP(A29,Cello!A:B,2,0)*100</f>
        <v>6.8768065734841013</v>
      </c>
    </row>
    <row r="30" spans="1:4" x14ac:dyDescent="0.25">
      <c r="A30" s="2">
        <v>38991</v>
      </c>
      <c r="B30" s="1">
        <v>774.33333333333348</v>
      </c>
      <c r="C30">
        <f>VLOOKUP(A30,HPA2Yr!A:B,2,0)</f>
        <v>117.11</v>
      </c>
      <c r="D30" s="16">
        <f>VLOOKUP(A30,Cello!A:B,2,0)*100</f>
        <v>7.2782687000032835</v>
      </c>
    </row>
    <row r="31" spans="1:4" x14ac:dyDescent="0.25">
      <c r="A31" s="2">
        <v>39022</v>
      </c>
      <c r="B31" s="1">
        <v>750.16666666666686</v>
      </c>
      <c r="C31">
        <f>VLOOKUP(A31,HPA2Yr!A:B,2,0)</f>
        <v>116.68</v>
      </c>
      <c r="D31" s="16">
        <f>VLOOKUP(A31,Cello!A:B,2,0)*100</f>
        <v>6.7539530922792386</v>
      </c>
    </row>
    <row r="32" spans="1:4" x14ac:dyDescent="0.25">
      <c r="A32" s="2">
        <v>39052</v>
      </c>
      <c r="B32" s="1">
        <v>726</v>
      </c>
      <c r="C32">
        <f>VLOOKUP(A32,HPA2Yr!A:B,2,0)</f>
        <v>116.26</v>
      </c>
      <c r="D32" s="16">
        <f>VLOOKUP(A32,Cello!A:B,2,0)*100</f>
        <v>7.1577977268320891</v>
      </c>
    </row>
    <row r="33" spans="1:4" x14ac:dyDescent="0.25">
      <c r="A33" s="2">
        <v>39083</v>
      </c>
      <c r="B33" s="1">
        <v>696.33333333333337</v>
      </c>
      <c r="C33">
        <f>VLOOKUP(A33,HPA2Yr!A:B,2,0)</f>
        <v>115.52</v>
      </c>
      <c r="D33" s="16">
        <f>VLOOKUP(A33,Cello!A:B,2,0)*100</f>
        <v>4.7287089606283939</v>
      </c>
    </row>
    <row r="34" spans="1:4" x14ac:dyDescent="0.25">
      <c r="A34" s="2">
        <v>39114</v>
      </c>
      <c r="B34" s="1">
        <v>666.66666666666674</v>
      </c>
      <c r="C34">
        <f>VLOOKUP(A34,HPA2Yr!A:B,2,0)</f>
        <v>114.78</v>
      </c>
      <c r="D34" s="16">
        <f>VLOOKUP(A34,Cello!A:B,2,0)*100</f>
        <v>4.6395496385672876</v>
      </c>
    </row>
    <row r="35" spans="1:4" x14ac:dyDescent="0.25">
      <c r="A35" s="2">
        <v>39142</v>
      </c>
      <c r="B35" s="1">
        <v>637.00000000000011</v>
      </c>
      <c r="C35">
        <f>VLOOKUP(A35,HPA2Yr!A:B,2,0)</f>
        <v>114.06</v>
      </c>
      <c r="D35" s="16">
        <f>VLOOKUP(A35,Cello!A:B,2,0)*100</f>
        <v>4.4713940536751346</v>
      </c>
    </row>
    <row r="36" spans="1:4" x14ac:dyDescent="0.25">
      <c r="A36" s="2">
        <v>39173</v>
      </c>
      <c r="B36" s="1">
        <v>607.33333333333348</v>
      </c>
      <c r="C36">
        <f>VLOOKUP(A36,HPA2Yr!A:B,2,0)</f>
        <v>112.84</v>
      </c>
      <c r="D36" s="16">
        <f>VLOOKUP(A36,Cello!A:B,2,0)*100</f>
        <v>4.8832001637943501</v>
      </c>
    </row>
    <row r="37" spans="1:4" x14ac:dyDescent="0.25">
      <c r="A37" s="2">
        <v>39203</v>
      </c>
      <c r="B37" s="1">
        <v>577.66666666666686</v>
      </c>
      <c r="C37">
        <f>VLOOKUP(A37,HPA2Yr!A:B,2,0)</f>
        <v>111.64</v>
      </c>
      <c r="D37" s="16">
        <f>VLOOKUP(A37,Cello!A:B,2,0)*100</f>
        <v>4.895438059434321</v>
      </c>
    </row>
    <row r="38" spans="1:4" x14ac:dyDescent="0.25">
      <c r="A38" s="2">
        <v>39234</v>
      </c>
      <c r="B38" s="1">
        <v>548</v>
      </c>
      <c r="C38">
        <f>VLOOKUP(A38,HPA2Yr!A:B,2,0)</f>
        <v>110.46</v>
      </c>
      <c r="D38" s="16">
        <f>VLOOKUP(A38,Cello!A:B,2,0)*100</f>
        <v>4.9756465677550379</v>
      </c>
    </row>
    <row r="39" spans="1:4" x14ac:dyDescent="0.25">
      <c r="A39" s="2">
        <v>39264</v>
      </c>
      <c r="B39" s="1">
        <v>509.5</v>
      </c>
      <c r="C39">
        <f>VLOOKUP(A39,HPA2Yr!A:B,2,0)</f>
        <v>108.96</v>
      </c>
      <c r="D39" s="16">
        <f>VLOOKUP(A39,Cello!A:B,2,0)*100</f>
        <v>5.1828970478145218</v>
      </c>
    </row>
    <row r="40" spans="1:4" x14ac:dyDescent="0.25">
      <c r="A40" s="2">
        <v>39295</v>
      </c>
      <c r="B40" s="1">
        <v>471</v>
      </c>
      <c r="C40">
        <f>VLOOKUP(A40,HPA2Yr!A:B,2,0)</f>
        <v>107.49</v>
      </c>
      <c r="D40" s="16">
        <f>VLOOKUP(A40,Cello!A:B,2,0)*100</f>
        <v>4.4770478290258646</v>
      </c>
    </row>
    <row r="41" spans="1:4" x14ac:dyDescent="0.25">
      <c r="A41" s="2">
        <v>39326</v>
      </c>
      <c r="B41" s="1">
        <v>432.5</v>
      </c>
      <c r="C41">
        <f>VLOOKUP(A41,HPA2Yr!A:B,2,0)</f>
        <v>106.05</v>
      </c>
      <c r="D41" s="16">
        <f>VLOOKUP(A41,Cello!A:B,2,0)*100</f>
        <v>5.0103643015246941</v>
      </c>
    </row>
    <row r="42" spans="1:4" x14ac:dyDescent="0.25">
      <c r="A42" s="2">
        <v>39356</v>
      </c>
      <c r="B42" s="1">
        <v>394</v>
      </c>
      <c r="C42">
        <f>VLOOKUP(A42,HPA2Yr!A:B,2,0)</f>
        <v>105.16</v>
      </c>
      <c r="D42" s="16">
        <f>VLOOKUP(A42,Cello!A:B,2,0)*100</f>
        <v>5.6863193413411928</v>
      </c>
    </row>
    <row r="43" spans="1:4" x14ac:dyDescent="0.25">
      <c r="A43" s="2">
        <v>39387</v>
      </c>
      <c r="B43" s="1">
        <v>355.5</v>
      </c>
      <c r="C43">
        <f>VLOOKUP(A43,HPA2Yr!A:B,2,0)</f>
        <v>104.28</v>
      </c>
      <c r="D43" s="16">
        <f>VLOOKUP(A43,Cello!A:B,2,0)*100</f>
        <v>5.6172147833547657</v>
      </c>
    </row>
    <row r="44" spans="1:4" x14ac:dyDescent="0.25">
      <c r="A44" s="2">
        <v>39417</v>
      </c>
      <c r="B44" s="1">
        <v>317</v>
      </c>
      <c r="C44">
        <f>VLOOKUP(A44,HPA2Yr!A:B,2,0)</f>
        <v>103.41</v>
      </c>
      <c r="D44" s="16">
        <f>VLOOKUP(A44,Cello!A:B,2,0)*100</f>
        <v>5.454579576371227</v>
      </c>
    </row>
    <row r="45" spans="1:4" x14ac:dyDescent="0.25">
      <c r="A45" s="2">
        <v>39448</v>
      </c>
      <c r="B45" s="1">
        <v>283.83333333333331</v>
      </c>
      <c r="C45">
        <f>VLOOKUP(A45,HPA2Yr!A:B,2,0)</f>
        <v>102.62</v>
      </c>
      <c r="D45" s="16">
        <f>VLOOKUP(A45,Cello!A:B,2,0)*100</f>
        <v>4.4248670622532478</v>
      </c>
    </row>
    <row r="46" spans="1:4" x14ac:dyDescent="0.25">
      <c r="A46" s="2">
        <v>39479</v>
      </c>
      <c r="B46" s="1">
        <v>250.66666666666666</v>
      </c>
      <c r="C46">
        <f>VLOOKUP(A46,HPA2Yr!A:B,2,0)</f>
        <v>101.84</v>
      </c>
      <c r="D46" s="16">
        <f>VLOOKUP(A46,Cello!A:B,2,0)*100</f>
        <v>4.2593614908776649</v>
      </c>
    </row>
    <row r="47" spans="1:4" x14ac:dyDescent="0.25">
      <c r="A47" s="2">
        <v>39508</v>
      </c>
      <c r="B47" s="1">
        <v>217.5</v>
      </c>
      <c r="C47">
        <f>VLOOKUP(A47,HPA2Yr!A:B,2,0)</f>
        <v>101.07</v>
      </c>
      <c r="D47" s="16">
        <f>VLOOKUP(A47,Cello!A:B,2,0)*100</f>
        <v>4.6114677566286977</v>
      </c>
    </row>
    <row r="48" spans="1:4" x14ac:dyDescent="0.25">
      <c r="A48" s="2">
        <v>39539</v>
      </c>
      <c r="B48" s="1">
        <v>184.33333333333334</v>
      </c>
      <c r="C48">
        <f>VLOOKUP(A48,HPA2Yr!A:B,2,0)</f>
        <v>99.89</v>
      </c>
      <c r="D48" s="16">
        <f>VLOOKUP(A48,Cello!A:B,2,0)*100</f>
        <v>3.8736601076070958</v>
      </c>
    </row>
    <row r="49" spans="1:4" x14ac:dyDescent="0.25">
      <c r="A49" s="2">
        <v>39569</v>
      </c>
      <c r="B49" s="1">
        <v>151.16666666666669</v>
      </c>
      <c r="C49">
        <f>VLOOKUP(A49,HPA2Yr!A:B,2,0)</f>
        <v>98.73</v>
      </c>
      <c r="D49" s="16">
        <f>VLOOKUP(A49,Cello!A:B,2,0)*100</f>
        <v>3.8284468815649682</v>
      </c>
    </row>
    <row r="50" spans="1:4" x14ac:dyDescent="0.25">
      <c r="A50" s="2">
        <v>39600</v>
      </c>
      <c r="B50" s="1">
        <v>118</v>
      </c>
      <c r="C50">
        <f>VLOOKUP(A50,HPA2Yr!A:B,2,0)</f>
        <v>97.57</v>
      </c>
      <c r="D50" s="16">
        <f>VLOOKUP(A50,Cello!A:B,2,0)*100</f>
        <v>3.3927197443154702</v>
      </c>
    </row>
    <row r="51" spans="1:4" x14ac:dyDescent="0.25">
      <c r="A51" s="2">
        <v>39630</v>
      </c>
      <c r="B51" s="1">
        <v>112.33333333333333</v>
      </c>
      <c r="C51">
        <f>VLOOKUP(A51,HPA2Yr!A:B,2,0)</f>
        <v>96.28</v>
      </c>
      <c r="D51" s="16">
        <f>VLOOKUP(A51,Cello!A:B,2,0)*100</f>
        <v>3.1419257290814913</v>
      </c>
    </row>
    <row r="52" spans="1:4" x14ac:dyDescent="0.25">
      <c r="A52" s="2">
        <v>39661</v>
      </c>
      <c r="B52" s="1">
        <v>106.66666666666666</v>
      </c>
      <c r="C52">
        <f>VLOOKUP(A52,HPA2Yr!A:B,2,0)</f>
        <v>95.01</v>
      </c>
      <c r="D52" s="16">
        <f>VLOOKUP(A52,Cello!A:B,2,0)*100</f>
        <v>2.926594214722074</v>
      </c>
    </row>
    <row r="53" spans="1:4" x14ac:dyDescent="0.25">
      <c r="A53" s="2">
        <v>39692</v>
      </c>
      <c r="B53" s="1">
        <v>100.99999999999999</v>
      </c>
      <c r="C53">
        <f>VLOOKUP(A53,HPA2Yr!A:B,2,0)</f>
        <v>93.74</v>
      </c>
      <c r="D53" s="16">
        <f>VLOOKUP(A53,Cello!A:B,2,0)*100</f>
        <v>2.9689369641678951</v>
      </c>
    </row>
    <row r="54" spans="1:4" x14ac:dyDescent="0.25">
      <c r="A54" s="2">
        <v>39722</v>
      </c>
      <c r="B54" s="1">
        <v>95.333333333333314</v>
      </c>
      <c r="C54">
        <f>VLOOKUP(A54,HPA2Yr!A:B,2,0)</f>
        <v>93.15</v>
      </c>
      <c r="D54" s="16">
        <f>VLOOKUP(A54,Cello!A:B,2,0)*100</f>
        <v>3.0075968888288767</v>
      </c>
    </row>
    <row r="55" spans="1:4" x14ac:dyDescent="0.25">
      <c r="A55" s="2">
        <v>39753</v>
      </c>
      <c r="B55" s="1">
        <v>89.666666666666643</v>
      </c>
      <c r="C55">
        <f>VLOOKUP(A55,HPA2Yr!A:B,2,0)</f>
        <v>92.55</v>
      </c>
      <c r="D55" s="16">
        <f>VLOOKUP(A55,Cello!A:B,2,0)*100</f>
        <v>3.5064013061024668</v>
      </c>
    </row>
    <row r="56" spans="1:4" x14ac:dyDescent="0.25">
      <c r="A56" s="2">
        <v>39783</v>
      </c>
      <c r="B56" s="1">
        <v>84</v>
      </c>
      <c r="C56">
        <f>VLOOKUP(A56,HPA2Yr!A:B,2,0)</f>
        <v>91.97</v>
      </c>
      <c r="D56" s="16">
        <f>VLOOKUP(A56,Cello!A:B,2,0)*100</f>
        <v>2.8324050479201044</v>
      </c>
    </row>
    <row r="57" spans="1:4" x14ac:dyDescent="0.25">
      <c r="A57" s="2">
        <v>39814</v>
      </c>
      <c r="B57" s="1">
        <v>91.166666666666671</v>
      </c>
      <c r="C57">
        <f>VLOOKUP(A57,HPA2Yr!A:B,2,0)</f>
        <v>92.08</v>
      </c>
      <c r="D57" s="16">
        <f>VLOOKUP(A57,Cello!A:B,2,0)*100</f>
        <v>3.0473524878505986</v>
      </c>
    </row>
    <row r="58" spans="1:4" x14ac:dyDescent="0.25">
      <c r="A58" s="2">
        <v>39845</v>
      </c>
      <c r="B58" s="1">
        <v>98.333333333333343</v>
      </c>
      <c r="C58">
        <f>VLOOKUP(A58,HPA2Yr!A:B,2,0)</f>
        <v>92.19</v>
      </c>
      <c r="D58" s="16">
        <f>VLOOKUP(A58,Cello!A:B,2,0)*100</f>
        <v>3.2760058186938488</v>
      </c>
    </row>
    <row r="59" spans="1:4" x14ac:dyDescent="0.25">
      <c r="A59" s="2">
        <v>39873</v>
      </c>
      <c r="B59" s="1">
        <v>105.50000000000001</v>
      </c>
      <c r="C59">
        <f>VLOOKUP(A59,HPA2Yr!A:B,2,0)</f>
        <v>92.31</v>
      </c>
      <c r="D59" s="16">
        <f>VLOOKUP(A59,Cello!A:B,2,0)*100</f>
        <v>2.6698224503658481</v>
      </c>
    </row>
    <row r="60" spans="1:4" x14ac:dyDescent="0.25">
      <c r="A60" s="2">
        <v>39904</v>
      </c>
      <c r="B60" s="1">
        <v>112.66666666666669</v>
      </c>
      <c r="C60">
        <f>VLOOKUP(A60,HPA2Yr!A:B,2,0)</f>
        <v>91.51</v>
      </c>
      <c r="D60" s="16">
        <f>VLOOKUP(A60,Cello!A:B,2,0)*100</f>
        <v>2.4386709680428642</v>
      </c>
    </row>
    <row r="61" spans="1:4" x14ac:dyDescent="0.25">
      <c r="A61" s="2">
        <v>39934</v>
      </c>
      <c r="B61" s="1">
        <v>119.83333333333336</v>
      </c>
      <c r="C61">
        <f>VLOOKUP(A61,HPA2Yr!A:B,2,0)</f>
        <v>90.71</v>
      </c>
      <c r="D61" s="16">
        <f>VLOOKUP(A61,Cello!A:B,2,0)*100</f>
        <v>2.5964891051157575</v>
      </c>
    </row>
    <row r="62" spans="1:4" x14ac:dyDescent="0.25">
      <c r="A62" s="2">
        <v>39965</v>
      </c>
      <c r="B62" s="1">
        <v>127</v>
      </c>
      <c r="C62">
        <f>VLOOKUP(A62,HPA2Yr!A:B,2,0)</f>
        <v>89.92</v>
      </c>
      <c r="D62" s="16">
        <f>VLOOKUP(A62,Cello!A:B,2,0)*100</f>
        <v>2.2819351794300493</v>
      </c>
    </row>
    <row r="63" spans="1:4" x14ac:dyDescent="0.25">
      <c r="A63" s="2">
        <v>39995</v>
      </c>
      <c r="B63" s="1">
        <v>121.5</v>
      </c>
      <c r="C63">
        <f>VLOOKUP(A63,HPA2Yr!A:B,2,0)</f>
        <v>89.45</v>
      </c>
      <c r="D63" s="16">
        <f>VLOOKUP(A63,Cello!A:B,2,0)*100</f>
        <v>2.1566128673487608</v>
      </c>
    </row>
    <row r="64" spans="1:4" x14ac:dyDescent="0.25">
      <c r="A64" s="2">
        <v>40026</v>
      </c>
      <c r="B64" s="1">
        <v>116</v>
      </c>
      <c r="C64">
        <f>VLOOKUP(A64,HPA2Yr!A:B,2,0)</f>
        <v>88.99</v>
      </c>
      <c r="D64" s="16">
        <f>VLOOKUP(A64,Cello!A:B,2,0)*100</f>
        <v>1.9159165398478371</v>
      </c>
    </row>
    <row r="65" spans="1:4" x14ac:dyDescent="0.25">
      <c r="A65" s="2">
        <v>40057</v>
      </c>
      <c r="B65" s="1">
        <v>110.5</v>
      </c>
      <c r="C65">
        <f>VLOOKUP(A65,HPA2Yr!A:B,2,0)</f>
        <v>88.52</v>
      </c>
      <c r="D65" s="16">
        <f>VLOOKUP(A65,Cello!A:B,2,0)*100</f>
        <v>2.2688658844794043</v>
      </c>
    </row>
    <row r="66" spans="1:4" x14ac:dyDescent="0.25">
      <c r="A66" s="2">
        <v>40087</v>
      </c>
      <c r="B66" s="1">
        <v>105</v>
      </c>
      <c r="C66">
        <f>VLOOKUP(A66,HPA2Yr!A:B,2,0)</f>
        <v>88.39</v>
      </c>
      <c r="D66" s="16">
        <f>VLOOKUP(A66,Cello!A:B,2,0)*100</f>
        <v>2.3457781167206306</v>
      </c>
    </row>
    <row r="67" spans="1:4" x14ac:dyDescent="0.25">
      <c r="A67" s="2">
        <v>40118</v>
      </c>
      <c r="B67" s="1">
        <v>99.5</v>
      </c>
      <c r="C67">
        <f>VLOOKUP(A67,HPA2Yr!A:B,2,0)</f>
        <v>88.26</v>
      </c>
      <c r="D67" s="16">
        <f>VLOOKUP(A67,Cello!A:B,2,0)*100</f>
        <v>2.4442504131252618</v>
      </c>
    </row>
    <row r="68" spans="1:4" x14ac:dyDescent="0.25">
      <c r="A68" s="2">
        <v>40148</v>
      </c>
      <c r="B68" s="1">
        <v>94</v>
      </c>
      <c r="C68">
        <f>VLOOKUP(A68,HPA2Yr!A:B,2,0)</f>
        <v>88.13</v>
      </c>
      <c r="D68" s="16">
        <f>VLOOKUP(A68,Cello!A:B,2,0)*100</f>
        <v>2.3361149755491692</v>
      </c>
    </row>
    <row r="69" spans="1:4" x14ac:dyDescent="0.25">
      <c r="A69" s="2">
        <v>40179</v>
      </c>
      <c r="B69" s="1">
        <v>94.666666666666671</v>
      </c>
      <c r="C69">
        <f>VLOOKUP(A69,HPA2Yr!A:B,2,0)</f>
        <v>87.98</v>
      </c>
      <c r="D69" s="16">
        <f>VLOOKUP(A69,Cello!A:B,2,0)*100</f>
        <v>2.196846650564348</v>
      </c>
    </row>
    <row r="70" spans="1:4" x14ac:dyDescent="0.25">
      <c r="A70" s="2">
        <v>40210</v>
      </c>
      <c r="B70" s="1">
        <v>95.333333333333343</v>
      </c>
      <c r="C70">
        <f>VLOOKUP(A70,HPA2Yr!A:B,2,0)</f>
        <v>87.84</v>
      </c>
      <c r="D70" s="16">
        <f>VLOOKUP(A70,Cello!A:B,2,0)*100</f>
        <v>1.9028224950805406</v>
      </c>
    </row>
    <row r="71" spans="1:4" x14ac:dyDescent="0.25">
      <c r="A71" s="2">
        <v>40238</v>
      </c>
      <c r="B71" s="1">
        <v>96.000000000000014</v>
      </c>
      <c r="C71">
        <f>VLOOKUP(A71,HPA2Yr!A:B,2,0)</f>
        <v>87.69</v>
      </c>
      <c r="D71" s="16">
        <f>VLOOKUP(A71,Cello!A:B,2,0)*100</f>
        <v>1.8153236850950587</v>
      </c>
    </row>
    <row r="72" spans="1:4" x14ac:dyDescent="0.25">
      <c r="A72" s="2">
        <v>40269</v>
      </c>
      <c r="B72" s="1">
        <v>96.666666666666686</v>
      </c>
      <c r="C72">
        <f>VLOOKUP(A72,HPA2Yr!A:B,2,0)</f>
        <v>88.16</v>
      </c>
      <c r="D72" s="16">
        <f>VLOOKUP(A72,Cello!A:B,2,0)*100</f>
        <v>1.8584225296346537</v>
      </c>
    </row>
    <row r="73" spans="1:4" x14ac:dyDescent="0.25">
      <c r="A73" s="2">
        <v>40299</v>
      </c>
      <c r="B73" s="1">
        <v>97.333333333333357</v>
      </c>
      <c r="C73">
        <f>VLOOKUP(A73,HPA2Yr!A:B,2,0)</f>
        <v>88.63</v>
      </c>
      <c r="D73" s="16">
        <f>VLOOKUP(A73,Cello!A:B,2,0)*100</f>
        <v>1.8508370017022577</v>
      </c>
    </row>
    <row r="74" spans="1:4" x14ac:dyDescent="0.25">
      <c r="A74" s="2">
        <v>40330</v>
      </c>
      <c r="B74" s="1">
        <v>98</v>
      </c>
      <c r="C74">
        <f>VLOOKUP(A74,HPA2Yr!A:B,2,0)</f>
        <v>89.12</v>
      </c>
      <c r="D74" s="16">
        <f>VLOOKUP(A74,Cello!A:B,2,0)*100</f>
        <v>1.788322969503086</v>
      </c>
    </row>
    <row r="75" spans="1:4" x14ac:dyDescent="0.25">
      <c r="A75" s="2">
        <v>40360</v>
      </c>
      <c r="B75" s="1">
        <v>101.16666666666667</v>
      </c>
      <c r="C75">
        <f>VLOOKUP(A75,HPA2Yr!A:B,2,0)</f>
        <v>90.35</v>
      </c>
      <c r="D75" s="16">
        <f>VLOOKUP(A75,Cello!A:B,2,0)*100</f>
        <v>1.9687852742639016</v>
      </c>
    </row>
    <row r="76" spans="1:4" x14ac:dyDescent="0.25">
      <c r="A76" s="2">
        <v>40391</v>
      </c>
      <c r="B76" s="1">
        <v>104.33333333333334</v>
      </c>
      <c r="C76">
        <f>VLOOKUP(A76,HPA2Yr!A:B,2,0)</f>
        <v>91.6</v>
      </c>
      <c r="D76" s="16">
        <f>VLOOKUP(A76,Cello!A:B,2,0)*100</f>
        <v>2.0226541785790415</v>
      </c>
    </row>
    <row r="77" spans="1:4" x14ac:dyDescent="0.25">
      <c r="A77" s="2">
        <v>40422</v>
      </c>
      <c r="B77" s="1">
        <v>107.50000000000001</v>
      </c>
      <c r="C77">
        <f>VLOOKUP(A77,HPA2Yr!A:B,2,0)</f>
        <v>92.88</v>
      </c>
      <c r="D77" s="16">
        <f>VLOOKUP(A77,Cello!A:B,2,0)*100</f>
        <v>1.9292180299449433</v>
      </c>
    </row>
    <row r="78" spans="1:4" x14ac:dyDescent="0.25">
      <c r="A78" s="2">
        <v>40452</v>
      </c>
      <c r="B78" s="1">
        <v>110.66666666666669</v>
      </c>
      <c r="C78">
        <f>VLOOKUP(A78,HPA2Yr!A:B,2,0)</f>
        <v>92.93</v>
      </c>
      <c r="D78" s="16">
        <f>VLOOKUP(A78,Cello!A:B,2,0)*100</f>
        <v>1.8666996860846621</v>
      </c>
    </row>
    <row r="79" spans="1:4" x14ac:dyDescent="0.25">
      <c r="A79" s="2">
        <v>40483</v>
      </c>
      <c r="B79" s="1">
        <v>113.83333333333336</v>
      </c>
      <c r="C79">
        <f>VLOOKUP(A79,HPA2Yr!A:B,2,0)</f>
        <v>92.99</v>
      </c>
      <c r="D79" s="16">
        <f>VLOOKUP(A79,Cello!A:B,2,0)*100</f>
        <v>1.8174961136070751</v>
      </c>
    </row>
    <row r="80" spans="1:4" x14ac:dyDescent="0.25">
      <c r="A80" s="2">
        <v>40513</v>
      </c>
      <c r="B80" s="1">
        <v>117</v>
      </c>
      <c r="C80">
        <f>VLOOKUP(A80,HPA2Yr!A:B,2,0)</f>
        <v>93.04</v>
      </c>
      <c r="D80" s="16">
        <f>VLOOKUP(A80,Cello!A:B,2,0)*100</f>
        <v>1.8569794784052487</v>
      </c>
    </row>
    <row r="81" spans="1:4" x14ac:dyDescent="0.25">
      <c r="A81" s="2">
        <v>40544</v>
      </c>
      <c r="B81" s="1">
        <v>115.83333333333333</v>
      </c>
      <c r="C81">
        <f>VLOOKUP(A81,HPA2Yr!A:B,2,0)</f>
        <v>91.96</v>
      </c>
      <c r="D81" s="16">
        <f>VLOOKUP(A81,Cello!A:B,2,0)*100</f>
        <v>1.6491684629313073</v>
      </c>
    </row>
    <row r="82" spans="1:4" x14ac:dyDescent="0.25">
      <c r="A82" s="2">
        <v>40575</v>
      </c>
      <c r="B82" s="1">
        <v>114.66666666666666</v>
      </c>
      <c r="C82">
        <f>VLOOKUP(A82,HPA2Yr!A:B,2,0)</f>
        <v>90.88</v>
      </c>
      <c r="D82" s="16">
        <f>VLOOKUP(A82,Cello!A:B,2,0)*100</f>
        <v>1.4826195254621493</v>
      </c>
    </row>
    <row r="83" spans="1:4" x14ac:dyDescent="0.25">
      <c r="A83" s="2">
        <v>40603</v>
      </c>
      <c r="B83" s="1">
        <v>112.08</v>
      </c>
      <c r="C83">
        <f>VLOOKUP(A83,HPA2Yr!A:B,2,0)</f>
        <v>89.81</v>
      </c>
      <c r="D83" s="16">
        <f>VLOOKUP(A83,Cello!A:B,2,0)*100</f>
        <v>1.6617978926176113</v>
      </c>
    </row>
    <row r="84" spans="1:4" x14ac:dyDescent="0.25">
      <c r="A84" s="2">
        <v>40634</v>
      </c>
      <c r="B84" s="1">
        <v>107.04</v>
      </c>
      <c r="C84">
        <f>VLOOKUP(A84,HPA2Yr!A:B,2,0)</f>
        <v>90.1</v>
      </c>
      <c r="D84" s="16">
        <f>VLOOKUP(A84,Cello!A:B,2,0)*100</f>
        <v>1.6477786006875643</v>
      </c>
    </row>
    <row r="85" spans="1:4" x14ac:dyDescent="0.25">
      <c r="A85" s="2">
        <v>40664</v>
      </c>
      <c r="B85" s="1">
        <v>109.28</v>
      </c>
      <c r="C85">
        <f>VLOOKUP(A85,HPA2Yr!A:B,2,0)</f>
        <v>90.4</v>
      </c>
      <c r="D85" s="16">
        <f>VLOOKUP(A85,Cello!A:B,2,0)*100</f>
        <v>1.8098143897761092</v>
      </c>
    </row>
    <row r="86" spans="1:4" x14ac:dyDescent="0.25">
      <c r="A86" s="2">
        <v>40695</v>
      </c>
      <c r="B86" s="1">
        <v>110.55</v>
      </c>
      <c r="C86">
        <f>VLOOKUP(A86,HPA2Yr!A:B,2,0)</f>
        <v>90.7</v>
      </c>
      <c r="D86" s="16">
        <f>VLOOKUP(A86,Cello!A:B,2,0)*100</f>
        <v>1.7893182097442288</v>
      </c>
    </row>
    <row r="87" spans="1:4" x14ac:dyDescent="0.25">
      <c r="A87" s="2">
        <v>40725</v>
      </c>
      <c r="B87" s="1">
        <v>109.95</v>
      </c>
      <c r="C87">
        <f>VLOOKUP(A87,HPA2Yr!A:B,2,0)</f>
        <v>91.74</v>
      </c>
      <c r="D87" s="16">
        <f>VLOOKUP(A87,Cello!A:B,2,0)*100</f>
        <v>1.9328781431477264</v>
      </c>
    </row>
    <row r="88" spans="1:4" x14ac:dyDescent="0.25">
      <c r="A88" s="2">
        <v>40756</v>
      </c>
      <c r="B88" s="1">
        <v>107.75</v>
      </c>
      <c r="C88">
        <f>VLOOKUP(A88,HPA2Yr!A:B,2,0)</f>
        <v>92.81</v>
      </c>
      <c r="D88" s="16">
        <f>VLOOKUP(A88,Cello!A:B,2,0)*100</f>
        <v>1.913504436666567</v>
      </c>
    </row>
    <row r="89" spans="1:4" x14ac:dyDescent="0.25">
      <c r="A89" s="2">
        <v>40787</v>
      </c>
      <c r="B89" s="1">
        <v>111.19</v>
      </c>
      <c r="C89">
        <f>VLOOKUP(A89,HPA2Yr!A:B,2,0)</f>
        <v>93.89</v>
      </c>
      <c r="D89" s="16">
        <f>VLOOKUP(A89,Cello!A:B,2,0)*100</f>
        <v>1.8588348404513459</v>
      </c>
    </row>
    <row r="90" spans="1:4" x14ac:dyDescent="0.25">
      <c r="A90" s="2">
        <v>40817</v>
      </c>
      <c r="B90" s="1">
        <v>107.1</v>
      </c>
      <c r="C90">
        <f>VLOOKUP(A90,HPA2Yr!A:B,2,0)</f>
        <v>94.26</v>
      </c>
      <c r="D90" s="16">
        <f>VLOOKUP(A90,Cello!A:B,2,0)*100</f>
        <v>2.0419862794120225</v>
      </c>
    </row>
    <row r="91" spans="1:4" x14ac:dyDescent="0.25">
      <c r="A91" s="2">
        <v>40848</v>
      </c>
      <c r="B91" s="1">
        <v>106.28</v>
      </c>
      <c r="C91">
        <f>VLOOKUP(A91,HPA2Yr!A:B,2,0)</f>
        <v>94.63</v>
      </c>
      <c r="D91" s="16">
        <f>VLOOKUP(A91,Cello!A:B,2,0)*100</f>
        <v>1.996711871779753</v>
      </c>
    </row>
    <row r="92" spans="1:4" x14ac:dyDescent="0.25">
      <c r="A92" s="2">
        <v>40878</v>
      </c>
      <c r="B92" s="1">
        <v>104.92</v>
      </c>
      <c r="C92">
        <f>VLOOKUP(A92,HPA2Yr!A:B,2,0)</f>
        <v>95.01</v>
      </c>
      <c r="D92" s="16">
        <f>VLOOKUP(A92,Cello!A:B,2,0)*100</f>
        <v>1.8597707440269777</v>
      </c>
    </row>
    <row r="93" spans="1:4" x14ac:dyDescent="0.25">
      <c r="A93" s="2">
        <v>40909</v>
      </c>
      <c r="B93" s="1">
        <v>102.38</v>
      </c>
      <c r="C93">
        <f>VLOOKUP(A93,HPA2Yr!A:B,2,0)</f>
        <v>95.06</v>
      </c>
      <c r="D93" s="16">
        <f>VLOOKUP(A93,Cello!A:B,2,0)*100</f>
        <v>1.82958682078933</v>
      </c>
    </row>
    <row r="94" spans="1:4" x14ac:dyDescent="0.25">
      <c r="A94" s="2">
        <v>40940</v>
      </c>
      <c r="B94" s="1">
        <v>99.04</v>
      </c>
      <c r="C94">
        <f>VLOOKUP(A94,HPA2Yr!A:B,2,0)</f>
        <v>95.12</v>
      </c>
      <c r="D94" s="16">
        <f>VLOOKUP(A94,Cello!A:B,2,0)*100</f>
        <v>1.8218513465454227</v>
      </c>
    </row>
    <row r="95" spans="1:4" x14ac:dyDescent="0.25">
      <c r="A95" s="2">
        <v>40969</v>
      </c>
      <c r="B95" s="1">
        <v>100</v>
      </c>
      <c r="C95">
        <f>VLOOKUP(A95,HPA2Yr!A:B,2,0)</f>
        <v>95.17</v>
      </c>
      <c r="D95" s="16">
        <f>VLOOKUP(A95,Cello!A:B,2,0)*100</f>
        <v>1.8163919629769214</v>
      </c>
    </row>
    <row r="96" spans="1:4" x14ac:dyDescent="0.25">
      <c r="A96" s="2">
        <v>41000</v>
      </c>
      <c r="B96" s="1">
        <v>101.71</v>
      </c>
      <c r="C96">
        <f>VLOOKUP(A96,HPA2Yr!A:B,2,0)</f>
        <v>95.34</v>
      </c>
      <c r="D96" s="16">
        <f>VLOOKUP(A96,Cello!A:B,2,0)*100</f>
        <v>1.7827059100058675</v>
      </c>
    </row>
    <row r="97" spans="1:4" x14ac:dyDescent="0.25">
      <c r="A97" s="2">
        <v>41030</v>
      </c>
      <c r="B97" s="1">
        <v>101.55</v>
      </c>
      <c r="C97">
        <f>VLOOKUP(A97,HPA2Yr!A:B,2,0)</f>
        <v>95.5</v>
      </c>
      <c r="D97" s="16">
        <f>VLOOKUP(A97,Cello!A:B,2,0)*100</f>
        <v>1.7252240546026358</v>
      </c>
    </row>
    <row r="98" spans="1:4" x14ac:dyDescent="0.25">
      <c r="A98" s="2">
        <v>41061</v>
      </c>
      <c r="B98" s="1">
        <v>103.01</v>
      </c>
      <c r="C98">
        <f>VLOOKUP(A98,HPA2Yr!A:B,2,0)</f>
        <v>95.67</v>
      </c>
      <c r="D98" s="16">
        <f>VLOOKUP(A98,Cello!A:B,2,0)*100</f>
        <v>1.8063085410597461</v>
      </c>
    </row>
    <row r="99" spans="1:4" x14ac:dyDescent="0.25">
      <c r="A99" s="2">
        <v>41091</v>
      </c>
      <c r="B99" s="1">
        <v>99.67</v>
      </c>
      <c r="C99">
        <f>VLOOKUP(A99,HPA2Yr!A:B,2,0)</f>
        <v>95.77</v>
      </c>
      <c r="D99" s="16">
        <f>VLOOKUP(A99,Cello!A:B,2,0)*100</f>
        <v>1.8561438889717519</v>
      </c>
    </row>
    <row r="100" spans="1:4" x14ac:dyDescent="0.25">
      <c r="A100" s="2">
        <v>41122</v>
      </c>
      <c r="B100" s="1">
        <v>103.93</v>
      </c>
      <c r="C100">
        <f>VLOOKUP(A100,HPA2Yr!A:B,2,0)</f>
        <v>95.88</v>
      </c>
      <c r="D100" s="16">
        <f>VLOOKUP(A100,Cello!A:B,2,0)*100</f>
        <v>1.8779817658657791</v>
      </c>
    </row>
    <row r="101" spans="1:4" x14ac:dyDescent="0.25">
      <c r="A101" s="2">
        <v>41153</v>
      </c>
      <c r="B101" s="1">
        <v>103.92</v>
      </c>
      <c r="C101">
        <f>VLOOKUP(A101,HPA2Yr!A:B,2,0)</f>
        <v>95.98</v>
      </c>
      <c r="D101" s="16">
        <f>VLOOKUP(A101,Cello!A:B,2,0)*100</f>
        <v>1.9241320777932485</v>
      </c>
    </row>
    <row r="102" spans="1:4" x14ac:dyDescent="0.25">
      <c r="A102" s="2">
        <v>41183</v>
      </c>
      <c r="B102" s="1">
        <v>101.4</v>
      </c>
      <c r="C102">
        <f>VLOOKUP(A102,HPA2Yr!A:B,2,0)</f>
        <v>96.47</v>
      </c>
      <c r="D102" s="16">
        <f>VLOOKUP(A102,Cello!A:B,2,0)*100</f>
        <v>1.877594152712404</v>
      </c>
    </row>
    <row r="103" spans="1:4" x14ac:dyDescent="0.25">
      <c r="A103" s="2">
        <v>41214</v>
      </c>
      <c r="B103" s="1">
        <v>105.95</v>
      </c>
      <c r="C103">
        <f>VLOOKUP(A103,HPA2Yr!A:B,2,0)</f>
        <v>96.97</v>
      </c>
      <c r="D103" s="16">
        <f>VLOOKUP(A103,Cello!A:B,2,0)*100</f>
        <v>1.9637213437199474</v>
      </c>
    </row>
    <row r="104" spans="1:4" x14ac:dyDescent="0.25">
      <c r="A104" s="2">
        <v>41244</v>
      </c>
      <c r="B104" s="1">
        <v>108.16</v>
      </c>
      <c r="C104">
        <f>VLOOKUP(A104,HPA2Yr!A:B,2,0)</f>
        <v>97.47</v>
      </c>
      <c r="D104" s="16">
        <f>VLOOKUP(A104,Cello!A:B,2,0)*100</f>
        <v>1.9682033865423314</v>
      </c>
    </row>
    <row r="105" spans="1:4" x14ac:dyDescent="0.25">
      <c r="A105" s="2">
        <v>41275</v>
      </c>
      <c r="B105" s="1">
        <v>108.21</v>
      </c>
      <c r="C105">
        <f>VLOOKUP(A105,HPA2Yr!A:B,2,0)</f>
        <v>98.55</v>
      </c>
      <c r="D105" s="16">
        <f>VLOOKUP(A105,Cello!A:B,2,0)*100</f>
        <v>1.9128413529500743</v>
      </c>
    </row>
    <row r="106" spans="1:4" x14ac:dyDescent="0.25">
      <c r="A106" s="2">
        <v>41306</v>
      </c>
      <c r="B106" s="1">
        <v>109.13</v>
      </c>
      <c r="C106">
        <f>VLOOKUP(A106,HPA2Yr!A:B,2,0)</f>
        <v>99.64</v>
      </c>
      <c r="D106" s="16">
        <f>VLOOKUP(A106,Cello!A:B,2,0)*100</f>
        <v>1.905719940703269</v>
      </c>
    </row>
    <row r="107" spans="1:4" x14ac:dyDescent="0.25">
      <c r="A107" s="2">
        <v>41334</v>
      </c>
      <c r="B107" s="1">
        <v>108.01</v>
      </c>
      <c r="C107">
        <f>VLOOKUP(A107,HPA2Yr!A:B,2,0)</f>
        <v>100.76</v>
      </c>
      <c r="D107" s="16">
        <f>VLOOKUP(A107,Cello!A:B,2,0)*100</f>
        <v>1.9255466423227878</v>
      </c>
    </row>
    <row r="108" spans="1:4" x14ac:dyDescent="0.25">
      <c r="A108" s="2">
        <v>41365</v>
      </c>
      <c r="B108" s="1">
        <v>108.56</v>
      </c>
      <c r="C108">
        <f>VLOOKUP(A108,HPA2Yr!A:B,2,0)</f>
        <v>101.88</v>
      </c>
      <c r="D108" s="16">
        <f>VLOOKUP(A108,Cello!A:B,2,0)*100</f>
        <v>1.9359494200197918</v>
      </c>
    </row>
    <row r="109" spans="1:4" x14ac:dyDescent="0.25">
      <c r="A109" s="2">
        <v>41395</v>
      </c>
      <c r="B109" s="1">
        <v>108.87</v>
      </c>
      <c r="C109">
        <f>VLOOKUP(A109,HPA2Yr!A:B,2,0)</f>
        <v>103</v>
      </c>
      <c r="D109" s="16">
        <f>VLOOKUP(A109,Cello!A:B,2,0)*100</f>
        <v>2.0040365891215259</v>
      </c>
    </row>
    <row r="110" spans="1:4" x14ac:dyDescent="0.25">
      <c r="A110" s="2">
        <v>41426</v>
      </c>
      <c r="B110" s="1">
        <v>109.81</v>
      </c>
      <c r="C110">
        <f>VLOOKUP(A110,HPA2Yr!A:B,2,0)</f>
        <v>104.14</v>
      </c>
      <c r="D110" s="16">
        <f>VLOOKUP(A110,Cello!A:B,2,0)*100</f>
        <v>2.1272557381952155</v>
      </c>
    </row>
    <row r="111" spans="1:4" x14ac:dyDescent="0.25">
      <c r="A111" s="2">
        <v>41456</v>
      </c>
      <c r="B111" s="1">
        <v>112.3</v>
      </c>
      <c r="C111">
        <f>VLOOKUP(A111,HPA2Yr!A:B,2,0)</f>
        <v>104.44</v>
      </c>
      <c r="D111" s="16">
        <f>VLOOKUP(A111,Cello!A:B,2,0)*100</f>
        <v>1.9887623005286774</v>
      </c>
    </row>
    <row r="112" spans="1:4" x14ac:dyDescent="0.25">
      <c r="A112" s="2">
        <v>41487</v>
      </c>
      <c r="B112" s="1">
        <v>111.5</v>
      </c>
      <c r="C112">
        <f>VLOOKUP(A112,HPA2Yr!A:B,2,0)</f>
        <v>104.74</v>
      </c>
      <c r="D112" s="16">
        <f>VLOOKUP(A112,Cello!A:B,2,0)*100</f>
        <v>1.7477369242045009</v>
      </c>
    </row>
    <row r="113" spans="1:4" x14ac:dyDescent="0.25">
      <c r="A113" s="2">
        <v>41518</v>
      </c>
      <c r="B113" s="1">
        <v>110.7</v>
      </c>
      <c r="C113">
        <f>VLOOKUP(A113,HPA2Yr!A:B,2,0)</f>
        <v>105.03</v>
      </c>
      <c r="D113" s="16">
        <f>VLOOKUP(A113,Cello!A:B,2,0)*100</f>
        <v>1.901504796960676</v>
      </c>
    </row>
    <row r="114" spans="1:4" x14ac:dyDescent="0.25">
      <c r="A114" s="2">
        <v>41548</v>
      </c>
      <c r="B114" s="1">
        <v>111.5</v>
      </c>
      <c r="C114">
        <f>VLOOKUP(A114,HPA2Yr!A:B,2,0)</f>
        <v>105.2</v>
      </c>
      <c r="D114" s="16">
        <f>VLOOKUP(A114,Cello!A:B,2,0)*100</f>
        <v>2.1043413420695911</v>
      </c>
    </row>
    <row r="115" spans="1:4" x14ac:dyDescent="0.25">
      <c r="A115" s="2">
        <v>41579</v>
      </c>
      <c r="B115" s="1">
        <v>110.2</v>
      </c>
      <c r="C115">
        <f>VLOOKUP(A115,HPA2Yr!A:B,2,0)</f>
        <v>105.38</v>
      </c>
      <c r="D115" s="16">
        <f>VLOOKUP(A115,Cello!A:B,2,0)*100</f>
        <v>2.232241346032521</v>
      </c>
    </row>
    <row r="116" spans="1:4" x14ac:dyDescent="0.25">
      <c r="A116" s="2">
        <v>41609</v>
      </c>
      <c r="B116" s="1">
        <v>110.9</v>
      </c>
      <c r="C116">
        <f>VLOOKUP(A116,HPA2Yr!A:B,2,0)</f>
        <v>105.55</v>
      </c>
      <c r="D116" s="16">
        <f>VLOOKUP(A116,Cello!A:B,2,0)*100</f>
        <v>2.4610787396044902</v>
      </c>
    </row>
    <row r="117" spans="1:4" x14ac:dyDescent="0.25">
      <c r="A117" s="2">
        <v>41640</v>
      </c>
      <c r="B117" s="1">
        <v>113</v>
      </c>
      <c r="C117">
        <f>VLOOKUP(A117,HPA2Yr!A:B,2,0)</f>
        <v>106.24</v>
      </c>
      <c r="D117" s="16">
        <f>VLOOKUP(A117,Cello!A:B,2,0)*100</f>
        <v>2.3724672095344483</v>
      </c>
    </row>
    <row r="118" spans="1:4" x14ac:dyDescent="0.25">
      <c r="A118" s="2">
        <v>41671</v>
      </c>
      <c r="B118" s="1">
        <v>113.5</v>
      </c>
      <c r="C118">
        <f>VLOOKUP(A118,HPA2Yr!A:B,2,0)</f>
        <v>106.93</v>
      </c>
      <c r="D118" s="16">
        <f>VLOOKUP(A118,Cello!A:B,2,0)*100</f>
        <v>2.249241790241022</v>
      </c>
    </row>
    <row r="119" spans="1:4" x14ac:dyDescent="0.25">
      <c r="A119" s="2">
        <v>41699</v>
      </c>
      <c r="B119" s="1">
        <v>114</v>
      </c>
      <c r="C119">
        <f>VLOOKUP(A119,HPA2Yr!A:B,2,0)</f>
        <v>107.63</v>
      </c>
      <c r="D119" s="16">
        <f>VLOOKUP(A119,Cello!A:B,2,0)*100</f>
        <v>2.4232831138146245</v>
      </c>
    </row>
    <row r="120" spans="1:4" x14ac:dyDescent="0.25">
      <c r="A120" s="2">
        <v>41730</v>
      </c>
      <c r="B120" s="1">
        <v>113.8</v>
      </c>
      <c r="C120">
        <f>VLOOKUP(A120,HPA2Yr!A:B,2,0)</f>
        <v>108.51</v>
      </c>
      <c r="D120" s="16">
        <f>VLOOKUP(A120,Cello!A:B,2,0)*100</f>
        <v>2.5346413627390136</v>
      </c>
    </row>
    <row r="121" spans="1:4" x14ac:dyDescent="0.25">
      <c r="A121" s="2">
        <v>41760</v>
      </c>
      <c r="B121" s="1">
        <v>115.1</v>
      </c>
      <c r="C121">
        <f>VLOOKUP(A121,HPA2Yr!A:B,2,0)</f>
        <v>109.39</v>
      </c>
      <c r="D121" s="16">
        <f>VLOOKUP(A121,Cello!A:B,2,0)*100</f>
        <v>2.4845412643709808</v>
      </c>
    </row>
    <row r="122" spans="1:4" x14ac:dyDescent="0.25">
      <c r="A122" s="2">
        <v>41791</v>
      </c>
      <c r="B122" s="1">
        <v>115.8</v>
      </c>
      <c r="C122">
        <f>VLOOKUP(A122,HPA2Yr!A:B,2,0)</f>
        <v>110.28</v>
      </c>
      <c r="D122" s="16">
        <f>VLOOKUP(A122,Cello!A:B,2,0)*100</f>
        <v>2.534334227819683</v>
      </c>
    </row>
    <row r="123" spans="1:4" x14ac:dyDescent="0.25">
      <c r="A123" s="2">
        <v>41821</v>
      </c>
      <c r="B123" s="1">
        <v>116.4</v>
      </c>
      <c r="C123">
        <f>VLOOKUP(A123,HPA2Yr!A:B,2,0)</f>
        <v>110.37</v>
      </c>
      <c r="D123" s="16">
        <f>VLOOKUP(A123,Cello!A:B,2,0)*100</f>
        <v>2.6838166984538523</v>
      </c>
    </row>
    <row r="124" spans="1:4" x14ac:dyDescent="0.25">
      <c r="A124" s="2">
        <v>41852</v>
      </c>
      <c r="B124" s="1">
        <v>116.1</v>
      </c>
      <c r="C124">
        <f>VLOOKUP(A124,HPA2Yr!A:B,2,0)</f>
        <v>110.47</v>
      </c>
      <c r="D124" s="16">
        <f>VLOOKUP(A124,Cello!A:B,2,0)*100</f>
        <v>2.5949391730973499</v>
      </c>
    </row>
    <row r="125" spans="1:4" x14ac:dyDescent="0.25">
      <c r="A125" s="2">
        <v>41883</v>
      </c>
      <c r="B125" s="1">
        <v>116.1</v>
      </c>
      <c r="C125">
        <f>VLOOKUP(A125,HPA2Yr!A:B,2,0)</f>
        <v>110.56</v>
      </c>
      <c r="D125" s="16">
        <f>VLOOKUP(A125,Cello!A:B,2,0)*100</f>
        <v>2.6031549357250814</v>
      </c>
    </row>
    <row r="126" spans="1:4" x14ac:dyDescent="0.25">
      <c r="A126" s="2">
        <v>41913</v>
      </c>
      <c r="B126" s="1">
        <v>113.2</v>
      </c>
      <c r="C126">
        <f>VLOOKUP(A126,HPA2Yr!A:B,2,0)</f>
        <v>110.58</v>
      </c>
      <c r="D126" s="16">
        <f>VLOOKUP(A126,Cello!A:B,2,0)*100</f>
        <v>2.6627065648873245</v>
      </c>
    </row>
    <row r="127" spans="1:4" x14ac:dyDescent="0.25">
      <c r="A127" s="2">
        <v>41944</v>
      </c>
      <c r="B127" s="1">
        <v>114.6</v>
      </c>
      <c r="C127">
        <f>VLOOKUP(A127,HPA2Yr!A:B,2,0)</f>
        <v>110.61</v>
      </c>
      <c r="D127" s="16">
        <f>VLOOKUP(A127,Cello!A:B,2,0)*100</f>
        <v>2.6582155092484445</v>
      </c>
    </row>
    <row r="128" spans="1:4" x14ac:dyDescent="0.25">
      <c r="A128" s="2">
        <v>41974</v>
      </c>
      <c r="B128" s="1">
        <v>115.7</v>
      </c>
      <c r="C128">
        <f>VLOOKUP(A128,HPA2Yr!A:B,2,0)</f>
        <v>110.63</v>
      </c>
      <c r="D128" s="16">
        <f>VLOOKUP(A128,Cello!A:B,2,0)*100</f>
        <v>2.7795107951965115</v>
      </c>
    </row>
    <row r="129" spans="1:4" x14ac:dyDescent="0.25">
      <c r="A129" s="2">
        <v>42005</v>
      </c>
      <c r="B129" s="1">
        <v>117.8</v>
      </c>
      <c r="C129">
        <f>VLOOKUP(A129,HPA2Yr!A:B,2,0)</f>
        <v>110.78</v>
      </c>
      <c r="D129" s="16">
        <f>VLOOKUP(A129,Cello!A:B,2,0)*100</f>
        <v>2.7292557933428667</v>
      </c>
    </row>
    <row r="130" spans="1:4" x14ac:dyDescent="0.25">
      <c r="A130" s="2">
        <v>42036</v>
      </c>
      <c r="B130" s="1">
        <v>118.6</v>
      </c>
      <c r="C130">
        <f>VLOOKUP(A130,HPA2Yr!A:B,2,0)</f>
        <v>110.93</v>
      </c>
      <c r="D130" s="16">
        <f>VLOOKUP(A130,Cello!A:B,2,0)*100</f>
        <v>2.82801030638602</v>
      </c>
    </row>
    <row r="131" spans="1:4" x14ac:dyDescent="0.25">
      <c r="A131" s="2">
        <v>42064</v>
      </c>
      <c r="B131" s="1">
        <v>121.35899999999999</v>
      </c>
      <c r="C131">
        <f>VLOOKUP(A131,HPA2Yr!A:B,2,0)</f>
        <v>111.08</v>
      </c>
      <c r="D131" s="16">
        <f>VLOOKUP(A131,Cello!A:B,2,0)*100</f>
        <v>2.945371920601795</v>
      </c>
    </row>
    <row r="132" spans="1:4" x14ac:dyDescent="0.25">
      <c r="A132" s="2">
        <v>42095</v>
      </c>
      <c r="B132" s="1">
        <v>122</v>
      </c>
      <c r="C132">
        <f>VLOOKUP(A132,HPA2Yr!A:B,2,0)</f>
        <v>111.22</v>
      </c>
      <c r="D132" s="16">
        <f>VLOOKUP(A132,Cello!A:B,2,0)*100</f>
        <v>2.6831001208132568</v>
      </c>
    </row>
    <row r="133" spans="1:4" x14ac:dyDescent="0.25">
      <c r="A133" s="2">
        <v>42125</v>
      </c>
      <c r="B133" s="1">
        <v>122.6</v>
      </c>
      <c r="C133">
        <f>VLOOKUP(A133,HPA2Yr!A:B,2,0)</f>
        <v>111.36</v>
      </c>
      <c r="D133" s="16">
        <f>VLOOKUP(A133,Cello!A:B,2,0)*100</f>
        <v>2.6512767987565717</v>
      </c>
    </row>
    <row r="134" spans="1:4" x14ac:dyDescent="0.25">
      <c r="A134" s="2">
        <v>42156</v>
      </c>
      <c r="B134" s="1">
        <v>122</v>
      </c>
      <c r="C134">
        <f>VLOOKUP(A134,HPA2Yr!A:B,2,0)</f>
        <v>111.49</v>
      </c>
      <c r="D134" s="16">
        <f>VLOOKUP(A134,Cello!A:B,2,0)*100</f>
        <v>2.7364721936929577</v>
      </c>
    </row>
    <row r="135" spans="1:4" x14ac:dyDescent="0.25">
      <c r="A135" s="2">
        <v>42186</v>
      </c>
      <c r="B135" s="1">
        <v>125.5</v>
      </c>
      <c r="C135">
        <f>VLOOKUP(A135,HPA2Yr!A:B,2,0)</f>
        <v>111.53</v>
      </c>
      <c r="D135" s="16">
        <f>VLOOKUP(A135,Cello!A:B,2,0)*100</f>
        <v>2.4820968026983334</v>
      </c>
    </row>
    <row r="136" spans="1:4" x14ac:dyDescent="0.25">
      <c r="A136" s="2">
        <v>42217</v>
      </c>
      <c r="B136" s="1">
        <v>126.1</v>
      </c>
      <c r="C136">
        <f>VLOOKUP(A136,HPA2Yr!A:B,2,0)</f>
        <v>111.56</v>
      </c>
      <c r="D136" s="16">
        <f>VLOOKUP(A136,Cello!A:B,2,0)*100</f>
        <v>2.4483324071397186</v>
      </c>
    </row>
    <row r="137" spans="1:4" x14ac:dyDescent="0.25">
      <c r="A137" s="2">
        <v>42248</v>
      </c>
      <c r="B137" s="1">
        <v>126.5</v>
      </c>
      <c r="C137">
        <f>VLOOKUP(A137,HPA2Yr!A:B,2,0)</f>
        <v>111.6</v>
      </c>
      <c r="D137" s="16">
        <f>VLOOKUP(A137,Cello!A:B,2,0)*100</f>
        <v>2.5481926957230998</v>
      </c>
    </row>
    <row r="138" spans="1:4" x14ac:dyDescent="0.25">
      <c r="A138" s="2">
        <v>42278</v>
      </c>
      <c r="B138" s="1">
        <v>128.4</v>
      </c>
      <c r="C138">
        <f>VLOOKUP(A138,HPA2Yr!A:B,2,0)</f>
        <v>111.52</v>
      </c>
      <c r="D138" s="16">
        <f>VLOOKUP(A138,Cello!A:B,2,0)*100</f>
        <v>2.6812715702531356</v>
      </c>
    </row>
    <row r="139" spans="1:4" x14ac:dyDescent="0.25">
      <c r="A139" s="2">
        <v>42309</v>
      </c>
      <c r="B139" s="1">
        <v>127.4</v>
      </c>
      <c r="C139">
        <f>VLOOKUP(A139,HPA2Yr!A:B,2,0)</f>
        <v>111.45</v>
      </c>
      <c r="D139" s="16">
        <f>VLOOKUP(A139,Cello!A:B,2,0)*100</f>
        <v>2.6780190866197668</v>
      </c>
    </row>
    <row r="140" spans="1:4" x14ac:dyDescent="0.25">
      <c r="A140" s="2">
        <v>42339</v>
      </c>
      <c r="B140" s="1">
        <v>124.346</v>
      </c>
      <c r="C140">
        <f>VLOOKUP(A140,HPA2Yr!A:B,2,0)</f>
        <v>111.37</v>
      </c>
      <c r="D140" s="16">
        <f>VLOOKUP(A140,Cello!A:B,2,0)*100</f>
        <v>2.7633029832483746</v>
      </c>
    </row>
    <row r="141" spans="1:4" x14ac:dyDescent="0.25">
      <c r="A141" s="2">
        <v>42370</v>
      </c>
      <c r="B141" s="1">
        <v>123.8</v>
      </c>
      <c r="C141">
        <f>VLOOKUP(A141,HPA2Yr!A:B,2,0)</f>
        <v>111.31</v>
      </c>
      <c r="D141" s="16">
        <f>VLOOKUP(A141,Cello!A:B,2,0)*100</f>
        <v>2.4942796067029338</v>
      </c>
    </row>
    <row r="142" spans="1:4" x14ac:dyDescent="0.25">
      <c r="A142" s="2">
        <v>42401</v>
      </c>
      <c r="B142" s="1">
        <v>123.8</v>
      </c>
      <c r="C142" t="e">
        <f>VLOOKUP(A142,HPA2Yr!A:B,2,0)</f>
        <v>#N/A</v>
      </c>
      <c r="D142" s="16" t="e">
        <f>VLOOKUP(A142,Cello!A:B,2,0)*100</f>
        <v>#N/A</v>
      </c>
    </row>
    <row r="143" spans="1:4" x14ac:dyDescent="0.25">
      <c r="A143" s="2">
        <v>42430</v>
      </c>
      <c r="B143" s="1">
        <v>123.5</v>
      </c>
      <c r="C143" t="e">
        <f>VLOOKUP(A143,HPA2Yr!A:B,2,0)</f>
        <v>#N/A</v>
      </c>
      <c r="D143" s="16" t="e">
        <f>VLOOKUP(A143,Cello!A:B,2,0)*100</f>
        <v>#N/A</v>
      </c>
    </row>
    <row r="144" spans="1:4" x14ac:dyDescent="0.25">
      <c r="A144" s="2">
        <v>42461</v>
      </c>
      <c r="B144" s="1">
        <v>122.4</v>
      </c>
      <c r="C144" t="e">
        <f>VLOOKUP(A144,HPA2Yr!A:B,2,0)</f>
        <v>#N/A</v>
      </c>
      <c r="D144" s="16" t="e">
        <f>VLOOKUP(A144,Cello!A:B,2,0)*100</f>
        <v>#N/A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44"/>
  <sheetViews>
    <sheetView workbookViewId="0">
      <selection activeCell="B1" sqref="B1:C1048576"/>
    </sheetView>
  </sheetViews>
  <sheetFormatPr defaultRowHeight="15" x14ac:dyDescent="0.25"/>
  <cols>
    <col min="2" max="2" width="10.85546875" style="4" customWidth="1"/>
    <col min="3" max="3" width="9.140625" style="3"/>
    <col min="5" max="5" width="12.28515625" customWidth="1"/>
  </cols>
  <sheetData>
    <row r="1" spans="2:5" x14ac:dyDescent="0.25">
      <c r="B1" s="5" t="s">
        <v>0</v>
      </c>
      <c r="C1" s="6" t="s">
        <v>1</v>
      </c>
      <c r="E1" s="8" t="s">
        <v>2</v>
      </c>
    </row>
    <row r="2" spans="2:5" x14ac:dyDescent="0.25">
      <c r="B2" s="2">
        <v>38139</v>
      </c>
      <c r="C2" s="1">
        <v>377</v>
      </c>
    </row>
    <row r="3" spans="2:5" x14ac:dyDescent="0.25">
      <c r="B3" s="2">
        <v>38169</v>
      </c>
      <c r="C3" s="1">
        <v>383.5</v>
      </c>
    </row>
    <row r="4" spans="2:5" x14ac:dyDescent="0.25">
      <c r="B4" s="2">
        <v>38200</v>
      </c>
      <c r="C4" s="1">
        <v>390</v>
      </c>
    </row>
    <row r="5" spans="2:5" x14ac:dyDescent="0.25">
      <c r="B5" s="2">
        <v>38231</v>
      </c>
      <c r="C5" s="1">
        <v>396.5</v>
      </c>
    </row>
    <row r="6" spans="2:5" x14ac:dyDescent="0.25">
      <c r="B6" s="2">
        <v>38261</v>
      </c>
      <c r="C6" s="1">
        <v>403</v>
      </c>
    </row>
    <row r="7" spans="2:5" x14ac:dyDescent="0.25">
      <c r="B7" s="2">
        <v>38292</v>
      </c>
      <c r="C7" s="1">
        <v>409.5</v>
      </c>
    </row>
    <row r="8" spans="2:5" x14ac:dyDescent="0.25">
      <c r="B8" s="2">
        <v>38322</v>
      </c>
      <c r="C8" s="1">
        <v>416</v>
      </c>
    </row>
    <row r="9" spans="2:5" x14ac:dyDescent="0.25">
      <c r="B9" s="2">
        <v>38353</v>
      </c>
      <c r="C9" s="1">
        <v>480.83333333333331</v>
      </c>
    </row>
    <row r="10" spans="2:5" x14ac:dyDescent="0.25">
      <c r="B10" s="2">
        <v>38384</v>
      </c>
      <c r="C10" s="1">
        <v>545.66666666666663</v>
      </c>
    </row>
    <row r="11" spans="2:5" x14ac:dyDescent="0.25">
      <c r="B11" s="2">
        <v>38412</v>
      </c>
      <c r="C11" s="1">
        <v>610.5</v>
      </c>
    </row>
    <row r="12" spans="2:5" x14ac:dyDescent="0.25">
      <c r="B12" s="2">
        <v>38443</v>
      </c>
      <c r="C12" s="1">
        <v>675.33333333333337</v>
      </c>
    </row>
    <row r="13" spans="2:5" x14ac:dyDescent="0.25">
      <c r="B13" s="2">
        <v>38473</v>
      </c>
      <c r="C13" s="1">
        <v>740.16666666666674</v>
      </c>
    </row>
    <row r="14" spans="2:5" x14ac:dyDescent="0.25">
      <c r="B14" s="2">
        <v>38504</v>
      </c>
      <c r="C14" s="1">
        <v>805</v>
      </c>
    </row>
    <row r="15" spans="2:5" x14ac:dyDescent="0.25">
      <c r="B15" s="2">
        <v>38534</v>
      </c>
      <c r="C15" s="1">
        <v>812.16666666666663</v>
      </c>
    </row>
    <row r="16" spans="2:5" x14ac:dyDescent="0.25">
      <c r="B16" s="2">
        <v>38565</v>
      </c>
      <c r="C16" s="1">
        <v>819.33333333333326</v>
      </c>
    </row>
    <row r="17" spans="2:3" x14ac:dyDescent="0.25">
      <c r="B17" s="2">
        <v>38596</v>
      </c>
      <c r="C17" s="1">
        <v>826.49999999999989</v>
      </c>
    </row>
    <row r="18" spans="2:3" x14ac:dyDescent="0.25">
      <c r="B18" s="2">
        <v>38626</v>
      </c>
      <c r="C18" s="1">
        <v>833.66666666666652</v>
      </c>
    </row>
    <row r="19" spans="2:3" x14ac:dyDescent="0.25">
      <c r="B19" s="2">
        <v>38657</v>
      </c>
      <c r="C19" s="1">
        <v>840.83333333333314</v>
      </c>
    </row>
    <row r="20" spans="2:3" x14ac:dyDescent="0.25">
      <c r="B20" s="2">
        <v>38687</v>
      </c>
      <c r="C20" s="1">
        <v>848</v>
      </c>
    </row>
    <row r="21" spans="2:3" x14ac:dyDescent="0.25">
      <c r="B21" s="2">
        <v>38718</v>
      </c>
      <c r="C21" s="1">
        <v>851.83333333333337</v>
      </c>
    </row>
    <row r="22" spans="2:3" x14ac:dyDescent="0.25">
      <c r="B22" s="2">
        <v>38749</v>
      </c>
      <c r="C22" s="1">
        <v>855.66666666666674</v>
      </c>
    </row>
    <row r="23" spans="2:3" x14ac:dyDescent="0.25">
      <c r="B23" s="2">
        <v>38777</v>
      </c>
      <c r="C23" s="1">
        <v>859.50000000000011</v>
      </c>
    </row>
    <row r="24" spans="2:3" x14ac:dyDescent="0.25">
      <c r="B24" s="2">
        <v>38808</v>
      </c>
      <c r="C24" s="1">
        <v>863.33333333333348</v>
      </c>
    </row>
    <row r="25" spans="2:3" x14ac:dyDescent="0.25">
      <c r="B25" s="2">
        <v>38838</v>
      </c>
      <c r="C25" s="1">
        <v>867.16666666666686</v>
      </c>
    </row>
    <row r="26" spans="2:3" x14ac:dyDescent="0.25">
      <c r="B26" s="2">
        <v>38869</v>
      </c>
      <c r="C26" s="1">
        <v>871</v>
      </c>
    </row>
    <row r="27" spans="2:3" x14ac:dyDescent="0.25">
      <c r="B27" s="2">
        <v>38899</v>
      </c>
      <c r="C27" s="1">
        <v>846.83333333333337</v>
      </c>
    </row>
    <row r="28" spans="2:3" x14ac:dyDescent="0.25">
      <c r="B28" s="2">
        <v>38930</v>
      </c>
      <c r="C28" s="1">
        <v>822.66666666666674</v>
      </c>
    </row>
    <row r="29" spans="2:3" x14ac:dyDescent="0.25">
      <c r="B29" s="2">
        <v>38961</v>
      </c>
      <c r="C29" s="1">
        <v>798.50000000000011</v>
      </c>
    </row>
    <row r="30" spans="2:3" x14ac:dyDescent="0.25">
      <c r="B30" s="2">
        <v>38991</v>
      </c>
      <c r="C30" s="1">
        <v>774.33333333333348</v>
      </c>
    </row>
    <row r="31" spans="2:3" x14ac:dyDescent="0.25">
      <c r="B31" s="2">
        <v>39022</v>
      </c>
      <c r="C31" s="1">
        <v>750.16666666666686</v>
      </c>
    </row>
    <row r="32" spans="2:3" x14ac:dyDescent="0.25">
      <c r="B32" s="2">
        <v>39052</v>
      </c>
      <c r="C32" s="1">
        <v>726</v>
      </c>
    </row>
    <row r="33" spans="2:3" x14ac:dyDescent="0.25">
      <c r="B33" s="2">
        <v>39083</v>
      </c>
      <c r="C33" s="1">
        <v>696.33333333333337</v>
      </c>
    </row>
    <row r="34" spans="2:3" x14ac:dyDescent="0.25">
      <c r="B34" s="2">
        <v>39114</v>
      </c>
      <c r="C34" s="1">
        <v>666.66666666666674</v>
      </c>
    </row>
    <row r="35" spans="2:3" x14ac:dyDescent="0.25">
      <c r="B35" s="2">
        <v>39142</v>
      </c>
      <c r="C35" s="1">
        <v>637.00000000000011</v>
      </c>
    </row>
    <row r="36" spans="2:3" x14ac:dyDescent="0.25">
      <c r="B36" s="2">
        <v>39173</v>
      </c>
      <c r="C36" s="1">
        <v>607.33333333333348</v>
      </c>
    </row>
    <row r="37" spans="2:3" x14ac:dyDescent="0.25">
      <c r="B37" s="2">
        <v>39203</v>
      </c>
      <c r="C37" s="1">
        <v>577.66666666666686</v>
      </c>
    </row>
    <row r="38" spans="2:3" x14ac:dyDescent="0.25">
      <c r="B38" s="2">
        <v>39234</v>
      </c>
      <c r="C38" s="1">
        <v>548</v>
      </c>
    </row>
    <row r="39" spans="2:3" x14ac:dyDescent="0.25">
      <c r="B39" s="2">
        <v>39264</v>
      </c>
      <c r="C39" s="1">
        <v>509.5</v>
      </c>
    </row>
    <row r="40" spans="2:3" x14ac:dyDescent="0.25">
      <c r="B40" s="2">
        <v>39295</v>
      </c>
      <c r="C40" s="1">
        <v>471</v>
      </c>
    </row>
    <row r="41" spans="2:3" x14ac:dyDescent="0.25">
      <c r="B41" s="2">
        <v>39326</v>
      </c>
      <c r="C41" s="1">
        <v>432.5</v>
      </c>
    </row>
    <row r="42" spans="2:3" x14ac:dyDescent="0.25">
      <c r="B42" s="2">
        <v>39356</v>
      </c>
      <c r="C42" s="1">
        <v>394</v>
      </c>
    </row>
    <row r="43" spans="2:3" x14ac:dyDescent="0.25">
      <c r="B43" s="2">
        <v>39387</v>
      </c>
      <c r="C43" s="1">
        <v>355.5</v>
      </c>
    </row>
    <row r="44" spans="2:3" x14ac:dyDescent="0.25">
      <c r="B44" s="2">
        <v>39417</v>
      </c>
      <c r="C44" s="1">
        <v>317</v>
      </c>
    </row>
    <row r="45" spans="2:3" x14ac:dyDescent="0.25">
      <c r="B45" s="2">
        <v>39448</v>
      </c>
      <c r="C45" s="1">
        <v>283.83333333333331</v>
      </c>
    </row>
    <row r="46" spans="2:3" x14ac:dyDescent="0.25">
      <c r="B46" s="2">
        <v>39479</v>
      </c>
      <c r="C46" s="1">
        <v>250.66666666666666</v>
      </c>
    </row>
    <row r="47" spans="2:3" x14ac:dyDescent="0.25">
      <c r="B47" s="2">
        <v>39508</v>
      </c>
      <c r="C47" s="1">
        <v>217.5</v>
      </c>
    </row>
    <row r="48" spans="2:3" x14ac:dyDescent="0.25">
      <c r="B48" s="2">
        <v>39539</v>
      </c>
      <c r="C48" s="1">
        <v>184.33333333333334</v>
      </c>
    </row>
    <row r="49" spans="2:3" x14ac:dyDescent="0.25">
      <c r="B49" s="2">
        <v>39569</v>
      </c>
      <c r="C49" s="1">
        <v>151.16666666666669</v>
      </c>
    </row>
    <row r="50" spans="2:3" x14ac:dyDescent="0.25">
      <c r="B50" s="2">
        <v>39600</v>
      </c>
      <c r="C50" s="1">
        <v>118</v>
      </c>
    </row>
    <row r="51" spans="2:3" x14ac:dyDescent="0.25">
      <c r="B51" s="2">
        <v>39630</v>
      </c>
      <c r="C51" s="1">
        <v>112.33333333333333</v>
      </c>
    </row>
    <row r="52" spans="2:3" x14ac:dyDescent="0.25">
      <c r="B52" s="2">
        <v>39661</v>
      </c>
      <c r="C52" s="1">
        <v>106.66666666666666</v>
      </c>
    </row>
    <row r="53" spans="2:3" x14ac:dyDescent="0.25">
      <c r="B53" s="2">
        <v>39692</v>
      </c>
      <c r="C53" s="1">
        <v>100.99999999999999</v>
      </c>
    </row>
    <row r="54" spans="2:3" x14ac:dyDescent="0.25">
      <c r="B54" s="2">
        <v>39722</v>
      </c>
      <c r="C54" s="1">
        <v>95.333333333333314</v>
      </c>
    </row>
    <row r="55" spans="2:3" x14ac:dyDescent="0.25">
      <c r="B55" s="2">
        <v>39753</v>
      </c>
      <c r="C55" s="1">
        <v>89.666666666666643</v>
      </c>
    </row>
    <row r="56" spans="2:3" x14ac:dyDescent="0.25">
      <c r="B56" s="2">
        <v>39783</v>
      </c>
      <c r="C56" s="1">
        <v>84</v>
      </c>
    </row>
    <row r="57" spans="2:3" x14ac:dyDescent="0.25">
      <c r="B57" s="2">
        <v>39814</v>
      </c>
      <c r="C57" s="1">
        <v>91.166666666666671</v>
      </c>
    </row>
    <row r="58" spans="2:3" x14ac:dyDescent="0.25">
      <c r="B58" s="2">
        <v>39845</v>
      </c>
      <c r="C58" s="1">
        <v>98.333333333333343</v>
      </c>
    </row>
    <row r="59" spans="2:3" x14ac:dyDescent="0.25">
      <c r="B59" s="2">
        <v>39873</v>
      </c>
      <c r="C59" s="1">
        <v>105.50000000000001</v>
      </c>
    </row>
    <row r="60" spans="2:3" x14ac:dyDescent="0.25">
      <c r="B60" s="2">
        <v>39904</v>
      </c>
      <c r="C60" s="1">
        <v>112.66666666666669</v>
      </c>
    </row>
    <row r="61" spans="2:3" x14ac:dyDescent="0.25">
      <c r="B61" s="2">
        <v>39934</v>
      </c>
      <c r="C61" s="1">
        <v>119.83333333333336</v>
      </c>
    </row>
    <row r="62" spans="2:3" x14ac:dyDescent="0.25">
      <c r="B62" s="2">
        <v>39965</v>
      </c>
      <c r="C62" s="1">
        <v>127</v>
      </c>
    </row>
    <row r="63" spans="2:3" x14ac:dyDescent="0.25">
      <c r="B63" s="2">
        <v>39995</v>
      </c>
      <c r="C63" s="1">
        <v>121.5</v>
      </c>
    </row>
    <row r="64" spans="2:3" x14ac:dyDescent="0.25">
      <c r="B64" s="2">
        <v>40026</v>
      </c>
      <c r="C64" s="1">
        <v>116</v>
      </c>
    </row>
    <row r="65" spans="2:3" x14ac:dyDescent="0.25">
      <c r="B65" s="2">
        <v>40057</v>
      </c>
      <c r="C65" s="1">
        <v>110.5</v>
      </c>
    </row>
    <row r="66" spans="2:3" x14ac:dyDescent="0.25">
      <c r="B66" s="2">
        <v>40087</v>
      </c>
      <c r="C66" s="1">
        <v>105</v>
      </c>
    </row>
    <row r="67" spans="2:3" x14ac:dyDescent="0.25">
      <c r="B67" s="2">
        <v>40118</v>
      </c>
      <c r="C67" s="1">
        <v>99.5</v>
      </c>
    </row>
    <row r="68" spans="2:3" x14ac:dyDescent="0.25">
      <c r="B68" s="2">
        <v>40148</v>
      </c>
      <c r="C68" s="1">
        <v>94</v>
      </c>
    </row>
    <row r="69" spans="2:3" x14ac:dyDescent="0.25">
      <c r="B69" s="2">
        <v>40179</v>
      </c>
      <c r="C69" s="1">
        <v>94.666666666666671</v>
      </c>
    </row>
    <row r="70" spans="2:3" x14ac:dyDescent="0.25">
      <c r="B70" s="2">
        <v>40210</v>
      </c>
      <c r="C70" s="1">
        <v>95.333333333333343</v>
      </c>
    </row>
    <row r="71" spans="2:3" x14ac:dyDescent="0.25">
      <c r="B71" s="2">
        <v>40238</v>
      </c>
      <c r="C71" s="1">
        <v>96.000000000000014</v>
      </c>
    </row>
    <row r="72" spans="2:3" x14ac:dyDescent="0.25">
      <c r="B72" s="2">
        <v>40269</v>
      </c>
      <c r="C72" s="1">
        <v>96.666666666666686</v>
      </c>
    </row>
    <row r="73" spans="2:3" x14ac:dyDescent="0.25">
      <c r="B73" s="2">
        <v>40299</v>
      </c>
      <c r="C73" s="1">
        <v>97.333333333333357</v>
      </c>
    </row>
    <row r="74" spans="2:3" x14ac:dyDescent="0.25">
      <c r="B74" s="2">
        <v>40330</v>
      </c>
      <c r="C74" s="1">
        <v>98</v>
      </c>
    </row>
    <row r="75" spans="2:3" x14ac:dyDescent="0.25">
      <c r="B75" s="2">
        <v>40360</v>
      </c>
      <c r="C75" s="1">
        <v>101.16666666666667</v>
      </c>
    </row>
    <row r="76" spans="2:3" x14ac:dyDescent="0.25">
      <c r="B76" s="2">
        <v>40391</v>
      </c>
      <c r="C76" s="1">
        <v>104.33333333333334</v>
      </c>
    </row>
    <row r="77" spans="2:3" x14ac:dyDescent="0.25">
      <c r="B77" s="2">
        <v>40422</v>
      </c>
      <c r="C77" s="1">
        <v>107.50000000000001</v>
      </c>
    </row>
    <row r="78" spans="2:3" x14ac:dyDescent="0.25">
      <c r="B78" s="2">
        <v>40452</v>
      </c>
      <c r="C78" s="1">
        <v>110.66666666666669</v>
      </c>
    </row>
    <row r="79" spans="2:3" x14ac:dyDescent="0.25">
      <c r="B79" s="2">
        <v>40483</v>
      </c>
      <c r="C79" s="1">
        <v>113.83333333333336</v>
      </c>
    </row>
    <row r="80" spans="2:3" x14ac:dyDescent="0.25">
      <c r="B80" s="2">
        <v>40513</v>
      </c>
      <c r="C80" s="1">
        <v>117</v>
      </c>
    </row>
    <row r="81" spans="2:5" x14ac:dyDescent="0.25">
      <c r="B81" s="2">
        <v>40544</v>
      </c>
      <c r="C81" s="1">
        <v>115.83333333333333</v>
      </c>
    </row>
    <row r="82" spans="2:5" x14ac:dyDescent="0.25">
      <c r="B82" s="2">
        <v>40575</v>
      </c>
      <c r="C82" s="1">
        <v>114.66666666666666</v>
      </c>
    </row>
    <row r="83" spans="2:5" x14ac:dyDescent="0.25">
      <c r="B83" s="2">
        <v>40603</v>
      </c>
      <c r="C83" s="1">
        <v>112.08</v>
      </c>
      <c r="E83" s="7"/>
    </row>
    <row r="84" spans="2:5" x14ac:dyDescent="0.25">
      <c r="B84" s="2">
        <v>40634</v>
      </c>
      <c r="C84" s="1">
        <v>107.04</v>
      </c>
      <c r="E84" s="7"/>
    </row>
    <row r="85" spans="2:5" x14ac:dyDescent="0.25">
      <c r="B85" s="2">
        <v>40664</v>
      </c>
      <c r="C85" s="1">
        <v>109.28</v>
      </c>
      <c r="E85" s="7"/>
    </row>
    <row r="86" spans="2:5" x14ac:dyDescent="0.25">
      <c r="B86" s="2">
        <v>40695</v>
      </c>
      <c r="C86" s="1">
        <v>110.55</v>
      </c>
      <c r="E86" s="7"/>
    </row>
    <row r="87" spans="2:5" x14ac:dyDescent="0.25">
      <c r="B87" s="2">
        <v>40725</v>
      </c>
      <c r="C87" s="1">
        <v>109.95</v>
      </c>
      <c r="E87" s="7"/>
    </row>
    <row r="88" spans="2:5" x14ac:dyDescent="0.25">
      <c r="B88" s="2">
        <v>40756</v>
      </c>
      <c r="C88" s="1">
        <v>107.75</v>
      </c>
      <c r="E88" s="7"/>
    </row>
    <row r="89" spans="2:5" x14ac:dyDescent="0.25">
      <c r="B89" s="2">
        <v>40787</v>
      </c>
      <c r="C89" s="1">
        <v>111.19</v>
      </c>
      <c r="E89" s="7"/>
    </row>
    <row r="90" spans="2:5" x14ac:dyDescent="0.25">
      <c r="B90" s="2">
        <v>40817</v>
      </c>
      <c r="C90" s="1">
        <v>107.1</v>
      </c>
      <c r="E90" s="7"/>
    </row>
    <row r="91" spans="2:5" x14ac:dyDescent="0.25">
      <c r="B91" s="2">
        <v>40848</v>
      </c>
      <c r="C91" s="1">
        <v>106.28</v>
      </c>
      <c r="E91" s="7"/>
    </row>
    <row r="92" spans="2:5" x14ac:dyDescent="0.25">
      <c r="B92" s="2">
        <v>40878</v>
      </c>
      <c r="C92" s="1">
        <v>104.92</v>
      </c>
      <c r="E92" s="7"/>
    </row>
    <row r="93" spans="2:5" x14ac:dyDescent="0.25">
      <c r="B93" s="2">
        <v>40909</v>
      </c>
      <c r="C93" s="1">
        <v>102.38</v>
      </c>
      <c r="E93" s="7"/>
    </row>
    <row r="94" spans="2:5" x14ac:dyDescent="0.25">
      <c r="B94" s="2">
        <v>40940</v>
      </c>
      <c r="C94" s="1">
        <v>99.04</v>
      </c>
      <c r="E94" s="7"/>
    </row>
    <row r="95" spans="2:5" x14ac:dyDescent="0.25">
      <c r="B95" s="2">
        <v>40969</v>
      </c>
      <c r="C95" s="1">
        <v>100</v>
      </c>
      <c r="E95" s="7"/>
    </row>
    <row r="96" spans="2:5" x14ac:dyDescent="0.25">
      <c r="B96" s="2">
        <v>41000</v>
      </c>
      <c r="C96" s="1">
        <v>101.71</v>
      </c>
      <c r="E96" s="7"/>
    </row>
    <row r="97" spans="2:5" x14ac:dyDescent="0.25">
      <c r="B97" s="2">
        <v>41030</v>
      </c>
      <c r="C97" s="1">
        <v>101.55</v>
      </c>
      <c r="E97" s="7"/>
    </row>
    <row r="98" spans="2:5" x14ac:dyDescent="0.25">
      <c r="B98" s="2">
        <v>41061</v>
      </c>
      <c r="C98" s="1">
        <v>103.01</v>
      </c>
      <c r="E98" s="7"/>
    </row>
    <row r="99" spans="2:5" x14ac:dyDescent="0.25">
      <c r="B99" s="2">
        <v>41091</v>
      </c>
      <c r="C99" s="1">
        <v>99.67</v>
      </c>
      <c r="E99" s="7"/>
    </row>
    <row r="100" spans="2:5" x14ac:dyDescent="0.25">
      <c r="B100" s="2">
        <v>41122</v>
      </c>
      <c r="C100" s="1">
        <v>103.93</v>
      </c>
      <c r="E100" s="7"/>
    </row>
    <row r="101" spans="2:5" x14ac:dyDescent="0.25">
      <c r="B101" s="2">
        <v>41153</v>
      </c>
      <c r="C101" s="1">
        <v>103.92</v>
      </c>
      <c r="E101" s="7"/>
    </row>
    <row r="102" spans="2:5" x14ac:dyDescent="0.25">
      <c r="B102" s="2">
        <v>41183</v>
      </c>
      <c r="C102" s="1">
        <v>101.4</v>
      </c>
      <c r="E102" s="7"/>
    </row>
    <row r="103" spans="2:5" x14ac:dyDescent="0.25">
      <c r="B103" s="2">
        <v>41214</v>
      </c>
      <c r="C103" s="1">
        <v>105.95</v>
      </c>
      <c r="E103" s="7"/>
    </row>
    <row r="104" spans="2:5" x14ac:dyDescent="0.25">
      <c r="B104" s="2">
        <v>41244</v>
      </c>
      <c r="C104" s="1">
        <v>108.16</v>
      </c>
      <c r="E104" s="7"/>
    </row>
    <row r="105" spans="2:5" x14ac:dyDescent="0.25">
      <c r="B105" s="2">
        <v>41275</v>
      </c>
      <c r="C105" s="1">
        <v>108.21</v>
      </c>
      <c r="E105" s="7"/>
    </row>
    <row r="106" spans="2:5" x14ac:dyDescent="0.25">
      <c r="B106" s="2">
        <v>41306</v>
      </c>
      <c r="C106" s="1">
        <v>109.13</v>
      </c>
      <c r="E106" s="7"/>
    </row>
    <row r="107" spans="2:5" x14ac:dyDescent="0.25">
      <c r="B107" s="2">
        <v>41334</v>
      </c>
      <c r="C107" s="1">
        <v>108.01</v>
      </c>
      <c r="E107" s="7"/>
    </row>
    <row r="108" spans="2:5" x14ac:dyDescent="0.25">
      <c r="B108" s="2">
        <v>41365</v>
      </c>
      <c r="C108" s="1">
        <v>108.56</v>
      </c>
      <c r="E108" s="7"/>
    </row>
    <row r="109" spans="2:5" x14ac:dyDescent="0.25">
      <c r="B109" s="2">
        <v>41395</v>
      </c>
      <c r="C109" s="1">
        <v>108.87</v>
      </c>
      <c r="E109" s="7"/>
    </row>
    <row r="110" spans="2:5" x14ac:dyDescent="0.25">
      <c r="B110" s="2">
        <v>41426</v>
      </c>
      <c r="C110" s="1">
        <v>109.81</v>
      </c>
      <c r="E110" s="7"/>
    </row>
    <row r="111" spans="2:5" x14ac:dyDescent="0.25">
      <c r="B111" s="2">
        <v>41456</v>
      </c>
      <c r="C111" s="1">
        <v>112.3</v>
      </c>
      <c r="E111" s="7"/>
    </row>
    <row r="112" spans="2:5" x14ac:dyDescent="0.25">
      <c r="B112" s="2">
        <v>41487</v>
      </c>
      <c r="C112" s="1">
        <v>111.5</v>
      </c>
      <c r="E112" s="7"/>
    </row>
    <row r="113" spans="2:5" x14ac:dyDescent="0.25">
      <c r="B113" s="2">
        <v>41518</v>
      </c>
      <c r="C113" s="1">
        <v>110.7</v>
      </c>
      <c r="E113" s="7"/>
    </row>
    <row r="114" spans="2:5" x14ac:dyDescent="0.25">
      <c r="B114" s="2">
        <v>41548</v>
      </c>
      <c r="C114" s="1">
        <v>111.5</v>
      </c>
      <c r="E114" s="7"/>
    </row>
    <row r="115" spans="2:5" x14ac:dyDescent="0.25">
      <c r="B115" s="2">
        <v>41579</v>
      </c>
      <c r="C115" s="1">
        <v>110.2</v>
      </c>
      <c r="E115" s="7"/>
    </row>
    <row r="116" spans="2:5" x14ac:dyDescent="0.25">
      <c r="B116" s="2">
        <v>41609</v>
      </c>
      <c r="C116" s="1">
        <v>110.9</v>
      </c>
      <c r="E116" s="7"/>
    </row>
    <row r="117" spans="2:5" x14ac:dyDescent="0.25">
      <c r="B117" s="2">
        <v>41640</v>
      </c>
      <c r="C117" s="1">
        <v>113</v>
      </c>
      <c r="E117" s="7"/>
    </row>
    <row r="118" spans="2:5" x14ac:dyDescent="0.25">
      <c r="B118" s="2">
        <v>41671</v>
      </c>
      <c r="C118" s="1">
        <v>113.5</v>
      </c>
      <c r="E118" s="7"/>
    </row>
    <row r="119" spans="2:5" x14ac:dyDescent="0.25">
      <c r="B119" s="2">
        <v>41699</v>
      </c>
      <c r="C119" s="1">
        <v>114</v>
      </c>
      <c r="E119" s="7"/>
    </row>
    <row r="120" spans="2:5" x14ac:dyDescent="0.25">
      <c r="B120" s="2">
        <v>41730</v>
      </c>
      <c r="C120" s="1">
        <v>113.8</v>
      </c>
      <c r="E120" s="7"/>
    </row>
    <row r="121" spans="2:5" x14ac:dyDescent="0.25">
      <c r="B121" s="2">
        <v>41760</v>
      </c>
      <c r="C121" s="1">
        <v>115.1</v>
      </c>
      <c r="E121" s="7"/>
    </row>
    <row r="122" spans="2:5" x14ac:dyDescent="0.25">
      <c r="B122" s="2">
        <v>41791</v>
      </c>
      <c r="C122" s="1">
        <v>115.8</v>
      </c>
      <c r="E122" s="7"/>
    </row>
    <row r="123" spans="2:5" x14ac:dyDescent="0.25">
      <c r="B123" s="2">
        <v>41821</v>
      </c>
      <c r="C123" s="1">
        <v>116.4</v>
      </c>
      <c r="E123" s="7"/>
    </row>
    <row r="124" spans="2:5" x14ac:dyDescent="0.25">
      <c r="B124" s="2">
        <v>41852</v>
      </c>
      <c r="C124" s="1">
        <v>116.1</v>
      </c>
      <c r="E124" s="7"/>
    </row>
    <row r="125" spans="2:5" x14ac:dyDescent="0.25">
      <c r="B125" s="2">
        <v>41883</v>
      </c>
      <c r="C125" s="1">
        <v>116.1</v>
      </c>
      <c r="E125" s="7"/>
    </row>
    <row r="126" spans="2:5" x14ac:dyDescent="0.25">
      <c r="B126" s="2">
        <v>41913</v>
      </c>
      <c r="C126" s="1">
        <v>113.2</v>
      </c>
      <c r="E126" s="7"/>
    </row>
    <row r="127" spans="2:5" x14ac:dyDescent="0.25">
      <c r="B127" s="2">
        <v>41944</v>
      </c>
      <c r="C127" s="1">
        <v>114.6</v>
      </c>
      <c r="E127" s="7"/>
    </row>
    <row r="128" spans="2:5" x14ac:dyDescent="0.25">
      <c r="B128" s="2">
        <v>41974</v>
      </c>
      <c r="C128" s="1">
        <v>115.7</v>
      </c>
      <c r="E128" s="7"/>
    </row>
    <row r="129" spans="2:5" x14ac:dyDescent="0.25">
      <c r="B129" s="2">
        <v>42005</v>
      </c>
      <c r="C129" s="1">
        <v>117.8</v>
      </c>
      <c r="E129" s="7"/>
    </row>
    <row r="130" spans="2:5" x14ac:dyDescent="0.25">
      <c r="B130" s="2">
        <v>42036</v>
      </c>
      <c r="C130" s="1">
        <v>118.6</v>
      </c>
      <c r="E130" s="7"/>
    </row>
    <row r="131" spans="2:5" x14ac:dyDescent="0.25">
      <c r="B131" s="2">
        <v>42064</v>
      </c>
      <c r="C131" s="1">
        <v>121.35899999999999</v>
      </c>
      <c r="E131" s="7"/>
    </row>
    <row r="132" spans="2:5" x14ac:dyDescent="0.25">
      <c r="B132" s="2">
        <v>42095</v>
      </c>
      <c r="C132" s="1">
        <v>122</v>
      </c>
      <c r="E132" s="7"/>
    </row>
    <row r="133" spans="2:5" x14ac:dyDescent="0.25">
      <c r="B133" s="2">
        <v>42125</v>
      </c>
      <c r="C133" s="1">
        <v>122.6</v>
      </c>
      <c r="E133" s="7"/>
    </row>
    <row r="134" spans="2:5" x14ac:dyDescent="0.25">
      <c r="B134" s="2">
        <v>42156</v>
      </c>
      <c r="C134" s="1">
        <v>122</v>
      </c>
      <c r="E134" s="7"/>
    </row>
    <row r="135" spans="2:5" x14ac:dyDescent="0.25">
      <c r="B135" s="2">
        <v>42186</v>
      </c>
      <c r="C135" s="1">
        <v>125.5</v>
      </c>
      <c r="E135" s="7"/>
    </row>
    <row r="136" spans="2:5" x14ac:dyDescent="0.25">
      <c r="B136" s="2">
        <v>42217</v>
      </c>
      <c r="C136" s="1">
        <v>126.1</v>
      </c>
      <c r="E136" s="7"/>
    </row>
    <row r="137" spans="2:5" x14ac:dyDescent="0.25">
      <c r="B137" s="2">
        <v>42248</v>
      </c>
      <c r="C137" s="1">
        <v>126.5</v>
      </c>
      <c r="E137" s="7"/>
    </row>
    <row r="138" spans="2:5" x14ac:dyDescent="0.25">
      <c r="B138" s="2">
        <v>42278</v>
      </c>
      <c r="C138" s="1">
        <v>128.4</v>
      </c>
      <c r="E138" s="7"/>
    </row>
    <row r="139" spans="2:5" x14ac:dyDescent="0.25">
      <c r="B139" s="2">
        <v>42309</v>
      </c>
      <c r="C139" s="1">
        <v>127.4</v>
      </c>
      <c r="E139" s="7"/>
    </row>
    <row r="140" spans="2:5" x14ac:dyDescent="0.25">
      <c r="B140" s="2">
        <v>42339</v>
      </c>
      <c r="C140" s="1">
        <v>124.346</v>
      </c>
      <c r="E140" s="7"/>
    </row>
    <row r="141" spans="2:5" x14ac:dyDescent="0.25">
      <c r="B141" s="2">
        <v>42370</v>
      </c>
      <c r="C141" s="1">
        <v>123.8</v>
      </c>
      <c r="E141" s="7"/>
    </row>
    <row r="142" spans="2:5" x14ac:dyDescent="0.25">
      <c r="B142" s="2">
        <v>42401</v>
      </c>
      <c r="C142" s="1">
        <v>123.8</v>
      </c>
      <c r="E142" s="7"/>
    </row>
    <row r="143" spans="2:5" x14ac:dyDescent="0.25">
      <c r="B143" s="2">
        <v>42430</v>
      </c>
      <c r="C143" s="1">
        <v>123.5</v>
      </c>
      <c r="E143" s="7"/>
    </row>
    <row r="144" spans="2:5" x14ac:dyDescent="0.25">
      <c r="B144" s="2">
        <v>42461</v>
      </c>
      <c r="C144" s="1">
        <v>122.4</v>
      </c>
      <c r="E144" s="7"/>
    </row>
  </sheetData>
  <sortState ref="E83:F144">
    <sortCondition ref="E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4"/>
  <sheetViews>
    <sheetView workbookViewId="0">
      <selection activeCell="B1" sqref="B1:B1048576"/>
    </sheetView>
  </sheetViews>
  <sheetFormatPr defaultRowHeight="15" x14ac:dyDescent="0.25"/>
  <cols>
    <col min="1" max="1" width="11" customWidth="1"/>
    <col min="2" max="2" width="10" style="15" customWidth="1"/>
  </cols>
  <sheetData>
    <row r="1" spans="1:2" x14ac:dyDescent="0.25">
      <c r="A1" t="s">
        <v>3</v>
      </c>
      <c r="B1" s="14" t="s">
        <v>5</v>
      </c>
    </row>
    <row r="2" spans="1:2" x14ac:dyDescent="0.25">
      <c r="A2" s="7">
        <v>37742</v>
      </c>
      <c r="B2" s="14">
        <v>3.1505553453999857E-2</v>
      </c>
    </row>
    <row r="3" spans="1:2" x14ac:dyDescent="0.25">
      <c r="A3" s="7">
        <v>37773</v>
      </c>
      <c r="B3" s="14">
        <v>2.941113568576784E-2</v>
      </c>
    </row>
    <row r="4" spans="1:2" x14ac:dyDescent="0.25">
      <c r="A4" s="7">
        <v>37803</v>
      </c>
      <c r="B4" s="14">
        <v>3.1692185122533308E-2</v>
      </c>
    </row>
    <row r="5" spans="1:2" x14ac:dyDescent="0.25">
      <c r="A5" s="7">
        <v>37834</v>
      </c>
      <c r="B5" s="14">
        <v>3.1405847846093869E-2</v>
      </c>
    </row>
    <row r="6" spans="1:2" x14ac:dyDescent="0.25">
      <c r="A6" s="7">
        <v>37865</v>
      </c>
      <c r="B6" s="14">
        <v>2.484674310474241E-2</v>
      </c>
    </row>
    <row r="7" spans="1:2" x14ac:dyDescent="0.25">
      <c r="A7" s="7">
        <v>37895</v>
      </c>
      <c r="B7" s="14">
        <v>2.2551663314892036E-2</v>
      </c>
    </row>
    <row r="8" spans="1:2" x14ac:dyDescent="0.25">
      <c r="A8" s="7">
        <v>37926</v>
      </c>
      <c r="B8" s="14">
        <v>3.0090776365059635E-2</v>
      </c>
    </row>
    <row r="9" spans="1:2" x14ac:dyDescent="0.25">
      <c r="A9" s="7">
        <v>37956</v>
      </c>
      <c r="B9" s="14">
        <v>3.1031237139204783E-2</v>
      </c>
    </row>
    <row r="10" spans="1:2" x14ac:dyDescent="0.25">
      <c r="A10" s="7">
        <v>37987</v>
      </c>
      <c r="B10" s="14">
        <v>5.1273918922529832E-2</v>
      </c>
    </row>
    <row r="11" spans="1:2" x14ac:dyDescent="0.25">
      <c r="A11" s="7">
        <v>38018</v>
      </c>
      <c r="B11" s="14">
        <v>5.0524334606170077E-2</v>
      </c>
    </row>
    <row r="12" spans="1:2" x14ac:dyDescent="0.25">
      <c r="A12" s="7">
        <v>38047</v>
      </c>
      <c r="B12" s="14">
        <v>5.1459234907319074E-2</v>
      </c>
    </row>
    <row r="13" spans="1:2" x14ac:dyDescent="0.25">
      <c r="A13" s="7">
        <v>38078</v>
      </c>
      <c r="B13" s="14">
        <v>5.3398071458674534E-2</v>
      </c>
    </row>
    <row r="14" spans="1:2" x14ac:dyDescent="0.25">
      <c r="A14" s="7">
        <v>38108</v>
      </c>
      <c r="B14" s="14">
        <v>5.5833945054499429E-2</v>
      </c>
    </row>
    <row r="15" spans="1:2" x14ac:dyDescent="0.25">
      <c r="A15" s="7">
        <v>38139</v>
      </c>
      <c r="B15" s="14">
        <v>4.6486909157875608E-2</v>
      </c>
    </row>
    <row r="16" spans="1:2" x14ac:dyDescent="0.25">
      <c r="A16" s="7">
        <v>38169</v>
      </c>
      <c r="B16" s="14">
        <v>4.3236855419818074E-2</v>
      </c>
    </row>
    <row r="17" spans="1:2" x14ac:dyDescent="0.25">
      <c r="A17" s="7">
        <v>38200</v>
      </c>
      <c r="B17" s="14">
        <v>5.064994480301778E-2</v>
      </c>
    </row>
    <row r="18" spans="1:2" x14ac:dyDescent="0.25">
      <c r="A18" s="7">
        <v>38231</v>
      </c>
      <c r="B18" s="14">
        <v>5.5267950396253408E-2</v>
      </c>
    </row>
    <row r="19" spans="1:2" x14ac:dyDescent="0.25">
      <c r="A19" s="7">
        <v>38261</v>
      </c>
      <c r="B19" s="14">
        <v>5.3382000663502641E-2</v>
      </c>
    </row>
    <row r="20" spans="1:2" x14ac:dyDescent="0.25">
      <c r="A20" s="7">
        <v>38292</v>
      </c>
      <c r="B20" s="14">
        <v>5.4919324593134249E-2</v>
      </c>
    </row>
    <row r="21" spans="1:2" x14ac:dyDescent="0.25">
      <c r="A21" s="7">
        <v>38322</v>
      </c>
      <c r="B21" s="14">
        <v>5.2246834494736979E-2</v>
      </c>
    </row>
    <row r="22" spans="1:2" x14ac:dyDescent="0.25">
      <c r="A22" s="7">
        <v>38353</v>
      </c>
      <c r="B22" s="14">
        <v>5.8879965570994591E-2</v>
      </c>
    </row>
    <row r="23" spans="1:2" x14ac:dyDescent="0.25">
      <c r="A23" s="7">
        <v>38384</v>
      </c>
      <c r="B23" s="14">
        <v>5.7210385485708483E-2</v>
      </c>
    </row>
    <row r="24" spans="1:2" x14ac:dyDescent="0.25">
      <c r="A24" s="7">
        <v>38412</v>
      </c>
      <c r="B24" s="14">
        <v>5.7237223873002771E-2</v>
      </c>
    </row>
    <row r="25" spans="1:2" x14ac:dyDescent="0.25">
      <c r="A25" s="7">
        <v>38443</v>
      </c>
      <c r="B25" s="14">
        <v>5.7535857913621688E-2</v>
      </c>
    </row>
    <row r="26" spans="1:2" x14ac:dyDescent="0.25">
      <c r="A26" s="7">
        <v>38473</v>
      </c>
      <c r="B26" s="14">
        <v>5.0773849629879478E-2</v>
      </c>
    </row>
    <row r="27" spans="1:2" x14ac:dyDescent="0.25">
      <c r="A27" s="7">
        <v>38504</v>
      </c>
      <c r="B27" s="14">
        <v>5.6714358430414252E-2</v>
      </c>
    </row>
    <row r="28" spans="1:2" x14ac:dyDescent="0.25">
      <c r="A28" s="7">
        <v>38534</v>
      </c>
      <c r="B28" s="14">
        <v>5.7919480634164446E-2</v>
      </c>
    </row>
    <row r="29" spans="1:2" x14ac:dyDescent="0.25">
      <c r="A29" s="7">
        <v>38565</v>
      </c>
      <c r="B29" s="14">
        <v>5.9594279667824393E-2</v>
      </c>
    </row>
    <row r="30" spans="1:2" x14ac:dyDescent="0.25">
      <c r="A30" s="7">
        <v>38596</v>
      </c>
      <c r="B30" s="14">
        <v>5.3047415231788152E-2</v>
      </c>
    </row>
    <row r="31" spans="1:2" x14ac:dyDescent="0.25">
      <c r="A31" s="7">
        <v>38626</v>
      </c>
      <c r="B31" s="14">
        <v>5.6080161964855081E-2</v>
      </c>
    </row>
    <row r="32" spans="1:2" x14ac:dyDescent="0.25">
      <c r="A32" s="7">
        <v>38657</v>
      </c>
      <c r="B32" s="14">
        <v>5.7139926878147916E-2</v>
      </c>
    </row>
    <row r="33" spans="1:2" x14ac:dyDescent="0.25">
      <c r="A33" s="7">
        <v>38687</v>
      </c>
      <c r="B33" s="14">
        <v>5.1508629714844767E-2</v>
      </c>
    </row>
    <row r="34" spans="1:2" x14ac:dyDescent="0.25">
      <c r="A34" s="7">
        <v>38718</v>
      </c>
      <c r="B34" s="14">
        <v>5.5999784047774545E-2</v>
      </c>
    </row>
    <row r="35" spans="1:2" x14ac:dyDescent="0.25">
      <c r="A35" s="7">
        <v>38749</v>
      </c>
      <c r="B35" s="14">
        <v>5.8120424698011111E-2</v>
      </c>
    </row>
    <row r="36" spans="1:2" x14ac:dyDescent="0.25">
      <c r="A36" s="7">
        <v>38777</v>
      </c>
      <c r="B36" s="14">
        <v>6.0419452359080784E-2</v>
      </c>
    </row>
    <row r="37" spans="1:2" x14ac:dyDescent="0.25">
      <c r="A37" s="7">
        <v>38808</v>
      </c>
      <c r="B37" s="14">
        <v>5.9025947640834631E-2</v>
      </c>
    </row>
    <row r="38" spans="1:2" x14ac:dyDescent="0.25">
      <c r="A38" s="7">
        <v>38838</v>
      </c>
      <c r="B38" s="14">
        <v>5.9418985447238643E-2</v>
      </c>
    </row>
    <row r="39" spans="1:2" x14ac:dyDescent="0.25">
      <c r="A39" s="7">
        <v>38869</v>
      </c>
      <c r="B39" s="14">
        <v>5.7020872702753023E-2</v>
      </c>
    </row>
    <row r="40" spans="1:2" x14ac:dyDescent="0.25">
      <c r="A40" s="7">
        <v>38899</v>
      </c>
      <c r="B40" s="14">
        <v>6.0986823147290301E-2</v>
      </c>
    </row>
    <row r="41" spans="1:2" x14ac:dyDescent="0.25">
      <c r="A41" s="7">
        <v>38930</v>
      </c>
      <c r="B41" s="14">
        <v>6.2638741808589582E-2</v>
      </c>
    </row>
    <row r="42" spans="1:2" x14ac:dyDescent="0.25">
      <c r="A42" s="7">
        <v>38961</v>
      </c>
      <c r="B42" s="14">
        <v>6.8768065734841011E-2</v>
      </c>
    </row>
    <row r="43" spans="1:2" x14ac:dyDescent="0.25">
      <c r="A43" s="7">
        <v>38991</v>
      </c>
      <c r="B43" s="14">
        <v>7.2782687000032834E-2</v>
      </c>
    </row>
    <row r="44" spans="1:2" x14ac:dyDescent="0.25">
      <c r="A44" s="7">
        <v>39022</v>
      </c>
      <c r="B44" s="14">
        <v>6.7539530922792385E-2</v>
      </c>
    </row>
    <row r="45" spans="1:2" x14ac:dyDescent="0.25">
      <c r="A45" s="7">
        <v>39052</v>
      </c>
      <c r="B45" s="14">
        <v>7.1577977268320894E-2</v>
      </c>
    </row>
    <row r="46" spans="1:2" x14ac:dyDescent="0.25">
      <c r="A46" s="7">
        <v>39083</v>
      </c>
      <c r="B46" s="14">
        <v>4.7287089606283937E-2</v>
      </c>
    </row>
    <row r="47" spans="1:2" x14ac:dyDescent="0.25">
      <c r="A47" s="7">
        <v>39114</v>
      </c>
      <c r="B47" s="14">
        <v>4.6395496385672877E-2</v>
      </c>
    </row>
    <row r="48" spans="1:2" x14ac:dyDescent="0.25">
      <c r="A48" s="7">
        <v>39142</v>
      </c>
      <c r="B48" s="14">
        <v>4.4713940536751345E-2</v>
      </c>
    </row>
    <row r="49" spans="1:2" x14ac:dyDescent="0.25">
      <c r="A49" s="7">
        <v>39173</v>
      </c>
      <c r="B49" s="14">
        <v>4.8832001637943503E-2</v>
      </c>
    </row>
    <row r="50" spans="1:2" x14ac:dyDescent="0.25">
      <c r="A50" s="7">
        <v>39203</v>
      </c>
      <c r="B50" s="14">
        <v>4.8954380594343205E-2</v>
      </c>
    </row>
    <row r="51" spans="1:2" x14ac:dyDescent="0.25">
      <c r="A51" s="7">
        <v>39234</v>
      </c>
      <c r="B51" s="14">
        <v>4.9756465677550377E-2</v>
      </c>
    </row>
    <row r="52" spans="1:2" x14ac:dyDescent="0.25">
      <c r="A52" s="7">
        <v>39264</v>
      </c>
      <c r="B52" s="14">
        <v>5.182897047814522E-2</v>
      </c>
    </row>
    <row r="53" spans="1:2" x14ac:dyDescent="0.25">
      <c r="A53" s="7">
        <v>39295</v>
      </c>
      <c r="B53" s="14">
        <v>4.4770478290258646E-2</v>
      </c>
    </row>
    <row r="54" spans="1:2" x14ac:dyDescent="0.25">
      <c r="A54" s="7">
        <v>39326</v>
      </c>
      <c r="B54" s="14">
        <v>5.0103643015246946E-2</v>
      </c>
    </row>
    <row r="55" spans="1:2" x14ac:dyDescent="0.25">
      <c r="A55" s="7">
        <v>39356</v>
      </c>
      <c r="B55" s="14">
        <v>5.6863193413411929E-2</v>
      </c>
    </row>
    <row r="56" spans="1:2" x14ac:dyDescent="0.25">
      <c r="A56" s="7">
        <v>39387</v>
      </c>
      <c r="B56" s="14">
        <v>5.6172147833547653E-2</v>
      </c>
    </row>
    <row r="57" spans="1:2" x14ac:dyDescent="0.25">
      <c r="A57" s="7">
        <v>39417</v>
      </c>
      <c r="B57" s="14">
        <v>5.4545795763712268E-2</v>
      </c>
    </row>
    <row r="58" spans="1:2" x14ac:dyDescent="0.25">
      <c r="A58" s="7">
        <v>39448</v>
      </c>
      <c r="B58" s="14">
        <v>4.4248670622532481E-2</v>
      </c>
    </row>
    <row r="59" spans="1:2" x14ac:dyDescent="0.25">
      <c r="A59" s="7">
        <v>39479</v>
      </c>
      <c r="B59" s="14">
        <v>4.2593614908776653E-2</v>
      </c>
    </row>
    <row r="60" spans="1:2" x14ac:dyDescent="0.25">
      <c r="A60" s="7">
        <v>39508</v>
      </c>
      <c r="B60" s="14">
        <v>4.6114677566286975E-2</v>
      </c>
    </row>
    <row r="61" spans="1:2" x14ac:dyDescent="0.25">
      <c r="A61" s="7">
        <v>39539</v>
      </c>
      <c r="B61" s="14">
        <v>3.8736601076070958E-2</v>
      </c>
    </row>
    <row r="62" spans="1:2" x14ac:dyDescent="0.25">
      <c r="A62" s="7">
        <v>39569</v>
      </c>
      <c r="B62" s="14">
        <v>3.8284468815649682E-2</v>
      </c>
    </row>
    <row r="63" spans="1:2" x14ac:dyDescent="0.25">
      <c r="A63" s="7">
        <v>39600</v>
      </c>
      <c r="B63" s="14">
        <v>3.39271974431547E-2</v>
      </c>
    </row>
    <row r="64" spans="1:2" x14ac:dyDescent="0.25">
      <c r="A64" s="7">
        <v>39630</v>
      </c>
      <c r="B64" s="14">
        <v>3.1419257290814913E-2</v>
      </c>
    </row>
    <row r="65" spans="1:2" x14ac:dyDescent="0.25">
      <c r="A65" s="7">
        <v>39661</v>
      </c>
      <c r="B65" s="14">
        <v>2.9265942147220742E-2</v>
      </c>
    </row>
    <row r="66" spans="1:2" x14ac:dyDescent="0.25">
      <c r="A66" s="7">
        <v>39692</v>
      </c>
      <c r="B66" s="14">
        <v>2.968936964167895E-2</v>
      </c>
    </row>
    <row r="67" spans="1:2" x14ac:dyDescent="0.25">
      <c r="A67" s="7">
        <v>39722</v>
      </c>
      <c r="B67" s="14">
        <v>3.0075968888288767E-2</v>
      </c>
    </row>
    <row r="68" spans="1:2" x14ac:dyDescent="0.25">
      <c r="A68" s="7">
        <v>39753</v>
      </c>
      <c r="B68" s="14">
        <v>3.5064013061024669E-2</v>
      </c>
    </row>
    <row r="69" spans="1:2" x14ac:dyDescent="0.25">
      <c r="A69" s="7">
        <v>39783</v>
      </c>
      <c r="B69" s="14">
        <v>2.8324050479201043E-2</v>
      </c>
    </row>
    <row r="70" spans="1:2" x14ac:dyDescent="0.25">
      <c r="A70" s="7">
        <v>39814</v>
      </c>
      <c r="B70" s="14">
        <v>3.0473524878505985E-2</v>
      </c>
    </row>
    <row r="71" spans="1:2" x14ac:dyDescent="0.25">
      <c r="A71" s="7">
        <v>39845</v>
      </c>
      <c r="B71" s="14">
        <v>3.2760058186938487E-2</v>
      </c>
    </row>
    <row r="72" spans="1:2" x14ac:dyDescent="0.25">
      <c r="A72" s="7">
        <v>39873</v>
      </c>
      <c r="B72" s="14">
        <v>2.6698224503658483E-2</v>
      </c>
    </row>
    <row r="73" spans="1:2" x14ac:dyDescent="0.25">
      <c r="A73" s="7">
        <v>39904</v>
      </c>
      <c r="B73" s="14">
        <v>2.438670968042864E-2</v>
      </c>
    </row>
    <row r="74" spans="1:2" x14ac:dyDescent="0.25">
      <c r="A74" s="7">
        <v>39934</v>
      </c>
      <c r="B74" s="14">
        <v>2.5964891051157575E-2</v>
      </c>
    </row>
    <row r="75" spans="1:2" x14ac:dyDescent="0.25">
      <c r="A75" s="7">
        <v>39965</v>
      </c>
      <c r="B75" s="14">
        <v>2.2819351794300492E-2</v>
      </c>
    </row>
    <row r="76" spans="1:2" x14ac:dyDescent="0.25">
      <c r="A76" s="7">
        <v>39995</v>
      </c>
      <c r="B76" s="14">
        <v>2.156612867348761E-2</v>
      </c>
    </row>
    <row r="77" spans="1:2" x14ac:dyDescent="0.25">
      <c r="A77" s="7">
        <v>40026</v>
      </c>
      <c r="B77" s="14">
        <v>1.9159165398478371E-2</v>
      </c>
    </row>
    <row r="78" spans="1:2" x14ac:dyDescent="0.25">
      <c r="A78" s="7">
        <v>40057</v>
      </c>
      <c r="B78" s="14">
        <v>2.2688658844794044E-2</v>
      </c>
    </row>
    <row r="79" spans="1:2" x14ac:dyDescent="0.25">
      <c r="A79" s="7">
        <v>40087</v>
      </c>
      <c r="B79" s="14">
        <v>2.3457781167206305E-2</v>
      </c>
    </row>
    <row r="80" spans="1:2" x14ac:dyDescent="0.25">
      <c r="A80" s="7">
        <v>40118</v>
      </c>
      <c r="B80" s="14">
        <v>2.444250413125262E-2</v>
      </c>
    </row>
    <row r="81" spans="1:2" x14ac:dyDescent="0.25">
      <c r="A81" s="7">
        <v>40148</v>
      </c>
      <c r="B81" s="14">
        <v>2.3361149755491691E-2</v>
      </c>
    </row>
    <row r="82" spans="1:2" x14ac:dyDescent="0.25">
      <c r="A82" s="7">
        <v>40179</v>
      </c>
      <c r="B82" s="14">
        <v>2.1968466505643481E-2</v>
      </c>
    </row>
    <row r="83" spans="1:2" x14ac:dyDescent="0.25">
      <c r="A83" s="7">
        <v>40210</v>
      </c>
      <c r="B83" s="14">
        <v>1.9028224950805406E-2</v>
      </c>
    </row>
    <row r="84" spans="1:2" x14ac:dyDescent="0.25">
      <c r="A84" s="7">
        <v>40238</v>
      </c>
      <c r="B84" s="14">
        <v>1.8153236850950587E-2</v>
      </c>
    </row>
    <row r="85" spans="1:2" x14ac:dyDescent="0.25">
      <c r="A85" s="7">
        <v>40269</v>
      </c>
      <c r="B85" s="14">
        <v>1.8584225296346537E-2</v>
      </c>
    </row>
    <row r="86" spans="1:2" x14ac:dyDescent="0.25">
      <c r="A86" s="7">
        <v>40299</v>
      </c>
      <c r="B86" s="14">
        <v>1.8508370017022577E-2</v>
      </c>
    </row>
    <row r="87" spans="1:2" x14ac:dyDescent="0.25">
      <c r="A87" s="7">
        <v>40330</v>
      </c>
      <c r="B87" s="14">
        <v>1.788322969503086E-2</v>
      </c>
    </row>
    <row r="88" spans="1:2" x14ac:dyDescent="0.25">
      <c r="A88" s="7">
        <v>40360</v>
      </c>
      <c r="B88" s="14">
        <v>1.9687852742639015E-2</v>
      </c>
    </row>
    <row r="89" spans="1:2" x14ac:dyDescent="0.25">
      <c r="A89" s="7">
        <v>40391</v>
      </c>
      <c r="B89" s="14">
        <v>2.0226541785790416E-2</v>
      </c>
    </row>
    <row r="90" spans="1:2" x14ac:dyDescent="0.25">
      <c r="A90" s="7">
        <v>40422</v>
      </c>
      <c r="B90" s="14">
        <v>1.9292180299449433E-2</v>
      </c>
    </row>
    <row r="91" spans="1:2" x14ac:dyDescent="0.25">
      <c r="A91" s="7">
        <v>40452</v>
      </c>
      <c r="B91" s="14">
        <v>1.8666996860846621E-2</v>
      </c>
    </row>
    <row r="92" spans="1:2" x14ac:dyDescent="0.25">
      <c r="A92" s="7">
        <v>40483</v>
      </c>
      <c r="B92" s="14">
        <v>1.8174961136070752E-2</v>
      </c>
    </row>
    <row r="93" spans="1:2" x14ac:dyDescent="0.25">
      <c r="A93" s="7">
        <v>40513</v>
      </c>
      <c r="B93" s="14">
        <v>1.8569794784052487E-2</v>
      </c>
    </row>
    <row r="94" spans="1:2" x14ac:dyDescent="0.25">
      <c r="A94" s="7">
        <v>40544</v>
      </c>
      <c r="B94" s="14">
        <v>1.6491684629313073E-2</v>
      </c>
    </row>
    <row r="95" spans="1:2" x14ac:dyDescent="0.25">
      <c r="A95" s="7">
        <v>40575</v>
      </c>
      <c r="B95" s="14">
        <v>1.4826195254621493E-2</v>
      </c>
    </row>
    <row r="96" spans="1:2" x14ac:dyDescent="0.25">
      <c r="A96" s="7">
        <v>40603</v>
      </c>
      <c r="B96" s="14">
        <v>1.6617978926176113E-2</v>
      </c>
    </row>
    <row r="97" spans="1:2" x14ac:dyDescent="0.25">
      <c r="A97" s="7">
        <v>40634</v>
      </c>
      <c r="B97" s="14">
        <v>1.6477786006875644E-2</v>
      </c>
    </row>
    <row r="98" spans="1:2" x14ac:dyDescent="0.25">
      <c r="A98" s="7">
        <v>40664</v>
      </c>
      <c r="B98" s="14">
        <v>1.8098143897761092E-2</v>
      </c>
    </row>
    <row r="99" spans="1:2" x14ac:dyDescent="0.25">
      <c r="A99" s="7">
        <v>40695</v>
      </c>
      <c r="B99" s="14">
        <v>1.7893182097442287E-2</v>
      </c>
    </row>
    <row r="100" spans="1:2" x14ac:dyDescent="0.25">
      <c r="A100" s="7">
        <v>40725</v>
      </c>
      <c r="B100" s="14">
        <v>1.9328781431477263E-2</v>
      </c>
    </row>
    <row r="101" spans="1:2" x14ac:dyDescent="0.25">
      <c r="A101" s="7">
        <v>40756</v>
      </c>
      <c r="B101" s="14">
        <v>1.913504436666567E-2</v>
      </c>
    </row>
    <row r="102" spans="1:2" x14ac:dyDescent="0.25">
      <c r="A102" s="7">
        <v>40787</v>
      </c>
      <c r="B102" s="14">
        <v>1.8588348404513459E-2</v>
      </c>
    </row>
    <row r="103" spans="1:2" x14ac:dyDescent="0.25">
      <c r="A103" s="7">
        <v>40817</v>
      </c>
      <c r="B103" s="14">
        <v>2.0419862794120225E-2</v>
      </c>
    </row>
    <row r="104" spans="1:2" x14ac:dyDescent="0.25">
      <c r="A104" s="7">
        <v>40848</v>
      </c>
      <c r="B104" s="14">
        <v>1.9967118717797529E-2</v>
      </c>
    </row>
    <row r="105" spans="1:2" x14ac:dyDescent="0.25">
      <c r="A105" s="7">
        <v>40878</v>
      </c>
      <c r="B105" s="14">
        <v>1.8597707440269777E-2</v>
      </c>
    </row>
    <row r="106" spans="1:2" x14ac:dyDescent="0.25">
      <c r="A106" s="7">
        <v>40909</v>
      </c>
      <c r="B106" s="14">
        <v>1.82958682078933E-2</v>
      </c>
    </row>
    <row r="107" spans="1:2" x14ac:dyDescent="0.25">
      <c r="A107" s="7">
        <v>40940</v>
      </c>
      <c r="B107" s="14">
        <v>1.8218513465454226E-2</v>
      </c>
    </row>
    <row r="108" spans="1:2" x14ac:dyDescent="0.25">
      <c r="A108" s="7">
        <v>40969</v>
      </c>
      <c r="B108" s="14">
        <v>1.8163919629769213E-2</v>
      </c>
    </row>
    <row r="109" spans="1:2" x14ac:dyDescent="0.25">
      <c r="A109" s="7">
        <v>41000</v>
      </c>
      <c r="B109" s="14">
        <v>1.7827059100058676E-2</v>
      </c>
    </row>
    <row r="110" spans="1:2" x14ac:dyDescent="0.25">
      <c r="A110" s="7">
        <v>41030</v>
      </c>
      <c r="B110" s="14">
        <v>1.7252240546026358E-2</v>
      </c>
    </row>
    <row r="111" spans="1:2" x14ac:dyDescent="0.25">
      <c r="A111" s="7">
        <v>41061</v>
      </c>
      <c r="B111" s="14">
        <v>1.8063085410597462E-2</v>
      </c>
    </row>
    <row r="112" spans="1:2" x14ac:dyDescent="0.25">
      <c r="A112" s="7">
        <v>41091</v>
      </c>
      <c r="B112" s="14">
        <v>1.8561438889717518E-2</v>
      </c>
    </row>
    <row r="113" spans="1:2" x14ac:dyDescent="0.25">
      <c r="A113" s="7">
        <v>41122</v>
      </c>
      <c r="B113" s="14">
        <v>1.8779817658657792E-2</v>
      </c>
    </row>
    <row r="114" spans="1:2" x14ac:dyDescent="0.25">
      <c r="A114" s="7">
        <v>41153</v>
      </c>
      <c r="B114" s="14">
        <v>1.9241320777932485E-2</v>
      </c>
    </row>
    <row r="115" spans="1:2" x14ac:dyDescent="0.25">
      <c r="A115" s="7">
        <v>41183</v>
      </c>
      <c r="B115" s="14">
        <v>1.877594152712404E-2</v>
      </c>
    </row>
    <row r="116" spans="1:2" x14ac:dyDescent="0.25">
      <c r="A116" s="7">
        <v>41214</v>
      </c>
      <c r="B116" s="14">
        <v>1.9637213437199475E-2</v>
      </c>
    </row>
    <row r="117" spans="1:2" x14ac:dyDescent="0.25">
      <c r="A117" s="7">
        <v>41244</v>
      </c>
      <c r="B117" s="14">
        <v>1.9682033865423314E-2</v>
      </c>
    </row>
    <row r="118" spans="1:2" x14ac:dyDescent="0.25">
      <c r="A118" s="7">
        <v>41275</v>
      </c>
      <c r="B118" s="14">
        <v>1.9128413529500742E-2</v>
      </c>
    </row>
    <row r="119" spans="1:2" x14ac:dyDescent="0.25">
      <c r="A119" s="7">
        <v>41306</v>
      </c>
      <c r="B119" s="14">
        <v>1.9057199407032689E-2</v>
      </c>
    </row>
    <row r="120" spans="1:2" x14ac:dyDescent="0.25">
      <c r="A120" s="7">
        <v>41334</v>
      </c>
      <c r="B120" s="14">
        <v>1.9255466423227879E-2</v>
      </c>
    </row>
    <row r="121" spans="1:2" x14ac:dyDescent="0.25">
      <c r="A121" s="7">
        <v>41365</v>
      </c>
      <c r="B121" s="14">
        <v>1.9359494200197919E-2</v>
      </c>
    </row>
    <row r="122" spans="1:2" x14ac:dyDescent="0.25">
      <c r="A122" s="7">
        <v>41395</v>
      </c>
      <c r="B122" s="14">
        <v>2.0040365891215259E-2</v>
      </c>
    </row>
    <row r="123" spans="1:2" x14ac:dyDescent="0.25">
      <c r="A123" s="7">
        <v>41426</v>
      </c>
      <c r="B123" s="14">
        <v>2.1272557381952155E-2</v>
      </c>
    </row>
    <row r="124" spans="1:2" x14ac:dyDescent="0.25">
      <c r="A124" s="7">
        <v>41456</v>
      </c>
      <c r="B124" s="14">
        <v>1.9887623005286775E-2</v>
      </c>
    </row>
    <row r="125" spans="1:2" x14ac:dyDescent="0.25">
      <c r="A125" s="7">
        <v>41487</v>
      </c>
      <c r="B125" s="14">
        <v>1.7477369242045009E-2</v>
      </c>
    </row>
    <row r="126" spans="1:2" x14ac:dyDescent="0.25">
      <c r="A126" s="7">
        <v>41518</v>
      </c>
      <c r="B126" s="14">
        <v>1.901504796960676E-2</v>
      </c>
    </row>
    <row r="127" spans="1:2" x14ac:dyDescent="0.25">
      <c r="A127" s="7">
        <v>41548</v>
      </c>
      <c r="B127" s="14">
        <v>2.1043413420695913E-2</v>
      </c>
    </row>
    <row r="128" spans="1:2" x14ac:dyDescent="0.25">
      <c r="A128" s="7">
        <v>41579</v>
      </c>
      <c r="B128" s="14">
        <v>2.2322413460325208E-2</v>
      </c>
    </row>
    <row r="129" spans="1:2" x14ac:dyDescent="0.25">
      <c r="A129" s="7">
        <v>41609</v>
      </c>
      <c r="B129" s="14">
        <v>2.46107873960449E-2</v>
      </c>
    </row>
    <row r="130" spans="1:2" x14ac:dyDescent="0.25">
      <c r="A130" s="7">
        <v>41640</v>
      </c>
      <c r="B130" s="14">
        <v>2.3724672095344485E-2</v>
      </c>
    </row>
    <row r="131" spans="1:2" x14ac:dyDescent="0.25">
      <c r="A131" s="7">
        <v>41671</v>
      </c>
      <c r="B131" s="14">
        <v>2.249241790241022E-2</v>
      </c>
    </row>
    <row r="132" spans="1:2" x14ac:dyDescent="0.25">
      <c r="A132" s="7">
        <v>41699</v>
      </c>
      <c r="B132" s="14">
        <v>2.4232831138146244E-2</v>
      </c>
    </row>
    <row r="133" spans="1:2" x14ac:dyDescent="0.25">
      <c r="A133" s="7">
        <v>41730</v>
      </c>
      <c r="B133" s="14">
        <v>2.5346413627390135E-2</v>
      </c>
    </row>
    <row r="134" spans="1:2" x14ac:dyDescent="0.25">
      <c r="A134" s="7">
        <v>41760</v>
      </c>
      <c r="B134" s="14">
        <v>2.4845412643709808E-2</v>
      </c>
    </row>
    <row r="135" spans="1:2" x14ac:dyDescent="0.25">
      <c r="A135" s="7">
        <v>41791</v>
      </c>
      <c r="B135" s="14">
        <v>2.5343342278196831E-2</v>
      </c>
    </row>
    <row r="136" spans="1:2" x14ac:dyDescent="0.25">
      <c r="A136" s="7">
        <v>41821</v>
      </c>
      <c r="B136" s="14">
        <v>2.6838166984538524E-2</v>
      </c>
    </row>
    <row r="137" spans="1:2" x14ac:dyDescent="0.25">
      <c r="A137" s="7">
        <v>41852</v>
      </c>
      <c r="B137" s="14">
        <v>2.5949391730973499E-2</v>
      </c>
    </row>
    <row r="138" spans="1:2" x14ac:dyDescent="0.25">
      <c r="A138" s="7">
        <v>41883</v>
      </c>
      <c r="B138" s="14">
        <v>2.6031549357250813E-2</v>
      </c>
    </row>
    <row r="139" spans="1:2" x14ac:dyDescent="0.25">
      <c r="A139" s="7">
        <v>41913</v>
      </c>
      <c r="B139" s="14">
        <v>2.6627065648873245E-2</v>
      </c>
    </row>
    <row r="140" spans="1:2" x14ac:dyDescent="0.25">
      <c r="A140" s="7">
        <v>41944</v>
      </c>
      <c r="B140" s="14">
        <v>2.6582155092484447E-2</v>
      </c>
    </row>
    <row r="141" spans="1:2" x14ac:dyDescent="0.25">
      <c r="A141" s="7">
        <v>41974</v>
      </c>
      <c r="B141" s="14">
        <v>2.7795107951965114E-2</v>
      </c>
    </row>
    <row r="142" spans="1:2" x14ac:dyDescent="0.25">
      <c r="A142" s="7">
        <v>42005</v>
      </c>
      <c r="B142" s="14">
        <v>2.7292557933428666E-2</v>
      </c>
    </row>
    <row r="143" spans="1:2" x14ac:dyDescent="0.25">
      <c r="A143" s="7">
        <v>42036</v>
      </c>
      <c r="B143" s="14">
        <v>2.8280103063860199E-2</v>
      </c>
    </row>
    <row r="144" spans="1:2" x14ac:dyDescent="0.25">
      <c r="A144" s="7">
        <v>42064</v>
      </c>
      <c r="B144" s="14">
        <v>2.9453719206017949E-2</v>
      </c>
    </row>
    <row r="145" spans="1:2" x14ac:dyDescent="0.25">
      <c r="A145" s="7">
        <v>42095</v>
      </c>
      <c r="B145" s="14">
        <v>2.6831001208132567E-2</v>
      </c>
    </row>
    <row r="146" spans="1:2" x14ac:dyDescent="0.25">
      <c r="A146" s="7">
        <v>42125</v>
      </c>
      <c r="B146" s="14">
        <v>2.6512767987565716E-2</v>
      </c>
    </row>
    <row r="147" spans="1:2" x14ac:dyDescent="0.25">
      <c r="A147" s="7">
        <v>42156</v>
      </c>
      <c r="B147" s="14">
        <v>2.7364721936929577E-2</v>
      </c>
    </row>
    <row r="148" spans="1:2" x14ac:dyDescent="0.25">
      <c r="A148" s="7">
        <v>42186</v>
      </c>
      <c r="B148" s="14">
        <v>2.4820968026983335E-2</v>
      </c>
    </row>
    <row r="149" spans="1:2" x14ac:dyDescent="0.25">
      <c r="A149" s="7">
        <v>42217</v>
      </c>
      <c r="B149" s="14">
        <v>2.4483324071397188E-2</v>
      </c>
    </row>
    <row r="150" spans="1:2" x14ac:dyDescent="0.25">
      <c r="A150" s="7">
        <v>42248</v>
      </c>
      <c r="B150" s="14">
        <v>2.5481926957230998E-2</v>
      </c>
    </row>
    <row r="151" spans="1:2" x14ac:dyDescent="0.25">
      <c r="A151" s="7">
        <v>42278</v>
      </c>
      <c r="B151" s="14">
        <v>2.6812715702531357E-2</v>
      </c>
    </row>
    <row r="152" spans="1:2" x14ac:dyDescent="0.25">
      <c r="A152" s="7">
        <v>42309</v>
      </c>
      <c r="B152" s="14">
        <v>2.6780190866197668E-2</v>
      </c>
    </row>
    <row r="153" spans="1:2" x14ac:dyDescent="0.25">
      <c r="A153" s="7">
        <v>42339</v>
      </c>
      <c r="B153" s="14">
        <v>2.7633029832483745E-2</v>
      </c>
    </row>
    <row r="154" spans="1:2" x14ac:dyDescent="0.25">
      <c r="A154" s="7">
        <v>42370</v>
      </c>
      <c r="B154" s="14">
        <v>2.494279606702934E-2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4"/>
  <sheetViews>
    <sheetView workbookViewId="0">
      <selection activeCell="B1" sqref="B1:B1048576"/>
    </sheetView>
  </sheetViews>
  <sheetFormatPr defaultRowHeight="15" x14ac:dyDescent="0.25"/>
  <sheetData>
    <row r="1" spans="1:2" x14ac:dyDescent="0.25">
      <c r="A1" s="9"/>
      <c r="B1" s="10" t="s">
        <v>4</v>
      </c>
    </row>
    <row r="2" spans="1:2" x14ac:dyDescent="0.25">
      <c r="A2" s="11">
        <v>37742</v>
      </c>
      <c r="B2">
        <v>112.55</v>
      </c>
    </row>
    <row r="3" spans="1:2" x14ac:dyDescent="0.25">
      <c r="A3" s="11">
        <v>37773</v>
      </c>
      <c r="B3">
        <v>112.38</v>
      </c>
    </row>
    <row r="4" spans="1:2" x14ac:dyDescent="0.25">
      <c r="A4" s="11">
        <v>37803</v>
      </c>
      <c r="B4">
        <v>112.37</v>
      </c>
    </row>
    <row r="5" spans="1:2" x14ac:dyDescent="0.25">
      <c r="A5" s="11">
        <v>37834</v>
      </c>
      <c r="B5">
        <v>112.37</v>
      </c>
    </row>
    <row r="6" spans="1:2" x14ac:dyDescent="0.25">
      <c r="A6" s="11">
        <v>37865</v>
      </c>
      <c r="B6">
        <v>112.36</v>
      </c>
    </row>
    <row r="7" spans="1:2" x14ac:dyDescent="0.25">
      <c r="A7" s="11">
        <v>37895</v>
      </c>
      <c r="B7">
        <v>112.95</v>
      </c>
    </row>
    <row r="8" spans="1:2" x14ac:dyDescent="0.25">
      <c r="A8" s="11">
        <v>37926</v>
      </c>
      <c r="B8">
        <v>113.54</v>
      </c>
    </row>
    <row r="9" spans="1:2" x14ac:dyDescent="0.25">
      <c r="A9" s="11">
        <v>37956</v>
      </c>
      <c r="B9">
        <v>114.12</v>
      </c>
    </row>
    <row r="10" spans="1:2" x14ac:dyDescent="0.25">
      <c r="A10" s="11">
        <v>37987</v>
      </c>
      <c r="B10">
        <v>114.16</v>
      </c>
    </row>
    <row r="11" spans="1:2" x14ac:dyDescent="0.25">
      <c r="A11" s="11">
        <v>38018</v>
      </c>
      <c r="B11">
        <v>114.21</v>
      </c>
    </row>
    <row r="12" spans="1:2" x14ac:dyDescent="0.25">
      <c r="A12" s="11">
        <v>38047</v>
      </c>
      <c r="B12">
        <v>114.25</v>
      </c>
    </row>
    <row r="13" spans="1:2" x14ac:dyDescent="0.25">
      <c r="A13" s="11">
        <v>38078</v>
      </c>
      <c r="B13">
        <v>114.53</v>
      </c>
    </row>
    <row r="14" spans="1:2" x14ac:dyDescent="0.25">
      <c r="A14" s="11">
        <v>38108</v>
      </c>
      <c r="B14">
        <v>114.8</v>
      </c>
    </row>
    <row r="15" spans="1:2" x14ac:dyDescent="0.25">
      <c r="A15" s="11">
        <v>38139</v>
      </c>
      <c r="B15">
        <v>115.07</v>
      </c>
    </row>
    <row r="16" spans="1:2" x14ac:dyDescent="0.25">
      <c r="A16" s="11">
        <v>38169</v>
      </c>
      <c r="B16">
        <v>115.77</v>
      </c>
    </row>
    <row r="17" spans="1:2" x14ac:dyDescent="0.25">
      <c r="A17" s="11">
        <v>38200</v>
      </c>
      <c r="B17">
        <v>116.46</v>
      </c>
    </row>
    <row r="18" spans="1:2" x14ac:dyDescent="0.25">
      <c r="A18" s="11">
        <v>38231</v>
      </c>
      <c r="B18">
        <v>117.15</v>
      </c>
    </row>
    <row r="19" spans="1:2" x14ac:dyDescent="0.25">
      <c r="A19" s="11">
        <v>38261</v>
      </c>
      <c r="B19">
        <v>117.42</v>
      </c>
    </row>
    <row r="20" spans="1:2" x14ac:dyDescent="0.25">
      <c r="A20" s="11">
        <v>38292</v>
      </c>
      <c r="B20">
        <v>117.69</v>
      </c>
    </row>
    <row r="21" spans="1:2" x14ac:dyDescent="0.25">
      <c r="A21" s="11">
        <v>38322</v>
      </c>
      <c r="B21">
        <v>117.96</v>
      </c>
    </row>
    <row r="22" spans="1:2" x14ac:dyDescent="0.25">
      <c r="A22" s="11">
        <v>38353</v>
      </c>
      <c r="B22">
        <v>118.39</v>
      </c>
    </row>
    <row r="23" spans="1:2" x14ac:dyDescent="0.25">
      <c r="A23" s="11">
        <v>38384</v>
      </c>
      <c r="B23">
        <v>118.81</v>
      </c>
    </row>
    <row r="24" spans="1:2" x14ac:dyDescent="0.25">
      <c r="A24" s="11">
        <v>38412</v>
      </c>
      <c r="B24">
        <v>119.23</v>
      </c>
    </row>
    <row r="25" spans="1:2" x14ac:dyDescent="0.25">
      <c r="A25" s="11">
        <v>38443</v>
      </c>
      <c r="B25">
        <v>120.01</v>
      </c>
    </row>
    <row r="26" spans="1:2" x14ac:dyDescent="0.25">
      <c r="A26" s="11">
        <v>38473</v>
      </c>
      <c r="B26">
        <v>120.79</v>
      </c>
    </row>
    <row r="27" spans="1:2" x14ac:dyDescent="0.25">
      <c r="A27" s="11">
        <v>38504</v>
      </c>
      <c r="B27">
        <v>121.56</v>
      </c>
    </row>
    <row r="28" spans="1:2" x14ac:dyDescent="0.25">
      <c r="A28" s="11">
        <v>38534</v>
      </c>
      <c r="B28">
        <v>122.15</v>
      </c>
    </row>
    <row r="29" spans="1:2" x14ac:dyDescent="0.25">
      <c r="A29" s="11">
        <v>38565</v>
      </c>
      <c r="B29">
        <v>122.75</v>
      </c>
    </row>
    <row r="30" spans="1:2" x14ac:dyDescent="0.25">
      <c r="A30" s="11">
        <v>38596</v>
      </c>
      <c r="B30">
        <v>123.33</v>
      </c>
    </row>
    <row r="31" spans="1:2" x14ac:dyDescent="0.25">
      <c r="A31" s="11">
        <v>38626</v>
      </c>
      <c r="B31">
        <v>123.1</v>
      </c>
    </row>
    <row r="32" spans="1:2" x14ac:dyDescent="0.25">
      <c r="A32" s="11">
        <v>38657</v>
      </c>
      <c r="B32">
        <v>122.88</v>
      </c>
    </row>
    <row r="33" spans="1:2" x14ac:dyDescent="0.25">
      <c r="A33" s="11">
        <v>38687</v>
      </c>
      <c r="B33">
        <v>122.66</v>
      </c>
    </row>
    <row r="34" spans="1:2" x14ac:dyDescent="0.25">
      <c r="A34" s="11">
        <v>38718</v>
      </c>
      <c r="B34">
        <v>122.67</v>
      </c>
    </row>
    <row r="35" spans="1:2" x14ac:dyDescent="0.25">
      <c r="A35" s="11">
        <v>38749</v>
      </c>
      <c r="B35">
        <v>122.69</v>
      </c>
    </row>
    <row r="36" spans="1:2" x14ac:dyDescent="0.25">
      <c r="A36" s="11">
        <v>38777</v>
      </c>
      <c r="B36">
        <v>122.7</v>
      </c>
    </row>
    <row r="37" spans="1:2" x14ac:dyDescent="0.25">
      <c r="A37" s="11">
        <v>38808</v>
      </c>
      <c r="B37">
        <v>122.13</v>
      </c>
    </row>
    <row r="38" spans="1:2" x14ac:dyDescent="0.25">
      <c r="A38" s="11">
        <v>38838</v>
      </c>
      <c r="B38">
        <v>121.57</v>
      </c>
    </row>
    <row r="39" spans="1:2" x14ac:dyDescent="0.25">
      <c r="A39" s="11">
        <v>38869</v>
      </c>
      <c r="B39">
        <v>121.02</v>
      </c>
    </row>
    <row r="40" spans="1:2" x14ac:dyDescent="0.25">
      <c r="A40" s="11">
        <v>38899</v>
      </c>
      <c r="B40">
        <v>119.83</v>
      </c>
    </row>
    <row r="41" spans="1:2" x14ac:dyDescent="0.25">
      <c r="A41" s="11">
        <v>38930</v>
      </c>
      <c r="B41">
        <v>118.67</v>
      </c>
    </row>
    <row r="42" spans="1:2" x14ac:dyDescent="0.25">
      <c r="A42" s="11">
        <v>38961</v>
      </c>
      <c r="B42">
        <v>117.54</v>
      </c>
    </row>
    <row r="43" spans="1:2" x14ac:dyDescent="0.25">
      <c r="A43" s="11">
        <v>38991</v>
      </c>
      <c r="B43">
        <v>117.11</v>
      </c>
    </row>
    <row r="44" spans="1:2" x14ac:dyDescent="0.25">
      <c r="A44" s="11">
        <v>39022</v>
      </c>
      <c r="B44">
        <v>116.68</v>
      </c>
    </row>
    <row r="45" spans="1:2" x14ac:dyDescent="0.25">
      <c r="A45" s="11">
        <v>39052</v>
      </c>
      <c r="B45">
        <v>116.26</v>
      </c>
    </row>
    <row r="46" spans="1:2" x14ac:dyDescent="0.25">
      <c r="A46" s="11">
        <v>39083</v>
      </c>
      <c r="B46">
        <v>115.52</v>
      </c>
    </row>
    <row r="47" spans="1:2" x14ac:dyDescent="0.25">
      <c r="A47" s="11">
        <v>39114</v>
      </c>
      <c r="B47">
        <v>114.78</v>
      </c>
    </row>
    <row r="48" spans="1:2" x14ac:dyDescent="0.25">
      <c r="A48" s="11">
        <v>39142</v>
      </c>
      <c r="B48">
        <v>114.06</v>
      </c>
    </row>
    <row r="49" spans="1:2" x14ac:dyDescent="0.25">
      <c r="A49" s="11">
        <v>39173</v>
      </c>
      <c r="B49">
        <v>112.84</v>
      </c>
    </row>
    <row r="50" spans="1:2" x14ac:dyDescent="0.25">
      <c r="A50" s="11">
        <v>39203</v>
      </c>
      <c r="B50">
        <v>111.64</v>
      </c>
    </row>
    <row r="51" spans="1:2" x14ac:dyDescent="0.25">
      <c r="A51" s="11">
        <v>39234</v>
      </c>
      <c r="B51">
        <v>110.46</v>
      </c>
    </row>
    <row r="52" spans="1:2" x14ac:dyDescent="0.25">
      <c r="A52" s="11">
        <v>39264</v>
      </c>
      <c r="B52">
        <v>108.96</v>
      </c>
    </row>
    <row r="53" spans="1:2" x14ac:dyDescent="0.25">
      <c r="A53" s="11">
        <v>39295</v>
      </c>
      <c r="B53">
        <v>107.49</v>
      </c>
    </row>
    <row r="54" spans="1:2" x14ac:dyDescent="0.25">
      <c r="A54" s="11">
        <v>39326</v>
      </c>
      <c r="B54">
        <v>106.05</v>
      </c>
    </row>
    <row r="55" spans="1:2" x14ac:dyDescent="0.25">
      <c r="A55" s="11">
        <v>39356</v>
      </c>
      <c r="B55">
        <v>105.16</v>
      </c>
    </row>
    <row r="56" spans="1:2" x14ac:dyDescent="0.25">
      <c r="A56" s="11">
        <v>39387</v>
      </c>
      <c r="B56">
        <v>104.28</v>
      </c>
    </row>
    <row r="57" spans="1:2" x14ac:dyDescent="0.25">
      <c r="A57" s="11">
        <v>39417</v>
      </c>
      <c r="B57">
        <v>103.41</v>
      </c>
    </row>
    <row r="58" spans="1:2" x14ac:dyDescent="0.25">
      <c r="A58" s="11">
        <v>39448</v>
      </c>
      <c r="B58">
        <v>102.62</v>
      </c>
    </row>
    <row r="59" spans="1:2" x14ac:dyDescent="0.25">
      <c r="A59" s="11">
        <v>39479</v>
      </c>
      <c r="B59">
        <v>101.84</v>
      </c>
    </row>
    <row r="60" spans="1:2" x14ac:dyDescent="0.25">
      <c r="A60" s="11">
        <v>39508</v>
      </c>
      <c r="B60">
        <v>101.07</v>
      </c>
    </row>
    <row r="61" spans="1:2" x14ac:dyDescent="0.25">
      <c r="A61" s="11">
        <v>39539</v>
      </c>
      <c r="B61">
        <v>99.89</v>
      </c>
    </row>
    <row r="62" spans="1:2" x14ac:dyDescent="0.25">
      <c r="A62" s="11">
        <v>39569</v>
      </c>
      <c r="B62">
        <v>98.73</v>
      </c>
    </row>
    <row r="63" spans="1:2" x14ac:dyDescent="0.25">
      <c r="A63" s="11">
        <v>39600</v>
      </c>
      <c r="B63">
        <v>97.57</v>
      </c>
    </row>
    <row r="64" spans="1:2" x14ac:dyDescent="0.25">
      <c r="A64" s="11">
        <v>39630</v>
      </c>
      <c r="B64">
        <v>96.28</v>
      </c>
    </row>
    <row r="65" spans="1:2" x14ac:dyDescent="0.25">
      <c r="A65" s="11">
        <v>39661</v>
      </c>
      <c r="B65">
        <v>95.01</v>
      </c>
    </row>
    <row r="66" spans="1:2" x14ac:dyDescent="0.25">
      <c r="A66" s="11">
        <v>39692</v>
      </c>
      <c r="B66">
        <v>93.74</v>
      </c>
    </row>
    <row r="67" spans="1:2" x14ac:dyDescent="0.25">
      <c r="A67" s="11">
        <v>39722</v>
      </c>
      <c r="B67">
        <v>93.15</v>
      </c>
    </row>
    <row r="68" spans="1:2" x14ac:dyDescent="0.25">
      <c r="A68" s="11">
        <v>39753</v>
      </c>
      <c r="B68">
        <v>92.55</v>
      </c>
    </row>
    <row r="69" spans="1:2" x14ac:dyDescent="0.25">
      <c r="A69" s="11">
        <v>39783</v>
      </c>
      <c r="B69">
        <v>91.97</v>
      </c>
    </row>
    <row r="70" spans="1:2" x14ac:dyDescent="0.25">
      <c r="A70" s="11">
        <v>39814</v>
      </c>
      <c r="B70">
        <v>92.08</v>
      </c>
    </row>
    <row r="71" spans="1:2" x14ac:dyDescent="0.25">
      <c r="A71" s="11">
        <v>39845</v>
      </c>
      <c r="B71">
        <v>92.19</v>
      </c>
    </row>
    <row r="72" spans="1:2" x14ac:dyDescent="0.25">
      <c r="A72" s="11">
        <v>39873</v>
      </c>
      <c r="B72">
        <v>92.31</v>
      </c>
    </row>
    <row r="73" spans="1:2" x14ac:dyDescent="0.25">
      <c r="A73" s="11">
        <v>39904</v>
      </c>
      <c r="B73">
        <v>91.51</v>
      </c>
    </row>
    <row r="74" spans="1:2" x14ac:dyDescent="0.25">
      <c r="A74" s="11">
        <v>39934</v>
      </c>
      <c r="B74">
        <v>90.71</v>
      </c>
    </row>
    <row r="75" spans="1:2" x14ac:dyDescent="0.25">
      <c r="A75" s="11">
        <v>39965</v>
      </c>
      <c r="B75">
        <v>89.92</v>
      </c>
    </row>
    <row r="76" spans="1:2" x14ac:dyDescent="0.25">
      <c r="A76" s="11">
        <v>39995</v>
      </c>
      <c r="B76">
        <v>89.45</v>
      </c>
    </row>
    <row r="77" spans="1:2" x14ac:dyDescent="0.25">
      <c r="A77" s="11">
        <v>40026</v>
      </c>
      <c r="B77">
        <v>88.99</v>
      </c>
    </row>
    <row r="78" spans="1:2" x14ac:dyDescent="0.25">
      <c r="A78" s="11">
        <v>40057</v>
      </c>
      <c r="B78">
        <v>88.52</v>
      </c>
    </row>
    <row r="79" spans="1:2" x14ac:dyDescent="0.25">
      <c r="A79" s="11">
        <v>40087</v>
      </c>
      <c r="B79">
        <v>88.39</v>
      </c>
    </row>
    <row r="80" spans="1:2" x14ac:dyDescent="0.25">
      <c r="A80" s="11">
        <v>40118</v>
      </c>
      <c r="B80">
        <v>88.26</v>
      </c>
    </row>
    <row r="81" spans="1:2" x14ac:dyDescent="0.25">
      <c r="A81" s="11">
        <v>40148</v>
      </c>
      <c r="B81">
        <v>88.13</v>
      </c>
    </row>
    <row r="82" spans="1:2" x14ac:dyDescent="0.25">
      <c r="A82" s="11">
        <v>40179</v>
      </c>
      <c r="B82">
        <v>87.98</v>
      </c>
    </row>
    <row r="83" spans="1:2" x14ac:dyDescent="0.25">
      <c r="A83" s="11">
        <v>40210</v>
      </c>
      <c r="B83">
        <v>87.84</v>
      </c>
    </row>
    <row r="84" spans="1:2" x14ac:dyDescent="0.25">
      <c r="A84" s="11">
        <v>40238</v>
      </c>
      <c r="B84">
        <v>87.69</v>
      </c>
    </row>
    <row r="85" spans="1:2" x14ac:dyDescent="0.25">
      <c r="A85" s="11">
        <v>40269</v>
      </c>
      <c r="B85">
        <v>88.16</v>
      </c>
    </row>
    <row r="86" spans="1:2" x14ac:dyDescent="0.25">
      <c r="A86" s="11">
        <v>40299</v>
      </c>
      <c r="B86">
        <v>88.63</v>
      </c>
    </row>
    <row r="87" spans="1:2" x14ac:dyDescent="0.25">
      <c r="A87" s="11">
        <v>40330</v>
      </c>
      <c r="B87">
        <v>89.12</v>
      </c>
    </row>
    <row r="88" spans="1:2" x14ac:dyDescent="0.25">
      <c r="A88" s="11">
        <v>40360</v>
      </c>
      <c r="B88">
        <v>90.35</v>
      </c>
    </row>
    <row r="89" spans="1:2" x14ac:dyDescent="0.25">
      <c r="A89" s="11">
        <v>40391</v>
      </c>
      <c r="B89">
        <v>91.6</v>
      </c>
    </row>
    <row r="90" spans="1:2" x14ac:dyDescent="0.25">
      <c r="A90" s="11">
        <v>40422</v>
      </c>
      <c r="B90">
        <v>92.88</v>
      </c>
    </row>
    <row r="91" spans="1:2" x14ac:dyDescent="0.25">
      <c r="A91" s="11">
        <v>40452</v>
      </c>
      <c r="B91">
        <v>92.93</v>
      </c>
    </row>
    <row r="92" spans="1:2" x14ac:dyDescent="0.25">
      <c r="A92" s="11">
        <v>40483</v>
      </c>
      <c r="B92">
        <v>92.99</v>
      </c>
    </row>
    <row r="93" spans="1:2" x14ac:dyDescent="0.25">
      <c r="A93" s="11">
        <v>40513</v>
      </c>
      <c r="B93">
        <v>93.04</v>
      </c>
    </row>
    <row r="94" spans="1:2" x14ac:dyDescent="0.25">
      <c r="A94" s="11">
        <v>40544</v>
      </c>
      <c r="B94">
        <v>91.96</v>
      </c>
    </row>
    <row r="95" spans="1:2" x14ac:dyDescent="0.25">
      <c r="A95" s="11">
        <v>40575</v>
      </c>
      <c r="B95">
        <v>90.88</v>
      </c>
    </row>
    <row r="96" spans="1:2" x14ac:dyDescent="0.25">
      <c r="A96" s="11">
        <v>40603</v>
      </c>
      <c r="B96">
        <v>89.81</v>
      </c>
    </row>
    <row r="97" spans="1:2" x14ac:dyDescent="0.25">
      <c r="A97" s="11">
        <v>40634</v>
      </c>
      <c r="B97">
        <v>90.1</v>
      </c>
    </row>
    <row r="98" spans="1:2" x14ac:dyDescent="0.25">
      <c r="A98" s="11">
        <v>40664</v>
      </c>
      <c r="B98">
        <v>90.4</v>
      </c>
    </row>
    <row r="99" spans="1:2" x14ac:dyDescent="0.25">
      <c r="A99" s="11">
        <v>40695</v>
      </c>
      <c r="B99">
        <v>90.7</v>
      </c>
    </row>
    <row r="100" spans="1:2" x14ac:dyDescent="0.25">
      <c r="A100" s="11">
        <v>40725</v>
      </c>
      <c r="B100">
        <v>91.74</v>
      </c>
    </row>
    <row r="101" spans="1:2" x14ac:dyDescent="0.25">
      <c r="A101" s="11">
        <v>40756</v>
      </c>
      <c r="B101">
        <v>92.81</v>
      </c>
    </row>
    <row r="102" spans="1:2" x14ac:dyDescent="0.25">
      <c r="A102" s="11">
        <v>40787</v>
      </c>
      <c r="B102">
        <v>93.89</v>
      </c>
    </row>
    <row r="103" spans="1:2" x14ac:dyDescent="0.25">
      <c r="A103" s="11">
        <v>40817</v>
      </c>
      <c r="B103">
        <v>94.26</v>
      </c>
    </row>
    <row r="104" spans="1:2" x14ac:dyDescent="0.25">
      <c r="A104" s="11">
        <v>40848</v>
      </c>
      <c r="B104">
        <v>94.63</v>
      </c>
    </row>
    <row r="105" spans="1:2" x14ac:dyDescent="0.25">
      <c r="A105" s="11">
        <v>40878</v>
      </c>
      <c r="B105">
        <v>95.01</v>
      </c>
    </row>
    <row r="106" spans="1:2" x14ac:dyDescent="0.25">
      <c r="A106" s="11">
        <v>40909</v>
      </c>
      <c r="B106">
        <v>95.06</v>
      </c>
    </row>
    <row r="107" spans="1:2" x14ac:dyDescent="0.25">
      <c r="A107" s="11">
        <v>40940</v>
      </c>
      <c r="B107">
        <v>95.12</v>
      </c>
    </row>
    <row r="108" spans="1:2" x14ac:dyDescent="0.25">
      <c r="A108" s="11">
        <v>40969</v>
      </c>
      <c r="B108">
        <v>95.17</v>
      </c>
    </row>
    <row r="109" spans="1:2" x14ac:dyDescent="0.25">
      <c r="A109" s="11">
        <v>41000</v>
      </c>
      <c r="B109">
        <v>95.34</v>
      </c>
    </row>
    <row r="110" spans="1:2" x14ac:dyDescent="0.25">
      <c r="A110" s="11">
        <v>41030</v>
      </c>
      <c r="B110">
        <v>95.5</v>
      </c>
    </row>
    <row r="111" spans="1:2" x14ac:dyDescent="0.25">
      <c r="A111" s="11">
        <v>41061</v>
      </c>
      <c r="B111">
        <v>95.67</v>
      </c>
    </row>
    <row r="112" spans="1:2" x14ac:dyDescent="0.25">
      <c r="A112" s="11">
        <v>41091</v>
      </c>
      <c r="B112">
        <v>95.77</v>
      </c>
    </row>
    <row r="113" spans="1:2" x14ac:dyDescent="0.25">
      <c r="A113" s="11">
        <v>41122</v>
      </c>
      <c r="B113">
        <v>95.88</v>
      </c>
    </row>
    <row r="114" spans="1:2" x14ac:dyDescent="0.25">
      <c r="A114" s="11">
        <v>41153</v>
      </c>
      <c r="B114">
        <v>95.98</v>
      </c>
    </row>
    <row r="115" spans="1:2" x14ac:dyDescent="0.25">
      <c r="A115" s="11">
        <v>41183</v>
      </c>
      <c r="B115">
        <v>96.47</v>
      </c>
    </row>
    <row r="116" spans="1:2" x14ac:dyDescent="0.25">
      <c r="A116" s="11">
        <v>41214</v>
      </c>
      <c r="B116">
        <v>96.97</v>
      </c>
    </row>
    <row r="117" spans="1:2" x14ac:dyDescent="0.25">
      <c r="A117" s="11">
        <v>41244</v>
      </c>
      <c r="B117">
        <v>97.47</v>
      </c>
    </row>
    <row r="118" spans="1:2" x14ac:dyDescent="0.25">
      <c r="A118" s="11">
        <v>41275</v>
      </c>
      <c r="B118">
        <v>98.55</v>
      </c>
    </row>
    <row r="119" spans="1:2" x14ac:dyDescent="0.25">
      <c r="A119" s="11">
        <v>41306</v>
      </c>
      <c r="B119">
        <v>99.64</v>
      </c>
    </row>
    <row r="120" spans="1:2" x14ac:dyDescent="0.25">
      <c r="A120" s="11">
        <v>41334</v>
      </c>
      <c r="B120">
        <v>100.76</v>
      </c>
    </row>
    <row r="121" spans="1:2" x14ac:dyDescent="0.25">
      <c r="A121" s="11">
        <v>41365</v>
      </c>
      <c r="B121">
        <v>101.88</v>
      </c>
    </row>
    <row r="122" spans="1:2" x14ac:dyDescent="0.25">
      <c r="A122" s="11">
        <v>41395</v>
      </c>
      <c r="B122">
        <v>103</v>
      </c>
    </row>
    <row r="123" spans="1:2" x14ac:dyDescent="0.25">
      <c r="A123" s="11">
        <v>41426</v>
      </c>
      <c r="B123">
        <v>104.14</v>
      </c>
    </row>
    <row r="124" spans="1:2" x14ac:dyDescent="0.25">
      <c r="A124" s="11">
        <v>41456</v>
      </c>
      <c r="B124">
        <v>104.44</v>
      </c>
    </row>
    <row r="125" spans="1:2" x14ac:dyDescent="0.25">
      <c r="A125" s="11">
        <v>41487</v>
      </c>
      <c r="B125">
        <v>104.74</v>
      </c>
    </row>
    <row r="126" spans="1:2" x14ac:dyDescent="0.25">
      <c r="A126" s="11">
        <v>41518</v>
      </c>
      <c r="B126">
        <v>105.03</v>
      </c>
    </row>
    <row r="127" spans="1:2" x14ac:dyDescent="0.25">
      <c r="A127" s="11">
        <v>41548</v>
      </c>
      <c r="B127">
        <v>105.2</v>
      </c>
    </row>
    <row r="128" spans="1:2" x14ac:dyDescent="0.25">
      <c r="A128" s="11">
        <v>41579</v>
      </c>
      <c r="B128">
        <v>105.38</v>
      </c>
    </row>
    <row r="129" spans="1:2" x14ac:dyDescent="0.25">
      <c r="A129" s="11">
        <v>41609</v>
      </c>
      <c r="B129">
        <v>105.55</v>
      </c>
    </row>
    <row r="130" spans="1:2" x14ac:dyDescent="0.25">
      <c r="A130" s="11">
        <v>41640</v>
      </c>
      <c r="B130">
        <v>106.24</v>
      </c>
    </row>
    <row r="131" spans="1:2" x14ac:dyDescent="0.25">
      <c r="A131" s="11">
        <v>41671</v>
      </c>
      <c r="B131">
        <v>106.93</v>
      </c>
    </row>
    <row r="132" spans="1:2" x14ac:dyDescent="0.25">
      <c r="A132" s="11">
        <v>41699</v>
      </c>
      <c r="B132">
        <v>107.63</v>
      </c>
    </row>
    <row r="133" spans="1:2" x14ac:dyDescent="0.25">
      <c r="A133" s="11">
        <v>41730</v>
      </c>
      <c r="B133">
        <v>108.51</v>
      </c>
    </row>
    <row r="134" spans="1:2" x14ac:dyDescent="0.25">
      <c r="A134" s="11">
        <v>41760</v>
      </c>
      <c r="B134">
        <v>109.39</v>
      </c>
    </row>
    <row r="135" spans="1:2" x14ac:dyDescent="0.25">
      <c r="A135" s="11">
        <v>41791</v>
      </c>
      <c r="B135">
        <v>110.28</v>
      </c>
    </row>
    <row r="136" spans="1:2" x14ac:dyDescent="0.25">
      <c r="A136" s="11">
        <v>41821</v>
      </c>
      <c r="B136">
        <v>110.37</v>
      </c>
    </row>
    <row r="137" spans="1:2" x14ac:dyDescent="0.25">
      <c r="A137" s="11">
        <v>41852</v>
      </c>
      <c r="B137">
        <v>110.47</v>
      </c>
    </row>
    <row r="138" spans="1:2" x14ac:dyDescent="0.25">
      <c r="A138" s="11">
        <v>41883</v>
      </c>
      <c r="B138">
        <v>110.56</v>
      </c>
    </row>
    <row r="139" spans="1:2" x14ac:dyDescent="0.25">
      <c r="A139" s="11">
        <v>41913</v>
      </c>
      <c r="B139">
        <v>110.58</v>
      </c>
    </row>
    <row r="140" spans="1:2" x14ac:dyDescent="0.25">
      <c r="A140" s="11">
        <v>41944</v>
      </c>
      <c r="B140">
        <v>110.61</v>
      </c>
    </row>
    <row r="141" spans="1:2" x14ac:dyDescent="0.25">
      <c r="A141" s="11">
        <v>41974</v>
      </c>
      <c r="B141">
        <v>110.63</v>
      </c>
    </row>
    <row r="142" spans="1:2" x14ac:dyDescent="0.25">
      <c r="A142" s="11">
        <v>42005</v>
      </c>
      <c r="B142">
        <v>110.78</v>
      </c>
    </row>
    <row r="143" spans="1:2" x14ac:dyDescent="0.25">
      <c r="A143" s="11">
        <v>42036</v>
      </c>
      <c r="B143">
        <v>110.93</v>
      </c>
    </row>
    <row r="144" spans="1:2" x14ac:dyDescent="0.25">
      <c r="A144" s="11">
        <v>42064</v>
      </c>
      <c r="B144">
        <v>111.08</v>
      </c>
    </row>
    <row r="145" spans="1:2" x14ac:dyDescent="0.25">
      <c r="A145" s="11">
        <v>42095</v>
      </c>
      <c r="B145">
        <v>111.22</v>
      </c>
    </row>
    <row r="146" spans="1:2" x14ac:dyDescent="0.25">
      <c r="A146" s="11">
        <v>42125</v>
      </c>
      <c r="B146">
        <v>111.36</v>
      </c>
    </row>
    <row r="147" spans="1:2" x14ac:dyDescent="0.25">
      <c r="A147" s="11">
        <v>42156</v>
      </c>
      <c r="B147">
        <v>111.49</v>
      </c>
    </row>
    <row r="148" spans="1:2" x14ac:dyDescent="0.25">
      <c r="A148" s="11">
        <v>42186</v>
      </c>
      <c r="B148">
        <v>111.53</v>
      </c>
    </row>
    <row r="149" spans="1:2" x14ac:dyDescent="0.25">
      <c r="A149" s="11">
        <v>42217</v>
      </c>
      <c r="B149">
        <v>111.56</v>
      </c>
    </row>
    <row r="150" spans="1:2" x14ac:dyDescent="0.25">
      <c r="A150" s="11">
        <v>42248</v>
      </c>
      <c r="B150">
        <v>111.6</v>
      </c>
    </row>
    <row r="151" spans="1:2" x14ac:dyDescent="0.25">
      <c r="A151" s="11">
        <v>42278</v>
      </c>
      <c r="B151">
        <v>111.52</v>
      </c>
    </row>
    <row r="152" spans="1:2" x14ac:dyDescent="0.25">
      <c r="A152" s="11">
        <v>42309</v>
      </c>
      <c r="B152">
        <v>111.45</v>
      </c>
    </row>
    <row r="153" spans="1:2" x14ac:dyDescent="0.25">
      <c r="A153" s="11">
        <v>42339</v>
      </c>
      <c r="B153">
        <v>111.37</v>
      </c>
    </row>
    <row r="154" spans="1:2" x14ac:dyDescent="0.25">
      <c r="A154" s="12">
        <v>42370</v>
      </c>
      <c r="B154" s="13">
        <v>111.31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MBA</vt:lpstr>
      <vt:lpstr>Cello</vt:lpstr>
      <vt:lpstr>HPA2Yr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 Chaudhary</dc:creator>
  <cp:lastModifiedBy>Lien Chen</cp:lastModifiedBy>
  <dcterms:created xsi:type="dcterms:W3CDTF">2016-05-20T17:30:31Z</dcterms:created>
  <dcterms:modified xsi:type="dcterms:W3CDTF">2016-06-13T15:26:27Z</dcterms:modified>
</cp:coreProperties>
</file>