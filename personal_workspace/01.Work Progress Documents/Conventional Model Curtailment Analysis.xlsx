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4275" windowHeight="18420" activeTab="4"/>
  </bookViews>
  <sheets>
    <sheet name="Decay" sheetId="1" r:id="rId1"/>
    <sheet name="TotalTracking" sheetId="2" r:id="rId2"/>
    <sheet name="Curtail_wala" sheetId="3" r:id="rId3"/>
    <sheet name="Curtail_FullPayoff" sheetId="4" r:id="rId4"/>
    <sheet name="Pool Info" sheetId="5" r:id="rId5"/>
  </sheets>
  <externalReferences>
    <externalReference r:id="rId6"/>
  </externalReferences>
  <calcPr calcId="145621"/>
</workbook>
</file>

<file path=xl/calcChain.xml><?xml version="1.0" encoding="utf-8"?>
<calcChain xmlns="http://schemas.openxmlformats.org/spreadsheetml/2006/main">
  <c r="AG379" i="2" l="1"/>
  <c r="AE3" i="2" l="1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2" i="2"/>
  <c r="AC3" i="2"/>
  <c r="AD3" i="2"/>
  <c r="AC4" i="2"/>
  <c r="AD4" i="2"/>
  <c r="AC5" i="2"/>
  <c r="AD5" i="2"/>
  <c r="AC6" i="2"/>
  <c r="AD6" i="2"/>
  <c r="AC7" i="2"/>
  <c r="AD7" i="2"/>
  <c r="AC8" i="2"/>
  <c r="AD8" i="2"/>
  <c r="AC9" i="2"/>
  <c r="AD9" i="2"/>
  <c r="AC10" i="2"/>
  <c r="AD10" i="2"/>
  <c r="AC11" i="2"/>
  <c r="AD11" i="2"/>
  <c r="AC12" i="2"/>
  <c r="AD12" i="2"/>
  <c r="AC13" i="2"/>
  <c r="AD13" i="2"/>
  <c r="AC14" i="2"/>
  <c r="AD14" i="2"/>
  <c r="AC15" i="2"/>
  <c r="AD15" i="2"/>
  <c r="AC16" i="2"/>
  <c r="AD16" i="2"/>
  <c r="AC17" i="2"/>
  <c r="AD17" i="2"/>
  <c r="AC18" i="2"/>
  <c r="AD18" i="2"/>
  <c r="AC19" i="2"/>
  <c r="AD19" i="2"/>
  <c r="AC20" i="2"/>
  <c r="AD20" i="2"/>
  <c r="AC21" i="2"/>
  <c r="AD21" i="2"/>
  <c r="AC22" i="2"/>
  <c r="AD22" i="2"/>
  <c r="AC23" i="2"/>
  <c r="AD23" i="2"/>
  <c r="AC24" i="2"/>
  <c r="AD24" i="2"/>
  <c r="AC25" i="2"/>
  <c r="AD25" i="2"/>
  <c r="AC26" i="2"/>
  <c r="AD26" i="2"/>
  <c r="AC27" i="2"/>
  <c r="AD27" i="2"/>
  <c r="AC28" i="2"/>
  <c r="AD28" i="2"/>
  <c r="AC29" i="2"/>
  <c r="AD29" i="2"/>
  <c r="AC30" i="2"/>
  <c r="AD30" i="2"/>
  <c r="AC31" i="2"/>
  <c r="AD31" i="2"/>
  <c r="AC32" i="2"/>
  <c r="AD32" i="2"/>
  <c r="AC33" i="2"/>
  <c r="AD33" i="2"/>
  <c r="AC34" i="2"/>
  <c r="AD34" i="2"/>
  <c r="AC35" i="2"/>
  <c r="AD35" i="2"/>
  <c r="AC36" i="2"/>
  <c r="AD36" i="2"/>
  <c r="AC37" i="2"/>
  <c r="AD37" i="2"/>
  <c r="AC38" i="2"/>
  <c r="AD38" i="2"/>
  <c r="AC39" i="2"/>
  <c r="AD39" i="2"/>
  <c r="AC40" i="2"/>
  <c r="AD40" i="2"/>
  <c r="AC41" i="2"/>
  <c r="AD41" i="2"/>
  <c r="AC42" i="2"/>
  <c r="AD42" i="2"/>
  <c r="AC43" i="2"/>
  <c r="AD43" i="2"/>
  <c r="AC44" i="2"/>
  <c r="AD44" i="2"/>
  <c r="AC45" i="2"/>
  <c r="AD45" i="2"/>
  <c r="AC46" i="2"/>
  <c r="AD46" i="2"/>
  <c r="AC47" i="2"/>
  <c r="AD47" i="2"/>
  <c r="AC48" i="2"/>
  <c r="AD48" i="2"/>
  <c r="AC49" i="2"/>
  <c r="AD49" i="2"/>
  <c r="AC50" i="2"/>
  <c r="AD50" i="2"/>
  <c r="AC51" i="2"/>
  <c r="AD51" i="2"/>
  <c r="AC52" i="2"/>
  <c r="AD52" i="2"/>
  <c r="AC53" i="2"/>
  <c r="AD53" i="2"/>
  <c r="AC54" i="2"/>
  <c r="AD54" i="2"/>
  <c r="AC55" i="2"/>
  <c r="AD55" i="2"/>
  <c r="AC56" i="2"/>
  <c r="AD56" i="2"/>
  <c r="AC57" i="2"/>
  <c r="AD57" i="2"/>
  <c r="AC58" i="2"/>
  <c r="AD58" i="2"/>
  <c r="AC59" i="2"/>
  <c r="AD59" i="2"/>
  <c r="AC60" i="2"/>
  <c r="AD60" i="2"/>
  <c r="AC61" i="2"/>
  <c r="AD61" i="2"/>
  <c r="AC62" i="2"/>
  <c r="AD62" i="2"/>
  <c r="AC63" i="2"/>
  <c r="AD63" i="2"/>
  <c r="AC64" i="2"/>
  <c r="AD64" i="2"/>
  <c r="AC65" i="2"/>
  <c r="AD65" i="2"/>
  <c r="AC66" i="2"/>
  <c r="AD66" i="2"/>
  <c r="AC67" i="2"/>
  <c r="AD67" i="2"/>
  <c r="AC68" i="2"/>
  <c r="AD68" i="2"/>
  <c r="AC69" i="2"/>
  <c r="AD69" i="2"/>
  <c r="AC70" i="2"/>
  <c r="AD70" i="2"/>
  <c r="AC71" i="2"/>
  <c r="AD71" i="2"/>
  <c r="AC72" i="2"/>
  <c r="AD72" i="2"/>
  <c r="AC73" i="2"/>
  <c r="AD73" i="2"/>
  <c r="AC74" i="2"/>
  <c r="AD74" i="2"/>
  <c r="AC75" i="2"/>
  <c r="AD75" i="2"/>
  <c r="AC76" i="2"/>
  <c r="AD76" i="2"/>
  <c r="AC77" i="2"/>
  <c r="AD77" i="2"/>
  <c r="AC78" i="2"/>
  <c r="AD78" i="2"/>
  <c r="AC79" i="2"/>
  <c r="AD79" i="2"/>
  <c r="AC80" i="2"/>
  <c r="AD80" i="2"/>
  <c r="AC81" i="2"/>
  <c r="AD81" i="2"/>
  <c r="AC82" i="2"/>
  <c r="AD82" i="2"/>
  <c r="AC83" i="2"/>
  <c r="AD83" i="2"/>
  <c r="AC84" i="2"/>
  <c r="AD84" i="2"/>
  <c r="AC85" i="2"/>
  <c r="AD85" i="2"/>
  <c r="AC86" i="2"/>
  <c r="AD86" i="2"/>
  <c r="AC87" i="2"/>
  <c r="AD87" i="2"/>
  <c r="AC88" i="2"/>
  <c r="AD88" i="2"/>
  <c r="AC89" i="2"/>
  <c r="AD89" i="2"/>
  <c r="AC90" i="2"/>
  <c r="AD90" i="2"/>
  <c r="AC91" i="2"/>
  <c r="AD91" i="2"/>
  <c r="AC92" i="2"/>
  <c r="AD92" i="2"/>
  <c r="AC93" i="2"/>
  <c r="AD93" i="2"/>
  <c r="AC94" i="2"/>
  <c r="AD94" i="2"/>
  <c r="AC95" i="2"/>
  <c r="AD95" i="2"/>
  <c r="AC96" i="2"/>
  <c r="AD96" i="2"/>
  <c r="AC97" i="2"/>
  <c r="AD97" i="2"/>
  <c r="AC98" i="2"/>
  <c r="AD98" i="2"/>
  <c r="AC99" i="2"/>
  <c r="AD99" i="2"/>
  <c r="AC100" i="2"/>
  <c r="AD100" i="2"/>
  <c r="AC101" i="2"/>
  <c r="AD101" i="2"/>
  <c r="AC102" i="2"/>
  <c r="AD102" i="2"/>
  <c r="AC103" i="2"/>
  <c r="AD103" i="2"/>
  <c r="AC104" i="2"/>
  <c r="AD104" i="2"/>
  <c r="AC105" i="2"/>
  <c r="AD105" i="2"/>
  <c r="AC106" i="2"/>
  <c r="AD106" i="2"/>
  <c r="AC107" i="2"/>
  <c r="AD107" i="2"/>
  <c r="AC108" i="2"/>
  <c r="AD108" i="2"/>
  <c r="AC109" i="2"/>
  <c r="AD109" i="2"/>
  <c r="AC110" i="2"/>
  <c r="AD110" i="2"/>
  <c r="AC111" i="2"/>
  <c r="AD111" i="2"/>
  <c r="AC112" i="2"/>
  <c r="AD112" i="2"/>
  <c r="AC113" i="2"/>
  <c r="AD113" i="2"/>
  <c r="AC114" i="2"/>
  <c r="AD114" i="2"/>
  <c r="AC115" i="2"/>
  <c r="AD115" i="2"/>
  <c r="AC116" i="2"/>
  <c r="AD116" i="2"/>
  <c r="AC117" i="2"/>
  <c r="AD117" i="2"/>
  <c r="AC118" i="2"/>
  <c r="AD118" i="2"/>
  <c r="AC119" i="2"/>
  <c r="AD119" i="2"/>
  <c r="AC120" i="2"/>
  <c r="AD120" i="2"/>
  <c r="AC121" i="2"/>
  <c r="AD121" i="2"/>
  <c r="AC122" i="2"/>
  <c r="AD122" i="2"/>
  <c r="AC123" i="2"/>
  <c r="AD123" i="2"/>
  <c r="AC124" i="2"/>
  <c r="AD124" i="2"/>
  <c r="AC125" i="2"/>
  <c r="AD125" i="2"/>
  <c r="AC126" i="2"/>
  <c r="AD126" i="2"/>
  <c r="AC127" i="2"/>
  <c r="AD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C226" i="2"/>
  <c r="AD226" i="2"/>
  <c r="AC227" i="2"/>
  <c r="AD227" i="2"/>
  <c r="AC228" i="2"/>
  <c r="AD228" i="2"/>
  <c r="AC229" i="2"/>
  <c r="AD229" i="2"/>
  <c r="AC230" i="2"/>
  <c r="AD230" i="2"/>
  <c r="AC231" i="2"/>
  <c r="AD231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C243" i="2"/>
  <c r="AD243" i="2"/>
  <c r="AC244" i="2"/>
  <c r="AD244" i="2"/>
  <c r="AC245" i="2"/>
  <c r="AD245" i="2"/>
  <c r="AC246" i="2"/>
  <c r="AD246" i="2"/>
  <c r="AC247" i="2"/>
  <c r="AD247" i="2"/>
  <c r="AC248" i="2"/>
  <c r="AD248" i="2"/>
  <c r="AC249" i="2"/>
  <c r="AD249" i="2"/>
  <c r="AC250" i="2"/>
  <c r="AD250" i="2"/>
  <c r="AC251" i="2"/>
  <c r="AD251" i="2"/>
  <c r="AC252" i="2"/>
  <c r="AD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C276" i="2"/>
  <c r="AD276" i="2"/>
  <c r="AC277" i="2"/>
  <c r="AD277" i="2"/>
  <c r="AC278" i="2"/>
  <c r="AD278" i="2"/>
  <c r="AC279" i="2"/>
  <c r="AD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87" i="2"/>
  <c r="AD287" i="2"/>
  <c r="AC288" i="2"/>
  <c r="AD288" i="2"/>
  <c r="AC289" i="2"/>
  <c r="AD289" i="2"/>
  <c r="AC290" i="2"/>
  <c r="AD290" i="2"/>
  <c r="AC291" i="2"/>
  <c r="AD291" i="2"/>
  <c r="AC292" i="2"/>
  <c r="AD292" i="2"/>
  <c r="AC293" i="2"/>
  <c r="AD293" i="2"/>
  <c r="AC294" i="2"/>
  <c r="AD294" i="2"/>
  <c r="AC295" i="2"/>
  <c r="AD295" i="2"/>
  <c r="AC296" i="2"/>
  <c r="AD296" i="2"/>
  <c r="AC297" i="2"/>
  <c r="AD297" i="2"/>
  <c r="AC298" i="2"/>
  <c r="AD298" i="2"/>
  <c r="AC299" i="2"/>
  <c r="AD299" i="2"/>
  <c r="AC300" i="2"/>
  <c r="AD300" i="2"/>
  <c r="AC301" i="2"/>
  <c r="AD301" i="2"/>
  <c r="AC302" i="2"/>
  <c r="AD302" i="2"/>
  <c r="AC303" i="2"/>
  <c r="AD303" i="2"/>
  <c r="AC304" i="2"/>
  <c r="AD304" i="2"/>
  <c r="AC305" i="2"/>
  <c r="AD305" i="2"/>
  <c r="AC306" i="2"/>
  <c r="AD306" i="2"/>
  <c r="AC307" i="2"/>
  <c r="AD307" i="2"/>
  <c r="AC308" i="2"/>
  <c r="AD308" i="2"/>
  <c r="AC309" i="2"/>
  <c r="AD309" i="2"/>
  <c r="AC310" i="2"/>
  <c r="AD310" i="2"/>
  <c r="AC311" i="2"/>
  <c r="AD311" i="2"/>
  <c r="AD2" i="2"/>
  <c r="AC2" i="2"/>
  <c r="F1" i="1"/>
  <c r="G1" i="1"/>
  <c r="H1" i="1"/>
  <c r="I1" i="1"/>
  <c r="J1" i="1"/>
  <c r="K1" i="1"/>
  <c r="L1" i="1"/>
  <c r="I2" i="1"/>
  <c r="K4" i="1"/>
  <c r="I8" i="1"/>
  <c r="I10" i="1"/>
  <c r="J10" i="1"/>
  <c r="L13" i="1"/>
  <c r="I16" i="1"/>
  <c r="J17" i="1"/>
  <c r="E3" i="1"/>
  <c r="E14" i="1"/>
  <c r="AC2" i="1"/>
  <c r="L7" i="1" s="1"/>
  <c r="AB2" i="1"/>
  <c r="AA2" i="1"/>
  <c r="Z2" i="1"/>
  <c r="Y2" i="1"/>
  <c r="X2" i="1"/>
  <c r="W2" i="1"/>
  <c r="V2" i="1"/>
  <c r="U2" i="1"/>
  <c r="K6" i="1" s="1"/>
  <c r="T2" i="1"/>
  <c r="J5" i="1" s="1"/>
  <c r="S2" i="1"/>
  <c r="I4" i="1" s="1"/>
  <c r="R2" i="1"/>
  <c r="H3" i="1" s="1"/>
  <c r="Q2" i="1"/>
  <c r="G2" i="1" s="1"/>
  <c r="P2" i="1"/>
  <c r="F9" i="1" s="1"/>
  <c r="O2" i="1"/>
  <c r="E4" i="1" s="1"/>
  <c r="G14" i="1" l="1"/>
  <c r="E16" i="1"/>
  <c r="E6" i="1"/>
  <c r="H15" i="1"/>
  <c r="G11" i="1"/>
  <c r="G6" i="1"/>
  <c r="E15" i="1"/>
  <c r="E5" i="1"/>
  <c r="J14" i="1"/>
  <c r="K10" i="1"/>
  <c r="L5" i="1"/>
  <c r="E13" i="1"/>
  <c r="J4" i="1"/>
  <c r="E11" i="1"/>
  <c r="G17" i="1"/>
  <c r="K12" i="1"/>
  <c r="J9" i="1"/>
  <c r="L3" i="1"/>
  <c r="E10" i="1"/>
  <c r="J12" i="1"/>
  <c r="J3" i="1"/>
  <c r="E8" i="1"/>
  <c r="G16" i="1"/>
  <c r="L11" i="1"/>
  <c r="G8" i="1"/>
  <c r="G3" i="1"/>
  <c r="E2" i="1"/>
  <c r="E7" i="1"/>
  <c r="J15" i="1"/>
  <c r="J11" i="1"/>
  <c r="J6" i="1"/>
  <c r="K2" i="1"/>
  <c r="L16" i="1"/>
  <c r="K15" i="1"/>
  <c r="L8" i="1"/>
  <c r="K7" i="1"/>
  <c r="I5" i="1"/>
  <c r="H13" i="1"/>
  <c r="G12" i="1"/>
  <c r="L9" i="1"/>
  <c r="K8" i="1"/>
  <c r="J7" i="1"/>
  <c r="I6" i="1"/>
  <c r="H5" i="1"/>
  <c r="G4" i="1"/>
  <c r="F3" i="1"/>
  <c r="H17" i="1"/>
  <c r="I13" i="1"/>
  <c r="H12" i="1"/>
  <c r="F10" i="1"/>
  <c r="H4" i="1"/>
  <c r="F2" i="1"/>
  <c r="L17" i="1"/>
  <c r="K16" i="1"/>
  <c r="I14" i="1"/>
  <c r="F11" i="1"/>
  <c r="E17" i="1"/>
  <c r="E9" i="1"/>
  <c r="K17" i="1"/>
  <c r="J16" i="1"/>
  <c r="I15" i="1"/>
  <c r="H14" i="1"/>
  <c r="G13" i="1"/>
  <c r="F12" i="1"/>
  <c r="L10" i="1"/>
  <c r="K9" i="1"/>
  <c r="J8" i="1"/>
  <c r="I7" i="1"/>
  <c r="H6" i="1"/>
  <c r="G5" i="1"/>
  <c r="F4" i="1"/>
  <c r="L2" i="1"/>
  <c r="F13" i="1"/>
  <c r="H7" i="1"/>
  <c r="F5" i="1"/>
  <c r="I17" i="1"/>
  <c r="H16" i="1"/>
  <c r="G15" i="1"/>
  <c r="F14" i="1"/>
  <c r="L12" i="1"/>
  <c r="K11" i="1"/>
  <c r="I9" i="1"/>
  <c r="H8" i="1"/>
  <c r="G7" i="1"/>
  <c r="F6" i="1"/>
  <c r="L4" i="1"/>
  <c r="K3" i="1"/>
  <c r="J2" i="1"/>
  <c r="F15" i="1"/>
  <c r="H9" i="1"/>
  <c r="F7" i="1"/>
  <c r="F16" i="1"/>
  <c r="L14" i="1"/>
  <c r="K13" i="1"/>
  <c r="I11" i="1"/>
  <c r="H10" i="1"/>
  <c r="G9" i="1"/>
  <c r="F8" i="1"/>
  <c r="L6" i="1"/>
  <c r="K5" i="1"/>
  <c r="I3" i="1"/>
  <c r="H2" i="1"/>
  <c r="E12" i="1"/>
  <c r="F17" i="1"/>
  <c r="L15" i="1"/>
  <c r="K14" i="1"/>
  <c r="J13" i="1"/>
  <c r="I12" i="1"/>
  <c r="H11" i="1"/>
  <c r="G10" i="1"/>
</calcChain>
</file>

<file path=xl/sharedStrings.xml><?xml version="1.0" encoding="utf-8"?>
<sst xmlns="http://schemas.openxmlformats.org/spreadsheetml/2006/main" count="440" uniqueCount="406">
  <si>
    <t>fico.k</t>
  </si>
  <si>
    <t>fico.avg</t>
  </si>
  <si>
    <t>fico.max.mult</t>
  </si>
  <si>
    <t>fico.min.mult</t>
  </si>
  <si>
    <t>Decay</t>
  </si>
  <si>
    <t>Wala</t>
  </si>
  <si>
    <t>Year 1</t>
  </si>
  <si>
    <t>Scham Balance(mm)</t>
  </si>
  <si>
    <t>Loan Count</t>
  </si>
  <si>
    <t>Model [301] CPR</t>
  </si>
  <si>
    <t>Model CPR Curtail</t>
  </si>
  <si>
    <t>Model CPR Default</t>
  </si>
  <si>
    <t>Model Turnover</t>
  </si>
  <si>
    <t>Model Refinance</t>
  </si>
  <si>
    <t>Model Scham Balance(mm)</t>
  </si>
  <si>
    <t>CPR</t>
  </si>
  <si>
    <t>Model CPR</t>
  </si>
  <si>
    <t>Actual CPR</t>
  </si>
  <si>
    <t>Diff</t>
  </si>
  <si>
    <t>loan_curtail</t>
  </si>
  <si>
    <t>pool_cpr</t>
  </si>
  <si>
    <t>v1</t>
  </si>
  <si>
    <t>v2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</si>
  <si>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</si>
  <si>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</si>
  <si>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</si>
  <si>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</si>
  <si>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</si>
  <si>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</si>
  <si>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</si>
  <si>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</si>
  <si>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</si>
  <si>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</si>
  <si>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</si>
  <si>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</si>
  <si>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</si>
  <si>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</si>
  <si>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</si>
  <si>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</si>
  <si>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</si>
  <si>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</si>
  <si>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</si>
  <si>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</si>
  <si>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</si>
  <si>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</si>
  <si>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</si>
  <si>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</si>
  <si>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</si>
  <si>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</si>
  <si>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</si>
  <si>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</si>
  <si>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</si>
  <si>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</si>
  <si>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</si>
  <si>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</si>
  <si>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</si>
  <si>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</si>
  <si>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</si>
  <si>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</si>
  <si>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</si>
  <si>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</si>
  <si>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</si>
  <si>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</si>
  <si>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</si>
  <si>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</si>
  <si>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</si>
  <si>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</si>
  <si>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</si>
  <si>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</si>
  <si>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</si>
  <si>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</si>
  <si>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</si>
  <si>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</si>
  <si>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</si>
  <si>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</si>
  <si>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</si>
  <si>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</si>
  <si>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</si>
  <si>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</si>
  <si>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</si>
  <si>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</si>
  <si>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</si>
  <si>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</si>
  <si>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</si>
  <si>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</si>
  <si>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</si>
  <si>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</si>
  <si>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</si>
  <si>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</si>
  <si>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</si>
  <si>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</si>
  <si>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</si>
  <si>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</si>
  <si>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</si>
  <si>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</si>
  <si>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</si>
  <si>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</si>
  <si>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</si>
  <si>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</si>
  <si>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</si>
  <si>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</si>
  <si>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[79,]</t>
  </si>
  <si>
    <t>[80,]</t>
  </si>
  <si>
    <t>[81,]</t>
  </si>
  <si>
    <t>[82,]</t>
  </si>
  <si>
    <t>[83,]</t>
  </si>
  <si>
    <t>[84,]</t>
  </si>
  <si>
    <t>[85,]</t>
  </si>
  <si>
    <t>[86,]</t>
  </si>
  <si>
    <t>[87,]</t>
  </si>
  <si>
    <t>[88,]</t>
  </si>
  <si>
    <t>[89,]</t>
  </si>
  <si>
    <t>[90,]</t>
  </si>
  <si>
    <t>[91,]</t>
  </si>
  <si>
    <t>[92,]</t>
  </si>
  <si>
    <t>[93,]</t>
  </si>
  <si>
    <t>[94,]</t>
  </si>
  <si>
    <t>[95,]</t>
  </si>
  <si>
    <t>[96,]</t>
  </si>
  <si>
    <t>[97,]</t>
  </si>
  <si>
    <t>[98,]</t>
  </si>
  <si>
    <t>[99,]</t>
  </si>
  <si>
    <t>[100,]</t>
  </si>
  <si>
    <t>[101,]</t>
  </si>
  <si>
    <t>[102,]</t>
  </si>
  <si>
    <t>[103,]</t>
  </si>
  <si>
    <t>[104,]</t>
  </si>
  <si>
    <t>[105,]</t>
  </si>
  <si>
    <t>[106,]</t>
  </si>
  <si>
    <t>[107,]</t>
  </si>
  <si>
    <t>[108,]</t>
  </si>
  <si>
    <t>[109,]</t>
  </si>
  <si>
    <t>[110,]</t>
  </si>
  <si>
    <t>[111,]</t>
  </si>
  <si>
    <t>[112,]</t>
  </si>
  <si>
    <t>[113,]</t>
  </si>
  <si>
    <t>[114,]</t>
  </si>
  <si>
    <t>[115,]</t>
  </si>
  <si>
    <t>[116,]</t>
  </si>
  <si>
    <t>[117,]</t>
  </si>
  <si>
    <t>[118,]</t>
  </si>
  <si>
    <t>[119,]</t>
  </si>
  <si>
    <t>[120,]</t>
  </si>
  <si>
    <t>[121,]</t>
  </si>
  <si>
    <t>[122,]</t>
  </si>
  <si>
    <t>[123,]</t>
  </si>
  <si>
    <t>[124,]</t>
  </si>
  <si>
    <t>[125,]</t>
  </si>
  <si>
    <t>[126,]</t>
  </si>
  <si>
    <t>[127,]</t>
  </si>
  <si>
    <t>[128,]</t>
  </si>
  <si>
    <t>[129,]</t>
  </si>
  <si>
    <t>[130,]</t>
  </si>
  <si>
    <t>[131,]</t>
  </si>
  <si>
    <t>[132,]</t>
  </si>
  <si>
    <t>[133,]</t>
  </si>
  <si>
    <t>[134,]</t>
  </si>
  <si>
    <t>[135,]</t>
  </si>
  <si>
    <t>[136,]</t>
  </si>
  <si>
    <t>[137,]</t>
  </si>
  <si>
    <t>[138,]</t>
  </si>
  <si>
    <t>[139,]</t>
  </si>
  <si>
    <t>[140,]</t>
  </si>
  <si>
    <t>[141,]</t>
  </si>
  <si>
    <t>[142,]</t>
  </si>
  <si>
    <t>[143,]</t>
  </si>
  <si>
    <t>[144,]</t>
  </si>
  <si>
    <t>[145,]</t>
  </si>
  <si>
    <t>[146,]</t>
  </si>
  <si>
    <t>[147,]</t>
  </si>
  <si>
    <t>[148,]</t>
  </si>
  <si>
    <t>[149,]</t>
  </si>
  <si>
    <t>[150,]</t>
  </si>
  <si>
    <t>[151,]</t>
  </si>
  <si>
    <t>[152,]</t>
  </si>
  <si>
    <t>[153,]</t>
  </si>
  <si>
    <t>[154,]</t>
  </si>
  <si>
    <t>[155,]</t>
  </si>
  <si>
    <t>[156,]</t>
  </si>
  <si>
    <t>[157,]</t>
  </si>
  <si>
    <t>[158,]</t>
  </si>
  <si>
    <t>[159,]</t>
  </si>
  <si>
    <t>[160,]</t>
  </si>
  <si>
    <t>[161,]</t>
  </si>
  <si>
    <t>[162,]</t>
  </si>
  <si>
    <t>[163,]</t>
  </si>
  <si>
    <t>[164,]</t>
  </si>
  <si>
    <t>[165,]</t>
  </si>
  <si>
    <t>[166,]</t>
  </si>
  <si>
    <t>[167,]</t>
  </si>
  <si>
    <t>[168,]</t>
  </si>
  <si>
    <t>[169,]</t>
  </si>
  <si>
    <t>[170,]</t>
  </si>
  <si>
    <t>[171,]</t>
  </si>
  <si>
    <t>[172,]</t>
  </si>
  <si>
    <t>[173,]</t>
  </si>
  <si>
    <t>[174,]</t>
  </si>
  <si>
    <t>[175,]</t>
  </si>
  <si>
    <t>[176,]</t>
  </si>
  <si>
    <t>[177,]</t>
  </si>
  <si>
    <t>[178,]</t>
  </si>
  <si>
    <t>[179,]</t>
  </si>
  <si>
    <t>[180,]</t>
  </si>
  <si>
    <t>[181,]</t>
  </si>
  <si>
    <t>[182,]</t>
  </si>
  <si>
    <t>[183,]</t>
  </si>
  <si>
    <t>[184,]</t>
  </si>
  <si>
    <t>[185,]</t>
  </si>
  <si>
    <t>[186,]</t>
  </si>
  <si>
    <t>[187,]</t>
  </si>
  <si>
    <t>[188,]</t>
  </si>
  <si>
    <t>[189,]</t>
  </si>
  <si>
    <t>[190,]</t>
  </si>
  <si>
    <t>[191,]</t>
  </si>
  <si>
    <t>[192,]</t>
  </si>
  <si>
    <t>[193,]</t>
  </si>
  <si>
    <t>[194,]</t>
  </si>
  <si>
    <t>[195,]</t>
  </si>
  <si>
    <t>[196,]</t>
  </si>
  <si>
    <t>[197,]</t>
  </si>
  <si>
    <t>[198,]</t>
  </si>
  <si>
    <t>[199,]</t>
  </si>
  <si>
    <t>[200,]</t>
  </si>
  <si>
    <t>[201,]</t>
  </si>
  <si>
    <t>[202,]</t>
  </si>
  <si>
    <t>[203,]</t>
  </si>
  <si>
    <t>[204,]</t>
  </si>
  <si>
    <t>[205,]</t>
  </si>
  <si>
    <t>[206,]</t>
  </si>
  <si>
    <t>[207,]</t>
  </si>
  <si>
    <t>[208,]</t>
  </si>
  <si>
    <t>[209,]</t>
  </si>
  <si>
    <t>[210,]</t>
  </si>
  <si>
    <t>[211,]</t>
  </si>
  <si>
    <t>[212,]</t>
  </si>
  <si>
    <t>[213,]</t>
  </si>
  <si>
    <t>[214,]</t>
  </si>
  <si>
    <t>[215,]</t>
  </si>
  <si>
    <t>[216,]</t>
  </si>
  <si>
    <t>[217,]</t>
  </si>
  <si>
    <t>[218,]</t>
  </si>
  <si>
    <t>[219,]</t>
  </si>
  <si>
    <t>[220,]</t>
  </si>
  <si>
    <t>[221,]</t>
  </si>
  <si>
    <t>[222,]</t>
  </si>
  <si>
    <t>[223,]</t>
  </si>
  <si>
    <t>[224,]</t>
  </si>
  <si>
    <t>[225,]</t>
  </si>
  <si>
    <t>[226,]</t>
  </si>
  <si>
    <t>[227,]</t>
  </si>
  <si>
    <t>[228,]</t>
  </si>
  <si>
    <t>[229,]</t>
  </si>
  <si>
    <t>[230,]</t>
  </si>
  <si>
    <t>[231,]</t>
  </si>
  <si>
    <t>[232,]</t>
  </si>
  <si>
    <t>[233,]</t>
  </si>
  <si>
    <t>[234,]</t>
  </si>
  <si>
    <t>[235,]</t>
  </si>
  <si>
    <t>[236,]</t>
  </si>
  <si>
    <t>[237,]</t>
  </si>
  <si>
    <t>[238,]</t>
  </si>
  <si>
    <t>[239,]</t>
  </si>
  <si>
    <t>[240,]</t>
  </si>
  <si>
    <t>[241,]</t>
  </si>
  <si>
    <t>[242,]</t>
  </si>
  <si>
    <t>[243,]</t>
  </si>
  <si>
    <t>[244,]</t>
  </si>
  <si>
    <t>[245,]</t>
  </si>
  <si>
    <t>[246,]</t>
  </si>
  <si>
    <t>[247,]</t>
  </si>
  <si>
    <t>[248,]</t>
  </si>
  <si>
    <t>[249,]</t>
  </si>
  <si>
    <t>[250,]</t>
  </si>
  <si>
    <t>[251,]</t>
  </si>
  <si>
    <t>[252,]</t>
  </si>
  <si>
    <t>[253,]</t>
  </si>
  <si>
    <t>[254,]</t>
  </si>
  <si>
    <t>[255,]</t>
  </si>
  <si>
    <t>[256,]</t>
  </si>
  <si>
    <t>[257,]</t>
  </si>
  <si>
    <t>[258,]</t>
  </si>
  <si>
    <t>[259,]</t>
  </si>
  <si>
    <t>[260,]</t>
  </si>
  <si>
    <t>[261,]</t>
  </si>
  <si>
    <t>[262,]</t>
  </si>
  <si>
    <t>[263,]</t>
  </si>
  <si>
    <t>[264,]</t>
  </si>
  <si>
    <t>[265,]</t>
  </si>
  <si>
    <t>[266,]</t>
  </si>
  <si>
    <t>[267,]</t>
  </si>
  <si>
    <t>[268,]</t>
  </si>
  <si>
    <t>[269,]</t>
  </si>
  <si>
    <t>[270,]</t>
  </si>
  <si>
    <t>[271,]</t>
  </si>
  <si>
    <t>[272,]</t>
  </si>
  <si>
    <t>[273,]</t>
  </si>
  <si>
    <t>[274,]</t>
  </si>
  <si>
    <t>[275,]</t>
  </si>
  <si>
    <t>[276,]</t>
  </si>
  <si>
    <t>[277,]</t>
  </si>
  <si>
    <t>[278,]</t>
  </si>
  <si>
    <t>[279,]</t>
  </si>
  <si>
    <t>[280,]</t>
  </si>
  <si>
    <t>[281,]</t>
  </si>
  <si>
    <t>[282,]</t>
  </si>
  <si>
    <t>[283,]</t>
  </si>
  <si>
    <t>[284,]</t>
  </si>
  <si>
    <t>[285,]</t>
  </si>
  <si>
    <t>[286,]</t>
  </si>
  <si>
    <t>[287,]</t>
  </si>
  <si>
    <t>[288,]</t>
  </si>
  <si>
    <t>[289,]</t>
  </si>
  <si>
    <t>[290,]</t>
  </si>
  <si>
    <t>[291,]</t>
  </si>
  <si>
    <t>[292,]</t>
  </si>
  <si>
    <t>[293,]</t>
  </si>
  <si>
    <t>[294,]</t>
  </si>
  <si>
    <t>[295,]</t>
  </si>
  <si>
    <t>[296,]</t>
  </si>
  <si>
    <t>[297,]</t>
  </si>
  <si>
    <t>[298,]</t>
  </si>
  <si>
    <t>[299,]</t>
  </si>
  <si>
    <t>[300,]</t>
  </si>
  <si>
    <t>[301,]</t>
  </si>
  <si>
    <t>[302,]</t>
  </si>
  <si>
    <t>[303,]</t>
  </si>
  <si>
    <t>[304,]</t>
  </si>
  <si>
    <t>[305,]</t>
  </si>
  <si>
    <t>[306,]</t>
  </si>
  <si>
    <t>[307,]</t>
  </si>
  <si>
    <t>[308,]</t>
  </si>
  <si>
    <t>[309,]</t>
  </si>
  <si>
    <t>[310,]</t>
  </si>
  <si>
    <t>[311,]</t>
  </si>
  <si>
    <t>[312,]</t>
  </si>
  <si>
    <t>[313,]</t>
  </si>
  <si>
    <t>[314,]</t>
  </si>
  <si>
    <t>[315,]</t>
  </si>
  <si>
    <t>[316,]</t>
  </si>
  <si>
    <t>[317,]</t>
  </si>
  <si>
    <t>[318,]</t>
  </si>
  <si>
    <t>[319,]</t>
  </si>
  <si>
    <t>[320,]</t>
  </si>
  <si>
    <t>[321,]</t>
  </si>
  <si>
    <t>[322,]</t>
  </si>
  <si>
    <t>[323,]</t>
  </si>
  <si>
    <t>[324,]</t>
  </si>
  <si>
    <t>[325,]</t>
  </si>
  <si>
    <t>[326,]</t>
  </si>
  <si>
    <t>[327,]</t>
  </si>
  <si>
    <t>[328,]</t>
  </si>
  <si>
    <t>[329,]</t>
  </si>
  <si>
    <t>[330,]</t>
  </si>
  <si>
    <t>[331,]</t>
  </si>
  <si>
    <t>[332,]</t>
  </si>
  <si>
    <t>[333,]</t>
  </si>
  <si>
    <t>[334,]</t>
  </si>
  <si>
    <t>[335,]</t>
  </si>
  <si>
    <t>[336,]</t>
  </si>
  <si>
    <t>[337,]</t>
  </si>
  <si>
    <t>[338,]</t>
  </si>
  <si>
    <t>[339,]</t>
  </si>
  <si>
    <t>[340,]</t>
  </si>
  <si>
    <t>[341,]</t>
  </si>
  <si>
    <t>[342,]</t>
  </si>
  <si>
    <t>[343,]</t>
  </si>
  <si>
    <t>[344,]</t>
  </si>
  <si>
    <t>[345,]</t>
  </si>
  <si>
    <t>[346,]</t>
  </si>
  <si>
    <t>[347,]</t>
  </si>
  <si>
    <t>[348,]</t>
  </si>
  <si>
    <t>[349,]</t>
  </si>
  <si>
    <t>[350,]</t>
  </si>
  <si>
    <t>[351,]</t>
  </si>
  <si>
    <t>[352,]</t>
  </si>
  <si>
    <t>[353,]</t>
  </si>
  <si>
    <t>[354,]</t>
  </si>
  <si>
    <t>[355,]</t>
  </si>
  <si>
    <t>[356,]</t>
  </si>
  <si>
    <t>[357,]</t>
  </si>
  <si>
    <t>[358,]</t>
  </si>
  <si>
    <t>[359,]</t>
  </si>
  <si>
    <t>[360,]</t>
  </si>
  <si>
    <t>[361,]</t>
  </si>
  <si>
    <t>fullpayoff</t>
  </si>
  <si>
    <t>curtailment</t>
  </si>
  <si>
    <t>recType</t>
  </si>
  <si>
    <t>agency</t>
  </si>
  <si>
    <t>poolNumber</t>
  </si>
  <si>
    <t>cusip</t>
  </si>
  <si>
    <t>issueId</t>
  </si>
  <si>
    <t>asOf</t>
  </si>
  <si>
    <t>distributionType</t>
  </si>
  <si>
    <t>subType</t>
  </si>
  <si>
    <t>rpb</t>
  </si>
  <si>
    <t>percentRpb</t>
  </si>
  <si>
    <t>Loans</t>
  </si>
  <si>
    <t>fileDate</t>
  </si>
  <si>
    <t>actualAsOf</t>
  </si>
  <si>
    <t>distributionMapId</t>
  </si>
  <si>
    <t>V</t>
  </si>
  <si>
    <t>FHL</t>
  </si>
  <si>
    <t>0E003A</t>
  </si>
  <si>
    <t>3133TCE95</t>
  </si>
  <si>
    <t>DEL30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</si>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</sst>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Decay!$E$1</c:f>
              <c:strCache>
                <c:ptCount val="1"/>
                <c:pt idx="0">
                  <c:v>Year 1</c:v>
                </c:pt>
              </c:strCache>
            </c:strRef>
          </c:tx>
          <c:marker>
            <c:symbol val="none"/>
          </c:marker>
          <c:cat>
            <c:numRef>
              <c:f>Decay!$D$2:$D$17</c:f>
              <c:numCache>
                <c:formatCode>General</c:formatCode>
                <c:ptCount val="16"/>
                <c:pt idx="0">
                  <c:v>650</c:v>
                </c:pt>
                <c:pt idx="1">
                  <c:v>660</c:v>
                </c:pt>
                <c:pt idx="2">
                  <c:v>670</c:v>
                </c:pt>
                <c:pt idx="3">
                  <c:v>680</c:v>
                </c:pt>
                <c:pt idx="4">
                  <c:v>690</c:v>
                </c:pt>
                <c:pt idx="5">
                  <c:v>700</c:v>
                </c:pt>
                <c:pt idx="6">
                  <c:v>710</c:v>
                </c:pt>
                <c:pt idx="7">
                  <c:v>720</c:v>
                </c:pt>
                <c:pt idx="8">
                  <c:v>730</c:v>
                </c:pt>
                <c:pt idx="9">
                  <c:v>740</c:v>
                </c:pt>
                <c:pt idx="10">
                  <c:v>750</c:v>
                </c:pt>
                <c:pt idx="11">
                  <c:v>760</c:v>
                </c:pt>
                <c:pt idx="12">
                  <c:v>770</c:v>
                </c:pt>
                <c:pt idx="13">
                  <c:v>780</c:v>
                </c:pt>
                <c:pt idx="14">
                  <c:v>790</c:v>
                </c:pt>
                <c:pt idx="15">
                  <c:v>800</c:v>
                </c:pt>
              </c:numCache>
            </c:numRef>
          </c:cat>
          <c:val>
            <c:numRef>
              <c:f>Decay!$E$2:$E$17</c:f>
              <c:numCache>
                <c:formatCode>0.00</c:formatCode>
                <c:ptCount val="16"/>
                <c:pt idx="0">
                  <c:v>0.80180141870808441</c:v>
                </c:pt>
                <c:pt idx="1">
                  <c:v>0.80296714778796174</c:v>
                </c:pt>
                <c:pt idx="2">
                  <c:v>0.80488416525907536</c:v>
                </c:pt>
                <c:pt idx="3">
                  <c:v>0.80803142110914183</c:v>
                </c:pt>
                <c:pt idx="4">
                  <c:v>0.81318433115671185</c:v>
                </c:pt>
                <c:pt idx="5">
                  <c:v>0.82158345195450988</c:v>
                </c:pt>
                <c:pt idx="6">
                  <c:v>0.83517467690162761</c:v>
                </c:pt>
                <c:pt idx="7">
                  <c:v>0.85691104781308014</c:v>
                </c:pt>
                <c:pt idx="8">
                  <c:v>0.89102981602549236</c:v>
                </c:pt>
                <c:pt idx="9">
                  <c:v>0.94304350642654111</c:v>
                </c:pt>
                <c:pt idx="10">
                  <c:v>1.0189106285676277</c:v>
                </c:pt>
                <c:pt idx="11">
                  <c:v>1.1227297056439942</c:v>
                </c:pt>
                <c:pt idx="12">
                  <c:v>1.2530488025577746</c:v>
                </c:pt>
                <c:pt idx="13">
                  <c:v>1.4</c:v>
                </c:pt>
                <c:pt idx="14">
                  <c:v>1.5469511974422256</c:v>
                </c:pt>
                <c:pt idx="15">
                  <c:v>1.6772702943560058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Decay!$F$1</c:f>
              <c:strCache>
                <c:ptCount val="1"/>
                <c:pt idx="0">
                  <c:v>2</c:v>
                </c:pt>
              </c:strCache>
            </c:strRef>
          </c:tx>
          <c:cat>
            <c:numRef>
              <c:f>Decay!$D$2:$D$17</c:f>
              <c:numCache>
                <c:formatCode>General</c:formatCode>
                <c:ptCount val="16"/>
                <c:pt idx="0">
                  <c:v>650</c:v>
                </c:pt>
                <c:pt idx="1">
                  <c:v>660</c:v>
                </c:pt>
                <c:pt idx="2">
                  <c:v>670</c:v>
                </c:pt>
                <c:pt idx="3">
                  <c:v>680</c:v>
                </c:pt>
                <c:pt idx="4">
                  <c:v>690</c:v>
                </c:pt>
                <c:pt idx="5">
                  <c:v>700</c:v>
                </c:pt>
                <c:pt idx="6">
                  <c:v>710</c:v>
                </c:pt>
                <c:pt idx="7">
                  <c:v>720</c:v>
                </c:pt>
                <c:pt idx="8">
                  <c:v>730</c:v>
                </c:pt>
                <c:pt idx="9">
                  <c:v>740</c:v>
                </c:pt>
                <c:pt idx="10">
                  <c:v>750</c:v>
                </c:pt>
                <c:pt idx="11">
                  <c:v>760</c:v>
                </c:pt>
                <c:pt idx="12">
                  <c:v>770</c:v>
                </c:pt>
                <c:pt idx="13">
                  <c:v>780</c:v>
                </c:pt>
                <c:pt idx="14">
                  <c:v>790</c:v>
                </c:pt>
                <c:pt idx="15">
                  <c:v>800</c:v>
                </c:pt>
              </c:numCache>
            </c:numRef>
          </c:cat>
          <c:val>
            <c:numRef>
              <c:f>Decay!$F$2:$F$17</c:f>
            </c:numRef>
          </c:val>
          <c:smooth val="0"/>
        </c:ser>
        <c:ser>
          <c:idx val="2"/>
          <c:order val="2"/>
          <c:tx>
            <c:strRef>
              <c:f>Decay!$G$1</c:f>
              <c:strCache>
                <c:ptCount val="1"/>
                <c:pt idx="0">
                  <c:v>3</c:v>
                </c:pt>
              </c:strCache>
            </c:strRef>
          </c:tx>
          <c:cat>
            <c:numRef>
              <c:f>Decay!$D$2:$D$17</c:f>
              <c:numCache>
                <c:formatCode>General</c:formatCode>
                <c:ptCount val="16"/>
                <c:pt idx="0">
                  <c:v>650</c:v>
                </c:pt>
                <c:pt idx="1">
                  <c:v>660</c:v>
                </c:pt>
                <c:pt idx="2">
                  <c:v>670</c:v>
                </c:pt>
                <c:pt idx="3">
                  <c:v>680</c:v>
                </c:pt>
                <c:pt idx="4">
                  <c:v>690</c:v>
                </c:pt>
                <c:pt idx="5">
                  <c:v>700</c:v>
                </c:pt>
                <c:pt idx="6">
                  <c:v>710</c:v>
                </c:pt>
                <c:pt idx="7">
                  <c:v>720</c:v>
                </c:pt>
                <c:pt idx="8">
                  <c:v>730</c:v>
                </c:pt>
                <c:pt idx="9">
                  <c:v>740</c:v>
                </c:pt>
                <c:pt idx="10">
                  <c:v>750</c:v>
                </c:pt>
                <c:pt idx="11">
                  <c:v>760</c:v>
                </c:pt>
                <c:pt idx="12">
                  <c:v>770</c:v>
                </c:pt>
                <c:pt idx="13">
                  <c:v>780</c:v>
                </c:pt>
                <c:pt idx="14">
                  <c:v>790</c:v>
                </c:pt>
                <c:pt idx="15">
                  <c:v>800</c:v>
                </c:pt>
              </c:numCache>
            </c:numRef>
          </c:cat>
          <c:val>
            <c:numRef>
              <c:f>Decay!$G$2:$G$17</c:f>
            </c:numRef>
          </c:val>
          <c:smooth val="0"/>
        </c:ser>
        <c:ser>
          <c:idx val="3"/>
          <c:order val="3"/>
          <c:tx>
            <c:strRef>
              <c:f>Decay!$H$1</c:f>
              <c:strCache>
                <c:ptCount val="1"/>
                <c:pt idx="0">
                  <c:v>4</c:v>
                </c:pt>
              </c:strCache>
            </c:strRef>
          </c:tx>
          <c:cat>
            <c:numRef>
              <c:f>Decay!$D$2:$D$17</c:f>
              <c:numCache>
                <c:formatCode>General</c:formatCode>
                <c:ptCount val="16"/>
                <c:pt idx="0">
                  <c:v>650</c:v>
                </c:pt>
                <c:pt idx="1">
                  <c:v>660</c:v>
                </c:pt>
                <c:pt idx="2">
                  <c:v>670</c:v>
                </c:pt>
                <c:pt idx="3">
                  <c:v>680</c:v>
                </c:pt>
                <c:pt idx="4">
                  <c:v>690</c:v>
                </c:pt>
                <c:pt idx="5">
                  <c:v>700</c:v>
                </c:pt>
                <c:pt idx="6">
                  <c:v>710</c:v>
                </c:pt>
                <c:pt idx="7">
                  <c:v>720</c:v>
                </c:pt>
                <c:pt idx="8">
                  <c:v>730</c:v>
                </c:pt>
                <c:pt idx="9">
                  <c:v>740</c:v>
                </c:pt>
                <c:pt idx="10">
                  <c:v>750</c:v>
                </c:pt>
                <c:pt idx="11">
                  <c:v>760</c:v>
                </c:pt>
                <c:pt idx="12">
                  <c:v>770</c:v>
                </c:pt>
                <c:pt idx="13">
                  <c:v>780</c:v>
                </c:pt>
                <c:pt idx="14">
                  <c:v>790</c:v>
                </c:pt>
                <c:pt idx="15">
                  <c:v>800</c:v>
                </c:pt>
              </c:numCache>
            </c:numRef>
          </c:cat>
          <c:val>
            <c:numRef>
              <c:f>Decay!$H$2:$H$17</c:f>
            </c:numRef>
          </c:val>
          <c:smooth val="0"/>
        </c:ser>
        <c:ser>
          <c:idx val="4"/>
          <c:order val="4"/>
          <c:tx>
            <c:strRef>
              <c:f>Decay!$I$1</c:f>
              <c:strCache>
                <c:ptCount val="1"/>
                <c:pt idx="0">
                  <c:v>5</c:v>
                </c:pt>
              </c:strCache>
            </c:strRef>
          </c:tx>
          <c:cat>
            <c:numRef>
              <c:f>Decay!$D$2:$D$17</c:f>
              <c:numCache>
                <c:formatCode>General</c:formatCode>
                <c:ptCount val="16"/>
                <c:pt idx="0">
                  <c:v>650</c:v>
                </c:pt>
                <c:pt idx="1">
                  <c:v>660</c:v>
                </c:pt>
                <c:pt idx="2">
                  <c:v>670</c:v>
                </c:pt>
                <c:pt idx="3">
                  <c:v>680</c:v>
                </c:pt>
                <c:pt idx="4">
                  <c:v>690</c:v>
                </c:pt>
                <c:pt idx="5">
                  <c:v>700</c:v>
                </c:pt>
                <c:pt idx="6">
                  <c:v>710</c:v>
                </c:pt>
                <c:pt idx="7">
                  <c:v>720</c:v>
                </c:pt>
                <c:pt idx="8">
                  <c:v>730</c:v>
                </c:pt>
                <c:pt idx="9">
                  <c:v>740</c:v>
                </c:pt>
                <c:pt idx="10">
                  <c:v>750</c:v>
                </c:pt>
                <c:pt idx="11">
                  <c:v>760</c:v>
                </c:pt>
                <c:pt idx="12">
                  <c:v>770</c:v>
                </c:pt>
                <c:pt idx="13">
                  <c:v>780</c:v>
                </c:pt>
                <c:pt idx="14">
                  <c:v>790</c:v>
                </c:pt>
                <c:pt idx="15">
                  <c:v>800</c:v>
                </c:pt>
              </c:numCache>
            </c:numRef>
          </c:cat>
          <c:val>
            <c:numRef>
              <c:f>Decay!$I$2:$I$17</c:f>
            </c:numRef>
          </c:val>
          <c:smooth val="0"/>
        </c:ser>
        <c:ser>
          <c:idx val="5"/>
          <c:order val="5"/>
          <c:tx>
            <c:strRef>
              <c:f>Decay!$J$1</c:f>
              <c:strCache>
                <c:ptCount val="1"/>
                <c:pt idx="0">
                  <c:v>6</c:v>
                </c:pt>
              </c:strCache>
            </c:strRef>
          </c:tx>
          <c:cat>
            <c:numRef>
              <c:f>Decay!$D$2:$D$17</c:f>
              <c:numCache>
                <c:formatCode>General</c:formatCode>
                <c:ptCount val="16"/>
                <c:pt idx="0">
                  <c:v>650</c:v>
                </c:pt>
                <c:pt idx="1">
                  <c:v>660</c:v>
                </c:pt>
                <c:pt idx="2">
                  <c:v>670</c:v>
                </c:pt>
                <c:pt idx="3">
                  <c:v>680</c:v>
                </c:pt>
                <c:pt idx="4">
                  <c:v>690</c:v>
                </c:pt>
                <c:pt idx="5">
                  <c:v>700</c:v>
                </c:pt>
                <c:pt idx="6">
                  <c:v>710</c:v>
                </c:pt>
                <c:pt idx="7">
                  <c:v>720</c:v>
                </c:pt>
                <c:pt idx="8">
                  <c:v>730</c:v>
                </c:pt>
                <c:pt idx="9">
                  <c:v>740</c:v>
                </c:pt>
                <c:pt idx="10">
                  <c:v>750</c:v>
                </c:pt>
                <c:pt idx="11">
                  <c:v>760</c:v>
                </c:pt>
                <c:pt idx="12">
                  <c:v>770</c:v>
                </c:pt>
                <c:pt idx="13">
                  <c:v>780</c:v>
                </c:pt>
                <c:pt idx="14">
                  <c:v>790</c:v>
                </c:pt>
                <c:pt idx="15">
                  <c:v>800</c:v>
                </c:pt>
              </c:numCache>
            </c:numRef>
          </c:cat>
          <c:val>
            <c:numRef>
              <c:f>Decay!$J$2:$J$17</c:f>
            </c:numRef>
          </c:val>
          <c:smooth val="0"/>
        </c:ser>
        <c:ser>
          <c:idx val="6"/>
          <c:order val="6"/>
          <c:tx>
            <c:strRef>
              <c:f>Decay!$K$1</c:f>
              <c:strCache>
                <c:ptCount val="1"/>
                <c:pt idx="0">
                  <c:v>7</c:v>
                </c:pt>
              </c:strCache>
            </c:strRef>
          </c:tx>
          <c:marker>
            <c:symbol val="none"/>
          </c:marker>
          <c:cat>
            <c:numRef>
              <c:f>Decay!$D$2:$D$17</c:f>
              <c:numCache>
                <c:formatCode>General</c:formatCode>
                <c:ptCount val="16"/>
                <c:pt idx="0">
                  <c:v>650</c:v>
                </c:pt>
                <c:pt idx="1">
                  <c:v>660</c:v>
                </c:pt>
                <c:pt idx="2">
                  <c:v>670</c:v>
                </c:pt>
                <c:pt idx="3">
                  <c:v>680</c:v>
                </c:pt>
                <c:pt idx="4">
                  <c:v>690</c:v>
                </c:pt>
                <c:pt idx="5">
                  <c:v>700</c:v>
                </c:pt>
                <c:pt idx="6">
                  <c:v>710</c:v>
                </c:pt>
                <c:pt idx="7">
                  <c:v>720</c:v>
                </c:pt>
                <c:pt idx="8">
                  <c:v>730</c:v>
                </c:pt>
                <c:pt idx="9">
                  <c:v>740</c:v>
                </c:pt>
                <c:pt idx="10">
                  <c:v>750</c:v>
                </c:pt>
                <c:pt idx="11">
                  <c:v>760</c:v>
                </c:pt>
                <c:pt idx="12">
                  <c:v>770</c:v>
                </c:pt>
                <c:pt idx="13">
                  <c:v>780</c:v>
                </c:pt>
                <c:pt idx="14">
                  <c:v>790</c:v>
                </c:pt>
                <c:pt idx="15">
                  <c:v>800</c:v>
                </c:pt>
              </c:numCache>
            </c:numRef>
          </c:cat>
          <c:val>
            <c:numRef>
              <c:f>Decay!$K$2:$K$17</c:f>
              <c:numCache>
                <c:formatCode>0.00</c:formatCode>
                <c:ptCount val="16"/>
                <c:pt idx="0">
                  <c:v>0.88674366783319114</c:v>
                </c:pt>
                <c:pt idx="1">
                  <c:v>0.88740979873597814</c:v>
                </c:pt>
                <c:pt idx="2">
                  <c:v>0.88850523729090025</c:v>
                </c:pt>
                <c:pt idx="3">
                  <c:v>0.89030366920522397</c:v>
                </c:pt>
                <c:pt idx="4">
                  <c:v>0.89324818923240679</c:v>
                </c:pt>
                <c:pt idx="5">
                  <c:v>0.89804768683114855</c:v>
                </c:pt>
                <c:pt idx="6">
                  <c:v>0.9058141010866444</c:v>
                </c:pt>
                <c:pt idx="7">
                  <c:v>0.91823488446461721</c:v>
                </c:pt>
                <c:pt idx="8">
                  <c:v>0.93773132344313848</c:v>
                </c:pt>
                <c:pt idx="9">
                  <c:v>0.96745343224373781</c:v>
                </c:pt>
                <c:pt idx="10">
                  <c:v>1.0108060734672157</c:v>
                </c:pt>
                <c:pt idx="11">
                  <c:v>1.0701312603679967</c:v>
                </c:pt>
                <c:pt idx="12">
                  <c:v>1.1445993157472998</c:v>
                </c:pt>
                <c:pt idx="13">
                  <c:v>1.2285714285714284</c:v>
                </c:pt>
                <c:pt idx="14">
                  <c:v>1.3125435413955575</c:v>
                </c:pt>
                <c:pt idx="15">
                  <c:v>1.3870115967748604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Decay!$L$1</c:f>
              <c:strCache>
                <c:ptCount val="1"/>
                <c:pt idx="0">
                  <c:v>15</c:v>
                </c:pt>
              </c:strCache>
            </c:strRef>
          </c:tx>
          <c:marker>
            <c:symbol val="none"/>
          </c:marker>
          <c:cat>
            <c:numRef>
              <c:f>Decay!$D$2:$D$17</c:f>
              <c:numCache>
                <c:formatCode>General</c:formatCode>
                <c:ptCount val="16"/>
                <c:pt idx="0">
                  <c:v>650</c:v>
                </c:pt>
                <c:pt idx="1">
                  <c:v>660</c:v>
                </c:pt>
                <c:pt idx="2">
                  <c:v>670</c:v>
                </c:pt>
                <c:pt idx="3">
                  <c:v>680</c:v>
                </c:pt>
                <c:pt idx="4">
                  <c:v>690</c:v>
                </c:pt>
                <c:pt idx="5">
                  <c:v>700</c:v>
                </c:pt>
                <c:pt idx="6">
                  <c:v>710</c:v>
                </c:pt>
                <c:pt idx="7">
                  <c:v>720</c:v>
                </c:pt>
                <c:pt idx="8">
                  <c:v>730</c:v>
                </c:pt>
                <c:pt idx="9">
                  <c:v>740</c:v>
                </c:pt>
                <c:pt idx="10">
                  <c:v>750</c:v>
                </c:pt>
                <c:pt idx="11">
                  <c:v>760</c:v>
                </c:pt>
                <c:pt idx="12">
                  <c:v>770</c:v>
                </c:pt>
                <c:pt idx="13">
                  <c:v>780</c:v>
                </c:pt>
                <c:pt idx="14">
                  <c:v>790</c:v>
                </c:pt>
                <c:pt idx="15">
                  <c:v>800</c:v>
                </c:pt>
              </c:numCache>
            </c:numRef>
          </c:cat>
          <c:val>
            <c:numRef>
              <c:f>Decay!$L$2:$L$17</c:f>
              <c:numCache>
                <c:formatCode>0.00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887296"/>
        <c:axId val="366531712"/>
      </c:lineChart>
      <c:catAx>
        <c:axId val="32888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6531712"/>
        <c:crosses val="autoZero"/>
        <c:auto val="1"/>
        <c:lblAlgn val="ctr"/>
        <c:lblOffset val="100"/>
        <c:noMultiLvlLbl val="0"/>
      </c:catAx>
      <c:valAx>
        <c:axId val="366531712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28887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FHL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TotalTracking!$B$1</c:f>
              <c:strCache>
                <c:ptCount val="1"/>
                <c:pt idx="0">
                  <c:v>Actual CPR</c:v>
                </c:pt>
              </c:strCache>
            </c:strRef>
          </c:tx>
          <c:marker>
            <c:symbol val="none"/>
          </c:marker>
          <c:cat>
            <c:numRef>
              <c:f>TotalTracking!$A$2:$A$311</c:f>
              <c:numCache>
                <c:formatCode>General</c:formatCode>
                <c:ptCount val="3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</c:numCache>
            </c:numRef>
          </c:cat>
          <c:val>
            <c:numRef>
              <c:f>TotalTracking!$B$2:$B$311</c:f>
              <c:numCache>
                <c:formatCode>General</c:formatCode>
                <c:ptCount val="310"/>
                <c:pt idx="0">
                  <c:v>0</c:v>
                </c:pt>
                <c:pt idx="1">
                  <c:v>1</c:v>
                </c:pt>
                <c:pt idx="2">
                  <c:v>2.9</c:v>
                </c:pt>
                <c:pt idx="3">
                  <c:v>5.3</c:v>
                </c:pt>
                <c:pt idx="4">
                  <c:v>7.8</c:v>
                </c:pt>
                <c:pt idx="5">
                  <c:v>10.3</c:v>
                </c:pt>
                <c:pt idx="6">
                  <c:v>11.7</c:v>
                </c:pt>
                <c:pt idx="7">
                  <c:v>13</c:v>
                </c:pt>
                <c:pt idx="8">
                  <c:v>13.9</c:v>
                </c:pt>
                <c:pt idx="9">
                  <c:v>14.6</c:v>
                </c:pt>
                <c:pt idx="10">
                  <c:v>15.2</c:v>
                </c:pt>
                <c:pt idx="11">
                  <c:v>16</c:v>
                </c:pt>
                <c:pt idx="12">
                  <c:v>16.8</c:v>
                </c:pt>
                <c:pt idx="13">
                  <c:v>17.7</c:v>
                </c:pt>
                <c:pt idx="14">
                  <c:v>18.2</c:v>
                </c:pt>
                <c:pt idx="15">
                  <c:v>18.600000000000001</c:v>
                </c:pt>
                <c:pt idx="16">
                  <c:v>19.100000000000001</c:v>
                </c:pt>
                <c:pt idx="17">
                  <c:v>19.5</c:v>
                </c:pt>
                <c:pt idx="18">
                  <c:v>20.100000000000001</c:v>
                </c:pt>
                <c:pt idx="19">
                  <c:v>20.6</c:v>
                </c:pt>
                <c:pt idx="20">
                  <c:v>20.8</c:v>
                </c:pt>
                <c:pt idx="21">
                  <c:v>20.5</c:v>
                </c:pt>
                <c:pt idx="22">
                  <c:v>20</c:v>
                </c:pt>
                <c:pt idx="23">
                  <c:v>19.8</c:v>
                </c:pt>
                <c:pt idx="24">
                  <c:v>19.8</c:v>
                </c:pt>
                <c:pt idx="25">
                  <c:v>19.8</c:v>
                </c:pt>
                <c:pt idx="26">
                  <c:v>19.8</c:v>
                </c:pt>
                <c:pt idx="27">
                  <c:v>19.600000000000001</c:v>
                </c:pt>
                <c:pt idx="28">
                  <c:v>19.899999999999999</c:v>
                </c:pt>
                <c:pt idx="29">
                  <c:v>19.899999999999999</c:v>
                </c:pt>
                <c:pt idx="30">
                  <c:v>19.899999999999999</c:v>
                </c:pt>
                <c:pt idx="31">
                  <c:v>20.2</c:v>
                </c:pt>
                <c:pt idx="32">
                  <c:v>20.3</c:v>
                </c:pt>
                <c:pt idx="33">
                  <c:v>20.5</c:v>
                </c:pt>
                <c:pt idx="34">
                  <c:v>20.3</c:v>
                </c:pt>
                <c:pt idx="35">
                  <c:v>20.100000000000001</c:v>
                </c:pt>
                <c:pt idx="36">
                  <c:v>20.2</c:v>
                </c:pt>
                <c:pt idx="37">
                  <c:v>20.2</c:v>
                </c:pt>
                <c:pt idx="38">
                  <c:v>20.3</c:v>
                </c:pt>
                <c:pt idx="39">
                  <c:v>20.3</c:v>
                </c:pt>
                <c:pt idx="40">
                  <c:v>20.5</c:v>
                </c:pt>
                <c:pt idx="41">
                  <c:v>21</c:v>
                </c:pt>
                <c:pt idx="42">
                  <c:v>21.4</c:v>
                </c:pt>
                <c:pt idx="43">
                  <c:v>21.7</c:v>
                </c:pt>
                <c:pt idx="44">
                  <c:v>22.2</c:v>
                </c:pt>
                <c:pt idx="45">
                  <c:v>22.2</c:v>
                </c:pt>
                <c:pt idx="46">
                  <c:v>22.5</c:v>
                </c:pt>
                <c:pt idx="47">
                  <c:v>22.6</c:v>
                </c:pt>
                <c:pt idx="48">
                  <c:v>22.7</c:v>
                </c:pt>
                <c:pt idx="49">
                  <c:v>22.8</c:v>
                </c:pt>
                <c:pt idx="50">
                  <c:v>22.8</c:v>
                </c:pt>
                <c:pt idx="51">
                  <c:v>22.8</c:v>
                </c:pt>
                <c:pt idx="52">
                  <c:v>22.9</c:v>
                </c:pt>
                <c:pt idx="53">
                  <c:v>23</c:v>
                </c:pt>
                <c:pt idx="54">
                  <c:v>23.2</c:v>
                </c:pt>
                <c:pt idx="55">
                  <c:v>23.3</c:v>
                </c:pt>
                <c:pt idx="56">
                  <c:v>23.3</c:v>
                </c:pt>
                <c:pt idx="57">
                  <c:v>23.5</c:v>
                </c:pt>
                <c:pt idx="58">
                  <c:v>23.4</c:v>
                </c:pt>
                <c:pt idx="59">
                  <c:v>23.6</c:v>
                </c:pt>
                <c:pt idx="60">
                  <c:v>23.9</c:v>
                </c:pt>
                <c:pt idx="61">
                  <c:v>24.1</c:v>
                </c:pt>
                <c:pt idx="62">
                  <c:v>24.1</c:v>
                </c:pt>
                <c:pt idx="63">
                  <c:v>24</c:v>
                </c:pt>
                <c:pt idx="64">
                  <c:v>24</c:v>
                </c:pt>
                <c:pt idx="65">
                  <c:v>23.7</c:v>
                </c:pt>
                <c:pt idx="66">
                  <c:v>23.7</c:v>
                </c:pt>
                <c:pt idx="67">
                  <c:v>23.7</c:v>
                </c:pt>
                <c:pt idx="68">
                  <c:v>23.8</c:v>
                </c:pt>
                <c:pt idx="69">
                  <c:v>24.1</c:v>
                </c:pt>
                <c:pt idx="70">
                  <c:v>24.4</c:v>
                </c:pt>
                <c:pt idx="71">
                  <c:v>24.7</c:v>
                </c:pt>
                <c:pt idx="72">
                  <c:v>25</c:v>
                </c:pt>
                <c:pt idx="73">
                  <c:v>25.1</c:v>
                </c:pt>
                <c:pt idx="74">
                  <c:v>25.2</c:v>
                </c:pt>
                <c:pt idx="75">
                  <c:v>25.2</c:v>
                </c:pt>
                <c:pt idx="76">
                  <c:v>25.5</c:v>
                </c:pt>
                <c:pt idx="77">
                  <c:v>25.7</c:v>
                </c:pt>
                <c:pt idx="78">
                  <c:v>25.5</c:v>
                </c:pt>
                <c:pt idx="79">
                  <c:v>26</c:v>
                </c:pt>
                <c:pt idx="80">
                  <c:v>25.8</c:v>
                </c:pt>
                <c:pt idx="81">
                  <c:v>25.5</c:v>
                </c:pt>
                <c:pt idx="82">
                  <c:v>25.3</c:v>
                </c:pt>
                <c:pt idx="83">
                  <c:v>25.4</c:v>
                </c:pt>
                <c:pt idx="84">
                  <c:v>26.2</c:v>
                </c:pt>
                <c:pt idx="85">
                  <c:v>26.8</c:v>
                </c:pt>
                <c:pt idx="86">
                  <c:v>27.3</c:v>
                </c:pt>
                <c:pt idx="87">
                  <c:v>28</c:v>
                </c:pt>
                <c:pt idx="88">
                  <c:v>28.3</c:v>
                </c:pt>
                <c:pt idx="89">
                  <c:v>27.9</c:v>
                </c:pt>
                <c:pt idx="90">
                  <c:v>27.3</c:v>
                </c:pt>
                <c:pt idx="91">
                  <c:v>27</c:v>
                </c:pt>
                <c:pt idx="92">
                  <c:v>26.5</c:v>
                </c:pt>
                <c:pt idx="93">
                  <c:v>26.3</c:v>
                </c:pt>
                <c:pt idx="94">
                  <c:v>26</c:v>
                </c:pt>
                <c:pt idx="95">
                  <c:v>26.1</c:v>
                </c:pt>
                <c:pt idx="96">
                  <c:v>26.4</c:v>
                </c:pt>
                <c:pt idx="97">
                  <c:v>26.2</c:v>
                </c:pt>
                <c:pt idx="98">
                  <c:v>26.1</c:v>
                </c:pt>
                <c:pt idx="99">
                  <c:v>26.1</c:v>
                </c:pt>
                <c:pt idx="100">
                  <c:v>26.3</c:v>
                </c:pt>
                <c:pt idx="101">
                  <c:v>25.9</c:v>
                </c:pt>
                <c:pt idx="102">
                  <c:v>25.9</c:v>
                </c:pt>
                <c:pt idx="103">
                  <c:v>26.4</c:v>
                </c:pt>
                <c:pt idx="104">
                  <c:v>26.5</c:v>
                </c:pt>
                <c:pt idx="105">
                  <c:v>27</c:v>
                </c:pt>
                <c:pt idx="106">
                  <c:v>27.5</c:v>
                </c:pt>
                <c:pt idx="107">
                  <c:v>28.4</c:v>
                </c:pt>
                <c:pt idx="108">
                  <c:v>29.1</c:v>
                </c:pt>
                <c:pt idx="109">
                  <c:v>30.1</c:v>
                </c:pt>
                <c:pt idx="110">
                  <c:v>30.5</c:v>
                </c:pt>
                <c:pt idx="111">
                  <c:v>30.6</c:v>
                </c:pt>
                <c:pt idx="112">
                  <c:v>31.1</c:v>
                </c:pt>
                <c:pt idx="113">
                  <c:v>31.3</c:v>
                </c:pt>
                <c:pt idx="114">
                  <c:v>31.6</c:v>
                </c:pt>
                <c:pt idx="115">
                  <c:v>31.1</c:v>
                </c:pt>
                <c:pt idx="116">
                  <c:v>31.4</c:v>
                </c:pt>
                <c:pt idx="117">
                  <c:v>31.3</c:v>
                </c:pt>
                <c:pt idx="118">
                  <c:v>31.1</c:v>
                </c:pt>
                <c:pt idx="119">
                  <c:v>30.8</c:v>
                </c:pt>
                <c:pt idx="120">
                  <c:v>30.4</c:v>
                </c:pt>
                <c:pt idx="121">
                  <c:v>29.4</c:v>
                </c:pt>
                <c:pt idx="122">
                  <c:v>28.3</c:v>
                </c:pt>
                <c:pt idx="123">
                  <c:v>27.9</c:v>
                </c:pt>
                <c:pt idx="124">
                  <c:v>27.1</c:v>
                </c:pt>
                <c:pt idx="125">
                  <c:v>26.3</c:v>
                </c:pt>
                <c:pt idx="126">
                  <c:v>25.8</c:v>
                </c:pt>
                <c:pt idx="127">
                  <c:v>24.9</c:v>
                </c:pt>
                <c:pt idx="128">
                  <c:v>24.3</c:v>
                </c:pt>
                <c:pt idx="129">
                  <c:v>24.1</c:v>
                </c:pt>
                <c:pt idx="130">
                  <c:v>23.8</c:v>
                </c:pt>
                <c:pt idx="131">
                  <c:v>23.8</c:v>
                </c:pt>
                <c:pt idx="132">
                  <c:v>23.6</c:v>
                </c:pt>
                <c:pt idx="133">
                  <c:v>23</c:v>
                </c:pt>
                <c:pt idx="134">
                  <c:v>22.7</c:v>
                </c:pt>
                <c:pt idx="135">
                  <c:v>21.9</c:v>
                </c:pt>
                <c:pt idx="136">
                  <c:v>21.8</c:v>
                </c:pt>
                <c:pt idx="137">
                  <c:v>21.7</c:v>
                </c:pt>
                <c:pt idx="138">
                  <c:v>21.6</c:v>
                </c:pt>
                <c:pt idx="139">
                  <c:v>21.2</c:v>
                </c:pt>
                <c:pt idx="140">
                  <c:v>21.3</c:v>
                </c:pt>
                <c:pt idx="141">
                  <c:v>21.5</c:v>
                </c:pt>
                <c:pt idx="142">
                  <c:v>21.4</c:v>
                </c:pt>
                <c:pt idx="143">
                  <c:v>21.3</c:v>
                </c:pt>
                <c:pt idx="144">
                  <c:v>21.2</c:v>
                </c:pt>
                <c:pt idx="145">
                  <c:v>20.6</c:v>
                </c:pt>
                <c:pt idx="146">
                  <c:v>20.7</c:v>
                </c:pt>
                <c:pt idx="147">
                  <c:v>19.600000000000001</c:v>
                </c:pt>
                <c:pt idx="148">
                  <c:v>19.8</c:v>
                </c:pt>
                <c:pt idx="149">
                  <c:v>19.3</c:v>
                </c:pt>
                <c:pt idx="150">
                  <c:v>18.8</c:v>
                </c:pt>
                <c:pt idx="151">
                  <c:v>18.600000000000001</c:v>
                </c:pt>
                <c:pt idx="152">
                  <c:v>18</c:v>
                </c:pt>
                <c:pt idx="153">
                  <c:v>18.399999999999999</c:v>
                </c:pt>
                <c:pt idx="154">
                  <c:v>18.2</c:v>
                </c:pt>
                <c:pt idx="155">
                  <c:v>18</c:v>
                </c:pt>
                <c:pt idx="156">
                  <c:v>18.100000000000001</c:v>
                </c:pt>
                <c:pt idx="157">
                  <c:v>18</c:v>
                </c:pt>
                <c:pt idx="158">
                  <c:v>17.3</c:v>
                </c:pt>
                <c:pt idx="159">
                  <c:v>17.5</c:v>
                </c:pt>
                <c:pt idx="160">
                  <c:v>17.3</c:v>
                </c:pt>
                <c:pt idx="161">
                  <c:v>17</c:v>
                </c:pt>
                <c:pt idx="162">
                  <c:v>17.399999999999999</c:v>
                </c:pt>
                <c:pt idx="163">
                  <c:v>17.399999999999999</c:v>
                </c:pt>
                <c:pt idx="164">
                  <c:v>17.2</c:v>
                </c:pt>
                <c:pt idx="165">
                  <c:v>17</c:v>
                </c:pt>
                <c:pt idx="166">
                  <c:v>17.7</c:v>
                </c:pt>
                <c:pt idx="167">
                  <c:v>16.899999999999999</c:v>
                </c:pt>
                <c:pt idx="168">
                  <c:v>17.3</c:v>
                </c:pt>
                <c:pt idx="169">
                  <c:v>17.7</c:v>
                </c:pt>
                <c:pt idx="170">
                  <c:v>17.2</c:v>
                </c:pt>
                <c:pt idx="171">
                  <c:v>17.3</c:v>
                </c:pt>
                <c:pt idx="172">
                  <c:v>16.899999999999999</c:v>
                </c:pt>
                <c:pt idx="173">
                  <c:v>17.2</c:v>
                </c:pt>
                <c:pt idx="174">
                  <c:v>17.600000000000001</c:v>
                </c:pt>
                <c:pt idx="175">
                  <c:v>16.8</c:v>
                </c:pt>
                <c:pt idx="176">
                  <c:v>16.3</c:v>
                </c:pt>
                <c:pt idx="177">
                  <c:v>16.2</c:v>
                </c:pt>
                <c:pt idx="178">
                  <c:v>16.399999999999999</c:v>
                </c:pt>
                <c:pt idx="179">
                  <c:v>15.8</c:v>
                </c:pt>
                <c:pt idx="180">
                  <c:v>16</c:v>
                </c:pt>
                <c:pt idx="181">
                  <c:v>15.8</c:v>
                </c:pt>
                <c:pt idx="182">
                  <c:v>15.6</c:v>
                </c:pt>
                <c:pt idx="183">
                  <c:v>16</c:v>
                </c:pt>
                <c:pt idx="184">
                  <c:v>15.8</c:v>
                </c:pt>
                <c:pt idx="185">
                  <c:v>16.2</c:v>
                </c:pt>
                <c:pt idx="186">
                  <c:v>16.600000000000001</c:v>
                </c:pt>
                <c:pt idx="187">
                  <c:v>15.8</c:v>
                </c:pt>
                <c:pt idx="188">
                  <c:v>15.9</c:v>
                </c:pt>
                <c:pt idx="189">
                  <c:v>15.8</c:v>
                </c:pt>
                <c:pt idx="190">
                  <c:v>15.6</c:v>
                </c:pt>
                <c:pt idx="191">
                  <c:v>15.5</c:v>
                </c:pt>
                <c:pt idx="192">
                  <c:v>16</c:v>
                </c:pt>
                <c:pt idx="193">
                  <c:v>15.8</c:v>
                </c:pt>
                <c:pt idx="194">
                  <c:v>15.8</c:v>
                </c:pt>
                <c:pt idx="195">
                  <c:v>14.7</c:v>
                </c:pt>
                <c:pt idx="196">
                  <c:v>15</c:v>
                </c:pt>
                <c:pt idx="197">
                  <c:v>15.5</c:v>
                </c:pt>
                <c:pt idx="198">
                  <c:v>15.1</c:v>
                </c:pt>
                <c:pt idx="199">
                  <c:v>14.4</c:v>
                </c:pt>
                <c:pt idx="200">
                  <c:v>15.2</c:v>
                </c:pt>
                <c:pt idx="201">
                  <c:v>15.9</c:v>
                </c:pt>
                <c:pt idx="202">
                  <c:v>15.5</c:v>
                </c:pt>
                <c:pt idx="203">
                  <c:v>16</c:v>
                </c:pt>
                <c:pt idx="204">
                  <c:v>15.1</c:v>
                </c:pt>
                <c:pt idx="205">
                  <c:v>16.100000000000001</c:v>
                </c:pt>
                <c:pt idx="206">
                  <c:v>15.8</c:v>
                </c:pt>
                <c:pt idx="207">
                  <c:v>15.8</c:v>
                </c:pt>
                <c:pt idx="208">
                  <c:v>15.3</c:v>
                </c:pt>
                <c:pt idx="209">
                  <c:v>15.6</c:v>
                </c:pt>
                <c:pt idx="210">
                  <c:v>15</c:v>
                </c:pt>
                <c:pt idx="211">
                  <c:v>14.9</c:v>
                </c:pt>
                <c:pt idx="212">
                  <c:v>14.8</c:v>
                </c:pt>
                <c:pt idx="213">
                  <c:v>14.2</c:v>
                </c:pt>
                <c:pt idx="214">
                  <c:v>15.4</c:v>
                </c:pt>
                <c:pt idx="215">
                  <c:v>14.9</c:v>
                </c:pt>
                <c:pt idx="216">
                  <c:v>14.6</c:v>
                </c:pt>
                <c:pt idx="217">
                  <c:v>15.1</c:v>
                </c:pt>
                <c:pt idx="218">
                  <c:v>14.9</c:v>
                </c:pt>
                <c:pt idx="219">
                  <c:v>15</c:v>
                </c:pt>
                <c:pt idx="220">
                  <c:v>15.1</c:v>
                </c:pt>
                <c:pt idx="221">
                  <c:v>14.6</c:v>
                </c:pt>
                <c:pt idx="222">
                  <c:v>14.9</c:v>
                </c:pt>
                <c:pt idx="223">
                  <c:v>15</c:v>
                </c:pt>
                <c:pt idx="224">
                  <c:v>14.3</c:v>
                </c:pt>
                <c:pt idx="225">
                  <c:v>15.4</c:v>
                </c:pt>
                <c:pt idx="226">
                  <c:v>15</c:v>
                </c:pt>
                <c:pt idx="227">
                  <c:v>15</c:v>
                </c:pt>
                <c:pt idx="228">
                  <c:v>14.6</c:v>
                </c:pt>
                <c:pt idx="229">
                  <c:v>16</c:v>
                </c:pt>
                <c:pt idx="230">
                  <c:v>14.9</c:v>
                </c:pt>
                <c:pt idx="231">
                  <c:v>15.5</c:v>
                </c:pt>
                <c:pt idx="232">
                  <c:v>15.6</c:v>
                </c:pt>
                <c:pt idx="233">
                  <c:v>15.6</c:v>
                </c:pt>
                <c:pt idx="234">
                  <c:v>15.4</c:v>
                </c:pt>
                <c:pt idx="235">
                  <c:v>15.5</c:v>
                </c:pt>
                <c:pt idx="236">
                  <c:v>16</c:v>
                </c:pt>
                <c:pt idx="237">
                  <c:v>15.2</c:v>
                </c:pt>
                <c:pt idx="238">
                  <c:v>14.9</c:v>
                </c:pt>
                <c:pt idx="239">
                  <c:v>16.3</c:v>
                </c:pt>
                <c:pt idx="240">
                  <c:v>15.1</c:v>
                </c:pt>
                <c:pt idx="241">
                  <c:v>14.8</c:v>
                </c:pt>
                <c:pt idx="242">
                  <c:v>15.5</c:v>
                </c:pt>
                <c:pt idx="243">
                  <c:v>14.4</c:v>
                </c:pt>
                <c:pt idx="244">
                  <c:v>14.5</c:v>
                </c:pt>
                <c:pt idx="245">
                  <c:v>14.3</c:v>
                </c:pt>
                <c:pt idx="246">
                  <c:v>14.1</c:v>
                </c:pt>
                <c:pt idx="247">
                  <c:v>14.5</c:v>
                </c:pt>
                <c:pt idx="248">
                  <c:v>14.5</c:v>
                </c:pt>
                <c:pt idx="249">
                  <c:v>15.2</c:v>
                </c:pt>
                <c:pt idx="250">
                  <c:v>14.4</c:v>
                </c:pt>
                <c:pt idx="251">
                  <c:v>14.2</c:v>
                </c:pt>
                <c:pt idx="252">
                  <c:v>14.9</c:v>
                </c:pt>
                <c:pt idx="253">
                  <c:v>14.3</c:v>
                </c:pt>
                <c:pt idx="254">
                  <c:v>14</c:v>
                </c:pt>
                <c:pt idx="255">
                  <c:v>13.7</c:v>
                </c:pt>
                <c:pt idx="256">
                  <c:v>13.7</c:v>
                </c:pt>
                <c:pt idx="257">
                  <c:v>14.2</c:v>
                </c:pt>
                <c:pt idx="258">
                  <c:v>14.1</c:v>
                </c:pt>
                <c:pt idx="259">
                  <c:v>14.8</c:v>
                </c:pt>
                <c:pt idx="260">
                  <c:v>15.1</c:v>
                </c:pt>
                <c:pt idx="261">
                  <c:v>13.6</c:v>
                </c:pt>
                <c:pt idx="262">
                  <c:v>14.3</c:v>
                </c:pt>
                <c:pt idx="263">
                  <c:v>15.1</c:v>
                </c:pt>
                <c:pt idx="264">
                  <c:v>13.7</c:v>
                </c:pt>
                <c:pt idx="265">
                  <c:v>13.9</c:v>
                </c:pt>
                <c:pt idx="266">
                  <c:v>14</c:v>
                </c:pt>
                <c:pt idx="267">
                  <c:v>14</c:v>
                </c:pt>
                <c:pt idx="268">
                  <c:v>14.8</c:v>
                </c:pt>
                <c:pt idx="269">
                  <c:v>13.9</c:v>
                </c:pt>
                <c:pt idx="270">
                  <c:v>14.1</c:v>
                </c:pt>
                <c:pt idx="271">
                  <c:v>14.5</c:v>
                </c:pt>
                <c:pt idx="272">
                  <c:v>13.7</c:v>
                </c:pt>
                <c:pt idx="273">
                  <c:v>14.3</c:v>
                </c:pt>
                <c:pt idx="274">
                  <c:v>15.8</c:v>
                </c:pt>
                <c:pt idx="275">
                  <c:v>13.9</c:v>
                </c:pt>
                <c:pt idx="276">
                  <c:v>14.6</c:v>
                </c:pt>
                <c:pt idx="277">
                  <c:v>14.7</c:v>
                </c:pt>
                <c:pt idx="278">
                  <c:v>15</c:v>
                </c:pt>
                <c:pt idx="279">
                  <c:v>15.7</c:v>
                </c:pt>
                <c:pt idx="280">
                  <c:v>16.7</c:v>
                </c:pt>
                <c:pt idx="281">
                  <c:v>16</c:v>
                </c:pt>
                <c:pt idx="282">
                  <c:v>16.5</c:v>
                </c:pt>
                <c:pt idx="283">
                  <c:v>16.899999999999999</c:v>
                </c:pt>
                <c:pt idx="284">
                  <c:v>17</c:v>
                </c:pt>
                <c:pt idx="285">
                  <c:v>16.5</c:v>
                </c:pt>
                <c:pt idx="286">
                  <c:v>17.2</c:v>
                </c:pt>
                <c:pt idx="287">
                  <c:v>16.5</c:v>
                </c:pt>
                <c:pt idx="288">
                  <c:v>16.2</c:v>
                </c:pt>
                <c:pt idx="289">
                  <c:v>17.100000000000001</c:v>
                </c:pt>
                <c:pt idx="290">
                  <c:v>16.899999999999999</c:v>
                </c:pt>
                <c:pt idx="291">
                  <c:v>17</c:v>
                </c:pt>
                <c:pt idx="292">
                  <c:v>18.899999999999999</c:v>
                </c:pt>
                <c:pt idx="293">
                  <c:v>17.399999999999999</c:v>
                </c:pt>
                <c:pt idx="294">
                  <c:v>18</c:v>
                </c:pt>
                <c:pt idx="295">
                  <c:v>21.4</c:v>
                </c:pt>
                <c:pt idx="296">
                  <c:v>19</c:v>
                </c:pt>
                <c:pt idx="297">
                  <c:v>19.8</c:v>
                </c:pt>
                <c:pt idx="298">
                  <c:v>20.7</c:v>
                </c:pt>
                <c:pt idx="299">
                  <c:v>19.399999999999999</c:v>
                </c:pt>
                <c:pt idx="300">
                  <c:v>20.2</c:v>
                </c:pt>
                <c:pt idx="301">
                  <c:v>21.3</c:v>
                </c:pt>
                <c:pt idx="302">
                  <c:v>20.399999999999999</c:v>
                </c:pt>
                <c:pt idx="303">
                  <c:v>21.5</c:v>
                </c:pt>
                <c:pt idx="304">
                  <c:v>23.2</c:v>
                </c:pt>
                <c:pt idx="305">
                  <c:v>20</c:v>
                </c:pt>
                <c:pt idx="306">
                  <c:v>22.8</c:v>
                </c:pt>
                <c:pt idx="307">
                  <c:v>22.7</c:v>
                </c:pt>
                <c:pt idx="308">
                  <c:v>23</c:v>
                </c:pt>
                <c:pt idx="309">
                  <c:v>21.3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TotalTracking!$C$1</c:f>
              <c:strCache>
                <c:ptCount val="1"/>
                <c:pt idx="0">
                  <c:v>Model CPR</c:v>
                </c:pt>
              </c:strCache>
            </c:strRef>
          </c:tx>
          <c:marker>
            <c:symbol val="none"/>
          </c:marker>
          <c:cat>
            <c:numRef>
              <c:f>TotalTracking!$A$2:$A$311</c:f>
              <c:numCache>
                <c:formatCode>General</c:formatCode>
                <c:ptCount val="3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</c:numCache>
            </c:numRef>
          </c:cat>
          <c:val>
            <c:numRef>
              <c:f>TotalTracking!$C$2:$C$311</c:f>
              <c:numCache>
                <c:formatCode>General</c:formatCode>
                <c:ptCount val="310"/>
                <c:pt idx="0">
                  <c:v>2.2999999999999998</c:v>
                </c:pt>
                <c:pt idx="1">
                  <c:v>4.0999999999999996</c:v>
                </c:pt>
                <c:pt idx="2">
                  <c:v>2.4</c:v>
                </c:pt>
                <c:pt idx="3">
                  <c:v>4.2</c:v>
                </c:pt>
                <c:pt idx="4">
                  <c:v>6.2</c:v>
                </c:pt>
                <c:pt idx="5">
                  <c:v>9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13.9</c:v>
                </c:pt>
                <c:pt idx="10">
                  <c:v>14.7</c:v>
                </c:pt>
                <c:pt idx="11">
                  <c:v>15.4</c:v>
                </c:pt>
                <c:pt idx="12">
                  <c:v>15.9</c:v>
                </c:pt>
                <c:pt idx="13">
                  <c:v>16.399999999999999</c:v>
                </c:pt>
                <c:pt idx="14">
                  <c:v>16.899999999999999</c:v>
                </c:pt>
                <c:pt idx="15">
                  <c:v>17.2</c:v>
                </c:pt>
                <c:pt idx="16">
                  <c:v>17.600000000000001</c:v>
                </c:pt>
                <c:pt idx="17">
                  <c:v>17.899999999999999</c:v>
                </c:pt>
                <c:pt idx="18">
                  <c:v>18.100000000000001</c:v>
                </c:pt>
                <c:pt idx="19">
                  <c:v>18.2</c:v>
                </c:pt>
                <c:pt idx="20">
                  <c:v>18.100000000000001</c:v>
                </c:pt>
                <c:pt idx="21">
                  <c:v>18</c:v>
                </c:pt>
                <c:pt idx="22">
                  <c:v>17.899999999999999</c:v>
                </c:pt>
                <c:pt idx="23">
                  <c:v>17.899999999999999</c:v>
                </c:pt>
                <c:pt idx="24">
                  <c:v>18</c:v>
                </c:pt>
                <c:pt idx="25">
                  <c:v>18.100000000000001</c:v>
                </c:pt>
                <c:pt idx="26">
                  <c:v>18.2</c:v>
                </c:pt>
                <c:pt idx="27">
                  <c:v>18.3</c:v>
                </c:pt>
                <c:pt idx="28">
                  <c:v>18.5</c:v>
                </c:pt>
                <c:pt idx="29">
                  <c:v>18.600000000000001</c:v>
                </c:pt>
                <c:pt idx="30">
                  <c:v>18.8</c:v>
                </c:pt>
                <c:pt idx="31">
                  <c:v>19</c:v>
                </c:pt>
                <c:pt idx="32">
                  <c:v>19.100000000000001</c:v>
                </c:pt>
                <c:pt idx="33">
                  <c:v>19.2</c:v>
                </c:pt>
                <c:pt idx="34">
                  <c:v>19.2</c:v>
                </c:pt>
                <c:pt idx="35">
                  <c:v>19.3</c:v>
                </c:pt>
                <c:pt idx="36">
                  <c:v>19.399999999999999</c:v>
                </c:pt>
                <c:pt idx="37">
                  <c:v>19.600000000000001</c:v>
                </c:pt>
                <c:pt idx="38">
                  <c:v>19.8</c:v>
                </c:pt>
                <c:pt idx="39">
                  <c:v>20</c:v>
                </c:pt>
                <c:pt idx="40">
                  <c:v>20.2</c:v>
                </c:pt>
                <c:pt idx="41">
                  <c:v>20.6</c:v>
                </c:pt>
                <c:pt idx="42">
                  <c:v>20.9</c:v>
                </c:pt>
                <c:pt idx="43">
                  <c:v>21.1</c:v>
                </c:pt>
                <c:pt idx="44">
                  <c:v>21.1</c:v>
                </c:pt>
                <c:pt idx="45">
                  <c:v>21.1</c:v>
                </c:pt>
                <c:pt idx="46">
                  <c:v>21</c:v>
                </c:pt>
                <c:pt idx="47">
                  <c:v>20.9</c:v>
                </c:pt>
                <c:pt idx="48">
                  <c:v>20.9</c:v>
                </c:pt>
                <c:pt idx="49">
                  <c:v>20.8</c:v>
                </c:pt>
                <c:pt idx="50">
                  <c:v>20.9</c:v>
                </c:pt>
                <c:pt idx="51">
                  <c:v>20.9</c:v>
                </c:pt>
                <c:pt idx="52">
                  <c:v>21</c:v>
                </c:pt>
                <c:pt idx="53">
                  <c:v>21.1</c:v>
                </c:pt>
                <c:pt idx="54">
                  <c:v>21.2</c:v>
                </c:pt>
                <c:pt idx="55">
                  <c:v>21.2</c:v>
                </c:pt>
                <c:pt idx="56">
                  <c:v>21.3</c:v>
                </c:pt>
                <c:pt idx="57">
                  <c:v>21.4</c:v>
                </c:pt>
                <c:pt idx="58">
                  <c:v>21.3</c:v>
                </c:pt>
                <c:pt idx="59">
                  <c:v>21.5</c:v>
                </c:pt>
                <c:pt idx="60">
                  <c:v>21.6</c:v>
                </c:pt>
                <c:pt idx="61">
                  <c:v>21.8</c:v>
                </c:pt>
                <c:pt idx="62">
                  <c:v>21.8</c:v>
                </c:pt>
                <c:pt idx="63">
                  <c:v>21.9</c:v>
                </c:pt>
                <c:pt idx="64">
                  <c:v>21.8</c:v>
                </c:pt>
                <c:pt idx="65">
                  <c:v>21.7</c:v>
                </c:pt>
                <c:pt idx="66">
                  <c:v>21.7</c:v>
                </c:pt>
                <c:pt idx="67">
                  <c:v>21.9</c:v>
                </c:pt>
                <c:pt idx="68">
                  <c:v>22</c:v>
                </c:pt>
                <c:pt idx="69">
                  <c:v>22.2</c:v>
                </c:pt>
                <c:pt idx="70">
                  <c:v>22.3</c:v>
                </c:pt>
                <c:pt idx="71">
                  <c:v>22.4</c:v>
                </c:pt>
                <c:pt idx="72">
                  <c:v>22.5</c:v>
                </c:pt>
                <c:pt idx="73">
                  <c:v>22.5</c:v>
                </c:pt>
                <c:pt idx="74">
                  <c:v>22.6</c:v>
                </c:pt>
                <c:pt idx="75">
                  <c:v>22.7</c:v>
                </c:pt>
                <c:pt idx="76">
                  <c:v>22.9</c:v>
                </c:pt>
                <c:pt idx="77">
                  <c:v>23.1</c:v>
                </c:pt>
                <c:pt idx="78">
                  <c:v>23.1</c:v>
                </c:pt>
                <c:pt idx="79">
                  <c:v>23.3</c:v>
                </c:pt>
                <c:pt idx="80">
                  <c:v>23.3</c:v>
                </c:pt>
                <c:pt idx="81">
                  <c:v>23.2</c:v>
                </c:pt>
                <c:pt idx="82">
                  <c:v>23.2</c:v>
                </c:pt>
                <c:pt idx="83">
                  <c:v>23.4</c:v>
                </c:pt>
                <c:pt idx="84">
                  <c:v>23.7</c:v>
                </c:pt>
                <c:pt idx="85">
                  <c:v>24.1</c:v>
                </c:pt>
                <c:pt idx="86">
                  <c:v>24.6</c:v>
                </c:pt>
                <c:pt idx="87">
                  <c:v>24.9</c:v>
                </c:pt>
                <c:pt idx="88">
                  <c:v>25</c:v>
                </c:pt>
                <c:pt idx="89">
                  <c:v>24.8</c:v>
                </c:pt>
                <c:pt idx="90">
                  <c:v>24.4</c:v>
                </c:pt>
                <c:pt idx="91">
                  <c:v>24.1</c:v>
                </c:pt>
                <c:pt idx="92">
                  <c:v>23.9</c:v>
                </c:pt>
                <c:pt idx="93">
                  <c:v>23.9</c:v>
                </c:pt>
                <c:pt idx="94">
                  <c:v>23.9</c:v>
                </c:pt>
                <c:pt idx="95">
                  <c:v>24</c:v>
                </c:pt>
                <c:pt idx="96">
                  <c:v>24</c:v>
                </c:pt>
                <c:pt idx="97">
                  <c:v>24.1</c:v>
                </c:pt>
                <c:pt idx="98">
                  <c:v>24.3</c:v>
                </c:pt>
                <c:pt idx="99">
                  <c:v>24.6</c:v>
                </c:pt>
                <c:pt idx="100">
                  <c:v>24.8</c:v>
                </c:pt>
                <c:pt idx="101">
                  <c:v>25.2</c:v>
                </c:pt>
                <c:pt idx="102">
                  <c:v>25.6</c:v>
                </c:pt>
                <c:pt idx="103">
                  <c:v>26</c:v>
                </c:pt>
                <c:pt idx="104">
                  <c:v>26.5</c:v>
                </c:pt>
                <c:pt idx="105">
                  <c:v>26.9</c:v>
                </c:pt>
                <c:pt idx="106">
                  <c:v>27.6</c:v>
                </c:pt>
                <c:pt idx="107">
                  <c:v>28.3</c:v>
                </c:pt>
                <c:pt idx="108">
                  <c:v>28.9</c:v>
                </c:pt>
                <c:pt idx="109">
                  <c:v>29.3</c:v>
                </c:pt>
                <c:pt idx="110">
                  <c:v>29.5</c:v>
                </c:pt>
                <c:pt idx="111">
                  <c:v>29.7</c:v>
                </c:pt>
                <c:pt idx="112">
                  <c:v>29.9</c:v>
                </c:pt>
                <c:pt idx="113">
                  <c:v>29.9</c:v>
                </c:pt>
                <c:pt idx="114">
                  <c:v>29.7</c:v>
                </c:pt>
                <c:pt idx="115">
                  <c:v>29.5</c:v>
                </c:pt>
                <c:pt idx="116">
                  <c:v>29</c:v>
                </c:pt>
                <c:pt idx="117">
                  <c:v>28.6</c:v>
                </c:pt>
                <c:pt idx="118">
                  <c:v>28.1</c:v>
                </c:pt>
                <c:pt idx="119">
                  <c:v>27.8</c:v>
                </c:pt>
                <c:pt idx="120">
                  <c:v>27.4</c:v>
                </c:pt>
                <c:pt idx="121">
                  <c:v>27</c:v>
                </c:pt>
                <c:pt idx="122">
                  <c:v>26.6</c:v>
                </c:pt>
                <c:pt idx="123">
                  <c:v>26.3</c:v>
                </c:pt>
                <c:pt idx="124">
                  <c:v>26</c:v>
                </c:pt>
                <c:pt idx="125">
                  <c:v>25.6</c:v>
                </c:pt>
                <c:pt idx="126">
                  <c:v>25.3</c:v>
                </c:pt>
                <c:pt idx="127">
                  <c:v>25</c:v>
                </c:pt>
                <c:pt idx="128">
                  <c:v>24.9</c:v>
                </c:pt>
                <c:pt idx="129">
                  <c:v>24.9</c:v>
                </c:pt>
                <c:pt idx="130">
                  <c:v>25.1</c:v>
                </c:pt>
                <c:pt idx="131">
                  <c:v>25.1</c:v>
                </c:pt>
                <c:pt idx="132">
                  <c:v>25.1</c:v>
                </c:pt>
                <c:pt idx="133">
                  <c:v>25</c:v>
                </c:pt>
                <c:pt idx="134">
                  <c:v>24.9</c:v>
                </c:pt>
                <c:pt idx="135">
                  <c:v>24.8</c:v>
                </c:pt>
                <c:pt idx="136">
                  <c:v>24.9</c:v>
                </c:pt>
                <c:pt idx="137">
                  <c:v>25</c:v>
                </c:pt>
                <c:pt idx="138">
                  <c:v>25.2</c:v>
                </c:pt>
                <c:pt idx="139">
                  <c:v>25.4</c:v>
                </c:pt>
                <c:pt idx="140">
                  <c:v>25.4</c:v>
                </c:pt>
                <c:pt idx="141">
                  <c:v>25.3</c:v>
                </c:pt>
                <c:pt idx="142">
                  <c:v>25.2</c:v>
                </c:pt>
                <c:pt idx="143">
                  <c:v>24.8</c:v>
                </c:pt>
                <c:pt idx="144">
                  <c:v>24.4</c:v>
                </c:pt>
                <c:pt idx="145">
                  <c:v>23.9</c:v>
                </c:pt>
                <c:pt idx="146">
                  <c:v>23.6</c:v>
                </c:pt>
                <c:pt idx="147">
                  <c:v>23.4</c:v>
                </c:pt>
                <c:pt idx="148">
                  <c:v>23.2</c:v>
                </c:pt>
                <c:pt idx="149">
                  <c:v>22.8</c:v>
                </c:pt>
                <c:pt idx="150">
                  <c:v>22.4</c:v>
                </c:pt>
                <c:pt idx="151">
                  <c:v>22.1</c:v>
                </c:pt>
                <c:pt idx="152">
                  <c:v>21.9</c:v>
                </c:pt>
                <c:pt idx="153">
                  <c:v>21.8</c:v>
                </c:pt>
                <c:pt idx="154">
                  <c:v>21.7</c:v>
                </c:pt>
                <c:pt idx="155">
                  <c:v>21.7</c:v>
                </c:pt>
                <c:pt idx="156">
                  <c:v>21.7</c:v>
                </c:pt>
                <c:pt idx="157">
                  <c:v>21.7</c:v>
                </c:pt>
                <c:pt idx="158">
                  <c:v>21.6</c:v>
                </c:pt>
                <c:pt idx="159">
                  <c:v>21.5</c:v>
                </c:pt>
                <c:pt idx="160">
                  <c:v>21.5</c:v>
                </c:pt>
                <c:pt idx="161">
                  <c:v>21.4</c:v>
                </c:pt>
                <c:pt idx="162">
                  <c:v>21.3</c:v>
                </c:pt>
                <c:pt idx="163">
                  <c:v>21.3</c:v>
                </c:pt>
                <c:pt idx="164">
                  <c:v>21.2</c:v>
                </c:pt>
                <c:pt idx="165">
                  <c:v>20.9</c:v>
                </c:pt>
                <c:pt idx="166">
                  <c:v>20.8</c:v>
                </c:pt>
                <c:pt idx="167">
                  <c:v>20.6</c:v>
                </c:pt>
                <c:pt idx="168">
                  <c:v>20.399999999999999</c:v>
                </c:pt>
                <c:pt idx="169">
                  <c:v>20.3</c:v>
                </c:pt>
                <c:pt idx="170">
                  <c:v>20.2</c:v>
                </c:pt>
                <c:pt idx="171">
                  <c:v>19.899999999999999</c:v>
                </c:pt>
                <c:pt idx="172">
                  <c:v>19.7</c:v>
                </c:pt>
                <c:pt idx="173">
                  <c:v>19.5</c:v>
                </c:pt>
                <c:pt idx="174">
                  <c:v>19.3</c:v>
                </c:pt>
                <c:pt idx="175">
                  <c:v>19.100000000000001</c:v>
                </c:pt>
                <c:pt idx="176">
                  <c:v>18.8</c:v>
                </c:pt>
                <c:pt idx="177">
                  <c:v>18.5</c:v>
                </c:pt>
                <c:pt idx="178">
                  <c:v>18.3</c:v>
                </c:pt>
                <c:pt idx="179">
                  <c:v>18.3</c:v>
                </c:pt>
                <c:pt idx="180">
                  <c:v>18.2</c:v>
                </c:pt>
                <c:pt idx="181">
                  <c:v>18.399999999999999</c:v>
                </c:pt>
                <c:pt idx="182">
                  <c:v>18.7</c:v>
                </c:pt>
                <c:pt idx="183">
                  <c:v>19.2</c:v>
                </c:pt>
                <c:pt idx="184">
                  <c:v>19.399999999999999</c:v>
                </c:pt>
                <c:pt idx="185">
                  <c:v>19.600000000000001</c:v>
                </c:pt>
                <c:pt idx="186">
                  <c:v>19.899999999999999</c:v>
                </c:pt>
                <c:pt idx="187">
                  <c:v>20</c:v>
                </c:pt>
                <c:pt idx="188">
                  <c:v>19.899999999999999</c:v>
                </c:pt>
                <c:pt idx="189">
                  <c:v>19.7</c:v>
                </c:pt>
                <c:pt idx="190">
                  <c:v>19.7</c:v>
                </c:pt>
                <c:pt idx="191">
                  <c:v>19.7</c:v>
                </c:pt>
                <c:pt idx="192">
                  <c:v>19.8</c:v>
                </c:pt>
                <c:pt idx="193">
                  <c:v>19.899999999999999</c:v>
                </c:pt>
                <c:pt idx="194">
                  <c:v>19.899999999999999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20.100000000000001</c:v>
                </c:pt>
                <c:pt idx="200">
                  <c:v>20.3</c:v>
                </c:pt>
                <c:pt idx="201">
                  <c:v>20.5</c:v>
                </c:pt>
                <c:pt idx="202">
                  <c:v>20.6</c:v>
                </c:pt>
                <c:pt idx="203">
                  <c:v>20.8</c:v>
                </c:pt>
                <c:pt idx="204">
                  <c:v>20.8</c:v>
                </c:pt>
                <c:pt idx="205">
                  <c:v>20.6</c:v>
                </c:pt>
                <c:pt idx="206">
                  <c:v>20.100000000000001</c:v>
                </c:pt>
                <c:pt idx="207">
                  <c:v>19.600000000000001</c:v>
                </c:pt>
                <c:pt idx="208">
                  <c:v>19.3</c:v>
                </c:pt>
                <c:pt idx="209">
                  <c:v>19.100000000000001</c:v>
                </c:pt>
                <c:pt idx="210">
                  <c:v>19.100000000000001</c:v>
                </c:pt>
                <c:pt idx="211">
                  <c:v>19.100000000000001</c:v>
                </c:pt>
                <c:pt idx="212">
                  <c:v>19.2</c:v>
                </c:pt>
                <c:pt idx="213">
                  <c:v>19.5</c:v>
                </c:pt>
                <c:pt idx="214">
                  <c:v>19.8</c:v>
                </c:pt>
                <c:pt idx="215">
                  <c:v>20.100000000000001</c:v>
                </c:pt>
                <c:pt idx="216">
                  <c:v>20.6</c:v>
                </c:pt>
                <c:pt idx="217">
                  <c:v>21</c:v>
                </c:pt>
                <c:pt idx="218">
                  <c:v>21.1</c:v>
                </c:pt>
                <c:pt idx="219">
                  <c:v>21.2</c:v>
                </c:pt>
                <c:pt idx="220">
                  <c:v>21.2</c:v>
                </c:pt>
                <c:pt idx="221">
                  <c:v>21.3</c:v>
                </c:pt>
                <c:pt idx="222">
                  <c:v>21.4</c:v>
                </c:pt>
                <c:pt idx="223">
                  <c:v>21.4</c:v>
                </c:pt>
                <c:pt idx="224">
                  <c:v>21.5</c:v>
                </c:pt>
                <c:pt idx="225">
                  <c:v>21.5</c:v>
                </c:pt>
                <c:pt idx="226">
                  <c:v>21.4</c:v>
                </c:pt>
                <c:pt idx="227">
                  <c:v>21.3</c:v>
                </c:pt>
                <c:pt idx="228">
                  <c:v>21.2</c:v>
                </c:pt>
                <c:pt idx="229">
                  <c:v>21.1</c:v>
                </c:pt>
                <c:pt idx="230">
                  <c:v>20.9</c:v>
                </c:pt>
                <c:pt idx="231">
                  <c:v>20.5</c:v>
                </c:pt>
                <c:pt idx="232">
                  <c:v>19.899999999999999</c:v>
                </c:pt>
                <c:pt idx="233">
                  <c:v>19.5</c:v>
                </c:pt>
                <c:pt idx="234">
                  <c:v>19.100000000000001</c:v>
                </c:pt>
                <c:pt idx="235">
                  <c:v>18.5</c:v>
                </c:pt>
                <c:pt idx="236">
                  <c:v>18.399999999999999</c:v>
                </c:pt>
                <c:pt idx="237">
                  <c:v>17.7</c:v>
                </c:pt>
                <c:pt idx="238">
                  <c:v>17.399999999999999</c:v>
                </c:pt>
                <c:pt idx="239">
                  <c:v>17</c:v>
                </c:pt>
                <c:pt idx="240">
                  <c:v>17.399999999999999</c:v>
                </c:pt>
                <c:pt idx="241">
                  <c:v>16.899999999999999</c:v>
                </c:pt>
                <c:pt idx="242">
                  <c:v>17.100000000000001</c:v>
                </c:pt>
                <c:pt idx="243">
                  <c:v>16.8</c:v>
                </c:pt>
                <c:pt idx="244">
                  <c:v>16.7</c:v>
                </c:pt>
                <c:pt idx="245">
                  <c:v>16.899999999999999</c:v>
                </c:pt>
                <c:pt idx="246">
                  <c:v>16.8</c:v>
                </c:pt>
                <c:pt idx="247">
                  <c:v>16.8</c:v>
                </c:pt>
                <c:pt idx="248">
                  <c:v>16.8</c:v>
                </c:pt>
                <c:pt idx="249">
                  <c:v>16.8</c:v>
                </c:pt>
                <c:pt idx="250">
                  <c:v>16.7</c:v>
                </c:pt>
                <c:pt idx="251">
                  <c:v>16.8</c:v>
                </c:pt>
                <c:pt idx="252">
                  <c:v>16.8</c:v>
                </c:pt>
                <c:pt idx="253">
                  <c:v>16.7</c:v>
                </c:pt>
                <c:pt idx="254">
                  <c:v>16.899999999999999</c:v>
                </c:pt>
                <c:pt idx="255">
                  <c:v>16.8</c:v>
                </c:pt>
                <c:pt idx="256">
                  <c:v>16.8</c:v>
                </c:pt>
                <c:pt idx="257">
                  <c:v>16.5</c:v>
                </c:pt>
                <c:pt idx="258">
                  <c:v>16.7</c:v>
                </c:pt>
                <c:pt idx="259">
                  <c:v>16.399999999999999</c:v>
                </c:pt>
                <c:pt idx="260">
                  <c:v>15.9</c:v>
                </c:pt>
                <c:pt idx="261">
                  <c:v>15.7</c:v>
                </c:pt>
                <c:pt idx="262">
                  <c:v>15.8</c:v>
                </c:pt>
                <c:pt idx="263">
                  <c:v>15.7</c:v>
                </c:pt>
                <c:pt idx="264">
                  <c:v>15.4</c:v>
                </c:pt>
                <c:pt idx="265">
                  <c:v>15.4</c:v>
                </c:pt>
                <c:pt idx="266">
                  <c:v>15</c:v>
                </c:pt>
                <c:pt idx="267">
                  <c:v>14.6</c:v>
                </c:pt>
                <c:pt idx="268">
                  <c:v>15</c:v>
                </c:pt>
                <c:pt idx="269">
                  <c:v>15.6</c:v>
                </c:pt>
                <c:pt idx="270">
                  <c:v>15.4</c:v>
                </c:pt>
                <c:pt idx="271">
                  <c:v>14.7</c:v>
                </c:pt>
                <c:pt idx="272">
                  <c:v>14.4</c:v>
                </c:pt>
                <c:pt idx="273">
                  <c:v>15.1</c:v>
                </c:pt>
                <c:pt idx="274">
                  <c:v>15.5</c:v>
                </c:pt>
                <c:pt idx="275">
                  <c:v>15.5</c:v>
                </c:pt>
                <c:pt idx="276">
                  <c:v>15.3</c:v>
                </c:pt>
                <c:pt idx="277">
                  <c:v>16.2</c:v>
                </c:pt>
                <c:pt idx="278">
                  <c:v>16.899999999999999</c:v>
                </c:pt>
                <c:pt idx="279">
                  <c:v>17.8</c:v>
                </c:pt>
                <c:pt idx="280">
                  <c:v>17.7</c:v>
                </c:pt>
                <c:pt idx="281">
                  <c:v>18.399999999999999</c:v>
                </c:pt>
                <c:pt idx="282">
                  <c:v>19.7</c:v>
                </c:pt>
                <c:pt idx="283">
                  <c:v>22.2</c:v>
                </c:pt>
                <c:pt idx="284">
                  <c:v>20.8</c:v>
                </c:pt>
                <c:pt idx="285">
                  <c:v>19.2</c:v>
                </c:pt>
                <c:pt idx="286">
                  <c:v>20.3</c:v>
                </c:pt>
                <c:pt idx="287">
                  <c:v>25.5</c:v>
                </c:pt>
                <c:pt idx="288">
                  <c:v>22.8</c:v>
                </c:pt>
                <c:pt idx="289">
                  <c:v>21.7</c:v>
                </c:pt>
                <c:pt idx="290">
                  <c:v>23.1</c:v>
                </c:pt>
                <c:pt idx="291">
                  <c:v>25.1</c:v>
                </c:pt>
                <c:pt idx="292">
                  <c:v>22.5</c:v>
                </c:pt>
                <c:pt idx="293">
                  <c:v>23</c:v>
                </c:pt>
                <c:pt idx="294">
                  <c:v>24.9</c:v>
                </c:pt>
                <c:pt idx="295">
                  <c:v>25.6</c:v>
                </c:pt>
                <c:pt idx="296">
                  <c:v>26.2</c:v>
                </c:pt>
                <c:pt idx="297">
                  <c:v>25.3</c:v>
                </c:pt>
                <c:pt idx="298">
                  <c:v>27.2</c:v>
                </c:pt>
                <c:pt idx="299">
                  <c:v>27.3</c:v>
                </c:pt>
                <c:pt idx="300">
                  <c:v>25.4</c:v>
                </c:pt>
                <c:pt idx="301">
                  <c:v>25.8</c:v>
                </c:pt>
                <c:pt idx="302">
                  <c:v>24.4</c:v>
                </c:pt>
                <c:pt idx="303">
                  <c:v>24.1</c:v>
                </c:pt>
                <c:pt idx="304">
                  <c:v>26.7</c:v>
                </c:pt>
                <c:pt idx="305">
                  <c:v>26.1</c:v>
                </c:pt>
                <c:pt idx="306">
                  <c:v>23.7</c:v>
                </c:pt>
                <c:pt idx="307">
                  <c:v>26.9</c:v>
                </c:pt>
                <c:pt idx="308">
                  <c:v>26.3</c:v>
                </c:pt>
                <c:pt idx="309">
                  <c:v>26.9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695104"/>
        <c:axId val="384245760"/>
      </c:lineChart>
      <c:catAx>
        <c:axId val="38369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WALA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84245760"/>
        <c:crosses val="autoZero"/>
        <c:auto val="1"/>
        <c:lblAlgn val="ctr"/>
        <c:lblOffset val="100"/>
        <c:noMultiLvlLbl val="0"/>
      </c:catAx>
      <c:valAx>
        <c:axId val="384245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83695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FNMA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TotalTracking!$P$1</c:f>
              <c:strCache>
                <c:ptCount val="1"/>
                <c:pt idx="0">
                  <c:v>Actual CPR</c:v>
                </c:pt>
              </c:strCache>
            </c:strRef>
          </c:tx>
          <c:marker>
            <c:symbol val="none"/>
          </c:marker>
          <c:cat>
            <c:numRef>
              <c:f>TotalTracking!$O$2:$O$362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TotalTracking!$P$2:$P$362</c:f>
              <c:numCache>
                <c:formatCode>General</c:formatCode>
                <c:ptCount val="361"/>
                <c:pt idx="0">
                  <c:v>0.4</c:v>
                </c:pt>
                <c:pt idx="1">
                  <c:v>1.6</c:v>
                </c:pt>
                <c:pt idx="2">
                  <c:v>3.3</c:v>
                </c:pt>
                <c:pt idx="3">
                  <c:v>4.9000000000000004</c:v>
                </c:pt>
                <c:pt idx="4">
                  <c:v>8</c:v>
                </c:pt>
                <c:pt idx="5">
                  <c:v>10.8</c:v>
                </c:pt>
                <c:pt idx="6">
                  <c:v>12.1</c:v>
                </c:pt>
                <c:pt idx="7">
                  <c:v>13.5</c:v>
                </c:pt>
                <c:pt idx="8">
                  <c:v>14.4</c:v>
                </c:pt>
                <c:pt idx="9">
                  <c:v>15</c:v>
                </c:pt>
                <c:pt idx="10">
                  <c:v>15.5</c:v>
                </c:pt>
                <c:pt idx="11">
                  <c:v>16.2</c:v>
                </c:pt>
                <c:pt idx="12">
                  <c:v>17.2</c:v>
                </c:pt>
                <c:pt idx="13">
                  <c:v>18.2</c:v>
                </c:pt>
                <c:pt idx="14">
                  <c:v>18.600000000000001</c:v>
                </c:pt>
                <c:pt idx="15">
                  <c:v>18.899999999999999</c:v>
                </c:pt>
                <c:pt idx="16">
                  <c:v>19.2</c:v>
                </c:pt>
                <c:pt idx="17">
                  <c:v>19.600000000000001</c:v>
                </c:pt>
                <c:pt idx="18">
                  <c:v>19.899999999999999</c:v>
                </c:pt>
                <c:pt idx="19">
                  <c:v>20.3</c:v>
                </c:pt>
                <c:pt idx="20">
                  <c:v>20.399999999999999</c:v>
                </c:pt>
                <c:pt idx="21">
                  <c:v>20</c:v>
                </c:pt>
                <c:pt idx="22">
                  <c:v>19.8</c:v>
                </c:pt>
                <c:pt idx="23">
                  <c:v>19.7</c:v>
                </c:pt>
                <c:pt idx="24">
                  <c:v>19.7</c:v>
                </c:pt>
                <c:pt idx="25">
                  <c:v>19.899999999999999</c:v>
                </c:pt>
                <c:pt idx="26">
                  <c:v>19.8</c:v>
                </c:pt>
                <c:pt idx="27">
                  <c:v>19.899999999999999</c:v>
                </c:pt>
                <c:pt idx="28">
                  <c:v>19.899999999999999</c:v>
                </c:pt>
                <c:pt idx="29">
                  <c:v>20.2</c:v>
                </c:pt>
                <c:pt idx="30">
                  <c:v>20.2</c:v>
                </c:pt>
                <c:pt idx="31">
                  <c:v>20.2</c:v>
                </c:pt>
                <c:pt idx="32">
                  <c:v>20.2</c:v>
                </c:pt>
                <c:pt idx="33">
                  <c:v>20</c:v>
                </c:pt>
                <c:pt idx="34">
                  <c:v>19.899999999999999</c:v>
                </c:pt>
                <c:pt idx="35">
                  <c:v>19.899999999999999</c:v>
                </c:pt>
                <c:pt idx="36">
                  <c:v>19.899999999999999</c:v>
                </c:pt>
                <c:pt idx="37">
                  <c:v>20.100000000000001</c:v>
                </c:pt>
                <c:pt idx="38">
                  <c:v>20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21</c:v>
                </c:pt>
                <c:pt idx="43">
                  <c:v>21.4</c:v>
                </c:pt>
                <c:pt idx="44">
                  <c:v>21.6</c:v>
                </c:pt>
                <c:pt idx="45">
                  <c:v>21.6</c:v>
                </c:pt>
                <c:pt idx="46">
                  <c:v>21.6</c:v>
                </c:pt>
                <c:pt idx="47">
                  <c:v>21.8</c:v>
                </c:pt>
                <c:pt idx="48">
                  <c:v>22.1</c:v>
                </c:pt>
                <c:pt idx="49">
                  <c:v>22.2</c:v>
                </c:pt>
                <c:pt idx="50">
                  <c:v>22</c:v>
                </c:pt>
                <c:pt idx="51">
                  <c:v>22.1</c:v>
                </c:pt>
                <c:pt idx="52">
                  <c:v>22.1</c:v>
                </c:pt>
                <c:pt idx="53">
                  <c:v>22.1</c:v>
                </c:pt>
                <c:pt idx="54">
                  <c:v>22.1</c:v>
                </c:pt>
                <c:pt idx="55">
                  <c:v>22.2</c:v>
                </c:pt>
                <c:pt idx="56">
                  <c:v>22.4</c:v>
                </c:pt>
                <c:pt idx="57">
                  <c:v>22.4</c:v>
                </c:pt>
                <c:pt idx="58">
                  <c:v>22.3</c:v>
                </c:pt>
                <c:pt idx="59">
                  <c:v>22.5</c:v>
                </c:pt>
                <c:pt idx="60">
                  <c:v>22.6</c:v>
                </c:pt>
                <c:pt idx="61">
                  <c:v>22.6</c:v>
                </c:pt>
                <c:pt idx="62">
                  <c:v>22.6</c:v>
                </c:pt>
                <c:pt idx="63">
                  <c:v>22.5</c:v>
                </c:pt>
                <c:pt idx="64">
                  <c:v>22.3</c:v>
                </c:pt>
                <c:pt idx="65">
                  <c:v>22.3</c:v>
                </c:pt>
                <c:pt idx="66">
                  <c:v>22.3</c:v>
                </c:pt>
                <c:pt idx="67">
                  <c:v>22.6</c:v>
                </c:pt>
                <c:pt idx="68">
                  <c:v>22.7</c:v>
                </c:pt>
                <c:pt idx="69">
                  <c:v>22.9</c:v>
                </c:pt>
                <c:pt idx="70">
                  <c:v>23</c:v>
                </c:pt>
                <c:pt idx="71">
                  <c:v>23.3</c:v>
                </c:pt>
                <c:pt idx="72">
                  <c:v>23.7</c:v>
                </c:pt>
                <c:pt idx="73">
                  <c:v>24</c:v>
                </c:pt>
                <c:pt idx="74">
                  <c:v>24.2</c:v>
                </c:pt>
                <c:pt idx="75">
                  <c:v>24</c:v>
                </c:pt>
                <c:pt idx="76">
                  <c:v>23.9</c:v>
                </c:pt>
                <c:pt idx="77">
                  <c:v>23.9</c:v>
                </c:pt>
                <c:pt idx="78">
                  <c:v>24</c:v>
                </c:pt>
                <c:pt idx="79">
                  <c:v>24.1</c:v>
                </c:pt>
                <c:pt idx="80">
                  <c:v>23.9</c:v>
                </c:pt>
                <c:pt idx="81">
                  <c:v>23.8</c:v>
                </c:pt>
                <c:pt idx="82">
                  <c:v>23.9</c:v>
                </c:pt>
                <c:pt idx="83">
                  <c:v>24.4</c:v>
                </c:pt>
                <c:pt idx="84">
                  <c:v>24.9</c:v>
                </c:pt>
                <c:pt idx="85">
                  <c:v>25.4</c:v>
                </c:pt>
                <c:pt idx="86">
                  <c:v>25.9</c:v>
                </c:pt>
                <c:pt idx="87">
                  <c:v>26</c:v>
                </c:pt>
                <c:pt idx="88">
                  <c:v>26.3</c:v>
                </c:pt>
                <c:pt idx="89">
                  <c:v>26.4</c:v>
                </c:pt>
                <c:pt idx="90">
                  <c:v>26.2</c:v>
                </c:pt>
                <c:pt idx="91">
                  <c:v>25.8</c:v>
                </c:pt>
                <c:pt idx="92">
                  <c:v>25.3</c:v>
                </c:pt>
                <c:pt idx="93">
                  <c:v>25.2</c:v>
                </c:pt>
                <c:pt idx="94">
                  <c:v>25.1</c:v>
                </c:pt>
                <c:pt idx="95">
                  <c:v>25.2</c:v>
                </c:pt>
                <c:pt idx="96">
                  <c:v>25.5</c:v>
                </c:pt>
                <c:pt idx="97">
                  <c:v>25.5</c:v>
                </c:pt>
                <c:pt idx="98">
                  <c:v>25.5</c:v>
                </c:pt>
                <c:pt idx="99">
                  <c:v>25.7</c:v>
                </c:pt>
                <c:pt idx="100">
                  <c:v>25.9</c:v>
                </c:pt>
                <c:pt idx="101">
                  <c:v>25.8</c:v>
                </c:pt>
                <c:pt idx="102">
                  <c:v>26</c:v>
                </c:pt>
                <c:pt idx="103">
                  <c:v>26.4</c:v>
                </c:pt>
                <c:pt idx="104">
                  <c:v>26.7</c:v>
                </c:pt>
                <c:pt idx="105">
                  <c:v>27</c:v>
                </c:pt>
                <c:pt idx="106">
                  <c:v>27.4</c:v>
                </c:pt>
                <c:pt idx="107">
                  <c:v>27.9</c:v>
                </c:pt>
                <c:pt idx="108">
                  <c:v>28.8</c:v>
                </c:pt>
                <c:pt idx="109">
                  <c:v>29.5</c:v>
                </c:pt>
                <c:pt idx="110">
                  <c:v>30</c:v>
                </c:pt>
                <c:pt idx="111">
                  <c:v>30.3</c:v>
                </c:pt>
                <c:pt idx="112">
                  <c:v>30.7</c:v>
                </c:pt>
                <c:pt idx="113">
                  <c:v>30.8</c:v>
                </c:pt>
                <c:pt idx="114">
                  <c:v>30.6</c:v>
                </c:pt>
                <c:pt idx="115">
                  <c:v>30.7</c:v>
                </c:pt>
                <c:pt idx="116">
                  <c:v>30.6</c:v>
                </c:pt>
                <c:pt idx="117">
                  <c:v>30.6</c:v>
                </c:pt>
                <c:pt idx="118">
                  <c:v>30.4</c:v>
                </c:pt>
                <c:pt idx="119">
                  <c:v>30.1</c:v>
                </c:pt>
                <c:pt idx="120">
                  <c:v>29.9</c:v>
                </c:pt>
                <c:pt idx="121">
                  <c:v>28.9</c:v>
                </c:pt>
                <c:pt idx="122">
                  <c:v>28.2</c:v>
                </c:pt>
                <c:pt idx="123">
                  <c:v>27.1</c:v>
                </c:pt>
                <c:pt idx="124">
                  <c:v>26.4</c:v>
                </c:pt>
                <c:pt idx="125">
                  <c:v>25.6</c:v>
                </c:pt>
                <c:pt idx="126">
                  <c:v>24.9</c:v>
                </c:pt>
                <c:pt idx="127">
                  <c:v>24.3</c:v>
                </c:pt>
                <c:pt idx="128">
                  <c:v>23.9</c:v>
                </c:pt>
                <c:pt idx="129">
                  <c:v>23.4</c:v>
                </c:pt>
                <c:pt idx="130">
                  <c:v>23.1</c:v>
                </c:pt>
                <c:pt idx="131">
                  <c:v>22.7</c:v>
                </c:pt>
                <c:pt idx="132">
                  <c:v>22.9</c:v>
                </c:pt>
                <c:pt idx="133">
                  <c:v>22.5</c:v>
                </c:pt>
                <c:pt idx="134">
                  <c:v>22.2</c:v>
                </c:pt>
                <c:pt idx="135">
                  <c:v>21.5</c:v>
                </c:pt>
                <c:pt idx="136">
                  <c:v>21.6</c:v>
                </c:pt>
                <c:pt idx="137">
                  <c:v>21.3</c:v>
                </c:pt>
                <c:pt idx="138">
                  <c:v>21.2</c:v>
                </c:pt>
                <c:pt idx="139">
                  <c:v>21.3</c:v>
                </c:pt>
                <c:pt idx="140">
                  <c:v>21</c:v>
                </c:pt>
                <c:pt idx="141">
                  <c:v>21.2</c:v>
                </c:pt>
                <c:pt idx="142">
                  <c:v>21</c:v>
                </c:pt>
                <c:pt idx="143">
                  <c:v>21</c:v>
                </c:pt>
                <c:pt idx="144">
                  <c:v>21.1</c:v>
                </c:pt>
                <c:pt idx="145">
                  <c:v>20.9</c:v>
                </c:pt>
                <c:pt idx="146">
                  <c:v>20.6</c:v>
                </c:pt>
                <c:pt idx="147">
                  <c:v>20.399999999999999</c:v>
                </c:pt>
                <c:pt idx="148">
                  <c:v>19.899999999999999</c:v>
                </c:pt>
                <c:pt idx="149">
                  <c:v>19.899999999999999</c:v>
                </c:pt>
                <c:pt idx="150">
                  <c:v>19.5</c:v>
                </c:pt>
                <c:pt idx="151">
                  <c:v>19.2</c:v>
                </c:pt>
                <c:pt idx="152">
                  <c:v>19</c:v>
                </c:pt>
                <c:pt idx="153">
                  <c:v>18.899999999999999</c:v>
                </c:pt>
                <c:pt idx="154">
                  <c:v>19.100000000000001</c:v>
                </c:pt>
                <c:pt idx="155">
                  <c:v>18.8</c:v>
                </c:pt>
                <c:pt idx="156">
                  <c:v>19</c:v>
                </c:pt>
                <c:pt idx="157">
                  <c:v>18.8</c:v>
                </c:pt>
                <c:pt idx="158">
                  <c:v>18.7</c:v>
                </c:pt>
                <c:pt idx="159">
                  <c:v>18.600000000000001</c:v>
                </c:pt>
                <c:pt idx="160">
                  <c:v>18.399999999999999</c:v>
                </c:pt>
                <c:pt idx="161">
                  <c:v>18.899999999999999</c:v>
                </c:pt>
                <c:pt idx="162">
                  <c:v>18</c:v>
                </c:pt>
                <c:pt idx="163">
                  <c:v>17.899999999999999</c:v>
                </c:pt>
                <c:pt idx="164">
                  <c:v>18.5</c:v>
                </c:pt>
                <c:pt idx="165">
                  <c:v>18</c:v>
                </c:pt>
                <c:pt idx="166">
                  <c:v>17.8</c:v>
                </c:pt>
                <c:pt idx="167">
                  <c:v>18.5</c:v>
                </c:pt>
                <c:pt idx="168">
                  <c:v>17.899999999999999</c:v>
                </c:pt>
                <c:pt idx="169">
                  <c:v>18.399999999999999</c:v>
                </c:pt>
                <c:pt idx="170">
                  <c:v>18.5</c:v>
                </c:pt>
                <c:pt idx="171">
                  <c:v>18.3</c:v>
                </c:pt>
                <c:pt idx="172">
                  <c:v>18.5</c:v>
                </c:pt>
                <c:pt idx="173">
                  <c:v>18.7</c:v>
                </c:pt>
                <c:pt idx="174">
                  <c:v>18.600000000000001</c:v>
                </c:pt>
                <c:pt idx="175">
                  <c:v>18.7</c:v>
                </c:pt>
                <c:pt idx="176">
                  <c:v>18.600000000000001</c:v>
                </c:pt>
                <c:pt idx="177">
                  <c:v>18.7</c:v>
                </c:pt>
                <c:pt idx="178">
                  <c:v>18.600000000000001</c:v>
                </c:pt>
                <c:pt idx="179">
                  <c:v>18.899999999999999</c:v>
                </c:pt>
                <c:pt idx="180">
                  <c:v>18.5</c:v>
                </c:pt>
                <c:pt idx="181">
                  <c:v>18.600000000000001</c:v>
                </c:pt>
                <c:pt idx="182">
                  <c:v>18.3</c:v>
                </c:pt>
                <c:pt idx="183">
                  <c:v>18.3</c:v>
                </c:pt>
                <c:pt idx="184">
                  <c:v>19</c:v>
                </c:pt>
                <c:pt idx="185">
                  <c:v>18.2</c:v>
                </c:pt>
                <c:pt idx="186">
                  <c:v>18.600000000000001</c:v>
                </c:pt>
                <c:pt idx="187">
                  <c:v>18.5</c:v>
                </c:pt>
                <c:pt idx="188">
                  <c:v>18.5</c:v>
                </c:pt>
                <c:pt idx="189">
                  <c:v>18.2</c:v>
                </c:pt>
                <c:pt idx="190">
                  <c:v>18.399999999999999</c:v>
                </c:pt>
                <c:pt idx="191">
                  <c:v>17.899999999999999</c:v>
                </c:pt>
                <c:pt idx="192">
                  <c:v>17.5</c:v>
                </c:pt>
                <c:pt idx="193">
                  <c:v>17.8</c:v>
                </c:pt>
                <c:pt idx="194">
                  <c:v>18.100000000000001</c:v>
                </c:pt>
                <c:pt idx="195">
                  <c:v>17.399999999999999</c:v>
                </c:pt>
                <c:pt idx="196">
                  <c:v>17.899999999999999</c:v>
                </c:pt>
                <c:pt idx="197">
                  <c:v>18.100000000000001</c:v>
                </c:pt>
                <c:pt idx="198">
                  <c:v>18</c:v>
                </c:pt>
                <c:pt idx="199">
                  <c:v>17.2</c:v>
                </c:pt>
                <c:pt idx="200">
                  <c:v>17.399999999999999</c:v>
                </c:pt>
                <c:pt idx="201">
                  <c:v>17.5</c:v>
                </c:pt>
                <c:pt idx="202">
                  <c:v>17.399999999999999</c:v>
                </c:pt>
                <c:pt idx="203">
                  <c:v>17</c:v>
                </c:pt>
                <c:pt idx="204">
                  <c:v>17.600000000000001</c:v>
                </c:pt>
                <c:pt idx="205">
                  <c:v>16.899999999999999</c:v>
                </c:pt>
                <c:pt idx="206">
                  <c:v>17</c:v>
                </c:pt>
                <c:pt idx="207">
                  <c:v>16.600000000000001</c:v>
                </c:pt>
                <c:pt idx="208">
                  <c:v>16.8</c:v>
                </c:pt>
                <c:pt idx="209">
                  <c:v>16.600000000000001</c:v>
                </c:pt>
                <c:pt idx="210">
                  <c:v>16.7</c:v>
                </c:pt>
                <c:pt idx="211">
                  <c:v>16.2</c:v>
                </c:pt>
                <c:pt idx="212">
                  <c:v>16.5</c:v>
                </c:pt>
                <c:pt idx="213">
                  <c:v>16.100000000000001</c:v>
                </c:pt>
                <c:pt idx="214">
                  <c:v>16.100000000000001</c:v>
                </c:pt>
                <c:pt idx="215">
                  <c:v>15.7</c:v>
                </c:pt>
                <c:pt idx="216">
                  <c:v>16.3</c:v>
                </c:pt>
                <c:pt idx="217">
                  <c:v>16.600000000000001</c:v>
                </c:pt>
                <c:pt idx="218">
                  <c:v>16.100000000000001</c:v>
                </c:pt>
                <c:pt idx="219">
                  <c:v>15.9</c:v>
                </c:pt>
                <c:pt idx="220">
                  <c:v>15.6</c:v>
                </c:pt>
                <c:pt idx="221">
                  <c:v>15.5</c:v>
                </c:pt>
                <c:pt idx="222">
                  <c:v>15.3</c:v>
                </c:pt>
                <c:pt idx="223">
                  <c:v>15.9</c:v>
                </c:pt>
                <c:pt idx="224">
                  <c:v>15.8</c:v>
                </c:pt>
                <c:pt idx="225">
                  <c:v>15.5</c:v>
                </c:pt>
                <c:pt idx="226">
                  <c:v>15.6</c:v>
                </c:pt>
                <c:pt idx="227">
                  <c:v>16.100000000000001</c:v>
                </c:pt>
                <c:pt idx="228">
                  <c:v>15.6</c:v>
                </c:pt>
                <c:pt idx="229">
                  <c:v>15.9</c:v>
                </c:pt>
                <c:pt idx="230">
                  <c:v>16.100000000000001</c:v>
                </c:pt>
                <c:pt idx="231">
                  <c:v>15.6</c:v>
                </c:pt>
                <c:pt idx="232">
                  <c:v>16.2</c:v>
                </c:pt>
                <c:pt idx="233">
                  <c:v>15.8</c:v>
                </c:pt>
                <c:pt idx="234">
                  <c:v>15.9</c:v>
                </c:pt>
                <c:pt idx="235">
                  <c:v>16.2</c:v>
                </c:pt>
                <c:pt idx="236">
                  <c:v>16.5</c:v>
                </c:pt>
                <c:pt idx="237">
                  <c:v>15.7</c:v>
                </c:pt>
                <c:pt idx="238">
                  <c:v>15.8</c:v>
                </c:pt>
                <c:pt idx="239">
                  <c:v>16.2</c:v>
                </c:pt>
                <c:pt idx="240">
                  <c:v>16</c:v>
                </c:pt>
                <c:pt idx="241">
                  <c:v>15.8</c:v>
                </c:pt>
                <c:pt idx="242">
                  <c:v>15.7</c:v>
                </c:pt>
                <c:pt idx="243">
                  <c:v>16</c:v>
                </c:pt>
                <c:pt idx="244">
                  <c:v>15.5</c:v>
                </c:pt>
                <c:pt idx="245">
                  <c:v>15.7</c:v>
                </c:pt>
                <c:pt idx="246">
                  <c:v>15.3</c:v>
                </c:pt>
                <c:pt idx="247">
                  <c:v>15.3</c:v>
                </c:pt>
                <c:pt idx="248">
                  <c:v>15.9</c:v>
                </c:pt>
                <c:pt idx="249">
                  <c:v>15.1</c:v>
                </c:pt>
                <c:pt idx="250">
                  <c:v>15</c:v>
                </c:pt>
                <c:pt idx="251">
                  <c:v>15.2</c:v>
                </c:pt>
                <c:pt idx="252">
                  <c:v>15.8</c:v>
                </c:pt>
                <c:pt idx="253">
                  <c:v>15.9</c:v>
                </c:pt>
                <c:pt idx="254">
                  <c:v>15</c:v>
                </c:pt>
                <c:pt idx="255">
                  <c:v>15.7</c:v>
                </c:pt>
                <c:pt idx="256">
                  <c:v>15.6</c:v>
                </c:pt>
                <c:pt idx="257">
                  <c:v>15.4</c:v>
                </c:pt>
                <c:pt idx="258">
                  <c:v>16</c:v>
                </c:pt>
                <c:pt idx="259">
                  <c:v>15.8</c:v>
                </c:pt>
                <c:pt idx="260">
                  <c:v>15.5</c:v>
                </c:pt>
                <c:pt idx="261">
                  <c:v>15.5</c:v>
                </c:pt>
                <c:pt idx="262">
                  <c:v>15.6</c:v>
                </c:pt>
                <c:pt idx="263">
                  <c:v>15.5</c:v>
                </c:pt>
                <c:pt idx="264">
                  <c:v>15.6</c:v>
                </c:pt>
                <c:pt idx="265">
                  <c:v>16.2</c:v>
                </c:pt>
                <c:pt idx="266">
                  <c:v>15.8</c:v>
                </c:pt>
                <c:pt idx="267">
                  <c:v>15.7</c:v>
                </c:pt>
                <c:pt idx="268">
                  <c:v>15.4</c:v>
                </c:pt>
                <c:pt idx="269">
                  <c:v>16</c:v>
                </c:pt>
                <c:pt idx="270">
                  <c:v>16</c:v>
                </c:pt>
                <c:pt idx="271">
                  <c:v>16.2</c:v>
                </c:pt>
                <c:pt idx="272">
                  <c:v>16</c:v>
                </c:pt>
                <c:pt idx="273">
                  <c:v>16.399999999999999</c:v>
                </c:pt>
                <c:pt idx="274">
                  <c:v>16.3</c:v>
                </c:pt>
                <c:pt idx="275">
                  <c:v>16.3</c:v>
                </c:pt>
                <c:pt idx="276">
                  <c:v>16.3</c:v>
                </c:pt>
                <c:pt idx="277">
                  <c:v>15.9</c:v>
                </c:pt>
                <c:pt idx="278">
                  <c:v>16</c:v>
                </c:pt>
                <c:pt idx="279">
                  <c:v>16.100000000000001</c:v>
                </c:pt>
                <c:pt idx="280">
                  <c:v>16.100000000000001</c:v>
                </c:pt>
                <c:pt idx="281">
                  <c:v>16.5</c:v>
                </c:pt>
                <c:pt idx="282">
                  <c:v>16.399999999999999</c:v>
                </c:pt>
                <c:pt idx="283">
                  <c:v>16.8</c:v>
                </c:pt>
                <c:pt idx="284">
                  <c:v>16.8</c:v>
                </c:pt>
                <c:pt idx="285">
                  <c:v>16.5</c:v>
                </c:pt>
                <c:pt idx="286">
                  <c:v>16.8</c:v>
                </c:pt>
                <c:pt idx="287">
                  <c:v>17.100000000000001</c:v>
                </c:pt>
                <c:pt idx="288">
                  <c:v>16.5</c:v>
                </c:pt>
                <c:pt idx="289">
                  <c:v>17.2</c:v>
                </c:pt>
                <c:pt idx="290">
                  <c:v>17</c:v>
                </c:pt>
                <c:pt idx="291">
                  <c:v>17</c:v>
                </c:pt>
                <c:pt idx="292">
                  <c:v>17.8</c:v>
                </c:pt>
                <c:pt idx="293">
                  <c:v>17.7</c:v>
                </c:pt>
                <c:pt idx="294">
                  <c:v>18</c:v>
                </c:pt>
                <c:pt idx="295">
                  <c:v>17.899999999999999</c:v>
                </c:pt>
                <c:pt idx="296">
                  <c:v>17.7</c:v>
                </c:pt>
                <c:pt idx="297">
                  <c:v>18.899999999999999</c:v>
                </c:pt>
                <c:pt idx="298">
                  <c:v>18</c:v>
                </c:pt>
                <c:pt idx="299">
                  <c:v>19</c:v>
                </c:pt>
                <c:pt idx="300">
                  <c:v>17.899999999999999</c:v>
                </c:pt>
                <c:pt idx="301">
                  <c:v>17.7</c:v>
                </c:pt>
                <c:pt idx="302">
                  <c:v>18</c:v>
                </c:pt>
                <c:pt idx="303">
                  <c:v>18.7</c:v>
                </c:pt>
                <c:pt idx="304">
                  <c:v>18.7</c:v>
                </c:pt>
                <c:pt idx="305">
                  <c:v>18.2</c:v>
                </c:pt>
                <c:pt idx="306">
                  <c:v>19.600000000000001</c:v>
                </c:pt>
                <c:pt idx="307">
                  <c:v>19.3</c:v>
                </c:pt>
                <c:pt idx="308">
                  <c:v>18.8</c:v>
                </c:pt>
                <c:pt idx="309">
                  <c:v>18.899999999999999</c:v>
                </c:pt>
                <c:pt idx="310">
                  <c:v>18.899999999999999</c:v>
                </c:pt>
                <c:pt idx="311">
                  <c:v>19.100000000000001</c:v>
                </c:pt>
                <c:pt idx="312">
                  <c:v>19.7</c:v>
                </c:pt>
                <c:pt idx="313">
                  <c:v>20.7</c:v>
                </c:pt>
                <c:pt idx="314">
                  <c:v>18.600000000000001</c:v>
                </c:pt>
                <c:pt idx="315">
                  <c:v>19.600000000000001</c:v>
                </c:pt>
                <c:pt idx="316">
                  <c:v>19.899999999999999</c:v>
                </c:pt>
                <c:pt idx="317">
                  <c:v>19.7</c:v>
                </c:pt>
                <c:pt idx="318">
                  <c:v>18.899999999999999</c:v>
                </c:pt>
                <c:pt idx="319">
                  <c:v>19.399999999999999</c:v>
                </c:pt>
                <c:pt idx="320">
                  <c:v>19.7</c:v>
                </c:pt>
                <c:pt idx="321">
                  <c:v>20.100000000000001</c:v>
                </c:pt>
                <c:pt idx="322">
                  <c:v>20</c:v>
                </c:pt>
                <c:pt idx="323">
                  <c:v>20</c:v>
                </c:pt>
                <c:pt idx="324">
                  <c:v>20.5</c:v>
                </c:pt>
                <c:pt idx="325">
                  <c:v>20</c:v>
                </c:pt>
                <c:pt idx="326">
                  <c:v>20</c:v>
                </c:pt>
                <c:pt idx="327">
                  <c:v>20.399999999999999</c:v>
                </c:pt>
                <c:pt idx="328">
                  <c:v>20.2</c:v>
                </c:pt>
                <c:pt idx="329">
                  <c:v>20.3</c:v>
                </c:pt>
                <c:pt idx="330">
                  <c:v>20.9</c:v>
                </c:pt>
                <c:pt idx="331">
                  <c:v>21.5</c:v>
                </c:pt>
                <c:pt idx="332">
                  <c:v>21.2</c:v>
                </c:pt>
                <c:pt idx="333">
                  <c:v>21.6</c:v>
                </c:pt>
                <c:pt idx="334">
                  <c:v>22</c:v>
                </c:pt>
                <c:pt idx="335">
                  <c:v>22.1</c:v>
                </c:pt>
                <c:pt idx="336">
                  <c:v>23.6</c:v>
                </c:pt>
                <c:pt idx="337">
                  <c:v>23</c:v>
                </c:pt>
                <c:pt idx="338">
                  <c:v>23.3</c:v>
                </c:pt>
                <c:pt idx="339">
                  <c:v>23.7</c:v>
                </c:pt>
                <c:pt idx="340">
                  <c:v>23.9</c:v>
                </c:pt>
                <c:pt idx="341">
                  <c:v>25.1</c:v>
                </c:pt>
                <c:pt idx="342">
                  <c:v>24.7</c:v>
                </c:pt>
                <c:pt idx="343">
                  <c:v>26.2</c:v>
                </c:pt>
                <c:pt idx="344">
                  <c:v>25.4</c:v>
                </c:pt>
                <c:pt idx="345">
                  <c:v>26.7</c:v>
                </c:pt>
                <c:pt idx="346">
                  <c:v>28.1</c:v>
                </c:pt>
                <c:pt idx="347">
                  <c:v>28.6</c:v>
                </c:pt>
                <c:pt idx="348">
                  <c:v>28.4</c:v>
                </c:pt>
                <c:pt idx="349">
                  <c:v>29.1</c:v>
                </c:pt>
                <c:pt idx="350">
                  <c:v>29.2</c:v>
                </c:pt>
                <c:pt idx="351">
                  <c:v>30.5</c:v>
                </c:pt>
                <c:pt idx="352">
                  <c:v>29.5</c:v>
                </c:pt>
                <c:pt idx="353">
                  <c:v>31.4</c:v>
                </c:pt>
                <c:pt idx="354">
                  <c:v>32.1</c:v>
                </c:pt>
                <c:pt idx="355">
                  <c:v>30.9</c:v>
                </c:pt>
                <c:pt idx="356">
                  <c:v>32.9</c:v>
                </c:pt>
                <c:pt idx="357">
                  <c:v>31.8</c:v>
                </c:pt>
                <c:pt idx="358">
                  <c:v>34.799999999999997</c:v>
                </c:pt>
                <c:pt idx="359">
                  <c:v>32.6</c:v>
                </c:pt>
                <c:pt idx="360">
                  <c:v>31.5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TotalTracking!$Q$1</c:f>
              <c:strCache>
                <c:ptCount val="1"/>
                <c:pt idx="0">
                  <c:v>Model CPR</c:v>
                </c:pt>
              </c:strCache>
            </c:strRef>
          </c:tx>
          <c:marker>
            <c:symbol val="none"/>
          </c:marker>
          <c:cat>
            <c:numRef>
              <c:f>TotalTracking!$O$2:$O$362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TotalTracking!$Q$2:$Q$362</c:f>
              <c:numCache>
                <c:formatCode>General</c:formatCode>
                <c:ptCount val="361"/>
                <c:pt idx="1">
                  <c:v>3.4</c:v>
                </c:pt>
                <c:pt idx="2">
                  <c:v>2.4</c:v>
                </c:pt>
                <c:pt idx="3">
                  <c:v>4.5</c:v>
                </c:pt>
                <c:pt idx="4">
                  <c:v>6.9</c:v>
                </c:pt>
                <c:pt idx="5">
                  <c:v>9.4</c:v>
                </c:pt>
                <c:pt idx="6">
                  <c:v>11.2</c:v>
                </c:pt>
                <c:pt idx="7">
                  <c:v>12.2</c:v>
                </c:pt>
                <c:pt idx="8">
                  <c:v>13.2</c:v>
                </c:pt>
                <c:pt idx="9">
                  <c:v>14</c:v>
                </c:pt>
                <c:pt idx="10">
                  <c:v>14.6</c:v>
                </c:pt>
                <c:pt idx="11">
                  <c:v>15.3</c:v>
                </c:pt>
                <c:pt idx="12">
                  <c:v>15.9</c:v>
                </c:pt>
                <c:pt idx="13">
                  <c:v>16.3</c:v>
                </c:pt>
                <c:pt idx="14">
                  <c:v>16.8</c:v>
                </c:pt>
                <c:pt idx="15">
                  <c:v>17.2</c:v>
                </c:pt>
                <c:pt idx="16">
                  <c:v>17.600000000000001</c:v>
                </c:pt>
                <c:pt idx="17">
                  <c:v>17.899999999999999</c:v>
                </c:pt>
                <c:pt idx="18">
                  <c:v>18.2</c:v>
                </c:pt>
                <c:pt idx="19">
                  <c:v>18.3</c:v>
                </c:pt>
                <c:pt idx="20">
                  <c:v>18.399999999999999</c:v>
                </c:pt>
                <c:pt idx="21">
                  <c:v>18.3</c:v>
                </c:pt>
                <c:pt idx="22">
                  <c:v>18.3</c:v>
                </c:pt>
                <c:pt idx="23">
                  <c:v>18.3</c:v>
                </c:pt>
                <c:pt idx="24">
                  <c:v>18.3</c:v>
                </c:pt>
                <c:pt idx="25">
                  <c:v>18.399999999999999</c:v>
                </c:pt>
                <c:pt idx="26">
                  <c:v>18.5</c:v>
                </c:pt>
                <c:pt idx="27">
                  <c:v>18.5</c:v>
                </c:pt>
                <c:pt idx="28">
                  <c:v>18.600000000000001</c:v>
                </c:pt>
                <c:pt idx="29">
                  <c:v>18.8</c:v>
                </c:pt>
                <c:pt idx="30">
                  <c:v>18.8</c:v>
                </c:pt>
                <c:pt idx="31">
                  <c:v>19</c:v>
                </c:pt>
                <c:pt idx="32">
                  <c:v>19.100000000000001</c:v>
                </c:pt>
                <c:pt idx="33">
                  <c:v>19.2</c:v>
                </c:pt>
                <c:pt idx="34">
                  <c:v>19.3</c:v>
                </c:pt>
                <c:pt idx="35">
                  <c:v>19.3</c:v>
                </c:pt>
                <c:pt idx="36">
                  <c:v>19.399999999999999</c:v>
                </c:pt>
                <c:pt idx="37">
                  <c:v>19.5</c:v>
                </c:pt>
                <c:pt idx="38">
                  <c:v>19.7</c:v>
                </c:pt>
                <c:pt idx="39">
                  <c:v>19.899999999999999</c:v>
                </c:pt>
                <c:pt idx="40">
                  <c:v>20.2</c:v>
                </c:pt>
                <c:pt idx="41">
                  <c:v>20.6</c:v>
                </c:pt>
                <c:pt idx="42">
                  <c:v>20.8</c:v>
                </c:pt>
                <c:pt idx="43">
                  <c:v>21</c:v>
                </c:pt>
                <c:pt idx="44">
                  <c:v>20.9</c:v>
                </c:pt>
                <c:pt idx="45">
                  <c:v>20.9</c:v>
                </c:pt>
                <c:pt idx="46">
                  <c:v>20.9</c:v>
                </c:pt>
                <c:pt idx="47">
                  <c:v>20.9</c:v>
                </c:pt>
                <c:pt idx="48">
                  <c:v>20.9</c:v>
                </c:pt>
                <c:pt idx="49">
                  <c:v>20.8</c:v>
                </c:pt>
                <c:pt idx="50">
                  <c:v>20.8</c:v>
                </c:pt>
                <c:pt idx="51">
                  <c:v>20.8</c:v>
                </c:pt>
                <c:pt idx="52">
                  <c:v>20.9</c:v>
                </c:pt>
                <c:pt idx="53">
                  <c:v>20.9</c:v>
                </c:pt>
                <c:pt idx="54">
                  <c:v>21</c:v>
                </c:pt>
                <c:pt idx="55">
                  <c:v>20.9</c:v>
                </c:pt>
                <c:pt idx="56">
                  <c:v>20.9</c:v>
                </c:pt>
                <c:pt idx="57">
                  <c:v>20.9</c:v>
                </c:pt>
                <c:pt idx="58">
                  <c:v>20.8</c:v>
                </c:pt>
                <c:pt idx="59">
                  <c:v>20.8</c:v>
                </c:pt>
                <c:pt idx="60">
                  <c:v>20.9</c:v>
                </c:pt>
                <c:pt idx="61">
                  <c:v>21.1</c:v>
                </c:pt>
                <c:pt idx="62">
                  <c:v>21.2</c:v>
                </c:pt>
                <c:pt idx="63">
                  <c:v>21.2</c:v>
                </c:pt>
                <c:pt idx="64">
                  <c:v>21.1</c:v>
                </c:pt>
                <c:pt idx="65">
                  <c:v>21.1</c:v>
                </c:pt>
                <c:pt idx="66">
                  <c:v>21.1</c:v>
                </c:pt>
                <c:pt idx="67">
                  <c:v>21.2</c:v>
                </c:pt>
                <c:pt idx="68">
                  <c:v>21.3</c:v>
                </c:pt>
                <c:pt idx="69">
                  <c:v>21.5</c:v>
                </c:pt>
                <c:pt idx="70">
                  <c:v>21.7</c:v>
                </c:pt>
                <c:pt idx="71">
                  <c:v>21.9</c:v>
                </c:pt>
                <c:pt idx="72">
                  <c:v>22</c:v>
                </c:pt>
                <c:pt idx="73">
                  <c:v>22.1</c:v>
                </c:pt>
                <c:pt idx="74">
                  <c:v>22.2</c:v>
                </c:pt>
                <c:pt idx="75">
                  <c:v>22.3</c:v>
                </c:pt>
                <c:pt idx="76">
                  <c:v>22.3</c:v>
                </c:pt>
                <c:pt idx="77">
                  <c:v>22.5</c:v>
                </c:pt>
                <c:pt idx="78">
                  <c:v>22.6</c:v>
                </c:pt>
                <c:pt idx="79">
                  <c:v>22.7</c:v>
                </c:pt>
                <c:pt idx="80">
                  <c:v>22.7</c:v>
                </c:pt>
                <c:pt idx="81">
                  <c:v>22.5</c:v>
                </c:pt>
                <c:pt idx="82">
                  <c:v>22.6</c:v>
                </c:pt>
                <c:pt idx="83">
                  <c:v>22.8</c:v>
                </c:pt>
                <c:pt idx="84">
                  <c:v>23.2</c:v>
                </c:pt>
                <c:pt idx="85">
                  <c:v>23.6</c:v>
                </c:pt>
                <c:pt idx="86">
                  <c:v>24.1</c:v>
                </c:pt>
                <c:pt idx="87">
                  <c:v>24.3</c:v>
                </c:pt>
                <c:pt idx="88">
                  <c:v>24.4</c:v>
                </c:pt>
                <c:pt idx="89">
                  <c:v>24.4</c:v>
                </c:pt>
                <c:pt idx="90">
                  <c:v>24.2</c:v>
                </c:pt>
                <c:pt idx="91">
                  <c:v>23.9</c:v>
                </c:pt>
                <c:pt idx="92">
                  <c:v>23.7</c:v>
                </c:pt>
                <c:pt idx="93">
                  <c:v>23.6</c:v>
                </c:pt>
                <c:pt idx="94">
                  <c:v>23.6</c:v>
                </c:pt>
                <c:pt idx="95">
                  <c:v>23.7</c:v>
                </c:pt>
                <c:pt idx="96">
                  <c:v>23.9</c:v>
                </c:pt>
                <c:pt idx="97">
                  <c:v>24</c:v>
                </c:pt>
                <c:pt idx="98">
                  <c:v>24.3</c:v>
                </c:pt>
                <c:pt idx="99">
                  <c:v>24.7</c:v>
                </c:pt>
                <c:pt idx="100">
                  <c:v>25</c:v>
                </c:pt>
                <c:pt idx="101">
                  <c:v>25.4</c:v>
                </c:pt>
                <c:pt idx="102">
                  <c:v>26</c:v>
                </c:pt>
                <c:pt idx="103">
                  <c:v>26.4</c:v>
                </c:pt>
                <c:pt idx="104">
                  <c:v>26.8</c:v>
                </c:pt>
                <c:pt idx="105">
                  <c:v>27.3</c:v>
                </c:pt>
                <c:pt idx="106">
                  <c:v>27.8</c:v>
                </c:pt>
                <c:pt idx="107">
                  <c:v>28.4</c:v>
                </c:pt>
                <c:pt idx="108">
                  <c:v>28.8</c:v>
                </c:pt>
                <c:pt idx="109">
                  <c:v>29.3</c:v>
                </c:pt>
                <c:pt idx="110">
                  <c:v>29.6</c:v>
                </c:pt>
                <c:pt idx="111">
                  <c:v>29.8</c:v>
                </c:pt>
                <c:pt idx="112">
                  <c:v>29.8</c:v>
                </c:pt>
                <c:pt idx="113">
                  <c:v>29.7</c:v>
                </c:pt>
                <c:pt idx="114">
                  <c:v>29.5</c:v>
                </c:pt>
                <c:pt idx="115">
                  <c:v>29.3</c:v>
                </c:pt>
                <c:pt idx="116">
                  <c:v>28.8</c:v>
                </c:pt>
                <c:pt idx="117">
                  <c:v>28.3</c:v>
                </c:pt>
                <c:pt idx="118">
                  <c:v>28</c:v>
                </c:pt>
                <c:pt idx="119">
                  <c:v>27.5</c:v>
                </c:pt>
                <c:pt idx="120">
                  <c:v>27</c:v>
                </c:pt>
                <c:pt idx="121">
                  <c:v>26.5</c:v>
                </c:pt>
                <c:pt idx="122">
                  <c:v>26.1</c:v>
                </c:pt>
                <c:pt idx="123">
                  <c:v>25.6</c:v>
                </c:pt>
                <c:pt idx="124">
                  <c:v>25.1</c:v>
                </c:pt>
                <c:pt idx="125">
                  <c:v>24.7</c:v>
                </c:pt>
                <c:pt idx="126">
                  <c:v>24.5</c:v>
                </c:pt>
                <c:pt idx="127">
                  <c:v>24.4</c:v>
                </c:pt>
                <c:pt idx="128">
                  <c:v>24.3</c:v>
                </c:pt>
                <c:pt idx="129">
                  <c:v>24.3</c:v>
                </c:pt>
                <c:pt idx="130">
                  <c:v>24.2</c:v>
                </c:pt>
                <c:pt idx="131">
                  <c:v>24.2</c:v>
                </c:pt>
                <c:pt idx="132">
                  <c:v>24.3</c:v>
                </c:pt>
                <c:pt idx="133">
                  <c:v>24.4</c:v>
                </c:pt>
                <c:pt idx="134">
                  <c:v>24.4</c:v>
                </c:pt>
                <c:pt idx="135">
                  <c:v>24.4</c:v>
                </c:pt>
                <c:pt idx="136">
                  <c:v>24.5</c:v>
                </c:pt>
                <c:pt idx="137">
                  <c:v>24.6</c:v>
                </c:pt>
                <c:pt idx="138">
                  <c:v>24.9</c:v>
                </c:pt>
                <c:pt idx="139">
                  <c:v>25.1</c:v>
                </c:pt>
                <c:pt idx="140">
                  <c:v>25.1</c:v>
                </c:pt>
                <c:pt idx="141">
                  <c:v>25</c:v>
                </c:pt>
                <c:pt idx="142">
                  <c:v>24.9</c:v>
                </c:pt>
                <c:pt idx="143">
                  <c:v>24.7</c:v>
                </c:pt>
                <c:pt idx="144">
                  <c:v>24.4</c:v>
                </c:pt>
                <c:pt idx="145">
                  <c:v>24.1</c:v>
                </c:pt>
                <c:pt idx="146">
                  <c:v>23.9</c:v>
                </c:pt>
                <c:pt idx="147">
                  <c:v>23.5</c:v>
                </c:pt>
                <c:pt idx="148">
                  <c:v>23.3</c:v>
                </c:pt>
                <c:pt idx="149">
                  <c:v>23</c:v>
                </c:pt>
                <c:pt idx="150">
                  <c:v>22.6</c:v>
                </c:pt>
                <c:pt idx="151">
                  <c:v>22.3</c:v>
                </c:pt>
                <c:pt idx="152">
                  <c:v>22.1</c:v>
                </c:pt>
                <c:pt idx="153">
                  <c:v>21.9</c:v>
                </c:pt>
                <c:pt idx="154">
                  <c:v>21.7</c:v>
                </c:pt>
                <c:pt idx="155">
                  <c:v>21.7</c:v>
                </c:pt>
                <c:pt idx="156">
                  <c:v>21.6</c:v>
                </c:pt>
                <c:pt idx="157">
                  <c:v>21.6</c:v>
                </c:pt>
                <c:pt idx="158">
                  <c:v>21.4</c:v>
                </c:pt>
                <c:pt idx="159">
                  <c:v>21.4</c:v>
                </c:pt>
                <c:pt idx="160">
                  <c:v>21.3</c:v>
                </c:pt>
                <c:pt idx="161">
                  <c:v>21.3</c:v>
                </c:pt>
                <c:pt idx="162">
                  <c:v>21.2</c:v>
                </c:pt>
                <c:pt idx="163">
                  <c:v>21.1</c:v>
                </c:pt>
                <c:pt idx="164">
                  <c:v>20.9</c:v>
                </c:pt>
                <c:pt idx="165">
                  <c:v>20.8</c:v>
                </c:pt>
                <c:pt idx="166">
                  <c:v>20.6</c:v>
                </c:pt>
                <c:pt idx="167">
                  <c:v>20.399999999999999</c:v>
                </c:pt>
                <c:pt idx="168">
                  <c:v>20.3</c:v>
                </c:pt>
                <c:pt idx="169">
                  <c:v>20.2</c:v>
                </c:pt>
                <c:pt idx="170">
                  <c:v>20</c:v>
                </c:pt>
                <c:pt idx="171">
                  <c:v>19.8</c:v>
                </c:pt>
                <c:pt idx="172">
                  <c:v>19.600000000000001</c:v>
                </c:pt>
                <c:pt idx="173">
                  <c:v>19.399999999999999</c:v>
                </c:pt>
                <c:pt idx="174">
                  <c:v>19.3</c:v>
                </c:pt>
                <c:pt idx="175">
                  <c:v>19.100000000000001</c:v>
                </c:pt>
                <c:pt idx="176">
                  <c:v>18.8</c:v>
                </c:pt>
                <c:pt idx="177">
                  <c:v>18.7</c:v>
                </c:pt>
                <c:pt idx="178">
                  <c:v>18.5</c:v>
                </c:pt>
                <c:pt idx="179">
                  <c:v>18.5</c:v>
                </c:pt>
                <c:pt idx="180">
                  <c:v>18.399999999999999</c:v>
                </c:pt>
                <c:pt idx="181">
                  <c:v>18.600000000000001</c:v>
                </c:pt>
                <c:pt idx="182">
                  <c:v>18.899999999999999</c:v>
                </c:pt>
                <c:pt idx="183">
                  <c:v>19.100000000000001</c:v>
                </c:pt>
                <c:pt idx="184">
                  <c:v>19.3</c:v>
                </c:pt>
                <c:pt idx="185">
                  <c:v>19.600000000000001</c:v>
                </c:pt>
                <c:pt idx="186">
                  <c:v>19.8</c:v>
                </c:pt>
                <c:pt idx="187">
                  <c:v>19.899999999999999</c:v>
                </c:pt>
                <c:pt idx="188">
                  <c:v>19.899999999999999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19.899999999999999</c:v>
                </c:pt>
                <c:pt idx="193">
                  <c:v>19.899999999999999</c:v>
                </c:pt>
                <c:pt idx="194">
                  <c:v>19.8</c:v>
                </c:pt>
                <c:pt idx="195">
                  <c:v>19.8</c:v>
                </c:pt>
                <c:pt idx="196">
                  <c:v>19.899999999999999</c:v>
                </c:pt>
                <c:pt idx="197">
                  <c:v>19.899999999999999</c:v>
                </c:pt>
                <c:pt idx="198">
                  <c:v>20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20.5</c:v>
                </c:pt>
                <c:pt idx="202">
                  <c:v>20.7</c:v>
                </c:pt>
                <c:pt idx="203">
                  <c:v>20.7</c:v>
                </c:pt>
                <c:pt idx="204">
                  <c:v>20.6</c:v>
                </c:pt>
                <c:pt idx="205">
                  <c:v>20.5</c:v>
                </c:pt>
                <c:pt idx="206">
                  <c:v>20.2</c:v>
                </c:pt>
                <c:pt idx="207">
                  <c:v>19.8</c:v>
                </c:pt>
                <c:pt idx="208">
                  <c:v>19.5</c:v>
                </c:pt>
                <c:pt idx="209">
                  <c:v>19.399999999999999</c:v>
                </c:pt>
                <c:pt idx="210">
                  <c:v>19.399999999999999</c:v>
                </c:pt>
                <c:pt idx="211">
                  <c:v>19.5</c:v>
                </c:pt>
                <c:pt idx="212">
                  <c:v>19.399999999999999</c:v>
                </c:pt>
                <c:pt idx="213">
                  <c:v>19.8</c:v>
                </c:pt>
                <c:pt idx="214">
                  <c:v>20.100000000000001</c:v>
                </c:pt>
                <c:pt idx="215">
                  <c:v>20.5</c:v>
                </c:pt>
                <c:pt idx="216">
                  <c:v>20.7</c:v>
                </c:pt>
                <c:pt idx="217">
                  <c:v>20.8</c:v>
                </c:pt>
                <c:pt idx="218">
                  <c:v>20.9</c:v>
                </c:pt>
                <c:pt idx="219">
                  <c:v>21.2</c:v>
                </c:pt>
                <c:pt idx="220">
                  <c:v>21.1</c:v>
                </c:pt>
                <c:pt idx="221">
                  <c:v>20.9</c:v>
                </c:pt>
                <c:pt idx="222">
                  <c:v>21.3</c:v>
                </c:pt>
                <c:pt idx="223">
                  <c:v>21.2</c:v>
                </c:pt>
                <c:pt idx="224">
                  <c:v>21.3</c:v>
                </c:pt>
                <c:pt idx="225">
                  <c:v>21.2</c:v>
                </c:pt>
                <c:pt idx="226">
                  <c:v>21.2</c:v>
                </c:pt>
                <c:pt idx="227">
                  <c:v>21.2</c:v>
                </c:pt>
                <c:pt idx="228">
                  <c:v>21</c:v>
                </c:pt>
                <c:pt idx="229">
                  <c:v>20.9</c:v>
                </c:pt>
                <c:pt idx="230">
                  <c:v>20.6</c:v>
                </c:pt>
                <c:pt idx="231">
                  <c:v>20.3</c:v>
                </c:pt>
                <c:pt idx="232">
                  <c:v>20.100000000000001</c:v>
                </c:pt>
                <c:pt idx="233">
                  <c:v>19.7</c:v>
                </c:pt>
                <c:pt idx="234">
                  <c:v>19.5</c:v>
                </c:pt>
                <c:pt idx="235">
                  <c:v>19.2</c:v>
                </c:pt>
                <c:pt idx="236">
                  <c:v>19.100000000000001</c:v>
                </c:pt>
                <c:pt idx="237">
                  <c:v>18.7</c:v>
                </c:pt>
                <c:pt idx="238">
                  <c:v>18.399999999999999</c:v>
                </c:pt>
                <c:pt idx="239">
                  <c:v>18.399999999999999</c:v>
                </c:pt>
                <c:pt idx="240">
                  <c:v>18.399999999999999</c:v>
                </c:pt>
                <c:pt idx="241">
                  <c:v>18.3</c:v>
                </c:pt>
                <c:pt idx="242">
                  <c:v>18.3</c:v>
                </c:pt>
                <c:pt idx="243">
                  <c:v>18.2</c:v>
                </c:pt>
                <c:pt idx="244">
                  <c:v>18.3</c:v>
                </c:pt>
                <c:pt idx="245">
                  <c:v>18.399999999999999</c:v>
                </c:pt>
                <c:pt idx="246">
                  <c:v>18.5</c:v>
                </c:pt>
                <c:pt idx="247">
                  <c:v>18.5</c:v>
                </c:pt>
                <c:pt idx="248">
                  <c:v>18.7</c:v>
                </c:pt>
                <c:pt idx="249">
                  <c:v>18.5</c:v>
                </c:pt>
                <c:pt idx="250">
                  <c:v>18.399999999999999</c:v>
                </c:pt>
                <c:pt idx="251">
                  <c:v>18.5</c:v>
                </c:pt>
                <c:pt idx="252">
                  <c:v>18.600000000000001</c:v>
                </c:pt>
                <c:pt idx="253">
                  <c:v>18.7</c:v>
                </c:pt>
                <c:pt idx="254">
                  <c:v>18.899999999999999</c:v>
                </c:pt>
                <c:pt idx="255">
                  <c:v>19.100000000000001</c:v>
                </c:pt>
                <c:pt idx="256">
                  <c:v>19</c:v>
                </c:pt>
                <c:pt idx="257">
                  <c:v>19</c:v>
                </c:pt>
                <c:pt idx="258">
                  <c:v>19.100000000000001</c:v>
                </c:pt>
                <c:pt idx="259">
                  <c:v>19</c:v>
                </c:pt>
                <c:pt idx="260">
                  <c:v>18.899999999999999</c:v>
                </c:pt>
                <c:pt idx="261">
                  <c:v>18.7</c:v>
                </c:pt>
                <c:pt idx="262">
                  <c:v>19.2</c:v>
                </c:pt>
                <c:pt idx="263">
                  <c:v>18.899999999999999</c:v>
                </c:pt>
                <c:pt idx="264">
                  <c:v>19</c:v>
                </c:pt>
                <c:pt idx="265">
                  <c:v>19</c:v>
                </c:pt>
                <c:pt idx="266">
                  <c:v>19.7</c:v>
                </c:pt>
                <c:pt idx="267">
                  <c:v>20</c:v>
                </c:pt>
                <c:pt idx="268">
                  <c:v>20.5</c:v>
                </c:pt>
                <c:pt idx="269">
                  <c:v>20.5</c:v>
                </c:pt>
                <c:pt idx="270">
                  <c:v>20.9</c:v>
                </c:pt>
                <c:pt idx="271">
                  <c:v>21.1</c:v>
                </c:pt>
                <c:pt idx="272">
                  <c:v>21.3</c:v>
                </c:pt>
                <c:pt idx="273">
                  <c:v>21.2</c:v>
                </c:pt>
                <c:pt idx="274">
                  <c:v>21.5</c:v>
                </c:pt>
                <c:pt idx="275">
                  <c:v>21.7</c:v>
                </c:pt>
                <c:pt idx="276">
                  <c:v>21.7</c:v>
                </c:pt>
                <c:pt idx="277">
                  <c:v>21.5</c:v>
                </c:pt>
                <c:pt idx="278">
                  <c:v>21.6</c:v>
                </c:pt>
                <c:pt idx="279">
                  <c:v>21.4</c:v>
                </c:pt>
                <c:pt idx="280">
                  <c:v>21.6</c:v>
                </c:pt>
                <c:pt idx="281">
                  <c:v>21.5</c:v>
                </c:pt>
                <c:pt idx="282">
                  <c:v>21.8</c:v>
                </c:pt>
                <c:pt idx="283">
                  <c:v>21.9</c:v>
                </c:pt>
                <c:pt idx="284">
                  <c:v>22.1</c:v>
                </c:pt>
                <c:pt idx="285">
                  <c:v>22.3</c:v>
                </c:pt>
                <c:pt idx="286">
                  <c:v>21.9</c:v>
                </c:pt>
                <c:pt idx="287">
                  <c:v>22.3</c:v>
                </c:pt>
                <c:pt idx="288">
                  <c:v>22</c:v>
                </c:pt>
                <c:pt idx="289">
                  <c:v>22</c:v>
                </c:pt>
                <c:pt idx="290">
                  <c:v>22.5</c:v>
                </c:pt>
                <c:pt idx="291">
                  <c:v>22.3</c:v>
                </c:pt>
                <c:pt idx="292">
                  <c:v>23.1</c:v>
                </c:pt>
                <c:pt idx="293">
                  <c:v>22.8</c:v>
                </c:pt>
                <c:pt idx="294">
                  <c:v>23.1</c:v>
                </c:pt>
                <c:pt idx="295">
                  <c:v>23.7</c:v>
                </c:pt>
                <c:pt idx="296">
                  <c:v>23.9</c:v>
                </c:pt>
                <c:pt idx="297">
                  <c:v>24</c:v>
                </c:pt>
                <c:pt idx="298">
                  <c:v>23.9</c:v>
                </c:pt>
                <c:pt idx="299">
                  <c:v>24.2</c:v>
                </c:pt>
                <c:pt idx="300">
                  <c:v>24.7</c:v>
                </c:pt>
                <c:pt idx="301">
                  <c:v>24.7</c:v>
                </c:pt>
                <c:pt idx="302">
                  <c:v>25.7</c:v>
                </c:pt>
                <c:pt idx="303">
                  <c:v>25.2</c:v>
                </c:pt>
                <c:pt idx="304">
                  <c:v>25.6</c:v>
                </c:pt>
                <c:pt idx="305">
                  <c:v>24.8</c:v>
                </c:pt>
                <c:pt idx="306">
                  <c:v>24.6</c:v>
                </c:pt>
                <c:pt idx="307">
                  <c:v>24.6</c:v>
                </c:pt>
                <c:pt idx="308">
                  <c:v>25</c:v>
                </c:pt>
                <c:pt idx="309">
                  <c:v>25.3</c:v>
                </c:pt>
                <c:pt idx="310">
                  <c:v>26.3</c:v>
                </c:pt>
                <c:pt idx="311">
                  <c:v>25.7</c:v>
                </c:pt>
                <c:pt idx="312">
                  <c:v>25.5</c:v>
                </c:pt>
                <c:pt idx="313">
                  <c:v>25.4</c:v>
                </c:pt>
                <c:pt idx="314">
                  <c:v>25.5</c:v>
                </c:pt>
                <c:pt idx="315">
                  <c:v>26.4</c:v>
                </c:pt>
                <c:pt idx="316">
                  <c:v>26.3</c:v>
                </c:pt>
                <c:pt idx="317">
                  <c:v>26.2</c:v>
                </c:pt>
                <c:pt idx="318">
                  <c:v>26</c:v>
                </c:pt>
                <c:pt idx="319">
                  <c:v>26</c:v>
                </c:pt>
                <c:pt idx="320">
                  <c:v>26.1</c:v>
                </c:pt>
                <c:pt idx="321">
                  <c:v>25.4</c:v>
                </c:pt>
                <c:pt idx="322">
                  <c:v>25</c:v>
                </c:pt>
                <c:pt idx="323">
                  <c:v>26.2</c:v>
                </c:pt>
                <c:pt idx="324">
                  <c:v>26.6</c:v>
                </c:pt>
                <c:pt idx="325">
                  <c:v>25.8</c:v>
                </c:pt>
                <c:pt idx="326">
                  <c:v>25.8</c:v>
                </c:pt>
                <c:pt idx="327">
                  <c:v>25.4</c:v>
                </c:pt>
                <c:pt idx="328">
                  <c:v>25.4</c:v>
                </c:pt>
                <c:pt idx="329">
                  <c:v>25.7</c:v>
                </c:pt>
                <c:pt idx="330">
                  <c:v>25.5</c:v>
                </c:pt>
                <c:pt idx="331">
                  <c:v>25.3</c:v>
                </c:pt>
                <c:pt idx="332">
                  <c:v>25.8</c:v>
                </c:pt>
                <c:pt idx="333">
                  <c:v>26.1</c:v>
                </c:pt>
                <c:pt idx="334">
                  <c:v>26.9</c:v>
                </c:pt>
                <c:pt idx="335">
                  <c:v>26.3</c:v>
                </c:pt>
                <c:pt idx="336">
                  <c:v>26.4</c:v>
                </c:pt>
                <c:pt idx="337">
                  <c:v>26</c:v>
                </c:pt>
                <c:pt idx="338">
                  <c:v>26.2</c:v>
                </c:pt>
                <c:pt idx="339">
                  <c:v>25.9</c:v>
                </c:pt>
                <c:pt idx="340">
                  <c:v>25.9</c:v>
                </c:pt>
                <c:pt idx="341">
                  <c:v>26.2</c:v>
                </c:pt>
                <c:pt idx="342">
                  <c:v>26.8</c:v>
                </c:pt>
                <c:pt idx="343">
                  <c:v>27.3</c:v>
                </c:pt>
                <c:pt idx="344">
                  <c:v>27.4</c:v>
                </c:pt>
                <c:pt idx="345">
                  <c:v>27.7</c:v>
                </c:pt>
                <c:pt idx="346">
                  <c:v>27.9</c:v>
                </c:pt>
                <c:pt idx="347">
                  <c:v>28.3</c:v>
                </c:pt>
                <c:pt idx="348">
                  <c:v>28.7</c:v>
                </c:pt>
                <c:pt idx="349">
                  <c:v>28.8</c:v>
                </c:pt>
                <c:pt idx="350">
                  <c:v>29.7</c:v>
                </c:pt>
                <c:pt idx="351">
                  <c:v>30.1</c:v>
                </c:pt>
                <c:pt idx="352">
                  <c:v>29.6</c:v>
                </c:pt>
                <c:pt idx="353">
                  <c:v>29.6</c:v>
                </c:pt>
                <c:pt idx="354">
                  <c:v>30.1</c:v>
                </c:pt>
                <c:pt idx="355">
                  <c:v>30.8</c:v>
                </c:pt>
                <c:pt idx="356">
                  <c:v>31.1</c:v>
                </c:pt>
                <c:pt idx="357">
                  <c:v>31.4</c:v>
                </c:pt>
                <c:pt idx="358">
                  <c:v>32</c:v>
                </c:pt>
                <c:pt idx="359">
                  <c:v>32.6</c:v>
                </c:pt>
                <c:pt idx="360">
                  <c:v>33.299999999999997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013632"/>
        <c:axId val="387015424"/>
      </c:lineChart>
      <c:catAx>
        <c:axId val="38701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7015424"/>
        <c:crosses val="autoZero"/>
        <c:auto val="1"/>
        <c:lblAlgn val="ctr"/>
        <c:lblOffset val="100"/>
        <c:noMultiLvlLbl val="0"/>
      </c:catAx>
      <c:valAx>
        <c:axId val="387015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7013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TotalTracking!$AE$1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TotalTracking!$AB$2:$AB$311</c:f>
              <c:numCache>
                <c:formatCode>General</c:formatCode>
                <c:ptCount val="3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</c:numCache>
            </c:numRef>
          </c:cat>
          <c:val>
            <c:numRef>
              <c:f>TotalTracking!$AE$2:$AE$311</c:f>
              <c:numCache>
                <c:formatCode>General</c:formatCode>
                <c:ptCount val="310"/>
                <c:pt idx="0">
                  <c:v>0.5046197461394728</c:v>
                </c:pt>
                <c:pt idx="1">
                  <c:v>2.3504179907485723</c:v>
                </c:pt>
                <c:pt idx="2">
                  <c:v>-0.72881422138036234</c:v>
                </c:pt>
                <c:pt idx="3">
                  <c:v>-0.67598368270419762</c:v>
                </c:pt>
                <c:pt idx="4">
                  <c:v>-1.2899700845794273</c:v>
                </c:pt>
                <c:pt idx="5">
                  <c:v>-1.3610965457087918</c:v>
                </c:pt>
                <c:pt idx="6">
                  <c:v>-0.82111647101261553</c:v>
                </c:pt>
                <c:pt idx="7">
                  <c:v>-1.181173643331503</c:v>
                </c:pt>
                <c:pt idx="8">
                  <c:v>-1.0808802511302158</c:v>
                </c:pt>
                <c:pt idx="9">
                  <c:v>-0.88122350786755099</c:v>
                </c:pt>
                <c:pt idx="10">
                  <c:v>-0.74145036565271916</c:v>
                </c:pt>
                <c:pt idx="11">
                  <c:v>-0.78094827725785798</c:v>
                </c:pt>
                <c:pt idx="12">
                  <c:v>-1.1411447324610773</c:v>
                </c:pt>
                <c:pt idx="13">
                  <c:v>-1.6618956303563586</c:v>
                </c:pt>
                <c:pt idx="14">
                  <c:v>-1.6008121902477583</c:v>
                </c:pt>
                <c:pt idx="15">
                  <c:v>-1.5805804404089905</c:v>
                </c:pt>
                <c:pt idx="16">
                  <c:v>-1.5600833764174737</c:v>
                </c:pt>
                <c:pt idx="17">
                  <c:v>-1.6601405010167767</c:v>
                </c:pt>
                <c:pt idx="18">
                  <c:v>-1.8195728676796392</c:v>
                </c:pt>
                <c:pt idx="19">
                  <c:v>-2.1593063553691039</c:v>
                </c:pt>
                <c:pt idx="20">
                  <c:v>-2.2790033318927456</c:v>
                </c:pt>
                <c:pt idx="21">
                  <c:v>-2.0188353924499403</c:v>
                </c:pt>
                <c:pt idx="22">
                  <c:v>-1.7391287678802243</c:v>
                </c:pt>
                <c:pt idx="23">
                  <c:v>-1.5992749490635596</c:v>
                </c:pt>
                <c:pt idx="24">
                  <c:v>-1.5594818597586162</c:v>
                </c:pt>
                <c:pt idx="25">
                  <c:v>-1.5798096626813134</c:v>
                </c:pt>
                <c:pt idx="26">
                  <c:v>-1.4197108370319427</c:v>
                </c:pt>
                <c:pt idx="27">
                  <c:v>-1.3601281935931802</c:v>
                </c:pt>
                <c:pt idx="28">
                  <c:v>-1.3399533000621311</c:v>
                </c:pt>
                <c:pt idx="29">
                  <c:v>-1.3600458110292841</c:v>
                </c:pt>
                <c:pt idx="30">
                  <c:v>-1.2799508965213775</c:v>
                </c:pt>
                <c:pt idx="31">
                  <c:v>-1.1999999999999993</c:v>
                </c:pt>
                <c:pt idx="32">
                  <c:v>-1.1401025020186495</c:v>
                </c:pt>
                <c:pt idx="33">
                  <c:v>-1.0001264296222594</c:v>
                </c:pt>
                <c:pt idx="34">
                  <c:v>-0.80019975723155667</c:v>
                </c:pt>
                <c:pt idx="35">
                  <c:v>-0.68038571423890559</c:v>
                </c:pt>
                <c:pt idx="36">
                  <c:v>-0.62031378694539541</c:v>
                </c:pt>
                <c:pt idx="37">
                  <c:v>-0.60000000000000142</c:v>
                </c:pt>
                <c:pt idx="38">
                  <c:v>-0.38014007282776419</c:v>
                </c:pt>
                <c:pt idx="39">
                  <c:v>-0.18029240636782973</c:v>
                </c:pt>
                <c:pt idx="40">
                  <c:v>-0.18054105025078115</c:v>
                </c:pt>
                <c:pt idx="41">
                  <c:v>-0.16093177636593126</c:v>
                </c:pt>
                <c:pt idx="42">
                  <c:v>-0.32077869452095698</c:v>
                </c:pt>
                <c:pt idx="43">
                  <c:v>-0.4806113828538372</c:v>
                </c:pt>
                <c:pt idx="44">
                  <c:v>-0.8618140112262509</c:v>
                </c:pt>
                <c:pt idx="45">
                  <c:v>-0.86176679410790769</c:v>
                </c:pt>
                <c:pt idx="46">
                  <c:v>-1.0238303670916054</c:v>
                </c:pt>
                <c:pt idx="47">
                  <c:v>-1.2253094301146561</c:v>
                </c:pt>
                <c:pt idx="48">
                  <c:v>-1.4439907974106703</c:v>
                </c:pt>
                <c:pt idx="49">
                  <c:v>-1.645150469975917</c:v>
                </c:pt>
                <c:pt idx="50">
                  <c:v>-1.4849830126028287</c:v>
                </c:pt>
                <c:pt idx="51">
                  <c:v>-1.544083376777678</c:v>
                </c:pt>
                <c:pt idx="52">
                  <c:v>-1.4855508935799193</c:v>
                </c:pt>
                <c:pt idx="53">
                  <c:v>-1.485619665410848</c:v>
                </c:pt>
                <c:pt idx="54">
                  <c:v>-1.4664835440407806</c:v>
                </c:pt>
                <c:pt idx="55">
                  <c:v>-1.6261521029837098</c:v>
                </c:pt>
                <c:pt idx="56">
                  <c:v>-1.7040246168567634</c:v>
                </c:pt>
                <c:pt idx="57">
                  <c:v>-1.7441784994565523</c:v>
                </c:pt>
                <c:pt idx="58">
                  <c:v>-1.7438067340820318</c:v>
                </c:pt>
                <c:pt idx="59">
                  <c:v>-1.8623905143322084</c:v>
                </c:pt>
                <c:pt idx="60">
                  <c:v>-1.9438434355553014</c:v>
                </c:pt>
                <c:pt idx="61">
                  <c:v>-1.8238818345587688</c:v>
                </c:pt>
                <c:pt idx="62">
                  <c:v>-1.7647071528000708</c:v>
                </c:pt>
                <c:pt idx="63">
                  <c:v>-1.6238966765745602</c:v>
                </c:pt>
                <c:pt idx="64">
                  <c:v>-1.6036498435764415</c:v>
                </c:pt>
                <c:pt idx="65">
                  <c:v>-1.5227087974250431</c:v>
                </c:pt>
                <c:pt idx="66">
                  <c:v>-1.5221361322487539</c:v>
                </c:pt>
                <c:pt idx="67">
                  <c:v>-1.559989443283655</c:v>
                </c:pt>
                <c:pt idx="68">
                  <c:v>-1.5594716621551861</c:v>
                </c:pt>
                <c:pt idx="69">
                  <c:v>-1.5989687346537877</c:v>
                </c:pt>
                <c:pt idx="70">
                  <c:v>-1.6181225892792952</c:v>
                </c:pt>
                <c:pt idx="71">
                  <c:v>-1.7560869266291625</c:v>
                </c:pt>
                <c:pt idx="72">
                  <c:v>-2.0165809475414633</c:v>
                </c:pt>
                <c:pt idx="73">
                  <c:v>-2.1763138435068612</c:v>
                </c:pt>
                <c:pt idx="74">
                  <c:v>-2.2364497652043838</c:v>
                </c:pt>
                <c:pt idx="75">
                  <c:v>-2.014479336139587</c:v>
                </c:pt>
                <c:pt idx="76">
                  <c:v>-1.9919291905389898</c:v>
                </c:pt>
                <c:pt idx="77">
                  <c:v>-1.8689986960863685</c:v>
                </c:pt>
                <c:pt idx="78">
                  <c:v>-1.7907449624750562</c:v>
                </c:pt>
                <c:pt idx="79">
                  <c:v>-1.9062220689159233</c:v>
                </c:pt>
                <c:pt idx="80">
                  <c:v>-1.7023192619046696</c:v>
                </c:pt>
                <c:pt idx="81">
                  <c:v>-1.686811953211933</c:v>
                </c:pt>
                <c:pt idx="82">
                  <c:v>-1.608045004295942</c:v>
                </c:pt>
                <c:pt idx="83">
                  <c:v>-1.7533666451169481</c:v>
                </c:pt>
                <c:pt idx="84">
                  <c:v>-2.0055110420082478</c:v>
                </c:pt>
                <c:pt idx="85">
                  <c:v>-2.143524395949914</c:v>
                </c:pt>
                <c:pt idx="86">
                  <c:v>-2.1431586491348682</c:v>
                </c:pt>
                <c:pt idx="87">
                  <c:v>-2.2318743289546354</c:v>
                </c:pt>
                <c:pt idx="88">
                  <c:v>-2.4303724061174385</c:v>
                </c:pt>
                <c:pt idx="89">
                  <c:v>-2.4167878064429225</c:v>
                </c:pt>
                <c:pt idx="90">
                  <c:v>-2.3397173618602238</c:v>
                </c:pt>
                <c:pt idx="91">
                  <c:v>-2.2776201694506319</c:v>
                </c:pt>
                <c:pt idx="92">
                  <c:v>-1.9768486341040727</c:v>
                </c:pt>
                <c:pt idx="93">
                  <c:v>-1.901122049944469</c:v>
                </c:pt>
                <c:pt idx="94">
                  <c:v>-1.7253238429753672</c:v>
                </c:pt>
                <c:pt idx="95">
                  <c:v>-1.7248627071344487</c:v>
                </c:pt>
                <c:pt idx="96">
                  <c:v>-1.8988894849619662</c:v>
                </c:pt>
                <c:pt idx="97">
                  <c:v>-1.7238594879404907</c:v>
                </c:pt>
                <c:pt idx="98">
                  <c:v>-1.4235124130638148</c:v>
                </c:pt>
                <c:pt idx="99">
                  <c:v>-1.1864048043164281</c:v>
                </c:pt>
                <c:pt idx="100">
                  <c:v>-1.1238157981804093</c:v>
                </c:pt>
                <c:pt idx="101">
                  <c:v>-0.51159057118558593</c:v>
                </c:pt>
                <c:pt idx="102">
                  <c:v>-0.11195751497372086</c:v>
                </c:pt>
                <c:pt idx="103">
                  <c:v>-0.14906727776273598</c:v>
                </c:pt>
                <c:pt idx="104">
                  <c:v>6.2657375486342204E-2</c:v>
                </c:pt>
                <c:pt idx="105">
                  <c:v>0.15112072579562152</c:v>
                </c:pt>
                <c:pt idx="106">
                  <c:v>0.2882455679745739</c:v>
                </c:pt>
                <c:pt idx="107">
                  <c:v>0.27723757386795711</c:v>
                </c:pt>
                <c:pt idx="108">
                  <c:v>-7.425032849338109E-2</c:v>
                </c:pt>
                <c:pt idx="109">
                  <c:v>-0.42263615530735876</c:v>
                </c:pt>
                <c:pt idx="110">
                  <c:v>-0.62254283865491544</c:v>
                </c:pt>
                <c:pt idx="111">
                  <c:v>-0.64803774627602806</c:v>
                </c:pt>
                <c:pt idx="112">
                  <c:v>-1.0113675593635989</c:v>
                </c:pt>
                <c:pt idx="113">
                  <c:v>-1.2109336609336587</c:v>
                </c:pt>
                <c:pt idx="114">
                  <c:v>-1.3957867918629923</c:v>
                </c:pt>
                <c:pt idx="115">
                  <c:v>-1.4738465005935772</c:v>
                </c:pt>
                <c:pt idx="116">
                  <c:v>-2.0205431869925263</c:v>
                </c:pt>
                <c:pt idx="117">
                  <c:v>-2.4474312937448204</c:v>
                </c:pt>
                <c:pt idx="118">
                  <c:v>-2.6208610250878621</c:v>
                </c:pt>
                <c:pt idx="119">
                  <c:v>-2.7471473646565663</c:v>
                </c:pt>
                <c:pt idx="120">
                  <c:v>-2.9367307669661642</c:v>
                </c:pt>
                <c:pt idx="121">
                  <c:v>-2.4000000000000021</c:v>
                </c:pt>
                <c:pt idx="122">
                  <c:v>-1.9531895863685307</c:v>
                </c:pt>
                <c:pt idx="123">
                  <c:v>-1.5366709725624084</c:v>
                </c:pt>
                <c:pt idx="124">
                  <c:v>-1.2270711996274244</c:v>
                </c:pt>
                <c:pt idx="125">
                  <c:v>-0.8271824422336671</c:v>
                </c:pt>
                <c:pt idx="126">
                  <c:v>-0.43624950482073643</c:v>
                </c:pt>
                <c:pt idx="127">
                  <c:v>0.10000000000000142</c:v>
                </c:pt>
                <c:pt idx="128">
                  <c:v>0.47225270372945261</c:v>
                </c:pt>
                <c:pt idx="129">
                  <c:v>0.86398669291417463</c:v>
                </c:pt>
                <c:pt idx="130">
                  <c:v>1.1718893529632126</c:v>
                </c:pt>
                <c:pt idx="131">
                  <c:v>1.4284001483845188</c:v>
                </c:pt>
                <c:pt idx="132">
                  <c:v>1.4358144958202352</c:v>
                </c:pt>
                <c:pt idx="133">
                  <c:v>1.9357727237743418</c:v>
                </c:pt>
                <c:pt idx="134">
                  <c:v>2.1999999999999957</c:v>
                </c:pt>
                <c:pt idx="135">
                  <c:v>2.899999999999995</c:v>
                </c:pt>
                <c:pt idx="136">
                  <c:v>2.9712961578072452</c:v>
                </c:pt>
                <c:pt idx="137">
                  <c:v>3.3000000000000043</c:v>
                </c:pt>
                <c:pt idx="138">
                  <c:v>3.6643918039152936</c:v>
                </c:pt>
                <c:pt idx="139">
                  <c:v>3.9421051886458542</c:v>
                </c:pt>
                <c:pt idx="140">
                  <c:v>4.1000000000000014</c:v>
                </c:pt>
                <c:pt idx="141">
                  <c:v>3.8000000000000007</c:v>
                </c:pt>
                <c:pt idx="142">
                  <c:v>3.8648505751983357</c:v>
                </c:pt>
                <c:pt idx="143">
                  <c:v>3.6298106521979818</c:v>
                </c:pt>
                <c:pt idx="144">
                  <c:v>3.264814900242186</c:v>
                </c:pt>
                <c:pt idx="145">
                  <c:v>3.235231719137019</c:v>
                </c:pt>
                <c:pt idx="146">
                  <c:v>3.1588191409334208</c:v>
                </c:pt>
                <c:pt idx="147">
                  <c:v>3.3479685027112538</c:v>
                </c:pt>
                <c:pt idx="148">
                  <c:v>3.3999999999999986</c:v>
                </c:pt>
                <c:pt idx="149">
                  <c:v>3.2440316774658022</c:v>
                </c:pt>
                <c:pt idx="150">
                  <c:v>3.2813445326299089</c:v>
                </c:pt>
                <c:pt idx="151">
                  <c:v>3.2433196514971812</c:v>
                </c:pt>
                <c:pt idx="152">
                  <c:v>3.3875140065749889</c:v>
                </c:pt>
                <c:pt idx="153">
                  <c:v>3.1450262764620334</c:v>
                </c:pt>
                <c:pt idx="154">
                  <c:v>2.9310680538322025</c:v>
                </c:pt>
                <c:pt idx="155">
                  <c:v>3.1974622956741605</c:v>
                </c:pt>
                <c:pt idx="156">
                  <c:v>2.9761621090280279</c:v>
                </c:pt>
                <c:pt idx="157">
                  <c:v>3.1406647887323942</c:v>
                </c:pt>
                <c:pt idx="158">
                  <c:v>3.3084159134393367</c:v>
                </c:pt>
                <c:pt idx="159">
                  <c:v>3.259133631312924</c:v>
                </c:pt>
                <c:pt idx="160">
                  <c:v>3.3973387453874544</c:v>
                </c:pt>
                <c:pt idx="161">
                  <c:v>3.1691716494766204</c:v>
                </c:pt>
                <c:pt idx="162">
                  <c:v>3.4687446163662479</c:v>
                </c:pt>
                <c:pt idx="163">
                  <c:v>3.4688396607098753</c:v>
                </c:pt>
                <c:pt idx="164">
                  <c:v>3.0089562415832809</c:v>
                </c:pt>
                <c:pt idx="165">
                  <c:v>3.2230207021961093</c:v>
                </c:pt>
                <c:pt idx="166">
                  <c:v>2.9157065413805547</c:v>
                </c:pt>
                <c:pt idx="167">
                  <c:v>2.5915906371522581</c:v>
                </c:pt>
                <c:pt idx="168">
                  <c:v>2.6708167081092533</c:v>
                </c:pt>
                <c:pt idx="169">
                  <c:v>2.1081895436543512</c:v>
                </c:pt>
                <c:pt idx="170">
                  <c:v>2.0733230788417956</c:v>
                </c:pt>
                <c:pt idx="171">
                  <c:v>1.9223222728444966</c:v>
                </c:pt>
                <c:pt idx="172">
                  <c:v>1.753291031770857</c:v>
                </c:pt>
                <c:pt idx="173">
                  <c:v>1.3129810241866693</c:v>
                </c:pt>
                <c:pt idx="174">
                  <c:v>1.0816529435493436</c:v>
                </c:pt>
                <c:pt idx="175">
                  <c:v>1.1252307542436881</c:v>
                </c:pt>
                <c:pt idx="176">
                  <c:v>1.0766909364800412</c:v>
                </c:pt>
                <c:pt idx="177">
                  <c:v>0.8655990694067448</c:v>
                </c:pt>
                <c:pt idx="178">
                  <c:v>0.66930001058985411</c:v>
                </c:pt>
                <c:pt idx="179">
                  <c:v>0.69457476801795437</c:v>
                </c:pt>
                <c:pt idx="180">
                  <c:v>0.78055393828495312</c:v>
                </c:pt>
                <c:pt idx="181">
                  <c:v>0.97979383791787455</c:v>
                </c:pt>
                <c:pt idx="182">
                  <c:v>1.5444379951824025</c:v>
                </c:pt>
                <c:pt idx="183">
                  <c:v>1.7076595744680816</c:v>
                </c:pt>
                <c:pt idx="184">
                  <c:v>1.5378227893818099</c:v>
                </c:pt>
                <c:pt idx="185">
                  <c:v>2.1412142548329314</c:v>
                </c:pt>
                <c:pt idx="186">
                  <c:v>1.9846312822921561</c:v>
                </c:pt>
                <c:pt idx="187">
                  <c:v>2.4466058312931231</c:v>
                </c:pt>
                <c:pt idx="188">
                  <c:v>2.3710001295504597</c:v>
                </c:pt>
                <c:pt idx="189">
                  <c:v>2.5211598488582219</c:v>
                </c:pt>
                <c:pt idx="190">
                  <c:v>2.4644416133033857</c:v>
                </c:pt>
                <c:pt idx="191">
                  <c:v>2.8116213171281252</c:v>
                </c:pt>
                <c:pt idx="192">
                  <c:v>2.9164437944003332</c:v>
                </c:pt>
                <c:pt idx="193">
                  <c:v>2.8341772151898752</c:v>
                </c:pt>
                <c:pt idx="194">
                  <c:v>2.575213427868615</c:v>
                </c:pt>
                <c:pt idx="195">
                  <c:v>3.3075241465752434</c:v>
                </c:pt>
                <c:pt idx="196">
                  <c:v>2.974299589092265</c:v>
                </c:pt>
                <c:pt idx="197">
                  <c:v>2.7005417077051312</c:v>
                </c:pt>
                <c:pt idx="198">
                  <c:v>3.0028606772846764</c:v>
                </c:pt>
                <c:pt idx="199">
                  <c:v>3.8942631058358081</c:v>
                </c:pt>
                <c:pt idx="200">
                  <c:v>3.6150300682084193</c:v>
                </c:pt>
                <c:pt idx="201">
                  <c:v>3.5674815422477408</c:v>
                </c:pt>
                <c:pt idx="202">
                  <c:v>3.933379379630793</c:v>
                </c:pt>
                <c:pt idx="203">
                  <c:v>4.0831599395639984</c:v>
                </c:pt>
                <c:pt idx="204">
                  <c:v>3.9208800000000004</c:v>
                </c:pt>
                <c:pt idx="205">
                  <c:v>3.9047638603696093</c:v>
                </c:pt>
                <c:pt idx="206">
                  <c:v>3.5691132935482344</c:v>
                </c:pt>
                <c:pt idx="207">
                  <c:v>3.3972711267605646</c:v>
                </c:pt>
                <c:pt idx="208">
                  <c:v>3.1229294865328328</c:v>
                </c:pt>
                <c:pt idx="209">
                  <c:v>3.0228229317851962</c:v>
                </c:pt>
                <c:pt idx="210">
                  <c:v>3.1409191994069694</c:v>
                </c:pt>
                <c:pt idx="211">
                  <c:v>3.5789347434988841</c:v>
                </c:pt>
                <c:pt idx="212">
                  <c:v>3.3610418646246689</c:v>
                </c:pt>
                <c:pt idx="213">
                  <c:v>4.1847093923919907</c:v>
                </c:pt>
                <c:pt idx="214">
                  <c:v>4.1194263974246397</c:v>
                </c:pt>
                <c:pt idx="215">
                  <c:v>4.9172898037568249</c:v>
                </c:pt>
                <c:pt idx="216">
                  <c:v>4.864773973437309</c:v>
                </c:pt>
                <c:pt idx="217">
                  <c:v>4.6884729981378079</c:v>
                </c:pt>
                <c:pt idx="218">
                  <c:v>5.1957921259842479</c:v>
                </c:pt>
                <c:pt idx="219">
                  <c:v>5.5518669555244031</c:v>
                </c:pt>
                <c:pt idx="220">
                  <c:v>5.6664225059959836</c:v>
                </c:pt>
                <c:pt idx="221">
                  <c:v>5.7571956206305259</c:v>
                </c:pt>
                <c:pt idx="222">
                  <c:v>6.136869090424824</c:v>
                </c:pt>
                <c:pt idx="223">
                  <c:v>5.5940764417845479</c:v>
                </c:pt>
                <c:pt idx="224">
                  <c:v>5.9483053182694974</c:v>
                </c:pt>
                <c:pt idx="225">
                  <c:v>5.8051628721541171</c:v>
                </c:pt>
                <c:pt idx="226">
                  <c:v>5.8096536059057353</c:v>
                </c:pt>
                <c:pt idx="227">
                  <c:v>5.4128286622363504</c:v>
                </c:pt>
                <c:pt idx="228">
                  <c:v>5.7063265005161483</c:v>
                </c:pt>
                <c:pt idx="229">
                  <c:v>5.0254959203533183</c:v>
                </c:pt>
                <c:pt idx="230">
                  <c:v>4.8846624359660513</c:v>
                </c:pt>
                <c:pt idx="231">
                  <c:v>4.7770729813664623</c:v>
                </c:pt>
                <c:pt idx="232">
                  <c:v>4.0009416791960142</c:v>
                </c:pt>
                <c:pt idx="233">
                  <c:v>3.9000000000000004</c:v>
                </c:pt>
                <c:pt idx="234">
                  <c:v>3.6244007475420457</c:v>
                </c:pt>
                <c:pt idx="235">
                  <c:v>3</c:v>
                </c:pt>
                <c:pt idx="236">
                  <c:v>2.5519932998324961</c:v>
                </c:pt>
                <c:pt idx="237">
                  <c:v>2.8819711333162523</c:v>
                </c:pt>
                <c:pt idx="238">
                  <c:v>2.5763180789977351</c:v>
                </c:pt>
                <c:pt idx="239">
                  <c:v>1.859903897490657</c:v>
                </c:pt>
                <c:pt idx="240">
                  <c:v>2.3770159473826453</c:v>
                </c:pt>
                <c:pt idx="241">
                  <c:v>2.40961413898399</c:v>
                </c:pt>
                <c:pt idx="242">
                  <c:v>2.3740523423675146</c:v>
                </c:pt>
                <c:pt idx="243">
                  <c:v>2.2440748835883291</c:v>
                </c:pt>
                <c:pt idx="244">
                  <c:v>2.6670911722141835</c:v>
                </c:pt>
                <c:pt idx="245">
                  <c:v>2.6783260955388837</c:v>
                </c:pt>
                <c:pt idx="246">
                  <c:v>3.0913878499949465</c:v>
                </c:pt>
                <c:pt idx="247">
                  <c:v>3.0073674475955592</c:v>
                </c:pt>
                <c:pt idx="248">
                  <c:v>2.6928720735785969</c:v>
                </c:pt>
                <c:pt idx="249">
                  <c:v>3.0270356913870504</c:v>
                </c:pt>
                <c:pt idx="250">
                  <c:v>3.1681518330269238</c:v>
                </c:pt>
                <c:pt idx="251">
                  <c:v>3.1546171541242209</c:v>
                </c:pt>
                <c:pt idx="252">
                  <c:v>2.6133229363930059</c:v>
                </c:pt>
                <c:pt idx="253">
                  <c:v>2.7188615315111786</c:v>
                </c:pt>
                <c:pt idx="254">
                  <c:v>3.6966800228963894</c:v>
                </c:pt>
                <c:pt idx="255">
                  <c:v>3.3406220876048476</c:v>
                </c:pt>
                <c:pt idx="256">
                  <c:v>3.3407768143485015</c:v>
                </c:pt>
                <c:pt idx="257">
                  <c:v>3.3444391006372491</c:v>
                </c:pt>
                <c:pt idx="258">
                  <c:v>3.0024405050995639</c:v>
                </c:pt>
                <c:pt idx="259">
                  <c:v>2.8872655478775915</c:v>
                </c:pt>
                <c:pt idx="260">
                  <c:v>2.8977272727272734</c:v>
                </c:pt>
                <c:pt idx="261">
                  <c:v>2.987652419458346</c:v>
                </c:pt>
                <c:pt idx="262">
                  <c:v>3.2010054844606888</c:v>
                </c:pt>
                <c:pt idx="263">
                  <c:v>2.8891481280520868</c:v>
                </c:pt>
                <c:pt idx="264">
                  <c:v>3.0938815331010439</c:v>
                </c:pt>
                <c:pt idx="265">
                  <c:v>2.567824107015797</c:v>
                </c:pt>
                <c:pt idx="266">
                  <c:v>3.4057947266497859</c:v>
                </c:pt>
                <c:pt idx="267">
                  <c:v>3.717404914697136</c:v>
                </c:pt>
                <c:pt idx="268">
                  <c:v>4.3804640597111799</c:v>
                </c:pt>
                <c:pt idx="269">
                  <c:v>4.1055546260665867</c:v>
                </c:pt>
                <c:pt idx="270">
                  <c:v>4.4173113950638854</c:v>
                </c:pt>
                <c:pt idx="271">
                  <c:v>4.3043446908238732</c:v>
                </c:pt>
                <c:pt idx="272">
                  <c:v>4.7365786070570834</c:v>
                </c:pt>
                <c:pt idx="273">
                  <c:v>4.328170341058982</c:v>
                </c:pt>
                <c:pt idx="274">
                  <c:v>4.561654718077893</c:v>
                </c:pt>
                <c:pt idx="275">
                  <c:v>4.9970041941282197</c:v>
                </c:pt>
                <c:pt idx="276">
                  <c:v>4.9178513731825504</c:v>
                </c:pt>
                <c:pt idx="277">
                  <c:v>5.1922605676945057</c:v>
                </c:pt>
                <c:pt idx="278">
                  <c:v>5.2308424756779157</c:v>
                </c:pt>
                <c:pt idx="279">
                  <c:v>4.9923593618807658</c:v>
                </c:pt>
                <c:pt idx="280">
                  <c:v>5.0915221579961454</c:v>
                </c:pt>
                <c:pt idx="281">
                  <c:v>4.7698811096433289</c:v>
                </c:pt>
                <c:pt idx="282">
                  <c:v>5.2091661077576568</c:v>
                </c:pt>
                <c:pt idx="283">
                  <c:v>5.1166243361810189</c:v>
                </c:pt>
                <c:pt idx="284">
                  <c:v>5.1776232020749831</c:v>
                </c:pt>
                <c:pt idx="285">
                  <c:v>5.5781916197010517</c:v>
                </c:pt>
                <c:pt idx="286">
                  <c:v>4.9559322033898319</c:v>
                </c:pt>
                <c:pt idx="287">
                  <c:v>5.4737696600710315</c:v>
                </c:pt>
                <c:pt idx="288">
                  <c:v>5.5792922673656626</c:v>
                </c:pt>
                <c:pt idx="289">
                  <c:v>4.7863770447841247</c:v>
                </c:pt>
                <c:pt idx="290">
                  <c:v>5.5440899001109862</c:v>
                </c:pt>
                <c:pt idx="291">
                  <c:v>5.481621621621624</c:v>
                </c:pt>
                <c:pt idx="292">
                  <c:v>5.1970741599073023</c:v>
                </c:pt>
                <c:pt idx="293">
                  <c:v>5.1300241400120719</c:v>
                </c:pt>
                <c:pt idx="294">
                  <c:v>5.1992343032159276</c:v>
                </c:pt>
                <c:pt idx="295">
                  <c:v>5.7040899157040279</c:v>
                </c:pt>
                <c:pt idx="296">
                  <c:v>6.2595009596929003</c:v>
                </c:pt>
                <c:pt idx="297">
                  <c:v>5.1221774193548377</c:v>
                </c:pt>
                <c:pt idx="298">
                  <c:v>5.9350243224461394</c:v>
                </c:pt>
                <c:pt idx="299">
                  <c:v>5.3634615384615429</c:v>
                </c:pt>
                <c:pt idx="300">
                  <c:v>6.7094674556213008</c:v>
                </c:pt>
                <c:pt idx="301">
                  <c:v>6.8777019340159278</c:v>
                </c:pt>
                <c:pt idx="302">
                  <c:v>7.4991015625000017</c:v>
                </c:pt>
                <c:pt idx="303">
                  <c:v>6.2982484725050902</c:v>
                </c:pt>
                <c:pt idx="304">
                  <c:v>6.7035175879397002</c:v>
                </c:pt>
                <c:pt idx="305">
                  <c:v>6.5731252709146091</c:v>
                </c:pt>
                <c:pt idx="306">
                  <c:v>4.7671694764862451</c:v>
                </c:pt>
                <c:pt idx="307">
                  <c:v>5.2391959798994989</c:v>
                </c:pt>
                <c:pt idx="308">
                  <c:v>6.0592503604036523</c:v>
                </c:pt>
                <c:pt idx="309">
                  <c:v>6.3607194944093344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510784"/>
        <c:axId val="381512320"/>
      </c:barChart>
      <c:lineChart>
        <c:grouping val="standard"/>
        <c:varyColors val="0"/>
        <c:ser>
          <c:idx val="0"/>
          <c:order val="0"/>
          <c:tx>
            <c:strRef>
              <c:f>TotalTracking!$AC$1</c:f>
              <c:strCache>
                <c:ptCount val="1"/>
                <c:pt idx="0">
                  <c:v>Actual CPR</c:v>
                </c:pt>
              </c:strCache>
            </c:strRef>
          </c:tx>
          <c:marker>
            <c:symbol val="none"/>
          </c:marker>
          <c:cat>
            <c:numRef>
              <c:f>TotalTracking!$AB$2:$AB$311</c:f>
              <c:numCache>
                <c:formatCode>General</c:formatCode>
                <c:ptCount val="3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</c:numCache>
            </c:numRef>
          </c:cat>
          <c:val>
            <c:numRef>
              <c:f>TotalTracking!$AC$2:$AC$311</c:f>
              <c:numCache>
                <c:formatCode>General</c:formatCode>
                <c:ptCount val="310"/>
                <c:pt idx="0">
                  <c:v>0.26598225983118923</c:v>
                </c:pt>
                <c:pt idx="1">
                  <c:v>1.3459609273468125</c:v>
                </c:pt>
                <c:pt idx="2">
                  <c:v>3.1288142213803622</c:v>
                </c:pt>
                <c:pt idx="3">
                  <c:v>5.0577049615452561</c:v>
                </c:pt>
                <c:pt idx="4">
                  <c:v>7.9240119661682273</c:v>
                </c:pt>
                <c:pt idx="5">
                  <c:v>10.605482728543967</c:v>
                </c:pt>
                <c:pt idx="6">
                  <c:v>11.942232942025234</c:v>
                </c:pt>
                <c:pt idx="7">
                  <c:v>13.30195607221917</c:v>
                </c:pt>
                <c:pt idx="8">
                  <c:v>14.201467085217025</c:v>
                </c:pt>
                <c:pt idx="9">
                  <c:v>14.841631343823401</c:v>
                </c:pt>
                <c:pt idx="10">
                  <c:v>15.381087774239539</c:v>
                </c:pt>
                <c:pt idx="11">
                  <c:v>16.120632184838573</c:v>
                </c:pt>
                <c:pt idx="12">
                  <c:v>17.041144732461078</c:v>
                </c:pt>
                <c:pt idx="13">
                  <c:v>18.001579691963631</c:v>
                </c:pt>
                <c:pt idx="14">
                  <c:v>18.440649752198205</c:v>
                </c:pt>
                <c:pt idx="15">
                  <c:v>18.78058044040899</c:v>
                </c:pt>
                <c:pt idx="16">
                  <c:v>19.160083376417475</c:v>
                </c:pt>
                <c:pt idx="17">
                  <c:v>19.560140501016775</c:v>
                </c:pt>
                <c:pt idx="18">
                  <c:v>19.97971524511976</c:v>
                </c:pt>
                <c:pt idx="19">
                  <c:v>20.419479766526827</c:v>
                </c:pt>
                <c:pt idx="20">
                  <c:v>20.559430475367282</c:v>
                </c:pt>
                <c:pt idx="21">
                  <c:v>20.199272120281215</c:v>
                </c:pt>
                <c:pt idx="22">
                  <c:v>19.879709589293409</c:v>
                </c:pt>
                <c:pt idx="23">
                  <c:v>19.739854989812713</c:v>
                </c:pt>
                <c:pt idx="24">
                  <c:v>19.739870464939653</c:v>
                </c:pt>
                <c:pt idx="25">
                  <c:v>19.860095168659342</c:v>
                </c:pt>
                <c:pt idx="26">
                  <c:v>19.8</c:v>
                </c:pt>
                <c:pt idx="27">
                  <c:v>19.78038458077954</c:v>
                </c:pt>
                <c:pt idx="28">
                  <c:v>19.899999999999999</c:v>
                </c:pt>
                <c:pt idx="29">
                  <c:v>20.080137433087852</c:v>
                </c:pt>
                <c:pt idx="30">
                  <c:v>20.079950896521378</c:v>
                </c:pt>
                <c:pt idx="31">
                  <c:v>20.2</c:v>
                </c:pt>
                <c:pt idx="32">
                  <c:v>20.240102502018651</c:v>
                </c:pt>
                <c:pt idx="33">
                  <c:v>20.200126429622255</c:v>
                </c:pt>
                <c:pt idx="34">
                  <c:v>20.060159805785243</c:v>
                </c:pt>
                <c:pt idx="35">
                  <c:v>19.980385714238906</c:v>
                </c:pt>
                <c:pt idx="36">
                  <c:v>20.020313786945394</c:v>
                </c:pt>
                <c:pt idx="37">
                  <c:v>20.140039950937574</c:v>
                </c:pt>
                <c:pt idx="38">
                  <c:v>20.120210109241643</c:v>
                </c:pt>
                <c:pt idx="39">
                  <c:v>20.120438609551741</c:v>
                </c:pt>
                <c:pt idx="40">
                  <c:v>20.380541050250784</c:v>
                </c:pt>
                <c:pt idx="41">
                  <c:v>20.760931776365933</c:v>
                </c:pt>
                <c:pt idx="42">
                  <c:v>21.161038259361277</c:v>
                </c:pt>
                <c:pt idx="43">
                  <c:v>21.52091707428076</c:v>
                </c:pt>
                <c:pt idx="44">
                  <c:v>21.842721016839381</c:v>
                </c:pt>
                <c:pt idx="45">
                  <c:v>21.842650191161859</c:v>
                </c:pt>
                <c:pt idx="46">
                  <c:v>21.964309162978051</c:v>
                </c:pt>
                <c:pt idx="47">
                  <c:v>22.125309430114655</c:v>
                </c:pt>
                <c:pt idx="48">
                  <c:v>22.343990797410669</c:v>
                </c:pt>
                <c:pt idx="49">
                  <c:v>22.445150469975918</c:v>
                </c:pt>
                <c:pt idx="50">
                  <c:v>22.325694871546091</c:v>
                </c:pt>
                <c:pt idx="51">
                  <c:v>22.384763939573954</c:v>
                </c:pt>
                <c:pt idx="52">
                  <c:v>22.426343878377047</c:v>
                </c:pt>
                <c:pt idx="53">
                  <c:v>22.467225284099662</c:v>
                </c:pt>
                <c:pt idx="54">
                  <c:v>22.547924331605397</c:v>
                </c:pt>
                <c:pt idx="55">
                  <c:v>22.648459141602597</c:v>
                </c:pt>
                <c:pt idx="56">
                  <c:v>22.767244310342175</c:v>
                </c:pt>
                <c:pt idx="57">
                  <c:v>22.847660582337006</c:v>
                </c:pt>
                <c:pt idx="58">
                  <c:v>22.746979012483727</c:v>
                </c:pt>
                <c:pt idx="59">
                  <c:v>22.94657391441357</c:v>
                </c:pt>
                <c:pt idx="60">
                  <c:v>23.128327443703157</c:v>
                </c:pt>
                <c:pt idx="61">
                  <c:v>23.20727843979769</c:v>
                </c:pt>
                <c:pt idx="62">
                  <c:v>23.207845254666786</c:v>
                </c:pt>
                <c:pt idx="63">
                  <c:v>23.1073062685773</c:v>
                </c:pt>
                <c:pt idx="64">
                  <c:v>22.986204734079948</c:v>
                </c:pt>
                <c:pt idx="65">
                  <c:v>22.864740395493822</c:v>
                </c:pt>
                <c:pt idx="66">
                  <c:v>22.86373823143532</c:v>
                </c:pt>
                <c:pt idx="67">
                  <c:v>23.039970969030051</c:v>
                </c:pt>
                <c:pt idx="68">
                  <c:v>23.138547070926766</c:v>
                </c:pt>
                <c:pt idx="69">
                  <c:v>23.377524963169094</c:v>
                </c:pt>
                <c:pt idx="70">
                  <c:v>23.556714531238764</c:v>
                </c:pt>
                <c:pt idx="71">
                  <c:v>23.853912996978693</c:v>
                </c:pt>
                <c:pt idx="72">
                  <c:v>24.214444039754877</c:v>
                </c:pt>
                <c:pt idx="73">
                  <c:v>24.43420746836793</c:v>
                </c:pt>
                <c:pt idx="74">
                  <c:v>24.594082942007308</c:v>
                </c:pt>
                <c:pt idx="75">
                  <c:v>24.471719004209383</c:v>
                </c:pt>
                <c:pt idx="76">
                  <c:v>24.527086704862381</c:v>
                </c:pt>
                <c:pt idx="77">
                  <c:v>24.603498044129555</c:v>
                </c:pt>
                <c:pt idx="78">
                  <c:v>24.586117443712585</c:v>
                </c:pt>
                <c:pt idx="79">
                  <c:v>24.839863023800195</c:v>
                </c:pt>
                <c:pt idx="80">
                  <c:v>24.634158921245287</c:v>
                </c:pt>
                <c:pt idx="81">
                  <c:v>24.457580320460284</c:v>
                </c:pt>
                <c:pt idx="82">
                  <c:v>24.439078757517894</c:v>
                </c:pt>
                <c:pt idx="83">
                  <c:v>24.783416612792372</c:v>
                </c:pt>
                <c:pt idx="84">
                  <c:v>25.396455443263399</c:v>
                </c:pt>
                <c:pt idx="85">
                  <c:v>25.934371282588756</c:v>
                </c:pt>
                <c:pt idx="86">
                  <c:v>26.433802343098684</c:v>
                </c:pt>
                <c:pt idx="87">
                  <c:v>26.759820469935192</c:v>
                </c:pt>
                <c:pt idx="88">
                  <c:v>27.057674865882056</c:v>
                </c:pt>
                <c:pt idx="89">
                  <c:v>26.968347008785805</c:v>
                </c:pt>
                <c:pt idx="90">
                  <c:v>26.615210108940271</c:v>
                </c:pt>
                <c:pt idx="91">
                  <c:v>26.25314420334076</c:v>
                </c:pt>
                <c:pt idx="92">
                  <c:v>25.752218360924889</c:v>
                </c:pt>
                <c:pt idx="93">
                  <c:v>25.614042818673646</c:v>
                </c:pt>
                <c:pt idx="94">
                  <c:v>25.43798576446305</c:v>
                </c:pt>
                <c:pt idx="95">
                  <c:v>25.537294060701672</c:v>
                </c:pt>
                <c:pt idx="96">
                  <c:v>25.836250670582213</c:v>
                </c:pt>
                <c:pt idx="97">
                  <c:v>25.761169402597236</c:v>
                </c:pt>
                <c:pt idx="98">
                  <c:v>25.723512413063812</c:v>
                </c:pt>
                <c:pt idx="99">
                  <c:v>25.849123843453143</c:v>
                </c:pt>
                <c:pt idx="100">
                  <c:v>26.049210532120274</c:v>
                </c:pt>
                <c:pt idx="101">
                  <c:v>25.837196857061862</c:v>
                </c:pt>
                <c:pt idx="102">
                  <c:v>25.962680828342098</c:v>
                </c:pt>
                <c:pt idx="103">
                  <c:v>26.4</c:v>
                </c:pt>
                <c:pt idx="104">
                  <c:v>26.625314750972674</c:v>
                </c:pt>
                <c:pt idx="105">
                  <c:v>27</c:v>
                </c:pt>
                <c:pt idx="106">
                  <c:v>27.437251477341807</c:v>
                </c:pt>
                <c:pt idx="107">
                  <c:v>28.085635355110032</c:v>
                </c:pt>
                <c:pt idx="108">
                  <c:v>28.911375492740071</c:v>
                </c:pt>
                <c:pt idx="109">
                  <c:v>29.722636155307359</c:v>
                </c:pt>
                <c:pt idx="110">
                  <c:v>30.185452365545764</c:v>
                </c:pt>
                <c:pt idx="111">
                  <c:v>30.411028309707021</c:v>
                </c:pt>
                <c:pt idx="112">
                  <c:v>30.84849007915146</c:v>
                </c:pt>
                <c:pt idx="113">
                  <c:v>30.984889434889432</c:v>
                </c:pt>
                <c:pt idx="114">
                  <c:v>30.969733489828737</c:v>
                </c:pt>
                <c:pt idx="115">
                  <c:v>30.84769300118716</c:v>
                </c:pt>
                <c:pt idx="116">
                  <c:v>30.894057582656703</c:v>
                </c:pt>
                <c:pt idx="117">
                  <c:v>30.858004764053437</c:v>
                </c:pt>
                <c:pt idx="118">
                  <c:v>30.657671195935837</c:v>
                </c:pt>
                <c:pt idx="119">
                  <c:v>30.357507888148991</c:v>
                </c:pt>
                <c:pt idx="120">
                  <c:v>30.083653834830837</c:v>
                </c:pt>
                <c:pt idx="121">
                  <c:v>29.083471922048428</c:v>
                </c:pt>
                <c:pt idx="122">
                  <c:v>28.236702603407867</c:v>
                </c:pt>
                <c:pt idx="123">
                  <c:v>27.393367780499293</c:v>
                </c:pt>
                <c:pt idx="124">
                  <c:v>26.655250801304</c:v>
                </c:pt>
                <c:pt idx="125">
                  <c:v>25.854861452182156</c:v>
                </c:pt>
                <c:pt idx="126">
                  <c:v>25.226245543386639</c:v>
                </c:pt>
                <c:pt idx="127">
                  <c:v>24.516506842938274</c:v>
                </c:pt>
                <c:pt idx="128">
                  <c:v>24.044505407458896</c:v>
                </c:pt>
                <c:pt idx="129">
                  <c:v>23.652093149600756</c:v>
                </c:pt>
                <c:pt idx="130">
                  <c:v>23.351612735371255</c:v>
                </c:pt>
                <c:pt idx="131">
                  <c:v>23.093799183885153</c:v>
                </c:pt>
                <c:pt idx="132">
                  <c:v>23.150701470741627</c:v>
                </c:pt>
                <c:pt idx="133">
                  <c:v>22.678863618871699</c:v>
                </c:pt>
                <c:pt idx="134">
                  <c:v>22.378601980686518</c:v>
                </c:pt>
                <c:pt idx="135">
                  <c:v>21.643445606522278</c:v>
                </c:pt>
                <c:pt idx="136">
                  <c:v>21.671296157807244</c:v>
                </c:pt>
                <c:pt idx="137">
                  <c:v>21.442308134852144</c:v>
                </c:pt>
                <c:pt idx="138">
                  <c:v>21.342432784338811</c:v>
                </c:pt>
                <c:pt idx="139">
                  <c:v>21.264473702838536</c:v>
                </c:pt>
                <c:pt idx="140">
                  <c:v>21.106773024352609</c:v>
                </c:pt>
                <c:pt idx="141">
                  <c:v>21.306194154172346</c:v>
                </c:pt>
                <c:pt idx="142">
                  <c:v>21.140597699206658</c:v>
                </c:pt>
                <c:pt idx="143">
                  <c:v>21.105284021703024</c:v>
                </c:pt>
                <c:pt idx="144">
                  <c:v>21.135185099757813</c:v>
                </c:pt>
                <c:pt idx="145">
                  <c:v>20.794304842588936</c:v>
                </c:pt>
                <c:pt idx="146">
                  <c:v>20.635295214766646</c:v>
                </c:pt>
                <c:pt idx="147">
                  <c:v>20.11660742547285</c:v>
                </c:pt>
                <c:pt idx="148">
                  <c:v>19.864396606805421</c:v>
                </c:pt>
                <c:pt idx="149">
                  <c:v>19.683952483801296</c:v>
                </c:pt>
                <c:pt idx="150">
                  <c:v>19.24611765431813</c:v>
                </c:pt>
                <c:pt idx="151">
                  <c:v>18.98502052275423</c:v>
                </c:pt>
                <c:pt idx="152">
                  <c:v>18.640607491781267</c:v>
                </c:pt>
                <c:pt idx="153">
                  <c:v>18.71871715442246</c:v>
                </c:pt>
                <c:pt idx="154">
                  <c:v>18.768931946167797</c:v>
                </c:pt>
                <c:pt idx="155">
                  <c:v>18.502537704325839</c:v>
                </c:pt>
                <c:pt idx="156">
                  <c:v>18.661454101874774</c:v>
                </c:pt>
                <c:pt idx="157">
                  <c:v>18.497186854460093</c:v>
                </c:pt>
                <c:pt idx="158">
                  <c:v>18.167636075740582</c:v>
                </c:pt>
                <c:pt idx="159">
                  <c:v>18.179127504629822</c:v>
                </c:pt>
                <c:pt idx="160">
                  <c:v>17.979174907749076</c:v>
                </c:pt>
                <c:pt idx="161">
                  <c:v>18.169286932997213</c:v>
                </c:pt>
                <c:pt idx="162">
                  <c:v>17.769647471686074</c:v>
                </c:pt>
                <c:pt idx="163">
                  <c:v>17.70797167092152</c:v>
                </c:pt>
                <c:pt idx="164">
                  <c:v>18.005223053713582</c:v>
                </c:pt>
                <c:pt idx="165">
                  <c:v>17.615435725276264</c:v>
                </c:pt>
                <c:pt idx="166">
                  <c:v>17.761431152873151</c:v>
                </c:pt>
                <c:pt idx="167">
                  <c:v>17.885252766975768</c:v>
                </c:pt>
                <c:pt idx="168">
                  <c:v>17.667871393049211</c:v>
                </c:pt>
                <c:pt idx="169">
                  <c:v>18.130334149302445</c:v>
                </c:pt>
                <c:pt idx="170">
                  <c:v>18.003119998337109</c:v>
                </c:pt>
                <c:pt idx="171">
                  <c:v>17.916070661050458</c:v>
                </c:pt>
                <c:pt idx="172">
                  <c:v>17.88513785245096</c:v>
                </c:pt>
                <c:pt idx="173">
                  <c:v>18.125330289824998</c:v>
                </c:pt>
                <c:pt idx="174">
                  <c:v>18.218347056450657</c:v>
                </c:pt>
                <c:pt idx="175">
                  <c:v>17.974769245756313</c:v>
                </c:pt>
                <c:pt idx="176">
                  <c:v>17.723309063519959</c:v>
                </c:pt>
                <c:pt idx="177">
                  <c:v>17.759131446297015</c:v>
                </c:pt>
                <c:pt idx="178">
                  <c:v>17.753769988351159</c:v>
                </c:pt>
                <c:pt idx="179">
                  <c:v>17.729937316946323</c:v>
                </c:pt>
                <c:pt idx="180">
                  <c:v>17.542876154038094</c:v>
                </c:pt>
                <c:pt idx="181">
                  <c:v>17.54483740531921</c:v>
                </c:pt>
                <c:pt idx="182">
                  <c:v>17.280006965203004</c:v>
                </c:pt>
                <c:pt idx="183">
                  <c:v>17.430159574468089</c:v>
                </c:pt>
                <c:pt idx="184">
                  <c:v>17.799686992114609</c:v>
                </c:pt>
                <c:pt idx="185">
                  <c:v>17.45878574516707</c:v>
                </c:pt>
                <c:pt idx="186">
                  <c:v>17.852732112102707</c:v>
                </c:pt>
                <c:pt idx="187">
                  <c:v>17.490772948395918</c:v>
                </c:pt>
                <c:pt idx="188">
                  <c:v>17.528999870449542</c:v>
                </c:pt>
                <c:pt idx="189">
                  <c:v>17.30418925579103</c:v>
                </c:pt>
                <c:pt idx="190">
                  <c:v>17.361370570288663</c:v>
                </c:pt>
                <c:pt idx="191">
                  <c:v>17.014594926769316</c:v>
                </c:pt>
                <c:pt idx="192">
                  <c:v>16.946667363142499</c:v>
                </c:pt>
                <c:pt idx="193">
                  <c:v>17.065822784810127</c:v>
                </c:pt>
                <c:pt idx="194">
                  <c:v>17.261253798292579</c:v>
                </c:pt>
                <c:pt idx="195">
                  <c:v>16.419873921698738</c:v>
                </c:pt>
                <c:pt idx="196">
                  <c:v>16.853530070974973</c:v>
                </c:pt>
                <c:pt idx="197">
                  <c:v>17.163436623986666</c:v>
                </c:pt>
                <c:pt idx="198">
                  <c:v>16.961322869955158</c:v>
                </c:pt>
                <c:pt idx="199">
                  <c:v>16.205736894164193</c:v>
                </c:pt>
                <c:pt idx="200">
                  <c:v>16.620406021713684</c:v>
                </c:pt>
                <c:pt idx="201">
                  <c:v>16.932518457752259</c:v>
                </c:pt>
                <c:pt idx="202">
                  <c:v>16.731432877056385</c:v>
                </c:pt>
                <c:pt idx="203">
                  <c:v>16.651672782214547</c:v>
                </c:pt>
                <c:pt idx="204">
                  <c:v>16.747333333333334</c:v>
                </c:pt>
                <c:pt idx="205">
                  <c:v>16.629098790782567</c:v>
                </c:pt>
                <c:pt idx="206">
                  <c:v>16.597330952492833</c:v>
                </c:pt>
                <c:pt idx="207">
                  <c:v>16.336971830985917</c:v>
                </c:pt>
                <c:pt idx="208">
                  <c:v>16.312004438615961</c:v>
                </c:pt>
                <c:pt idx="209">
                  <c:v>16.281681526021149</c:v>
                </c:pt>
                <c:pt idx="210">
                  <c:v>16.164598115005823</c:v>
                </c:pt>
                <c:pt idx="211">
                  <c:v>15.797094259390501</c:v>
                </c:pt>
                <c:pt idx="212">
                  <c:v>15.977485886758705</c:v>
                </c:pt>
                <c:pt idx="213">
                  <c:v>15.524407596534513</c:v>
                </c:pt>
                <c:pt idx="214">
                  <c:v>15.89100380450688</c:v>
                </c:pt>
                <c:pt idx="215">
                  <c:v>15.465420392486346</c:v>
                </c:pt>
                <c:pt idx="216">
                  <c:v>15.806177653222861</c:v>
                </c:pt>
                <c:pt idx="217">
                  <c:v>16.16899441340782</c:v>
                </c:pt>
                <c:pt idx="218">
                  <c:v>15.760749606299214</c:v>
                </c:pt>
                <c:pt idx="219">
                  <c:v>15.648133044475596</c:v>
                </c:pt>
                <c:pt idx="220">
                  <c:v>15.461314578336681</c:v>
                </c:pt>
                <c:pt idx="221">
                  <c:v>15.252710724178868</c:v>
                </c:pt>
                <c:pt idx="222">
                  <c:v>15.190504727660141</c:v>
                </c:pt>
                <c:pt idx="223">
                  <c:v>15.659392002176279</c:v>
                </c:pt>
                <c:pt idx="224">
                  <c:v>15.404436483879856</c:v>
                </c:pt>
                <c:pt idx="225">
                  <c:v>15.473709281961472</c:v>
                </c:pt>
                <c:pt idx="226">
                  <c:v>15.4427597955707</c:v>
                </c:pt>
                <c:pt idx="227">
                  <c:v>15.813240392950014</c:v>
                </c:pt>
                <c:pt idx="228">
                  <c:v>15.344727916236543</c:v>
                </c:pt>
                <c:pt idx="229">
                  <c:v>15.92549592035332</c:v>
                </c:pt>
                <c:pt idx="230">
                  <c:v>15.792270051227158</c:v>
                </c:pt>
                <c:pt idx="231">
                  <c:v>15.57430900621118</c:v>
                </c:pt>
                <c:pt idx="232">
                  <c:v>16.048587481205981</c:v>
                </c:pt>
                <c:pt idx="233">
                  <c:v>15.749939831528279</c:v>
                </c:pt>
                <c:pt idx="234">
                  <c:v>15.777996262289756</c:v>
                </c:pt>
                <c:pt idx="235">
                  <c:v>16.029544143104442</c:v>
                </c:pt>
                <c:pt idx="236">
                  <c:v>16.37998324958124</c:v>
                </c:pt>
                <c:pt idx="237">
                  <c:v>15.581971133316252</c:v>
                </c:pt>
                <c:pt idx="238">
                  <c:v>15.586862710979643</c:v>
                </c:pt>
                <c:pt idx="239">
                  <c:v>16.222673073500623</c:v>
                </c:pt>
                <c:pt idx="240">
                  <c:v>15.793143526443824</c:v>
                </c:pt>
                <c:pt idx="241">
                  <c:v>15.574035347459979</c:v>
                </c:pt>
                <c:pt idx="242">
                  <c:v>15.654810468473505</c:v>
                </c:pt>
                <c:pt idx="243">
                  <c:v>15.647400931293358</c:v>
                </c:pt>
                <c:pt idx="244">
                  <c:v>15.278485287023637</c:v>
                </c:pt>
                <c:pt idx="245">
                  <c:v>15.396565337544414</c:v>
                </c:pt>
                <c:pt idx="246">
                  <c:v>15.039330839987871</c:v>
                </c:pt>
                <c:pt idx="247">
                  <c:v>15.128771064529388</c:v>
                </c:pt>
                <c:pt idx="248">
                  <c:v>15.600041806020068</c:v>
                </c:pt>
                <c:pt idx="249">
                  <c:v>15.120720239367385</c:v>
                </c:pt>
                <c:pt idx="250">
                  <c:v>14.873537363469234</c:v>
                </c:pt>
                <c:pt idx="251">
                  <c:v>14.992310220177455</c:v>
                </c:pt>
                <c:pt idx="252">
                  <c:v>15.613322936393002</c:v>
                </c:pt>
                <c:pt idx="253">
                  <c:v>15.575446126044726</c:v>
                </c:pt>
                <c:pt idx="254">
                  <c:v>14.796680022896394</c:v>
                </c:pt>
                <c:pt idx="255">
                  <c:v>15.304147250698973</c:v>
                </c:pt>
                <c:pt idx="256">
                  <c:v>15.224919824207149</c:v>
                </c:pt>
                <c:pt idx="257">
                  <c:v>15.16409763135746</c:v>
                </c:pt>
                <c:pt idx="258">
                  <c:v>15.629273919378338</c:v>
                </c:pt>
                <c:pt idx="259">
                  <c:v>15.604540967423494</c:v>
                </c:pt>
                <c:pt idx="260">
                  <c:v>15.422727272727272</c:v>
                </c:pt>
                <c:pt idx="261">
                  <c:v>15.133217815428058</c:v>
                </c:pt>
                <c:pt idx="262">
                  <c:v>15.353003395142336</c:v>
                </c:pt>
                <c:pt idx="263">
                  <c:v>15.427021161150298</c:v>
                </c:pt>
                <c:pt idx="264">
                  <c:v>15.257867595818816</c:v>
                </c:pt>
                <c:pt idx="265">
                  <c:v>15.789227266258715</c:v>
                </c:pt>
                <c:pt idx="266">
                  <c:v>15.493251899299866</c:v>
                </c:pt>
                <c:pt idx="267">
                  <c:v>15.432321177023008</c:v>
                </c:pt>
                <c:pt idx="268">
                  <c:v>15.311893558331981</c:v>
                </c:pt>
                <c:pt idx="269">
                  <c:v>15.704165969549942</c:v>
                </c:pt>
                <c:pt idx="270">
                  <c:v>15.745247680728164</c:v>
                </c:pt>
                <c:pt idx="271">
                  <c:v>15.984550207319272</c:v>
                </c:pt>
                <c:pt idx="272">
                  <c:v>15.718289303528543</c:v>
                </c:pt>
                <c:pt idx="273">
                  <c:v>16.152289429055962</c:v>
                </c:pt>
                <c:pt idx="274">
                  <c:v>16.241968610734354</c:v>
                </c:pt>
                <c:pt idx="275">
                  <c:v>16.045476333133614</c:v>
                </c:pt>
                <c:pt idx="276">
                  <c:v>16.125605815831989</c:v>
                </c:pt>
                <c:pt idx="277">
                  <c:v>15.780661629569122</c:v>
                </c:pt>
                <c:pt idx="278">
                  <c:v>15.900227696129166</c:v>
                </c:pt>
                <c:pt idx="279">
                  <c:v>16.0615449202351</c:v>
                </c:pt>
                <c:pt idx="280">
                  <c:v>16.154463712267184</c:v>
                </c:pt>
                <c:pt idx="281">
                  <c:v>16.455746367239101</c:v>
                </c:pt>
                <c:pt idx="282">
                  <c:v>16.408674267829198</c:v>
                </c:pt>
                <c:pt idx="283">
                  <c:v>16.808312168090509</c:v>
                </c:pt>
                <c:pt idx="284">
                  <c:v>16.816316906390004</c:v>
                </c:pt>
                <c:pt idx="285">
                  <c:v>16.5</c:v>
                </c:pt>
                <c:pt idx="286">
                  <c:v>16.828813559322032</c:v>
                </c:pt>
                <c:pt idx="287">
                  <c:v>17.056773211567734</c:v>
                </c:pt>
                <c:pt idx="288">
                  <c:v>16.478374836173</c:v>
                </c:pt>
                <c:pt idx="289">
                  <c:v>17.193188522392063</c:v>
                </c:pt>
                <c:pt idx="290">
                  <c:v>16.993701442841289</c:v>
                </c:pt>
                <c:pt idx="291">
                  <c:v>17</c:v>
                </c:pt>
                <c:pt idx="292">
                  <c:v>17.866599073001158</c:v>
                </c:pt>
                <c:pt idx="293">
                  <c:v>17.681985515992757</c:v>
                </c:pt>
                <c:pt idx="294">
                  <c:v>18</c:v>
                </c:pt>
                <c:pt idx="295">
                  <c:v>18.109803309397439</c:v>
                </c:pt>
                <c:pt idx="296">
                  <c:v>17.777351247600766</c:v>
                </c:pt>
                <c:pt idx="297">
                  <c:v>18.949899193548386</c:v>
                </c:pt>
                <c:pt idx="298">
                  <c:v>18.157609451007644</c:v>
                </c:pt>
                <c:pt idx="299">
                  <c:v>19.024216524216524</c:v>
                </c:pt>
                <c:pt idx="300">
                  <c:v>18.030140532544376</c:v>
                </c:pt>
                <c:pt idx="301">
                  <c:v>17.876109215017063</c:v>
                </c:pt>
                <c:pt idx="302">
                  <c:v>18.130312499999999</c:v>
                </c:pt>
                <c:pt idx="303">
                  <c:v>18.844847250509165</c:v>
                </c:pt>
                <c:pt idx="304">
                  <c:v>18.960050251256281</c:v>
                </c:pt>
                <c:pt idx="305">
                  <c:v>18.296749024707413</c:v>
                </c:pt>
                <c:pt idx="306">
                  <c:v>19.781721384205859</c:v>
                </c:pt>
                <c:pt idx="307">
                  <c:v>19.487939698492461</c:v>
                </c:pt>
                <c:pt idx="308">
                  <c:v>19.003844305622298</c:v>
                </c:pt>
                <c:pt idx="309">
                  <c:v>19.017841516771998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TotalTracking!$AD$1</c:f>
              <c:strCache>
                <c:ptCount val="1"/>
                <c:pt idx="0">
                  <c:v>Model CPR</c:v>
                </c:pt>
              </c:strCache>
            </c:strRef>
          </c:tx>
          <c:marker>
            <c:symbol val="none"/>
          </c:marker>
          <c:cat>
            <c:numRef>
              <c:f>TotalTracking!$AB$2:$AB$311</c:f>
              <c:numCache>
                <c:formatCode>General</c:formatCode>
                <c:ptCount val="3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</c:numCache>
            </c:numRef>
          </c:cat>
          <c:val>
            <c:numRef>
              <c:f>TotalTracking!$AD$2:$AD$311</c:f>
              <c:numCache>
                <c:formatCode>General</c:formatCode>
                <c:ptCount val="310"/>
                <c:pt idx="0">
                  <c:v>0.77060200597066209</c:v>
                </c:pt>
                <c:pt idx="1">
                  <c:v>3.6963789180953848</c:v>
                </c:pt>
                <c:pt idx="2">
                  <c:v>2.4</c:v>
                </c:pt>
                <c:pt idx="3">
                  <c:v>4.3817212788410584</c:v>
                </c:pt>
                <c:pt idx="4">
                  <c:v>6.6340418815888</c:v>
                </c:pt>
                <c:pt idx="5">
                  <c:v>9.244386182835175</c:v>
                </c:pt>
                <c:pt idx="6">
                  <c:v>11.121116471012618</c:v>
                </c:pt>
                <c:pt idx="7">
                  <c:v>12.120782428887667</c:v>
                </c:pt>
                <c:pt idx="8">
                  <c:v>13.12058683408681</c:v>
                </c:pt>
                <c:pt idx="9">
                  <c:v>13.96040783595585</c:v>
                </c:pt>
                <c:pt idx="10">
                  <c:v>14.63963740858682</c:v>
                </c:pt>
                <c:pt idx="11">
                  <c:v>15.339683907580715</c:v>
                </c:pt>
                <c:pt idx="12">
                  <c:v>15.9</c:v>
                </c:pt>
                <c:pt idx="13">
                  <c:v>16.339684061607272</c:v>
                </c:pt>
                <c:pt idx="14">
                  <c:v>16.839837561950446</c:v>
                </c:pt>
                <c:pt idx="15">
                  <c:v>17.2</c:v>
                </c:pt>
                <c:pt idx="16">
                  <c:v>17.600000000000001</c:v>
                </c:pt>
                <c:pt idx="17">
                  <c:v>17.899999999999999</c:v>
                </c:pt>
                <c:pt idx="18">
                  <c:v>18.16014237744012</c:v>
                </c:pt>
                <c:pt idx="19">
                  <c:v>18.260173411157723</c:v>
                </c:pt>
                <c:pt idx="20">
                  <c:v>18.280427143474537</c:v>
                </c:pt>
                <c:pt idx="21">
                  <c:v>18.180436727831275</c:v>
                </c:pt>
                <c:pt idx="22">
                  <c:v>18.140580821413185</c:v>
                </c:pt>
                <c:pt idx="23">
                  <c:v>18.140580040749153</c:v>
                </c:pt>
                <c:pt idx="24">
                  <c:v>18.180388605181037</c:v>
                </c:pt>
                <c:pt idx="25">
                  <c:v>18.280285505978028</c:v>
                </c:pt>
                <c:pt idx="26">
                  <c:v>18.380289162968058</c:v>
                </c:pt>
                <c:pt idx="27">
                  <c:v>18.42025638718636</c:v>
                </c:pt>
                <c:pt idx="28">
                  <c:v>18.560046699937867</c:v>
                </c:pt>
                <c:pt idx="29">
                  <c:v>18.720091622058568</c:v>
                </c:pt>
                <c:pt idx="30">
                  <c:v>18.8</c:v>
                </c:pt>
                <c:pt idx="31">
                  <c:v>19</c:v>
                </c:pt>
                <c:pt idx="32">
                  <c:v>19.100000000000001</c:v>
                </c:pt>
                <c:pt idx="33">
                  <c:v>19.199999999999996</c:v>
                </c:pt>
                <c:pt idx="34">
                  <c:v>19.259960048553687</c:v>
                </c:pt>
                <c:pt idx="35">
                  <c:v>19.3</c:v>
                </c:pt>
                <c:pt idx="36">
                  <c:v>19.399999999999999</c:v>
                </c:pt>
                <c:pt idx="37">
                  <c:v>19.540039950937572</c:v>
                </c:pt>
                <c:pt idx="38">
                  <c:v>19.740070036413879</c:v>
                </c:pt>
                <c:pt idx="39">
                  <c:v>19.940146203183911</c:v>
                </c:pt>
                <c:pt idx="40">
                  <c:v>20.200000000000003</c:v>
                </c:pt>
                <c:pt idx="41">
                  <c:v>20.6</c:v>
                </c:pt>
                <c:pt idx="42">
                  <c:v>20.84025956484032</c:v>
                </c:pt>
                <c:pt idx="43">
                  <c:v>21.040305691426923</c:v>
                </c:pt>
                <c:pt idx="44">
                  <c:v>20.98090700561313</c:v>
                </c:pt>
                <c:pt idx="45">
                  <c:v>20.980883397053951</c:v>
                </c:pt>
                <c:pt idx="46">
                  <c:v>20.940478795886445</c:v>
                </c:pt>
                <c:pt idx="47">
                  <c:v>20.9</c:v>
                </c:pt>
                <c:pt idx="48">
                  <c:v>20.9</c:v>
                </c:pt>
                <c:pt idx="49">
                  <c:v>20.8</c:v>
                </c:pt>
                <c:pt idx="50">
                  <c:v>20.840711858943262</c:v>
                </c:pt>
                <c:pt idx="51">
                  <c:v>20.840680562796276</c:v>
                </c:pt>
                <c:pt idx="52">
                  <c:v>20.940792984797127</c:v>
                </c:pt>
                <c:pt idx="53">
                  <c:v>20.981605618688814</c:v>
                </c:pt>
                <c:pt idx="54">
                  <c:v>21.081440787564617</c:v>
                </c:pt>
                <c:pt idx="55">
                  <c:v>21.022307038618887</c:v>
                </c:pt>
                <c:pt idx="56">
                  <c:v>21.063219693485411</c:v>
                </c:pt>
                <c:pt idx="57">
                  <c:v>21.103482082880454</c:v>
                </c:pt>
                <c:pt idx="58">
                  <c:v>21.003172278401696</c:v>
                </c:pt>
                <c:pt idx="59">
                  <c:v>21.084183400081361</c:v>
                </c:pt>
                <c:pt idx="60">
                  <c:v>21.184484008147855</c:v>
                </c:pt>
                <c:pt idx="61">
                  <c:v>21.383396605238921</c:v>
                </c:pt>
                <c:pt idx="62">
                  <c:v>21.443138101866715</c:v>
                </c:pt>
                <c:pt idx="63">
                  <c:v>21.48340959200274</c:v>
                </c:pt>
                <c:pt idx="64">
                  <c:v>21.382554890503506</c:v>
                </c:pt>
                <c:pt idx="65">
                  <c:v>21.342031598068779</c:v>
                </c:pt>
                <c:pt idx="66">
                  <c:v>21.341602099186566</c:v>
                </c:pt>
                <c:pt idx="67">
                  <c:v>21.479981525746396</c:v>
                </c:pt>
                <c:pt idx="68">
                  <c:v>21.57907540877158</c:v>
                </c:pt>
                <c:pt idx="69">
                  <c:v>21.778556228515306</c:v>
                </c:pt>
                <c:pt idx="70">
                  <c:v>21.938591941959469</c:v>
                </c:pt>
                <c:pt idx="71">
                  <c:v>22.09782607034953</c:v>
                </c:pt>
                <c:pt idx="72">
                  <c:v>22.197863092213414</c:v>
                </c:pt>
                <c:pt idx="73">
                  <c:v>22.257893624861069</c:v>
                </c:pt>
                <c:pt idx="74">
                  <c:v>22.357633176802924</c:v>
                </c:pt>
                <c:pt idx="75">
                  <c:v>22.457239668069796</c:v>
                </c:pt>
                <c:pt idx="76">
                  <c:v>22.535157514323391</c:v>
                </c:pt>
                <c:pt idx="77">
                  <c:v>22.734499348043187</c:v>
                </c:pt>
                <c:pt idx="78">
                  <c:v>22.795372481237528</c:v>
                </c:pt>
                <c:pt idx="79">
                  <c:v>22.933640954884272</c:v>
                </c:pt>
                <c:pt idx="80">
                  <c:v>22.931839659340618</c:v>
                </c:pt>
                <c:pt idx="81">
                  <c:v>22.770768367248351</c:v>
                </c:pt>
                <c:pt idx="82">
                  <c:v>22.831033753221952</c:v>
                </c:pt>
                <c:pt idx="83">
                  <c:v>23.030049967675424</c:v>
                </c:pt>
                <c:pt idx="84">
                  <c:v>23.390944401255151</c:v>
                </c:pt>
                <c:pt idx="85">
                  <c:v>23.790846886638843</c:v>
                </c:pt>
                <c:pt idx="86">
                  <c:v>24.290643693963816</c:v>
                </c:pt>
                <c:pt idx="87">
                  <c:v>24.527946140980557</c:v>
                </c:pt>
                <c:pt idx="88">
                  <c:v>24.627302459764618</c:v>
                </c:pt>
                <c:pt idx="89">
                  <c:v>24.551559202342883</c:v>
                </c:pt>
                <c:pt idx="90">
                  <c:v>24.275492747080047</c:v>
                </c:pt>
                <c:pt idx="91">
                  <c:v>23.975524033890128</c:v>
                </c:pt>
                <c:pt idx="92">
                  <c:v>23.775369726820816</c:v>
                </c:pt>
                <c:pt idx="93">
                  <c:v>23.712920768729177</c:v>
                </c:pt>
                <c:pt idx="94">
                  <c:v>23.712661921487683</c:v>
                </c:pt>
                <c:pt idx="95">
                  <c:v>23.812431353567224</c:v>
                </c:pt>
                <c:pt idx="96">
                  <c:v>23.937361185620247</c:v>
                </c:pt>
                <c:pt idx="97">
                  <c:v>24.037309914656745</c:v>
                </c:pt>
                <c:pt idx="98">
                  <c:v>24.299999999999997</c:v>
                </c:pt>
                <c:pt idx="99">
                  <c:v>24.662719039136714</c:v>
                </c:pt>
                <c:pt idx="100">
                  <c:v>24.925394733939864</c:v>
                </c:pt>
                <c:pt idx="101">
                  <c:v>25.325606285876276</c:v>
                </c:pt>
                <c:pt idx="102">
                  <c:v>25.850723313368377</c:v>
                </c:pt>
                <c:pt idx="103">
                  <c:v>26.250932722237263</c:v>
                </c:pt>
                <c:pt idx="104">
                  <c:v>26.687972126459016</c:v>
                </c:pt>
                <c:pt idx="105">
                  <c:v>27.151120725795622</c:v>
                </c:pt>
                <c:pt idx="106">
                  <c:v>27.725497045316381</c:v>
                </c:pt>
                <c:pt idx="107">
                  <c:v>28.362872928977989</c:v>
                </c:pt>
                <c:pt idx="108">
                  <c:v>28.837125164246689</c:v>
                </c:pt>
                <c:pt idx="109">
                  <c:v>29.3</c:v>
                </c:pt>
                <c:pt idx="110">
                  <c:v>29.562909526890849</c:v>
                </c:pt>
                <c:pt idx="111">
                  <c:v>29.762990563430993</c:v>
                </c:pt>
                <c:pt idx="112">
                  <c:v>29.837122519787862</c:v>
                </c:pt>
                <c:pt idx="113">
                  <c:v>29.773955773955773</c:v>
                </c:pt>
                <c:pt idx="114">
                  <c:v>29.573946697965745</c:v>
                </c:pt>
                <c:pt idx="115">
                  <c:v>29.373846500593583</c:v>
                </c:pt>
                <c:pt idx="116">
                  <c:v>28.873514395664177</c:v>
                </c:pt>
                <c:pt idx="117">
                  <c:v>28.410573470308616</c:v>
                </c:pt>
                <c:pt idx="118">
                  <c:v>28.036810170847975</c:v>
                </c:pt>
                <c:pt idx="119">
                  <c:v>27.610360523492425</c:v>
                </c:pt>
                <c:pt idx="120">
                  <c:v>27.146923067864673</c:v>
                </c:pt>
                <c:pt idx="121">
                  <c:v>26.683471922048426</c:v>
                </c:pt>
                <c:pt idx="122">
                  <c:v>26.283513017039336</c:v>
                </c:pt>
                <c:pt idx="123">
                  <c:v>25.856696807936885</c:v>
                </c:pt>
                <c:pt idx="124">
                  <c:v>25.428179601676575</c:v>
                </c:pt>
                <c:pt idx="125">
                  <c:v>25.027679009948489</c:v>
                </c:pt>
                <c:pt idx="126">
                  <c:v>24.789996038565903</c:v>
                </c:pt>
                <c:pt idx="127">
                  <c:v>24.616506842938275</c:v>
                </c:pt>
                <c:pt idx="128">
                  <c:v>24.516758111188349</c:v>
                </c:pt>
                <c:pt idx="129">
                  <c:v>24.51607984251493</c:v>
                </c:pt>
                <c:pt idx="130">
                  <c:v>24.523502088334467</c:v>
                </c:pt>
                <c:pt idx="131">
                  <c:v>24.522199332269672</c:v>
                </c:pt>
                <c:pt idx="132">
                  <c:v>24.586515966561862</c:v>
                </c:pt>
                <c:pt idx="133">
                  <c:v>24.61463634264604</c:v>
                </c:pt>
                <c:pt idx="134">
                  <c:v>24.578601980686514</c:v>
                </c:pt>
                <c:pt idx="135">
                  <c:v>24.543445606522273</c:v>
                </c:pt>
                <c:pt idx="136">
                  <c:v>24.64259231561449</c:v>
                </c:pt>
                <c:pt idx="137">
                  <c:v>24.742308134852149</c:v>
                </c:pt>
                <c:pt idx="138">
                  <c:v>25.006824588254105</c:v>
                </c:pt>
                <c:pt idx="139">
                  <c:v>25.206578891484391</c:v>
                </c:pt>
                <c:pt idx="140">
                  <c:v>25.206773024352611</c:v>
                </c:pt>
                <c:pt idx="141">
                  <c:v>25.106194154172346</c:v>
                </c:pt>
                <c:pt idx="142">
                  <c:v>25.005448274404994</c:v>
                </c:pt>
                <c:pt idx="143">
                  <c:v>24.735094673901006</c:v>
                </c:pt>
                <c:pt idx="144">
                  <c:v>24.4</c:v>
                </c:pt>
                <c:pt idx="145">
                  <c:v>24.029536561725955</c:v>
                </c:pt>
                <c:pt idx="146">
                  <c:v>23.794114355700067</c:v>
                </c:pt>
                <c:pt idx="147">
                  <c:v>23.464575928184104</c:v>
                </c:pt>
                <c:pt idx="148">
                  <c:v>23.26439660680542</c:v>
                </c:pt>
                <c:pt idx="149">
                  <c:v>22.927984161267098</c:v>
                </c:pt>
                <c:pt idx="150">
                  <c:v>22.527462186948039</c:v>
                </c:pt>
                <c:pt idx="151">
                  <c:v>22.228340174251411</c:v>
                </c:pt>
                <c:pt idx="152">
                  <c:v>22.028121498356256</c:v>
                </c:pt>
                <c:pt idx="153">
                  <c:v>21.863743430884494</c:v>
                </c:pt>
                <c:pt idx="154">
                  <c:v>21.7</c:v>
                </c:pt>
                <c:pt idx="155">
                  <c:v>21.7</c:v>
                </c:pt>
                <c:pt idx="156">
                  <c:v>21.637616210902802</c:v>
                </c:pt>
                <c:pt idx="157">
                  <c:v>21.637851643192487</c:v>
                </c:pt>
                <c:pt idx="158">
                  <c:v>21.476051989179918</c:v>
                </c:pt>
                <c:pt idx="159">
                  <c:v>21.438261135942746</c:v>
                </c:pt>
                <c:pt idx="160">
                  <c:v>21.376513653136531</c:v>
                </c:pt>
                <c:pt idx="161">
                  <c:v>21.338458582473834</c:v>
                </c:pt>
                <c:pt idx="162">
                  <c:v>21.238392088052322</c:v>
                </c:pt>
                <c:pt idx="163">
                  <c:v>21.176811331631395</c:v>
                </c:pt>
                <c:pt idx="164">
                  <c:v>21.014179295296863</c:v>
                </c:pt>
                <c:pt idx="165">
                  <c:v>20.838456427472373</c:v>
                </c:pt>
                <c:pt idx="166">
                  <c:v>20.677137694253705</c:v>
                </c:pt>
                <c:pt idx="167">
                  <c:v>20.476843404128026</c:v>
                </c:pt>
                <c:pt idx="168">
                  <c:v>20.338688101158464</c:v>
                </c:pt>
                <c:pt idx="169">
                  <c:v>20.238523692956797</c:v>
                </c:pt>
                <c:pt idx="170">
                  <c:v>20.076443077178904</c:v>
                </c:pt>
                <c:pt idx="171">
                  <c:v>19.838392933894955</c:v>
                </c:pt>
                <c:pt idx="172">
                  <c:v>19.638428884221817</c:v>
                </c:pt>
                <c:pt idx="173">
                  <c:v>19.438311314011667</c:v>
                </c:pt>
                <c:pt idx="174">
                  <c:v>19.3</c:v>
                </c:pt>
                <c:pt idx="175">
                  <c:v>19.100000000000001</c:v>
                </c:pt>
                <c:pt idx="176">
                  <c:v>18.8</c:v>
                </c:pt>
                <c:pt idx="177">
                  <c:v>18.62473051570376</c:v>
                </c:pt>
                <c:pt idx="178">
                  <c:v>18.423069998941013</c:v>
                </c:pt>
                <c:pt idx="179">
                  <c:v>18.424512084964277</c:v>
                </c:pt>
                <c:pt idx="180">
                  <c:v>18.323430092323047</c:v>
                </c:pt>
                <c:pt idx="181">
                  <c:v>18.524631243237085</c:v>
                </c:pt>
                <c:pt idx="182">
                  <c:v>18.824444960385406</c:v>
                </c:pt>
                <c:pt idx="183">
                  <c:v>19.13781914893617</c:v>
                </c:pt>
                <c:pt idx="184">
                  <c:v>19.337509781496419</c:v>
                </c:pt>
                <c:pt idx="185">
                  <c:v>19.600000000000001</c:v>
                </c:pt>
                <c:pt idx="186">
                  <c:v>19.837363394394863</c:v>
                </c:pt>
                <c:pt idx="187">
                  <c:v>19.937378779689041</c:v>
                </c:pt>
                <c:pt idx="188">
                  <c:v>19.900000000000002</c:v>
                </c:pt>
                <c:pt idx="189">
                  <c:v>19.825349104649252</c:v>
                </c:pt>
                <c:pt idx="190">
                  <c:v>19.825812183592049</c:v>
                </c:pt>
                <c:pt idx="191">
                  <c:v>19.826216243897441</c:v>
                </c:pt>
                <c:pt idx="192">
                  <c:v>19.863111157542832</c:v>
                </c:pt>
                <c:pt idx="193">
                  <c:v>19.900000000000002</c:v>
                </c:pt>
                <c:pt idx="194">
                  <c:v>19.836467226161194</c:v>
                </c:pt>
                <c:pt idx="195">
                  <c:v>19.727398068273981</c:v>
                </c:pt>
                <c:pt idx="196">
                  <c:v>19.827829660067238</c:v>
                </c:pt>
                <c:pt idx="197">
                  <c:v>19.863978331691797</c:v>
                </c:pt>
                <c:pt idx="198">
                  <c:v>19.964183547239834</c:v>
                </c:pt>
                <c:pt idx="199">
                  <c:v>20.100000000000001</c:v>
                </c:pt>
                <c:pt idx="200">
                  <c:v>20.235436089922104</c:v>
                </c:pt>
                <c:pt idx="201">
                  <c:v>20.5</c:v>
                </c:pt>
                <c:pt idx="202">
                  <c:v>20.664812256687178</c:v>
                </c:pt>
                <c:pt idx="203">
                  <c:v>20.734832721778545</c:v>
                </c:pt>
                <c:pt idx="204">
                  <c:v>20.668213333333334</c:v>
                </c:pt>
                <c:pt idx="205">
                  <c:v>20.533862651152177</c:v>
                </c:pt>
                <c:pt idx="206">
                  <c:v>20.166444246041067</c:v>
                </c:pt>
                <c:pt idx="207">
                  <c:v>19.734242957746481</c:v>
                </c:pt>
                <c:pt idx="208">
                  <c:v>19.434933925148794</c:v>
                </c:pt>
                <c:pt idx="209">
                  <c:v>19.304504457806345</c:v>
                </c:pt>
                <c:pt idx="210">
                  <c:v>19.305517314412793</c:v>
                </c:pt>
                <c:pt idx="211">
                  <c:v>19.376029002889386</c:v>
                </c:pt>
                <c:pt idx="212">
                  <c:v>19.338527751383374</c:v>
                </c:pt>
                <c:pt idx="213">
                  <c:v>19.709116988926503</c:v>
                </c:pt>
                <c:pt idx="214">
                  <c:v>20.01043020193152</c:v>
                </c:pt>
                <c:pt idx="215">
                  <c:v>20.38271019624317</c:v>
                </c:pt>
                <c:pt idx="216">
                  <c:v>20.67095162666017</c:v>
                </c:pt>
                <c:pt idx="217">
                  <c:v>20.857467411545628</c:v>
                </c:pt>
                <c:pt idx="218">
                  <c:v>20.956541732283462</c:v>
                </c:pt>
                <c:pt idx="219">
                  <c:v>21.2</c:v>
                </c:pt>
                <c:pt idx="220">
                  <c:v>21.127737084332665</c:v>
                </c:pt>
                <c:pt idx="221">
                  <c:v>21.009906344809394</c:v>
                </c:pt>
                <c:pt idx="222">
                  <c:v>21.327373818084965</c:v>
                </c:pt>
                <c:pt idx="223">
                  <c:v>21.253468443960827</c:v>
                </c:pt>
                <c:pt idx="224">
                  <c:v>21.352741802149353</c:v>
                </c:pt>
                <c:pt idx="225">
                  <c:v>21.278872154115589</c:v>
                </c:pt>
                <c:pt idx="226">
                  <c:v>21.252413401476435</c:v>
                </c:pt>
                <c:pt idx="227">
                  <c:v>21.226069055186365</c:v>
                </c:pt>
                <c:pt idx="228">
                  <c:v>21.051054416752692</c:v>
                </c:pt>
                <c:pt idx="229">
                  <c:v>20.950991840706639</c:v>
                </c:pt>
                <c:pt idx="230">
                  <c:v>20.676932487193209</c:v>
                </c:pt>
                <c:pt idx="231">
                  <c:v>20.351381987577643</c:v>
                </c:pt>
                <c:pt idx="232">
                  <c:v>20.049529160401995</c:v>
                </c:pt>
                <c:pt idx="233">
                  <c:v>19.649939831528279</c:v>
                </c:pt>
                <c:pt idx="234">
                  <c:v>19.402397009831802</c:v>
                </c:pt>
                <c:pt idx="235">
                  <c:v>19.029544143104442</c:v>
                </c:pt>
                <c:pt idx="236">
                  <c:v>18.931976549413736</c:v>
                </c:pt>
                <c:pt idx="237">
                  <c:v>18.463942266632504</c:v>
                </c:pt>
                <c:pt idx="238">
                  <c:v>18.163180789977378</c:v>
                </c:pt>
                <c:pt idx="239">
                  <c:v>18.08257697099128</c:v>
                </c:pt>
                <c:pt idx="240">
                  <c:v>18.17015947382647</c:v>
                </c:pt>
                <c:pt idx="241">
                  <c:v>17.983649486443969</c:v>
                </c:pt>
                <c:pt idx="242">
                  <c:v>18.028862810841019</c:v>
                </c:pt>
                <c:pt idx="243">
                  <c:v>17.891475814881687</c:v>
                </c:pt>
                <c:pt idx="244">
                  <c:v>17.94557645923782</c:v>
                </c:pt>
                <c:pt idx="245">
                  <c:v>18.074891433083298</c:v>
                </c:pt>
                <c:pt idx="246">
                  <c:v>18.130718689982817</c:v>
                </c:pt>
                <c:pt idx="247">
                  <c:v>18.136138512124948</c:v>
                </c:pt>
                <c:pt idx="248">
                  <c:v>18.292913879598665</c:v>
                </c:pt>
                <c:pt idx="249">
                  <c:v>18.147755930754435</c:v>
                </c:pt>
                <c:pt idx="250">
                  <c:v>18.041689196496158</c:v>
                </c:pt>
                <c:pt idx="251">
                  <c:v>18.146927374301676</c:v>
                </c:pt>
                <c:pt idx="252">
                  <c:v>18.226645872786008</c:v>
                </c:pt>
                <c:pt idx="253">
                  <c:v>18.294307657555905</c:v>
                </c:pt>
                <c:pt idx="254">
                  <c:v>18.493360045792784</c:v>
                </c:pt>
                <c:pt idx="255">
                  <c:v>18.644769338303821</c:v>
                </c:pt>
                <c:pt idx="256">
                  <c:v>18.56569663855565</c:v>
                </c:pt>
                <c:pt idx="257">
                  <c:v>18.50853673199471</c:v>
                </c:pt>
                <c:pt idx="258">
                  <c:v>18.631714424477902</c:v>
                </c:pt>
                <c:pt idx="259">
                  <c:v>18.491806515301086</c:v>
                </c:pt>
                <c:pt idx="260">
                  <c:v>18.320454545454545</c:v>
                </c:pt>
                <c:pt idx="261">
                  <c:v>18.120870234886404</c:v>
                </c:pt>
                <c:pt idx="262">
                  <c:v>18.554008879603025</c:v>
                </c:pt>
                <c:pt idx="263">
                  <c:v>18.316169289202385</c:v>
                </c:pt>
                <c:pt idx="264">
                  <c:v>18.35174912891986</c:v>
                </c:pt>
                <c:pt idx="265">
                  <c:v>18.357051373274512</c:v>
                </c:pt>
                <c:pt idx="266">
                  <c:v>18.899046625949651</c:v>
                </c:pt>
                <c:pt idx="267">
                  <c:v>19.149726091720144</c:v>
                </c:pt>
                <c:pt idx="268">
                  <c:v>19.692357618043161</c:v>
                </c:pt>
                <c:pt idx="269">
                  <c:v>19.809720595616529</c:v>
                </c:pt>
                <c:pt idx="270">
                  <c:v>20.16255907579205</c:v>
                </c:pt>
                <c:pt idx="271">
                  <c:v>20.288894898143145</c:v>
                </c:pt>
                <c:pt idx="272">
                  <c:v>20.454867910585627</c:v>
                </c:pt>
                <c:pt idx="273">
                  <c:v>20.480459770114944</c:v>
                </c:pt>
                <c:pt idx="274">
                  <c:v>20.803623328812247</c:v>
                </c:pt>
                <c:pt idx="275">
                  <c:v>21.042480527261834</c:v>
                </c:pt>
                <c:pt idx="276">
                  <c:v>21.043457189014539</c:v>
                </c:pt>
                <c:pt idx="277">
                  <c:v>20.972922197263628</c:v>
                </c:pt>
                <c:pt idx="278">
                  <c:v>21.131070171807082</c:v>
                </c:pt>
                <c:pt idx="279">
                  <c:v>21.053904282115866</c:v>
                </c:pt>
                <c:pt idx="280">
                  <c:v>21.245985870263329</c:v>
                </c:pt>
                <c:pt idx="281">
                  <c:v>21.22562747688243</c:v>
                </c:pt>
                <c:pt idx="282">
                  <c:v>21.617840375586855</c:v>
                </c:pt>
                <c:pt idx="283">
                  <c:v>21.924936504271528</c:v>
                </c:pt>
                <c:pt idx="284">
                  <c:v>21.993940108464987</c:v>
                </c:pt>
                <c:pt idx="285">
                  <c:v>22.078191619701052</c:v>
                </c:pt>
                <c:pt idx="286">
                  <c:v>21.784745762711864</c:v>
                </c:pt>
                <c:pt idx="287">
                  <c:v>22.530542871638765</c:v>
                </c:pt>
                <c:pt idx="288">
                  <c:v>22.057667103538662</c:v>
                </c:pt>
                <c:pt idx="289">
                  <c:v>21.979565567176188</c:v>
                </c:pt>
                <c:pt idx="290">
                  <c:v>22.537791342952275</c:v>
                </c:pt>
                <c:pt idx="291">
                  <c:v>22.481621621621624</c:v>
                </c:pt>
                <c:pt idx="292">
                  <c:v>23.06367323290846</c:v>
                </c:pt>
                <c:pt idx="293">
                  <c:v>22.812009656004829</c:v>
                </c:pt>
                <c:pt idx="294">
                  <c:v>23.199234303215928</c:v>
                </c:pt>
                <c:pt idx="295">
                  <c:v>23.813893225101467</c:v>
                </c:pt>
                <c:pt idx="296">
                  <c:v>24.036852207293666</c:v>
                </c:pt>
                <c:pt idx="297">
                  <c:v>24.072076612903224</c:v>
                </c:pt>
                <c:pt idx="298">
                  <c:v>24.092633773453784</c:v>
                </c:pt>
                <c:pt idx="299">
                  <c:v>24.387678062678066</c:v>
                </c:pt>
                <c:pt idx="300">
                  <c:v>24.739607988165677</c:v>
                </c:pt>
                <c:pt idx="301">
                  <c:v>24.753811149032991</c:v>
                </c:pt>
                <c:pt idx="302">
                  <c:v>25.6294140625</c:v>
                </c:pt>
                <c:pt idx="303">
                  <c:v>25.143095723014255</c:v>
                </c:pt>
                <c:pt idx="304">
                  <c:v>25.663567839195981</c:v>
                </c:pt>
                <c:pt idx="305">
                  <c:v>24.869874295622022</c:v>
                </c:pt>
                <c:pt idx="306">
                  <c:v>24.548890860692104</c:v>
                </c:pt>
                <c:pt idx="307">
                  <c:v>24.72713567839196</c:v>
                </c:pt>
                <c:pt idx="308">
                  <c:v>25.06309466602595</c:v>
                </c:pt>
                <c:pt idx="309">
                  <c:v>25.378561011181333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510784"/>
        <c:axId val="381512320"/>
      </c:lineChart>
      <c:catAx>
        <c:axId val="38151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1512320"/>
        <c:crosses val="autoZero"/>
        <c:auto val="1"/>
        <c:lblAlgn val="ctr"/>
        <c:lblOffset val="100"/>
        <c:noMultiLvlLbl val="0"/>
      </c:catAx>
      <c:valAx>
        <c:axId val="381512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510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TotalTracking!$AH$1</c:f>
              <c:strCache>
                <c:ptCount val="1"/>
                <c:pt idx="0">
                  <c:v>Model CPR Curtail</c:v>
                </c:pt>
              </c:strCache>
            </c:strRef>
          </c:tx>
          <c:marker>
            <c:symbol val="none"/>
          </c:marker>
          <c:cat>
            <c:numRef>
              <c:f>TotalTracking!$AG$2:$AG$363</c:f>
              <c:numCache>
                <c:formatCode>General</c:formatCode>
                <c:ptCount val="36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</c:numCache>
            </c:numRef>
          </c:cat>
          <c:val>
            <c:numRef>
              <c:f>TotalTracking!$AH$2:$AH$363</c:f>
              <c:numCache>
                <c:formatCode>General</c:formatCode>
                <c:ptCount val="362"/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1.1000000000000001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1.1000000000000001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1.1000000000000001</c:v>
                </c:pt>
                <c:pt idx="186">
                  <c:v>1.1000000000000001</c:v>
                </c:pt>
                <c:pt idx="187">
                  <c:v>1.1000000000000001</c:v>
                </c:pt>
                <c:pt idx="188">
                  <c:v>1.1000000000000001</c:v>
                </c:pt>
                <c:pt idx="189">
                  <c:v>1.1000000000000001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</c:v>
                </c:pt>
                <c:pt idx="198">
                  <c:v>1.2</c:v>
                </c:pt>
                <c:pt idx="199">
                  <c:v>1.2</c:v>
                </c:pt>
                <c:pt idx="200">
                  <c:v>1.2</c:v>
                </c:pt>
                <c:pt idx="201">
                  <c:v>1.2</c:v>
                </c:pt>
                <c:pt idx="202">
                  <c:v>1.2</c:v>
                </c:pt>
                <c:pt idx="203">
                  <c:v>1.2</c:v>
                </c:pt>
                <c:pt idx="204">
                  <c:v>1.2</c:v>
                </c:pt>
                <c:pt idx="205">
                  <c:v>1.2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1.2</c:v>
                </c:pt>
                <c:pt idx="217">
                  <c:v>1.2</c:v>
                </c:pt>
                <c:pt idx="218">
                  <c:v>1.2</c:v>
                </c:pt>
                <c:pt idx="219">
                  <c:v>1.2</c:v>
                </c:pt>
                <c:pt idx="220">
                  <c:v>1.2</c:v>
                </c:pt>
                <c:pt idx="221">
                  <c:v>1.3</c:v>
                </c:pt>
                <c:pt idx="222">
                  <c:v>1.3</c:v>
                </c:pt>
                <c:pt idx="223">
                  <c:v>1.3</c:v>
                </c:pt>
                <c:pt idx="224">
                  <c:v>1.3</c:v>
                </c:pt>
                <c:pt idx="225">
                  <c:v>1.3</c:v>
                </c:pt>
                <c:pt idx="226">
                  <c:v>1.3</c:v>
                </c:pt>
                <c:pt idx="227">
                  <c:v>1.3</c:v>
                </c:pt>
                <c:pt idx="228">
                  <c:v>1.3</c:v>
                </c:pt>
                <c:pt idx="229">
                  <c:v>1.3</c:v>
                </c:pt>
                <c:pt idx="230">
                  <c:v>1.3</c:v>
                </c:pt>
                <c:pt idx="231">
                  <c:v>1.3</c:v>
                </c:pt>
                <c:pt idx="232">
                  <c:v>1.3</c:v>
                </c:pt>
                <c:pt idx="233">
                  <c:v>1.3</c:v>
                </c:pt>
                <c:pt idx="234">
                  <c:v>1.3</c:v>
                </c:pt>
                <c:pt idx="235">
                  <c:v>1.3</c:v>
                </c:pt>
                <c:pt idx="236">
                  <c:v>1.3</c:v>
                </c:pt>
                <c:pt idx="237">
                  <c:v>1.3</c:v>
                </c:pt>
                <c:pt idx="238">
                  <c:v>1.3</c:v>
                </c:pt>
                <c:pt idx="239">
                  <c:v>1.3</c:v>
                </c:pt>
                <c:pt idx="240">
                  <c:v>1.3</c:v>
                </c:pt>
                <c:pt idx="241">
                  <c:v>1.3</c:v>
                </c:pt>
                <c:pt idx="242">
                  <c:v>1.3</c:v>
                </c:pt>
                <c:pt idx="243">
                  <c:v>1.4</c:v>
                </c:pt>
                <c:pt idx="244">
                  <c:v>1.4</c:v>
                </c:pt>
                <c:pt idx="245">
                  <c:v>1.4</c:v>
                </c:pt>
                <c:pt idx="246">
                  <c:v>1.4</c:v>
                </c:pt>
                <c:pt idx="247">
                  <c:v>1.4</c:v>
                </c:pt>
                <c:pt idx="248">
                  <c:v>1.4</c:v>
                </c:pt>
                <c:pt idx="249">
                  <c:v>1.4</c:v>
                </c:pt>
                <c:pt idx="250">
                  <c:v>1.4</c:v>
                </c:pt>
                <c:pt idx="251">
                  <c:v>1.4</c:v>
                </c:pt>
                <c:pt idx="252">
                  <c:v>1.4</c:v>
                </c:pt>
                <c:pt idx="253">
                  <c:v>1.4</c:v>
                </c:pt>
                <c:pt idx="254">
                  <c:v>1.4</c:v>
                </c:pt>
                <c:pt idx="255">
                  <c:v>1.4</c:v>
                </c:pt>
                <c:pt idx="256">
                  <c:v>1.4</c:v>
                </c:pt>
                <c:pt idx="257">
                  <c:v>1.4</c:v>
                </c:pt>
                <c:pt idx="258">
                  <c:v>1.4</c:v>
                </c:pt>
                <c:pt idx="259">
                  <c:v>1.4</c:v>
                </c:pt>
                <c:pt idx="260">
                  <c:v>1.4</c:v>
                </c:pt>
                <c:pt idx="261">
                  <c:v>1.4</c:v>
                </c:pt>
                <c:pt idx="262">
                  <c:v>1.4</c:v>
                </c:pt>
                <c:pt idx="263">
                  <c:v>1.5</c:v>
                </c:pt>
                <c:pt idx="264">
                  <c:v>1.5</c:v>
                </c:pt>
                <c:pt idx="265">
                  <c:v>1.5</c:v>
                </c:pt>
                <c:pt idx="266">
                  <c:v>1.5</c:v>
                </c:pt>
                <c:pt idx="267">
                  <c:v>1.5</c:v>
                </c:pt>
                <c:pt idx="268">
                  <c:v>1.5</c:v>
                </c:pt>
                <c:pt idx="269">
                  <c:v>1.5</c:v>
                </c:pt>
                <c:pt idx="270">
                  <c:v>1.5</c:v>
                </c:pt>
                <c:pt idx="271">
                  <c:v>1.5</c:v>
                </c:pt>
                <c:pt idx="272">
                  <c:v>1.5</c:v>
                </c:pt>
                <c:pt idx="273">
                  <c:v>1.6</c:v>
                </c:pt>
                <c:pt idx="274">
                  <c:v>1.6</c:v>
                </c:pt>
                <c:pt idx="275">
                  <c:v>1.6</c:v>
                </c:pt>
                <c:pt idx="276">
                  <c:v>1.6</c:v>
                </c:pt>
                <c:pt idx="277">
                  <c:v>1.6</c:v>
                </c:pt>
                <c:pt idx="278">
                  <c:v>1.6</c:v>
                </c:pt>
                <c:pt idx="279">
                  <c:v>1.7</c:v>
                </c:pt>
                <c:pt idx="280">
                  <c:v>1.7</c:v>
                </c:pt>
                <c:pt idx="281">
                  <c:v>1.7</c:v>
                </c:pt>
                <c:pt idx="282">
                  <c:v>1.7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1.9</c:v>
                </c:pt>
                <c:pt idx="288">
                  <c:v>1.9</c:v>
                </c:pt>
                <c:pt idx="289">
                  <c:v>1.9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2.1</c:v>
                </c:pt>
                <c:pt idx="294">
                  <c:v>2.1</c:v>
                </c:pt>
                <c:pt idx="295">
                  <c:v>2.2000000000000002</c:v>
                </c:pt>
                <c:pt idx="296">
                  <c:v>2.2000000000000002</c:v>
                </c:pt>
                <c:pt idx="297">
                  <c:v>2.2999999999999998</c:v>
                </c:pt>
                <c:pt idx="298">
                  <c:v>2.2999999999999998</c:v>
                </c:pt>
                <c:pt idx="299">
                  <c:v>2.4</c:v>
                </c:pt>
                <c:pt idx="300">
                  <c:v>2.4</c:v>
                </c:pt>
                <c:pt idx="301">
                  <c:v>2.5</c:v>
                </c:pt>
                <c:pt idx="302">
                  <c:v>2.5</c:v>
                </c:pt>
                <c:pt idx="303">
                  <c:v>2.6</c:v>
                </c:pt>
                <c:pt idx="304">
                  <c:v>2.6</c:v>
                </c:pt>
                <c:pt idx="305">
                  <c:v>2.7</c:v>
                </c:pt>
                <c:pt idx="306">
                  <c:v>2.8</c:v>
                </c:pt>
                <c:pt idx="307">
                  <c:v>2.9</c:v>
                </c:pt>
                <c:pt idx="308">
                  <c:v>3</c:v>
                </c:pt>
                <c:pt idx="309">
                  <c:v>3.2</c:v>
                </c:pt>
                <c:pt idx="310">
                  <c:v>3.3</c:v>
                </c:pt>
                <c:pt idx="311">
                  <c:v>3.4</c:v>
                </c:pt>
                <c:pt idx="312">
                  <c:v>3.6</c:v>
                </c:pt>
                <c:pt idx="313">
                  <c:v>3.7</c:v>
                </c:pt>
                <c:pt idx="314">
                  <c:v>3.9</c:v>
                </c:pt>
                <c:pt idx="315">
                  <c:v>4</c:v>
                </c:pt>
                <c:pt idx="316">
                  <c:v>4.2</c:v>
                </c:pt>
                <c:pt idx="317">
                  <c:v>4.4000000000000004</c:v>
                </c:pt>
                <c:pt idx="318">
                  <c:v>4.5999999999999996</c:v>
                </c:pt>
                <c:pt idx="319">
                  <c:v>4.8</c:v>
                </c:pt>
                <c:pt idx="320">
                  <c:v>5</c:v>
                </c:pt>
                <c:pt idx="321">
                  <c:v>5.2</c:v>
                </c:pt>
                <c:pt idx="322">
                  <c:v>5.4</c:v>
                </c:pt>
                <c:pt idx="323">
                  <c:v>5.7</c:v>
                </c:pt>
                <c:pt idx="324">
                  <c:v>5.8</c:v>
                </c:pt>
                <c:pt idx="325">
                  <c:v>6.1</c:v>
                </c:pt>
                <c:pt idx="326">
                  <c:v>6.3</c:v>
                </c:pt>
                <c:pt idx="327">
                  <c:v>6.6</c:v>
                </c:pt>
                <c:pt idx="328">
                  <c:v>6.8</c:v>
                </c:pt>
                <c:pt idx="329">
                  <c:v>7.1</c:v>
                </c:pt>
                <c:pt idx="330">
                  <c:v>7.4</c:v>
                </c:pt>
                <c:pt idx="331">
                  <c:v>7.6</c:v>
                </c:pt>
                <c:pt idx="332">
                  <c:v>8</c:v>
                </c:pt>
                <c:pt idx="333">
                  <c:v>8.1999999999999993</c:v>
                </c:pt>
                <c:pt idx="334">
                  <c:v>8.5</c:v>
                </c:pt>
                <c:pt idx="335">
                  <c:v>8.8000000000000007</c:v>
                </c:pt>
                <c:pt idx="336">
                  <c:v>9</c:v>
                </c:pt>
                <c:pt idx="337">
                  <c:v>9.1999999999999993</c:v>
                </c:pt>
                <c:pt idx="338">
                  <c:v>9.6</c:v>
                </c:pt>
                <c:pt idx="339">
                  <c:v>10</c:v>
                </c:pt>
                <c:pt idx="340">
                  <c:v>10.3</c:v>
                </c:pt>
                <c:pt idx="341">
                  <c:v>10.7</c:v>
                </c:pt>
                <c:pt idx="342">
                  <c:v>11.1</c:v>
                </c:pt>
                <c:pt idx="343">
                  <c:v>11.5</c:v>
                </c:pt>
                <c:pt idx="344">
                  <c:v>12</c:v>
                </c:pt>
                <c:pt idx="345">
                  <c:v>12.4</c:v>
                </c:pt>
                <c:pt idx="346">
                  <c:v>12.8</c:v>
                </c:pt>
                <c:pt idx="347">
                  <c:v>13.3</c:v>
                </c:pt>
                <c:pt idx="348">
                  <c:v>13.7</c:v>
                </c:pt>
                <c:pt idx="349">
                  <c:v>14.2</c:v>
                </c:pt>
                <c:pt idx="350">
                  <c:v>14.8</c:v>
                </c:pt>
                <c:pt idx="351">
                  <c:v>15.2</c:v>
                </c:pt>
                <c:pt idx="352">
                  <c:v>15.7</c:v>
                </c:pt>
                <c:pt idx="353">
                  <c:v>16.3</c:v>
                </c:pt>
                <c:pt idx="354">
                  <c:v>16.899999999999999</c:v>
                </c:pt>
                <c:pt idx="355">
                  <c:v>17.5</c:v>
                </c:pt>
                <c:pt idx="356">
                  <c:v>18</c:v>
                </c:pt>
                <c:pt idx="357">
                  <c:v>18.600000000000001</c:v>
                </c:pt>
                <c:pt idx="358">
                  <c:v>19.2</c:v>
                </c:pt>
                <c:pt idx="359">
                  <c:v>19.8</c:v>
                </c:pt>
                <c:pt idx="360">
                  <c:v>20.3</c:v>
                </c:pt>
                <c:pt idx="361">
                  <c:v>19.7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TotalTracking!$AI$1</c:f>
              <c:strCache>
                <c:ptCount val="1"/>
                <c:pt idx="0">
                  <c:v>Model CPR Default</c:v>
                </c:pt>
              </c:strCache>
            </c:strRef>
          </c:tx>
          <c:marker>
            <c:symbol val="none"/>
          </c:marker>
          <c:cat>
            <c:numRef>
              <c:f>TotalTracking!$AG$2:$AG$363</c:f>
              <c:numCache>
                <c:formatCode>General</c:formatCode>
                <c:ptCount val="36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</c:numCache>
            </c:numRef>
          </c:cat>
          <c:val>
            <c:numRef>
              <c:f>TotalTracking!$AI$2:$AI$363</c:f>
              <c:numCache>
                <c:formatCode>General</c:formatCode>
                <c:ptCount val="36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0.4</c:v>
                </c:pt>
                <c:pt idx="15">
                  <c:v>0.4</c:v>
                </c:pt>
                <c:pt idx="16">
                  <c:v>0.5</c:v>
                </c:pt>
                <c:pt idx="17">
                  <c:v>0.5</c:v>
                </c:pt>
                <c:pt idx="18">
                  <c:v>0.6</c:v>
                </c:pt>
                <c:pt idx="19">
                  <c:v>0.6</c:v>
                </c:pt>
                <c:pt idx="20">
                  <c:v>0.7</c:v>
                </c:pt>
                <c:pt idx="21">
                  <c:v>0.7</c:v>
                </c:pt>
                <c:pt idx="22">
                  <c:v>0.8</c:v>
                </c:pt>
                <c:pt idx="23">
                  <c:v>0.8</c:v>
                </c:pt>
                <c:pt idx="24">
                  <c:v>0.9</c:v>
                </c:pt>
                <c:pt idx="25">
                  <c:v>0.9</c:v>
                </c:pt>
                <c:pt idx="26">
                  <c:v>1</c:v>
                </c:pt>
                <c:pt idx="27">
                  <c:v>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1.2</c:v>
                </c:pt>
                <c:pt idx="31">
                  <c:v>1.2</c:v>
                </c:pt>
                <c:pt idx="32">
                  <c:v>1.3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1.5</c:v>
                </c:pt>
                <c:pt idx="37">
                  <c:v>1.6</c:v>
                </c:pt>
                <c:pt idx="38">
                  <c:v>1.7</c:v>
                </c:pt>
                <c:pt idx="39">
                  <c:v>1.8</c:v>
                </c:pt>
                <c:pt idx="40">
                  <c:v>1.9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2.1</c:v>
                </c:pt>
                <c:pt idx="45">
                  <c:v>2.1</c:v>
                </c:pt>
                <c:pt idx="46">
                  <c:v>2.1</c:v>
                </c:pt>
                <c:pt idx="47">
                  <c:v>2.2000000000000002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2.2000000000000002</c:v>
                </c:pt>
                <c:pt idx="51">
                  <c:v>2.2999999999999998</c:v>
                </c:pt>
                <c:pt idx="52">
                  <c:v>2.2999999999999998</c:v>
                </c:pt>
                <c:pt idx="53">
                  <c:v>2.2999999999999998</c:v>
                </c:pt>
                <c:pt idx="54">
                  <c:v>2.2999999999999998</c:v>
                </c:pt>
                <c:pt idx="55">
                  <c:v>2.2999999999999998</c:v>
                </c:pt>
                <c:pt idx="56">
                  <c:v>2.2999999999999998</c:v>
                </c:pt>
                <c:pt idx="57">
                  <c:v>2.2999999999999998</c:v>
                </c:pt>
                <c:pt idx="58">
                  <c:v>2.2999999999999998</c:v>
                </c:pt>
                <c:pt idx="59">
                  <c:v>2.2999999999999998</c:v>
                </c:pt>
                <c:pt idx="60">
                  <c:v>2.2999999999999998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2.2999999999999998</c:v>
                </c:pt>
                <c:pt idx="64">
                  <c:v>2.2999999999999998</c:v>
                </c:pt>
                <c:pt idx="65">
                  <c:v>2.4</c:v>
                </c:pt>
                <c:pt idx="66">
                  <c:v>2.4</c:v>
                </c:pt>
                <c:pt idx="67">
                  <c:v>2.2999999999999998</c:v>
                </c:pt>
                <c:pt idx="68">
                  <c:v>2.2999999999999998</c:v>
                </c:pt>
                <c:pt idx="69">
                  <c:v>2.2999999999999998</c:v>
                </c:pt>
                <c:pt idx="70">
                  <c:v>2.2999999999999998</c:v>
                </c:pt>
                <c:pt idx="71">
                  <c:v>2.2999999999999998</c:v>
                </c:pt>
                <c:pt idx="72">
                  <c:v>2.2999999999999998</c:v>
                </c:pt>
                <c:pt idx="73">
                  <c:v>2.2999999999999998</c:v>
                </c:pt>
                <c:pt idx="74">
                  <c:v>2.2999999999999998</c:v>
                </c:pt>
                <c:pt idx="75">
                  <c:v>2.2999999999999998</c:v>
                </c:pt>
                <c:pt idx="76">
                  <c:v>2.2999999999999998</c:v>
                </c:pt>
                <c:pt idx="77">
                  <c:v>2.2000000000000002</c:v>
                </c:pt>
                <c:pt idx="78">
                  <c:v>2.2000000000000002</c:v>
                </c:pt>
                <c:pt idx="79">
                  <c:v>2.2999999999999998</c:v>
                </c:pt>
                <c:pt idx="80">
                  <c:v>2.2999999999999998</c:v>
                </c:pt>
                <c:pt idx="81">
                  <c:v>2.2000000000000002</c:v>
                </c:pt>
                <c:pt idx="82">
                  <c:v>2.2999999999999998</c:v>
                </c:pt>
                <c:pt idx="83">
                  <c:v>2.2000000000000002</c:v>
                </c:pt>
                <c:pt idx="84">
                  <c:v>2.2000000000000002</c:v>
                </c:pt>
                <c:pt idx="85">
                  <c:v>2.2000000000000002</c:v>
                </c:pt>
                <c:pt idx="86">
                  <c:v>2.2000000000000002</c:v>
                </c:pt>
                <c:pt idx="87">
                  <c:v>2.2000000000000002</c:v>
                </c:pt>
                <c:pt idx="88">
                  <c:v>2.2000000000000002</c:v>
                </c:pt>
                <c:pt idx="89">
                  <c:v>2.2000000000000002</c:v>
                </c:pt>
                <c:pt idx="90">
                  <c:v>2.2000000000000002</c:v>
                </c:pt>
                <c:pt idx="91">
                  <c:v>2.1</c:v>
                </c:pt>
                <c:pt idx="92">
                  <c:v>2.1</c:v>
                </c:pt>
                <c:pt idx="93">
                  <c:v>2.1</c:v>
                </c:pt>
                <c:pt idx="94">
                  <c:v>2.1</c:v>
                </c:pt>
                <c:pt idx="95">
                  <c:v>2.1</c:v>
                </c:pt>
                <c:pt idx="96">
                  <c:v>2.1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1.9</c:v>
                </c:pt>
                <c:pt idx="104">
                  <c:v>1.9</c:v>
                </c:pt>
                <c:pt idx="105">
                  <c:v>1.9</c:v>
                </c:pt>
                <c:pt idx="106">
                  <c:v>1.9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1.7</c:v>
                </c:pt>
                <c:pt idx="114">
                  <c:v>1.7</c:v>
                </c:pt>
                <c:pt idx="115">
                  <c:v>1.7</c:v>
                </c:pt>
                <c:pt idx="116">
                  <c:v>1.7</c:v>
                </c:pt>
                <c:pt idx="117">
                  <c:v>1.7</c:v>
                </c:pt>
                <c:pt idx="118">
                  <c:v>1.7</c:v>
                </c:pt>
                <c:pt idx="119">
                  <c:v>1.6</c:v>
                </c:pt>
                <c:pt idx="120">
                  <c:v>1.6</c:v>
                </c:pt>
                <c:pt idx="121">
                  <c:v>1.6</c:v>
                </c:pt>
                <c:pt idx="122">
                  <c:v>1.6</c:v>
                </c:pt>
                <c:pt idx="123">
                  <c:v>1.6</c:v>
                </c:pt>
                <c:pt idx="124">
                  <c:v>1.6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1.4</c:v>
                </c:pt>
                <c:pt idx="131">
                  <c:v>1.4</c:v>
                </c:pt>
                <c:pt idx="132">
                  <c:v>1.4</c:v>
                </c:pt>
                <c:pt idx="133">
                  <c:v>1.4</c:v>
                </c:pt>
                <c:pt idx="134">
                  <c:v>1.4</c:v>
                </c:pt>
                <c:pt idx="135">
                  <c:v>1.3</c:v>
                </c:pt>
                <c:pt idx="136">
                  <c:v>1.3</c:v>
                </c:pt>
                <c:pt idx="137">
                  <c:v>1.3</c:v>
                </c:pt>
                <c:pt idx="138">
                  <c:v>1.3</c:v>
                </c:pt>
                <c:pt idx="139">
                  <c:v>1.3</c:v>
                </c:pt>
                <c:pt idx="140">
                  <c:v>1.3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1.3</c:v>
                </c:pt>
                <c:pt idx="145">
                  <c:v>1.3</c:v>
                </c:pt>
                <c:pt idx="146">
                  <c:v>1.3</c:v>
                </c:pt>
                <c:pt idx="147">
                  <c:v>1.3</c:v>
                </c:pt>
                <c:pt idx="148">
                  <c:v>1.3</c:v>
                </c:pt>
                <c:pt idx="149">
                  <c:v>1.3</c:v>
                </c:pt>
                <c:pt idx="150">
                  <c:v>1.3</c:v>
                </c:pt>
                <c:pt idx="151">
                  <c:v>1.4</c:v>
                </c:pt>
                <c:pt idx="152">
                  <c:v>1.4</c:v>
                </c:pt>
                <c:pt idx="153">
                  <c:v>1.4</c:v>
                </c:pt>
                <c:pt idx="154">
                  <c:v>1.4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1.6</c:v>
                </c:pt>
                <c:pt idx="161">
                  <c:v>1.6</c:v>
                </c:pt>
                <c:pt idx="162">
                  <c:v>1.6</c:v>
                </c:pt>
                <c:pt idx="163">
                  <c:v>1.6</c:v>
                </c:pt>
                <c:pt idx="164">
                  <c:v>1.6</c:v>
                </c:pt>
                <c:pt idx="165">
                  <c:v>1.6</c:v>
                </c:pt>
                <c:pt idx="166">
                  <c:v>1.6</c:v>
                </c:pt>
                <c:pt idx="167">
                  <c:v>1.6</c:v>
                </c:pt>
                <c:pt idx="168">
                  <c:v>1.6</c:v>
                </c:pt>
                <c:pt idx="169">
                  <c:v>1.6</c:v>
                </c:pt>
                <c:pt idx="170">
                  <c:v>1.6</c:v>
                </c:pt>
                <c:pt idx="171">
                  <c:v>1.6</c:v>
                </c:pt>
                <c:pt idx="172">
                  <c:v>1.6</c:v>
                </c:pt>
                <c:pt idx="173">
                  <c:v>1.6</c:v>
                </c:pt>
                <c:pt idx="174">
                  <c:v>1.7</c:v>
                </c:pt>
                <c:pt idx="175">
                  <c:v>1.7</c:v>
                </c:pt>
                <c:pt idx="176">
                  <c:v>1.7</c:v>
                </c:pt>
                <c:pt idx="177">
                  <c:v>1.7</c:v>
                </c:pt>
                <c:pt idx="178">
                  <c:v>1.7</c:v>
                </c:pt>
                <c:pt idx="179">
                  <c:v>1.7</c:v>
                </c:pt>
                <c:pt idx="180">
                  <c:v>1.7</c:v>
                </c:pt>
                <c:pt idx="181">
                  <c:v>1.7</c:v>
                </c:pt>
                <c:pt idx="182">
                  <c:v>1.7</c:v>
                </c:pt>
                <c:pt idx="183">
                  <c:v>1.7</c:v>
                </c:pt>
                <c:pt idx="184">
                  <c:v>1.8</c:v>
                </c:pt>
                <c:pt idx="185">
                  <c:v>1.7</c:v>
                </c:pt>
                <c:pt idx="186">
                  <c:v>1.8</c:v>
                </c:pt>
                <c:pt idx="187">
                  <c:v>1.8</c:v>
                </c:pt>
                <c:pt idx="188">
                  <c:v>1.8</c:v>
                </c:pt>
                <c:pt idx="189">
                  <c:v>1.8</c:v>
                </c:pt>
                <c:pt idx="190">
                  <c:v>1.8</c:v>
                </c:pt>
                <c:pt idx="191">
                  <c:v>1.8</c:v>
                </c:pt>
                <c:pt idx="192">
                  <c:v>1.9</c:v>
                </c:pt>
                <c:pt idx="193">
                  <c:v>1.9</c:v>
                </c:pt>
                <c:pt idx="194">
                  <c:v>1.9</c:v>
                </c:pt>
                <c:pt idx="195">
                  <c:v>1.9</c:v>
                </c:pt>
                <c:pt idx="196">
                  <c:v>1.9</c:v>
                </c:pt>
                <c:pt idx="197">
                  <c:v>1.9</c:v>
                </c:pt>
                <c:pt idx="198">
                  <c:v>2</c:v>
                </c:pt>
                <c:pt idx="199">
                  <c:v>1.9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2.1</c:v>
                </c:pt>
                <c:pt idx="207">
                  <c:v>2.1</c:v>
                </c:pt>
                <c:pt idx="208">
                  <c:v>2.1</c:v>
                </c:pt>
                <c:pt idx="209">
                  <c:v>2.1</c:v>
                </c:pt>
                <c:pt idx="210">
                  <c:v>2.1</c:v>
                </c:pt>
                <c:pt idx="211">
                  <c:v>2.1</c:v>
                </c:pt>
                <c:pt idx="212">
                  <c:v>2.2000000000000002</c:v>
                </c:pt>
                <c:pt idx="213">
                  <c:v>2.1</c:v>
                </c:pt>
                <c:pt idx="214">
                  <c:v>2.2000000000000002</c:v>
                </c:pt>
                <c:pt idx="215">
                  <c:v>2.2000000000000002</c:v>
                </c:pt>
                <c:pt idx="216">
                  <c:v>2.2000000000000002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2.2000000000000002</c:v>
                </c:pt>
                <c:pt idx="220">
                  <c:v>2.2999999999999998</c:v>
                </c:pt>
                <c:pt idx="221">
                  <c:v>2.2000000000000002</c:v>
                </c:pt>
                <c:pt idx="222">
                  <c:v>2.2999999999999998</c:v>
                </c:pt>
                <c:pt idx="223">
                  <c:v>2.2000000000000002</c:v>
                </c:pt>
                <c:pt idx="224">
                  <c:v>2.2999999999999998</c:v>
                </c:pt>
                <c:pt idx="225">
                  <c:v>2.2999999999999998</c:v>
                </c:pt>
                <c:pt idx="226">
                  <c:v>2.2999999999999998</c:v>
                </c:pt>
                <c:pt idx="227">
                  <c:v>2.2999999999999998</c:v>
                </c:pt>
                <c:pt idx="228">
                  <c:v>2.2999999999999998</c:v>
                </c:pt>
                <c:pt idx="229">
                  <c:v>2.2999999999999998</c:v>
                </c:pt>
                <c:pt idx="230">
                  <c:v>2.2999999999999998</c:v>
                </c:pt>
                <c:pt idx="231">
                  <c:v>2.2999999999999998</c:v>
                </c:pt>
                <c:pt idx="232">
                  <c:v>2.2999999999999998</c:v>
                </c:pt>
                <c:pt idx="233">
                  <c:v>2.2999999999999998</c:v>
                </c:pt>
                <c:pt idx="234">
                  <c:v>2.2999999999999998</c:v>
                </c:pt>
                <c:pt idx="235">
                  <c:v>2.2999999999999998</c:v>
                </c:pt>
                <c:pt idx="236">
                  <c:v>2.2999999999999998</c:v>
                </c:pt>
                <c:pt idx="237">
                  <c:v>2.2000000000000002</c:v>
                </c:pt>
                <c:pt idx="238">
                  <c:v>2.2999999999999998</c:v>
                </c:pt>
                <c:pt idx="239">
                  <c:v>2.2000000000000002</c:v>
                </c:pt>
                <c:pt idx="240">
                  <c:v>2.2999999999999998</c:v>
                </c:pt>
                <c:pt idx="241">
                  <c:v>2.2000000000000002</c:v>
                </c:pt>
                <c:pt idx="242">
                  <c:v>2.2999999999999998</c:v>
                </c:pt>
                <c:pt idx="243">
                  <c:v>2.2000000000000002</c:v>
                </c:pt>
                <c:pt idx="244">
                  <c:v>2.2999999999999998</c:v>
                </c:pt>
                <c:pt idx="245">
                  <c:v>2.2000000000000002</c:v>
                </c:pt>
                <c:pt idx="246">
                  <c:v>2.2999999999999998</c:v>
                </c:pt>
                <c:pt idx="247">
                  <c:v>2.2000000000000002</c:v>
                </c:pt>
                <c:pt idx="248">
                  <c:v>2.2999999999999998</c:v>
                </c:pt>
                <c:pt idx="249">
                  <c:v>2.2000000000000002</c:v>
                </c:pt>
                <c:pt idx="250">
                  <c:v>2.2999999999999998</c:v>
                </c:pt>
                <c:pt idx="251">
                  <c:v>2.2000000000000002</c:v>
                </c:pt>
                <c:pt idx="252">
                  <c:v>2.2000000000000002</c:v>
                </c:pt>
                <c:pt idx="253">
                  <c:v>2.1</c:v>
                </c:pt>
                <c:pt idx="254">
                  <c:v>2.2000000000000002</c:v>
                </c:pt>
                <c:pt idx="255">
                  <c:v>2.1</c:v>
                </c:pt>
                <c:pt idx="256">
                  <c:v>2.2000000000000002</c:v>
                </c:pt>
                <c:pt idx="257">
                  <c:v>2</c:v>
                </c:pt>
                <c:pt idx="258">
                  <c:v>2.1</c:v>
                </c:pt>
                <c:pt idx="259">
                  <c:v>1.9</c:v>
                </c:pt>
                <c:pt idx="260">
                  <c:v>2</c:v>
                </c:pt>
                <c:pt idx="261">
                  <c:v>1.8</c:v>
                </c:pt>
                <c:pt idx="262">
                  <c:v>1.9</c:v>
                </c:pt>
                <c:pt idx="263">
                  <c:v>1.7</c:v>
                </c:pt>
                <c:pt idx="264">
                  <c:v>1.8</c:v>
                </c:pt>
                <c:pt idx="265">
                  <c:v>1.6</c:v>
                </c:pt>
                <c:pt idx="266">
                  <c:v>1.9</c:v>
                </c:pt>
                <c:pt idx="267">
                  <c:v>1.7</c:v>
                </c:pt>
                <c:pt idx="268">
                  <c:v>1.9</c:v>
                </c:pt>
                <c:pt idx="269">
                  <c:v>1.8</c:v>
                </c:pt>
                <c:pt idx="270">
                  <c:v>1.9</c:v>
                </c:pt>
                <c:pt idx="271">
                  <c:v>1.8</c:v>
                </c:pt>
                <c:pt idx="272">
                  <c:v>1.9</c:v>
                </c:pt>
                <c:pt idx="273">
                  <c:v>1.8</c:v>
                </c:pt>
                <c:pt idx="274">
                  <c:v>1.8</c:v>
                </c:pt>
                <c:pt idx="275">
                  <c:v>1.8</c:v>
                </c:pt>
                <c:pt idx="276">
                  <c:v>1.8</c:v>
                </c:pt>
                <c:pt idx="277">
                  <c:v>1.7</c:v>
                </c:pt>
                <c:pt idx="278">
                  <c:v>1.8</c:v>
                </c:pt>
                <c:pt idx="279">
                  <c:v>1.6</c:v>
                </c:pt>
                <c:pt idx="280">
                  <c:v>1.7</c:v>
                </c:pt>
                <c:pt idx="281">
                  <c:v>1.6</c:v>
                </c:pt>
                <c:pt idx="282">
                  <c:v>1.6</c:v>
                </c:pt>
                <c:pt idx="283">
                  <c:v>1.5</c:v>
                </c:pt>
                <c:pt idx="284">
                  <c:v>1.6</c:v>
                </c:pt>
                <c:pt idx="285">
                  <c:v>1.4</c:v>
                </c:pt>
                <c:pt idx="286">
                  <c:v>1.4</c:v>
                </c:pt>
                <c:pt idx="287">
                  <c:v>1.2</c:v>
                </c:pt>
                <c:pt idx="288">
                  <c:v>1.3</c:v>
                </c:pt>
                <c:pt idx="289">
                  <c:v>1.1000000000000001</c:v>
                </c:pt>
                <c:pt idx="290">
                  <c:v>1.2</c:v>
                </c:pt>
                <c:pt idx="291">
                  <c:v>1</c:v>
                </c:pt>
                <c:pt idx="292">
                  <c:v>1.1000000000000001</c:v>
                </c:pt>
                <c:pt idx="293">
                  <c:v>0.9</c:v>
                </c:pt>
                <c:pt idx="294">
                  <c:v>0.9</c:v>
                </c:pt>
                <c:pt idx="295">
                  <c:v>0.8</c:v>
                </c:pt>
                <c:pt idx="296">
                  <c:v>0.8</c:v>
                </c:pt>
                <c:pt idx="297">
                  <c:v>0.6</c:v>
                </c:pt>
                <c:pt idx="298">
                  <c:v>0.7</c:v>
                </c:pt>
                <c:pt idx="299">
                  <c:v>0.5</c:v>
                </c:pt>
                <c:pt idx="300">
                  <c:v>0.6</c:v>
                </c:pt>
                <c:pt idx="301">
                  <c:v>0.4</c:v>
                </c:pt>
                <c:pt idx="302">
                  <c:v>0.5</c:v>
                </c:pt>
                <c:pt idx="303">
                  <c:v>0.3</c:v>
                </c:pt>
                <c:pt idx="304">
                  <c:v>0.4</c:v>
                </c:pt>
                <c:pt idx="305">
                  <c:v>0.2</c:v>
                </c:pt>
                <c:pt idx="306">
                  <c:v>0.3</c:v>
                </c:pt>
                <c:pt idx="307">
                  <c:v>0.2</c:v>
                </c:pt>
                <c:pt idx="308">
                  <c:v>0.2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TotalTracking!$AJ$1</c:f>
              <c:strCache>
                <c:ptCount val="1"/>
                <c:pt idx="0">
                  <c:v>Model Turnover</c:v>
                </c:pt>
              </c:strCache>
            </c:strRef>
          </c:tx>
          <c:marker>
            <c:symbol val="none"/>
          </c:marker>
          <c:cat>
            <c:numRef>
              <c:f>TotalTracking!$AG$2:$AG$363</c:f>
              <c:numCache>
                <c:formatCode>General</c:formatCode>
                <c:ptCount val="36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</c:numCache>
            </c:numRef>
          </c:cat>
          <c:val>
            <c:numRef>
              <c:f>TotalTracking!$AJ$2:$AJ$363</c:f>
              <c:numCache>
                <c:formatCode>General</c:formatCode>
                <c:ptCount val="362"/>
                <c:pt idx="1">
                  <c:v>1.7</c:v>
                </c:pt>
                <c:pt idx="2">
                  <c:v>1.2</c:v>
                </c:pt>
                <c:pt idx="3">
                  <c:v>1.8</c:v>
                </c:pt>
                <c:pt idx="4">
                  <c:v>2.2000000000000002</c:v>
                </c:pt>
                <c:pt idx="5">
                  <c:v>2.6</c:v>
                </c:pt>
                <c:pt idx="6">
                  <c:v>3.1</c:v>
                </c:pt>
                <c:pt idx="7">
                  <c:v>3.7</c:v>
                </c:pt>
                <c:pt idx="8">
                  <c:v>4.2</c:v>
                </c:pt>
                <c:pt idx="9">
                  <c:v>4.8</c:v>
                </c:pt>
                <c:pt idx="10">
                  <c:v>5.3</c:v>
                </c:pt>
                <c:pt idx="11">
                  <c:v>5.8</c:v>
                </c:pt>
                <c:pt idx="12">
                  <c:v>6.1</c:v>
                </c:pt>
                <c:pt idx="13">
                  <c:v>6.4</c:v>
                </c:pt>
                <c:pt idx="14">
                  <c:v>6.7</c:v>
                </c:pt>
                <c:pt idx="15">
                  <c:v>6.9</c:v>
                </c:pt>
                <c:pt idx="16">
                  <c:v>7</c:v>
                </c:pt>
                <c:pt idx="17">
                  <c:v>7.1</c:v>
                </c:pt>
                <c:pt idx="18">
                  <c:v>7.3</c:v>
                </c:pt>
                <c:pt idx="19">
                  <c:v>7.3</c:v>
                </c:pt>
                <c:pt idx="20">
                  <c:v>7.4</c:v>
                </c:pt>
                <c:pt idx="21">
                  <c:v>7.5</c:v>
                </c:pt>
                <c:pt idx="22">
                  <c:v>7.5</c:v>
                </c:pt>
                <c:pt idx="23">
                  <c:v>7.6</c:v>
                </c:pt>
                <c:pt idx="24">
                  <c:v>7.8</c:v>
                </c:pt>
                <c:pt idx="25">
                  <c:v>7.9</c:v>
                </c:pt>
                <c:pt idx="26">
                  <c:v>8</c:v>
                </c:pt>
                <c:pt idx="27">
                  <c:v>8</c:v>
                </c:pt>
                <c:pt idx="28">
                  <c:v>8.1</c:v>
                </c:pt>
                <c:pt idx="29">
                  <c:v>8.1999999999999993</c:v>
                </c:pt>
                <c:pt idx="30">
                  <c:v>8.1999999999999993</c:v>
                </c:pt>
                <c:pt idx="31">
                  <c:v>8.1999999999999993</c:v>
                </c:pt>
                <c:pt idx="32">
                  <c:v>8.1999999999999993</c:v>
                </c:pt>
                <c:pt idx="33">
                  <c:v>8.1999999999999993</c:v>
                </c:pt>
                <c:pt idx="34">
                  <c:v>8.1999999999999993</c:v>
                </c:pt>
                <c:pt idx="35">
                  <c:v>8.3000000000000007</c:v>
                </c:pt>
                <c:pt idx="36">
                  <c:v>8.3000000000000007</c:v>
                </c:pt>
                <c:pt idx="37">
                  <c:v>8.3000000000000007</c:v>
                </c:pt>
                <c:pt idx="38">
                  <c:v>8.3000000000000007</c:v>
                </c:pt>
                <c:pt idx="39">
                  <c:v>8.3000000000000007</c:v>
                </c:pt>
                <c:pt idx="40">
                  <c:v>8.3000000000000007</c:v>
                </c:pt>
                <c:pt idx="41">
                  <c:v>8.1999999999999993</c:v>
                </c:pt>
                <c:pt idx="42">
                  <c:v>8.1999999999999993</c:v>
                </c:pt>
                <c:pt idx="43">
                  <c:v>8.1999999999999993</c:v>
                </c:pt>
                <c:pt idx="44">
                  <c:v>8.1</c:v>
                </c:pt>
                <c:pt idx="45">
                  <c:v>8.1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7.9</c:v>
                </c:pt>
                <c:pt idx="51">
                  <c:v>7.8</c:v>
                </c:pt>
                <c:pt idx="52">
                  <c:v>7.7</c:v>
                </c:pt>
                <c:pt idx="53">
                  <c:v>7.7</c:v>
                </c:pt>
                <c:pt idx="54">
                  <c:v>7.6</c:v>
                </c:pt>
                <c:pt idx="55">
                  <c:v>7.5</c:v>
                </c:pt>
                <c:pt idx="56">
                  <c:v>7.5</c:v>
                </c:pt>
                <c:pt idx="57">
                  <c:v>7.5</c:v>
                </c:pt>
                <c:pt idx="58">
                  <c:v>7.5</c:v>
                </c:pt>
                <c:pt idx="59">
                  <c:v>7.5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7.4</c:v>
                </c:pt>
                <c:pt idx="64">
                  <c:v>7.4</c:v>
                </c:pt>
                <c:pt idx="65">
                  <c:v>7.4</c:v>
                </c:pt>
                <c:pt idx="66">
                  <c:v>7.4</c:v>
                </c:pt>
                <c:pt idx="67">
                  <c:v>7.3</c:v>
                </c:pt>
                <c:pt idx="68">
                  <c:v>7.3</c:v>
                </c:pt>
                <c:pt idx="69">
                  <c:v>7.3</c:v>
                </c:pt>
                <c:pt idx="70">
                  <c:v>7.3</c:v>
                </c:pt>
                <c:pt idx="71">
                  <c:v>7.3</c:v>
                </c:pt>
                <c:pt idx="72">
                  <c:v>7.3</c:v>
                </c:pt>
                <c:pt idx="73">
                  <c:v>7.4</c:v>
                </c:pt>
                <c:pt idx="74">
                  <c:v>7.4</c:v>
                </c:pt>
                <c:pt idx="75">
                  <c:v>7.3</c:v>
                </c:pt>
                <c:pt idx="76">
                  <c:v>7.3</c:v>
                </c:pt>
                <c:pt idx="77">
                  <c:v>7.3</c:v>
                </c:pt>
                <c:pt idx="78">
                  <c:v>7.2</c:v>
                </c:pt>
                <c:pt idx="79">
                  <c:v>7.2</c:v>
                </c:pt>
                <c:pt idx="80">
                  <c:v>7.1</c:v>
                </c:pt>
                <c:pt idx="81">
                  <c:v>7.2</c:v>
                </c:pt>
                <c:pt idx="82">
                  <c:v>7.2</c:v>
                </c:pt>
                <c:pt idx="83">
                  <c:v>7.2</c:v>
                </c:pt>
                <c:pt idx="84">
                  <c:v>7.3</c:v>
                </c:pt>
                <c:pt idx="85">
                  <c:v>7.4</c:v>
                </c:pt>
                <c:pt idx="86">
                  <c:v>7.5</c:v>
                </c:pt>
                <c:pt idx="87">
                  <c:v>7.6</c:v>
                </c:pt>
                <c:pt idx="88">
                  <c:v>7.6</c:v>
                </c:pt>
                <c:pt idx="89">
                  <c:v>7.6</c:v>
                </c:pt>
                <c:pt idx="90">
                  <c:v>7.7</c:v>
                </c:pt>
                <c:pt idx="91">
                  <c:v>7.7</c:v>
                </c:pt>
                <c:pt idx="92">
                  <c:v>7.7</c:v>
                </c:pt>
                <c:pt idx="93">
                  <c:v>7.8</c:v>
                </c:pt>
                <c:pt idx="94">
                  <c:v>7.8</c:v>
                </c:pt>
                <c:pt idx="95">
                  <c:v>7.9</c:v>
                </c:pt>
                <c:pt idx="96">
                  <c:v>8</c:v>
                </c:pt>
                <c:pt idx="97">
                  <c:v>8.1</c:v>
                </c:pt>
                <c:pt idx="98">
                  <c:v>8.1</c:v>
                </c:pt>
                <c:pt idx="99">
                  <c:v>8.1</c:v>
                </c:pt>
                <c:pt idx="100">
                  <c:v>8.1</c:v>
                </c:pt>
                <c:pt idx="101">
                  <c:v>8.1</c:v>
                </c:pt>
                <c:pt idx="102">
                  <c:v>8.1</c:v>
                </c:pt>
                <c:pt idx="103">
                  <c:v>8.1</c:v>
                </c:pt>
                <c:pt idx="104">
                  <c:v>8.1999999999999993</c:v>
                </c:pt>
                <c:pt idx="105">
                  <c:v>8.3000000000000007</c:v>
                </c:pt>
                <c:pt idx="106">
                  <c:v>8.3000000000000007</c:v>
                </c:pt>
                <c:pt idx="107">
                  <c:v>8.4</c:v>
                </c:pt>
                <c:pt idx="108">
                  <c:v>8.5</c:v>
                </c:pt>
                <c:pt idx="109">
                  <c:v>8.5</c:v>
                </c:pt>
                <c:pt idx="110">
                  <c:v>8.5</c:v>
                </c:pt>
                <c:pt idx="111">
                  <c:v>8.5</c:v>
                </c:pt>
                <c:pt idx="112">
                  <c:v>8.5</c:v>
                </c:pt>
                <c:pt idx="113">
                  <c:v>8.5</c:v>
                </c:pt>
                <c:pt idx="114">
                  <c:v>8.5</c:v>
                </c:pt>
                <c:pt idx="115">
                  <c:v>8.5</c:v>
                </c:pt>
                <c:pt idx="116">
                  <c:v>8.5</c:v>
                </c:pt>
                <c:pt idx="117">
                  <c:v>8.6</c:v>
                </c:pt>
                <c:pt idx="118">
                  <c:v>8.6999999999999993</c:v>
                </c:pt>
                <c:pt idx="119">
                  <c:v>8.6999999999999993</c:v>
                </c:pt>
                <c:pt idx="120">
                  <c:v>8.8000000000000007</c:v>
                </c:pt>
                <c:pt idx="121">
                  <c:v>8.8000000000000007</c:v>
                </c:pt>
                <c:pt idx="122">
                  <c:v>8.8000000000000007</c:v>
                </c:pt>
                <c:pt idx="123">
                  <c:v>8.8000000000000007</c:v>
                </c:pt>
                <c:pt idx="124">
                  <c:v>8.8000000000000007</c:v>
                </c:pt>
                <c:pt idx="125">
                  <c:v>8.6999999999999993</c:v>
                </c:pt>
                <c:pt idx="126">
                  <c:v>8.8000000000000007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8.9</c:v>
                </c:pt>
                <c:pt idx="131">
                  <c:v>9</c:v>
                </c:pt>
                <c:pt idx="132">
                  <c:v>9</c:v>
                </c:pt>
                <c:pt idx="133">
                  <c:v>9.1</c:v>
                </c:pt>
                <c:pt idx="134">
                  <c:v>9.1</c:v>
                </c:pt>
                <c:pt idx="135">
                  <c:v>9.1</c:v>
                </c:pt>
                <c:pt idx="136">
                  <c:v>9.1</c:v>
                </c:pt>
                <c:pt idx="137">
                  <c:v>9.1</c:v>
                </c:pt>
                <c:pt idx="138">
                  <c:v>9.1</c:v>
                </c:pt>
                <c:pt idx="139">
                  <c:v>9.1999999999999993</c:v>
                </c:pt>
                <c:pt idx="140">
                  <c:v>9.1999999999999993</c:v>
                </c:pt>
                <c:pt idx="141">
                  <c:v>9.1999999999999993</c:v>
                </c:pt>
                <c:pt idx="142">
                  <c:v>9.3000000000000007</c:v>
                </c:pt>
                <c:pt idx="143">
                  <c:v>9.3000000000000007</c:v>
                </c:pt>
                <c:pt idx="144">
                  <c:v>9.4</c:v>
                </c:pt>
                <c:pt idx="145">
                  <c:v>9.4</c:v>
                </c:pt>
                <c:pt idx="146">
                  <c:v>9.4</c:v>
                </c:pt>
                <c:pt idx="147">
                  <c:v>9.4</c:v>
                </c:pt>
                <c:pt idx="148">
                  <c:v>9.4</c:v>
                </c:pt>
                <c:pt idx="149">
                  <c:v>9.4</c:v>
                </c:pt>
                <c:pt idx="150">
                  <c:v>9.4</c:v>
                </c:pt>
                <c:pt idx="151">
                  <c:v>9.4</c:v>
                </c:pt>
                <c:pt idx="152">
                  <c:v>9.4</c:v>
                </c:pt>
                <c:pt idx="153">
                  <c:v>9.4</c:v>
                </c:pt>
                <c:pt idx="154">
                  <c:v>9.4</c:v>
                </c:pt>
                <c:pt idx="155">
                  <c:v>9.4</c:v>
                </c:pt>
                <c:pt idx="156">
                  <c:v>9.3000000000000007</c:v>
                </c:pt>
                <c:pt idx="157">
                  <c:v>9.3000000000000007</c:v>
                </c:pt>
                <c:pt idx="158">
                  <c:v>9.3000000000000007</c:v>
                </c:pt>
                <c:pt idx="159">
                  <c:v>9.3000000000000007</c:v>
                </c:pt>
                <c:pt idx="160">
                  <c:v>9.3000000000000007</c:v>
                </c:pt>
                <c:pt idx="161">
                  <c:v>9.4</c:v>
                </c:pt>
                <c:pt idx="162">
                  <c:v>9.4</c:v>
                </c:pt>
                <c:pt idx="163">
                  <c:v>9.4</c:v>
                </c:pt>
                <c:pt idx="164">
                  <c:v>9.4</c:v>
                </c:pt>
                <c:pt idx="165">
                  <c:v>9.5</c:v>
                </c:pt>
                <c:pt idx="166">
                  <c:v>9.4</c:v>
                </c:pt>
                <c:pt idx="167">
                  <c:v>9.4</c:v>
                </c:pt>
                <c:pt idx="168">
                  <c:v>9.4</c:v>
                </c:pt>
                <c:pt idx="169">
                  <c:v>9.4</c:v>
                </c:pt>
                <c:pt idx="170">
                  <c:v>9.4</c:v>
                </c:pt>
                <c:pt idx="171">
                  <c:v>9.4</c:v>
                </c:pt>
                <c:pt idx="172">
                  <c:v>9.4</c:v>
                </c:pt>
                <c:pt idx="173">
                  <c:v>9.5</c:v>
                </c:pt>
                <c:pt idx="174">
                  <c:v>9.5</c:v>
                </c:pt>
                <c:pt idx="175">
                  <c:v>9.6</c:v>
                </c:pt>
                <c:pt idx="176">
                  <c:v>9.6</c:v>
                </c:pt>
                <c:pt idx="177">
                  <c:v>9.6</c:v>
                </c:pt>
                <c:pt idx="178">
                  <c:v>9.6</c:v>
                </c:pt>
                <c:pt idx="179">
                  <c:v>9.6</c:v>
                </c:pt>
                <c:pt idx="180">
                  <c:v>9.5</c:v>
                </c:pt>
                <c:pt idx="181">
                  <c:v>9.5</c:v>
                </c:pt>
                <c:pt idx="182">
                  <c:v>9.5</c:v>
                </c:pt>
                <c:pt idx="183">
                  <c:v>9.5</c:v>
                </c:pt>
                <c:pt idx="184">
                  <c:v>9.5</c:v>
                </c:pt>
                <c:pt idx="185">
                  <c:v>9.5</c:v>
                </c:pt>
                <c:pt idx="186">
                  <c:v>9.5</c:v>
                </c:pt>
                <c:pt idx="187">
                  <c:v>9.6</c:v>
                </c:pt>
                <c:pt idx="188">
                  <c:v>9.6</c:v>
                </c:pt>
                <c:pt idx="189">
                  <c:v>9.6</c:v>
                </c:pt>
                <c:pt idx="190">
                  <c:v>9.6</c:v>
                </c:pt>
                <c:pt idx="191">
                  <c:v>9.6</c:v>
                </c:pt>
                <c:pt idx="192">
                  <c:v>9.5</c:v>
                </c:pt>
                <c:pt idx="193">
                  <c:v>9.5</c:v>
                </c:pt>
                <c:pt idx="194">
                  <c:v>9.5</c:v>
                </c:pt>
                <c:pt idx="195">
                  <c:v>9.4</c:v>
                </c:pt>
                <c:pt idx="196">
                  <c:v>9.4</c:v>
                </c:pt>
                <c:pt idx="197">
                  <c:v>9.5</c:v>
                </c:pt>
                <c:pt idx="198">
                  <c:v>9.5</c:v>
                </c:pt>
                <c:pt idx="199">
                  <c:v>9.6</c:v>
                </c:pt>
                <c:pt idx="200">
                  <c:v>9.6999999999999993</c:v>
                </c:pt>
                <c:pt idx="201">
                  <c:v>9.6999999999999993</c:v>
                </c:pt>
                <c:pt idx="202">
                  <c:v>9.6999999999999993</c:v>
                </c:pt>
                <c:pt idx="203">
                  <c:v>9.6999999999999993</c:v>
                </c:pt>
                <c:pt idx="204">
                  <c:v>9.6999999999999993</c:v>
                </c:pt>
                <c:pt idx="205">
                  <c:v>9.6999999999999993</c:v>
                </c:pt>
                <c:pt idx="206">
                  <c:v>9.6</c:v>
                </c:pt>
                <c:pt idx="207">
                  <c:v>9.6</c:v>
                </c:pt>
                <c:pt idx="208">
                  <c:v>9.6</c:v>
                </c:pt>
                <c:pt idx="209">
                  <c:v>9.6</c:v>
                </c:pt>
                <c:pt idx="210">
                  <c:v>9.6999999999999993</c:v>
                </c:pt>
                <c:pt idx="211">
                  <c:v>9.6999999999999993</c:v>
                </c:pt>
                <c:pt idx="212">
                  <c:v>9.8000000000000007</c:v>
                </c:pt>
                <c:pt idx="213">
                  <c:v>9.8000000000000007</c:v>
                </c:pt>
                <c:pt idx="214">
                  <c:v>9.8000000000000007</c:v>
                </c:pt>
                <c:pt idx="215">
                  <c:v>9.8000000000000007</c:v>
                </c:pt>
                <c:pt idx="216">
                  <c:v>9.8000000000000007</c:v>
                </c:pt>
                <c:pt idx="217">
                  <c:v>9.9</c:v>
                </c:pt>
                <c:pt idx="218">
                  <c:v>9.8000000000000007</c:v>
                </c:pt>
                <c:pt idx="219">
                  <c:v>9.8000000000000007</c:v>
                </c:pt>
                <c:pt idx="220">
                  <c:v>9.9</c:v>
                </c:pt>
                <c:pt idx="221">
                  <c:v>9.9</c:v>
                </c:pt>
                <c:pt idx="222">
                  <c:v>9.9</c:v>
                </c:pt>
                <c:pt idx="223">
                  <c:v>9.9</c:v>
                </c:pt>
                <c:pt idx="224">
                  <c:v>9.9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10.1</c:v>
                </c:pt>
                <c:pt idx="238">
                  <c:v>10.1</c:v>
                </c:pt>
                <c:pt idx="239">
                  <c:v>10.1</c:v>
                </c:pt>
                <c:pt idx="240">
                  <c:v>10.1</c:v>
                </c:pt>
                <c:pt idx="241">
                  <c:v>10.1</c:v>
                </c:pt>
                <c:pt idx="242">
                  <c:v>10.1</c:v>
                </c:pt>
                <c:pt idx="243">
                  <c:v>10.1</c:v>
                </c:pt>
                <c:pt idx="244">
                  <c:v>10.1</c:v>
                </c:pt>
                <c:pt idx="245">
                  <c:v>10.1</c:v>
                </c:pt>
                <c:pt idx="246">
                  <c:v>10.1</c:v>
                </c:pt>
                <c:pt idx="247">
                  <c:v>10.1</c:v>
                </c:pt>
                <c:pt idx="248">
                  <c:v>10.1</c:v>
                </c:pt>
                <c:pt idx="249">
                  <c:v>10.1</c:v>
                </c:pt>
                <c:pt idx="250">
                  <c:v>10.1</c:v>
                </c:pt>
                <c:pt idx="251">
                  <c:v>10.1</c:v>
                </c:pt>
                <c:pt idx="252">
                  <c:v>10.1</c:v>
                </c:pt>
                <c:pt idx="253">
                  <c:v>10.1</c:v>
                </c:pt>
                <c:pt idx="254">
                  <c:v>10.1</c:v>
                </c:pt>
                <c:pt idx="255">
                  <c:v>10.199999999999999</c:v>
                </c:pt>
                <c:pt idx="256">
                  <c:v>10.199999999999999</c:v>
                </c:pt>
                <c:pt idx="257">
                  <c:v>10.199999999999999</c:v>
                </c:pt>
                <c:pt idx="258">
                  <c:v>10.199999999999999</c:v>
                </c:pt>
                <c:pt idx="259">
                  <c:v>10.1</c:v>
                </c:pt>
                <c:pt idx="260">
                  <c:v>10.1</c:v>
                </c:pt>
                <c:pt idx="261">
                  <c:v>10.1</c:v>
                </c:pt>
                <c:pt idx="262">
                  <c:v>10.1</c:v>
                </c:pt>
                <c:pt idx="263">
                  <c:v>10.1</c:v>
                </c:pt>
                <c:pt idx="264">
                  <c:v>10.1</c:v>
                </c:pt>
                <c:pt idx="265">
                  <c:v>10.1</c:v>
                </c:pt>
                <c:pt idx="266">
                  <c:v>10.1</c:v>
                </c:pt>
                <c:pt idx="267">
                  <c:v>10.1</c:v>
                </c:pt>
                <c:pt idx="268">
                  <c:v>10.1</c:v>
                </c:pt>
                <c:pt idx="269">
                  <c:v>10.1</c:v>
                </c:pt>
                <c:pt idx="270">
                  <c:v>10.1</c:v>
                </c:pt>
                <c:pt idx="271">
                  <c:v>10.1</c:v>
                </c:pt>
                <c:pt idx="272">
                  <c:v>10.1</c:v>
                </c:pt>
                <c:pt idx="273">
                  <c:v>10.1</c:v>
                </c:pt>
                <c:pt idx="274">
                  <c:v>10.1</c:v>
                </c:pt>
                <c:pt idx="275">
                  <c:v>10.1</c:v>
                </c:pt>
                <c:pt idx="276">
                  <c:v>10.1</c:v>
                </c:pt>
                <c:pt idx="277">
                  <c:v>10.1</c:v>
                </c:pt>
                <c:pt idx="278">
                  <c:v>10.1</c:v>
                </c:pt>
                <c:pt idx="279">
                  <c:v>10.1</c:v>
                </c:pt>
                <c:pt idx="280">
                  <c:v>10.1</c:v>
                </c:pt>
                <c:pt idx="281">
                  <c:v>10.1</c:v>
                </c:pt>
                <c:pt idx="282">
                  <c:v>10</c:v>
                </c:pt>
                <c:pt idx="283">
                  <c:v>10.1</c:v>
                </c:pt>
                <c:pt idx="284">
                  <c:v>10</c:v>
                </c:pt>
                <c:pt idx="285">
                  <c:v>10.1</c:v>
                </c:pt>
                <c:pt idx="286">
                  <c:v>10.1</c:v>
                </c:pt>
                <c:pt idx="287">
                  <c:v>10.1</c:v>
                </c:pt>
                <c:pt idx="288">
                  <c:v>10.1</c:v>
                </c:pt>
                <c:pt idx="289">
                  <c:v>10.1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10.1</c:v>
                </c:pt>
                <c:pt idx="298">
                  <c:v>10.1</c:v>
                </c:pt>
                <c:pt idx="299">
                  <c:v>10.1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10.1</c:v>
                </c:pt>
                <c:pt idx="308">
                  <c:v>10.1</c:v>
                </c:pt>
                <c:pt idx="309">
                  <c:v>10.1</c:v>
                </c:pt>
                <c:pt idx="310">
                  <c:v>10.1</c:v>
                </c:pt>
                <c:pt idx="311">
                  <c:v>10.1</c:v>
                </c:pt>
                <c:pt idx="312">
                  <c:v>10.1</c:v>
                </c:pt>
                <c:pt idx="313">
                  <c:v>10.1</c:v>
                </c:pt>
                <c:pt idx="314">
                  <c:v>10.1</c:v>
                </c:pt>
                <c:pt idx="315">
                  <c:v>10.1</c:v>
                </c:pt>
                <c:pt idx="316">
                  <c:v>10.1</c:v>
                </c:pt>
                <c:pt idx="317">
                  <c:v>10.1</c:v>
                </c:pt>
                <c:pt idx="318">
                  <c:v>10.1</c:v>
                </c:pt>
                <c:pt idx="319">
                  <c:v>10.1</c:v>
                </c:pt>
                <c:pt idx="320">
                  <c:v>10.1</c:v>
                </c:pt>
                <c:pt idx="321">
                  <c:v>10.1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9.9</c:v>
                </c:pt>
                <c:pt idx="326">
                  <c:v>9.9</c:v>
                </c:pt>
                <c:pt idx="327">
                  <c:v>9.8000000000000007</c:v>
                </c:pt>
                <c:pt idx="328">
                  <c:v>9.8000000000000007</c:v>
                </c:pt>
                <c:pt idx="329">
                  <c:v>9.6999999999999993</c:v>
                </c:pt>
                <c:pt idx="330">
                  <c:v>9.6999999999999993</c:v>
                </c:pt>
                <c:pt idx="331">
                  <c:v>9.6</c:v>
                </c:pt>
                <c:pt idx="332">
                  <c:v>9.6999999999999993</c:v>
                </c:pt>
                <c:pt idx="333">
                  <c:v>9.9</c:v>
                </c:pt>
                <c:pt idx="334">
                  <c:v>10</c:v>
                </c:pt>
                <c:pt idx="335">
                  <c:v>10.1</c:v>
                </c:pt>
                <c:pt idx="336">
                  <c:v>10.1</c:v>
                </c:pt>
                <c:pt idx="337">
                  <c:v>10.199999999999999</c:v>
                </c:pt>
                <c:pt idx="338">
                  <c:v>10.199999999999999</c:v>
                </c:pt>
                <c:pt idx="339">
                  <c:v>10.199999999999999</c:v>
                </c:pt>
                <c:pt idx="340">
                  <c:v>10.199999999999999</c:v>
                </c:pt>
                <c:pt idx="341">
                  <c:v>10.199999999999999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10.199999999999999</c:v>
                </c:pt>
                <c:pt idx="345">
                  <c:v>10.1</c:v>
                </c:pt>
                <c:pt idx="346">
                  <c:v>10.1</c:v>
                </c:pt>
                <c:pt idx="347">
                  <c:v>10.1</c:v>
                </c:pt>
                <c:pt idx="348">
                  <c:v>10.199999999999999</c:v>
                </c:pt>
                <c:pt idx="349">
                  <c:v>10.1</c:v>
                </c:pt>
                <c:pt idx="350">
                  <c:v>10.1</c:v>
                </c:pt>
                <c:pt idx="351">
                  <c:v>9.9</c:v>
                </c:pt>
                <c:pt idx="352">
                  <c:v>10</c:v>
                </c:pt>
                <c:pt idx="353">
                  <c:v>10.1</c:v>
                </c:pt>
                <c:pt idx="354">
                  <c:v>10.199999999999999</c:v>
                </c:pt>
                <c:pt idx="355">
                  <c:v>9.9</c:v>
                </c:pt>
                <c:pt idx="356">
                  <c:v>10</c:v>
                </c:pt>
                <c:pt idx="357">
                  <c:v>10.1</c:v>
                </c:pt>
                <c:pt idx="358">
                  <c:v>10.1</c:v>
                </c:pt>
                <c:pt idx="359">
                  <c:v>10.199999999999999</c:v>
                </c:pt>
                <c:pt idx="360">
                  <c:v>10.1</c:v>
                </c:pt>
                <c:pt idx="361">
                  <c:v>10.3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TotalTracking!$AK$1</c:f>
              <c:strCache>
                <c:ptCount val="1"/>
                <c:pt idx="0">
                  <c:v>Model Refinance</c:v>
                </c:pt>
              </c:strCache>
            </c:strRef>
          </c:tx>
          <c:marker>
            <c:symbol val="none"/>
          </c:marker>
          <c:cat>
            <c:numRef>
              <c:f>TotalTracking!$AG$2:$AG$363</c:f>
              <c:numCache>
                <c:formatCode>General</c:formatCode>
                <c:ptCount val="36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</c:numCache>
            </c:numRef>
          </c:cat>
          <c:val>
            <c:numRef>
              <c:f>TotalTracking!$AK$2:$AK$363</c:f>
              <c:numCache>
                <c:formatCode>General</c:formatCode>
                <c:ptCount val="362"/>
                <c:pt idx="1">
                  <c:v>1.7</c:v>
                </c:pt>
                <c:pt idx="2">
                  <c:v>1.1000000000000001</c:v>
                </c:pt>
                <c:pt idx="3">
                  <c:v>2.6</c:v>
                </c:pt>
                <c:pt idx="4">
                  <c:v>4.5</c:v>
                </c:pt>
                <c:pt idx="5">
                  <c:v>6.5</c:v>
                </c:pt>
                <c:pt idx="6">
                  <c:v>7.8</c:v>
                </c:pt>
                <c:pt idx="7">
                  <c:v>8.3000000000000007</c:v>
                </c:pt>
                <c:pt idx="8">
                  <c:v>8.6999999999999993</c:v>
                </c:pt>
                <c:pt idx="9">
                  <c:v>9</c:v>
                </c:pt>
                <c:pt idx="10">
                  <c:v>9.1999999999999993</c:v>
                </c:pt>
                <c:pt idx="11">
                  <c:v>9.4</c:v>
                </c:pt>
                <c:pt idx="12">
                  <c:v>9.6</c:v>
                </c:pt>
                <c:pt idx="13">
                  <c:v>9.8000000000000007</c:v>
                </c:pt>
                <c:pt idx="14">
                  <c:v>10</c:v>
                </c:pt>
                <c:pt idx="15">
                  <c:v>10.199999999999999</c:v>
                </c:pt>
                <c:pt idx="16">
                  <c:v>10.5</c:v>
                </c:pt>
                <c:pt idx="17">
                  <c:v>10.7</c:v>
                </c:pt>
                <c:pt idx="18">
                  <c:v>10.8</c:v>
                </c:pt>
                <c:pt idx="19">
                  <c:v>10.9</c:v>
                </c:pt>
                <c:pt idx="20">
                  <c:v>10.8</c:v>
                </c:pt>
                <c:pt idx="21">
                  <c:v>10.6</c:v>
                </c:pt>
                <c:pt idx="22">
                  <c:v>10.4</c:v>
                </c:pt>
                <c:pt idx="23">
                  <c:v>10.3</c:v>
                </c:pt>
                <c:pt idx="24">
                  <c:v>10.199999999999999</c:v>
                </c:pt>
                <c:pt idx="25">
                  <c:v>10.1</c:v>
                </c:pt>
                <c:pt idx="26">
                  <c:v>10.1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10.1</c:v>
                </c:pt>
                <c:pt idx="32">
                  <c:v>10.199999999999999</c:v>
                </c:pt>
                <c:pt idx="33">
                  <c:v>10.199999999999999</c:v>
                </c:pt>
                <c:pt idx="34">
                  <c:v>10.199999999999999</c:v>
                </c:pt>
                <c:pt idx="35">
                  <c:v>10.199999999999999</c:v>
                </c:pt>
                <c:pt idx="36">
                  <c:v>10.199999999999999</c:v>
                </c:pt>
                <c:pt idx="37">
                  <c:v>10.199999999999999</c:v>
                </c:pt>
                <c:pt idx="38">
                  <c:v>10.4</c:v>
                </c:pt>
                <c:pt idx="39">
                  <c:v>10.6</c:v>
                </c:pt>
                <c:pt idx="40">
                  <c:v>10.8</c:v>
                </c:pt>
                <c:pt idx="41">
                  <c:v>11.1</c:v>
                </c:pt>
                <c:pt idx="42">
                  <c:v>11.4</c:v>
                </c:pt>
                <c:pt idx="43">
                  <c:v>11.6</c:v>
                </c:pt>
                <c:pt idx="44">
                  <c:v>11.6</c:v>
                </c:pt>
                <c:pt idx="45">
                  <c:v>11.5</c:v>
                </c:pt>
                <c:pt idx="46">
                  <c:v>11.5</c:v>
                </c:pt>
                <c:pt idx="47">
                  <c:v>11.5</c:v>
                </c:pt>
                <c:pt idx="48">
                  <c:v>11.5</c:v>
                </c:pt>
                <c:pt idx="49">
                  <c:v>11.4</c:v>
                </c:pt>
                <c:pt idx="50">
                  <c:v>11.5</c:v>
                </c:pt>
                <c:pt idx="51">
                  <c:v>11.5</c:v>
                </c:pt>
                <c:pt idx="52">
                  <c:v>11.6</c:v>
                </c:pt>
                <c:pt idx="53">
                  <c:v>11.7</c:v>
                </c:pt>
                <c:pt idx="54">
                  <c:v>11.8</c:v>
                </c:pt>
                <c:pt idx="55">
                  <c:v>11.9</c:v>
                </c:pt>
                <c:pt idx="56">
                  <c:v>11.9</c:v>
                </c:pt>
                <c:pt idx="57">
                  <c:v>11.8</c:v>
                </c:pt>
                <c:pt idx="58">
                  <c:v>11.7</c:v>
                </c:pt>
                <c:pt idx="59">
                  <c:v>11.7</c:v>
                </c:pt>
                <c:pt idx="60">
                  <c:v>11.8</c:v>
                </c:pt>
                <c:pt idx="61">
                  <c:v>12</c:v>
                </c:pt>
                <c:pt idx="62">
                  <c:v>12.1</c:v>
                </c:pt>
                <c:pt idx="63">
                  <c:v>12.2</c:v>
                </c:pt>
                <c:pt idx="64">
                  <c:v>12.2</c:v>
                </c:pt>
                <c:pt idx="65">
                  <c:v>12.1</c:v>
                </c:pt>
                <c:pt idx="66">
                  <c:v>12.2</c:v>
                </c:pt>
                <c:pt idx="67">
                  <c:v>12.3</c:v>
                </c:pt>
                <c:pt idx="68">
                  <c:v>12.5</c:v>
                </c:pt>
                <c:pt idx="69">
                  <c:v>12.7</c:v>
                </c:pt>
                <c:pt idx="70">
                  <c:v>12.9</c:v>
                </c:pt>
                <c:pt idx="71">
                  <c:v>13</c:v>
                </c:pt>
                <c:pt idx="72">
                  <c:v>13.2</c:v>
                </c:pt>
                <c:pt idx="73">
                  <c:v>13.3</c:v>
                </c:pt>
                <c:pt idx="74">
                  <c:v>13.4</c:v>
                </c:pt>
                <c:pt idx="75">
                  <c:v>13.5</c:v>
                </c:pt>
                <c:pt idx="76">
                  <c:v>13.6</c:v>
                </c:pt>
                <c:pt idx="77">
                  <c:v>13.8</c:v>
                </c:pt>
                <c:pt idx="78">
                  <c:v>13.9</c:v>
                </c:pt>
                <c:pt idx="79">
                  <c:v>14.1</c:v>
                </c:pt>
                <c:pt idx="80">
                  <c:v>14.1</c:v>
                </c:pt>
                <c:pt idx="81">
                  <c:v>13.9</c:v>
                </c:pt>
                <c:pt idx="82">
                  <c:v>14</c:v>
                </c:pt>
                <c:pt idx="83">
                  <c:v>14.1</c:v>
                </c:pt>
                <c:pt idx="84">
                  <c:v>14.5</c:v>
                </c:pt>
                <c:pt idx="85">
                  <c:v>14.9</c:v>
                </c:pt>
                <c:pt idx="86">
                  <c:v>15.3</c:v>
                </c:pt>
                <c:pt idx="87">
                  <c:v>15.6</c:v>
                </c:pt>
                <c:pt idx="88">
                  <c:v>15.7</c:v>
                </c:pt>
                <c:pt idx="89">
                  <c:v>15.6</c:v>
                </c:pt>
                <c:pt idx="90">
                  <c:v>15.3</c:v>
                </c:pt>
                <c:pt idx="91">
                  <c:v>15.1</c:v>
                </c:pt>
                <c:pt idx="92">
                  <c:v>14.8</c:v>
                </c:pt>
                <c:pt idx="93">
                  <c:v>14.6</c:v>
                </c:pt>
                <c:pt idx="94">
                  <c:v>14.6</c:v>
                </c:pt>
                <c:pt idx="95">
                  <c:v>14.6</c:v>
                </c:pt>
                <c:pt idx="96">
                  <c:v>14.7</c:v>
                </c:pt>
                <c:pt idx="97">
                  <c:v>14.8</c:v>
                </c:pt>
                <c:pt idx="98">
                  <c:v>15.2</c:v>
                </c:pt>
                <c:pt idx="99">
                  <c:v>15.6</c:v>
                </c:pt>
                <c:pt idx="100">
                  <c:v>16</c:v>
                </c:pt>
                <c:pt idx="101">
                  <c:v>16.5</c:v>
                </c:pt>
                <c:pt idx="102">
                  <c:v>17</c:v>
                </c:pt>
                <c:pt idx="103">
                  <c:v>17.5</c:v>
                </c:pt>
                <c:pt idx="104">
                  <c:v>18</c:v>
                </c:pt>
                <c:pt idx="105">
                  <c:v>18.399999999999999</c:v>
                </c:pt>
                <c:pt idx="106">
                  <c:v>18.899999999999999</c:v>
                </c:pt>
                <c:pt idx="107">
                  <c:v>19.5</c:v>
                </c:pt>
                <c:pt idx="108">
                  <c:v>20</c:v>
                </c:pt>
                <c:pt idx="109">
                  <c:v>20.5</c:v>
                </c:pt>
                <c:pt idx="110">
                  <c:v>20.8</c:v>
                </c:pt>
                <c:pt idx="111">
                  <c:v>21.1</c:v>
                </c:pt>
                <c:pt idx="112">
                  <c:v>21.1</c:v>
                </c:pt>
                <c:pt idx="113">
                  <c:v>21</c:v>
                </c:pt>
                <c:pt idx="114">
                  <c:v>20.8</c:v>
                </c:pt>
                <c:pt idx="115">
                  <c:v>20.5</c:v>
                </c:pt>
                <c:pt idx="116">
                  <c:v>20</c:v>
                </c:pt>
                <c:pt idx="117">
                  <c:v>19.399999999999999</c:v>
                </c:pt>
                <c:pt idx="118">
                  <c:v>19</c:v>
                </c:pt>
                <c:pt idx="119">
                  <c:v>18.399999999999999</c:v>
                </c:pt>
                <c:pt idx="120">
                  <c:v>17.8</c:v>
                </c:pt>
                <c:pt idx="121">
                  <c:v>17.2</c:v>
                </c:pt>
                <c:pt idx="122">
                  <c:v>16.7</c:v>
                </c:pt>
                <c:pt idx="123">
                  <c:v>16.2</c:v>
                </c:pt>
                <c:pt idx="124">
                  <c:v>15.7</c:v>
                </c:pt>
                <c:pt idx="125">
                  <c:v>15.3</c:v>
                </c:pt>
                <c:pt idx="126">
                  <c:v>15.1</c:v>
                </c:pt>
                <c:pt idx="127">
                  <c:v>14.9</c:v>
                </c:pt>
                <c:pt idx="128">
                  <c:v>14.8</c:v>
                </c:pt>
                <c:pt idx="129">
                  <c:v>14.7</c:v>
                </c:pt>
                <c:pt idx="130">
                  <c:v>14.6</c:v>
                </c:pt>
                <c:pt idx="131">
                  <c:v>14.7</c:v>
                </c:pt>
                <c:pt idx="132">
                  <c:v>14.7</c:v>
                </c:pt>
                <c:pt idx="133">
                  <c:v>14.7</c:v>
                </c:pt>
                <c:pt idx="134">
                  <c:v>14.8</c:v>
                </c:pt>
                <c:pt idx="135">
                  <c:v>14.8</c:v>
                </c:pt>
                <c:pt idx="136">
                  <c:v>14.9</c:v>
                </c:pt>
                <c:pt idx="137">
                  <c:v>15.1</c:v>
                </c:pt>
                <c:pt idx="138">
                  <c:v>15.3</c:v>
                </c:pt>
                <c:pt idx="139">
                  <c:v>15.5</c:v>
                </c:pt>
                <c:pt idx="140">
                  <c:v>15.5</c:v>
                </c:pt>
                <c:pt idx="141">
                  <c:v>15.3</c:v>
                </c:pt>
                <c:pt idx="142">
                  <c:v>15.2</c:v>
                </c:pt>
                <c:pt idx="143">
                  <c:v>14.9</c:v>
                </c:pt>
                <c:pt idx="144">
                  <c:v>14.5</c:v>
                </c:pt>
                <c:pt idx="145">
                  <c:v>14.2</c:v>
                </c:pt>
                <c:pt idx="146">
                  <c:v>13.9</c:v>
                </c:pt>
                <c:pt idx="147">
                  <c:v>13.5</c:v>
                </c:pt>
                <c:pt idx="148">
                  <c:v>13.2</c:v>
                </c:pt>
                <c:pt idx="149">
                  <c:v>12.8</c:v>
                </c:pt>
                <c:pt idx="150">
                  <c:v>12.4</c:v>
                </c:pt>
                <c:pt idx="151">
                  <c:v>12.1</c:v>
                </c:pt>
                <c:pt idx="152">
                  <c:v>11.7</c:v>
                </c:pt>
                <c:pt idx="153">
                  <c:v>11.5</c:v>
                </c:pt>
                <c:pt idx="154">
                  <c:v>11.4</c:v>
                </c:pt>
                <c:pt idx="155">
                  <c:v>11.3</c:v>
                </c:pt>
                <c:pt idx="156">
                  <c:v>11.2</c:v>
                </c:pt>
                <c:pt idx="157">
                  <c:v>11.1</c:v>
                </c:pt>
                <c:pt idx="158">
                  <c:v>11</c:v>
                </c:pt>
                <c:pt idx="159">
                  <c:v>10.9</c:v>
                </c:pt>
                <c:pt idx="160">
                  <c:v>10.8</c:v>
                </c:pt>
                <c:pt idx="161">
                  <c:v>10.7</c:v>
                </c:pt>
                <c:pt idx="162">
                  <c:v>10.6</c:v>
                </c:pt>
                <c:pt idx="163">
                  <c:v>10.4</c:v>
                </c:pt>
                <c:pt idx="164">
                  <c:v>10.199999999999999</c:v>
                </c:pt>
                <c:pt idx="165">
                  <c:v>10</c:v>
                </c:pt>
                <c:pt idx="166">
                  <c:v>9.8000000000000007</c:v>
                </c:pt>
                <c:pt idx="167">
                  <c:v>9.6</c:v>
                </c:pt>
                <c:pt idx="168">
                  <c:v>9.5</c:v>
                </c:pt>
                <c:pt idx="169">
                  <c:v>9.3000000000000007</c:v>
                </c:pt>
                <c:pt idx="170">
                  <c:v>9.1</c:v>
                </c:pt>
                <c:pt idx="171">
                  <c:v>8.9</c:v>
                </c:pt>
                <c:pt idx="172">
                  <c:v>8.6</c:v>
                </c:pt>
                <c:pt idx="173">
                  <c:v>8.4</c:v>
                </c:pt>
                <c:pt idx="174">
                  <c:v>8.1999999999999993</c:v>
                </c:pt>
                <c:pt idx="175">
                  <c:v>8</c:v>
                </c:pt>
                <c:pt idx="176">
                  <c:v>7.6</c:v>
                </c:pt>
                <c:pt idx="177">
                  <c:v>7.4</c:v>
                </c:pt>
                <c:pt idx="178">
                  <c:v>7.3</c:v>
                </c:pt>
                <c:pt idx="179">
                  <c:v>7.2</c:v>
                </c:pt>
                <c:pt idx="180">
                  <c:v>7.1</c:v>
                </c:pt>
                <c:pt idx="181">
                  <c:v>7.3</c:v>
                </c:pt>
                <c:pt idx="182">
                  <c:v>7.7</c:v>
                </c:pt>
                <c:pt idx="183">
                  <c:v>7.9</c:v>
                </c:pt>
                <c:pt idx="184">
                  <c:v>8.1999999999999993</c:v>
                </c:pt>
                <c:pt idx="185">
                  <c:v>8.5</c:v>
                </c:pt>
                <c:pt idx="186">
                  <c:v>8.6</c:v>
                </c:pt>
                <c:pt idx="187">
                  <c:v>8.6</c:v>
                </c:pt>
                <c:pt idx="188">
                  <c:v>8.6</c:v>
                </c:pt>
                <c:pt idx="189">
                  <c:v>8.6</c:v>
                </c:pt>
                <c:pt idx="190">
                  <c:v>8.6</c:v>
                </c:pt>
                <c:pt idx="191">
                  <c:v>8.6</c:v>
                </c:pt>
                <c:pt idx="192">
                  <c:v>8.6999999999999993</c:v>
                </c:pt>
                <c:pt idx="193">
                  <c:v>8.6</c:v>
                </c:pt>
                <c:pt idx="194">
                  <c:v>8.6</c:v>
                </c:pt>
                <c:pt idx="195">
                  <c:v>8.6</c:v>
                </c:pt>
                <c:pt idx="196">
                  <c:v>8.6</c:v>
                </c:pt>
                <c:pt idx="197">
                  <c:v>8.6</c:v>
                </c:pt>
                <c:pt idx="198">
                  <c:v>8.6</c:v>
                </c:pt>
                <c:pt idx="199">
                  <c:v>8.6999999999999993</c:v>
                </c:pt>
                <c:pt idx="200">
                  <c:v>8.6999999999999993</c:v>
                </c:pt>
                <c:pt idx="201">
                  <c:v>8.9</c:v>
                </c:pt>
                <c:pt idx="202">
                  <c:v>9.1999999999999993</c:v>
                </c:pt>
                <c:pt idx="203">
                  <c:v>9.1</c:v>
                </c:pt>
                <c:pt idx="204">
                  <c:v>9.1</c:v>
                </c:pt>
                <c:pt idx="205">
                  <c:v>8.9</c:v>
                </c:pt>
                <c:pt idx="206">
                  <c:v>8.6</c:v>
                </c:pt>
                <c:pt idx="207">
                  <c:v>8.1999999999999993</c:v>
                </c:pt>
                <c:pt idx="208">
                  <c:v>7.8</c:v>
                </c:pt>
                <c:pt idx="209">
                  <c:v>7.7</c:v>
                </c:pt>
                <c:pt idx="210">
                  <c:v>7.6</c:v>
                </c:pt>
                <c:pt idx="211">
                  <c:v>7.7</c:v>
                </c:pt>
                <c:pt idx="212">
                  <c:v>7.5</c:v>
                </c:pt>
                <c:pt idx="213">
                  <c:v>7.8</c:v>
                </c:pt>
                <c:pt idx="214">
                  <c:v>8.1999999999999993</c:v>
                </c:pt>
                <c:pt idx="215">
                  <c:v>8.6</c:v>
                </c:pt>
                <c:pt idx="216">
                  <c:v>8.8000000000000007</c:v>
                </c:pt>
                <c:pt idx="217">
                  <c:v>8.9</c:v>
                </c:pt>
                <c:pt idx="218">
                  <c:v>9.1</c:v>
                </c:pt>
                <c:pt idx="219">
                  <c:v>9.4</c:v>
                </c:pt>
                <c:pt idx="220">
                  <c:v>9.1999999999999993</c:v>
                </c:pt>
                <c:pt idx="221">
                  <c:v>9</c:v>
                </c:pt>
                <c:pt idx="222">
                  <c:v>9.4</c:v>
                </c:pt>
                <c:pt idx="223">
                  <c:v>9.1999999999999993</c:v>
                </c:pt>
                <c:pt idx="224">
                  <c:v>9.3000000000000007</c:v>
                </c:pt>
                <c:pt idx="225">
                  <c:v>9.1999999999999993</c:v>
                </c:pt>
                <c:pt idx="226">
                  <c:v>9.1</c:v>
                </c:pt>
                <c:pt idx="227">
                  <c:v>9.1</c:v>
                </c:pt>
                <c:pt idx="228">
                  <c:v>8.9</c:v>
                </c:pt>
                <c:pt idx="229">
                  <c:v>8.8000000000000007</c:v>
                </c:pt>
                <c:pt idx="230">
                  <c:v>8.4</c:v>
                </c:pt>
                <c:pt idx="231">
                  <c:v>8.1</c:v>
                </c:pt>
                <c:pt idx="232">
                  <c:v>7.8</c:v>
                </c:pt>
                <c:pt idx="233">
                  <c:v>7.3</c:v>
                </c:pt>
                <c:pt idx="234">
                  <c:v>7.1</c:v>
                </c:pt>
                <c:pt idx="235">
                  <c:v>6.8</c:v>
                </c:pt>
                <c:pt idx="236">
                  <c:v>6.7</c:v>
                </c:pt>
                <c:pt idx="237">
                  <c:v>6.2</c:v>
                </c:pt>
                <c:pt idx="238">
                  <c:v>5.8</c:v>
                </c:pt>
                <c:pt idx="239">
                  <c:v>5.9</c:v>
                </c:pt>
                <c:pt idx="240">
                  <c:v>5.7</c:v>
                </c:pt>
                <c:pt idx="241">
                  <c:v>5.7</c:v>
                </c:pt>
                <c:pt idx="242">
                  <c:v>5.6</c:v>
                </c:pt>
                <c:pt idx="243">
                  <c:v>5.5</c:v>
                </c:pt>
                <c:pt idx="244">
                  <c:v>5.6</c:v>
                </c:pt>
                <c:pt idx="245">
                  <c:v>5.7</c:v>
                </c:pt>
                <c:pt idx="246">
                  <c:v>5.8</c:v>
                </c:pt>
                <c:pt idx="247">
                  <c:v>5.9</c:v>
                </c:pt>
                <c:pt idx="248">
                  <c:v>6.1</c:v>
                </c:pt>
                <c:pt idx="249">
                  <c:v>5.9</c:v>
                </c:pt>
                <c:pt idx="250">
                  <c:v>5.7</c:v>
                </c:pt>
                <c:pt idx="251">
                  <c:v>6</c:v>
                </c:pt>
                <c:pt idx="252">
                  <c:v>5.9</c:v>
                </c:pt>
                <c:pt idx="253">
                  <c:v>6.2</c:v>
                </c:pt>
                <c:pt idx="254">
                  <c:v>6.3</c:v>
                </c:pt>
                <c:pt idx="255">
                  <c:v>6.6</c:v>
                </c:pt>
                <c:pt idx="256">
                  <c:v>6.3</c:v>
                </c:pt>
                <c:pt idx="257">
                  <c:v>6.5</c:v>
                </c:pt>
                <c:pt idx="258">
                  <c:v>6.6</c:v>
                </c:pt>
                <c:pt idx="259">
                  <c:v>6.7</c:v>
                </c:pt>
                <c:pt idx="260">
                  <c:v>6.5</c:v>
                </c:pt>
                <c:pt idx="261">
                  <c:v>6.4</c:v>
                </c:pt>
                <c:pt idx="262">
                  <c:v>6.9</c:v>
                </c:pt>
                <c:pt idx="263">
                  <c:v>6.8</c:v>
                </c:pt>
                <c:pt idx="264">
                  <c:v>6.8</c:v>
                </c:pt>
                <c:pt idx="265">
                  <c:v>6.9</c:v>
                </c:pt>
                <c:pt idx="266">
                  <c:v>7.6</c:v>
                </c:pt>
                <c:pt idx="267">
                  <c:v>7.9</c:v>
                </c:pt>
                <c:pt idx="268">
                  <c:v>8.3000000000000007</c:v>
                </c:pt>
                <c:pt idx="269">
                  <c:v>8.4</c:v>
                </c:pt>
                <c:pt idx="270">
                  <c:v>8.9</c:v>
                </c:pt>
                <c:pt idx="271">
                  <c:v>9.1</c:v>
                </c:pt>
                <c:pt idx="272">
                  <c:v>9.1999999999999993</c:v>
                </c:pt>
                <c:pt idx="273">
                  <c:v>9.1999999999999993</c:v>
                </c:pt>
                <c:pt idx="274">
                  <c:v>9.4</c:v>
                </c:pt>
                <c:pt idx="275">
                  <c:v>9.8000000000000007</c:v>
                </c:pt>
                <c:pt idx="276">
                  <c:v>9.6999999999999993</c:v>
                </c:pt>
                <c:pt idx="277">
                  <c:v>9.6</c:v>
                </c:pt>
                <c:pt idx="278">
                  <c:v>9.6</c:v>
                </c:pt>
                <c:pt idx="279">
                  <c:v>9.5</c:v>
                </c:pt>
                <c:pt idx="280">
                  <c:v>9.6</c:v>
                </c:pt>
                <c:pt idx="281">
                  <c:v>9.6</c:v>
                </c:pt>
                <c:pt idx="282">
                  <c:v>9.9</c:v>
                </c:pt>
                <c:pt idx="283">
                  <c:v>10.199999999999999</c:v>
                </c:pt>
                <c:pt idx="284">
                  <c:v>10.3</c:v>
                </c:pt>
                <c:pt idx="285">
                  <c:v>10.6</c:v>
                </c:pt>
                <c:pt idx="286">
                  <c:v>10.1</c:v>
                </c:pt>
                <c:pt idx="287">
                  <c:v>10.7</c:v>
                </c:pt>
                <c:pt idx="288">
                  <c:v>10.3</c:v>
                </c:pt>
                <c:pt idx="289">
                  <c:v>10.3</c:v>
                </c:pt>
                <c:pt idx="290">
                  <c:v>10.9</c:v>
                </c:pt>
                <c:pt idx="291">
                  <c:v>10.9</c:v>
                </c:pt>
                <c:pt idx="292">
                  <c:v>11.6</c:v>
                </c:pt>
                <c:pt idx="293">
                  <c:v>11.5</c:v>
                </c:pt>
                <c:pt idx="294">
                  <c:v>11.7</c:v>
                </c:pt>
                <c:pt idx="295">
                  <c:v>12.6</c:v>
                </c:pt>
                <c:pt idx="296">
                  <c:v>12.6</c:v>
                </c:pt>
                <c:pt idx="297">
                  <c:v>12.8</c:v>
                </c:pt>
                <c:pt idx="298">
                  <c:v>12.6</c:v>
                </c:pt>
                <c:pt idx="299">
                  <c:v>13</c:v>
                </c:pt>
                <c:pt idx="300">
                  <c:v>13.6</c:v>
                </c:pt>
                <c:pt idx="301">
                  <c:v>13.7</c:v>
                </c:pt>
                <c:pt idx="302">
                  <c:v>14.7</c:v>
                </c:pt>
                <c:pt idx="303">
                  <c:v>14.2</c:v>
                </c:pt>
                <c:pt idx="304">
                  <c:v>14.6</c:v>
                </c:pt>
                <c:pt idx="305">
                  <c:v>13.7</c:v>
                </c:pt>
                <c:pt idx="306">
                  <c:v>13.4</c:v>
                </c:pt>
                <c:pt idx="307">
                  <c:v>13.4</c:v>
                </c:pt>
                <c:pt idx="308">
                  <c:v>13.6</c:v>
                </c:pt>
                <c:pt idx="309">
                  <c:v>13.9</c:v>
                </c:pt>
                <c:pt idx="310">
                  <c:v>14.9</c:v>
                </c:pt>
                <c:pt idx="311">
                  <c:v>14.2</c:v>
                </c:pt>
                <c:pt idx="312">
                  <c:v>13.8</c:v>
                </c:pt>
                <c:pt idx="313">
                  <c:v>13.6</c:v>
                </c:pt>
                <c:pt idx="314">
                  <c:v>13.6</c:v>
                </c:pt>
                <c:pt idx="315">
                  <c:v>14.5</c:v>
                </c:pt>
                <c:pt idx="316">
                  <c:v>14.2</c:v>
                </c:pt>
                <c:pt idx="317">
                  <c:v>13.9</c:v>
                </c:pt>
                <c:pt idx="318">
                  <c:v>13.5</c:v>
                </c:pt>
                <c:pt idx="319">
                  <c:v>13.3</c:v>
                </c:pt>
                <c:pt idx="320">
                  <c:v>13.2</c:v>
                </c:pt>
                <c:pt idx="321">
                  <c:v>12.3</c:v>
                </c:pt>
                <c:pt idx="322">
                  <c:v>11.7</c:v>
                </c:pt>
                <c:pt idx="323">
                  <c:v>12.8</c:v>
                </c:pt>
                <c:pt idx="324">
                  <c:v>13.2</c:v>
                </c:pt>
                <c:pt idx="325">
                  <c:v>12.1</c:v>
                </c:pt>
                <c:pt idx="326">
                  <c:v>11.9</c:v>
                </c:pt>
                <c:pt idx="327">
                  <c:v>11.3</c:v>
                </c:pt>
                <c:pt idx="328">
                  <c:v>11</c:v>
                </c:pt>
                <c:pt idx="329">
                  <c:v>11.2</c:v>
                </c:pt>
                <c:pt idx="330">
                  <c:v>10.6</c:v>
                </c:pt>
                <c:pt idx="331">
                  <c:v>10.199999999999999</c:v>
                </c:pt>
                <c:pt idx="332">
                  <c:v>10.5</c:v>
                </c:pt>
                <c:pt idx="333">
                  <c:v>10.4</c:v>
                </c:pt>
                <c:pt idx="334">
                  <c:v>10.9</c:v>
                </c:pt>
                <c:pt idx="335">
                  <c:v>10</c:v>
                </c:pt>
                <c:pt idx="336">
                  <c:v>9.8000000000000007</c:v>
                </c:pt>
                <c:pt idx="337">
                  <c:v>9</c:v>
                </c:pt>
                <c:pt idx="338">
                  <c:v>8.9</c:v>
                </c:pt>
                <c:pt idx="339">
                  <c:v>8.1999999999999993</c:v>
                </c:pt>
                <c:pt idx="340">
                  <c:v>7.8</c:v>
                </c:pt>
                <c:pt idx="341">
                  <c:v>7.8</c:v>
                </c:pt>
                <c:pt idx="342">
                  <c:v>8.1999999999999993</c:v>
                </c:pt>
                <c:pt idx="343">
                  <c:v>8.1999999999999993</c:v>
                </c:pt>
                <c:pt idx="344">
                  <c:v>7.9</c:v>
                </c:pt>
                <c:pt idx="345">
                  <c:v>7.9</c:v>
                </c:pt>
                <c:pt idx="346">
                  <c:v>7.8</c:v>
                </c:pt>
                <c:pt idx="347">
                  <c:v>7.8</c:v>
                </c:pt>
                <c:pt idx="348">
                  <c:v>7.8</c:v>
                </c:pt>
                <c:pt idx="349">
                  <c:v>7.3</c:v>
                </c:pt>
                <c:pt idx="350">
                  <c:v>7.9</c:v>
                </c:pt>
                <c:pt idx="351">
                  <c:v>8.1</c:v>
                </c:pt>
                <c:pt idx="352">
                  <c:v>6.8</c:v>
                </c:pt>
                <c:pt idx="353">
                  <c:v>6.1</c:v>
                </c:pt>
                <c:pt idx="354">
                  <c:v>6.1</c:v>
                </c:pt>
                <c:pt idx="355">
                  <c:v>6.7</c:v>
                </c:pt>
                <c:pt idx="356">
                  <c:v>6.3</c:v>
                </c:pt>
                <c:pt idx="357">
                  <c:v>5.9</c:v>
                </c:pt>
                <c:pt idx="358">
                  <c:v>6.1</c:v>
                </c:pt>
                <c:pt idx="359">
                  <c:v>6.1</c:v>
                </c:pt>
                <c:pt idx="360">
                  <c:v>6.5</c:v>
                </c:pt>
                <c:pt idx="361">
                  <c:v>29.7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996096"/>
        <c:axId val="367535232"/>
      </c:lineChart>
      <c:catAx>
        <c:axId val="36699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7535232"/>
        <c:crosses val="autoZero"/>
        <c:auto val="1"/>
        <c:lblAlgn val="ctr"/>
        <c:lblOffset val="100"/>
        <c:noMultiLvlLbl val="0"/>
      </c:catAx>
      <c:valAx>
        <c:axId val="367535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6996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effectLst/>
              </a:rPr>
              <a:t>loan_curtail cpr</a:t>
            </a:r>
            <a:r>
              <a:rPr lang="en-US" sz="1800" b="1" i="0" u="none" strike="noStrike" baseline="0"/>
              <a:t> 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[1]Sheet1!$B$2</c:f>
              <c:strCache>
                <c:ptCount val="1"/>
                <c:pt idx="0">
                  <c:v>v1</c:v>
                </c:pt>
              </c:strCache>
            </c:strRef>
          </c:tx>
          <c:marker>
            <c:symbol val="none"/>
          </c:marker>
          <c:cat>
            <c:numRef>
              <c:f>[1]Sheet1!$A$3:$A$34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[1]Sheet1!$B$3:$B$34</c:f>
              <c:numCache>
                <c:formatCode>General</c:formatCode>
                <c:ptCount val="32"/>
                <c:pt idx="0">
                  <c:v>0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5.1999999999999998E-3</c:v>
                </c:pt>
                <c:pt idx="4">
                  <c:v>5.1999999999999998E-3</c:v>
                </c:pt>
                <c:pt idx="5">
                  <c:v>5.1000000000000004E-3</c:v>
                </c:pt>
                <c:pt idx="6">
                  <c:v>5.0000000000000001E-3</c:v>
                </c:pt>
                <c:pt idx="7">
                  <c:v>4.8999999999999998E-3</c:v>
                </c:pt>
                <c:pt idx="8">
                  <c:v>4.4999999999999997E-3</c:v>
                </c:pt>
                <c:pt idx="9">
                  <c:v>4.7000000000000002E-3</c:v>
                </c:pt>
                <c:pt idx="10">
                  <c:v>4.7999999999999996E-3</c:v>
                </c:pt>
                <c:pt idx="11">
                  <c:v>5.3E-3</c:v>
                </c:pt>
                <c:pt idx="12">
                  <c:v>6.7999999999999996E-3</c:v>
                </c:pt>
                <c:pt idx="13">
                  <c:v>6.7000000000000002E-3</c:v>
                </c:pt>
                <c:pt idx="14">
                  <c:v>8.3000000000000001E-3</c:v>
                </c:pt>
                <c:pt idx="15">
                  <c:v>8.2000000000000007E-3</c:v>
                </c:pt>
                <c:pt idx="16">
                  <c:v>8.8999999999999999E-3</c:v>
                </c:pt>
                <c:pt idx="17">
                  <c:v>9.1000000000000004E-3</c:v>
                </c:pt>
                <c:pt idx="18">
                  <c:v>9.2999999999999992E-3</c:v>
                </c:pt>
                <c:pt idx="19">
                  <c:v>1.11E-2</c:v>
                </c:pt>
                <c:pt idx="20">
                  <c:v>1.11E-2</c:v>
                </c:pt>
                <c:pt idx="21">
                  <c:v>1.21E-2</c:v>
                </c:pt>
                <c:pt idx="22">
                  <c:v>1.55E-2</c:v>
                </c:pt>
                <c:pt idx="23">
                  <c:v>1.29E-2</c:v>
                </c:pt>
                <c:pt idx="24">
                  <c:v>1.06E-2</c:v>
                </c:pt>
                <c:pt idx="25">
                  <c:v>3.8E-3</c:v>
                </c:pt>
                <c:pt idx="26">
                  <c:v>5.1999999999999998E-3</c:v>
                </c:pt>
                <c:pt idx="27">
                  <c:v>8.3999999999999995E-3</c:v>
                </c:pt>
                <c:pt idx="28">
                  <c:v>5.0000000000000001E-3</c:v>
                </c:pt>
                <c:pt idx="29">
                  <c:v>8.0000000000000002E-3</c:v>
                </c:pt>
                <c:pt idx="30">
                  <c:v>4.3E-3</c:v>
                </c:pt>
                <c:pt idx="31">
                  <c:v>1.6E-2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[1]Sheet1!$C$2</c:f>
              <c:strCache>
                <c:ptCount val="1"/>
                <c:pt idx="0">
                  <c:v>v2</c:v>
                </c:pt>
              </c:strCache>
            </c:strRef>
          </c:tx>
          <c:marker>
            <c:symbol val="none"/>
          </c:marker>
          <c:cat>
            <c:numRef>
              <c:f>[1]Sheet1!$A$3:$A$34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[1]Sheet1!$C$3:$C$34</c:f>
              <c:numCache>
                <c:formatCode>General</c:formatCode>
                <c:ptCount val="32"/>
                <c:pt idx="0">
                  <c:v>0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5.1000000000000004E-3</c:v>
                </c:pt>
                <c:pt idx="4">
                  <c:v>5.1000000000000004E-3</c:v>
                </c:pt>
                <c:pt idx="5">
                  <c:v>5.1000000000000004E-3</c:v>
                </c:pt>
                <c:pt idx="6">
                  <c:v>5.1000000000000004E-3</c:v>
                </c:pt>
                <c:pt idx="7">
                  <c:v>5.1000000000000004E-3</c:v>
                </c:pt>
                <c:pt idx="8">
                  <c:v>5.1000000000000004E-3</c:v>
                </c:pt>
                <c:pt idx="9">
                  <c:v>4.7000000000000002E-3</c:v>
                </c:pt>
                <c:pt idx="10">
                  <c:v>4.7999999999999996E-3</c:v>
                </c:pt>
                <c:pt idx="11">
                  <c:v>5.1000000000000004E-3</c:v>
                </c:pt>
                <c:pt idx="12">
                  <c:v>5.8999999999999999E-3</c:v>
                </c:pt>
                <c:pt idx="13">
                  <c:v>6.6E-3</c:v>
                </c:pt>
                <c:pt idx="14">
                  <c:v>7.4000000000000003E-3</c:v>
                </c:pt>
                <c:pt idx="15">
                  <c:v>7.4000000000000003E-3</c:v>
                </c:pt>
                <c:pt idx="16">
                  <c:v>8.6999999999999994E-3</c:v>
                </c:pt>
                <c:pt idx="17">
                  <c:v>8.6E-3</c:v>
                </c:pt>
                <c:pt idx="18">
                  <c:v>9.1999999999999998E-3</c:v>
                </c:pt>
                <c:pt idx="19">
                  <c:v>9.9000000000000008E-3</c:v>
                </c:pt>
                <c:pt idx="20">
                  <c:v>1.04E-2</c:v>
                </c:pt>
                <c:pt idx="21">
                  <c:v>1.14E-2</c:v>
                </c:pt>
                <c:pt idx="22">
                  <c:v>1.44E-2</c:v>
                </c:pt>
                <c:pt idx="23">
                  <c:v>1.34E-2</c:v>
                </c:pt>
                <c:pt idx="24">
                  <c:v>1.2999999999999999E-2</c:v>
                </c:pt>
                <c:pt idx="25">
                  <c:v>1.01E-2</c:v>
                </c:pt>
                <c:pt idx="26">
                  <c:v>5.1999999999999998E-3</c:v>
                </c:pt>
                <c:pt idx="27">
                  <c:v>6.4000000000000003E-3</c:v>
                </c:pt>
                <c:pt idx="28">
                  <c:v>7.7999999999999996E-3</c:v>
                </c:pt>
                <c:pt idx="29">
                  <c:v>8.3000000000000001E-3</c:v>
                </c:pt>
                <c:pt idx="30">
                  <c:v>1.2200000000000001E-2</c:v>
                </c:pt>
                <c:pt idx="31">
                  <c:v>2.23E-2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371328"/>
        <c:axId val="316372864"/>
      </c:lineChart>
      <c:catAx>
        <c:axId val="31637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6372864"/>
        <c:crosses val="autoZero"/>
        <c:auto val="1"/>
        <c:lblAlgn val="ctr"/>
        <c:lblOffset val="100"/>
        <c:noMultiLvlLbl val="0"/>
      </c:catAx>
      <c:valAx>
        <c:axId val="316372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6371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pool</a:t>
            </a:r>
            <a:r>
              <a:rPr lang="en-US" baseline="0"/>
              <a:t>_curtail cpr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[1]Sheet1!$F$2</c:f>
              <c:strCache>
                <c:ptCount val="1"/>
                <c:pt idx="0">
                  <c:v>v1</c:v>
                </c:pt>
              </c:strCache>
            </c:strRef>
          </c:tx>
          <c:marker>
            <c:symbol val="none"/>
          </c:marker>
          <c:cat>
            <c:numRef>
              <c:f>[1]Sheet1!$E$3:$E$34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[1]Sheet1!$F$3:$F$34</c:f>
              <c:numCache>
                <c:formatCode>General</c:formatCode>
                <c:ptCount val="32"/>
                <c:pt idx="0">
                  <c:v>0</c:v>
                </c:pt>
                <c:pt idx="1">
                  <c:v>0.1103</c:v>
                </c:pt>
                <c:pt idx="2">
                  <c:v>0.1103</c:v>
                </c:pt>
                <c:pt idx="3">
                  <c:v>0.19400000000000001</c:v>
                </c:pt>
                <c:pt idx="4">
                  <c:v>0.2074</c:v>
                </c:pt>
                <c:pt idx="5">
                  <c:v>0.21659999999999999</c:v>
                </c:pt>
                <c:pt idx="6">
                  <c:v>0.2288</c:v>
                </c:pt>
                <c:pt idx="7">
                  <c:v>0.2341</c:v>
                </c:pt>
                <c:pt idx="8">
                  <c:v>0.24790000000000001</c:v>
                </c:pt>
                <c:pt idx="9">
                  <c:v>0.26219999999999999</c:v>
                </c:pt>
                <c:pt idx="10">
                  <c:v>0.26429999999999998</c:v>
                </c:pt>
                <c:pt idx="11">
                  <c:v>0.309</c:v>
                </c:pt>
                <c:pt idx="12">
                  <c:v>0.26879999999999998</c:v>
                </c:pt>
                <c:pt idx="13">
                  <c:v>0.22259999999999999</c:v>
                </c:pt>
                <c:pt idx="14">
                  <c:v>0.20169999999999999</c:v>
                </c:pt>
                <c:pt idx="15">
                  <c:v>0.18290000000000001</c:v>
                </c:pt>
                <c:pt idx="16">
                  <c:v>0.1817</c:v>
                </c:pt>
                <c:pt idx="17">
                  <c:v>0.17630000000000001</c:v>
                </c:pt>
                <c:pt idx="18">
                  <c:v>0.17</c:v>
                </c:pt>
                <c:pt idx="19">
                  <c:v>0.16350000000000001</c:v>
                </c:pt>
                <c:pt idx="20">
                  <c:v>0.15690000000000001</c:v>
                </c:pt>
                <c:pt idx="21">
                  <c:v>0.16009999999999999</c:v>
                </c:pt>
                <c:pt idx="22">
                  <c:v>0.1547</c:v>
                </c:pt>
                <c:pt idx="23">
                  <c:v>0.15559999999999999</c:v>
                </c:pt>
                <c:pt idx="24">
                  <c:v>0.16109999999999999</c:v>
                </c:pt>
                <c:pt idx="25">
                  <c:v>0.1658</c:v>
                </c:pt>
                <c:pt idx="26">
                  <c:v>0.1784</c:v>
                </c:pt>
                <c:pt idx="27">
                  <c:v>0.1888</c:v>
                </c:pt>
                <c:pt idx="28">
                  <c:v>0.19939999999999999</c:v>
                </c:pt>
                <c:pt idx="29">
                  <c:v>0.21060000000000001</c:v>
                </c:pt>
                <c:pt idx="30">
                  <c:v>0.2515</c:v>
                </c:pt>
                <c:pt idx="31">
                  <c:v>0.30780000000000002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[1]Sheet1!$G$2</c:f>
              <c:strCache>
                <c:ptCount val="1"/>
                <c:pt idx="0">
                  <c:v>v2</c:v>
                </c:pt>
              </c:strCache>
            </c:strRef>
          </c:tx>
          <c:marker>
            <c:symbol val="none"/>
          </c:marker>
          <c:cat>
            <c:numRef>
              <c:f>[1]Sheet1!$E$3:$E$34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[1]Sheet1!$G$3:$G$34</c:f>
              <c:numCache>
                <c:formatCode>General</c:formatCode>
                <c:ptCount val="32"/>
                <c:pt idx="0">
                  <c:v>0</c:v>
                </c:pt>
                <c:pt idx="1">
                  <c:v>0.10829999999999999</c:v>
                </c:pt>
                <c:pt idx="2">
                  <c:v>0.10829999999999999</c:v>
                </c:pt>
                <c:pt idx="3">
                  <c:v>0.1925</c:v>
                </c:pt>
                <c:pt idx="4">
                  <c:v>0.19969999999999999</c:v>
                </c:pt>
                <c:pt idx="5">
                  <c:v>0.20930000000000001</c:v>
                </c:pt>
                <c:pt idx="6">
                  <c:v>0.22559999999999999</c:v>
                </c:pt>
                <c:pt idx="7">
                  <c:v>0.2319</c:v>
                </c:pt>
                <c:pt idx="8">
                  <c:v>0.24540000000000001</c:v>
                </c:pt>
                <c:pt idx="9">
                  <c:v>0.26169999999999999</c:v>
                </c:pt>
                <c:pt idx="10">
                  <c:v>0.26319999999999999</c:v>
                </c:pt>
                <c:pt idx="11">
                  <c:v>0.30420000000000003</c:v>
                </c:pt>
                <c:pt idx="12">
                  <c:v>0.26269999999999999</c:v>
                </c:pt>
                <c:pt idx="13">
                  <c:v>0.2175</c:v>
                </c:pt>
                <c:pt idx="14">
                  <c:v>0.1978</c:v>
                </c:pt>
                <c:pt idx="15">
                  <c:v>0.18060000000000001</c:v>
                </c:pt>
                <c:pt idx="16">
                  <c:v>0.17910000000000001</c:v>
                </c:pt>
                <c:pt idx="17">
                  <c:v>0.17469999999999999</c:v>
                </c:pt>
                <c:pt idx="18">
                  <c:v>0.1681</c:v>
                </c:pt>
                <c:pt idx="19">
                  <c:v>0.16170000000000001</c:v>
                </c:pt>
                <c:pt idx="20">
                  <c:v>0.15579999999999999</c:v>
                </c:pt>
                <c:pt idx="21">
                  <c:v>0.1583</c:v>
                </c:pt>
                <c:pt idx="22">
                  <c:v>0.15340000000000001</c:v>
                </c:pt>
                <c:pt idx="23">
                  <c:v>0.15340000000000001</c:v>
                </c:pt>
                <c:pt idx="24">
                  <c:v>0.15690000000000001</c:v>
                </c:pt>
                <c:pt idx="25">
                  <c:v>0.16370000000000001</c:v>
                </c:pt>
                <c:pt idx="26">
                  <c:v>0.1769</c:v>
                </c:pt>
                <c:pt idx="27">
                  <c:v>0.18779999999999999</c:v>
                </c:pt>
                <c:pt idx="28">
                  <c:v>0.1988</c:v>
                </c:pt>
                <c:pt idx="29">
                  <c:v>0.21010000000000001</c:v>
                </c:pt>
                <c:pt idx="30">
                  <c:v>0.25019999999999998</c:v>
                </c:pt>
                <c:pt idx="31">
                  <c:v>0.30740000000000001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382208"/>
        <c:axId val="316388096"/>
      </c:lineChart>
      <c:catAx>
        <c:axId val="31638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6388096"/>
        <c:crosses val="autoZero"/>
        <c:auto val="1"/>
        <c:lblAlgn val="ctr"/>
        <c:lblOffset val="100"/>
        <c:noMultiLvlLbl val="0"/>
      </c:catAx>
      <c:valAx>
        <c:axId val="316388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6382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Curtail_FullPayoff!$D$1</c:f>
              <c:strCache>
                <c:ptCount val="1"/>
                <c:pt idx="0">
                  <c:v>fullpayoff</c:v>
                </c:pt>
              </c:strCache>
            </c:strRef>
          </c:tx>
          <c:marker>
            <c:symbol val="none"/>
          </c:marker>
          <c:cat>
            <c:numRef>
              <c:f>Curtail_FullPayoff!$C$2:$C$362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Curtail_FullPayoff!$D$2:$D$362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7.5099289999999999E-2</c:v>
                </c:pt>
                <c:pt idx="326">
                  <c:v>0.28654828999999998</c:v>
                </c:pt>
                <c:pt idx="327">
                  <c:v>0.61330680999999998</c:v>
                </c:pt>
                <c:pt idx="328">
                  <c:v>1.03416456</c:v>
                </c:pt>
                <c:pt idx="329">
                  <c:v>1.5279408999999999</c:v>
                </c:pt>
                <c:pt idx="330">
                  <c:v>2.0736444500000002</c:v>
                </c:pt>
                <c:pt idx="331">
                  <c:v>2.6505925399999999</c:v>
                </c:pt>
                <c:pt idx="332">
                  <c:v>3.2384906899999999</c:v>
                </c:pt>
                <c:pt idx="333">
                  <c:v>3.8174730800000001</c:v>
                </c:pt>
                <c:pt idx="334">
                  <c:v>4.3681050700000004</c:v>
                </c:pt>
                <c:pt idx="335">
                  <c:v>4.8713491900000001</c:v>
                </c:pt>
                <c:pt idx="336">
                  <c:v>5.3084956400000003</c:v>
                </c:pt>
                <c:pt idx="337">
                  <c:v>5.69302697</c:v>
                </c:pt>
                <c:pt idx="338">
                  <c:v>6.0545315899999999</c:v>
                </c:pt>
                <c:pt idx="339">
                  <c:v>6.3985769399999999</c:v>
                </c:pt>
                <c:pt idx="340">
                  <c:v>6.7306477300000003</c:v>
                </c:pt>
                <c:pt idx="341">
                  <c:v>7.0561535700000002</c:v>
                </c:pt>
                <c:pt idx="342">
                  <c:v>7.38043388</c:v>
                </c:pt>
                <c:pt idx="343">
                  <c:v>7.7087598100000001</c:v>
                </c:pt>
                <c:pt idx="344">
                  <c:v>8.0463335300000001</c:v>
                </c:pt>
                <c:pt idx="345">
                  <c:v>8.3982846799999997</c:v>
                </c:pt>
                <c:pt idx="346">
                  <c:v>8.7696642499999999</c:v>
                </c:pt>
                <c:pt idx="347">
                  <c:v>9.1654357999999991</c:v>
                </c:pt>
                <c:pt idx="348">
                  <c:v>9.5904642399999993</c:v>
                </c:pt>
                <c:pt idx="349">
                  <c:v>10.04534791</c:v>
                </c:pt>
                <c:pt idx="350">
                  <c:v>10.52469801</c:v>
                </c:pt>
                <c:pt idx="351">
                  <c:v>11.02435878</c:v>
                </c:pt>
                <c:pt idx="352">
                  <c:v>11.54023757</c:v>
                </c:pt>
                <c:pt idx="353">
                  <c:v>12.068312280000001</c:v>
                </c:pt>
                <c:pt idx="354">
                  <c:v>12.60463725</c:v>
                </c:pt>
                <c:pt idx="355">
                  <c:v>13.1453474</c:v>
                </c:pt>
                <c:pt idx="356">
                  <c:v>13.686660890000001</c:v>
                </c:pt>
                <c:pt idx="357">
                  <c:v>14.22488023</c:v>
                </c:pt>
                <c:pt idx="358">
                  <c:v>14.75639189</c:v>
                </c:pt>
                <c:pt idx="359">
                  <c:v>15.2776645</c:v>
                </c:pt>
                <c:pt idx="360">
                  <c:v>15.78524573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Curtail_FullPayoff!$E$1</c:f>
              <c:strCache>
                <c:ptCount val="1"/>
                <c:pt idx="0">
                  <c:v>curtailment</c:v>
                </c:pt>
              </c:strCache>
            </c:strRef>
          </c:tx>
          <c:marker>
            <c:symbol val="none"/>
          </c:marker>
          <c:cat>
            <c:numRef>
              <c:f>Curtail_FullPayoff!$C$2:$C$362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Curtail_FullPayoff!$E$2:$E$362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0.45044665</c:v>
                </c:pt>
                <c:pt idx="14">
                  <c:v>0.45142409</c:v>
                </c:pt>
                <c:pt idx="15">
                  <c:v>0.45295825000000001</c:v>
                </c:pt>
                <c:pt idx="16">
                  <c:v>0.45497149999999997</c:v>
                </c:pt>
                <c:pt idx="17">
                  <c:v>0.45738617999999998</c:v>
                </c:pt>
                <c:pt idx="18">
                  <c:v>0.46012465000000002</c:v>
                </c:pt>
                <c:pt idx="19">
                  <c:v>0.46310928000000001</c:v>
                </c:pt>
                <c:pt idx="20">
                  <c:v>0.46626242000000001</c:v>
                </c:pt>
                <c:pt idx="21">
                  <c:v>0.46950645000000002</c:v>
                </c:pt>
                <c:pt idx="22">
                  <c:v>0.47276374999999998</c:v>
                </c:pt>
                <c:pt idx="23">
                  <c:v>0.47595671000000001</c:v>
                </c:pt>
                <c:pt idx="24">
                  <c:v>0.47900774000000002</c:v>
                </c:pt>
                <c:pt idx="25">
                  <c:v>0.48202665</c:v>
                </c:pt>
                <c:pt idx="26">
                  <c:v>0.48516797</c:v>
                </c:pt>
                <c:pt idx="27">
                  <c:v>0.48842118000000001</c:v>
                </c:pt>
                <c:pt idx="28">
                  <c:v>0.49177577</c:v>
                </c:pt>
                <c:pt idx="29">
                  <c:v>0.49522121000000002</c:v>
                </c:pt>
                <c:pt idx="30">
                  <c:v>0.49874699</c:v>
                </c:pt>
                <c:pt idx="31">
                  <c:v>0.50234259999999997</c:v>
                </c:pt>
                <c:pt idx="32">
                  <c:v>0.50599751000000004</c:v>
                </c:pt>
                <c:pt idx="33">
                  <c:v>0.50970121999999995</c:v>
                </c:pt>
                <c:pt idx="34">
                  <c:v>0.51344321000000004</c:v>
                </c:pt>
                <c:pt idx="35">
                  <c:v>0.51721298000000004</c:v>
                </c:pt>
                <c:pt idx="36">
                  <c:v>0.52100000000000002</c:v>
                </c:pt>
                <c:pt idx="37">
                  <c:v>0.52484582999999996</c:v>
                </c:pt>
                <c:pt idx="38">
                  <c:v>0.52878831999999998</c:v>
                </c:pt>
                <c:pt idx="39">
                  <c:v>0.53281151000000004</c:v>
                </c:pt>
                <c:pt idx="40">
                  <c:v>0.53689942000000002</c:v>
                </c:pt>
                <c:pt idx="41">
                  <c:v>0.54103608000000003</c:v>
                </c:pt>
                <c:pt idx="42">
                  <c:v>0.54520552</c:v>
                </c:pt>
                <c:pt idx="43">
                  <c:v>0.54939178</c:v>
                </c:pt>
                <c:pt idx="44">
                  <c:v>0.55357889000000005</c:v>
                </c:pt>
                <c:pt idx="45">
                  <c:v>0.55775087999999995</c:v>
                </c:pt>
                <c:pt idx="46">
                  <c:v>0.56189180000000005</c:v>
                </c:pt>
                <c:pt idx="47">
                  <c:v>0.56598568999999999</c:v>
                </c:pt>
                <c:pt idx="48">
                  <c:v>0.57001659000000005</c:v>
                </c:pt>
                <c:pt idx="49">
                  <c:v>0.57401681999999998</c:v>
                </c:pt>
                <c:pt idx="50">
                  <c:v>0.57802909999999996</c:v>
                </c:pt>
                <c:pt idx="51">
                  <c:v>0.58205309999999999</c:v>
                </c:pt>
                <c:pt idx="52">
                  <c:v>0.58608853000000005</c:v>
                </c:pt>
                <c:pt idx="53">
                  <c:v>0.59013504999999999</c:v>
                </c:pt>
                <c:pt idx="54">
                  <c:v>0.59419235999999997</c:v>
                </c:pt>
                <c:pt idx="55">
                  <c:v>0.59826014000000005</c:v>
                </c:pt>
                <c:pt idx="56">
                  <c:v>0.60233806000000001</c:v>
                </c:pt>
                <c:pt idx="57">
                  <c:v>0.60642582</c:v>
                </c:pt>
                <c:pt idx="58">
                  <c:v>0.61052309999999999</c:v>
                </c:pt>
                <c:pt idx="59">
                  <c:v>0.61462958000000001</c:v>
                </c:pt>
                <c:pt idx="60">
                  <c:v>0.61874494999999996</c:v>
                </c:pt>
                <c:pt idx="61">
                  <c:v>0.62286887999999996</c:v>
                </c:pt>
                <c:pt idx="62">
                  <c:v>0.62700107000000005</c:v>
                </c:pt>
                <c:pt idx="63">
                  <c:v>0.63114119999999996</c:v>
                </c:pt>
                <c:pt idx="64">
                  <c:v>0.63528894999999996</c:v>
                </c:pt>
                <c:pt idx="65">
                  <c:v>0.63944400000000001</c:v>
                </c:pt>
                <c:pt idx="66">
                  <c:v>0.64360603999999999</c:v>
                </c:pt>
                <c:pt idx="67">
                  <c:v>0.64777476000000001</c:v>
                </c:pt>
                <c:pt idx="68">
                  <c:v>0.65194982999999995</c:v>
                </c:pt>
                <c:pt idx="69">
                  <c:v>0.65613094999999999</c:v>
                </c:pt>
                <c:pt idx="70">
                  <c:v>0.66031779000000002</c:v>
                </c:pt>
                <c:pt idx="71">
                  <c:v>0.66451004000000002</c:v>
                </c:pt>
                <c:pt idx="72">
                  <c:v>0.66870739000000001</c:v>
                </c:pt>
                <c:pt idx="73">
                  <c:v>0.67290950999999999</c:v>
                </c:pt>
                <c:pt idx="74">
                  <c:v>0.6771161</c:v>
                </c:pt>
                <c:pt idx="75">
                  <c:v>0.68132683999999999</c:v>
                </c:pt>
                <c:pt idx="76">
                  <c:v>0.68554141000000002</c:v>
                </c:pt>
                <c:pt idx="77">
                  <c:v>0.68975949999999997</c:v>
                </c:pt>
                <c:pt idx="78">
                  <c:v>0.69398079000000001</c:v>
                </c:pt>
                <c:pt idx="79">
                  <c:v>0.69820497000000004</c:v>
                </c:pt>
                <c:pt idx="80">
                  <c:v>0.70243171999999998</c:v>
                </c:pt>
                <c:pt idx="81">
                  <c:v>0.70666072999999996</c:v>
                </c:pt>
                <c:pt idx="82">
                  <c:v>0.71089166999999998</c:v>
                </c:pt>
                <c:pt idx="83">
                  <c:v>0.71512425000000002</c:v>
                </c:pt>
                <c:pt idx="84">
                  <c:v>0.71935813000000004</c:v>
                </c:pt>
                <c:pt idx="85">
                  <c:v>0.72359300999999998</c:v>
                </c:pt>
                <c:pt idx="86">
                  <c:v>0.72782857000000001</c:v>
                </c:pt>
                <c:pt idx="87">
                  <c:v>0.73206450000000001</c:v>
                </c:pt>
                <c:pt idx="88">
                  <c:v>0.73630048000000003</c:v>
                </c:pt>
                <c:pt idx="89">
                  <c:v>0.74053619000000004</c:v>
                </c:pt>
                <c:pt idx="90">
                  <c:v>0.74477132999999995</c:v>
                </c:pt>
                <c:pt idx="91">
                  <c:v>0.74900557000000001</c:v>
                </c:pt>
                <c:pt idx="92">
                  <c:v>0.75323861000000003</c:v>
                </c:pt>
                <c:pt idx="93">
                  <c:v>0.75747012000000002</c:v>
                </c:pt>
                <c:pt idx="94">
                  <c:v>0.76169980000000004</c:v>
                </c:pt>
                <c:pt idx="95">
                  <c:v>0.76592733000000002</c:v>
                </c:pt>
                <c:pt idx="96">
                  <c:v>0.77015239000000002</c:v>
                </c:pt>
                <c:pt idx="97">
                  <c:v>0.77437467000000004</c:v>
                </c:pt>
                <c:pt idx="98">
                  <c:v>0.77859385000000003</c:v>
                </c:pt>
                <c:pt idx="99">
                  <c:v>0.78280963000000003</c:v>
                </c:pt>
                <c:pt idx="100">
                  <c:v>0.78702167999999995</c:v>
                </c:pt>
                <c:pt idx="101">
                  <c:v>0.79122970000000004</c:v>
                </c:pt>
                <c:pt idx="102">
                  <c:v>0.79543335999999998</c:v>
                </c:pt>
                <c:pt idx="103">
                  <c:v>0.79963236000000004</c:v>
                </c:pt>
                <c:pt idx="104">
                  <c:v>0.80382637999999995</c:v>
                </c:pt>
                <c:pt idx="105">
                  <c:v>0.80801511000000004</c:v>
                </c:pt>
                <c:pt idx="106">
                  <c:v>0.81219823000000002</c:v>
                </c:pt>
                <c:pt idx="107">
                  <c:v>0.81637543000000001</c:v>
                </c:pt>
                <c:pt idx="108">
                  <c:v>0.82054638999999996</c:v>
                </c:pt>
                <c:pt idx="109">
                  <c:v>0.82471079999999997</c:v>
                </c:pt>
                <c:pt idx="110">
                  <c:v>0.82886835000000003</c:v>
                </c:pt>
                <c:pt idx="111">
                  <c:v>0.83301871999999999</c:v>
                </c:pt>
                <c:pt idx="112">
                  <c:v>0.83716159999999995</c:v>
                </c:pt>
                <c:pt idx="113">
                  <c:v>0.84129668000000002</c:v>
                </c:pt>
                <c:pt idx="114">
                  <c:v>0.84542364000000003</c:v>
                </c:pt>
                <c:pt idx="115">
                  <c:v>0.84954216999999999</c:v>
                </c:pt>
                <c:pt idx="116">
                  <c:v>0.85365195000000005</c:v>
                </c:pt>
                <c:pt idx="117">
                  <c:v>0.85775266999999999</c:v>
                </c:pt>
                <c:pt idx="118">
                  <c:v>0.86184402999999998</c:v>
                </c:pt>
                <c:pt idx="119">
                  <c:v>0.86592570000000002</c:v>
                </c:pt>
                <c:pt idx="120">
                  <c:v>0.86999736000000005</c:v>
                </c:pt>
                <c:pt idx="121">
                  <c:v>0.87405871999999996</c:v>
                </c:pt>
                <c:pt idx="122">
                  <c:v>0.87810946000000001</c:v>
                </c:pt>
                <c:pt idx="123">
                  <c:v>0.88214925</c:v>
                </c:pt>
                <c:pt idx="124">
                  <c:v>0.88617778999999997</c:v>
                </c:pt>
                <c:pt idx="125">
                  <c:v>0.89019477000000002</c:v>
                </c:pt>
                <c:pt idx="126">
                  <c:v>0.89419987999999995</c:v>
                </c:pt>
                <c:pt idx="127">
                  <c:v>0.89819278999999996</c:v>
                </c:pt>
                <c:pt idx="128">
                  <c:v>0.90217320000000001</c:v>
                </c:pt>
                <c:pt idx="129">
                  <c:v>0.90614079000000003</c:v>
                </c:pt>
                <c:pt idx="130">
                  <c:v>0.91009525000000002</c:v>
                </c:pt>
                <c:pt idx="131">
                  <c:v>0.91403626999999998</c:v>
                </c:pt>
                <c:pt idx="132">
                  <c:v>0.91796354000000002</c:v>
                </c:pt>
                <c:pt idx="133">
                  <c:v>0.92187673000000003</c:v>
                </c:pt>
                <c:pt idx="134">
                  <c:v>0.92577555</c:v>
                </c:pt>
                <c:pt idx="135">
                  <c:v>0.92965967000000005</c:v>
                </c:pt>
                <c:pt idx="136">
                  <c:v>0.93352879</c:v>
                </c:pt>
                <c:pt idx="137">
                  <c:v>0.93738259000000002</c:v>
                </c:pt>
                <c:pt idx="138">
                  <c:v>0.94122075999999999</c:v>
                </c:pt>
                <c:pt idx="139">
                  <c:v>0.94504299000000003</c:v>
                </c:pt>
                <c:pt idx="140">
                  <c:v>0.94884895999999996</c:v>
                </c:pt>
                <c:pt idx="141">
                  <c:v>0.95263836000000002</c:v>
                </c:pt>
                <c:pt idx="142">
                  <c:v>0.95641087999999996</c:v>
                </c:pt>
                <c:pt idx="143">
                  <c:v>0.96016619999999997</c:v>
                </c:pt>
                <c:pt idx="144">
                  <c:v>0.96390403000000002</c:v>
                </c:pt>
                <c:pt idx="145">
                  <c:v>0.96762402999999997</c:v>
                </c:pt>
                <c:pt idx="146">
                  <c:v>0.97132589999999996</c:v>
                </c:pt>
                <c:pt idx="147">
                  <c:v>0.97500933000000001</c:v>
                </c:pt>
                <c:pt idx="148">
                  <c:v>0.97867400999999998</c:v>
                </c:pt>
                <c:pt idx="149">
                  <c:v>0.98231961999999995</c:v>
                </c:pt>
                <c:pt idx="150">
                  <c:v>0.98594585000000001</c:v>
                </c:pt>
                <c:pt idx="151">
                  <c:v>0.98955238999999995</c:v>
                </c:pt>
                <c:pt idx="152">
                  <c:v>0.99313892000000004</c:v>
                </c:pt>
                <c:pt idx="153">
                  <c:v>0.99670513999999999</c:v>
                </c:pt>
                <c:pt idx="154">
                  <c:v>1.00025074</c:v>
                </c:pt>
                <c:pt idx="155">
                  <c:v>1.0037753899999999</c:v>
                </c:pt>
                <c:pt idx="156">
                  <c:v>1.00727879</c:v>
                </c:pt>
                <c:pt idx="157">
                  <c:v>1.01076063</c:v>
                </c:pt>
                <c:pt idx="158">
                  <c:v>1.0142205900000001</c:v>
                </c:pt>
                <c:pt idx="159">
                  <c:v>1.0176583699999999</c:v>
                </c:pt>
                <c:pt idx="160">
                  <c:v>1.0210736499999999</c:v>
                </c:pt>
                <c:pt idx="161">
                  <c:v>1.02446612</c:v>
                </c:pt>
                <c:pt idx="162">
                  <c:v>1.0278354599999999</c:v>
                </c:pt>
                <c:pt idx="163">
                  <c:v>1.0311813700000001</c:v>
                </c:pt>
                <c:pt idx="164">
                  <c:v>1.03450354</c:v>
                </c:pt>
                <c:pt idx="165">
                  <c:v>1.0378016400000001</c:v>
                </c:pt>
                <c:pt idx="166">
                  <c:v>1.0410753800000001</c:v>
                </c:pt>
                <c:pt idx="167">
                  <c:v>1.04432444</c:v>
                </c:pt>
                <c:pt idx="168">
                  <c:v>1.0475485</c:v>
                </c:pt>
                <c:pt idx="169">
                  <c:v>1.0507472600000001</c:v>
                </c:pt>
                <c:pt idx="170">
                  <c:v>1.0539204</c:v>
                </c:pt>
                <c:pt idx="171">
                  <c:v>1.05706762</c:v>
                </c:pt>
                <c:pt idx="172">
                  <c:v>1.0601885900000001</c:v>
                </c:pt>
                <c:pt idx="173">
                  <c:v>1.0632830099999999</c:v>
                </c:pt>
                <c:pt idx="174">
                  <c:v>1.0663505799999999</c:v>
                </c:pt>
                <c:pt idx="175">
                  <c:v>1.06939096</c:v>
                </c:pt>
                <c:pt idx="176">
                  <c:v>1.07240387</c:v>
                </c:pt>
                <c:pt idx="177">
                  <c:v>1.0753889700000001</c:v>
                </c:pt>
                <c:pt idx="178">
                  <c:v>1.07834597</c:v>
                </c:pt>
                <c:pt idx="179">
                  <c:v>1.0812745399999999</c:v>
                </c:pt>
                <c:pt idx="180">
                  <c:v>1.08417439</c:v>
                </c:pt>
                <c:pt idx="181">
                  <c:v>1.0869430200000001</c:v>
                </c:pt>
                <c:pt idx="182">
                  <c:v>1.0894883500000001</c:v>
                </c:pt>
                <c:pt idx="183">
                  <c:v>1.0918256200000001</c:v>
                </c:pt>
                <c:pt idx="184">
                  <c:v>1.09397009</c:v>
                </c:pt>
                <c:pt idx="185">
                  <c:v>1.09593702</c:v>
                </c:pt>
                <c:pt idx="186">
                  <c:v>1.0977416600000001</c:v>
                </c:pt>
                <c:pt idx="187">
                  <c:v>1.0993992400000001</c:v>
                </c:pt>
                <c:pt idx="188">
                  <c:v>1.10092503</c:v>
                </c:pt>
                <c:pt idx="189">
                  <c:v>1.1023342599999999</c:v>
                </c:pt>
                <c:pt idx="190">
                  <c:v>1.10364218</c:v>
                </c:pt>
                <c:pt idx="191">
                  <c:v>1.1048640300000001</c:v>
                </c:pt>
                <c:pt idx="192">
                  <c:v>1.10601506</c:v>
                </c:pt>
                <c:pt idx="193">
                  <c:v>1.1071105000000001</c:v>
                </c:pt>
                <c:pt idx="194">
                  <c:v>1.1081656</c:v>
                </c:pt>
                <c:pt idx="195">
                  <c:v>1.1091955899999999</c:v>
                </c:pt>
                <c:pt idx="196">
                  <c:v>1.11021572</c:v>
                </c:pt>
                <c:pt idx="197">
                  <c:v>1.1112412199999999</c:v>
                </c:pt>
                <c:pt idx="198">
                  <c:v>1.11228734</c:v>
                </c:pt>
                <c:pt idx="199">
                  <c:v>1.1133693099999999</c:v>
                </c:pt>
                <c:pt idx="200">
                  <c:v>1.1145023599999999</c:v>
                </c:pt>
                <c:pt idx="201">
                  <c:v>1.11570174</c:v>
                </c:pt>
                <c:pt idx="202">
                  <c:v>1.11698268</c:v>
                </c:pt>
                <c:pt idx="203">
                  <c:v>1.11836041</c:v>
                </c:pt>
                <c:pt idx="204">
                  <c:v>1.1198501599999999</c:v>
                </c:pt>
                <c:pt idx="205">
                  <c:v>1.12146718</c:v>
                </c:pt>
                <c:pt idx="206">
                  <c:v>1.1232266900000001</c:v>
                </c:pt>
                <c:pt idx="207">
                  <c:v>1.12514391</c:v>
                </c:pt>
                <c:pt idx="208">
                  <c:v>1.12723409</c:v>
                </c:pt>
                <c:pt idx="209">
                  <c:v>1.1295124400000001</c:v>
                </c:pt>
                <c:pt idx="210">
                  <c:v>1.13199418</c:v>
                </c:pt>
                <c:pt idx="211">
                  <c:v>1.1346945500000001</c:v>
                </c:pt>
                <c:pt idx="212">
                  <c:v>1.13762875</c:v>
                </c:pt>
                <c:pt idx="213">
                  <c:v>1.1408119999999999</c:v>
                </c:pt>
                <c:pt idx="214">
                  <c:v>1.1442595200000001</c:v>
                </c:pt>
                <c:pt idx="215">
                  <c:v>1.14798651</c:v>
                </c:pt>
                <c:pt idx="216">
                  <c:v>1.1520081799999999</c:v>
                </c:pt>
                <c:pt idx="217">
                  <c:v>1.1563721600000001</c:v>
                </c:pt>
                <c:pt idx="218">
                  <c:v>1.1610994800000001</c:v>
                </c:pt>
                <c:pt idx="219">
                  <c:v>1.1661654299999999</c:v>
                </c:pt>
                <c:pt idx="220">
                  <c:v>1.1715453</c:v>
                </c:pt>
                <c:pt idx="221">
                  <c:v>1.17721437</c:v>
                </c:pt>
                <c:pt idx="222">
                  <c:v>1.18314794</c:v>
                </c:pt>
                <c:pt idx="223">
                  <c:v>1.1893213</c:v>
                </c:pt>
                <c:pt idx="224">
                  <c:v>1.19570976</c:v>
                </c:pt>
                <c:pt idx="225">
                  <c:v>1.20228862</c:v>
                </c:pt>
                <c:pt idx="226">
                  <c:v>1.20903318</c:v>
                </c:pt>
                <c:pt idx="227">
                  <c:v>1.21591877</c:v>
                </c:pt>
                <c:pt idx="228">
                  <c:v>1.2229207</c:v>
                </c:pt>
                <c:pt idx="229">
                  <c:v>1.2300142999999999</c:v>
                </c:pt>
                <c:pt idx="230">
                  <c:v>1.2371748899999999</c:v>
                </c:pt>
                <c:pt idx="231">
                  <c:v>1.2443778299999999</c:v>
                </c:pt>
                <c:pt idx="232">
                  <c:v>1.2515984600000001</c:v>
                </c:pt>
                <c:pt idx="233">
                  <c:v>1.25881212</c:v>
                </c:pt>
                <c:pt idx="234">
                  <c:v>1.2659941699999999</c:v>
                </c:pt>
                <c:pt idx="235">
                  <c:v>1.2731199900000001</c:v>
                </c:pt>
                <c:pt idx="236">
                  <c:v>1.2801649399999999</c:v>
                </c:pt>
                <c:pt idx="237">
                  <c:v>1.2871044</c:v>
                </c:pt>
                <c:pt idx="238">
                  <c:v>1.29391375</c:v>
                </c:pt>
                <c:pt idx="239">
                  <c:v>1.3005683800000001</c:v>
                </c:pt>
                <c:pt idx="240">
                  <c:v>1.3070436999999999</c:v>
                </c:pt>
                <c:pt idx="241">
                  <c:v>1.3129854400000001</c:v>
                </c:pt>
                <c:pt idx="242">
                  <c:v>1.3181310500000001</c:v>
                </c:pt>
                <c:pt idx="243">
                  <c:v>1.3225933999999999</c:v>
                </c:pt>
                <c:pt idx="244">
                  <c:v>1.32648531</c:v>
                </c:pt>
                <c:pt idx="245">
                  <c:v>1.3299196099999999</c:v>
                </c:pt>
                <c:pt idx="246">
                  <c:v>1.33300909</c:v>
                </c:pt>
                <c:pt idx="247">
                  <c:v>1.33586651</c:v>
                </c:pt>
                <c:pt idx="248">
                  <c:v>1.33860464</c:v>
                </c:pt>
                <c:pt idx="249">
                  <c:v>1.34133623</c:v>
                </c:pt>
                <c:pt idx="250">
                  <c:v>1.3441740099999999</c:v>
                </c:pt>
                <c:pt idx="251">
                  <c:v>1.3472307100000001</c:v>
                </c:pt>
                <c:pt idx="252">
                  <c:v>1.3506190300000001</c:v>
                </c:pt>
                <c:pt idx="253">
                  <c:v>1.35445167</c:v>
                </c:pt>
                <c:pt idx="254">
                  <c:v>1.3588412999999999</c:v>
                </c:pt>
                <c:pt idx="255">
                  <c:v>1.36390057</c:v>
                </c:pt>
                <c:pt idx="256">
                  <c:v>1.3697421000000001</c:v>
                </c:pt>
                <c:pt idx="257">
                  <c:v>1.37647845</c:v>
                </c:pt>
                <c:pt idx="258">
                  <c:v>1.38422215</c:v>
                </c:pt>
                <c:pt idx="259">
                  <c:v>1.3930856700000001</c:v>
                </c:pt>
                <c:pt idx="260">
                  <c:v>1.40318141</c:v>
                </c:pt>
                <c:pt idx="261">
                  <c:v>1.4146216700000001</c:v>
                </c:pt>
                <c:pt idx="262">
                  <c:v>1.4275186900000001</c:v>
                </c:pt>
                <c:pt idx="263">
                  <c:v>1.4419845600000001</c:v>
                </c:pt>
                <c:pt idx="264">
                  <c:v>1.45813127</c:v>
                </c:pt>
                <c:pt idx="265">
                  <c:v>1.4752985999999999</c:v>
                </c:pt>
                <c:pt idx="266">
                  <c:v>1.4927519199999999</c:v>
                </c:pt>
                <c:pt idx="267">
                  <c:v>1.5104914899999999</c:v>
                </c:pt>
                <c:pt idx="268">
                  <c:v>1.5285175799999999</c:v>
                </c:pt>
                <c:pt idx="269">
                  <c:v>1.5468304399999999</c:v>
                </c:pt>
                <c:pt idx="270">
                  <c:v>1.5654303300000001</c:v>
                </c:pt>
                <c:pt idx="271">
                  <c:v>1.5843175199999999</c:v>
                </c:pt>
                <c:pt idx="272">
                  <c:v>1.60349224</c:v>
                </c:pt>
                <c:pt idx="273">
                  <c:v>1.6229547600000001</c:v>
                </c:pt>
                <c:pt idx="274">
                  <c:v>1.64270531</c:v>
                </c:pt>
                <c:pt idx="275">
                  <c:v>1.66274415</c:v>
                </c:pt>
                <c:pt idx="276">
                  <c:v>1.68307151</c:v>
                </c:pt>
                <c:pt idx="277">
                  <c:v>1.7036876299999999</c:v>
                </c:pt>
                <c:pt idx="278">
                  <c:v>1.72459275</c:v>
                </c:pt>
                <c:pt idx="279">
                  <c:v>1.74578711</c:v>
                </c:pt>
                <c:pt idx="280">
                  <c:v>1.76727094</c:v>
                </c:pt>
                <c:pt idx="281">
                  <c:v>1.78904445</c:v>
                </c:pt>
                <c:pt idx="282">
                  <c:v>1.8111078899999999</c:v>
                </c:pt>
                <c:pt idx="283">
                  <c:v>1.83346147</c:v>
                </c:pt>
                <c:pt idx="284">
                  <c:v>1.85610542</c:v>
                </c:pt>
                <c:pt idx="285">
                  <c:v>1.87903994</c:v>
                </c:pt>
                <c:pt idx="286">
                  <c:v>1.90226527</c:v>
                </c:pt>
                <c:pt idx="287">
                  <c:v>1.9257816000000001</c:v>
                </c:pt>
                <c:pt idx="288">
                  <c:v>1.94958915</c:v>
                </c:pt>
                <c:pt idx="289">
                  <c:v>1.97368813</c:v>
                </c:pt>
                <c:pt idx="290">
                  <c:v>1.99807874</c:v>
                </c:pt>
                <c:pt idx="291">
                  <c:v>2.0227611799999998</c:v>
                </c:pt>
                <c:pt idx="292">
                  <c:v>2.0477356499999999</c:v>
                </c:pt>
                <c:pt idx="293">
                  <c:v>2.0730023399999999</c:v>
                </c:pt>
                <c:pt idx="294">
                  <c:v>2.09856146</c:v>
                </c:pt>
                <c:pt idx="295">
                  <c:v>2.1244131799999999</c:v>
                </c:pt>
                <c:pt idx="296">
                  <c:v>2.1505577100000002</c:v>
                </c:pt>
                <c:pt idx="297">
                  <c:v>2.1769952099999998</c:v>
                </c:pt>
                <c:pt idx="298">
                  <c:v>2.2037258799999999</c:v>
                </c:pt>
                <c:pt idx="299">
                  <c:v>2.2307498899999998</c:v>
                </c:pt>
                <c:pt idx="300">
                  <c:v>2.2580674100000002</c:v>
                </c:pt>
                <c:pt idx="301">
                  <c:v>2.28567864</c:v>
                </c:pt>
                <c:pt idx="302">
                  <c:v>2.31358372</c:v>
                </c:pt>
                <c:pt idx="303">
                  <c:v>2.3417828300000001</c:v>
                </c:pt>
                <c:pt idx="304">
                  <c:v>2.3702761400000001</c:v>
                </c:pt>
                <c:pt idx="305">
                  <c:v>2.3990638099999999</c:v>
                </c:pt>
                <c:pt idx="306">
                  <c:v>2.42814599</c:v>
                </c:pt>
                <c:pt idx="307">
                  <c:v>2.4575228500000001</c:v>
                </c:pt>
                <c:pt idx="308">
                  <c:v>2.48719453</c:v>
                </c:pt>
                <c:pt idx="309">
                  <c:v>2.51716118</c:v>
                </c:pt>
                <c:pt idx="310">
                  <c:v>2.54742296</c:v>
                </c:pt>
                <c:pt idx="311">
                  <c:v>2.5779800100000001</c:v>
                </c:pt>
                <c:pt idx="312">
                  <c:v>2.6088324599999999</c:v>
                </c:pt>
                <c:pt idx="313">
                  <c:v>2.6399804699999998</c:v>
                </c:pt>
                <c:pt idx="314">
                  <c:v>2.6714241599999999</c:v>
                </c:pt>
                <c:pt idx="315">
                  <c:v>2.70316366</c:v>
                </c:pt>
                <c:pt idx="316">
                  <c:v>2.7351991099999999</c:v>
                </c:pt>
                <c:pt idx="317">
                  <c:v>2.76753063</c:v>
                </c:pt>
                <c:pt idx="318">
                  <c:v>2.8001583499999998</c:v>
                </c:pt>
                <c:pt idx="319">
                  <c:v>2.83308239</c:v>
                </c:pt>
                <c:pt idx="320">
                  <c:v>2.8663028599999998</c:v>
                </c:pt>
                <c:pt idx="321">
                  <c:v>2.8998198899999998</c:v>
                </c:pt>
                <c:pt idx="322">
                  <c:v>2.93363357</c:v>
                </c:pt>
                <c:pt idx="323">
                  <c:v>2.96774403</c:v>
                </c:pt>
                <c:pt idx="324">
                  <c:v>3.00215136</c:v>
                </c:pt>
                <c:pt idx="325">
                  <c:v>3.03685567</c:v>
                </c:pt>
                <c:pt idx="326">
                  <c:v>3.0718570600000001</c:v>
                </c:pt>
                <c:pt idx="327">
                  <c:v>3.1071556199999999</c:v>
                </c:pt>
                <c:pt idx="328">
                  <c:v>3.1427514599999999</c:v>
                </c:pt>
                <c:pt idx="329">
                  <c:v>3.1786446499999998</c:v>
                </c:pt>
                <c:pt idx="330">
                  <c:v>3.2148352999999998</c:v>
                </c:pt>
                <c:pt idx="331">
                  <c:v>3.25132347</c:v>
                </c:pt>
                <c:pt idx="332">
                  <c:v>3.2881092600000001</c:v>
                </c:pt>
                <c:pt idx="333">
                  <c:v>3.3251927299999999</c:v>
                </c:pt>
                <c:pt idx="334">
                  <c:v>3.3625739800000001</c:v>
                </c:pt>
                <c:pt idx="335">
                  <c:v>3.4002530599999998</c:v>
                </c:pt>
                <c:pt idx="336">
                  <c:v>3.43823005</c:v>
                </c:pt>
                <c:pt idx="337">
                  <c:v>3.47813777</c:v>
                </c:pt>
                <c:pt idx="338">
                  <c:v>3.5212854899999999</c:v>
                </c:pt>
                <c:pt idx="339">
                  <c:v>3.5671883700000002</c:v>
                </c:pt>
                <c:pt idx="340">
                  <c:v>3.6153621399999998</c:v>
                </c:pt>
                <c:pt idx="341">
                  <c:v>3.6653232400000002</c:v>
                </c:pt>
                <c:pt idx="342">
                  <c:v>3.7165889299999999</c:v>
                </c:pt>
                <c:pt idx="343">
                  <c:v>3.7686773200000001</c:v>
                </c:pt>
                <c:pt idx="344">
                  <c:v>3.8211074599999999</c:v>
                </c:pt>
                <c:pt idx="345">
                  <c:v>3.8733993600000001</c:v>
                </c:pt>
                <c:pt idx="346">
                  <c:v>3.9250739600000002</c:v>
                </c:pt>
                <c:pt idx="347">
                  <c:v>3.9756531599999998</c:v>
                </c:pt>
                <c:pt idx="348">
                  <c:v>4.0246597399999997</c:v>
                </c:pt>
                <c:pt idx="349">
                  <c:v>4.0726029300000004</c:v>
                </c:pt>
                <c:pt idx="350">
                  <c:v>4.1203285200000002</c:v>
                </c:pt>
                <c:pt idx="351">
                  <c:v>4.1678647299999998</c:v>
                </c:pt>
                <c:pt idx="352">
                  <c:v>4.2152397099999996</c:v>
                </c:pt>
                <c:pt idx="353">
                  <c:v>4.2624815800000002</c:v>
                </c:pt>
                <c:pt idx="354">
                  <c:v>4.3096183899999998</c:v>
                </c:pt>
                <c:pt idx="355">
                  <c:v>4.3566781499999996</c:v>
                </c:pt>
                <c:pt idx="356">
                  <c:v>4.4036888200000002</c:v>
                </c:pt>
                <c:pt idx="357">
                  <c:v>4.4506783199999997</c:v>
                </c:pt>
                <c:pt idx="358">
                  <c:v>4.4976744799999997</c:v>
                </c:pt>
                <c:pt idx="359">
                  <c:v>4.5447051299999996</c:v>
                </c:pt>
                <c:pt idx="360">
                  <c:v>4.5917980199999997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030336"/>
        <c:axId val="316512896"/>
      </c:lineChart>
      <c:catAx>
        <c:axId val="27203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6512896"/>
        <c:crosses val="autoZero"/>
        <c:auto val="1"/>
        <c:lblAlgn val="ctr"/>
        <c:lblOffset val="100"/>
        <c:noMultiLvlLbl val="0"/>
      </c:catAx>
      <c:valAx>
        <c:axId val="316512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2030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500061</xdr:colOff>
      <xdr:row>24</xdr:row>
      <xdr:rowOff>4762</xdr:rowOff>
    </xdr:from>
    <xdr:to>
      <xdr:col>31</xdr:col>
      <xdr:colOff>9524</xdr:colOff>
      <xdr:row>45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47624</xdr:colOff>
      <xdr:row>11</xdr:row>
      <xdr:rowOff>138110</xdr:rowOff>
    </xdr:from>
    <xdr:to>
      <xdr:col>28</xdr:col>
      <xdr:colOff>304799</xdr:colOff>
      <xdr:row>40</xdr:row>
      <xdr:rowOff>100010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119061</xdr:colOff>
      <xdr:row>45</xdr:row>
      <xdr:rowOff>4760</xdr:rowOff>
    </xdr:from>
    <xdr:to>
      <xdr:col>28</xdr:col>
      <xdr:colOff>376236</xdr:colOff>
      <xdr:row>73</xdr:row>
      <xdr:rowOff>157160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185737</xdr:colOff>
      <xdr:row>75</xdr:row>
      <xdr:rowOff>100011</xdr:rowOff>
    </xdr:from>
    <xdr:to>
      <xdr:col>28</xdr:col>
      <xdr:colOff>333375</xdr:colOff>
      <xdr:row>99</xdr:row>
      <xdr:rowOff>85724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228600</xdr:colOff>
      <xdr:row>31</xdr:row>
      <xdr:rowOff>100012</xdr:rowOff>
    </xdr:from>
    <xdr:to>
      <xdr:col>37</xdr:col>
      <xdr:colOff>500062</xdr:colOff>
      <xdr:row>45</xdr:row>
      <xdr:rowOff>176212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538162</xdr:colOff>
      <xdr:row>5</xdr:row>
      <xdr:rowOff>90487</xdr:rowOff>
    </xdr:from>
    <xdr:to>
      <xdr:col>19</xdr:col>
      <xdr:colOff>233362</xdr:colOff>
      <xdr:row>19</xdr:row>
      <xdr:rowOff>166687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538162</xdr:colOff>
      <xdr:row>21</xdr:row>
      <xdr:rowOff>42862</xdr:rowOff>
    </xdr:from>
    <xdr:to>
      <xdr:col>19</xdr:col>
      <xdr:colOff>233362</xdr:colOff>
      <xdr:row>35</xdr:row>
      <xdr:rowOff>119062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547687</xdr:colOff>
      <xdr:row>2</xdr:row>
      <xdr:rowOff>71437</xdr:rowOff>
    </xdr:from>
    <xdr:to>
      <xdr:col>19</xdr:col>
      <xdr:colOff>485775</xdr:colOff>
      <xdr:row>16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B2" t="str">
            <v>v1</v>
          </cell>
          <cell r="C2" t="str">
            <v>v2</v>
          </cell>
          <cell r="F2" t="str">
            <v>v1</v>
          </cell>
          <cell r="G2" t="str">
            <v>v2</v>
          </cell>
        </row>
        <row r="3">
          <cell r="A3">
            <v>0</v>
          </cell>
          <cell r="B3">
            <v>0</v>
          </cell>
          <cell r="C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A4">
            <v>6</v>
          </cell>
          <cell r="B4">
            <v>6.0000000000000001E-3</v>
          </cell>
          <cell r="C4">
            <v>6.0000000000000001E-3</v>
          </cell>
          <cell r="E4">
            <v>6</v>
          </cell>
          <cell r="F4">
            <v>0.1103</v>
          </cell>
          <cell r="G4">
            <v>0.10829999999999999</v>
          </cell>
        </row>
        <row r="5">
          <cell r="A5">
            <v>12</v>
          </cell>
          <cell r="B5">
            <v>6.0000000000000001E-3</v>
          </cell>
          <cell r="C5">
            <v>6.0000000000000001E-3</v>
          </cell>
          <cell r="E5">
            <v>12</v>
          </cell>
          <cell r="F5">
            <v>0.1103</v>
          </cell>
          <cell r="G5">
            <v>0.10829999999999999</v>
          </cell>
        </row>
        <row r="6">
          <cell r="A6">
            <v>24</v>
          </cell>
          <cell r="B6">
            <v>5.1999999999999998E-3</v>
          </cell>
          <cell r="C6">
            <v>5.1000000000000004E-3</v>
          </cell>
          <cell r="E6">
            <v>24</v>
          </cell>
          <cell r="F6">
            <v>0.19400000000000001</v>
          </cell>
          <cell r="G6">
            <v>0.1925</v>
          </cell>
        </row>
        <row r="7">
          <cell r="A7">
            <v>36</v>
          </cell>
          <cell r="B7">
            <v>5.1999999999999998E-3</v>
          </cell>
          <cell r="C7">
            <v>5.1000000000000004E-3</v>
          </cell>
          <cell r="E7">
            <v>36</v>
          </cell>
          <cell r="F7">
            <v>0.2074</v>
          </cell>
          <cell r="G7">
            <v>0.19969999999999999</v>
          </cell>
        </row>
        <row r="8">
          <cell r="A8">
            <v>48</v>
          </cell>
          <cell r="B8">
            <v>5.1000000000000004E-3</v>
          </cell>
          <cell r="C8">
            <v>5.1000000000000004E-3</v>
          </cell>
          <cell r="E8">
            <v>48</v>
          </cell>
          <cell r="F8">
            <v>0.21659999999999999</v>
          </cell>
          <cell r="G8">
            <v>0.20930000000000001</v>
          </cell>
        </row>
        <row r="9">
          <cell r="A9">
            <v>60</v>
          </cell>
          <cell r="B9">
            <v>5.0000000000000001E-3</v>
          </cell>
          <cell r="C9">
            <v>5.1000000000000004E-3</v>
          </cell>
          <cell r="E9">
            <v>60</v>
          </cell>
          <cell r="F9">
            <v>0.2288</v>
          </cell>
          <cell r="G9">
            <v>0.22559999999999999</v>
          </cell>
        </row>
        <row r="10">
          <cell r="A10">
            <v>72</v>
          </cell>
          <cell r="B10">
            <v>4.8999999999999998E-3</v>
          </cell>
          <cell r="C10">
            <v>5.1000000000000004E-3</v>
          </cell>
          <cell r="E10">
            <v>72</v>
          </cell>
          <cell r="F10">
            <v>0.2341</v>
          </cell>
          <cell r="G10">
            <v>0.2319</v>
          </cell>
        </row>
        <row r="11">
          <cell r="A11">
            <v>84</v>
          </cell>
          <cell r="B11">
            <v>4.4999999999999997E-3</v>
          </cell>
          <cell r="C11">
            <v>5.1000000000000004E-3</v>
          </cell>
          <cell r="E11">
            <v>84</v>
          </cell>
          <cell r="F11">
            <v>0.24790000000000001</v>
          </cell>
          <cell r="G11">
            <v>0.24540000000000001</v>
          </cell>
        </row>
        <row r="12">
          <cell r="A12">
            <v>96</v>
          </cell>
          <cell r="B12">
            <v>4.7000000000000002E-3</v>
          </cell>
          <cell r="C12">
            <v>4.7000000000000002E-3</v>
          </cell>
          <cell r="E12">
            <v>96</v>
          </cell>
          <cell r="F12">
            <v>0.26219999999999999</v>
          </cell>
          <cell r="G12">
            <v>0.26169999999999999</v>
          </cell>
        </row>
        <row r="13">
          <cell r="A13">
            <v>108</v>
          </cell>
          <cell r="B13">
            <v>4.7999999999999996E-3</v>
          </cell>
          <cell r="C13">
            <v>4.7999999999999996E-3</v>
          </cell>
          <cell r="E13">
            <v>108</v>
          </cell>
          <cell r="F13">
            <v>0.26429999999999998</v>
          </cell>
          <cell r="G13">
            <v>0.26319999999999999</v>
          </cell>
        </row>
        <row r="14">
          <cell r="A14">
            <v>120</v>
          </cell>
          <cell r="B14">
            <v>5.3E-3</v>
          </cell>
          <cell r="C14">
            <v>5.1000000000000004E-3</v>
          </cell>
          <cell r="E14">
            <v>120</v>
          </cell>
          <cell r="F14">
            <v>0.309</v>
          </cell>
          <cell r="G14">
            <v>0.30420000000000003</v>
          </cell>
        </row>
        <row r="15">
          <cell r="A15">
            <v>132</v>
          </cell>
          <cell r="B15">
            <v>6.7999999999999996E-3</v>
          </cell>
          <cell r="C15">
            <v>5.8999999999999999E-3</v>
          </cell>
          <cell r="E15">
            <v>132</v>
          </cell>
          <cell r="F15">
            <v>0.26879999999999998</v>
          </cell>
          <cell r="G15">
            <v>0.26269999999999999</v>
          </cell>
        </row>
        <row r="16">
          <cell r="A16">
            <v>144</v>
          </cell>
          <cell r="B16">
            <v>6.7000000000000002E-3</v>
          </cell>
          <cell r="C16">
            <v>6.6E-3</v>
          </cell>
          <cell r="E16">
            <v>144</v>
          </cell>
          <cell r="F16">
            <v>0.22259999999999999</v>
          </cell>
          <cell r="G16">
            <v>0.2175</v>
          </cell>
        </row>
        <row r="17">
          <cell r="A17">
            <v>156</v>
          </cell>
          <cell r="B17">
            <v>8.3000000000000001E-3</v>
          </cell>
          <cell r="C17">
            <v>7.4000000000000003E-3</v>
          </cell>
          <cell r="E17">
            <v>156</v>
          </cell>
          <cell r="F17">
            <v>0.20169999999999999</v>
          </cell>
          <cell r="G17">
            <v>0.1978</v>
          </cell>
        </row>
        <row r="18">
          <cell r="A18">
            <v>168</v>
          </cell>
          <cell r="B18">
            <v>8.2000000000000007E-3</v>
          </cell>
          <cell r="C18">
            <v>7.4000000000000003E-3</v>
          </cell>
          <cell r="E18">
            <v>168</v>
          </cell>
          <cell r="F18">
            <v>0.18290000000000001</v>
          </cell>
          <cell r="G18">
            <v>0.18060000000000001</v>
          </cell>
        </row>
        <row r="19">
          <cell r="A19">
            <v>180</v>
          </cell>
          <cell r="B19">
            <v>8.8999999999999999E-3</v>
          </cell>
          <cell r="C19">
            <v>8.6999999999999994E-3</v>
          </cell>
          <cell r="E19">
            <v>180</v>
          </cell>
          <cell r="F19">
            <v>0.1817</v>
          </cell>
          <cell r="G19">
            <v>0.17910000000000001</v>
          </cell>
        </row>
        <row r="20">
          <cell r="A20">
            <v>192</v>
          </cell>
          <cell r="B20">
            <v>9.1000000000000004E-3</v>
          </cell>
          <cell r="C20">
            <v>8.6E-3</v>
          </cell>
          <cell r="E20">
            <v>192</v>
          </cell>
          <cell r="F20">
            <v>0.17630000000000001</v>
          </cell>
          <cell r="G20">
            <v>0.17469999999999999</v>
          </cell>
        </row>
        <row r="21">
          <cell r="A21">
            <v>204</v>
          </cell>
          <cell r="B21">
            <v>9.2999999999999992E-3</v>
          </cell>
          <cell r="C21">
            <v>9.1999999999999998E-3</v>
          </cell>
          <cell r="E21">
            <v>204</v>
          </cell>
          <cell r="F21">
            <v>0.17</v>
          </cell>
          <cell r="G21">
            <v>0.1681</v>
          </cell>
        </row>
        <row r="22">
          <cell r="A22">
            <v>216</v>
          </cell>
          <cell r="B22">
            <v>1.11E-2</v>
          </cell>
          <cell r="C22">
            <v>9.9000000000000008E-3</v>
          </cell>
          <cell r="E22">
            <v>216</v>
          </cell>
          <cell r="F22">
            <v>0.16350000000000001</v>
          </cell>
          <cell r="G22">
            <v>0.16170000000000001</v>
          </cell>
        </row>
        <row r="23">
          <cell r="A23">
            <v>228</v>
          </cell>
          <cell r="B23">
            <v>1.11E-2</v>
          </cell>
          <cell r="C23">
            <v>1.04E-2</v>
          </cell>
          <cell r="E23">
            <v>228</v>
          </cell>
          <cell r="F23">
            <v>0.15690000000000001</v>
          </cell>
          <cell r="G23">
            <v>0.15579999999999999</v>
          </cell>
        </row>
        <row r="24">
          <cell r="A24">
            <v>240</v>
          </cell>
          <cell r="B24">
            <v>1.21E-2</v>
          </cell>
          <cell r="C24">
            <v>1.14E-2</v>
          </cell>
          <cell r="E24">
            <v>240</v>
          </cell>
          <cell r="F24">
            <v>0.16009999999999999</v>
          </cell>
          <cell r="G24">
            <v>0.1583</v>
          </cell>
        </row>
        <row r="25">
          <cell r="A25">
            <v>252</v>
          </cell>
          <cell r="B25">
            <v>1.55E-2</v>
          </cell>
          <cell r="C25">
            <v>1.44E-2</v>
          </cell>
          <cell r="E25">
            <v>252</v>
          </cell>
          <cell r="F25">
            <v>0.1547</v>
          </cell>
          <cell r="G25">
            <v>0.15340000000000001</v>
          </cell>
        </row>
        <row r="26">
          <cell r="A26">
            <v>264</v>
          </cell>
          <cell r="B26">
            <v>1.29E-2</v>
          </cell>
          <cell r="C26">
            <v>1.34E-2</v>
          </cell>
          <cell r="E26">
            <v>264</v>
          </cell>
          <cell r="F26">
            <v>0.15559999999999999</v>
          </cell>
          <cell r="G26">
            <v>0.15340000000000001</v>
          </cell>
        </row>
        <row r="27">
          <cell r="A27">
            <v>276</v>
          </cell>
          <cell r="B27">
            <v>1.06E-2</v>
          </cell>
          <cell r="C27">
            <v>1.2999999999999999E-2</v>
          </cell>
          <cell r="E27">
            <v>276</v>
          </cell>
          <cell r="F27">
            <v>0.16109999999999999</v>
          </cell>
          <cell r="G27">
            <v>0.15690000000000001</v>
          </cell>
        </row>
        <row r="28">
          <cell r="A28">
            <v>288</v>
          </cell>
          <cell r="B28">
            <v>3.8E-3</v>
          </cell>
          <cell r="C28">
            <v>1.01E-2</v>
          </cell>
          <cell r="E28">
            <v>288</v>
          </cell>
          <cell r="F28">
            <v>0.1658</v>
          </cell>
          <cell r="G28">
            <v>0.16370000000000001</v>
          </cell>
        </row>
        <row r="29">
          <cell r="A29">
            <v>300</v>
          </cell>
          <cell r="B29">
            <v>5.1999999999999998E-3</v>
          </cell>
          <cell r="C29">
            <v>5.1999999999999998E-3</v>
          </cell>
          <cell r="E29">
            <v>300</v>
          </cell>
          <cell r="F29">
            <v>0.1784</v>
          </cell>
          <cell r="G29">
            <v>0.1769</v>
          </cell>
        </row>
        <row r="30">
          <cell r="A30">
            <v>312</v>
          </cell>
          <cell r="B30">
            <v>8.3999999999999995E-3</v>
          </cell>
          <cell r="C30">
            <v>6.4000000000000003E-3</v>
          </cell>
          <cell r="E30">
            <v>312</v>
          </cell>
          <cell r="F30">
            <v>0.1888</v>
          </cell>
          <cell r="G30">
            <v>0.18779999999999999</v>
          </cell>
        </row>
        <row r="31">
          <cell r="A31">
            <v>324</v>
          </cell>
          <cell r="B31">
            <v>5.0000000000000001E-3</v>
          </cell>
          <cell r="C31">
            <v>7.7999999999999996E-3</v>
          </cell>
          <cell r="E31">
            <v>324</v>
          </cell>
          <cell r="F31">
            <v>0.19939999999999999</v>
          </cell>
          <cell r="G31">
            <v>0.1988</v>
          </cell>
        </row>
        <row r="32">
          <cell r="A32">
            <v>336</v>
          </cell>
          <cell r="B32">
            <v>8.0000000000000002E-3</v>
          </cell>
          <cell r="C32">
            <v>8.3000000000000001E-3</v>
          </cell>
          <cell r="E32">
            <v>336</v>
          </cell>
          <cell r="F32">
            <v>0.21060000000000001</v>
          </cell>
          <cell r="G32">
            <v>0.21010000000000001</v>
          </cell>
        </row>
        <row r="33">
          <cell r="A33">
            <v>348</v>
          </cell>
          <cell r="B33">
            <v>4.3E-3</v>
          </cell>
          <cell r="C33">
            <v>1.2200000000000001E-2</v>
          </cell>
          <cell r="E33">
            <v>348</v>
          </cell>
          <cell r="F33">
            <v>0.2515</v>
          </cell>
          <cell r="G33">
            <v>0.25019999999999998</v>
          </cell>
        </row>
        <row r="34">
          <cell r="A34">
            <v>360</v>
          </cell>
          <cell r="B34">
            <v>1.6E-2</v>
          </cell>
          <cell r="C34">
            <v>2.23E-2</v>
          </cell>
          <cell r="E34">
            <v>360</v>
          </cell>
          <cell r="F34">
            <v>0.30780000000000002</v>
          </cell>
          <cell r="G34">
            <v>0.30740000000000001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"/>
  <sheetViews>
    <sheetView workbookViewId="0">
      <selection activeCell="B62" sqref="B62"/>
    </sheetView>
  </sheetViews>
  <sheetFormatPr defaultRowHeight="15" x14ac:dyDescent="0.25"/>
  <cols>
    <col min="1" max="1" width="13.42578125" bestFit="1" customWidth="1"/>
    <col min="6" max="10" width="0" hidden="1" customWidth="1"/>
  </cols>
  <sheetData>
    <row r="1" spans="1:29" x14ac:dyDescent="0.25">
      <c r="A1" t="s">
        <v>0</v>
      </c>
      <c r="B1">
        <v>-0.05</v>
      </c>
      <c r="E1" t="s">
        <v>6</v>
      </c>
      <c r="F1">
        <f>P1</f>
        <v>2</v>
      </c>
      <c r="G1">
        <f>Q1</f>
        <v>3</v>
      </c>
      <c r="H1">
        <f>R1</f>
        <v>4</v>
      </c>
      <c r="I1">
        <f>S1</f>
        <v>5</v>
      </c>
      <c r="J1">
        <f>T1</f>
        <v>6</v>
      </c>
      <c r="K1">
        <f>U1</f>
        <v>7</v>
      </c>
      <c r="L1">
        <f t="shared" ref="L1" si="0">AC1</f>
        <v>15</v>
      </c>
      <c r="N1" t="s">
        <v>5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  <c r="W1">
        <v>9</v>
      </c>
      <c r="X1">
        <v>10</v>
      </c>
      <c r="Y1">
        <v>11</v>
      </c>
      <c r="Z1">
        <v>12</v>
      </c>
      <c r="AA1">
        <v>13</v>
      </c>
      <c r="AB1">
        <v>14</v>
      </c>
      <c r="AC1">
        <v>15</v>
      </c>
    </row>
    <row r="2" spans="1:29" x14ac:dyDescent="0.25">
      <c r="A2" t="s">
        <v>1</v>
      </c>
      <c r="B2">
        <v>780</v>
      </c>
      <c r="D2">
        <v>650</v>
      </c>
      <c r="E2" s="1">
        <f>($B$3+($B$4-$B$3)/(1+EXP(-$B$1*($B$2-$D2)))-1)*O$2+1</f>
        <v>0.80180141870808441</v>
      </c>
      <c r="F2" s="1">
        <f>($B$3+($B$4-$B$3)/(1+EXP(-$B$1*($B$2-$D2)))-1)*P$2+1</f>
        <v>0.81595846022893548</v>
      </c>
      <c r="G2" s="1">
        <f>($B$3+($B$4-$B$3)/(1+EXP(-$B$1*($B$2-$D2)))-1)*Q$2+1</f>
        <v>0.83011550174978666</v>
      </c>
      <c r="H2" s="1">
        <f>($B$3+($B$4-$B$3)/(1+EXP(-$B$1*($B$2-$D2)))-1)*R$2+1</f>
        <v>0.84427254327063772</v>
      </c>
      <c r="I2" s="1">
        <f>($B$3+($B$4-$B$3)/(1+EXP(-$B$1*($B$2-$D2)))-1)*S$2+1</f>
        <v>0.8584295847914889</v>
      </c>
      <c r="J2" s="1">
        <f>($B$3+($B$4-$B$3)/(1+EXP(-$B$1*($B$2-$D2)))-1)*T$2+1</f>
        <v>0.87258662631233996</v>
      </c>
      <c r="K2" s="1">
        <f>($B$3+($B$4-$B$3)/(1+EXP(-$B$1*($B$2-$D2)))-1)*U$2+1</f>
        <v>0.88674366783319114</v>
      </c>
      <c r="L2" s="1">
        <f t="shared" ref="L2:L17" si="1">($B$3+($B$4-$B$3)/(1+EXP(-$B$1*($B$2-$D2)))-1)*AC$2+1</f>
        <v>1</v>
      </c>
      <c r="N2" t="s">
        <v>4</v>
      </c>
      <c r="O2" s="2">
        <f>1-1/($AC$1-$O$1)*(O1-1)</f>
        <v>1</v>
      </c>
      <c r="P2" s="2">
        <f>1-1/($AC$1-$O$1)*(P1-1)</f>
        <v>0.9285714285714286</v>
      </c>
      <c r="Q2" s="2">
        <f>1-1/($AC$1-$O$1)*(Q1-1)</f>
        <v>0.85714285714285721</v>
      </c>
      <c r="R2" s="2">
        <f>1-1/($AC$1-$O$1)*(R1-1)</f>
        <v>0.7857142857142857</v>
      </c>
      <c r="S2" s="2">
        <f>1-1/($AC$1-$O$1)*(S1-1)</f>
        <v>0.7142857142857143</v>
      </c>
      <c r="T2" s="2">
        <f>1-1/($AC$1-$O$1)*(T1-1)</f>
        <v>0.6428571428571429</v>
      </c>
      <c r="U2" s="2">
        <f>1-1/($AC$1-$O$1)*(U1-1)</f>
        <v>0.5714285714285714</v>
      </c>
      <c r="V2" s="2">
        <f>1-1/($AC$1-$O$1)*(V1-1)</f>
        <v>0.5</v>
      </c>
      <c r="W2" s="2">
        <f>1-1/($AC$1-$O$1)*(W1-1)</f>
        <v>0.4285714285714286</v>
      </c>
      <c r="X2" s="2">
        <f>1-1/($AC$1-$O$1)*(X1-1)</f>
        <v>0.35714285714285721</v>
      </c>
      <c r="Y2" s="2">
        <f>1-1/($AC$1-$O$1)*(Y1-1)</f>
        <v>0.28571428571428581</v>
      </c>
      <c r="Z2" s="2">
        <f>1-1/($AC$1-$O$1)*(Z1-1)</f>
        <v>0.2142857142857143</v>
      </c>
      <c r="AA2" s="2">
        <f>1-1/($AC$1-$O$1)*(AA1-1)</f>
        <v>0.1428571428571429</v>
      </c>
      <c r="AB2" s="2">
        <f>1-1/($AC$1-$O$1)*(AB1-1)</f>
        <v>7.1428571428571508E-2</v>
      </c>
      <c r="AC2" s="2">
        <f>1-1/($AC$1-$O$1)*(AC1-1)</f>
        <v>0</v>
      </c>
    </row>
    <row r="3" spans="1:29" x14ac:dyDescent="0.25">
      <c r="A3" t="s">
        <v>3</v>
      </c>
      <c r="B3">
        <v>0.8</v>
      </c>
      <c r="D3">
        <v>660</v>
      </c>
      <c r="E3" s="1">
        <f>($B$3+($B$4-$B$3)/(1+EXP(-$B$1*($B$2-$D3)))-1)*O$2+1</f>
        <v>0.80296714778796174</v>
      </c>
      <c r="F3" s="1">
        <f>($B$3+($B$4-$B$3)/(1+EXP(-$B$1*($B$2-$D3)))-1)*P$2+1</f>
        <v>0.81704092294596453</v>
      </c>
      <c r="G3" s="1">
        <f>($B$3+($B$4-$B$3)/(1+EXP(-$B$1*($B$2-$D3)))-1)*Q$2+1</f>
        <v>0.83111469810396721</v>
      </c>
      <c r="H3" s="1">
        <f>($B$3+($B$4-$B$3)/(1+EXP(-$B$1*($B$2-$D3)))-1)*R$2+1</f>
        <v>0.84518847326196989</v>
      </c>
      <c r="I3" s="1">
        <f>($B$3+($B$4-$B$3)/(1+EXP(-$B$1*($B$2-$D3)))-1)*S$2+1</f>
        <v>0.85926224841997267</v>
      </c>
      <c r="J3" s="1">
        <f>($B$3+($B$4-$B$3)/(1+EXP(-$B$1*($B$2-$D3)))-1)*T$2+1</f>
        <v>0.87333602357797546</v>
      </c>
      <c r="K3" s="1">
        <f>($B$3+($B$4-$B$3)/(1+EXP(-$B$1*($B$2-$D3)))-1)*U$2+1</f>
        <v>0.88740979873597814</v>
      </c>
      <c r="L3" s="1">
        <f t="shared" si="1"/>
        <v>1</v>
      </c>
    </row>
    <row r="4" spans="1:29" x14ac:dyDescent="0.25">
      <c r="A4" t="s">
        <v>2</v>
      </c>
      <c r="B4">
        <v>2</v>
      </c>
      <c r="D4">
        <v>670</v>
      </c>
      <c r="E4" s="1">
        <f>($B$3+($B$4-$B$3)/(1+EXP(-$B$1*($B$2-$D4)))-1)*O$2+1</f>
        <v>0.80488416525907536</v>
      </c>
      <c r="F4" s="1">
        <f>($B$3+($B$4-$B$3)/(1+EXP(-$B$1*($B$2-$D4)))-1)*P$2+1</f>
        <v>0.81882101059771284</v>
      </c>
      <c r="G4" s="1">
        <f>($B$3+($B$4-$B$3)/(1+EXP(-$B$1*($B$2-$D4)))-1)*Q$2+1</f>
        <v>0.83275785593635032</v>
      </c>
      <c r="H4" s="1">
        <f>($B$3+($B$4-$B$3)/(1+EXP(-$B$1*($B$2-$D4)))-1)*R$2+1</f>
        <v>0.8466947012749878</v>
      </c>
      <c r="I4" s="1">
        <f>($B$3+($B$4-$B$3)/(1+EXP(-$B$1*($B$2-$D4)))-1)*S$2+1</f>
        <v>0.86063154661362529</v>
      </c>
      <c r="J4" s="1">
        <f>($B$3+($B$4-$B$3)/(1+EXP(-$B$1*($B$2-$D4)))-1)*T$2+1</f>
        <v>0.87456839195226266</v>
      </c>
      <c r="K4" s="1">
        <f>($B$3+($B$4-$B$3)/(1+EXP(-$B$1*($B$2-$D4)))-1)*U$2+1</f>
        <v>0.88850523729090025</v>
      </c>
      <c r="L4" s="1">
        <f t="shared" si="1"/>
        <v>1</v>
      </c>
    </row>
    <row r="5" spans="1:29" x14ac:dyDescent="0.25">
      <c r="D5">
        <v>680</v>
      </c>
      <c r="E5" s="1">
        <f>($B$3+($B$4-$B$3)/(1+EXP(-$B$1*($B$2-$D5)))-1)*O$2+1</f>
        <v>0.80803142110914183</v>
      </c>
      <c r="F5" s="1">
        <f>($B$3+($B$4-$B$3)/(1+EXP(-$B$1*($B$2-$D5)))-1)*P$2+1</f>
        <v>0.82174346245848884</v>
      </c>
      <c r="G5" s="1">
        <f>($B$3+($B$4-$B$3)/(1+EXP(-$B$1*($B$2-$D5)))-1)*Q$2+1</f>
        <v>0.83545550380783584</v>
      </c>
      <c r="H5" s="1">
        <f>($B$3+($B$4-$B$3)/(1+EXP(-$B$1*($B$2-$D5)))-1)*R$2+1</f>
        <v>0.84916754515718285</v>
      </c>
      <c r="I5" s="1">
        <f>($B$3+($B$4-$B$3)/(1+EXP(-$B$1*($B$2-$D5)))-1)*S$2+1</f>
        <v>0.86287958650652985</v>
      </c>
      <c r="J5" s="1">
        <f>($B$3+($B$4-$B$3)/(1+EXP(-$B$1*($B$2-$D5)))-1)*T$2+1</f>
        <v>0.87659162785587685</v>
      </c>
      <c r="K5" s="1">
        <f>($B$3+($B$4-$B$3)/(1+EXP(-$B$1*($B$2-$D5)))-1)*U$2+1</f>
        <v>0.89030366920522397</v>
      </c>
      <c r="L5" s="1">
        <f t="shared" si="1"/>
        <v>1</v>
      </c>
    </row>
    <row r="6" spans="1:29" x14ac:dyDescent="0.25">
      <c r="D6">
        <v>690</v>
      </c>
      <c r="E6" s="1">
        <f>($B$3+($B$4-$B$3)/(1+EXP(-$B$1*($B$2-$D6)))-1)*O$2+1</f>
        <v>0.81318433115671185</v>
      </c>
      <c r="F6" s="1">
        <f>($B$3+($B$4-$B$3)/(1+EXP(-$B$1*($B$2-$D6)))-1)*P$2+1</f>
        <v>0.82652830750266104</v>
      </c>
      <c r="G6" s="1">
        <f>($B$3+($B$4-$B$3)/(1+EXP(-$B$1*($B$2-$D6)))-1)*Q$2+1</f>
        <v>0.83987228384861012</v>
      </c>
      <c r="H6" s="1">
        <f>($B$3+($B$4-$B$3)/(1+EXP(-$B$1*($B$2-$D6)))-1)*R$2+1</f>
        <v>0.85321626019455932</v>
      </c>
      <c r="I6" s="1">
        <f>($B$3+($B$4-$B$3)/(1+EXP(-$B$1*($B$2-$D6)))-1)*S$2+1</f>
        <v>0.86656023654050851</v>
      </c>
      <c r="J6" s="1">
        <f>($B$3+($B$4-$B$3)/(1+EXP(-$B$1*($B$2-$D6)))-1)*T$2+1</f>
        <v>0.87990421288645759</v>
      </c>
      <c r="K6" s="1">
        <f>($B$3+($B$4-$B$3)/(1+EXP(-$B$1*($B$2-$D6)))-1)*U$2+1</f>
        <v>0.89324818923240679</v>
      </c>
      <c r="L6" s="1">
        <f t="shared" si="1"/>
        <v>1</v>
      </c>
    </row>
    <row r="7" spans="1:29" x14ac:dyDescent="0.25">
      <c r="D7">
        <v>700</v>
      </c>
      <c r="E7" s="1">
        <f>($B$3+($B$4-$B$3)/(1+EXP(-$B$1*($B$2-$D7)))-1)*O$2+1</f>
        <v>0.82158345195450988</v>
      </c>
      <c r="F7" s="1">
        <f>($B$3+($B$4-$B$3)/(1+EXP(-$B$1*($B$2-$D7)))-1)*P$2+1</f>
        <v>0.83432749110061633</v>
      </c>
      <c r="G7" s="1">
        <f>($B$3+($B$4-$B$3)/(1+EXP(-$B$1*($B$2-$D7)))-1)*Q$2+1</f>
        <v>0.84707153024672277</v>
      </c>
      <c r="H7" s="1">
        <f>($B$3+($B$4-$B$3)/(1+EXP(-$B$1*($B$2-$D7)))-1)*R$2+1</f>
        <v>0.85981556939282922</v>
      </c>
      <c r="I7" s="1">
        <f>($B$3+($B$4-$B$3)/(1+EXP(-$B$1*($B$2-$D7)))-1)*S$2+1</f>
        <v>0.87255960853893566</v>
      </c>
      <c r="J7" s="1">
        <f>($B$3+($B$4-$B$3)/(1+EXP(-$B$1*($B$2-$D7)))-1)*T$2+1</f>
        <v>0.88530364768504211</v>
      </c>
      <c r="K7" s="1">
        <f>($B$3+($B$4-$B$3)/(1+EXP(-$B$1*($B$2-$D7)))-1)*U$2+1</f>
        <v>0.89804768683114855</v>
      </c>
      <c r="L7" s="1">
        <f t="shared" si="1"/>
        <v>1</v>
      </c>
    </row>
    <row r="8" spans="1:29" x14ac:dyDescent="0.25">
      <c r="D8">
        <v>710</v>
      </c>
      <c r="E8" s="1">
        <f>($B$3+($B$4-$B$3)/(1+EXP(-$B$1*($B$2-$D8)))-1)*O$2+1</f>
        <v>0.83517467690162761</v>
      </c>
      <c r="F8" s="1">
        <f>($B$3+($B$4-$B$3)/(1+EXP(-$B$1*($B$2-$D8)))-1)*P$2+1</f>
        <v>0.84694791426579707</v>
      </c>
      <c r="G8" s="1">
        <f>($B$3+($B$4-$B$3)/(1+EXP(-$B$1*($B$2-$D8)))-1)*Q$2+1</f>
        <v>0.85872115162996654</v>
      </c>
      <c r="H8" s="1">
        <f>($B$3+($B$4-$B$3)/(1+EXP(-$B$1*($B$2-$D8)))-1)*R$2+1</f>
        <v>0.870494388994136</v>
      </c>
      <c r="I8" s="1">
        <f>($B$3+($B$4-$B$3)/(1+EXP(-$B$1*($B$2-$D8)))-1)*S$2+1</f>
        <v>0.88226762635830547</v>
      </c>
      <c r="J8" s="1">
        <f>($B$3+($B$4-$B$3)/(1+EXP(-$B$1*($B$2-$D8)))-1)*T$2+1</f>
        <v>0.89404086372247493</v>
      </c>
      <c r="K8" s="1">
        <f>($B$3+($B$4-$B$3)/(1+EXP(-$B$1*($B$2-$D8)))-1)*U$2+1</f>
        <v>0.9058141010866444</v>
      </c>
      <c r="L8" s="1">
        <f t="shared" si="1"/>
        <v>1</v>
      </c>
    </row>
    <row r="9" spans="1:29" x14ac:dyDescent="0.25">
      <c r="D9">
        <v>720</v>
      </c>
      <c r="E9" s="1">
        <f>($B$3+($B$4-$B$3)/(1+EXP(-$B$1*($B$2-$D9)))-1)*O$2+1</f>
        <v>0.85691104781308014</v>
      </c>
      <c r="F9" s="1">
        <f>($B$3+($B$4-$B$3)/(1+EXP(-$B$1*($B$2-$D9)))-1)*P$2+1</f>
        <v>0.867131687255003</v>
      </c>
      <c r="G9" s="1">
        <f>($B$3+($B$4-$B$3)/(1+EXP(-$B$1*($B$2-$D9)))-1)*Q$2+1</f>
        <v>0.87735232669692587</v>
      </c>
      <c r="H9" s="1">
        <f>($B$3+($B$4-$B$3)/(1+EXP(-$B$1*($B$2-$D9)))-1)*R$2+1</f>
        <v>0.88757296613884873</v>
      </c>
      <c r="I9" s="1">
        <f>($B$3+($B$4-$B$3)/(1+EXP(-$B$1*($B$2-$D9)))-1)*S$2+1</f>
        <v>0.89779360558077148</v>
      </c>
      <c r="J9" s="1">
        <f>($B$3+($B$4-$B$3)/(1+EXP(-$B$1*($B$2-$D9)))-1)*T$2+1</f>
        <v>0.90801424502269434</v>
      </c>
      <c r="K9" s="1">
        <f>($B$3+($B$4-$B$3)/(1+EXP(-$B$1*($B$2-$D9)))-1)*U$2+1</f>
        <v>0.91823488446461721</v>
      </c>
      <c r="L9" s="1">
        <f t="shared" si="1"/>
        <v>1</v>
      </c>
    </row>
    <row r="10" spans="1:29" x14ac:dyDescent="0.25">
      <c r="D10">
        <v>730</v>
      </c>
      <c r="E10" s="1">
        <f>($B$3+($B$4-$B$3)/(1+EXP(-$B$1*($B$2-$D10)))-1)*O$2+1</f>
        <v>0.89102981602549236</v>
      </c>
      <c r="F10" s="1">
        <f>($B$3+($B$4-$B$3)/(1+EXP(-$B$1*($B$2-$D10)))-1)*P$2+1</f>
        <v>0.89881340059510006</v>
      </c>
      <c r="G10" s="1">
        <f>($B$3+($B$4-$B$3)/(1+EXP(-$B$1*($B$2-$D10)))-1)*Q$2+1</f>
        <v>0.90659698516470777</v>
      </c>
      <c r="H10" s="1">
        <f>($B$3+($B$4-$B$3)/(1+EXP(-$B$1*($B$2-$D10)))-1)*R$2+1</f>
        <v>0.91438056973431547</v>
      </c>
      <c r="I10" s="1">
        <f>($B$3+($B$4-$B$3)/(1+EXP(-$B$1*($B$2-$D10)))-1)*S$2+1</f>
        <v>0.92216415430392307</v>
      </c>
      <c r="J10" s="1">
        <f>($B$3+($B$4-$B$3)/(1+EXP(-$B$1*($B$2-$D10)))-1)*T$2+1</f>
        <v>0.92994773887353077</v>
      </c>
      <c r="K10" s="1">
        <f>($B$3+($B$4-$B$3)/(1+EXP(-$B$1*($B$2-$D10)))-1)*U$2+1</f>
        <v>0.93773132344313848</v>
      </c>
      <c r="L10" s="1">
        <f t="shared" si="1"/>
        <v>1</v>
      </c>
    </row>
    <row r="11" spans="1:29" x14ac:dyDescent="0.25">
      <c r="D11">
        <v>740</v>
      </c>
      <c r="E11" s="1">
        <f>($B$3+($B$4-$B$3)/(1+EXP(-$B$1*($B$2-$D11)))-1)*O$2+1</f>
        <v>0.94304350642654111</v>
      </c>
      <c r="F11" s="1">
        <f>($B$3+($B$4-$B$3)/(1+EXP(-$B$1*($B$2-$D11)))-1)*P$2+1</f>
        <v>0.94711182739607391</v>
      </c>
      <c r="G11" s="1">
        <f>($B$3+($B$4-$B$3)/(1+EXP(-$B$1*($B$2-$D11)))-1)*Q$2+1</f>
        <v>0.95118014836560671</v>
      </c>
      <c r="H11" s="1">
        <f>($B$3+($B$4-$B$3)/(1+EXP(-$B$1*($B$2-$D11)))-1)*R$2+1</f>
        <v>0.95524846933513941</v>
      </c>
      <c r="I11" s="1">
        <f>($B$3+($B$4-$B$3)/(1+EXP(-$B$1*($B$2-$D11)))-1)*S$2+1</f>
        <v>0.95931679030467221</v>
      </c>
      <c r="J11" s="1">
        <f>($B$3+($B$4-$B$3)/(1+EXP(-$B$1*($B$2-$D11)))-1)*T$2+1</f>
        <v>0.96338511127420501</v>
      </c>
      <c r="K11" s="1">
        <f>($B$3+($B$4-$B$3)/(1+EXP(-$B$1*($B$2-$D11)))-1)*U$2+1</f>
        <v>0.96745343224373781</v>
      </c>
      <c r="L11" s="1">
        <f t="shared" si="1"/>
        <v>1</v>
      </c>
    </row>
    <row r="12" spans="1:29" x14ac:dyDescent="0.25">
      <c r="D12">
        <v>750</v>
      </c>
      <c r="E12" s="1">
        <f>($B$3+($B$4-$B$3)/(1+EXP(-$B$1*($B$2-$D12)))-1)*O$2+1</f>
        <v>1.0189106285676277</v>
      </c>
      <c r="F12" s="1">
        <f>($B$3+($B$4-$B$3)/(1+EXP(-$B$1*($B$2-$D12)))-1)*P$2+1</f>
        <v>1.0175598693842258</v>
      </c>
      <c r="G12" s="1">
        <f>($B$3+($B$4-$B$3)/(1+EXP(-$B$1*($B$2-$D12)))-1)*Q$2+1</f>
        <v>1.0162091102008237</v>
      </c>
      <c r="H12" s="1">
        <f>($B$3+($B$4-$B$3)/(1+EXP(-$B$1*($B$2-$D12)))-1)*R$2+1</f>
        <v>1.0148583510174218</v>
      </c>
      <c r="I12" s="1">
        <f>($B$3+($B$4-$B$3)/(1+EXP(-$B$1*($B$2-$D12)))-1)*S$2+1</f>
        <v>1.0135075918340197</v>
      </c>
      <c r="J12" s="1">
        <f>($B$3+($B$4-$B$3)/(1+EXP(-$B$1*($B$2-$D12)))-1)*T$2+1</f>
        <v>1.0121568326506178</v>
      </c>
      <c r="K12" s="1">
        <f>($B$3+($B$4-$B$3)/(1+EXP(-$B$1*($B$2-$D12)))-1)*U$2+1</f>
        <v>1.0108060734672157</v>
      </c>
      <c r="L12" s="1">
        <f t="shared" si="1"/>
        <v>1</v>
      </c>
    </row>
    <row r="13" spans="1:29" x14ac:dyDescent="0.25">
      <c r="D13">
        <v>760</v>
      </c>
      <c r="E13" s="1">
        <f>($B$3+($B$4-$B$3)/(1+EXP(-$B$1*($B$2-$D13)))-1)*O$2+1</f>
        <v>1.1227297056439942</v>
      </c>
      <c r="F13" s="1">
        <f>($B$3+($B$4-$B$3)/(1+EXP(-$B$1*($B$2-$D13)))-1)*P$2+1</f>
        <v>1.1139632980979945</v>
      </c>
      <c r="G13" s="1">
        <f>($B$3+($B$4-$B$3)/(1+EXP(-$B$1*($B$2-$D13)))-1)*Q$2+1</f>
        <v>1.1051968905519951</v>
      </c>
      <c r="H13" s="1">
        <f>($B$3+($B$4-$B$3)/(1+EXP(-$B$1*($B$2-$D13)))-1)*R$2+1</f>
        <v>1.0964304830059954</v>
      </c>
      <c r="I13" s="1">
        <f>($B$3+($B$4-$B$3)/(1+EXP(-$B$1*($B$2-$D13)))-1)*S$2+1</f>
        <v>1.0876640754599958</v>
      </c>
      <c r="J13" s="1">
        <f>($B$3+($B$4-$B$3)/(1+EXP(-$B$1*($B$2-$D13)))-1)*T$2+1</f>
        <v>1.0788976679139963</v>
      </c>
      <c r="K13" s="1">
        <f>($B$3+($B$4-$B$3)/(1+EXP(-$B$1*($B$2-$D13)))-1)*U$2+1</f>
        <v>1.0701312603679967</v>
      </c>
      <c r="L13" s="1">
        <f t="shared" si="1"/>
        <v>1</v>
      </c>
    </row>
    <row r="14" spans="1:29" x14ac:dyDescent="0.25">
      <c r="D14">
        <v>770</v>
      </c>
      <c r="E14" s="1">
        <f>($B$3+($B$4-$B$3)/(1+EXP(-$B$1*($B$2-$D14)))-1)*O$2+1</f>
        <v>1.2530488025577746</v>
      </c>
      <c r="F14" s="1">
        <f>($B$3+($B$4-$B$3)/(1+EXP(-$B$1*($B$2-$D14)))-1)*P$2+1</f>
        <v>1.2349738880893621</v>
      </c>
      <c r="G14" s="1">
        <f>($B$3+($B$4-$B$3)/(1+EXP(-$B$1*($B$2-$D14)))-1)*Q$2+1</f>
        <v>1.2168989736209497</v>
      </c>
      <c r="H14" s="1">
        <f>($B$3+($B$4-$B$3)/(1+EXP(-$B$1*($B$2-$D14)))-1)*R$2+1</f>
        <v>1.1988240591525372</v>
      </c>
      <c r="I14" s="1">
        <f>($B$3+($B$4-$B$3)/(1+EXP(-$B$1*($B$2-$D14)))-1)*S$2+1</f>
        <v>1.1807491446841247</v>
      </c>
      <c r="J14" s="1">
        <f>($B$3+($B$4-$B$3)/(1+EXP(-$B$1*($B$2-$D14)))-1)*T$2+1</f>
        <v>1.1626742302157123</v>
      </c>
      <c r="K14" s="1">
        <f>($B$3+($B$4-$B$3)/(1+EXP(-$B$1*($B$2-$D14)))-1)*U$2+1</f>
        <v>1.1445993157472998</v>
      </c>
      <c r="L14" s="1">
        <f t="shared" si="1"/>
        <v>1</v>
      </c>
    </row>
    <row r="15" spans="1:29" x14ac:dyDescent="0.25">
      <c r="D15">
        <v>780</v>
      </c>
      <c r="E15" s="1">
        <f>($B$3+($B$4-$B$3)/(1+EXP(-$B$1*($B$2-$D15)))-1)*O$2+1</f>
        <v>1.4</v>
      </c>
      <c r="F15" s="1">
        <f>($B$3+($B$4-$B$3)/(1+EXP(-$B$1*($B$2-$D15)))-1)*P$2+1</f>
        <v>1.3714285714285714</v>
      </c>
      <c r="G15" s="1">
        <f>($B$3+($B$4-$B$3)/(1+EXP(-$B$1*($B$2-$D15)))-1)*Q$2+1</f>
        <v>1.3428571428571427</v>
      </c>
      <c r="H15" s="1">
        <f>($B$3+($B$4-$B$3)/(1+EXP(-$B$1*($B$2-$D15)))-1)*R$2+1</f>
        <v>1.3142857142857143</v>
      </c>
      <c r="I15" s="1">
        <f>($B$3+($B$4-$B$3)/(1+EXP(-$B$1*($B$2-$D15)))-1)*S$2+1</f>
        <v>1.2857142857142856</v>
      </c>
      <c r="J15" s="1">
        <f>($B$3+($B$4-$B$3)/(1+EXP(-$B$1*($B$2-$D15)))-1)*T$2+1</f>
        <v>1.2571428571428571</v>
      </c>
      <c r="K15" s="1">
        <f>($B$3+($B$4-$B$3)/(1+EXP(-$B$1*($B$2-$D15)))-1)*U$2+1</f>
        <v>1.2285714285714284</v>
      </c>
      <c r="L15" s="1">
        <f t="shared" si="1"/>
        <v>1</v>
      </c>
    </row>
    <row r="16" spans="1:29" x14ac:dyDescent="0.25">
      <c r="D16">
        <v>790</v>
      </c>
      <c r="E16" s="1">
        <f>($B$3+($B$4-$B$3)/(1+EXP(-$B$1*($B$2-$D16)))-1)*O$2+1</f>
        <v>1.5469511974422256</v>
      </c>
      <c r="F16" s="1">
        <f>($B$3+($B$4-$B$3)/(1+EXP(-$B$1*($B$2-$D16)))-1)*P$2+1</f>
        <v>1.507883254767781</v>
      </c>
      <c r="G16" s="1">
        <f>($B$3+($B$4-$B$3)/(1+EXP(-$B$1*($B$2-$D16)))-1)*Q$2+1</f>
        <v>1.4688153120933363</v>
      </c>
      <c r="H16" s="1">
        <f>($B$3+($B$4-$B$3)/(1+EXP(-$B$1*($B$2-$D16)))-1)*R$2+1</f>
        <v>1.4297473694188916</v>
      </c>
      <c r="I16" s="1">
        <f>($B$3+($B$4-$B$3)/(1+EXP(-$B$1*($B$2-$D16)))-1)*S$2+1</f>
        <v>1.3906794267444469</v>
      </c>
      <c r="J16" s="1">
        <f>($B$3+($B$4-$B$3)/(1+EXP(-$B$1*($B$2-$D16)))-1)*T$2+1</f>
        <v>1.3516114840700022</v>
      </c>
      <c r="K16" s="1">
        <f>($B$3+($B$4-$B$3)/(1+EXP(-$B$1*($B$2-$D16)))-1)*U$2+1</f>
        <v>1.3125435413955575</v>
      </c>
      <c r="L16" s="1">
        <f t="shared" si="1"/>
        <v>1</v>
      </c>
    </row>
    <row r="17" spans="4:12" x14ac:dyDescent="0.25">
      <c r="D17">
        <v>800</v>
      </c>
      <c r="E17" s="1">
        <f>($B$3+($B$4-$B$3)/(1+EXP(-$B$1*($B$2-$D17)))-1)*O$2+1</f>
        <v>1.6772702943560058</v>
      </c>
      <c r="F17" s="1">
        <f>($B$3+($B$4-$B$3)/(1+EXP(-$B$1*($B$2-$D17)))-1)*P$2+1</f>
        <v>1.6288938447591483</v>
      </c>
      <c r="G17" s="1">
        <f>($B$3+($B$4-$B$3)/(1+EXP(-$B$1*($B$2-$D17)))-1)*Q$2+1</f>
        <v>1.5805173951622908</v>
      </c>
      <c r="H17" s="1">
        <f>($B$3+($B$4-$B$3)/(1+EXP(-$B$1*($B$2-$D17)))-1)*R$2+1</f>
        <v>1.5321409455654331</v>
      </c>
      <c r="I17" s="1">
        <f>($B$3+($B$4-$B$3)/(1+EXP(-$B$1*($B$2-$D17)))-1)*S$2+1</f>
        <v>1.4837644959685756</v>
      </c>
      <c r="J17" s="1">
        <f>($B$3+($B$4-$B$3)/(1+EXP(-$B$1*($B$2-$D17)))-1)*T$2+1</f>
        <v>1.4353880463717181</v>
      </c>
      <c r="K17" s="1">
        <f>($B$3+($B$4-$B$3)/(1+EXP(-$B$1*($B$2-$D17)))-1)*U$2+1</f>
        <v>1.3870115967748604</v>
      </c>
      <c r="L17" s="1">
        <f t="shared" si="1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9"/>
  <sheetViews>
    <sheetView topLeftCell="I40" workbookViewId="0">
      <selection activeCell="W44" sqref="W44"/>
    </sheetView>
  </sheetViews>
  <sheetFormatPr defaultRowHeight="15" x14ac:dyDescent="0.25"/>
  <cols>
    <col min="1" max="1" width="9" bestFit="1" customWidth="1"/>
    <col min="2" max="2" width="10" bestFit="1" customWidth="1"/>
    <col min="3" max="3" width="15.5703125" bestFit="1" customWidth="1"/>
    <col min="4" max="4" width="19.140625" bestFit="1" customWidth="1"/>
    <col min="5" max="5" width="10.85546875" bestFit="1" customWidth="1"/>
    <col min="6" max="6" width="15.5703125" bestFit="1" customWidth="1"/>
    <col min="7" max="7" width="17" bestFit="1" customWidth="1"/>
    <col min="8" max="8" width="17.85546875" bestFit="1" customWidth="1"/>
    <col min="9" max="9" width="15.28515625" bestFit="1" customWidth="1"/>
    <col min="10" max="10" width="16.140625" bestFit="1" customWidth="1"/>
    <col min="11" max="11" width="25.5703125" bestFit="1" customWidth="1"/>
    <col min="12" max="12" width="5" bestFit="1" customWidth="1"/>
  </cols>
  <sheetData>
    <row r="1" spans="1:37" x14ac:dyDescent="0.25">
      <c r="B1" t="s">
        <v>17</v>
      </c>
      <c r="C1" t="s">
        <v>16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P1" t="s">
        <v>17</v>
      </c>
      <c r="Q1" t="s">
        <v>16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C1" t="s">
        <v>17</v>
      </c>
      <c r="AD1" t="s">
        <v>16</v>
      </c>
      <c r="AE1" t="s">
        <v>18</v>
      </c>
      <c r="AH1" t="s">
        <v>10</v>
      </c>
      <c r="AI1" t="s">
        <v>11</v>
      </c>
      <c r="AJ1" t="s">
        <v>12</v>
      </c>
      <c r="AK1" t="s">
        <v>13</v>
      </c>
    </row>
    <row r="2" spans="1:37" x14ac:dyDescent="0.25">
      <c r="A2">
        <v>0</v>
      </c>
      <c r="B2">
        <v>0</v>
      </c>
      <c r="C2">
        <v>2.2999999999999998</v>
      </c>
      <c r="D2" s="3">
        <v>46800</v>
      </c>
      <c r="E2" s="3">
        <v>219378</v>
      </c>
      <c r="F2">
        <v>2.2999999999999998</v>
      </c>
      <c r="G2">
        <v>0.1</v>
      </c>
      <c r="H2">
        <v>0</v>
      </c>
      <c r="I2">
        <v>1.4</v>
      </c>
      <c r="J2">
        <v>0.8</v>
      </c>
      <c r="K2">
        <v>42</v>
      </c>
      <c r="L2">
        <v>0</v>
      </c>
      <c r="O2">
        <v>0</v>
      </c>
      <c r="P2">
        <v>0.4</v>
      </c>
      <c r="R2" s="3">
        <v>92883</v>
      </c>
      <c r="S2" s="3">
        <v>432322</v>
      </c>
      <c r="Z2">
        <v>0.4</v>
      </c>
      <c r="AB2">
        <f>O2</f>
        <v>0</v>
      </c>
      <c r="AC2">
        <f>($D2*B2+$R2*P2)/($D2+$R2)</f>
        <v>0.26598225983118923</v>
      </c>
      <c r="AD2">
        <f>($D2*C2+$R2*Q2)/($D2+$R2)</f>
        <v>0.77060200597066209</v>
      </c>
      <c r="AE2">
        <f>AD2-AC2</f>
        <v>0.5046197461394728</v>
      </c>
      <c r="AG2">
        <v>0</v>
      </c>
    </row>
    <row r="3" spans="1:37" x14ac:dyDescent="0.25">
      <c r="A3">
        <v>1</v>
      </c>
      <c r="B3">
        <v>1</v>
      </c>
      <c r="C3">
        <v>4.0999999999999996</v>
      </c>
      <c r="D3" s="3">
        <v>2166825</v>
      </c>
      <c r="E3" s="3">
        <v>11095304</v>
      </c>
      <c r="F3">
        <v>4.0999999999999996</v>
      </c>
      <c r="G3">
        <v>0.1</v>
      </c>
      <c r="H3">
        <v>0</v>
      </c>
      <c r="I3">
        <v>1.7</v>
      </c>
      <c r="J3">
        <v>2.2999999999999998</v>
      </c>
      <c r="K3" s="3">
        <v>33911</v>
      </c>
      <c r="L3">
        <v>1</v>
      </c>
      <c r="O3">
        <v>1</v>
      </c>
      <c r="P3">
        <v>1.6</v>
      </c>
      <c r="Q3">
        <v>3.4</v>
      </c>
      <c r="R3" s="3">
        <v>2950872</v>
      </c>
      <c r="S3" s="3">
        <v>14594015</v>
      </c>
      <c r="T3">
        <v>3.4</v>
      </c>
      <c r="U3">
        <v>0.1</v>
      </c>
      <c r="V3">
        <v>0</v>
      </c>
      <c r="W3">
        <v>1.7</v>
      </c>
      <c r="X3">
        <v>1.7</v>
      </c>
      <c r="Y3" s="3">
        <v>10909</v>
      </c>
      <c r="Z3">
        <v>1.6</v>
      </c>
      <c r="AB3">
        <f t="shared" ref="AB3:AB66" si="0">O3</f>
        <v>1</v>
      </c>
      <c r="AC3">
        <f t="shared" ref="AC3:AC66" si="1">($D3*B3+$R3*P3)/($D3+$R3)</f>
        <v>1.3459609273468125</v>
      </c>
      <c r="AD3">
        <f t="shared" ref="AD3:AD66" si="2">($D3*C3+$R3*Q3)/($D3+$R3)</f>
        <v>3.6963789180953848</v>
      </c>
      <c r="AE3">
        <f t="shared" ref="AE3:AE66" si="3">AD3-AC3</f>
        <v>2.3504179907485723</v>
      </c>
      <c r="AG3">
        <v>1</v>
      </c>
      <c r="AH3">
        <v>0.1</v>
      </c>
      <c r="AI3">
        <v>0</v>
      </c>
      <c r="AJ3">
        <v>1.7</v>
      </c>
      <c r="AK3">
        <v>1.7</v>
      </c>
    </row>
    <row r="4" spans="1:37" x14ac:dyDescent="0.25">
      <c r="A4">
        <v>2</v>
      </c>
      <c r="B4">
        <v>2.9</v>
      </c>
      <c r="C4">
        <v>2.4</v>
      </c>
      <c r="D4" s="3">
        <v>4200602</v>
      </c>
      <c r="E4" s="3">
        <v>22003497</v>
      </c>
      <c r="F4">
        <v>2.4</v>
      </c>
      <c r="G4">
        <v>0.1</v>
      </c>
      <c r="H4">
        <v>0</v>
      </c>
      <c r="I4">
        <v>1.2</v>
      </c>
      <c r="J4">
        <v>1.1000000000000001</v>
      </c>
      <c r="K4" s="3">
        <v>2018270</v>
      </c>
      <c r="L4">
        <v>2.9</v>
      </c>
      <c r="O4">
        <v>2</v>
      </c>
      <c r="P4">
        <v>3.3</v>
      </c>
      <c r="Q4">
        <v>2.4</v>
      </c>
      <c r="R4" s="3">
        <v>5614704</v>
      </c>
      <c r="S4" s="3">
        <v>29335931</v>
      </c>
      <c r="T4">
        <v>2.4</v>
      </c>
      <c r="U4">
        <v>0.1</v>
      </c>
      <c r="V4">
        <v>0</v>
      </c>
      <c r="W4">
        <v>1.2</v>
      </c>
      <c r="X4">
        <v>1.1000000000000001</v>
      </c>
      <c r="Y4" s="3">
        <v>3026747</v>
      </c>
      <c r="Z4">
        <v>3.3</v>
      </c>
      <c r="AB4">
        <f t="shared" si="0"/>
        <v>2</v>
      </c>
      <c r="AC4">
        <f t="shared" si="1"/>
        <v>3.1288142213803622</v>
      </c>
      <c r="AD4">
        <f t="shared" si="2"/>
        <v>2.4</v>
      </c>
      <c r="AE4">
        <f t="shared" si="3"/>
        <v>-0.72881422138036234</v>
      </c>
      <c r="AG4">
        <v>2</v>
      </c>
      <c r="AH4">
        <v>0.1</v>
      </c>
      <c r="AI4">
        <v>0</v>
      </c>
      <c r="AJ4">
        <v>1.2</v>
      </c>
      <c r="AK4">
        <v>1.1000000000000001</v>
      </c>
    </row>
    <row r="5" spans="1:37" x14ac:dyDescent="0.25">
      <c r="A5">
        <v>3</v>
      </c>
      <c r="B5">
        <v>5.3</v>
      </c>
      <c r="C5">
        <v>4.2</v>
      </c>
      <c r="D5" s="3">
        <v>4307644</v>
      </c>
      <c r="E5" s="3">
        <v>22861489</v>
      </c>
      <c r="F5">
        <v>4.2</v>
      </c>
      <c r="G5">
        <v>0.2</v>
      </c>
      <c r="H5">
        <v>0</v>
      </c>
      <c r="I5">
        <v>1.7</v>
      </c>
      <c r="J5">
        <v>2.2999999999999998</v>
      </c>
      <c r="K5" s="3">
        <v>3881847</v>
      </c>
      <c r="L5">
        <v>5.3</v>
      </c>
      <c r="O5">
        <v>3</v>
      </c>
      <c r="P5">
        <v>4.9000000000000004</v>
      </c>
      <c r="Q5">
        <v>4.5</v>
      </c>
      <c r="R5" s="3">
        <v>6618186</v>
      </c>
      <c r="S5" s="3">
        <v>36364731</v>
      </c>
      <c r="T5">
        <v>4.5</v>
      </c>
      <c r="U5">
        <v>0.2</v>
      </c>
      <c r="V5">
        <v>0</v>
      </c>
      <c r="W5">
        <v>1.8</v>
      </c>
      <c r="X5">
        <v>2.6</v>
      </c>
      <c r="Y5" s="3">
        <v>5823633</v>
      </c>
      <c r="Z5">
        <v>4.9000000000000004</v>
      </c>
      <c r="AB5">
        <f t="shared" si="0"/>
        <v>3</v>
      </c>
      <c r="AC5">
        <f t="shared" si="1"/>
        <v>5.0577049615452561</v>
      </c>
      <c r="AD5">
        <f t="shared" si="2"/>
        <v>4.3817212788410584</v>
      </c>
      <c r="AE5">
        <f t="shared" si="3"/>
        <v>-0.67598368270419762</v>
      </c>
      <c r="AG5">
        <v>3</v>
      </c>
      <c r="AH5">
        <v>0.2</v>
      </c>
      <c r="AI5">
        <v>0</v>
      </c>
      <c r="AJ5">
        <v>1.8</v>
      </c>
      <c r="AK5">
        <v>2.6</v>
      </c>
    </row>
    <row r="6" spans="1:37" x14ac:dyDescent="0.25">
      <c r="A6">
        <v>4</v>
      </c>
      <c r="B6">
        <v>7.8</v>
      </c>
      <c r="C6">
        <v>6.2</v>
      </c>
      <c r="D6" s="3">
        <v>4322354</v>
      </c>
      <c r="E6" s="3">
        <v>23110887</v>
      </c>
      <c r="F6">
        <v>6.2</v>
      </c>
      <c r="G6">
        <v>0.3</v>
      </c>
      <c r="H6">
        <v>0</v>
      </c>
      <c r="I6">
        <v>2.2000000000000002</v>
      </c>
      <c r="J6">
        <v>3.8</v>
      </c>
      <c r="K6" s="3">
        <v>4004337</v>
      </c>
      <c r="L6">
        <v>7.8</v>
      </c>
      <c r="O6">
        <v>4</v>
      </c>
      <c r="P6">
        <v>8</v>
      </c>
      <c r="Q6">
        <v>6.9</v>
      </c>
      <c r="R6" s="3">
        <v>7054053</v>
      </c>
      <c r="S6" s="3">
        <v>39613983</v>
      </c>
      <c r="T6">
        <v>6.9</v>
      </c>
      <c r="U6">
        <v>0.3</v>
      </c>
      <c r="V6">
        <v>0.1</v>
      </c>
      <c r="W6">
        <v>2.2000000000000002</v>
      </c>
      <c r="X6">
        <v>4.5</v>
      </c>
      <c r="Y6" s="3">
        <v>6721510</v>
      </c>
      <c r="Z6">
        <v>8</v>
      </c>
      <c r="AB6">
        <f t="shared" si="0"/>
        <v>4</v>
      </c>
      <c r="AC6">
        <f t="shared" si="1"/>
        <v>7.9240119661682273</v>
      </c>
      <c r="AD6">
        <f t="shared" si="2"/>
        <v>6.6340418815888</v>
      </c>
      <c r="AE6">
        <f t="shared" si="3"/>
        <v>-1.2899700845794273</v>
      </c>
      <c r="AG6">
        <v>4</v>
      </c>
      <c r="AH6">
        <v>0.3</v>
      </c>
      <c r="AI6">
        <v>0.1</v>
      </c>
      <c r="AJ6">
        <v>2.2000000000000002</v>
      </c>
      <c r="AK6">
        <v>4.5</v>
      </c>
    </row>
    <row r="7" spans="1:37" x14ac:dyDescent="0.25">
      <c r="A7">
        <v>5</v>
      </c>
      <c r="B7">
        <v>10.3</v>
      </c>
      <c r="C7">
        <v>9</v>
      </c>
      <c r="D7" s="3">
        <v>4273816</v>
      </c>
      <c r="E7" s="3">
        <v>22983252</v>
      </c>
      <c r="F7">
        <v>9</v>
      </c>
      <c r="G7">
        <v>0.4</v>
      </c>
      <c r="H7">
        <v>0.1</v>
      </c>
      <c r="I7">
        <v>2.7</v>
      </c>
      <c r="J7">
        <v>6.1</v>
      </c>
      <c r="K7" s="3">
        <v>3996844</v>
      </c>
      <c r="L7">
        <v>10.3</v>
      </c>
      <c r="O7">
        <v>5</v>
      </c>
      <c r="P7">
        <v>10.8</v>
      </c>
      <c r="Q7">
        <v>9.4</v>
      </c>
      <c r="R7" s="3">
        <v>6711882</v>
      </c>
      <c r="S7" s="3">
        <v>37695907</v>
      </c>
      <c r="T7">
        <v>9.4</v>
      </c>
      <c r="U7">
        <v>0.4</v>
      </c>
      <c r="V7">
        <v>0.1</v>
      </c>
      <c r="W7">
        <v>2.6</v>
      </c>
      <c r="X7">
        <v>6.5</v>
      </c>
      <c r="Y7" s="3">
        <v>6537638</v>
      </c>
      <c r="Z7">
        <v>10.8</v>
      </c>
      <c r="AB7">
        <f t="shared" si="0"/>
        <v>5</v>
      </c>
      <c r="AC7">
        <f t="shared" si="1"/>
        <v>10.605482728543967</v>
      </c>
      <c r="AD7">
        <f t="shared" si="2"/>
        <v>9.244386182835175</v>
      </c>
      <c r="AE7">
        <f t="shared" si="3"/>
        <v>-1.3610965457087918</v>
      </c>
      <c r="AG7">
        <v>5</v>
      </c>
      <c r="AH7">
        <v>0.4</v>
      </c>
      <c r="AI7">
        <v>0.1</v>
      </c>
      <c r="AJ7">
        <v>2.6</v>
      </c>
      <c r="AK7">
        <v>6.5</v>
      </c>
    </row>
    <row r="8" spans="1:37" x14ac:dyDescent="0.25">
      <c r="A8">
        <v>6</v>
      </c>
      <c r="B8">
        <v>11.7</v>
      </c>
      <c r="C8">
        <v>11</v>
      </c>
      <c r="D8" s="3">
        <v>4234753</v>
      </c>
      <c r="E8" s="3">
        <v>22953617</v>
      </c>
      <c r="F8">
        <v>11</v>
      </c>
      <c r="G8">
        <v>0.4</v>
      </c>
      <c r="H8">
        <v>0.1</v>
      </c>
      <c r="I8">
        <v>3.2</v>
      </c>
      <c r="J8">
        <v>7.5</v>
      </c>
      <c r="K8" s="3">
        <v>3958422</v>
      </c>
      <c r="L8">
        <v>11.7</v>
      </c>
      <c r="O8">
        <v>6</v>
      </c>
      <c r="P8">
        <v>12.1</v>
      </c>
      <c r="Q8">
        <v>11.2</v>
      </c>
      <c r="R8" s="3">
        <v>6501970</v>
      </c>
      <c r="S8" s="3">
        <v>36553710</v>
      </c>
      <c r="T8">
        <v>11.2</v>
      </c>
      <c r="U8">
        <v>0.4</v>
      </c>
      <c r="V8">
        <v>0.1</v>
      </c>
      <c r="W8">
        <v>3.1</v>
      </c>
      <c r="X8">
        <v>7.8</v>
      </c>
      <c r="Y8" s="3">
        <v>6385938</v>
      </c>
      <c r="Z8">
        <v>12.1</v>
      </c>
      <c r="AB8">
        <f t="shared" si="0"/>
        <v>6</v>
      </c>
      <c r="AC8">
        <f t="shared" si="1"/>
        <v>11.942232942025234</v>
      </c>
      <c r="AD8">
        <f t="shared" si="2"/>
        <v>11.121116471012618</v>
      </c>
      <c r="AE8">
        <f t="shared" si="3"/>
        <v>-0.82111647101261553</v>
      </c>
      <c r="AG8">
        <v>6</v>
      </c>
      <c r="AH8">
        <v>0.4</v>
      </c>
      <c r="AI8">
        <v>0.1</v>
      </c>
      <c r="AJ8">
        <v>3.1</v>
      </c>
      <c r="AK8">
        <v>7.8</v>
      </c>
    </row>
    <row r="9" spans="1:37" x14ac:dyDescent="0.25">
      <c r="A9">
        <v>7</v>
      </c>
      <c r="B9">
        <v>13</v>
      </c>
      <c r="C9">
        <v>12</v>
      </c>
      <c r="D9" s="3">
        <v>4186733</v>
      </c>
      <c r="E9" s="3">
        <v>22880870</v>
      </c>
      <c r="F9">
        <v>12</v>
      </c>
      <c r="G9">
        <v>0.5</v>
      </c>
      <c r="H9">
        <v>0.1</v>
      </c>
      <c r="I9">
        <v>3.7</v>
      </c>
      <c r="J9">
        <v>8.1</v>
      </c>
      <c r="K9" s="3">
        <v>3925571</v>
      </c>
      <c r="L9">
        <v>13</v>
      </c>
      <c r="O9">
        <v>7</v>
      </c>
      <c r="P9">
        <v>13.5</v>
      </c>
      <c r="Q9">
        <v>12.2</v>
      </c>
      <c r="R9" s="3">
        <v>6383480</v>
      </c>
      <c r="S9" s="3">
        <v>35999978</v>
      </c>
      <c r="T9">
        <v>12.2</v>
      </c>
      <c r="U9">
        <v>0.4</v>
      </c>
      <c r="V9">
        <v>0.1</v>
      </c>
      <c r="W9">
        <v>3.7</v>
      </c>
      <c r="X9">
        <v>8.3000000000000007</v>
      </c>
      <c r="Y9" s="3">
        <v>6294215</v>
      </c>
      <c r="Z9">
        <v>13.5</v>
      </c>
      <c r="AB9">
        <f t="shared" si="0"/>
        <v>7</v>
      </c>
      <c r="AC9">
        <f t="shared" si="1"/>
        <v>13.30195607221917</v>
      </c>
      <c r="AD9">
        <f t="shared" si="2"/>
        <v>12.120782428887667</v>
      </c>
      <c r="AE9">
        <f t="shared" si="3"/>
        <v>-1.181173643331503</v>
      </c>
      <c r="AG9">
        <v>7</v>
      </c>
      <c r="AH9">
        <v>0.4</v>
      </c>
      <c r="AI9">
        <v>0.1</v>
      </c>
      <c r="AJ9">
        <v>3.7</v>
      </c>
      <c r="AK9">
        <v>8.3000000000000007</v>
      </c>
    </row>
    <row r="10" spans="1:37" x14ac:dyDescent="0.25">
      <c r="A10">
        <v>8</v>
      </c>
      <c r="B10">
        <v>13.9</v>
      </c>
      <c r="C10">
        <v>13</v>
      </c>
      <c r="D10" s="3">
        <v>4138095</v>
      </c>
      <c r="E10" s="3">
        <v>22924980</v>
      </c>
      <c r="F10">
        <v>13</v>
      </c>
      <c r="G10">
        <v>0.5</v>
      </c>
      <c r="H10">
        <v>0.1</v>
      </c>
      <c r="I10">
        <v>4.3</v>
      </c>
      <c r="J10">
        <v>8.5</v>
      </c>
      <c r="K10" s="3">
        <v>3886545</v>
      </c>
      <c r="L10">
        <v>13.9</v>
      </c>
      <c r="O10">
        <v>8</v>
      </c>
      <c r="P10">
        <v>14.4</v>
      </c>
      <c r="Q10">
        <v>13.2</v>
      </c>
      <c r="R10" s="3">
        <v>6283590</v>
      </c>
      <c r="S10" s="3">
        <v>35618532</v>
      </c>
      <c r="T10">
        <v>13.2</v>
      </c>
      <c r="U10">
        <v>0.4</v>
      </c>
      <c r="V10">
        <v>0.2</v>
      </c>
      <c r="W10">
        <v>4.2</v>
      </c>
      <c r="X10">
        <v>8.6999999999999993</v>
      </c>
      <c r="Y10" s="3">
        <v>6199993</v>
      </c>
      <c r="Z10">
        <v>14.4</v>
      </c>
      <c r="AB10">
        <f t="shared" si="0"/>
        <v>8</v>
      </c>
      <c r="AC10">
        <f t="shared" si="1"/>
        <v>14.201467085217025</v>
      </c>
      <c r="AD10">
        <f t="shared" si="2"/>
        <v>13.12058683408681</v>
      </c>
      <c r="AE10">
        <f t="shared" si="3"/>
        <v>-1.0808802511302158</v>
      </c>
      <c r="AG10">
        <v>8</v>
      </c>
      <c r="AH10">
        <v>0.4</v>
      </c>
      <c r="AI10">
        <v>0.2</v>
      </c>
      <c r="AJ10">
        <v>4.2</v>
      </c>
      <c r="AK10">
        <v>8.6999999999999993</v>
      </c>
    </row>
    <row r="11" spans="1:37" x14ac:dyDescent="0.25">
      <c r="A11">
        <v>9</v>
      </c>
      <c r="B11">
        <v>14.6</v>
      </c>
      <c r="C11">
        <v>13.9</v>
      </c>
      <c r="D11" s="3">
        <v>4052490</v>
      </c>
      <c r="E11" s="3">
        <v>22650065</v>
      </c>
      <c r="F11">
        <v>13.9</v>
      </c>
      <c r="G11">
        <v>0.5</v>
      </c>
      <c r="H11">
        <v>0.2</v>
      </c>
      <c r="I11">
        <v>4.9000000000000004</v>
      </c>
      <c r="J11">
        <v>8.9</v>
      </c>
      <c r="K11" s="3">
        <v>3833376</v>
      </c>
      <c r="L11">
        <v>14.6</v>
      </c>
      <c r="O11">
        <v>9</v>
      </c>
      <c r="P11">
        <v>15</v>
      </c>
      <c r="Q11">
        <v>14</v>
      </c>
      <c r="R11" s="3">
        <v>6183096</v>
      </c>
      <c r="S11" s="3">
        <v>35219717</v>
      </c>
      <c r="T11">
        <v>14</v>
      </c>
      <c r="U11">
        <v>0.4</v>
      </c>
      <c r="V11">
        <v>0.2</v>
      </c>
      <c r="W11">
        <v>4.8</v>
      </c>
      <c r="X11">
        <v>9</v>
      </c>
      <c r="Y11" s="3">
        <v>6110338</v>
      </c>
      <c r="Z11">
        <v>15</v>
      </c>
      <c r="AB11">
        <f t="shared" si="0"/>
        <v>9</v>
      </c>
      <c r="AC11">
        <f t="shared" si="1"/>
        <v>14.841631343823401</v>
      </c>
      <c r="AD11">
        <f t="shared" si="2"/>
        <v>13.96040783595585</v>
      </c>
      <c r="AE11">
        <f t="shared" si="3"/>
        <v>-0.88122350786755099</v>
      </c>
      <c r="AG11">
        <v>9</v>
      </c>
      <c r="AH11">
        <v>0.4</v>
      </c>
      <c r="AI11">
        <v>0.2</v>
      </c>
      <c r="AJ11">
        <v>4.8</v>
      </c>
      <c r="AK11">
        <v>9</v>
      </c>
    </row>
    <row r="12" spans="1:37" x14ac:dyDescent="0.25">
      <c r="A12">
        <v>10</v>
      </c>
      <c r="B12">
        <v>15.2</v>
      </c>
      <c r="C12">
        <v>14.7</v>
      </c>
      <c r="D12" s="3">
        <v>3989240</v>
      </c>
      <c r="E12" s="3">
        <v>22510988</v>
      </c>
      <c r="F12">
        <v>14.7</v>
      </c>
      <c r="G12">
        <v>0.5</v>
      </c>
      <c r="H12">
        <v>0.2</v>
      </c>
      <c r="I12">
        <v>5.4</v>
      </c>
      <c r="J12">
        <v>9.1999999999999993</v>
      </c>
      <c r="K12" s="3">
        <v>3778404</v>
      </c>
      <c r="L12">
        <v>15.2</v>
      </c>
      <c r="O12">
        <v>10</v>
      </c>
      <c r="P12">
        <v>15.5</v>
      </c>
      <c r="Q12">
        <v>14.6</v>
      </c>
      <c r="R12" s="3">
        <v>6075091</v>
      </c>
      <c r="S12" s="3">
        <v>34761863</v>
      </c>
      <c r="T12">
        <v>14.6</v>
      </c>
      <c r="U12">
        <v>0.4</v>
      </c>
      <c r="V12">
        <v>0.2</v>
      </c>
      <c r="W12">
        <v>5.3</v>
      </c>
      <c r="X12">
        <v>9.1999999999999993</v>
      </c>
      <c r="Y12" s="3">
        <v>6005278</v>
      </c>
      <c r="Z12">
        <v>15.5</v>
      </c>
      <c r="AB12">
        <f t="shared" si="0"/>
        <v>10</v>
      </c>
      <c r="AC12">
        <f t="shared" si="1"/>
        <v>15.381087774239539</v>
      </c>
      <c r="AD12">
        <f t="shared" si="2"/>
        <v>14.63963740858682</v>
      </c>
      <c r="AE12">
        <f t="shared" si="3"/>
        <v>-0.74145036565271916</v>
      </c>
      <c r="AG12">
        <v>10</v>
      </c>
      <c r="AH12">
        <v>0.4</v>
      </c>
      <c r="AI12">
        <v>0.2</v>
      </c>
      <c r="AJ12">
        <v>5.3</v>
      </c>
      <c r="AK12">
        <v>9.1999999999999993</v>
      </c>
    </row>
    <row r="13" spans="1:37" x14ac:dyDescent="0.25">
      <c r="A13">
        <v>11</v>
      </c>
      <c r="B13">
        <v>16</v>
      </c>
      <c r="C13">
        <v>15.4</v>
      </c>
      <c r="D13" s="3">
        <v>3921532</v>
      </c>
      <c r="E13" s="3">
        <v>22415801</v>
      </c>
      <c r="F13">
        <v>15.4</v>
      </c>
      <c r="G13">
        <v>0.5</v>
      </c>
      <c r="H13">
        <v>0.2</v>
      </c>
      <c r="I13">
        <v>5.8</v>
      </c>
      <c r="J13">
        <v>9.5</v>
      </c>
      <c r="K13" s="3">
        <v>3736020</v>
      </c>
      <c r="L13">
        <v>16</v>
      </c>
      <c r="O13">
        <v>11</v>
      </c>
      <c r="P13">
        <v>16.2</v>
      </c>
      <c r="Q13">
        <v>15.3</v>
      </c>
      <c r="R13" s="3">
        <v>5960388</v>
      </c>
      <c r="S13" s="3">
        <v>34273840</v>
      </c>
      <c r="T13">
        <v>15.3</v>
      </c>
      <c r="U13">
        <v>0.4</v>
      </c>
      <c r="V13">
        <v>0.3</v>
      </c>
      <c r="W13">
        <v>5.8</v>
      </c>
      <c r="X13">
        <v>9.4</v>
      </c>
      <c r="Y13" s="3">
        <v>5900445</v>
      </c>
      <c r="Z13">
        <v>16.2</v>
      </c>
      <c r="AB13">
        <f t="shared" si="0"/>
        <v>11</v>
      </c>
      <c r="AC13">
        <f t="shared" si="1"/>
        <v>16.120632184838573</v>
      </c>
      <c r="AD13">
        <f t="shared" si="2"/>
        <v>15.339683907580715</v>
      </c>
      <c r="AE13">
        <f t="shared" si="3"/>
        <v>-0.78094827725785798</v>
      </c>
      <c r="AG13">
        <v>11</v>
      </c>
      <c r="AH13">
        <v>0.4</v>
      </c>
      <c r="AI13">
        <v>0.3</v>
      </c>
      <c r="AJ13">
        <v>5.8</v>
      </c>
      <c r="AK13">
        <v>9.4</v>
      </c>
    </row>
    <row r="14" spans="1:37" x14ac:dyDescent="0.25">
      <c r="A14">
        <v>12</v>
      </c>
      <c r="B14">
        <v>16.8</v>
      </c>
      <c r="C14">
        <v>15.9</v>
      </c>
      <c r="D14" s="3">
        <v>3857380</v>
      </c>
      <c r="E14" s="3">
        <v>22271438</v>
      </c>
      <c r="F14">
        <v>15.9</v>
      </c>
      <c r="G14">
        <v>0.5</v>
      </c>
      <c r="H14">
        <v>0.2</v>
      </c>
      <c r="I14">
        <v>6.2</v>
      </c>
      <c r="J14">
        <v>9.6999999999999993</v>
      </c>
      <c r="K14" s="3">
        <v>3687391</v>
      </c>
      <c r="L14">
        <v>16.8</v>
      </c>
      <c r="O14">
        <v>12</v>
      </c>
      <c r="P14">
        <v>17.2</v>
      </c>
      <c r="Q14">
        <v>15.9</v>
      </c>
      <c r="R14" s="3">
        <v>5855562</v>
      </c>
      <c r="S14" s="3">
        <v>33822476</v>
      </c>
      <c r="T14">
        <v>15.9</v>
      </c>
      <c r="U14">
        <v>0.4</v>
      </c>
      <c r="V14">
        <v>0.3</v>
      </c>
      <c r="W14">
        <v>6.1</v>
      </c>
      <c r="X14">
        <v>9.6</v>
      </c>
      <c r="Y14" s="3">
        <v>5803945</v>
      </c>
      <c r="Z14">
        <v>17.2</v>
      </c>
      <c r="AB14">
        <f t="shared" si="0"/>
        <v>12</v>
      </c>
      <c r="AC14">
        <f t="shared" si="1"/>
        <v>17.041144732461078</v>
      </c>
      <c r="AD14">
        <f t="shared" si="2"/>
        <v>15.9</v>
      </c>
      <c r="AE14">
        <f t="shared" si="3"/>
        <v>-1.1411447324610773</v>
      </c>
      <c r="AG14">
        <v>12</v>
      </c>
      <c r="AH14">
        <v>0.4</v>
      </c>
      <c r="AI14">
        <v>0.3</v>
      </c>
      <c r="AJ14">
        <v>6.1</v>
      </c>
      <c r="AK14">
        <v>9.6</v>
      </c>
    </row>
    <row r="15" spans="1:37" x14ac:dyDescent="0.25">
      <c r="A15">
        <v>13</v>
      </c>
      <c r="B15">
        <v>17.7</v>
      </c>
      <c r="C15">
        <v>16.399999999999999</v>
      </c>
      <c r="D15" s="3">
        <v>3784588</v>
      </c>
      <c r="E15" s="3">
        <v>22096687</v>
      </c>
      <c r="F15">
        <v>16.399999999999999</v>
      </c>
      <c r="G15">
        <v>0.5</v>
      </c>
      <c r="H15">
        <v>0.3</v>
      </c>
      <c r="I15">
        <v>6.5</v>
      </c>
      <c r="J15">
        <v>9.9</v>
      </c>
      <c r="K15" s="3">
        <v>3641831</v>
      </c>
      <c r="L15">
        <v>17.7</v>
      </c>
      <c r="O15">
        <v>13</v>
      </c>
      <c r="P15">
        <v>18.2</v>
      </c>
      <c r="Q15">
        <v>16.3</v>
      </c>
      <c r="R15" s="3">
        <v>5752208</v>
      </c>
      <c r="S15" s="3">
        <v>33334060</v>
      </c>
      <c r="T15">
        <v>16.3</v>
      </c>
      <c r="U15">
        <v>0.4</v>
      </c>
      <c r="V15">
        <v>0.3</v>
      </c>
      <c r="W15">
        <v>6.4</v>
      </c>
      <c r="X15">
        <v>9.8000000000000007</v>
      </c>
      <c r="Y15" s="3">
        <v>5698713</v>
      </c>
      <c r="Z15">
        <v>18.2</v>
      </c>
      <c r="AB15">
        <f t="shared" si="0"/>
        <v>13</v>
      </c>
      <c r="AC15">
        <f t="shared" si="1"/>
        <v>18.001579691963631</v>
      </c>
      <c r="AD15">
        <f t="shared" si="2"/>
        <v>16.339684061607272</v>
      </c>
      <c r="AE15">
        <f t="shared" si="3"/>
        <v>-1.6618956303563586</v>
      </c>
      <c r="AG15">
        <v>13</v>
      </c>
      <c r="AH15">
        <v>0.4</v>
      </c>
      <c r="AI15">
        <v>0.3</v>
      </c>
      <c r="AJ15">
        <v>6.4</v>
      </c>
      <c r="AK15">
        <v>9.8000000000000007</v>
      </c>
    </row>
    <row r="16" spans="1:37" x14ac:dyDescent="0.25">
      <c r="A16">
        <v>14</v>
      </c>
      <c r="B16">
        <v>18.2</v>
      </c>
      <c r="C16">
        <v>16.899999999999999</v>
      </c>
      <c r="D16" s="3">
        <v>3728354</v>
      </c>
      <c r="E16" s="3">
        <v>22029729</v>
      </c>
      <c r="F16">
        <v>16.899999999999999</v>
      </c>
      <c r="G16">
        <v>0.5</v>
      </c>
      <c r="H16">
        <v>0.3</v>
      </c>
      <c r="I16">
        <v>6.7</v>
      </c>
      <c r="J16">
        <v>10.199999999999999</v>
      </c>
      <c r="K16" s="3">
        <v>3593673</v>
      </c>
      <c r="L16">
        <v>18.2</v>
      </c>
      <c r="O16">
        <v>14</v>
      </c>
      <c r="P16">
        <v>18.600000000000001</v>
      </c>
      <c r="Q16">
        <v>16.8</v>
      </c>
      <c r="R16" s="3">
        <v>5630537</v>
      </c>
      <c r="S16" s="3">
        <v>32778201</v>
      </c>
      <c r="T16">
        <v>16.8</v>
      </c>
      <c r="U16">
        <v>0.4</v>
      </c>
      <c r="V16">
        <v>0.4</v>
      </c>
      <c r="W16">
        <v>6.7</v>
      </c>
      <c r="X16">
        <v>10</v>
      </c>
      <c r="Y16" s="3">
        <v>5582243</v>
      </c>
      <c r="Z16">
        <v>18.600000000000001</v>
      </c>
      <c r="AB16">
        <f t="shared" si="0"/>
        <v>14</v>
      </c>
      <c r="AC16">
        <f t="shared" si="1"/>
        <v>18.440649752198205</v>
      </c>
      <c r="AD16">
        <f t="shared" si="2"/>
        <v>16.839837561950446</v>
      </c>
      <c r="AE16">
        <f t="shared" si="3"/>
        <v>-1.6008121902477583</v>
      </c>
      <c r="AG16">
        <v>14</v>
      </c>
      <c r="AH16">
        <v>0.4</v>
      </c>
      <c r="AI16">
        <v>0.4</v>
      </c>
      <c r="AJ16">
        <v>6.7</v>
      </c>
      <c r="AK16">
        <v>10</v>
      </c>
    </row>
    <row r="17" spans="1:37" x14ac:dyDescent="0.25">
      <c r="A17">
        <v>15</v>
      </c>
      <c r="B17">
        <v>18.600000000000001</v>
      </c>
      <c r="C17">
        <v>17.2</v>
      </c>
      <c r="D17" s="3">
        <v>3654840</v>
      </c>
      <c r="E17" s="3">
        <v>21856123</v>
      </c>
      <c r="F17">
        <v>17.2</v>
      </c>
      <c r="G17">
        <v>0.5</v>
      </c>
      <c r="H17">
        <v>0.3</v>
      </c>
      <c r="I17">
        <v>6.9</v>
      </c>
      <c r="J17">
        <v>10.3</v>
      </c>
      <c r="K17" s="3">
        <v>3553259</v>
      </c>
      <c r="L17">
        <v>18.600000000000001</v>
      </c>
      <c r="O17">
        <v>15</v>
      </c>
      <c r="P17">
        <v>18.899999999999999</v>
      </c>
      <c r="Q17">
        <v>17.2</v>
      </c>
      <c r="R17" s="3">
        <v>5526671</v>
      </c>
      <c r="S17" s="3">
        <v>32357522</v>
      </c>
      <c r="T17">
        <v>17.2</v>
      </c>
      <c r="U17">
        <v>0.4</v>
      </c>
      <c r="V17">
        <v>0.4</v>
      </c>
      <c r="W17">
        <v>6.9</v>
      </c>
      <c r="X17">
        <v>10.199999999999999</v>
      </c>
      <c r="Y17" s="3">
        <v>5477101</v>
      </c>
      <c r="Z17">
        <v>18.899999999999999</v>
      </c>
      <c r="AB17">
        <f t="shared" si="0"/>
        <v>15</v>
      </c>
      <c r="AC17">
        <f t="shared" si="1"/>
        <v>18.78058044040899</v>
      </c>
      <c r="AD17">
        <f t="shared" si="2"/>
        <v>17.2</v>
      </c>
      <c r="AE17">
        <f t="shared" si="3"/>
        <v>-1.5805804404089905</v>
      </c>
      <c r="AG17">
        <v>15</v>
      </c>
      <c r="AH17">
        <v>0.4</v>
      </c>
      <c r="AI17">
        <v>0.4</v>
      </c>
      <c r="AJ17">
        <v>6.9</v>
      </c>
      <c r="AK17">
        <v>10.199999999999999</v>
      </c>
    </row>
    <row r="18" spans="1:37" x14ac:dyDescent="0.25">
      <c r="A18">
        <v>16</v>
      </c>
      <c r="B18">
        <v>19.100000000000001</v>
      </c>
      <c r="C18">
        <v>17.600000000000001</v>
      </c>
      <c r="D18" s="3">
        <v>3596289</v>
      </c>
      <c r="E18" s="3">
        <v>21685043</v>
      </c>
      <c r="F18">
        <v>17.600000000000001</v>
      </c>
      <c r="G18">
        <v>0.5</v>
      </c>
      <c r="H18">
        <v>0.4</v>
      </c>
      <c r="I18">
        <v>7</v>
      </c>
      <c r="J18">
        <v>10.5</v>
      </c>
      <c r="K18" s="3">
        <v>3502911</v>
      </c>
      <c r="L18">
        <v>19.100000000000001</v>
      </c>
      <c r="O18">
        <v>16</v>
      </c>
      <c r="P18">
        <v>19.2</v>
      </c>
      <c r="Q18">
        <v>17.600000000000001</v>
      </c>
      <c r="R18" s="3">
        <v>5413213</v>
      </c>
      <c r="S18" s="3">
        <v>31855773</v>
      </c>
      <c r="T18">
        <v>17.600000000000001</v>
      </c>
      <c r="U18">
        <v>0.4</v>
      </c>
      <c r="V18">
        <v>0.5</v>
      </c>
      <c r="W18">
        <v>7</v>
      </c>
      <c r="X18">
        <v>10.5</v>
      </c>
      <c r="Y18" s="3">
        <v>5364952</v>
      </c>
      <c r="Z18">
        <v>19.2</v>
      </c>
      <c r="AB18">
        <f t="shared" si="0"/>
        <v>16</v>
      </c>
      <c r="AC18">
        <f t="shared" si="1"/>
        <v>19.160083376417475</v>
      </c>
      <c r="AD18">
        <f t="shared" si="2"/>
        <v>17.600000000000001</v>
      </c>
      <c r="AE18">
        <f t="shared" si="3"/>
        <v>-1.5600833764174737</v>
      </c>
      <c r="AG18">
        <v>16</v>
      </c>
      <c r="AH18">
        <v>0.4</v>
      </c>
      <c r="AI18">
        <v>0.5</v>
      </c>
      <c r="AJ18">
        <v>7</v>
      </c>
      <c r="AK18">
        <v>10.5</v>
      </c>
    </row>
    <row r="19" spans="1:37" x14ac:dyDescent="0.25">
      <c r="A19">
        <v>17</v>
      </c>
      <c r="B19">
        <v>19.5</v>
      </c>
      <c r="C19">
        <v>17.899999999999999</v>
      </c>
      <c r="D19" s="3">
        <v>3514249</v>
      </c>
      <c r="E19" s="3">
        <v>21432348</v>
      </c>
      <c r="F19">
        <v>17.899999999999999</v>
      </c>
      <c r="G19">
        <v>0.5</v>
      </c>
      <c r="H19">
        <v>0.4</v>
      </c>
      <c r="I19">
        <v>7.2</v>
      </c>
      <c r="J19">
        <v>10.7</v>
      </c>
      <c r="K19" s="3">
        <v>3435489</v>
      </c>
      <c r="L19">
        <v>19.5</v>
      </c>
      <c r="O19">
        <v>17</v>
      </c>
      <c r="P19">
        <v>19.600000000000001</v>
      </c>
      <c r="Q19">
        <v>17.899999999999999</v>
      </c>
      <c r="R19" s="3">
        <v>5302342</v>
      </c>
      <c r="S19" s="3">
        <v>31313559</v>
      </c>
      <c r="T19">
        <v>17.899999999999999</v>
      </c>
      <c r="U19">
        <v>0.4</v>
      </c>
      <c r="V19">
        <v>0.5</v>
      </c>
      <c r="W19">
        <v>7.1</v>
      </c>
      <c r="X19">
        <v>10.7</v>
      </c>
      <c r="Y19" s="3">
        <v>5258281</v>
      </c>
      <c r="Z19">
        <v>19.600000000000001</v>
      </c>
      <c r="AB19">
        <f t="shared" si="0"/>
        <v>17</v>
      </c>
      <c r="AC19">
        <f t="shared" si="1"/>
        <v>19.560140501016775</v>
      </c>
      <c r="AD19">
        <f t="shared" si="2"/>
        <v>17.899999999999999</v>
      </c>
      <c r="AE19">
        <f t="shared" si="3"/>
        <v>-1.6601405010167767</v>
      </c>
      <c r="AG19">
        <v>17</v>
      </c>
      <c r="AH19">
        <v>0.4</v>
      </c>
      <c r="AI19">
        <v>0.5</v>
      </c>
      <c r="AJ19">
        <v>7.1</v>
      </c>
      <c r="AK19">
        <v>10.7</v>
      </c>
    </row>
    <row r="20" spans="1:37" x14ac:dyDescent="0.25">
      <c r="A20">
        <v>18</v>
      </c>
      <c r="B20">
        <v>20.100000000000001</v>
      </c>
      <c r="C20">
        <v>18.100000000000001</v>
      </c>
      <c r="D20" s="3">
        <v>3441512</v>
      </c>
      <c r="E20" s="3">
        <v>21207795</v>
      </c>
      <c r="F20">
        <v>18.100000000000001</v>
      </c>
      <c r="G20">
        <v>0.5</v>
      </c>
      <c r="H20">
        <v>0.5</v>
      </c>
      <c r="I20">
        <v>7.3</v>
      </c>
      <c r="J20">
        <v>10.8</v>
      </c>
      <c r="K20" s="3">
        <v>3376598</v>
      </c>
      <c r="L20">
        <v>20.100000000000001</v>
      </c>
      <c r="O20">
        <v>18</v>
      </c>
      <c r="P20">
        <v>19.899999999999999</v>
      </c>
      <c r="Q20">
        <v>18.2</v>
      </c>
      <c r="R20" s="3">
        <v>5193002</v>
      </c>
      <c r="S20" s="3">
        <v>30760041</v>
      </c>
      <c r="T20">
        <v>18.2</v>
      </c>
      <c r="U20">
        <v>0.5</v>
      </c>
      <c r="V20">
        <v>0.6</v>
      </c>
      <c r="W20">
        <v>7.3</v>
      </c>
      <c r="X20">
        <v>10.8</v>
      </c>
      <c r="Y20" s="3">
        <v>5150906</v>
      </c>
      <c r="Z20">
        <v>19.899999999999999</v>
      </c>
      <c r="AB20">
        <f t="shared" si="0"/>
        <v>18</v>
      </c>
      <c r="AC20">
        <f t="shared" si="1"/>
        <v>19.97971524511976</v>
      </c>
      <c r="AD20">
        <f t="shared" si="2"/>
        <v>18.16014237744012</v>
      </c>
      <c r="AE20">
        <f t="shared" si="3"/>
        <v>-1.8195728676796392</v>
      </c>
      <c r="AG20">
        <v>18</v>
      </c>
      <c r="AH20">
        <v>0.5</v>
      </c>
      <c r="AI20">
        <v>0.6</v>
      </c>
      <c r="AJ20">
        <v>7.3</v>
      </c>
      <c r="AK20">
        <v>10.8</v>
      </c>
    </row>
    <row r="21" spans="1:37" x14ac:dyDescent="0.25">
      <c r="A21">
        <v>19</v>
      </c>
      <c r="B21">
        <v>20.6</v>
      </c>
      <c r="C21">
        <v>18.2</v>
      </c>
      <c r="D21" s="3">
        <v>3362535</v>
      </c>
      <c r="E21" s="3">
        <v>20920244</v>
      </c>
      <c r="F21">
        <v>18.2</v>
      </c>
      <c r="G21">
        <v>0.5</v>
      </c>
      <c r="H21">
        <v>0.5</v>
      </c>
      <c r="I21">
        <v>7.3</v>
      </c>
      <c r="J21">
        <v>10.8</v>
      </c>
      <c r="K21" s="3">
        <v>3312562</v>
      </c>
      <c r="L21">
        <v>20.6</v>
      </c>
      <c r="O21">
        <v>19</v>
      </c>
      <c r="P21">
        <v>20.3</v>
      </c>
      <c r="Q21">
        <v>18.3</v>
      </c>
      <c r="R21" s="3">
        <v>5080405</v>
      </c>
      <c r="S21" s="3">
        <v>30147432</v>
      </c>
      <c r="T21">
        <v>18.3</v>
      </c>
      <c r="U21">
        <v>0.5</v>
      </c>
      <c r="V21">
        <v>0.6</v>
      </c>
      <c r="W21">
        <v>7.3</v>
      </c>
      <c r="X21">
        <v>10.9</v>
      </c>
      <c r="Y21" s="3">
        <v>5034176</v>
      </c>
      <c r="Z21">
        <v>20.3</v>
      </c>
      <c r="AB21">
        <f t="shared" si="0"/>
        <v>19</v>
      </c>
      <c r="AC21">
        <f t="shared" si="1"/>
        <v>20.419479766526827</v>
      </c>
      <c r="AD21">
        <f t="shared" si="2"/>
        <v>18.260173411157723</v>
      </c>
      <c r="AE21">
        <f t="shared" si="3"/>
        <v>-2.1593063553691039</v>
      </c>
      <c r="AG21">
        <v>19</v>
      </c>
      <c r="AH21">
        <v>0.5</v>
      </c>
      <c r="AI21">
        <v>0.6</v>
      </c>
      <c r="AJ21">
        <v>7.3</v>
      </c>
      <c r="AK21">
        <v>10.9</v>
      </c>
    </row>
    <row r="22" spans="1:37" x14ac:dyDescent="0.25">
      <c r="A22">
        <v>20</v>
      </c>
      <c r="B22">
        <v>20.8</v>
      </c>
      <c r="C22">
        <v>18.100000000000001</v>
      </c>
      <c r="D22" s="3">
        <v>3296135</v>
      </c>
      <c r="E22" s="3">
        <v>20649806</v>
      </c>
      <c r="F22">
        <v>18.100000000000001</v>
      </c>
      <c r="G22">
        <v>0.5</v>
      </c>
      <c r="H22">
        <v>0.5</v>
      </c>
      <c r="I22">
        <v>7.4</v>
      </c>
      <c r="J22">
        <v>10.6</v>
      </c>
      <c r="K22" s="3">
        <v>3260086</v>
      </c>
      <c r="L22">
        <v>20.8</v>
      </c>
      <c r="O22">
        <v>20</v>
      </c>
      <c r="P22">
        <v>20.399999999999999</v>
      </c>
      <c r="Q22">
        <v>18.399999999999999</v>
      </c>
      <c r="R22" s="3">
        <v>4973639</v>
      </c>
      <c r="S22" s="3">
        <v>29667601</v>
      </c>
      <c r="T22">
        <v>18.399999999999999</v>
      </c>
      <c r="U22">
        <v>0.5</v>
      </c>
      <c r="V22">
        <v>0.7</v>
      </c>
      <c r="W22">
        <v>7.4</v>
      </c>
      <c r="X22">
        <v>10.8</v>
      </c>
      <c r="Y22" s="3">
        <v>4935991</v>
      </c>
      <c r="Z22">
        <v>20.399999999999999</v>
      </c>
      <c r="AB22">
        <f t="shared" si="0"/>
        <v>20</v>
      </c>
      <c r="AC22">
        <f t="shared" si="1"/>
        <v>20.559430475367282</v>
      </c>
      <c r="AD22">
        <f t="shared" si="2"/>
        <v>18.280427143474537</v>
      </c>
      <c r="AE22">
        <f t="shared" si="3"/>
        <v>-2.2790033318927456</v>
      </c>
      <c r="AG22">
        <v>20</v>
      </c>
      <c r="AH22">
        <v>0.5</v>
      </c>
      <c r="AI22">
        <v>0.7</v>
      </c>
      <c r="AJ22">
        <v>7.4</v>
      </c>
      <c r="AK22">
        <v>10.8</v>
      </c>
    </row>
    <row r="23" spans="1:37" x14ac:dyDescent="0.25">
      <c r="A23">
        <v>21</v>
      </c>
      <c r="B23">
        <v>20.5</v>
      </c>
      <c r="C23">
        <v>18</v>
      </c>
      <c r="D23" s="3">
        <v>3224690</v>
      </c>
      <c r="E23" s="3">
        <v>20333956</v>
      </c>
      <c r="F23">
        <v>18</v>
      </c>
      <c r="G23">
        <v>0.5</v>
      </c>
      <c r="H23">
        <v>0.6</v>
      </c>
      <c r="I23">
        <v>7.5</v>
      </c>
      <c r="J23">
        <v>10.4</v>
      </c>
      <c r="K23" s="3">
        <v>3191135</v>
      </c>
      <c r="L23">
        <v>20.5</v>
      </c>
      <c r="O23">
        <v>21</v>
      </c>
      <c r="P23">
        <v>20</v>
      </c>
      <c r="Q23">
        <v>18.3</v>
      </c>
      <c r="R23" s="3">
        <v>4866482</v>
      </c>
      <c r="S23" s="3">
        <v>29153793</v>
      </c>
      <c r="T23">
        <v>18.3</v>
      </c>
      <c r="U23">
        <v>0.5</v>
      </c>
      <c r="V23">
        <v>0.7</v>
      </c>
      <c r="W23">
        <v>7.5</v>
      </c>
      <c r="X23">
        <v>10.6</v>
      </c>
      <c r="Y23" s="3">
        <v>4832220</v>
      </c>
      <c r="Z23">
        <v>20</v>
      </c>
      <c r="AB23">
        <f t="shared" si="0"/>
        <v>21</v>
      </c>
      <c r="AC23">
        <f t="shared" si="1"/>
        <v>20.199272120281215</v>
      </c>
      <c r="AD23">
        <f t="shared" si="2"/>
        <v>18.180436727831275</v>
      </c>
      <c r="AE23">
        <f t="shared" si="3"/>
        <v>-2.0188353924499403</v>
      </c>
      <c r="AG23">
        <v>21</v>
      </c>
      <c r="AH23">
        <v>0.5</v>
      </c>
      <c r="AI23">
        <v>0.7</v>
      </c>
      <c r="AJ23">
        <v>7.5</v>
      </c>
      <c r="AK23">
        <v>10.6</v>
      </c>
    </row>
    <row r="24" spans="1:37" x14ac:dyDescent="0.25">
      <c r="A24">
        <v>22</v>
      </c>
      <c r="B24">
        <v>20</v>
      </c>
      <c r="C24">
        <v>17.899999999999999</v>
      </c>
      <c r="D24" s="3">
        <v>3159172</v>
      </c>
      <c r="E24" s="3">
        <v>20044246</v>
      </c>
      <c r="F24">
        <v>17.899999999999999</v>
      </c>
      <c r="G24">
        <v>0.5</v>
      </c>
      <c r="H24">
        <v>0.6</v>
      </c>
      <c r="I24">
        <v>7.5</v>
      </c>
      <c r="J24">
        <v>10.199999999999999</v>
      </c>
      <c r="K24" s="3">
        <v>3129116</v>
      </c>
      <c r="L24">
        <v>20</v>
      </c>
      <c r="O24">
        <v>22</v>
      </c>
      <c r="P24">
        <v>19.8</v>
      </c>
      <c r="Q24">
        <v>18.3</v>
      </c>
      <c r="R24" s="3">
        <v>4767533</v>
      </c>
      <c r="S24" s="3">
        <v>28709098</v>
      </c>
      <c r="T24">
        <v>18.3</v>
      </c>
      <c r="U24">
        <v>0.5</v>
      </c>
      <c r="V24">
        <v>0.8</v>
      </c>
      <c r="W24">
        <v>7.5</v>
      </c>
      <c r="X24">
        <v>10.4</v>
      </c>
      <c r="Y24" s="3">
        <v>4732317</v>
      </c>
      <c r="Z24">
        <v>19.8</v>
      </c>
      <c r="AB24">
        <f t="shared" si="0"/>
        <v>22</v>
      </c>
      <c r="AC24">
        <f t="shared" si="1"/>
        <v>19.879709589293409</v>
      </c>
      <c r="AD24">
        <f t="shared" si="2"/>
        <v>18.140580821413185</v>
      </c>
      <c r="AE24">
        <f t="shared" si="3"/>
        <v>-1.7391287678802243</v>
      </c>
      <c r="AG24">
        <v>22</v>
      </c>
      <c r="AH24">
        <v>0.5</v>
      </c>
      <c r="AI24">
        <v>0.8</v>
      </c>
      <c r="AJ24">
        <v>7.5</v>
      </c>
      <c r="AK24">
        <v>10.4</v>
      </c>
    </row>
    <row r="25" spans="1:37" x14ac:dyDescent="0.25">
      <c r="A25">
        <v>23</v>
      </c>
      <c r="B25">
        <v>19.8</v>
      </c>
      <c r="C25">
        <v>17.899999999999999</v>
      </c>
      <c r="D25" s="3">
        <v>3092420</v>
      </c>
      <c r="E25" s="3">
        <v>19743622</v>
      </c>
      <c r="F25">
        <v>17.899999999999999</v>
      </c>
      <c r="G25">
        <v>0.5</v>
      </c>
      <c r="H25">
        <v>0.7</v>
      </c>
      <c r="I25">
        <v>7.6</v>
      </c>
      <c r="J25">
        <v>10.1</v>
      </c>
      <c r="K25" s="3">
        <v>3070807</v>
      </c>
      <c r="L25">
        <v>19.8</v>
      </c>
      <c r="O25">
        <v>23</v>
      </c>
      <c r="P25">
        <v>19.7</v>
      </c>
      <c r="Q25">
        <v>18.3</v>
      </c>
      <c r="R25" s="3">
        <v>4666759</v>
      </c>
      <c r="S25" s="3">
        <v>28195768</v>
      </c>
      <c r="T25">
        <v>18.3</v>
      </c>
      <c r="U25">
        <v>0.5</v>
      </c>
      <c r="V25">
        <v>0.8</v>
      </c>
      <c r="W25">
        <v>7.6</v>
      </c>
      <c r="X25">
        <v>10.3</v>
      </c>
      <c r="Y25" s="3">
        <v>4636030</v>
      </c>
      <c r="Z25">
        <v>19.7</v>
      </c>
      <c r="AB25">
        <f t="shared" si="0"/>
        <v>23</v>
      </c>
      <c r="AC25">
        <f t="shared" si="1"/>
        <v>19.739854989812713</v>
      </c>
      <c r="AD25">
        <f t="shared" si="2"/>
        <v>18.140580040749153</v>
      </c>
      <c r="AE25">
        <f t="shared" si="3"/>
        <v>-1.5992749490635596</v>
      </c>
      <c r="AG25">
        <v>23</v>
      </c>
      <c r="AH25">
        <v>0.5</v>
      </c>
      <c r="AI25">
        <v>0.8</v>
      </c>
      <c r="AJ25">
        <v>7.6</v>
      </c>
      <c r="AK25">
        <v>10.3</v>
      </c>
    </row>
    <row r="26" spans="1:37" x14ac:dyDescent="0.25">
      <c r="A26">
        <v>24</v>
      </c>
      <c r="B26">
        <v>19.8</v>
      </c>
      <c r="C26">
        <v>18</v>
      </c>
      <c r="D26" s="3">
        <v>3035368</v>
      </c>
      <c r="E26" s="3">
        <v>19477388</v>
      </c>
      <c r="F26">
        <v>18</v>
      </c>
      <c r="G26">
        <v>0.5</v>
      </c>
      <c r="H26">
        <v>0.7</v>
      </c>
      <c r="I26">
        <v>7.7</v>
      </c>
      <c r="J26">
        <v>10</v>
      </c>
      <c r="K26" s="3">
        <v>3014398</v>
      </c>
      <c r="L26">
        <v>19.8</v>
      </c>
      <c r="O26">
        <v>24</v>
      </c>
      <c r="P26">
        <v>19.7</v>
      </c>
      <c r="Q26">
        <v>18.3</v>
      </c>
      <c r="R26" s="3">
        <v>4577706</v>
      </c>
      <c r="S26" s="3">
        <v>27720778</v>
      </c>
      <c r="T26">
        <v>18.3</v>
      </c>
      <c r="U26">
        <v>0.5</v>
      </c>
      <c r="V26">
        <v>0.9</v>
      </c>
      <c r="W26">
        <v>7.8</v>
      </c>
      <c r="X26">
        <v>10.199999999999999</v>
      </c>
      <c r="Y26" s="3">
        <v>4547759</v>
      </c>
      <c r="Z26">
        <v>19.7</v>
      </c>
      <c r="AB26">
        <f t="shared" si="0"/>
        <v>24</v>
      </c>
      <c r="AC26">
        <f t="shared" si="1"/>
        <v>19.739870464939653</v>
      </c>
      <c r="AD26">
        <f t="shared" si="2"/>
        <v>18.180388605181037</v>
      </c>
      <c r="AE26">
        <f t="shared" si="3"/>
        <v>-1.5594818597586162</v>
      </c>
      <c r="AG26">
        <v>24</v>
      </c>
      <c r="AH26">
        <v>0.5</v>
      </c>
      <c r="AI26">
        <v>0.9</v>
      </c>
      <c r="AJ26">
        <v>7.8</v>
      </c>
      <c r="AK26">
        <v>10.199999999999999</v>
      </c>
    </row>
    <row r="27" spans="1:37" x14ac:dyDescent="0.25">
      <c r="A27">
        <v>25</v>
      </c>
      <c r="B27">
        <v>19.8</v>
      </c>
      <c r="C27">
        <v>18.100000000000001</v>
      </c>
      <c r="D27" s="3">
        <v>2977495</v>
      </c>
      <c r="E27" s="3">
        <v>19147020</v>
      </c>
      <c r="F27">
        <v>18.100000000000001</v>
      </c>
      <c r="G27">
        <v>0.5</v>
      </c>
      <c r="H27">
        <v>0.7</v>
      </c>
      <c r="I27">
        <v>7.9</v>
      </c>
      <c r="J27">
        <v>9.9</v>
      </c>
      <c r="K27" s="3">
        <v>2951032</v>
      </c>
      <c r="L27">
        <v>19.8</v>
      </c>
      <c r="O27">
        <v>25</v>
      </c>
      <c r="P27">
        <v>19.899999999999999</v>
      </c>
      <c r="Q27">
        <v>18.399999999999999</v>
      </c>
      <c r="R27" s="3">
        <v>4483995</v>
      </c>
      <c r="S27" s="3">
        <v>27273072</v>
      </c>
      <c r="T27">
        <v>18.399999999999999</v>
      </c>
      <c r="U27">
        <v>0.5</v>
      </c>
      <c r="V27">
        <v>0.9</v>
      </c>
      <c r="W27">
        <v>7.9</v>
      </c>
      <c r="X27">
        <v>10.1</v>
      </c>
      <c r="Y27" s="3">
        <v>4448401</v>
      </c>
      <c r="Z27">
        <v>19.899999999999999</v>
      </c>
      <c r="AB27">
        <f t="shared" si="0"/>
        <v>25</v>
      </c>
      <c r="AC27">
        <f t="shared" si="1"/>
        <v>19.860095168659342</v>
      </c>
      <c r="AD27">
        <f t="shared" si="2"/>
        <v>18.280285505978028</v>
      </c>
      <c r="AE27">
        <f t="shared" si="3"/>
        <v>-1.5798096626813134</v>
      </c>
      <c r="AG27">
        <v>25</v>
      </c>
      <c r="AH27">
        <v>0.5</v>
      </c>
      <c r="AI27">
        <v>0.9</v>
      </c>
      <c r="AJ27">
        <v>7.9</v>
      </c>
      <c r="AK27">
        <v>10.1</v>
      </c>
    </row>
    <row r="28" spans="1:37" x14ac:dyDescent="0.25">
      <c r="A28">
        <v>26</v>
      </c>
      <c r="B28">
        <v>19.8</v>
      </c>
      <c r="C28">
        <v>18.2</v>
      </c>
      <c r="D28" s="3">
        <v>2911184</v>
      </c>
      <c r="E28" s="3">
        <v>18851004</v>
      </c>
      <c r="F28">
        <v>18.2</v>
      </c>
      <c r="G28">
        <v>0.5</v>
      </c>
      <c r="H28">
        <v>0.8</v>
      </c>
      <c r="I28">
        <v>7.9</v>
      </c>
      <c r="J28">
        <v>9.9</v>
      </c>
      <c r="K28" s="3">
        <v>2887142</v>
      </c>
      <c r="L28">
        <v>19.8</v>
      </c>
      <c r="O28">
        <v>26</v>
      </c>
      <c r="P28">
        <v>19.8</v>
      </c>
      <c r="Q28">
        <v>18.5</v>
      </c>
      <c r="R28" s="3">
        <v>4384356</v>
      </c>
      <c r="S28" s="3">
        <v>26734598</v>
      </c>
      <c r="T28">
        <v>18.5</v>
      </c>
      <c r="U28">
        <v>0.5</v>
      </c>
      <c r="V28">
        <v>1</v>
      </c>
      <c r="W28">
        <v>8</v>
      </c>
      <c r="X28">
        <v>10.1</v>
      </c>
      <c r="Y28" s="3">
        <v>4350571</v>
      </c>
      <c r="Z28">
        <v>19.8</v>
      </c>
      <c r="AB28">
        <f t="shared" si="0"/>
        <v>26</v>
      </c>
      <c r="AC28">
        <f t="shared" si="1"/>
        <v>19.8</v>
      </c>
      <c r="AD28">
        <f t="shared" si="2"/>
        <v>18.380289162968058</v>
      </c>
      <c r="AE28">
        <f t="shared" si="3"/>
        <v>-1.4197108370319427</v>
      </c>
      <c r="AG28">
        <v>26</v>
      </c>
      <c r="AH28">
        <v>0.5</v>
      </c>
      <c r="AI28">
        <v>1</v>
      </c>
      <c r="AJ28">
        <v>8</v>
      </c>
      <c r="AK28">
        <v>10.1</v>
      </c>
    </row>
    <row r="29" spans="1:37" x14ac:dyDescent="0.25">
      <c r="A29">
        <v>27</v>
      </c>
      <c r="B29">
        <v>19.600000000000001</v>
      </c>
      <c r="C29">
        <v>18.3</v>
      </c>
      <c r="D29" s="3">
        <v>2845036</v>
      </c>
      <c r="E29" s="3">
        <v>18543491</v>
      </c>
      <c r="F29">
        <v>18.3</v>
      </c>
      <c r="G29">
        <v>0.5</v>
      </c>
      <c r="H29">
        <v>0.8</v>
      </c>
      <c r="I29">
        <v>8</v>
      </c>
      <c r="J29">
        <v>9.9</v>
      </c>
      <c r="K29" s="3">
        <v>2828006</v>
      </c>
      <c r="L29">
        <v>19.600000000000001</v>
      </c>
      <c r="O29">
        <v>27</v>
      </c>
      <c r="P29">
        <v>19.899999999999999</v>
      </c>
      <c r="Q29">
        <v>18.5</v>
      </c>
      <c r="R29" s="3">
        <v>4290422</v>
      </c>
      <c r="S29" s="3">
        <v>26224022</v>
      </c>
      <c r="T29">
        <v>18.5</v>
      </c>
      <c r="U29">
        <v>0.5</v>
      </c>
      <c r="V29">
        <v>1</v>
      </c>
      <c r="W29">
        <v>8</v>
      </c>
      <c r="X29">
        <v>10</v>
      </c>
      <c r="Y29" s="3">
        <v>4258423</v>
      </c>
      <c r="Z29">
        <v>19.899999999999999</v>
      </c>
      <c r="AB29">
        <f t="shared" si="0"/>
        <v>27</v>
      </c>
      <c r="AC29">
        <f t="shared" si="1"/>
        <v>19.78038458077954</v>
      </c>
      <c r="AD29">
        <f t="shared" si="2"/>
        <v>18.42025638718636</v>
      </c>
      <c r="AE29">
        <f t="shared" si="3"/>
        <v>-1.3601281935931802</v>
      </c>
      <c r="AG29">
        <v>27</v>
      </c>
      <c r="AH29">
        <v>0.5</v>
      </c>
      <c r="AI29">
        <v>1</v>
      </c>
      <c r="AJ29">
        <v>8</v>
      </c>
      <c r="AK29">
        <v>10</v>
      </c>
    </row>
    <row r="30" spans="1:37" x14ac:dyDescent="0.25">
      <c r="A30">
        <v>28</v>
      </c>
      <c r="B30">
        <v>19.899999999999999</v>
      </c>
      <c r="C30">
        <v>18.5</v>
      </c>
      <c r="D30" s="3">
        <v>2790746</v>
      </c>
      <c r="E30" s="3">
        <v>18238498</v>
      </c>
      <c r="F30">
        <v>18.5</v>
      </c>
      <c r="G30">
        <v>0.5</v>
      </c>
      <c r="H30">
        <v>0.9</v>
      </c>
      <c r="I30">
        <v>8.1</v>
      </c>
      <c r="J30">
        <v>10</v>
      </c>
      <c r="K30" s="3">
        <v>2770716</v>
      </c>
      <c r="L30">
        <v>19.899999999999999</v>
      </c>
      <c r="O30">
        <v>28</v>
      </c>
      <c r="P30">
        <v>19.899999999999999</v>
      </c>
      <c r="Q30">
        <v>18.600000000000001</v>
      </c>
      <c r="R30" s="3">
        <v>4194274</v>
      </c>
      <c r="S30" s="3">
        <v>25723694</v>
      </c>
      <c r="T30">
        <v>18.600000000000001</v>
      </c>
      <c r="U30">
        <v>0.5</v>
      </c>
      <c r="V30">
        <v>1.1000000000000001</v>
      </c>
      <c r="W30">
        <v>8.1</v>
      </c>
      <c r="X30">
        <v>10</v>
      </c>
      <c r="Y30" s="3">
        <v>4157592</v>
      </c>
      <c r="Z30">
        <v>19.899999999999999</v>
      </c>
      <c r="AB30">
        <f t="shared" si="0"/>
        <v>28</v>
      </c>
      <c r="AC30">
        <f t="shared" si="1"/>
        <v>19.899999999999999</v>
      </c>
      <c r="AD30">
        <f t="shared" si="2"/>
        <v>18.560046699937867</v>
      </c>
      <c r="AE30">
        <f t="shared" si="3"/>
        <v>-1.3399533000621311</v>
      </c>
      <c r="AG30">
        <v>28</v>
      </c>
      <c r="AH30">
        <v>0.5</v>
      </c>
      <c r="AI30">
        <v>1.1000000000000001</v>
      </c>
      <c r="AJ30">
        <v>8.1</v>
      </c>
      <c r="AK30">
        <v>10</v>
      </c>
    </row>
    <row r="31" spans="1:37" x14ac:dyDescent="0.25">
      <c r="A31">
        <v>29</v>
      </c>
      <c r="B31">
        <v>19.899999999999999</v>
      </c>
      <c r="C31">
        <v>18.600000000000001</v>
      </c>
      <c r="D31" s="3">
        <v>2726871</v>
      </c>
      <c r="E31" s="3">
        <v>17923856</v>
      </c>
      <c r="F31">
        <v>18.600000000000001</v>
      </c>
      <c r="G31">
        <v>0.5</v>
      </c>
      <c r="H31">
        <v>0.9</v>
      </c>
      <c r="I31">
        <v>8.1999999999999993</v>
      </c>
      <c r="J31">
        <v>10</v>
      </c>
      <c r="K31" s="3">
        <v>2703472</v>
      </c>
      <c r="L31">
        <v>19.899999999999999</v>
      </c>
      <c r="O31">
        <v>29</v>
      </c>
      <c r="P31">
        <v>20.2</v>
      </c>
      <c r="Q31">
        <v>18.8</v>
      </c>
      <c r="R31" s="3">
        <v>4098123</v>
      </c>
      <c r="S31" s="3">
        <v>25217026</v>
      </c>
      <c r="T31">
        <v>18.8</v>
      </c>
      <c r="U31">
        <v>0.5</v>
      </c>
      <c r="V31">
        <v>1.1000000000000001</v>
      </c>
      <c r="W31">
        <v>8.1999999999999993</v>
      </c>
      <c r="X31">
        <v>10</v>
      </c>
      <c r="Y31" s="3">
        <v>4058056</v>
      </c>
      <c r="Z31">
        <v>20.2</v>
      </c>
      <c r="AB31">
        <f t="shared" si="0"/>
        <v>29</v>
      </c>
      <c r="AC31">
        <f t="shared" si="1"/>
        <v>20.080137433087852</v>
      </c>
      <c r="AD31">
        <f t="shared" si="2"/>
        <v>18.720091622058568</v>
      </c>
      <c r="AE31">
        <f t="shared" si="3"/>
        <v>-1.3600458110292841</v>
      </c>
      <c r="AG31">
        <v>29</v>
      </c>
      <c r="AH31">
        <v>0.5</v>
      </c>
      <c r="AI31">
        <v>1.1000000000000001</v>
      </c>
      <c r="AJ31">
        <v>8.1999999999999993</v>
      </c>
      <c r="AK31">
        <v>10</v>
      </c>
    </row>
    <row r="32" spans="1:37" x14ac:dyDescent="0.25">
      <c r="A32">
        <v>30</v>
      </c>
      <c r="B32">
        <v>19.899999999999999</v>
      </c>
      <c r="C32">
        <v>18.8</v>
      </c>
      <c r="D32" s="3">
        <v>2670231</v>
      </c>
      <c r="E32" s="3">
        <v>17689315</v>
      </c>
      <c r="F32">
        <v>18.8</v>
      </c>
      <c r="G32">
        <v>0.5</v>
      </c>
      <c r="H32">
        <v>1</v>
      </c>
      <c r="I32">
        <v>8.1999999999999993</v>
      </c>
      <c r="J32">
        <v>10.1</v>
      </c>
      <c r="K32" s="3">
        <v>2643839</v>
      </c>
      <c r="L32">
        <v>19.899999999999999</v>
      </c>
      <c r="O32">
        <v>30</v>
      </c>
      <c r="P32">
        <v>20.2</v>
      </c>
      <c r="Q32">
        <v>18.8</v>
      </c>
      <c r="R32" s="3">
        <v>4002616</v>
      </c>
      <c r="S32" s="3">
        <v>24759001</v>
      </c>
      <c r="T32">
        <v>18.8</v>
      </c>
      <c r="U32">
        <v>0.5</v>
      </c>
      <c r="V32">
        <v>1.2</v>
      </c>
      <c r="W32">
        <v>8.1999999999999993</v>
      </c>
      <c r="X32">
        <v>10</v>
      </c>
      <c r="Y32" s="3">
        <v>3952710</v>
      </c>
      <c r="Z32">
        <v>20.2</v>
      </c>
      <c r="AB32">
        <f t="shared" si="0"/>
        <v>30</v>
      </c>
      <c r="AC32">
        <f t="shared" si="1"/>
        <v>20.079950896521378</v>
      </c>
      <c r="AD32">
        <f t="shared" si="2"/>
        <v>18.8</v>
      </c>
      <c r="AE32">
        <f t="shared" si="3"/>
        <v>-1.2799508965213775</v>
      </c>
      <c r="AG32">
        <v>30</v>
      </c>
      <c r="AH32">
        <v>0.5</v>
      </c>
      <c r="AI32">
        <v>1.2</v>
      </c>
      <c r="AJ32">
        <v>8.1999999999999993</v>
      </c>
      <c r="AK32">
        <v>10</v>
      </c>
    </row>
    <row r="33" spans="1:37" x14ac:dyDescent="0.25">
      <c r="A33">
        <v>31</v>
      </c>
      <c r="B33">
        <v>20.2</v>
      </c>
      <c r="C33">
        <v>19</v>
      </c>
      <c r="D33" s="3">
        <v>2602125</v>
      </c>
      <c r="E33" s="3">
        <v>17287318</v>
      </c>
      <c r="F33">
        <v>19</v>
      </c>
      <c r="G33">
        <v>0.5</v>
      </c>
      <c r="H33">
        <v>1</v>
      </c>
      <c r="I33">
        <v>8.1999999999999993</v>
      </c>
      <c r="J33">
        <v>10.3</v>
      </c>
      <c r="K33" s="3">
        <v>2568880</v>
      </c>
      <c r="L33">
        <v>20.2</v>
      </c>
      <c r="O33">
        <v>31</v>
      </c>
      <c r="P33">
        <v>20.2</v>
      </c>
      <c r="Q33">
        <v>19</v>
      </c>
      <c r="R33" s="3">
        <v>3896189</v>
      </c>
      <c r="S33" s="3">
        <v>24199609</v>
      </c>
      <c r="T33">
        <v>19</v>
      </c>
      <c r="U33">
        <v>0.5</v>
      </c>
      <c r="V33">
        <v>1.2</v>
      </c>
      <c r="W33">
        <v>8.1999999999999993</v>
      </c>
      <c r="X33">
        <v>10.1</v>
      </c>
      <c r="Y33" s="3">
        <v>3837113</v>
      </c>
      <c r="Z33">
        <v>20.2</v>
      </c>
      <c r="AB33">
        <f t="shared" si="0"/>
        <v>31</v>
      </c>
      <c r="AC33">
        <f t="shared" si="1"/>
        <v>20.2</v>
      </c>
      <c r="AD33">
        <f t="shared" si="2"/>
        <v>19</v>
      </c>
      <c r="AE33">
        <f t="shared" si="3"/>
        <v>-1.1999999999999993</v>
      </c>
      <c r="AG33">
        <v>31</v>
      </c>
      <c r="AH33">
        <v>0.5</v>
      </c>
      <c r="AI33">
        <v>1.2</v>
      </c>
      <c r="AJ33">
        <v>8.1999999999999993</v>
      </c>
      <c r="AK33">
        <v>10.1</v>
      </c>
    </row>
    <row r="34" spans="1:37" x14ac:dyDescent="0.25">
      <c r="A34">
        <v>32</v>
      </c>
      <c r="B34">
        <v>20.3</v>
      </c>
      <c r="C34">
        <v>19.100000000000001</v>
      </c>
      <c r="D34" s="3">
        <v>2533411</v>
      </c>
      <c r="E34" s="3">
        <v>16960609</v>
      </c>
      <c r="F34">
        <v>19.100000000000001</v>
      </c>
      <c r="G34">
        <v>0.5</v>
      </c>
      <c r="H34">
        <v>1.1000000000000001</v>
      </c>
      <c r="I34">
        <v>8.1999999999999993</v>
      </c>
      <c r="J34">
        <v>10.4</v>
      </c>
      <c r="K34" s="3">
        <v>2497712</v>
      </c>
      <c r="L34">
        <v>20.3</v>
      </c>
      <c r="O34">
        <v>32</v>
      </c>
      <c r="P34">
        <v>20.2</v>
      </c>
      <c r="Q34">
        <v>19.100000000000001</v>
      </c>
      <c r="R34" s="3">
        <v>3783928</v>
      </c>
      <c r="S34" s="3">
        <v>23629850</v>
      </c>
      <c r="T34">
        <v>19.100000000000001</v>
      </c>
      <c r="U34">
        <v>0.5</v>
      </c>
      <c r="V34">
        <v>1.3</v>
      </c>
      <c r="W34">
        <v>8.1999999999999993</v>
      </c>
      <c r="X34">
        <v>10.199999999999999</v>
      </c>
      <c r="Y34" s="3">
        <v>3726292</v>
      </c>
      <c r="Z34">
        <v>20.2</v>
      </c>
      <c r="AB34">
        <f t="shared" si="0"/>
        <v>32</v>
      </c>
      <c r="AC34">
        <f t="shared" si="1"/>
        <v>20.240102502018651</v>
      </c>
      <c r="AD34">
        <f t="shared" si="2"/>
        <v>19.100000000000001</v>
      </c>
      <c r="AE34">
        <f t="shared" si="3"/>
        <v>-1.1401025020186495</v>
      </c>
      <c r="AG34">
        <v>32</v>
      </c>
      <c r="AH34">
        <v>0.5</v>
      </c>
      <c r="AI34">
        <v>1.3</v>
      </c>
      <c r="AJ34">
        <v>8.1999999999999993</v>
      </c>
      <c r="AK34">
        <v>10.199999999999999</v>
      </c>
    </row>
    <row r="35" spans="1:37" x14ac:dyDescent="0.25">
      <c r="A35">
        <v>33</v>
      </c>
      <c r="B35">
        <v>20.5</v>
      </c>
      <c r="C35">
        <v>19.2</v>
      </c>
      <c r="D35" s="3">
        <v>2457306</v>
      </c>
      <c r="E35" s="3">
        <v>16568776</v>
      </c>
      <c r="F35">
        <v>19.2</v>
      </c>
      <c r="G35">
        <v>0.5</v>
      </c>
      <c r="H35">
        <v>1.1000000000000001</v>
      </c>
      <c r="I35">
        <v>8.1999999999999993</v>
      </c>
      <c r="J35">
        <v>10.4</v>
      </c>
      <c r="K35" s="3">
        <v>2424905</v>
      </c>
      <c r="L35">
        <v>20.5</v>
      </c>
      <c r="O35">
        <v>33</v>
      </c>
      <c r="P35">
        <v>20</v>
      </c>
      <c r="Q35">
        <v>19.2</v>
      </c>
      <c r="R35" s="3">
        <v>3682078</v>
      </c>
      <c r="S35" s="3">
        <v>23112816</v>
      </c>
      <c r="T35">
        <v>19.2</v>
      </c>
      <c r="U35">
        <v>0.5</v>
      </c>
      <c r="V35">
        <v>1.3</v>
      </c>
      <c r="W35">
        <v>8.1999999999999993</v>
      </c>
      <c r="X35">
        <v>10.199999999999999</v>
      </c>
      <c r="Y35" s="3">
        <v>3623013</v>
      </c>
      <c r="Z35">
        <v>20</v>
      </c>
      <c r="AB35">
        <f t="shared" si="0"/>
        <v>33</v>
      </c>
      <c r="AC35">
        <f t="shared" si="1"/>
        <v>20.200126429622255</v>
      </c>
      <c r="AD35">
        <f t="shared" si="2"/>
        <v>19.199999999999996</v>
      </c>
      <c r="AE35">
        <f t="shared" si="3"/>
        <v>-1.0001264296222594</v>
      </c>
      <c r="AG35">
        <v>33</v>
      </c>
      <c r="AH35">
        <v>0.5</v>
      </c>
      <c r="AI35">
        <v>1.3</v>
      </c>
      <c r="AJ35">
        <v>8.1999999999999993</v>
      </c>
      <c r="AK35">
        <v>10.199999999999999</v>
      </c>
    </row>
    <row r="36" spans="1:37" x14ac:dyDescent="0.25">
      <c r="A36">
        <v>34</v>
      </c>
      <c r="B36">
        <v>20.3</v>
      </c>
      <c r="C36">
        <v>19.2</v>
      </c>
      <c r="D36" s="3">
        <v>2386876</v>
      </c>
      <c r="E36" s="3">
        <v>16190328</v>
      </c>
      <c r="F36">
        <v>19.2</v>
      </c>
      <c r="G36">
        <v>0.5</v>
      </c>
      <c r="H36">
        <v>1.2</v>
      </c>
      <c r="I36">
        <v>8.1999999999999993</v>
      </c>
      <c r="J36">
        <v>10.4</v>
      </c>
      <c r="K36" s="3">
        <v>2360272</v>
      </c>
      <c r="L36">
        <v>20.3</v>
      </c>
      <c r="O36">
        <v>34</v>
      </c>
      <c r="P36">
        <v>19.899999999999999</v>
      </c>
      <c r="Q36">
        <v>19.3</v>
      </c>
      <c r="R36" s="3">
        <v>3574360</v>
      </c>
      <c r="S36" s="3">
        <v>22562073</v>
      </c>
      <c r="T36">
        <v>19.3</v>
      </c>
      <c r="U36">
        <v>0.5</v>
      </c>
      <c r="V36">
        <v>1.4</v>
      </c>
      <c r="W36">
        <v>8.1999999999999993</v>
      </c>
      <c r="X36">
        <v>10.199999999999999</v>
      </c>
      <c r="Y36" s="3">
        <v>3510293</v>
      </c>
      <c r="Z36">
        <v>19.899999999999999</v>
      </c>
      <c r="AB36">
        <f t="shared" si="0"/>
        <v>34</v>
      </c>
      <c r="AC36">
        <f t="shared" si="1"/>
        <v>20.060159805785243</v>
      </c>
      <c r="AD36">
        <f t="shared" si="2"/>
        <v>19.259960048553687</v>
      </c>
      <c r="AE36">
        <f t="shared" si="3"/>
        <v>-0.80019975723155667</v>
      </c>
      <c r="AG36">
        <v>34</v>
      </c>
      <c r="AH36">
        <v>0.5</v>
      </c>
      <c r="AI36">
        <v>1.4</v>
      </c>
      <c r="AJ36">
        <v>8.1999999999999993</v>
      </c>
      <c r="AK36">
        <v>10.199999999999999</v>
      </c>
    </row>
    <row r="37" spans="1:37" x14ac:dyDescent="0.25">
      <c r="A37">
        <v>35</v>
      </c>
      <c r="B37">
        <v>20.100000000000001</v>
      </c>
      <c r="C37">
        <v>19.3</v>
      </c>
      <c r="D37" s="3">
        <v>2330662</v>
      </c>
      <c r="E37" s="3">
        <v>15916730</v>
      </c>
      <c r="F37">
        <v>19.3</v>
      </c>
      <c r="G37">
        <v>0.5</v>
      </c>
      <c r="H37">
        <v>1.2</v>
      </c>
      <c r="I37">
        <v>8.1999999999999993</v>
      </c>
      <c r="J37">
        <v>10.4</v>
      </c>
      <c r="K37" s="3">
        <v>2292870</v>
      </c>
      <c r="L37">
        <v>20.100000000000001</v>
      </c>
      <c r="O37">
        <v>35</v>
      </c>
      <c r="P37">
        <v>19.899999999999999</v>
      </c>
      <c r="Q37">
        <v>19.3</v>
      </c>
      <c r="R37" s="3">
        <v>3468035</v>
      </c>
      <c r="S37" s="3">
        <v>21989724</v>
      </c>
      <c r="T37">
        <v>19.3</v>
      </c>
      <c r="U37">
        <v>0.5</v>
      </c>
      <c r="V37">
        <v>1.5</v>
      </c>
      <c r="W37">
        <v>8.3000000000000007</v>
      </c>
      <c r="X37">
        <v>10.199999999999999</v>
      </c>
      <c r="Y37" s="3">
        <v>3412341</v>
      </c>
      <c r="Z37">
        <v>19.899999999999999</v>
      </c>
      <c r="AB37">
        <f t="shared" si="0"/>
        <v>35</v>
      </c>
      <c r="AC37">
        <f t="shared" si="1"/>
        <v>19.980385714238906</v>
      </c>
      <c r="AD37">
        <f t="shared" si="2"/>
        <v>19.3</v>
      </c>
      <c r="AE37">
        <f t="shared" si="3"/>
        <v>-0.68038571423890559</v>
      </c>
      <c r="AG37">
        <v>35</v>
      </c>
      <c r="AH37">
        <v>0.5</v>
      </c>
      <c r="AI37">
        <v>1.5</v>
      </c>
      <c r="AJ37">
        <v>8.3000000000000007</v>
      </c>
      <c r="AK37">
        <v>10.199999999999999</v>
      </c>
    </row>
    <row r="38" spans="1:37" x14ac:dyDescent="0.25">
      <c r="A38">
        <v>36</v>
      </c>
      <c r="B38">
        <v>20.2</v>
      </c>
      <c r="C38">
        <v>19.399999999999999</v>
      </c>
      <c r="D38" s="3">
        <v>2260751</v>
      </c>
      <c r="E38" s="3">
        <v>15549948</v>
      </c>
      <c r="F38">
        <v>19.399999999999999</v>
      </c>
      <c r="G38">
        <v>0.5</v>
      </c>
      <c r="H38">
        <v>1.3</v>
      </c>
      <c r="I38">
        <v>8.1999999999999993</v>
      </c>
      <c r="J38">
        <v>10.5</v>
      </c>
      <c r="K38" s="3">
        <v>2221334</v>
      </c>
      <c r="L38">
        <v>20.2</v>
      </c>
      <c r="O38">
        <v>36</v>
      </c>
      <c r="P38">
        <v>19.899999999999999</v>
      </c>
      <c r="Q38">
        <v>19.399999999999999</v>
      </c>
      <c r="R38" s="3">
        <v>3376386</v>
      </c>
      <c r="S38" s="3">
        <v>21525710</v>
      </c>
      <c r="T38">
        <v>19.399999999999999</v>
      </c>
      <c r="U38">
        <v>0.5</v>
      </c>
      <c r="V38">
        <v>1.5</v>
      </c>
      <c r="W38">
        <v>8.3000000000000007</v>
      </c>
      <c r="X38">
        <v>10.199999999999999</v>
      </c>
      <c r="Y38" s="3">
        <v>3316251</v>
      </c>
      <c r="Z38">
        <v>19.899999999999999</v>
      </c>
      <c r="AB38">
        <f t="shared" si="0"/>
        <v>36</v>
      </c>
      <c r="AC38">
        <f t="shared" si="1"/>
        <v>20.020313786945394</v>
      </c>
      <c r="AD38">
        <f t="shared" si="2"/>
        <v>19.399999999999999</v>
      </c>
      <c r="AE38">
        <f t="shared" si="3"/>
        <v>-0.62031378694539541</v>
      </c>
      <c r="AG38">
        <v>36</v>
      </c>
      <c r="AH38">
        <v>0.5</v>
      </c>
      <c r="AI38">
        <v>1.5</v>
      </c>
      <c r="AJ38">
        <v>8.3000000000000007</v>
      </c>
      <c r="AK38">
        <v>10.199999999999999</v>
      </c>
    </row>
    <row r="39" spans="1:37" x14ac:dyDescent="0.25">
      <c r="A39">
        <v>37</v>
      </c>
      <c r="B39">
        <v>20.2</v>
      </c>
      <c r="C39">
        <v>19.600000000000001</v>
      </c>
      <c r="D39" s="3">
        <v>2191071</v>
      </c>
      <c r="E39" s="3">
        <v>15162397</v>
      </c>
      <c r="F39">
        <v>19.600000000000001</v>
      </c>
      <c r="G39">
        <v>0.5</v>
      </c>
      <c r="H39">
        <v>1.4</v>
      </c>
      <c r="I39">
        <v>8.3000000000000007</v>
      </c>
      <c r="J39">
        <v>10.5</v>
      </c>
      <c r="K39" s="3">
        <v>2151919</v>
      </c>
      <c r="L39">
        <v>20.2</v>
      </c>
      <c r="O39">
        <v>37</v>
      </c>
      <c r="P39">
        <v>20.100000000000001</v>
      </c>
      <c r="Q39">
        <v>19.5</v>
      </c>
      <c r="R39" s="3">
        <v>3281141</v>
      </c>
      <c r="S39" s="3">
        <v>21016652</v>
      </c>
      <c r="T39">
        <v>19.5</v>
      </c>
      <c r="U39">
        <v>0.5</v>
      </c>
      <c r="V39">
        <v>1.6</v>
      </c>
      <c r="W39">
        <v>8.3000000000000007</v>
      </c>
      <c r="X39">
        <v>10.199999999999999</v>
      </c>
      <c r="Y39" s="3">
        <v>3213216</v>
      </c>
      <c r="Z39">
        <v>20.100000000000001</v>
      </c>
      <c r="AB39">
        <f t="shared" si="0"/>
        <v>37</v>
      </c>
      <c r="AC39">
        <f t="shared" si="1"/>
        <v>20.140039950937574</v>
      </c>
      <c r="AD39">
        <f t="shared" si="2"/>
        <v>19.540039950937572</v>
      </c>
      <c r="AE39">
        <f t="shared" si="3"/>
        <v>-0.60000000000000142</v>
      </c>
      <c r="AG39">
        <v>37</v>
      </c>
      <c r="AH39">
        <v>0.5</v>
      </c>
      <c r="AI39">
        <v>1.6</v>
      </c>
      <c r="AJ39">
        <v>8.3000000000000007</v>
      </c>
      <c r="AK39">
        <v>10.199999999999999</v>
      </c>
    </row>
    <row r="40" spans="1:37" x14ac:dyDescent="0.25">
      <c r="A40">
        <v>38</v>
      </c>
      <c r="B40">
        <v>20.3</v>
      </c>
      <c r="C40">
        <v>19.8</v>
      </c>
      <c r="D40" s="3">
        <v>2124553</v>
      </c>
      <c r="E40" s="3">
        <v>14768391</v>
      </c>
      <c r="F40">
        <v>19.8</v>
      </c>
      <c r="G40">
        <v>0.5</v>
      </c>
      <c r="H40">
        <v>1.5</v>
      </c>
      <c r="I40">
        <v>8.3000000000000007</v>
      </c>
      <c r="J40">
        <v>10.7</v>
      </c>
      <c r="K40" s="3">
        <v>2080821</v>
      </c>
      <c r="L40">
        <v>20.3</v>
      </c>
      <c r="O40">
        <v>38</v>
      </c>
      <c r="P40">
        <v>20</v>
      </c>
      <c r="Q40">
        <v>19.7</v>
      </c>
      <c r="R40" s="3">
        <v>3177546</v>
      </c>
      <c r="S40" s="3">
        <v>20488551</v>
      </c>
      <c r="T40">
        <v>19.7</v>
      </c>
      <c r="U40">
        <v>0.5</v>
      </c>
      <c r="V40">
        <v>1.7</v>
      </c>
      <c r="W40">
        <v>8.3000000000000007</v>
      </c>
      <c r="X40">
        <v>10.4</v>
      </c>
      <c r="Y40" s="3">
        <v>3108082</v>
      </c>
      <c r="Z40">
        <v>20</v>
      </c>
      <c r="AB40">
        <f t="shared" si="0"/>
        <v>38</v>
      </c>
      <c r="AC40">
        <f t="shared" si="1"/>
        <v>20.120210109241643</v>
      </c>
      <c r="AD40">
        <f t="shared" si="2"/>
        <v>19.740070036413879</v>
      </c>
      <c r="AE40">
        <f t="shared" si="3"/>
        <v>-0.38014007282776419</v>
      </c>
      <c r="AG40">
        <v>38</v>
      </c>
      <c r="AH40">
        <v>0.5</v>
      </c>
      <c r="AI40">
        <v>1.7</v>
      </c>
      <c r="AJ40">
        <v>8.3000000000000007</v>
      </c>
      <c r="AK40">
        <v>10.4</v>
      </c>
    </row>
    <row r="41" spans="1:37" x14ac:dyDescent="0.25">
      <c r="A41">
        <v>39</v>
      </c>
      <c r="B41">
        <v>20.3</v>
      </c>
      <c r="C41">
        <v>20</v>
      </c>
      <c r="D41" s="3">
        <v>2068116</v>
      </c>
      <c r="E41" s="3">
        <v>14495312</v>
      </c>
      <c r="F41">
        <v>20</v>
      </c>
      <c r="G41">
        <v>0.5</v>
      </c>
      <c r="H41">
        <v>1.5</v>
      </c>
      <c r="I41">
        <v>8.3000000000000007</v>
      </c>
      <c r="J41">
        <v>10.8</v>
      </c>
      <c r="K41" s="3">
        <v>2026470</v>
      </c>
      <c r="L41">
        <v>20.3</v>
      </c>
      <c r="O41">
        <v>39</v>
      </c>
      <c r="P41">
        <v>20</v>
      </c>
      <c r="Q41">
        <v>19.899999999999999</v>
      </c>
      <c r="R41" s="3">
        <v>3083345</v>
      </c>
      <c r="S41" s="3">
        <v>20017048</v>
      </c>
      <c r="T41">
        <v>19.899999999999999</v>
      </c>
      <c r="U41">
        <v>0.5</v>
      </c>
      <c r="V41">
        <v>1.8</v>
      </c>
      <c r="W41">
        <v>8.3000000000000007</v>
      </c>
      <c r="X41">
        <v>10.6</v>
      </c>
      <c r="Y41" s="3">
        <v>3018979</v>
      </c>
      <c r="Z41">
        <v>20</v>
      </c>
      <c r="AB41">
        <f t="shared" si="0"/>
        <v>39</v>
      </c>
      <c r="AC41">
        <f t="shared" si="1"/>
        <v>20.120438609551741</v>
      </c>
      <c r="AD41">
        <f t="shared" si="2"/>
        <v>19.940146203183911</v>
      </c>
      <c r="AE41">
        <f t="shared" si="3"/>
        <v>-0.18029240636782973</v>
      </c>
      <c r="AG41">
        <v>39</v>
      </c>
      <c r="AH41">
        <v>0.5</v>
      </c>
      <c r="AI41">
        <v>1.8</v>
      </c>
      <c r="AJ41">
        <v>8.3000000000000007</v>
      </c>
      <c r="AK41">
        <v>10.6</v>
      </c>
    </row>
    <row r="42" spans="1:37" x14ac:dyDescent="0.25">
      <c r="A42">
        <v>40</v>
      </c>
      <c r="B42">
        <v>20.5</v>
      </c>
      <c r="C42">
        <v>20.2</v>
      </c>
      <c r="D42" s="3">
        <v>2018728</v>
      </c>
      <c r="E42" s="3">
        <v>14229031</v>
      </c>
      <c r="F42">
        <v>20.2</v>
      </c>
      <c r="G42">
        <v>0.5</v>
      </c>
      <c r="H42">
        <v>1.6</v>
      </c>
      <c r="I42">
        <v>8.1999999999999993</v>
      </c>
      <c r="J42">
        <v>11.1</v>
      </c>
      <c r="K42" s="3">
        <v>1970542</v>
      </c>
      <c r="L42">
        <v>20.5</v>
      </c>
      <c r="O42">
        <v>40</v>
      </c>
      <c r="P42">
        <v>20.3</v>
      </c>
      <c r="Q42">
        <v>20.2</v>
      </c>
      <c r="R42" s="3">
        <v>2994189</v>
      </c>
      <c r="S42" s="3">
        <v>19608167</v>
      </c>
      <c r="T42">
        <v>20.2</v>
      </c>
      <c r="U42">
        <v>0.5</v>
      </c>
      <c r="V42">
        <v>1.9</v>
      </c>
      <c r="W42">
        <v>8.3000000000000007</v>
      </c>
      <c r="X42">
        <v>10.8</v>
      </c>
      <c r="Y42" s="3">
        <v>2929347</v>
      </c>
      <c r="Z42">
        <v>20.3</v>
      </c>
      <c r="AB42">
        <f t="shared" si="0"/>
        <v>40</v>
      </c>
      <c r="AC42">
        <f t="shared" si="1"/>
        <v>20.380541050250784</v>
      </c>
      <c r="AD42">
        <f t="shared" si="2"/>
        <v>20.200000000000003</v>
      </c>
      <c r="AE42">
        <f t="shared" si="3"/>
        <v>-0.18054105025078115</v>
      </c>
      <c r="AG42">
        <v>40</v>
      </c>
      <c r="AH42">
        <v>0.5</v>
      </c>
      <c r="AI42">
        <v>1.9</v>
      </c>
      <c r="AJ42">
        <v>8.3000000000000007</v>
      </c>
      <c r="AK42">
        <v>10.8</v>
      </c>
    </row>
    <row r="43" spans="1:37" x14ac:dyDescent="0.25">
      <c r="A43">
        <v>41</v>
      </c>
      <c r="B43">
        <v>21</v>
      </c>
      <c r="C43">
        <v>20.6</v>
      </c>
      <c r="D43" s="3">
        <v>1954685</v>
      </c>
      <c r="E43" s="3">
        <v>13882767</v>
      </c>
      <c r="F43">
        <v>20.6</v>
      </c>
      <c r="G43">
        <v>0.5</v>
      </c>
      <c r="H43">
        <v>1.7</v>
      </c>
      <c r="I43">
        <v>8.1999999999999993</v>
      </c>
      <c r="J43">
        <v>11.4</v>
      </c>
      <c r="K43" s="3">
        <v>1918861</v>
      </c>
      <c r="L43">
        <v>21</v>
      </c>
      <c r="O43">
        <v>41</v>
      </c>
      <c r="P43">
        <v>20.6</v>
      </c>
      <c r="Q43">
        <v>20.6</v>
      </c>
      <c r="R43" s="3">
        <v>2903734</v>
      </c>
      <c r="S43" s="3">
        <v>19121576</v>
      </c>
      <c r="T43">
        <v>20.6</v>
      </c>
      <c r="U43">
        <v>0.5</v>
      </c>
      <c r="V43">
        <v>2</v>
      </c>
      <c r="W43">
        <v>8.1999999999999993</v>
      </c>
      <c r="X43">
        <v>11.1</v>
      </c>
      <c r="Y43" s="3">
        <v>2839163</v>
      </c>
      <c r="Z43">
        <v>20.6</v>
      </c>
      <c r="AB43">
        <f t="shared" si="0"/>
        <v>41</v>
      </c>
      <c r="AC43">
        <f t="shared" si="1"/>
        <v>20.760931776365933</v>
      </c>
      <c r="AD43">
        <f t="shared" si="2"/>
        <v>20.6</v>
      </c>
      <c r="AE43">
        <f t="shared" si="3"/>
        <v>-0.16093177636593126</v>
      </c>
      <c r="AG43">
        <v>41</v>
      </c>
      <c r="AH43">
        <v>0.5</v>
      </c>
      <c r="AI43">
        <v>2</v>
      </c>
      <c r="AJ43">
        <v>8.1999999999999993</v>
      </c>
      <c r="AK43">
        <v>11.1</v>
      </c>
    </row>
    <row r="44" spans="1:37" x14ac:dyDescent="0.25">
      <c r="A44">
        <v>42</v>
      </c>
      <c r="B44">
        <v>21.4</v>
      </c>
      <c r="C44">
        <v>20.9</v>
      </c>
      <c r="D44" s="3">
        <v>1898629</v>
      </c>
      <c r="E44" s="3">
        <v>13546706</v>
      </c>
      <c r="F44">
        <v>20.9</v>
      </c>
      <c r="G44">
        <v>0.5</v>
      </c>
      <c r="H44">
        <v>1.7</v>
      </c>
      <c r="I44">
        <v>8.1999999999999993</v>
      </c>
      <c r="J44">
        <v>11.7</v>
      </c>
      <c r="K44" s="3">
        <v>1863669</v>
      </c>
      <c r="L44">
        <v>21.4</v>
      </c>
      <c r="O44">
        <v>42</v>
      </c>
      <c r="P44">
        <v>21</v>
      </c>
      <c r="Q44">
        <v>20.8</v>
      </c>
      <c r="R44" s="3">
        <v>2817341</v>
      </c>
      <c r="S44" s="3">
        <v>18681808</v>
      </c>
      <c r="T44">
        <v>20.8</v>
      </c>
      <c r="U44">
        <v>0.5</v>
      </c>
      <c r="V44">
        <v>2</v>
      </c>
      <c r="W44">
        <v>8.1999999999999993</v>
      </c>
      <c r="X44">
        <v>11.4</v>
      </c>
      <c r="Y44" s="3">
        <v>2756448</v>
      </c>
      <c r="Z44">
        <v>21</v>
      </c>
      <c r="AB44">
        <f t="shared" si="0"/>
        <v>42</v>
      </c>
      <c r="AC44">
        <f t="shared" si="1"/>
        <v>21.161038259361277</v>
      </c>
      <c r="AD44">
        <f t="shared" si="2"/>
        <v>20.84025956484032</v>
      </c>
      <c r="AE44">
        <f t="shared" si="3"/>
        <v>-0.32077869452095698</v>
      </c>
      <c r="AG44">
        <v>42</v>
      </c>
      <c r="AH44">
        <v>0.5</v>
      </c>
      <c r="AI44">
        <v>2</v>
      </c>
      <c r="AJ44">
        <v>8.1999999999999993</v>
      </c>
      <c r="AK44">
        <v>11.4</v>
      </c>
    </row>
    <row r="45" spans="1:37" x14ac:dyDescent="0.25">
      <c r="A45">
        <v>43</v>
      </c>
      <c r="B45">
        <v>21.7</v>
      </c>
      <c r="C45">
        <v>21.1</v>
      </c>
      <c r="D45" s="3">
        <v>1842089</v>
      </c>
      <c r="E45" s="3">
        <v>13216597</v>
      </c>
      <c r="F45">
        <v>21.1</v>
      </c>
      <c r="G45">
        <v>0.5</v>
      </c>
      <c r="H45">
        <v>1.8</v>
      </c>
      <c r="I45">
        <v>8.1999999999999993</v>
      </c>
      <c r="J45">
        <v>11.9</v>
      </c>
      <c r="K45" s="3">
        <v>1808703</v>
      </c>
      <c r="L45">
        <v>21.7</v>
      </c>
      <c r="O45">
        <v>43</v>
      </c>
      <c r="P45">
        <v>21.4</v>
      </c>
      <c r="Q45">
        <v>21</v>
      </c>
      <c r="R45" s="3">
        <v>2728206</v>
      </c>
      <c r="S45" s="3">
        <v>18216255</v>
      </c>
      <c r="T45">
        <v>21</v>
      </c>
      <c r="U45">
        <v>0.5</v>
      </c>
      <c r="V45">
        <v>2</v>
      </c>
      <c r="W45">
        <v>8.1999999999999993</v>
      </c>
      <c r="X45">
        <v>11.6</v>
      </c>
      <c r="Y45" s="3">
        <v>2668943</v>
      </c>
      <c r="Z45">
        <v>21.4</v>
      </c>
      <c r="AB45">
        <f t="shared" si="0"/>
        <v>43</v>
      </c>
      <c r="AC45">
        <f t="shared" si="1"/>
        <v>21.52091707428076</v>
      </c>
      <c r="AD45">
        <f t="shared" si="2"/>
        <v>21.040305691426923</v>
      </c>
      <c r="AE45">
        <f t="shared" si="3"/>
        <v>-0.4806113828538372</v>
      </c>
      <c r="AG45">
        <v>43</v>
      </c>
      <c r="AH45">
        <v>0.5</v>
      </c>
      <c r="AI45">
        <v>2</v>
      </c>
      <c r="AJ45">
        <v>8.1999999999999993</v>
      </c>
      <c r="AK45">
        <v>11.6</v>
      </c>
    </row>
    <row r="46" spans="1:37" x14ac:dyDescent="0.25">
      <c r="A46">
        <v>44</v>
      </c>
      <c r="B46">
        <v>22.2</v>
      </c>
      <c r="C46">
        <v>21.1</v>
      </c>
      <c r="D46" s="3">
        <v>1798854</v>
      </c>
      <c r="E46" s="3">
        <v>12955510</v>
      </c>
      <c r="F46">
        <v>21.1</v>
      </c>
      <c r="G46">
        <v>0.5</v>
      </c>
      <c r="H46">
        <v>1.8</v>
      </c>
      <c r="I46">
        <v>8.1</v>
      </c>
      <c r="J46">
        <v>12</v>
      </c>
      <c r="K46" s="3">
        <v>1762326</v>
      </c>
      <c r="L46">
        <v>22.2</v>
      </c>
      <c r="O46">
        <v>44</v>
      </c>
      <c r="P46">
        <v>21.6</v>
      </c>
      <c r="Q46">
        <v>20.9</v>
      </c>
      <c r="R46" s="3">
        <v>2647866</v>
      </c>
      <c r="S46" s="3">
        <v>17787329</v>
      </c>
      <c r="T46">
        <v>20.9</v>
      </c>
      <c r="U46">
        <v>0.5</v>
      </c>
      <c r="V46">
        <v>2.1</v>
      </c>
      <c r="W46">
        <v>8.1</v>
      </c>
      <c r="X46">
        <v>11.6</v>
      </c>
      <c r="Y46" s="3">
        <v>2590907</v>
      </c>
      <c r="Z46">
        <v>21.6</v>
      </c>
      <c r="AB46">
        <f t="shared" si="0"/>
        <v>44</v>
      </c>
      <c r="AC46">
        <f t="shared" si="1"/>
        <v>21.842721016839381</v>
      </c>
      <c r="AD46">
        <f t="shared" si="2"/>
        <v>20.98090700561313</v>
      </c>
      <c r="AE46">
        <f t="shared" si="3"/>
        <v>-0.8618140112262509</v>
      </c>
      <c r="AG46">
        <v>44</v>
      </c>
      <c r="AH46">
        <v>0.5</v>
      </c>
      <c r="AI46">
        <v>2.1</v>
      </c>
      <c r="AJ46">
        <v>8.1</v>
      </c>
      <c r="AK46">
        <v>11.6</v>
      </c>
    </row>
    <row r="47" spans="1:37" x14ac:dyDescent="0.25">
      <c r="A47">
        <v>45</v>
      </c>
      <c r="B47">
        <v>22.2</v>
      </c>
      <c r="C47">
        <v>21.1</v>
      </c>
      <c r="D47" s="3">
        <v>1746406</v>
      </c>
      <c r="E47" s="3">
        <v>12674784</v>
      </c>
      <c r="F47">
        <v>21.1</v>
      </c>
      <c r="G47">
        <v>0.5</v>
      </c>
      <c r="H47">
        <v>1.8</v>
      </c>
      <c r="I47">
        <v>8.1</v>
      </c>
      <c r="J47">
        <v>11.9</v>
      </c>
      <c r="K47" s="3">
        <v>1719267</v>
      </c>
      <c r="L47">
        <v>22.2</v>
      </c>
      <c r="O47">
        <v>45</v>
      </c>
      <c r="P47">
        <v>21.6</v>
      </c>
      <c r="Q47">
        <v>20.9</v>
      </c>
      <c r="R47" s="3">
        <v>2571924</v>
      </c>
      <c r="S47" s="3">
        <v>17375999</v>
      </c>
      <c r="T47">
        <v>20.9</v>
      </c>
      <c r="U47">
        <v>0.5</v>
      </c>
      <c r="V47">
        <v>2.1</v>
      </c>
      <c r="W47">
        <v>8.1</v>
      </c>
      <c r="X47">
        <v>11.5</v>
      </c>
      <c r="Y47" s="3">
        <v>2520869</v>
      </c>
      <c r="Z47">
        <v>21.6</v>
      </c>
      <c r="AB47">
        <f t="shared" si="0"/>
        <v>45</v>
      </c>
      <c r="AC47">
        <f t="shared" si="1"/>
        <v>21.842650191161859</v>
      </c>
      <c r="AD47">
        <f t="shared" si="2"/>
        <v>20.980883397053951</v>
      </c>
      <c r="AE47">
        <f t="shared" si="3"/>
        <v>-0.86176679410790769</v>
      </c>
      <c r="AG47">
        <v>45</v>
      </c>
      <c r="AH47">
        <v>0.5</v>
      </c>
      <c r="AI47">
        <v>2.1</v>
      </c>
      <c r="AJ47">
        <v>8.1</v>
      </c>
      <c r="AK47">
        <v>11.5</v>
      </c>
    </row>
    <row r="48" spans="1:37" x14ac:dyDescent="0.25">
      <c r="A48">
        <v>46</v>
      </c>
      <c r="B48">
        <v>22.5</v>
      </c>
      <c r="C48">
        <v>21</v>
      </c>
      <c r="D48" s="3">
        <v>1701240</v>
      </c>
      <c r="E48" s="3">
        <v>12357645</v>
      </c>
      <c r="F48">
        <v>21</v>
      </c>
      <c r="G48">
        <v>0.5</v>
      </c>
      <c r="H48">
        <v>1.9</v>
      </c>
      <c r="I48">
        <v>8.1</v>
      </c>
      <c r="J48">
        <v>11.9</v>
      </c>
      <c r="K48" s="3">
        <v>1669457</v>
      </c>
      <c r="L48">
        <v>22.5</v>
      </c>
      <c r="O48">
        <v>46</v>
      </c>
      <c r="P48">
        <v>21.6</v>
      </c>
      <c r="Q48">
        <v>20.9</v>
      </c>
      <c r="R48" s="3">
        <v>2501553</v>
      </c>
      <c r="S48" s="3">
        <v>16994402</v>
      </c>
      <c r="T48">
        <v>20.9</v>
      </c>
      <c r="U48">
        <v>0.5</v>
      </c>
      <c r="V48">
        <v>2.1</v>
      </c>
      <c r="W48">
        <v>8</v>
      </c>
      <c r="X48">
        <v>11.5</v>
      </c>
      <c r="Y48" s="3">
        <v>2441519</v>
      </c>
      <c r="Z48">
        <v>21.6</v>
      </c>
      <c r="AB48">
        <f t="shared" si="0"/>
        <v>46</v>
      </c>
      <c r="AC48">
        <f t="shared" si="1"/>
        <v>21.964309162978051</v>
      </c>
      <c r="AD48">
        <f t="shared" si="2"/>
        <v>20.940478795886445</v>
      </c>
      <c r="AE48">
        <f t="shared" si="3"/>
        <v>-1.0238303670916054</v>
      </c>
      <c r="AG48">
        <v>46</v>
      </c>
      <c r="AH48">
        <v>0.5</v>
      </c>
      <c r="AI48">
        <v>2.1</v>
      </c>
      <c r="AJ48">
        <v>8</v>
      </c>
      <c r="AK48">
        <v>11.5</v>
      </c>
    </row>
    <row r="49" spans="1:37" x14ac:dyDescent="0.25">
      <c r="A49">
        <v>47</v>
      </c>
      <c r="B49">
        <v>22.6</v>
      </c>
      <c r="C49">
        <v>20.9</v>
      </c>
      <c r="D49" s="3">
        <v>1660261</v>
      </c>
      <c r="E49" s="3">
        <v>12132370</v>
      </c>
      <c r="F49">
        <v>20.9</v>
      </c>
      <c r="G49">
        <v>0.5</v>
      </c>
      <c r="H49">
        <v>1.9</v>
      </c>
      <c r="I49">
        <v>8</v>
      </c>
      <c r="J49">
        <v>11.8</v>
      </c>
      <c r="K49" s="3">
        <v>1632790</v>
      </c>
      <c r="L49">
        <v>22.6</v>
      </c>
      <c r="O49">
        <v>47</v>
      </c>
      <c r="P49">
        <v>21.8</v>
      </c>
      <c r="Q49">
        <v>20.9</v>
      </c>
      <c r="R49" s="3">
        <v>2422648</v>
      </c>
      <c r="S49" s="3">
        <v>16577885</v>
      </c>
      <c r="T49">
        <v>20.9</v>
      </c>
      <c r="U49">
        <v>0.5</v>
      </c>
      <c r="V49">
        <v>2.2000000000000002</v>
      </c>
      <c r="W49">
        <v>8</v>
      </c>
      <c r="X49">
        <v>11.5</v>
      </c>
      <c r="Y49" s="3">
        <v>2368627</v>
      </c>
      <c r="Z49">
        <v>21.8</v>
      </c>
      <c r="AB49">
        <f t="shared" si="0"/>
        <v>47</v>
      </c>
      <c r="AC49">
        <f t="shared" si="1"/>
        <v>22.125309430114655</v>
      </c>
      <c r="AD49">
        <f t="shared" si="2"/>
        <v>20.9</v>
      </c>
      <c r="AE49">
        <f t="shared" si="3"/>
        <v>-1.2253094301146561</v>
      </c>
      <c r="AG49">
        <v>47</v>
      </c>
      <c r="AH49">
        <v>0.5</v>
      </c>
      <c r="AI49">
        <v>2.2000000000000002</v>
      </c>
      <c r="AJ49">
        <v>8</v>
      </c>
      <c r="AK49">
        <v>11.5</v>
      </c>
    </row>
    <row r="50" spans="1:37" x14ac:dyDescent="0.25">
      <c r="A50">
        <v>48</v>
      </c>
      <c r="B50">
        <v>22.7</v>
      </c>
      <c r="C50">
        <v>20.9</v>
      </c>
      <c r="D50" s="3">
        <v>1612891</v>
      </c>
      <c r="E50" s="3">
        <v>11801358</v>
      </c>
      <c r="F50">
        <v>20.9</v>
      </c>
      <c r="G50">
        <v>0.6</v>
      </c>
      <c r="H50">
        <v>1.9</v>
      </c>
      <c r="I50">
        <v>8</v>
      </c>
      <c r="J50">
        <v>11.8</v>
      </c>
      <c r="K50" s="3">
        <v>1589217</v>
      </c>
      <c r="L50">
        <v>22.7</v>
      </c>
      <c r="O50">
        <v>48</v>
      </c>
      <c r="P50">
        <v>22.1</v>
      </c>
      <c r="Q50">
        <v>20.9</v>
      </c>
      <c r="R50" s="3">
        <v>2353384</v>
      </c>
      <c r="S50" s="3">
        <v>16172347</v>
      </c>
      <c r="T50">
        <v>20.9</v>
      </c>
      <c r="U50">
        <v>0.5</v>
      </c>
      <c r="V50">
        <v>2.2000000000000002</v>
      </c>
      <c r="W50">
        <v>8</v>
      </c>
      <c r="X50">
        <v>11.5</v>
      </c>
      <c r="Y50" s="3">
        <v>2297337</v>
      </c>
      <c r="Z50">
        <v>22.1</v>
      </c>
      <c r="AB50">
        <f t="shared" si="0"/>
        <v>48</v>
      </c>
      <c r="AC50">
        <f t="shared" si="1"/>
        <v>22.343990797410669</v>
      </c>
      <c r="AD50">
        <f t="shared" si="2"/>
        <v>20.9</v>
      </c>
      <c r="AE50">
        <f t="shared" si="3"/>
        <v>-1.4439907974106703</v>
      </c>
      <c r="AG50">
        <v>48</v>
      </c>
      <c r="AH50">
        <v>0.5</v>
      </c>
      <c r="AI50">
        <v>2.2000000000000002</v>
      </c>
      <c r="AJ50">
        <v>8</v>
      </c>
      <c r="AK50">
        <v>11.5</v>
      </c>
    </row>
    <row r="51" spans="1:37" x14ac:dyDescent="0.25">
      <c r="A51">
        <v>49</v>
      </c>
      <c r="B51">
        <v>22.8</v>
      </c>
      <c r="C51">
        <v>20.8</v>
      </c>
      <c r="D51" s="3">
        <v>1577911</v>
      </c>
      <c r="E51" s="3">
        <v>11583391</v>
      </c>
      <c r="F51">
        <v>20.8</v>
      </c>
      <c r="G51">
        <v>0.6</v>
      </c>
      <c r="H51">
        <v>1.9</v>
      </c>
      <c r="I51">
        <v>8</v>
      </c>
      <c r="J51">
        <v>11.6</v>
      </c>
      <c r="K51" s="3">
        <v>1548188</v>
      </c>
      <c r="L51">
        <v>22.8</v>
      </c>
      <c r="O51">
        <v>49</v>
      </c>
      <c r="P51">
        <v>22.2</v>
      </c>
      <c r="Q51">
        <v>20.8</v>
      </c>
      <c r="R51" s="3">
        <v>2283989</v>
      </c>
      <c r="S51" s="3">
        <v>15765225</v>
      </c>
      <c r="T51">
        <v>20.8</v>
      </c>
      <c r="U51">
        <v>0.6</v>
      </c>
      <c r="V51">
        <v>2.2000000000000002</v>
      </c>
      <c r="W51">
        <v>8</v>
      </c>
      <c r="X51">
        <v>11.4</v>
      </c>
      <c r="Y51" s="3">
        <v>2231639</v>
      </c>
      <c r="Z51">
        <v>22.2</v>
      </c>
      <c r="AB51">
        <f t="shared" si="0"/>
        <v>49</v>
      </c>
      <c r="AC51">
        <f t="shared" si="1"/>
        <v>22.445150469975918</v>
      </c>
      <c r="AD51">
        <f t="shared" si="2"/>
        <v>20.8</v>
      </c>
      <c r="AE51">
        <f t="shared" si="3"/>
        <v>-1.645150469975917</v>
      </c>
      <c r="AG51">
        <v>49</v>
      </c>
      <c r="AH51">
        <v>0.6</v>
      </c>
      <c r="AI51">
        <v>2.2000000000000002</v>
      </c>
      <c r="AJ51">
        <v>8</v>
      </c>
      <c r="AK51">
        <v>11.4</v>
      </c>
    </row>
    <row r="52" spans="1:37" x14ac:dyDescent="0.25">
      <c r="A52">
        <v>50</v>
      </c>
      <c r="B52">
        <v>22.8</v>
      </c>
      <c r="C52">
        <v>20.9</v>
      </c>
      <c r="D52" s="3">
        <v>1523154</v>
      </c>
      <c r="E52" s="3">
        <v>11142918</v>
      </c>
      <c r="F52">
        <v>20.9</v>
      </c>
      <c r="G52">
        <v>0.6</v>
      </c>
      <c r="H52">
        <v>2</v>
      </c>
      <c r="I52">
        <v>7.9</v>
      </c>
      <c r="J52">
        <v>11.7</v>
      </c>
      <c r="K52" s="3">
        <v>1497737</v>
      </c>
      <c r="L52">
        <v>22.8</v>
      </c>
      <c r="O52">
        <v>50</v>
      </c>
      <c r="P52">
        <v>22</v>
      </c>
      <c r="Q52">
        <v>20.8</v>
      </c>
      <c r="R52" s="3">
        <v>2218149</v>
      </c>
      <c r="S52" s="3">
        <v>15384102</v>
      </c>
      <c r="T52">
        <v>20.8</v>
      </c>
      <c r="U52">
        <v>0.6</v>
      </c>
      <c r="V52">
        <v>2.2000000000000002</v>
      </c>
      <c r="W52">
        <v>7.9</v>
      </c>
      <c r="X52">
        <v>11.5</v>
      </c>
      <c r="Y52" s="3">
        <v>2163668</v>
      </c>
      <c r="Z52">
        <v>22</v>
      </c>
      <c r="AB52">
        <f t="shared" si="0"/>
        <v>50</v>
      </c>
      <c r="AC52">
        <f t="shared" si="1"/>
        <v>22.325694871546091</v>
      </c>
      <c r="AD52">
        <f t="shared" si="2"/>
        <v>20.840711858943262</v>
      </c>
      <c r="AE52">
        <f t="shared" si="3"/>
        <v>-1.4849830126028287</v>
      </c>
      <c r="AG52">
        <v>50</v>
      </c>
      <c r="AH52">
        <v>0.6</v>
      </c>
      <c r="AI52">
        <v>2.2000000000000002</v>
      </c>
      <c r="AJ52">
        <v>7.9</v>
      </c>
      <c r="AK52">
        <v>11.5</v>
      </c>
    </row>
    <row r="53" spans="1:37" x14ac:dyDescent="0.25">
      <c r="A53">
        <v>51</v>
      </c>
      <c r="B53">
        <v>22.8</v>
      </c>
      <c r="C53">
        <v>20.9</v>
      </c>
      <c r="D53" s="3">
        <v>1477145</v>
      </c>
      <c r="E53" s="3">
        <v>10831071</v>
      </c>
      <c r="F53">
        <v>20.9</v>
      </c>
      <c r="G53">
        <v>0.6</v>
      </c>
      <c r="H53">
        <v>2</v>
      </c>
      <c r="I53">
        <v>7.9</v>
      </c>
      <c r="J53">
        <v>11.9</v>
      </c>
      <c r="K53" s="3">
        <v>1452803</v>
      </c>
      <c r="L53">
        <v>22.8</v>
      </c>
      <c r="O53">
        <v>51</v>
      </c>
      <c r="P53">
        <v>22.1</v>
      </c>
      <c r="Q53">
        <v>20.8</v>
      </c>
      <c r="R53" s="3">
        <v>2153938</v>
      </c>
      <c r="S53" s="3">
        <v>15047726</v>
      </c>
      <c r="T53">
        <v>20.8</v>
      </c>
      <c r="U53">
        <v>0.6</v>
      </c>
      <c r="V53">
        <v>2.2999999999999998</v>
      </c>
      <c r="W53">
        <v>7.8</v>
      </c>
      <c r="X53">
        <v>11.5</v>
      </c>
      <c r="Y53" s="3">
        <v>2099612</v>
      </c>
      <c r="Z53">
        <v>22.1</v>
      </c>
      <c r="AB53">
        <f t="shared" si="0"/>
        <v>51</v>
      </c>
      <c r="AC53">
        <f t="shared" si="1"/>
        <v>22.384763939573954</v>
      </c>
      <c r="AD53">
        <f t="shared" si="2"/>
        <v>20.840680562796276</v>
      </c>
      <c r="AE53">
        <f t="shared" si="3"/>
        <v>-1.544083376777678</v>
      </c>
      <c r="AG53">
        <v>51</v>
      </c>
      <c r="AH53">
        <v>0.6</v>
      </c>
      <c r="AI53">
        <v>2.2999999999999998</v>
      </c>
      <c r="AJ53">
        <v>7.8</v>
      </c>
      <c r="AK53">
        <v>11.5</v>
      </c>
    </row>
    <row r="54" spans="1:37" x14ac:dyDescent="0.25">
      <c r="A54">
        <v>52</v>
      </c>
      <c r="B54">
        <v>22.9</v>
      </c>
      <c r="C54">
        <v>21</v>
      </c>
      <c r="D54" s="3">
        <v>1441733</v>
      </c>
      <c r="E54" s="3">
        <v>10579409</v>
      </c>
      <c r="F54">
        <v>21</v>
      </c>
      <c r="G54">
        <v>0.6</v>
      </c>
      <c r="H54">
        <v>2</v>
      </c>
      <c r="I54">
        <v>7.8</v>
      </c>
      <c r="J54">
        <v>12</v>
      </c>
      <c r="K54" s="3">
        <v>1416119</v>
      </c>
      <c r="L54">
        <v>22.9</v>
      </c>
      <c r="O54">
        <v>52</v>
      </c>
      <c r="P54">
        <v>22.1</v>
      </c>
      <c r="Q54">
        <v>20.9</v>
      </c>
      <c r="R54" s="3">
        <v>2092534</v>
      </c>
      <c r="S54" s="3">
        <v>14700963</v>
      </c>
      <c r="T54">
        <v>20.9</v>
      </c>
      <c r="U54">
        <v>0.6</v>
      </c>
      <c r="V54">
        <v>2.2999999999999998</v>
      </c>
      <c r="W54">
        <v>7.7</v>
      </c>
      <c r="X54">
        <v>11.6</v>
      </c>
      <c r="Y54" s="3">
        <v>2042970</v>
      </c>
      <c r="Z54">
        <v>22.1</v>
      </c>
      <c r="AB54">
        <f t="shared" si="0"/>
        <v>52</v>
      </c>
      <c r="AC54">
        <f t="shared" si="1"/>
        <v>22.426343878377047</v>
      </c>
      <c r="AD54">
        <f t="shared" si="2"/>
        <v>20.940792984797127</v>
      </c>
      <c r="AE54">
        <f t="shared" si="3"/>
        <v>-1.4855508935799193</v>
      </c>
      <c r="AG54">
        <v>52</v>
      </c>
      <c r="AH54">
        <v>0.6</v>
      </c>
      <c r="AI54">
        <v>2.2999999999999998</v>
      </c>
      <c r="AJ54">
        <v>7.7</v>
      </c>
      <c r="AK54">
        <v>11.6</v>
      </c>
    </row>
    <row r="55" spans="1:37" x14ac:dyDescent="0.25">
      <c r="A55">
        <v>53</v>
      </c>
      <c r="B55">
        <v>23</v>
      </c>
      <c r="C55">
        <v>21.1</v>
      </c>
      <c r="D55" s="3">
        <v>1403828</v>
      </c>
      <c r="E55" s="3">
        <v>10346270</v>
      </c>
      <c r="F55">
        <v>21.1</v>
      </c>
      <c r="G55">
        <v>0.6</v>
      </c>
      <c r="H55">
        <v>2</v>
      </c>
      <c r="I55">
        <v>7.8</v>
      </c>
      <c r="J55">
        <v>12.1</v>
      </c>
      <c r="K55" s="3">
        <v>1378752</v>
      </c>
      <c r="L55">
        <v>23</v>
      </c>
      <c r="O55">
        <v>53</v>
      </c>
      <c r="P55">
        <v>22.1</v>
      </c>
      <c r="Q55">
        <v>20.9</v>
      </c>
      <c r="R55" s="3">
        <v>2036690</v>
      </c>
      <c r="S55" s="3">
        <v>14366434</v>
      </c>
      <c r="T55">
        <v>20.9</v>
      </c>
      <c r="U55">
        <v>0.6</v>
      </c>
      <c r="V55">
        <v>2.2999999999999998</v>
      </c>
      <c r="W55">
        <v>7.7</v>
      </c>
      <c r="X55">
        <v>11.7</v>
      </c>
      <c r="Y55" s="3">
        <v>1989983</v>
      </c>
      <c r="Z55">
        <v>22.1</v>
      </c>
      <c r="AB55">
        <f t="shared" si="0"/>
        <v>53</v>
      </c>
      <c r="AC55">
        <f t="shared" si="1"/>
        <v>22.467225284099662</v>
      </c>
      <c r="AD55">
        <f t="shared" si="2"/>
        <v>20.981605618688814</v>
      </c>
      <c r="AE55">
        <f t="shared" si="3"/>
        <v>-1.485619665410848</v>
      </c>
      <c r="AG55">
        <v>53</v>
      </c>
      <c r="AH55">
        <v>0.6</v>
      </c>
      <c r="AI55">
        <v>2.2999999999999998</v>
      </c>
      <c r="AJ55">
        <v>7.7</v>
      </c>
      <c r="AK55">
        <v>11.7</v>
      </c>
    </row>
    <row r="56" spans="1:37" x14ac:dyDescent="0.25">
      <c r="A56">
        <v>54</v>
      </c>
      <c r="B56">
        <v>23.2</v>
      </c>
      <c r="C56">
        <v>21.2</v>
      </c>
      <c r="D56" s="3">
        <v>1363998</v>
      </c>
      <c r="E56" s="3">
        <v>10040230</v>
      </c>
      <c r="F56">
        <v>21.2</v>
      </c>
      <c r="G56">
        <v>0.6</v>
      </c>
      <c r="H56">
        <v>2</v>
      </c>
      <c r="I56">
        <v>7.7</v>
      </c>
      <c r="J56">
        <v>12.2</v>
      </c>
      <c r="K56" s="3">
        <v>1341785</v>
      </c>
      <c r="L56">
        <v>23.2</v>
      </c>
      <c r="O56">
        <v>54</v>
      </c>
      <c r="P56">
        <v>22.1</v>
      </c>
      <c r="Q56">
        <v>21</v>
      </c>
      <c r="R56" s="3">
        <v>1985670</v>
      </c>
      <c r="S56" s="3">
        <v>14057767</v>
      </c>
      <c r="T56">
        <v>21</v>
      </c>
      <c r="U56">
        <v>0.6</v>
      </c>
      <c r="V56">
        <v>2.2999999999999998</v>
      </c>
      <c r="W56">
        <v>7.6</v>
      </c>
      <c r="X56">
        <v>11.8</v>
      </c>
      <c r="Y56" s="3">
        <v>1937525</v>
      </c>
      <c r="Z56">
        <v>22.1</v>
      </c>
      <c r="AB56">
        <f t="shared" si="0"/>
        <v>54</v>
      </c>
      <c r="AC56">
        <f t="shared" si="1"/>
        <v>22.547924331605397</v>
      </c>
      <c r="AD56">
        <f t="shared" si="2"/>
        <v>21.081440787564617</v>
      </c>
      <c r="AE56">
        <f t="shared" si="3"/>
        <v>-1.4664835440407806</v>
      </c>
      <c r="AG56">
        <v>54</v>
      </c>
      <c r="AH56">
        <v>0.6</v>
      </c>
      <c r="AI56">
        <v>2.2999999999999998</v>
      </c>
      <c r="AJ56">
        <v>7.6</v>
      </c>
      <c r="AK56">
        <v>11.8</v>
      </c>
    </row>
    <row r="57" spans="1:37" x14ac:dyDescent="0.25">
      <c r="A57">
        <v>55</v>
      </c>
      <c r="B57">
        <v>23.3</v>
      </c>
      <c r="C57">
        <v>21.2</v>
      </c>
      <c r="D57" s="3">
        <v>1332748</v>
      </c>
      <c r="E57" s="3">
        <v>9844051</v>
      </c>
      <c r="F57">
        <v>21.2</v>
      </c>
      <c r="G57">
        <v>0.6</v>
      </c>
      <c r="H57">
        <v>2</v>
      </c>
      <c r="I57">
        <v>7.7</v>
      </c>
      <c r="J57">
        <v>12.3</v>
      </c>
      <c r="K57" s="3">
        <v>1311447</v>
      </c>
      <c r="L57">
        <v>23.3</v>
      </c>
      <c r="O57">
        <v>55</v>
      </c>
      <c r="P57">
        <v>22.2</v>
      </c>
      <c r="Q57">
        <v>20.9</v>
      </c>
      <c r="R57" s="3">
        <v>1936274</v>
      </c>
      <c r="S57" s="3">
        <v>13743336</v>
      </c>
      <c r="T57">
        <v>20.9</v>
      </c>
      <c r="U57">
        <v>0.6</v>
      </c>
      <c r="V57">
        <v>2.2999999999999998</v>
      </c>
      <c r="W57">
        <v>7.5</v>
      </c>
      <c r="X57">
        <v>11.9</v>
      </c>
      <c r="Y57" s="3">
        <v>1889806</v>
      </c>
      <c r="Z57">
        <v>22.2</v>
      </c>
      <c r="AB57">
        <f t="shared" si="0"/>
        <v>55</v>
      </c>
      <c r="AC57">
        <f t="shared" si="1"/>
        <v>22.648459141602597</v>
      </c>
      <c r="AD57">
        <f t="shared" si="2"/>
        <v>21.022307038618887</v>
      </c>
      <c r="AE57">
        <f t="shared" si="3"/>
        <v>-1.6261521029837098</v>
      </c>
      <c r="AG57">
        <v>55</v>
      </c>
      <c r="AH57">
        <v>0.6</v>
      </c>
      <c r="AI57">
        <v>2.2999999999999998</v>
      </c>
      <c r="AJ57">
        <v>7.5</v>
      </c>
      <c r="AK57">
        <v>11.9</v>
      </c>
    </row>
    <row r="58" spans="1:37" x14ac:dyDescent="0.25">
      <c r="A58">
        <v>56</v>
      </c>
      <c r="B58">
        <v>23.3</v>
      </c>
      <c r="C58">
        <v>21.3</v>
      </c>
      <c r="D58" s="3">
        <v>1299758</v>
      </c>
      <c r="E58" s="3">
        <v>9634197</v>
      </c>
      <c r="F58">
        <v>21.3</v>
      </c>
      <c r="G58">
        <v>0.6</v>
      </c>
      <c r="H58">
        <v>2</v>
      </c>
      <c r="I58">
        <v>7.6</v>
      </c>
      <c r="J58">
        <v>12.3</v>
      </c>
      <c r="K58" s="3">
        <v>1280525</v>
      </c>
      <c r="L58">
        <v>23.3</v>
      </c>
      <c r="O58">
        <v>56</v>
      </c>
      <c r="P58">
        <v>22.4</v>
      </c>
      <c r="Q58">
        <v>20.9</v>
      </c>
      <c r="R58" s="3">
        <v>1885539</v>
      </c>
      <c r="S58" s="3">
        <v>13419843</v>
      </c>
      <c r="T58">
        <v>20.9</v>
      </c>
      <c r="U58">
        <v>0.6</v>
      </c>
      <c r="V58">
        <v>2.2999999999999998</v>
      </c>
      <c r="W58">
        <v>7.5</v>
      </c>
      <c r="X58">
        <v>11.9</v>
      </c>
      <c r="Y58" s="3">
        <v>1839352</v>
      </c>
      <c r="Z58">
        <v>22.4</v>
      </c>
      <c r="AB58">
        <f t="shared" si="0"/>
        <v>56</v>
      </c>
      <c r="AC58">
        <f t="shared" si="1"/>
        <v>22.767244310342175</v>
      </c>
      <c r="AD58">
        <f t="shared" si="2"/>
        <v>21.063219693485411</v>
      </c>
      <c r="AE58">
        <f t="shared" si="3"/>
        <v>-1.7040246168567634</v>
      </c>
      <c r="AG58">
        <v>56</v>
      </c>
      <c r="AH58">
        <v>0.6</v>
      </c>
      <c r="AI58">
        <v>2.2999999999999998</v>
      </c>
      <c r="AJ58">
        <v>7.5</v>
      </c>
      <c r="AK58">
        <v>11.9</v>
      </c>
    </row>
    <row r="59" spans="1:37" x14ac:dyDescent="0.25">
      <c r="A59">
        <v>57</v>
      </c>
      <c r="B59">
        <v>23.5</v>
      </c>
      <c r="C59">
        <v>21.4</v>
      </c>
      <c r="D59" s="3">
        <v>1262564</v>
      </c>
      <c r="E59" s="3">
        <v>9327360</v>
      </c>
      <c r="F59">
        <v>21.4</v>
      </c>
      <c r="G59">
        <v>0.6</v>
      </c>
      <c r="H59">
        <v>2.1</v>
      </c>
      <c r="I59">
        <v>7.7</v>
      </c>
      <c r="J59">
        <v>12.4</v>
      </c>
      <c r="K59" s="3">
        <v>1243350</v>
      </c>
      <c r="L59">
        <v>23.5</v>
      </c>
      <c r="O59">
        <v>57</v>
      </c>
      <c r="P59">
        <v>22.4</v>
      </c>
      <c r="Q59">
        <v>20.9</v>
      </c>
      <c r="R59" s="3">
        <v>1839832</v>
      </c>
      <c r="S59" s="3">
        <v>13128055</v>
      </c>
      <c r="T59">
        <v>20.9</v>
      </c>
      <c r="U59">
        <v>0.6</v>
      </c>
      <c r="V59">
        <v>2.2999999999999998</v>
      </c>
      <c r="W59">
        <v>7.5</v>
      </c>
      <c r="X59">
        <v>11.8</v>
      </c>
      <c r="Y59" s="3">
        <v>1795616</v>
      </c>
      <c r="Z59">
        <v>22.4</v>
      </c>
      <c r="AB59">
        <f t="shared" si="0"/>
        <v>57</v>
      </c>
      <c r="AC59">
        <f t="shared" si="1"/>
        <v>22.847660582337006</v>
      </c>
      <c r="AD59">
        <f t="shared" si="2"/>
        <v>21.103482082880454</v>
      </c>
      <c r="AE59">
        <f t="shared" si="3"/>
        <v>-1.7441784994565523</v>
      </c>
      <c r="AG59">
        <v>57</v>
      </c>
      <c r="AH59">
        <v>0.6</v>
      </c>
      <c r="AI59">
        <v>2.2999999999999998</v>
      </c>
      <c r="AJ59">
        <v>7.5</v>
      </c>
      <c r="AK59">
        <v>11.8</v>
      </c>
    </row>
    <row r="60" spans="1:37" x14ac:dyDescent="0.25">
      <c r="A60">
        <v>58</v>
      </c>
      <c r="B60">
        <v>23.4</v>
      </c>
      <c r="C60">
        <v>21.3</v>
      </c>
      <c r="D60" s="3">
        <v>1228239</v>
      </c>
      <c r="E60" s="3">
        <v>9119625</v>
      </c>
      <c r="F60">
        <v>21.3</v>
      </c>
      <c r="G60">
        <v>0.6</v>
      </c>
      <c r="H60">
        <v>2.1</v>
      </c>
      <c r="I60">
        <v>7.7</v>
      </c>
      <c r="J60">
        <v>12.4</v>
      </c>
      <c r="K60" s="3">
        <v>1209330</v>
      </c>
      <c r="L60">
        <v>23.4</v>
      </c>
      <c r="O60">
        <v>58</v>
      </c>
      <c r="P60">
        <v>22.3</v>
      </c>
      <c r="Q60">
        <v>20.8</v>
      </c>
      <c r="R60" s="3">
        <v>1794415</v>
      </c>
      <c r="S60" s="3">
        <v>12837487</v>
      </c>
      <c r="T60">
        <v>20.8</v>
      </c>
      <c r="U60">
        <v>0.6</v>
      </c>
      <c r="V60">
        <v>2.2999999999999998</v>
      </c>
      <c r="W60">
        <v>7.5</v>
      </c>
      <c r="X60">
        <v>11.7</v>
      </c>
      <c r="Y60" s="3">
        <v>1747770</v>
      </c>
      <c r="Z60">
        <v>22.3</v>
      </c>
      <c r="AB60">
        <f t="shared" si="0"/>
        <v>58</v>
      </c>
      <c r="AC60">
        <f t="shared" si="1"/>
        <v>22.746979012483727</v>
      </c>
      <c r="AD60">
        <f t="shared" si="2"/>
        <v>21.003172278401696</v>
      </c>
      <c r="AE60">
        <f t="shared" si="3"/>
        <v>-1.7438067340820318</v>
      </c>
      <c r="AG60">
        <v>58</v>
      </c>
      <c r="AH60">
        <v>0.6</v>
      </c>
      <c r="AI60">
        <v>2.2999999999999998</v>
      </c>
      <c r="AJ60">
        <v>7.5</v>
      </c>
      <c r="AK60">
        <v>11.7</v>
      </c>
    </row>
    <row r="61" spans="1:37" x14ac:dyDescent="0.25">
      <c r="A61">
        <v>59</v>
      </c>
      <c r="B61">
        <v>23.6</v>
      </c>
      <c r="C61">
        <v>21.5</v>
      </c>
      <c r="D61" s="3">
        <v>1195562</v>
      </c>
      <c r="E61" s="3">
        <v>8903221</v>
      </c>
      <c r="F61">
        <v>21.5</v>
      </c>
      <c r="G61">
        <v>0.6</v>
      </c>
      <c r="H61">
        <v>2.1</v>
      </c>
      <c r="I61">
        <v>7.7</v>
      </c>
      <c r="J61">
        <v>12.5</v>
      </c>
      <c r="K61" s="3">
        <v>1176340</v>
      </c>
      <c r="L61">
        <v>23.6</v>
      </c>
      <c r="O61">
        <v>59</v>
      </c>
      <c r="P61">
        <v>22.5</v>
      </c>
      <c r="Q61">
        <v>20.8</v>
      </c>
      <c r="R61" s="3">
        <v>1749344</v>
      </c>
      <c r="S61" s="3">
        <v>12527215</v>
      </c>
      <c r="T61">
        <v>20.8</v>
      </c>
      <c r="U61">
        <v>0.6</v>
      </c>
      <c r="V61">
        <v>2.2999999999999998</v>
      </c>
      <c r="W61">
        <v>7.5</v>
      </c>
      <c r="X61">
        <v>11.7</v>
      </c>
      <c r="Y61" s="3">
        <v>1704105</v>
      </c>
      <c r="Z61">
        <v>22.5</v>
      </c>
      <c r="AB61">
        <f t="shared" si="0"/>
        <v>59</v>
      </c>
      <c r="AC61">
        <f t="shared" si="1"/>
        <v>22.94657391441357</v>
      </c>
      <c r="AD61">
        <f t="shared" si="2"/>
        <v>21.084183400081361</v>
      </c>
      <c r="AE61">
        <f t="shared" si="3"/>
        <v>-1.8623905143322084</v>
      </c>
      <c r="AG61">
        <v>59</v>
      </c>
      <c r="AH61">
        <v>0.6</v>
      </c>
      <c r="AI61">
        <v>2.2999999999999998</v>
      </c>
      <c r="AJ61">
        <v>7.5</v>
      </c>
      <c r="AK61">
        <v>11.7</v>
      </c>
    </row>
    <row r="62" spans="1:37" x14ac:dyDescent="0.25">
      <c r="A62">
        <v>60</v>
      </c>
      <c r="B62">
        <v>23.9</v>
      </c>
      <c r="C62">
        <v>21.6</v>
      </c>
      <c r="D62" s="3">
        <v>1166966</v>
      </c>
      <c r="E62" s="3">
        <v>8691621</v>
      </c>
      <c r="F62">
        <v>21.6</v>
      </c>
      <c r="G62">
        <v>0.6</v>
      </c>
      <c r="H62">
        <v>2.1</v>
      </c>
      <c r="I62">
        <v>7.7</v>
      </c>
      <c r="J62">
        <v>12.7</v>
      </c>
      <c r="K62" s="3">
        <v>1146089</v>
      </c>
      <c r="L62">
        <v>23.9</v>
      </c>
      <c r="O62">
        <v>60</v>
      </c>
      <c r="P62">
        <v>22.6</v>
      </c>
      <c r="Q62">
        <v>20.9</v>
      </c>
      <c r="R62" s="3">
        <v>1704465</v>
      </c>
      <c r="S62" s="3">
        <v>12233802</v>
      </c>
      <c r="T62">
        <v>20.9</v>
      </c>
      <c r="U62">
        <v>0.6</v>
      </c>
      <c r="V62">
        <v>2.2999999999999998</v>
      </c>
      <c r="W62">
        <v>7.5</v>
      </c>
      <c r="X62">
        <v>11.8</v>
      </c>
      <c r="Y62" s="3">
        <v>1655278</v>
      </c>
      <c r="Z62">
        <v>22.6</v>
      </c>
      <c r="AB62">
        <f t="shared" si="0"/>
        <v>60</v>
      </c>
      <c r="AC62">
        <f t="shared" si="1"/>
        <v>23.128327443703157</v>
      </c>
      <c r="AD62">
        <f t="shared" si="2"/>
        <v>21.184484008147855</v>
      </c>
      <c r="AE62">
        <f t="shared" si="3"/>
        <v>-1.9438434355553014</v>
      </c>
      <c r="AG62">
        <v>60</v>
      </c>
      <c r="AH62">
        <v>0.6</v>
      </c>
      <c r="AI62">
        <v>2.2999999999999998</v>
      </c>
      <c r="AJ62">
        <v>7.5</v>
      </c>
      <c r="AK62">
        <v>11.8</v>
      </c>
    </row>
    <row r="63" spans="1:37" x14ac:dyDescent="0.25">
      <c r="A63">
        <v>61</v>
      </c>
      <c r="B63">
        <v>24.1</v>
      </c>
      <c r="C63">
        <v>21.8</v>
      </c>
      <c r="D63" s="3">
        <v>1128395</v>
      </c>
      <c r="E63" s="3">
        <v>8414268</v>
      </c>
      <c r="F63">
        <v>21.8</v>
      </c>
      <c r="G63">
        <v>0.6</v>
      </c>
      <c r="H63">
        <v>2.1</v>
      </c>
      <c r="I63">
        <v>7.7</v>
      </c>
      <c r="J63">
        <v>12.8</v>
      </c>
      <c r="K63" s="3">
        <v>1102255</v>
      </c>
      <c r="L63">
        <v>24.1</v>
      </c>
      <c r="O63">
        <v>61</v>
      </c>
      <c r="P63">
        <v>22.6</v>
      </c>
      <c r="Q63">
        <v>21.1</v>
      </c>
      <c r="R63" s="3">
        <v>1658782</v>
      </c>
      <c r="S63" s="3">
        <v>11988625</v>
      </c>
      <c r="T63">
        <v>21.1</v>
      </c>
      <c r="U63">
        <v>0.6</v>
      </c>
      <c r="V63">
        <v>2.2999999999999998</v>
      </c>
      <c r="W63">
        <v>7.5</v>
      </c>
      <c r="X63">
        <v>12</v>
      </c>
      <c r="Y63" s="3">
        <v>1603931</v>
      </c>
      <c r="Z63">
        <v>22.6</v>
      </c>
      <c r="AB63">
        <f t="shared" si="0"/>
        <v>61</v>
      </c>
      <c r="AC63">
        <f t="shared" si="1"/>
        <v>23.20727843979769</v>
      </c>
      <c r="AD63">
        <f t="shared" si="2"/>
        <v>21.383396605238921</v>
      </c>
      <c r="AE63">
        <f t="shared" si="3"/>
        <v>-1.8238818345587688</v>
      </c>
      <c r="AG63">
        <v>61</v>
      </c>
      <c r="AH63">
        <v>0.6</v>
      </c>
      <c r="AI63">
        <v>2.2999999999999998</v>
      </c>
      <c r="AJ63">
        <v>7.5</v>
      </c>
      <c r="AK63">
        <v>12</v>
      </c>
    </row>
    <row r="64" spans="1:37" x14ac:dyDescent="0.25">
      <c r="A64">
        <v>62</v>
      </c>
      <c r="B64">
        <v>24.1</v>
      </c>
      <c r="C64">
        <v>21.8</v>
      </c>
      <c r="D64" s="3">
        <v>1095744</v>
      </c>
      <c r="E64" s="3">
        <v>8254460</v>
      </c>
      <c r="F64">
        <v>21.8</v>
      </c>
      <c r="G64">
        <v>0.6</v>
      </c>
      <c r="H64">
        <v>2.1</v>
      </c>
      <c r="I64">
        <v>7.7</v>
      </c>
      <c r="J64">
        <v>12.9</v>
      </c>
      <c r="K64" s="3">
        <v>1074207</v>
      </c>
      <c r="L64">
        <v>24.1</v>
      </c>
      <c r="O64">
        <v>62</v>
      </c>
      <c r="P64">
        <v>22.6</v>
      </c>
      <c r="Q64">
        <v>21.2</v>
      </c>
      <c r="R64" s="3">
        <v>1608260</v>
      </c>
      <c r="S64" s="3">
        <v>11655741</v>
      </c>
      <c r="T64">
        <v>21.2</v>
      </c>
      <c r="U64">
        <v>0.6</v>
      </c>
      <c r="V64">
        <v>2.2999999999999998</v>
      </c>
      <c r="W64">
        <v>7.5</v>
      </c>
      <c r="X64">
        <v>12.1</v>
      </c>
      <c r="Y64" s="3">
        <v>1551156</v>
      </c>
      <c r="Z64">
        <v>22.6</v>
      </c>
      <c r="AB64">
        <f t="shared" si="0"/>
        <v>62</v>
      </c>
      <c r="AC64">
        <f t="shared" si="1"/>
        <v>23.207845254666786</v>
      </c>
      <c r="AD64">
        <f t="shared" si="2"/>
        <v>21.443138101866715</v>
      </c>
      <c r="AE64">
        <f t="shared" si="3"/>
        <v>-1.7647071528000708</v>
      </c>
      <c r="AG64">
        <v>62</v>
      </c>
      <c r="AH64">
        <v>0.6</v>
      </c>
      <c r="AI64">
        <v>2.2999999999999998</v>
      </c>
      <c r="AJ64">
        <v>7.5</v>
      </c>
      <c r="AK64">
        <v>12.1</v>
      </c>
    </row>
    <row r="65" spans="1:37" x14ac:dyDescent="0.25">
      <c r="A65">
        <v>63</v>
      </c>
      <c r="B65">
        <v>24</v>
      </c>
      <c r="C65">
        <v>21.9</v>
      </c>
      <c r="D65" s="3">
        <v>1059181</v>
      </c>
      <c r="E65" s="3">
        <v>8019611</v>
      </c>
      <c r="F65">
        <v>21.9</v>
      </c>
      <c r="G65">
        <v>0.6</v>
      </c>
      <c r="H65">
        <v>2.1</v>
      </c>
      <c r="I65">
        <v>7.6</v>
      </c>
      <c r="J65">
        <v>13</v>
      </c>
      <c r="K65" s="3">
        <v>1036628</v>
      </c>
      <c r="L65">
        <v>24</v>
      </c>
      <c r="O65">
        <v>63</v>
      </c>
      <c r="P65">
        <v>22.5</v>
      </c>
      <c r="Q65">
        <v>21.2</v>
      </c>
      <c r="R65" s="3">
        <v>1556915</v>
      </c>
      <c r="S65" s="3">
        <v>11345276</v>
      </c>
      <c r="T65">
        <v>21.2</v>
      </c>
      <c r="U65">
        <v>0.6</v>
      </c>
      <c r="V65">
        <v>2.2999999999999998</v>
      </c>
      <c r="W65">
        <v>7.4</v>
      </c>
      <c r="X65">
        <v>12.2</v>
      </c>
      <c r="Y65" s="3">
        <v>1498629</v>
      </c>
      <c r="Z65">
        <v>22.5</v>
      </c>
      <c r="AB65">
        <f t="shared" si="0"/>
        <v>63</v>
      </c>
      <c r="AC65">
        <f t="shared" si="1"/>
        <v>23.1073062685773</v>
      </c>
      <c r="AD65">
        <f t="shared" si="2"/>
        <v>21.48340959200274</v>
      </c>
      <c r="AE65">
        <f t="shared" si="3"/>
        <v>-1.6238966765745602</v>
      </c>
      <c r="AG65">
        <v>63</v>
      </c>
      <c r="AH65">
        <v>0.6</v>
      </c>
      <c r="AI65">
        <v>2.2999999999999998</v>
      </c>
      <c r="AJ65">
        <v>7.4</v>
      </c>
      <c r="AK65">
        <v>12.2</v>
      </c>
    </row>
    <row r="66" spans="1:37" x14ac:dyDescent="0.25">
      <c r="A66">
        <v>64</v>
      </c>
      <c r="B66">
        <v>24</v>
      </c>
      <c r="C66">
        <v>21.8</v>
      </c>
      <c r="D66" s="3">
        <v>1021488</v>
      </c>
      <c r="E66" s="3">
        <v>7765281</v>
      </c>
      <c r="F66">
        <v>21.8</v>
      </c>
      <c r="G66">
        <v>0.6</v>
      </c>
      <c r="H66">
        <v>2.1</v>
      </c>
      <c r="I66">
        <v>7.6</v>
      </c>
      <c r="J66">
        <v>12.9</v>
      </c>
      <c r="K66" s="3">
        <v>1003203</v>
      </c>
      <c r="L66">
        <v>24</v>
      </c>
      <c r="O66">
        <v>64</v>
      </c>
      <c r="P66">
        <v>22.3</v>
      </c>
      <c r="Q66">
        <v>21.1</v>
      </c>
      <c r="R66" s="3">
        <v>1509141</v>
      </c>
      <c r="S66" s="3">
        <v>11062706</v>
      </c>
      <c r="T66">
        <v>21.1</v>
      </c>
      <c r="U66">
        <v>0.6</v>
      </c>
      <c r="V66">
        <v>2.2999999999999998</v>
      </c>
      <c r="W66">
        <v>7.4</v>
      </c>
      <c r="X66">
        <v>12.2</v>
      </c>
      <c r="Y66" s="3">
        <v>1455693</v>
      </c>
      <c r="Z66">
        <v>22.3</v>
      </c>
      <c r="AB66">
        <f t="shared" si="0"/>
        <v>64</v>
      </c>
      <c r="AC66">
        <f t="shared" si="1"/>
        <v>22.986204734079948</v>
      </c>
      <c r="AD66">
        <f t="shared" si="2"/>
        <v>21.382554890503506</v>
      </c>
      <c r="AE66">
        <f t="shared" si="3"/>
        <v>-1.6036498435764415</v>
      </c>
      <c r="AG66">
        <v>64</v>
      </c>
      <c r="AH66">
        <v>0.6</v>
      </c>
      <c r="AI66">
        <v>2.2999999999999998</v>
      </c>
      <c r="AJ66">
        <v>7.4</v>
      </c>
      <c r="AK66">
        <v>12.2</v>
      </c>
    </row>
    <row r="67" spans="1:37" x14ac:dyDescent="0.25">
      <c r="A67">
        <v>65</v>
      </c>
      <c r="B67">
        <v>23.7</v>
      </c>
      <c r="C67">
        <v>21.7</v>
      </c>
      <c r="D67" s="3">
        <v>989071</v>
      </c>
      <c r="E67" s="3">
        <v>7603350</v>
      </c>
      <c r="F67">
        <v>21.7</v>
      </c>
      <c r="G67">
        <v>0.6</v>
      </c>
      <c r="H67">
        <v>2.1</v>
      </c>
      <c r="I67">
        <v>7.6</v>
      </c>
      <c r="J67">
        <v>12.8</v>
      </c>
      <c r="K67" s="3">
        <v>972012</v>
      </c>
      <c r="L67">
        <v>23.7</v>
      </c>
      <c r="O67">
        <v>65</v>
      </c>
      <c r="P67">
        <v>22.3</v>
      </c>
      <c r="Q67">
        <v>21.1</v>
      </c>
      <c r="R67" s="3">
        <v>1462851</v>
      </c>
      <c r="S67" s="3">
        <v>10787274</v>
      </c>
      <c r="T67">
        <v>21.1</v>
      </c>
      <c r="U67">
        <v>0.6</v>
      </c>
      <c r="V67">
        <v>2.4</v>
      </c>
      <c r="W67">
        <v>7.4</v>
      </c>
      <c r="X67">
        <v>12.1</v>
      </c>
      <c r="Y67" s="3">
        <v>1411442</v>
      </c>
      <c r="Z67">
        <v>22.3</v>
      </c>
      <c r="AB67">
        <f t="shared" ref="AB67:AB130" si="4">O67</f>
        <v>65</v>
      </c>
      <c r="AC67">
        <f t="shared" ref="AC67:AC130" si="5">($D67*B67+$R67*P67)/($D67+$R67)</f>
        <v>22.864740395493822</v>
      </c>
      <c r="AD67">
        <f t="shared" ref="AD67:AD130" si="6">($D67*C67+$R67*Q67)/($D67+$R67)</f>
        <v>21.342031598068779</v>
      </c>
      <c r="AE67">
        <f t="shared" ref="AE67:AE130" si="7">AD67-AC67</f>
        <v>-1.5227087974250431</v>
      </c>
      <c r="AG67">
        <v>65</v>
      </c>
      <c r="AH67">
        <v>0.6</v>
      </c>
      <c r="AI67">
        <v>2.4</v>
      </c>
      <c r="AJ67">
        <v>7.4</v>
      </c>
      <c r="AK67">
        <v>12.1</v>
      </c>
    </row>
    <row r="68" spans="1:37" x14ac:dyDescent="0.25">
      <c r="A68">
        <v>66</v>
      </c>
      <c r="B68">
        <v>23.7</v>
      </c>
      <c r="C68">
        <v>21.7</v>
      </c>
      <c r="D68" s="3">
        <v>959110</v>
      </c>
      <c r="E68" s="3">
        <v>7388114</v>
      </c>
      <c r="F68">
        <v>21.7</v>
      </c>
      <c r="G68">
        <v>0.6</v>
      </c>
      <c r="H68">
        <v>2.1</v>
      </c>
      <c r="I68">
        <v>7.6</v>
      </c>
      <c r="J68">
        <v>12.8</v>
      </c>
      <c r="K68" s="3">
        <v>943839</v>
      </c>
      <c r="L68">
        <v>23.7</v>
      </c>
      <c r="O68">
        <v>66</v>
      </c>
      <c r="P68">
        <v>22.3</v>
      </c>
      <c r="Q68">
        <v>21.1</v>
      </c>
      <c r="R68" s="3">
        <v>1422765</v>
      </c>
      <c r="S68" s="3">
        <v>10488852</v>
      </c>
      <c r="T68">
        <v>21.1</v>
      </c>
      <c r="U68">
        <v>0.6</v>
      </c>
      <c r="V68">
        <v>2.4</v>
      </c>
      <c r="W68">
        <v>7.4</v>
      </c>
      <c r="X68">
        <v>12.2</v>
      </c>
      <c r="Y68" s="3">
        <v>1372894</v>
      </c>
      <c r="Z68">
        <v>22.3</v>
      </c>
      <c r="AB68">
        <f t="shared" si="4"/>
        <v>66</v>
      </c>
      <c r="AC68">
        <f t="shared" si="5"/>
        <v>22.86373823143532</v>
      </c>
      <c r="AD68">
        <f t="shared" si="6"/>
        <v>21.341602099186566</v>
      </c>
      <c r="AE68">
        <f t="shared" si="7"/>
        <v>-1.5221361322487539</v>
      </c>
      <c r="AG68">
        <v>66</v>
      </c>
      <c r="AH68">
        <v>0.6</v>
      </c>
      <c r="AI68">
        <v>2.4</v>
      </c>
      <c r="AJ68">
        <v>7.4</v>
      </c>
      <c r="AK68">
        <v>12.2</v>
      </c>
    </row>
    <row r="69" spans="1:37" x14ac:dyDescent="0.25">
      <c r="A69">
        <v>67</v>
      </c>
      <c r="B69">
        <v>23.7</v>
      </c>
      <c r="C69">
        <v>21.9</v>
      </c>
      <c r="D69" s="3">
        <v>930531</v>
      </c>
      <c r="E69" s="3">
        <v>7213516</v>
      </c>
      <c r="F69">
        <v>21.9</v>
      </c>
      <c r="G69">
        <v>0.6</v>
      </c>
      <c r="H69">
        <v>2.1</v>
      </c>
      <c r="I69">
        <v>7.6</v>
      </c>
      <c r="J69">
        <v>13</v>
      </c>
      <c r="K69" s="3">
        <v>916193</v>
      </c>
      <c r="L69">
        <v>23.7</v>
      </c>
      <c r="O69">
        <v>67</v>
      </c>
      <c r="P69">
        <v>22.6</v>
      </c>
      <c r="Q69">
        <v>21.2</v>
      </c>
      <c r="R69" s="3">
        <v>1395950</v>
      </c>
      <c r="S69" s="3">
        <v>10270486</v>
      </c>
      <c r="T69">
        <v>21.2</v>
      </c>
      <c r="U69">
        <v>0.6</v>
      </c>
      <c r="V69">
        <v>2.2999999999999998</v>
      </c>
      <c r="W69">
        <v>7.3</v>
      </c>
      <c r="X69">
        <v>12.3</v>
      </c>
      <c r="Y69" s="3">
        <v>1342504</v>
      </c>
      <c r="Z69">
        <v>22.6</v>
      </c>
      <c r="AB69">
        <f t="shared" si="4"/>
        <v>67</v>
      </c>
      <c r="AC69">
        <f t="shared" si="5"/>
        <v>23.039970969030051</v>
      </c>
      <c r="AD69">
        <f t="shared" si="6"/>
        <v>21.479981525746396</v>
      </c>
      <c r="AE69">
        <f t="shared" si="7"/>
        <v>-1.559989443283655</v>
      </c>
      <c r="AG69">
        <v>67</v>
      </c>
      <c r="AH69">
        <v>0.6</v>
      </c>
      <c r="AI69">
        <v>2.2999999999999998</v>
      </c>
      <c r="AJ69">
        <v>7.3</v>
      </c>
      <c r="AK69">
        <v>12.3</v>
      </c>
    </row>
    <row r="70" spans="1:37" x14ac:dyDescent="0.25">
      <c r="A70">
        <v>68</v>
      </c>
      <c r="B70">
        <v>23.8</v>
      </c>
      <c r="C70">
        <v>22</v>
      </c>
      <c r="D70" s="3">
        <v>906234</v>
      </c>
      <c r="E70" s="3">
        <v>7055814</v>
      </c>
      <c r="F70">
        <v>22</v>
      </c>
      <c r="G70">
        <v>0.6</v>
      </c>
      <c r="H70">
        <v>2.1</v>
      </c>
      <c r="I70">
        <v>7.5</v>
      </c>
      <c r="J70">
        <v>13.1</v>
      </c>
      <c r="K70" s="3">
        <v>893162</v>
      </c>
      <c r="L70">
        <v>23.8</v>
      </c>
      <c r="O70">
        <v>68</v>
      </c>
      <c r="P70">
        <v>22.7</v>
      </c>
      <c r="Q70">
        <v>21.3</v>
      </c>
      <c r="R70" s="3">
        <v>1366857</v>
      </c>
      <c r="S70" s="3">
        <v>10101708</v>
      </c>
      <c r="T70">
        <v>21.3</v>
      </c>
      <c r="U70">
        <v>0.6</v>
      </c>
      <c r="V70">
        <v>2.2999999999999998</v>
      </c>
      <c r="W70">
        <v>7.3</v>
      </c>
      <c r="X70">
        <v>12.5</v>
      </c>
      <c r="Y70" s="3">
        <v>1315793</v>
      </c>
      <c r="Z70">
        <v>22.7</v>
      </c>
      <c r="AB70">
        <f t="shared" si="4"/>
        <v>68</v>
      </c>
      <c r="AC70">
        <f t="shared" si="5"/>
        <v>23.138547070926766</v>
      </c>
      <c r="AD70">
        <f t="shared" si="6"/>
        <v>21.57907540877158</v>
      </c>
      <c r="AE70">
        <f t="shared" si="7"/>
        <v>-1.5594716621551861</v>
      </c>
      <c r="AG70">
        <v>68</v>
      </c>
      <c r="AH70">
        <v>0.6</v>
      </c>
      <c r="AI70">
        <v>2.2999999999999998</v>
      </c>
      <c r="AJ70">
        <v>7.3</v>
      </c>
      <c r="AK70">
        <v>12.5</v>
      </c>
    </row>
    <row r="71" spans="1:37" x14ac:dyDescent="0.25">
      <c r="A71">
        <v>69</v>
      </c>
      <c r="B71">
        <v>24.1</v>
      </c>
      <c r="C71">
        <v>22.2</v>
      </c>
      <c r="D71" s="3">
        <v>880022</v>
      </c>
      <c r="E71" s="3">
        <v>6892341</v>
      </c>
      <c r="F71">
        <v>22.2</v>
      </c>
      <c r="G71">
        <v>0.6</v>
      </c>
      <c r="H71">
        <v>2.1</v>
      </c>
      <c r="I71">
        <v>7.5</v>
      </c>
      <c r="J71">
        <v>13.3</v>
      </c>
      <c r="K71" s="3">
        <v>865775</v>
      </c>
      <c r="L71">
        <v>24.1</v>
      </c>
      <c r="O71">
        <v>69</v>
      </c>
      <c r="P71">
        <v>22.9</v>
      </c>
      <c r="Q71">
        <v>21.5</v>
      </c>
      <c r="R71" s="3">
        <v>1331436</v>
      </c>
      <c r="S71" s="3">
        <v>9935211</v>
      </c>
      <c r="T71">
        <v>21.5</v>
      </c>
      <c r="U71">
        <v>0.6</v>
      </c>
      <c r="V71">
        <v>2.2999999999999998</v>
      </c>
      <c r="W71">
        <v>7.3</v>
      </c>
      <c r="X71">
        <v>12.7</v>
      </c>
      <c r="Y71" s="3">
        <v>1288022</v>
      </c>
      <c r="Z71">
        <v>22.9</v>
      </c>
      <c r="AB71">
        <f t="shared" si="4"/>
        <v>69</v>
      </c>
      <c r="AC71">
        <f t="shared" si="5"/>
        <v>23.377524963169094</v>
      </c>
      <c r="AD71">
        <f t="shared" si="6"/>
        <v>21.778556228515306</v>
      </c>
      <c r="AE71">
        <f t="shared" si="7"/>
        <v>-1.5989687346537877</v>
      </c>
      <c r="AG71">
        <v>69</v>
      </c>
      <c r="AH71">
        <v>0.6</v>
      </c>
      <c r="AI71">
        <v>2.2999999999999998</v>
      </c>
      <c r="AJ71">
        <v>7.3</v>
      </c>
      <c r="AK71">
        <v>12.7</v>
      </c>
    </row>
    <row r="72" spans="1:37" x14ac:dyDescent="0.25">
      <c r="A72">
        <v>70</v>
      </c>
      <c r="B72">
        <v>24.4</v>
      </c>
      <c r="C72">
        <v>22.3</v>
      </c>
      <c r="D72" s="3">
        <v>857235</v>
      </c>
      <c r="E72" s="3">
        <v>6733952</v>
      </c>
      <c r="F72">
        <v>22.3</v>
      </c>
      <c r="G72">
        <v>0.6</v>
      </c>
      <c r="H72">
        <v>2.1</v>
      </c>
      <c r="I72">
        <v>7.5</v>
      </c>
      <c r="J72">
        <v>13.5</v>
      </c>
      <c r="K72" s="3">
        <v>843315</v>
      </c>
      <c r="L72">
        <v>24.4</v>
      </c>
      <c r="O72">
        <v>70</v>
      </c>
      <c r="P72">
        <v>23</v>
      </c>
      <c r="Q72">
        <v>21.7</v>
      </c>
      <c r="R72" s="3">
        <v>1298500</v>
      </c>
      <c r="S72" s="3">
        <v>9716080</v>
      </c>
      <c r="T72">
        <v>21.7</v>
      </c>
      <c r="U72">
        <v>0.6</v>
      </c>
      <c r="V72">
        <v>2.2999999999999998</v>
      </c>
      <c r="W72">
        <v>7.3</v>
      </c>
      <c r="X72">
        <v>12.9</v>
      </c>
      <c r="Y72" s="3">
        <v>1254127</v>
      </c>
      <c r="Z72">
        <v>23</v>
      </c>
      <c r="AB72">
        <f t="shared" si="4"/>
        <v>70</v>
      </c>
      <c r="AC72">
        <f t="shared" si="5"/>
        <v>23.556714531238764</v>
      </c>
      <c r="AD72">
        <f t="shared" si="6"/>
        <v>21.938591941959469</v>
      </c>
      <c r="AE72">
        <f t="shared" si="7"/>
        <v>-1.6181225892792952</v>
      </c>
      <c r="AG72">
        <v>70</v>
      </c>
      <c r="AH72">
        <v>0.6</v>
      </c>
      <c r="AI72">
        <v>2.2999999999999998</v>
      </c>
      <c r="AJ72">
        <v>7.3</v>
      </c>
      <c r="AK72">
        <v>12.9</v>
      </c>
    </row>
    <row r="73" spans="1:37" x14ac:dyDescent="0.25">
      <c r="A73">
        <v>71</v>
      </c>
      <c r="B73">
        <v>24.7</v>
      </c>
      <c r="C73">
        <v>22.4</v>
      </c>
      <c r="D73" s="3">
        <v>828676</v>
      </c>
      <c r="E73" s="3">
        <v>6538512</v>
      </c>
      <c r="F73">
        <v>22.4</v>
      </c>
      <c r="G73">
        <v>0.6</v>
      </c>
      <c r="H73">
        <v>2.1</v>
      </c>
      <c r="I73">
        <v>7.6</v>
      </c>
      <c r="J73">
        <v>13.6</v>
      </c>
      <c r="K73" s="3">
        <v>815504</v>
      </c>
      <c r="L73">
        <v>24.7</v>
      </c>
      <c r="O73">
        <v>71</v>
      </c>
      <c r="P73">
        <v>23.3</v>
      </c>
      <c r="Q73">
        <v>21.9</v>
      </c>
      <c r="R73" s="3">
        <v>1265780</v>
      </c>
      <c r="S73" s="3">
        <v>9535211</v>
      </c>
      <c r="T73">
        <v>21.9</v>
      </c>
      <c r="U73">
        <v>0.6</v>
      </c>
      <c r="V73">
        <v>2.2999999999999998</v>
      </c>
      <c r="W73">
        <v>7.3</v>
      </c>
      <c r="X73">
        <v>13</v>
      </c>
      <c r="Y73" s="3">
        <v>1225655</v>
      </c>
      <c r="Z73">
        <v>23.3</v>
      </c>
      <c r="AB73">
        <f t="shared" si="4"/>
        <v>71</v>
      </c>
      <c r="AC73">
        <f t="shared" si="5"/>
        <v>23.853912996978693</v>
      </c>
      <c r="AD73">
        <f t="shared" si="6"/>
        <v>22.09782607034953</v>
      </c>
      <c r="AE73">
        <f t="shared" si="7"/>
        <v>-1.7560869266291625</v>
      </c>
      <c r="AG73">
        <v>71</v>
      </c>
      <c r="AH73">
        <v>0.6</v>
      </c>
      <c r="AI73">
        <v>2.2999999999999998</v>
      </c>
      <c r="AJ73">
        <v>7.3</v>
      </c>
      <c r="AK73">
        <v>13</v>
      </c>
    </row>
    <row r="74" spans="1:37" x14ac:dyDescent="0.25">
      <c r="A74">
        <v>72</v>
      </c>
      <c r="B74">
        <v>25</v>
      </c>
      <c r="C74">
        <v>22.5</v>
      </c>
      <c r="D74" s="3">
        <v>808357</v>
      </c>
      <c r="E74" s="3">
        <v>6357988</v>
      </c>
      <c r="F74">
        <v>22.5</v>
      </c>
      <c r="G74">
        <v>0.6</v>
      </c>
      <c r="H74">
        <v>2.1</v>
      </c>
      <c r="I74">
        <v>7.6</v>
      </c>
      <c r="J74">
        <v>13.6</v>
      </c>
      <c r="K74" s="3">
        <v>794300</v>
      </c>
      <c r="L74">
        <v>25</v>
      </c>
      <c r="O74">
        <v>72</v>
      </c>
      <c r="P74">
        <v>23.7</v>
      </c>
      <c r="Q74">
        <v>22</v>
      </c>
      <c r="R74" s="3">
        <v>1234361</v>
      </c>
      <c r="S74" s="3">
        <v>9291466</v>
      </c>
      <c r="T74">
        <v>22</v>
      </c>
      <c r="U74">
        <v>0.6</v>
      </c>
      <c r="V74">
        <v>2.2999999999999998</v>
      </c>
      <c r="W74">
        <v>7.3</v>
      </c>
      <c r="X74">
        <v>13.2</v>
      </c>
      <c r="Y74" s="3">
        <v>1191945</v>
      </c>
      <c r="Z74">
        <v>23.7</v>
      </c>
      <c r="AB74">
        <f t="shared" si="4"/>
        <v>72</v>
      </c>
      <c r="AC74">
        <f t="shared" si="5"/>
        <v>24.214444039754877</v>
      </c>
      <c r="AD74">
        <f t="shared" si="6"/>
        <v>22.197863092213414</v>
      </c>
      <c r="AE74">
        <f t="shared" si="7"/>
        <v>-2.0165809475414633</v>
      </c>
      <c r="AG74">
        <v>72</v>
      </c>
      <c r="AH74">
        <v>0.6</v>
      </c>
      <c r="AI74">
        <v>2.2999999999999998</v>
      </c>
      <c r="AJ74">
        <v>7.3</v>
      </c>
      <c r="AK74">
        <v>13.2</v>
      </c>
    </row>
    <row r="75" spans="1:37" x14ac:dyDescent="0.25">
      <c r="A75">
        <v>73</v>
      </c>
      <c r="B75">
        <v>25.1</v>
      </c>
      <c r="C75">
        <v>22.5</v>
      </c>
      <c r="D75" s="3">
        <v>780962</v>
      </c>
      <c r="E75" s="3">
        <v>6159376</v>
      </c>
      <c r="F75">
        <v>22.5</v>
      </c>
      <c r="G75">
        <v>0.6</v>
      </c>
      <c r="H75">
        <v>2.1</v>
      </c>
      <c r="I75">
        <v>7.6</v>
      </c>
      <c r="J75">
        <v>13.7</v>
      </c>
      <c r="K75" s="3">
        <v>765257</v>
      </c>
      <c r="L75">
        <v>25.1</v>
      </c>
      <c r="O75">
        <v>73</v>
      </c>
      <c r="P75">
        <v>24</v>
      </c>
      <c r="Q75">
        <v>22.1</v>
      </c>
      <c r="R75" s="3">
        <v>1197489</v>
      </c>
      <c r="S75" s="3">
        <v>9044524</v>
      </c>
      <c r="T75">
        <v>22.1</v>
      </c>
      <c r="U75">
        <v>0.6</v>
      </c>
      <c r="V75">
        <v>2.2999999999999998</v>
      </c>
      <c r="W75">
        <v>7.4</v>
      </c>
      <c r="X75">
        <v>13.3</v>
      </c>
      <c r="Y75" s="3">
        <v>1155235</v>
      </c>
      <c r="Z75">
        <v>24</v>
      </c>
      <c r="AB75">
        <f t="shared" si="4"/>
        <v>73</v>
      </c>
      <c r="AC75">
        <f t="shared" si="5"/>
        <v>24.43420746836793</v>
      </c>
      <c r="AD75">
        <f t="shared" si="6"/>
        <v>22.257893624861069</v>
      </c>
      <c r="AE75">
        <f t="shared" si="7"/>
        <v>-2.1763138435068612</v>
      </c>
      <c r="AG75">
        <v>73</v>
      </c>
      <c r="AH75">
        <v>0.6</v>
      </c>
      <c r="AI75">
        <v>2.2999999999999998</v>
      </c>
      <c r="AJ75">
        <v>7.4</v>
      </c>
      <c r="AK75">
        <v>13.3</v>
      </c>
    </row>
    <row r="76" spans="1:37" x14ac:dyDescent="0.25">
      <c r="A76">
        <v>74</v>
      </c>
      <c r="B76">
        <v>25.2</v>
      </c>
      <c r="C76">
        <v>22.6</v>
      </c>
      <c r="D76" s="3">
        <v>756123</v>
      </c>
      <c r="E76" s="3">
        <v>5985465</v>
      </c>
      <c r="F76">
        <v>22.6</v>
      </c>
      <c r="G76">
        <v>0.6</v>
      </c>
      <c r="H76">
        <v>2.1</v>
      </c>
      <c r="I76">
        <v>7.6</v>
      </c>
      <c r="J76">
        <v>13.7</v>
      </c>
      <c r="K76" s="3">
        <v>741411</v>
      </c>
      <c r="L76">
        <v>25.2</v>
      </c>
      <c r="O76">
        <v>74</v>
      </c>
      <c r="P76">
        <v>24.2</v>
      </c>
      <c r="Q76">
        <v>22.2</v>
      </c>
      <c r="R76" s="3">
        <v>1162567</v>
      </c>
      <c r="S76" s="3">
        <v>8841892</v>
      </c>
      <c r="T76">
        <v>22.2</v>
      </c>
      <c r="U76">
        <v>0.6</v>
      </c>
      <c r="V76">
        <v>2.2999999999999998</v>
      </c>
      <c r="W76">
        <v>7.4</v>
      </c>
      <c r="X76">
        <v>13.4</v>
      </c>
      <c r="Y76" s="3">
        <v>1121566</v>
      </c>
      <c r="Z76">
        <v>24.2</v>
      </c>
      <c r="AB76">
        <f t="shared" si="4"/>
        <v>74</v>
      </c>
      <c r="AC76">
        <f t="shared" si="5"/>
        <v>24.594082942007308</v>
      </c>
      <c r="AD76">
        <f t="shared" si="6"/>
        <v>22.357633176802924</v>
      </c>
      <c r="AE76">
        <f t="shared" si="7"/>
        <v>-2.2364497652043838</v>
      </c>
      <c r="AG76">
        <v>74</v>
      </c>
      <c r="AH76">
        <v>0.6</v>
      </c>
      <c r="AI76">
        <v>2.2999999999999998</v>
      </c>
      <c r="AJ76">
        <v>7.4</v>
      </c>
      <c r="AK76">
        <v>13.4</v>
      </c>
    </row>
    <row r="77" spans="1:37" x14ac:dyDescent="0.25">
      <c r="A77">
        <v>75</v>
      </c>
      <c r="B77">
        <v>25.2</v>
      </c>
      <c r="C77">
        <v>22.7</v>
      </c>
      <c r="D77" s="3">
        <v>730655</v>
      </c>
      <c r="E77" s="3">
        <v>5834666</v>
      </c>
      <c r="F77">
        <v>22.7</v>
      </c>
      <c r="G77">
        <v>0.6</v>
      </c>
      <c r="H77">
        <v>2.1</v>
      </c>
      <c r="I77">
        <v>7.6</v>
      </c>
      <c r="J77">
        <v>13.9</v>
      </c>
      <c r="K77" s="3">
        <v>714828</v>
      </c>
      <c r="L77">
        <v>25.2</v>
      </c>
      <c r="O77">
        <v>75</v>
      </c>
      <c r="P77">
        <v>24</v>
      </c>
      <c r="Q77">
        <v>22.3</v>
      </c>
      <c r="R77" s="3">
        <v>1128049</v>
      </c>
      <c r="S77" s="3">
        <v>8650134</v>
      </c>
      <c r="T77">
        <v>22.3</v>
      </c>
      <c r="U77">
        <v>0.6</v>
      </c>
      <c r="V77">
        <v>2.2999999999999998</v>
      </c>
      <c r="W77">
        <v>7.3</v>
      </c>
      <c r="X77">
        <v>13.5</v>
      </c>
      <c r="Y77" s="3">
        <v>1088634</v>
      </c>
      <c r="Z77">
        <v>24</v>
      </c>
      <c r="AB77">
        <f t="shared" si="4"/>
        <v>75</v>
      </c>
      <c r="AC77">
        <f t="shared" si="5"/>
        <v>24.471719004209383</v>
      </c>
      <c r="AD77">
        <f t="shared" si="6"/>
        <v>22.457239668069796</v>
      </c>
      <c r="AE77">
        <f t="shared" si="7"/>
        <v>-2.014479336139587</v>
      </c>
      <c r="AG77">
        <v>75</v>
      </c>
      <c r="AH77">
        <v>0.6</v>
      </c>
      <c r="AI77">
        <v>2.2999999999999998</v>
      </c>
      <c r="AJ77">
        <v>7.3</v>
      </c>
      <c r="AK77">
        <v>13.5</v>
      </c>
    </row>
    <row r="78" spans="1:37" x14ac:dyDescent="0.25">
      <c r="A78">
        <v>76</v>
      </c>
      <c r="B78">
        <v>25.5</v>
      </c>
      <c r="C78">
        <v>22.9</v>
      </c>
      <c r="D78" s="3">
        <v>706441</v>
      </c>
      <c r="E78" s="3">
        <v>5642449</v>
      </c>
      <c r="F78">
        <v>22.9</v>
      </c>
      <c r="G78">
        <v>0.7</v>
      </c>
      <c r="H78">
        <v>2.1</v>
      </c>
      <c r="I78">
        <v>7.5</v>
      </c>
      <c r="J78">
        <v>14.2</v>
      </c>
      <c r="K78" s="3">
        <v>694580</v>
      </c>
      <c r="L78">
        <v>25.5</v>
      </c>
      <c r="O78">
        <v>76</v>
      </c>
      <c r="P78">
        <v>23.9</v>
      </c>
      <c r="Q78">
        <v>22.3</v>
      </c>
      <c r="R78" s="3">
        <v>1096030</v>
      </c>
      <c r="S78" s="3">
        <v>8425076</v>
      </c>
      <c r="T78">
        <v>22.3</v>
      </c>
      <c r="U78">
        <v>0.6</v>
      </c>
      <c r="V78">
        <v>2.2999999999999998</v>
      </c>
      <c r="W78">
        <v>7.3</v>
      </c>
      <c r="X78">
        <v>13.6</v>
      </c>
      <c r="Y78" s="3">
        <v>1057269</v>
      </c>
      <c r="Z78">
        <v>23.9</v>
      </c>
      <c r="AB78">
        <f t="shared" si="4"/>
        <v>76</v>
      </c>
      <c r="AC78">
        <f t="shared" si="5"/>
        <v>24.527086704862381</v>
      </c>
      <c r="AD78">
        <f t="shared" si="6"/>
        <v>22.535157514323391</v>
      </c>
      <c r="AE78">
        <f t="shared" si="7"/>
        <v>-1.9919291905389898</v>
      </c>
      <c r="AG78">
        <v>76</v>
      </c>
      <c r="AH78">
        <v>0.6</v>
      </c>
      <c r="AI78">
        <v>2.2999999999999998</v>
      </c>
      <c r="AJ78">
        <v>7.3</v>
      </c>
      <c r="AK78">
        <v>13.6</v>
      </c>
    </row>
    <row r="79" spans="1:37" x14ac:dyDescent="0.25">
      <c r="A79">
        <v>77</v>
      </c>
      <c r="B79">
        <v>25.7</v>
      </c>
      <c r="C79">
        <v>23.1</v>
      </c>
      <c r="D79" s="3">
        <v>683702</v>
      </c>
      <c r="E79" s="3">
        <v>5474624</v>
      </c>
      <c r="F79">
        <v>23.1</v>
      </c>
      <c r="G79">
        <v>0.7</v>
      </c>
      <c r="H79">
        <v>2.1</v>
      </c>
      <c r="I79">
        <v>7.5</v>
      </c>
      <c r="J79">
        <v>14.3</v>
      </c>
      <c r="K79" s="3">
        <v>669116</v>
      </c>
      <c r="L79">
        <v>25.7</v>
      </c>
      <c r="O79">
        <v>77</v>
      </c>
      <c r="P79">
        <v>23.9</v>
      </c>
      <c r="Q79">
        <v>22.5</v>
      </c>
      <c r="R79" s="3">
        <v>1065647</v>
      </c>
      <c r="S79" s="3">
        <v>8220114</v>
      </c>
      <c r="T79">
        <v>22.5</v>
      </c>
      <c r="U79">
        <v>0.7</v>
      </c>
      <c r="V79">
        <v>2.2000000000000002</v>
      </c>
      <c r="W79">
        <v>7.3</v>
      </c>
      <c r="X79">
        <v>13.8</v>
      </c>
      <c r="Y79" s="3">
        <v>1025887</v>
      </c>
      <c r="Z79">
        <v>23.9</v>
      </c>
      <c r="AB79">
        <f t="shared" si="4"/>
        <v>77</v>
      </c>
      <c r="AC79">
        <f t="shared" si="5"/>
        <v>24.603498044129555</v>
      </c>
      <c r="AD79">
        <f t="shared" si="6"/>
        <v>22.734499348043187</v>
      </c>
      <c r="AE79">
        <f t="shared" si="7"/>
        <v>-1.8689986960863685</v>
      </c>
      <c r="AG79">
        <v>77</v>
      </c>
      <c r="AH79">
        <v>0.7</v>
      </c>
      <c r="AI79">
        <v>2.2000000000000002</v>
      </c>
      <c r="AJ79">
        <v>7.3</v>
      </c>
      <c r="AK79">
        <v>13.8</v>
      </c>
    </row>
    <row r="80" spans="1:37" x14ac:dyDescent="0.25">
      <c r="A80">
        <v>78</v>
      </c>
      <c r="B80">
        <v>25.5</v>
      </c>
      <c r="C80">
        <v>23.1</v>
      </c>
      <c r="D80" s="3">
        <v>665543</v>
      </c>
      <c r="E80" s="3">
        <v>5352281</v>
      </c>
      <c r="F80">
        <v>23.1</v>
      </c>
      <c r="G80">
        <v>0.7</v>
      </c>
      <c r="H80">
        <v>2.1</v>
      </c>
      <c r="I80">
        <v>7.5</v>
      </c>
      <c r="J80">
        <v>14.4</v>
      </c>
      <c r="K80" s="3">
        <v>649005</v>
      </c>
      <c r="L80">
        <v>25.5</v>
      </c>
      <c r="O80">
        <v>78</v>
      </c>
      <c r="P80">
        <v>24</v>
      </c>
      <c r="Q80">
        <v>22.6</v>
      </c>
      <c r="R80" s="3">
        <v>1037724</v>
      </c>
      <c r="S80" s="3">
        <v>8023473</v>
      </c>
      <c r="T80">
        <v>22.6</v>
      </c>
      <c r="U80">
        <v>0.7</v>
      </c>
      <c r="V80">
        <v>2.2000000000000002</v>
      </c>
      <c r="W80">
        <v>7.2</v>
      </c>
      <c r="X80">
        <v>13.9</v>
      </c>
      <c r="Y80" s="3">
        <v>992041</v>
      </c>
      <c r="Z80">
        <v>24</v>
      </c>
      <c r="AB80">
        <f t="shared" si="4"/>
        <v>78</v>
      </c>
      <c r="AC80">
        <f t="shared" si="5"/>
        <v>24.586117443712585</v>
      </c>
      <c r="AD80">
        <f t="shared" si="6"/>
        <v>22.795372481237528</v>
      </c>
      <c r="AE80">
        <f t="shared" si="7"/>
        <v>-1.7907449624750562</v>
      </c>
      <c r="AG80">
        <v>78</v>
      </c>
      <c r="AH80">
        <v>0.7</v>
      </c>
      <c r="AI80">
        <v>2.2000000000000002</v>
      </c>
      <c r="AJ80">
        <v>7.2</v>
      </c>
      <c r="AK80">
        <v>13.9</v>
      </c>
    </row>
    <row r="81" spans="1:37" x14ac:dyDescent="0.25">
      <c r="A81">
        <v>79</v>
      </c>
      <c r="B81">
        <v>26</v>
      </c>
      <c r="C81">
        <v>23.3</v>
      </c>
      <c r="D81" s="3">
        <v>638957</v>
      </c>
      <c r="E81" s="3">
        <v>5136785</v>
      </c>
      <c r="F81">
        <v>23.3</v>
      </c>
      <c r="G81">
        <v>0.7</v>
      </c>
      <c r="H81">
        <v>2.1</v>
      </c>
      <c r="I81">
        <v>7.5</v>
      </c>
      <c r="J81">
        <v>14.7</v>
      </c>
      <c r="K81" s="3">
        <v>618884</v>
      </c>
      <c r="L81">
        <v>26</v>
      </c>
      <c r="O81">
        <v>79</v>
      </c>
      <c r="P81">
        <v>24.1</v>
      </c>
      <c r="Q81">
        <v>22.7</v>
      </c>
      <c r="R81" s="3">
        <v>1001912</v>
      </c>
      <c r="S81" s="3">
        <v>7757177</v>
      </c>
      <c r="T81">
        <v>22.7</v>
      </c>
      <c r="U81">
        <v>0.7</v>
      </c>
      <c r="V81">
        <v>2.2999999999999998</v>
      </c>
      <c r="W81">
        <v>7.2</v>
      </c>
      <c r="X81">
        <v>14.1</v>
      </c>
      <c r="Y81" s="3">
        <v>953800</v>
      </c>
      <c r="Z81">
        <v>24.1</v>
      </c>
      <c r="AB81">
        <f t="shared" si="4"/>
        <v>79</v>
      </c>
      <c r="AC81">
        <f t="shared" si="5"/>
        <v>24.839863023800195</v>
      </c>
      <c r="AD81">
        <f t="shared" si="6"/>
        <v>22.933640954884272</v>
      </c>
      <c r="AE81">
        <f t="shared" si="7"/>
        <v>-1.9062220689159233</v>
      </c>
      <c r="AG81">
        <v>79</v>
      </c>
      <c r="AH81">
        <v>0.7</v>
      </c>
      <c r="AI81">
        <v>2.2999999999999998</v>
      </c>
      <c r="AJ81">
        <v>7.2</v>
      </c>
      <c r="AK81">
        <v>14.1</v>
      </c>
    </row>
    <row r="82" spans="1:37" x14ac:dyDescent="0.25">
      <c r="A82">
        <v>80</v>
      </c>
      <c r="B82">
        <v>25.8</v>
      </c>
      <c r="C82">
        <v>23.3</v>
      </c>
      <c r="D82" s="3">
        <v>610872</v>
      </c>
      <c r="E82" s="3">
        <v>4949535</v>
      </c>
      <c r="F82">
        <v>23.3</v>
      </c>
      <c r="G82">
        <v>0.7</v>
      </c>
      <c r="H82">
        <v>2.1</v>
      </c>
      <c r="I82">
        <v>7.5</v>
      </c>
      <c r="J82">
        <v>14.6</v>
      </c>
      <c r="K82" s="3">
        <v>594132</v>
      </c>
      <c r="L82">
        <v>25.8</v>
      </c>
      <c r="O82">
        <v>80</v>
      </c>
      <c r="P82">
        <v>23.9</v>
      </c>
      <c r="Q82">
        <v>22.7</v>
      </c>
      <c r="R82" s="3">
        <v>970062</v>
      </c>
      <c r="S82" s="3">
        <v>7589487</v>
      </c>
      <c r="T82">
        <v>22.7</v>
      </c>
      <c r="U82">
        <v>0.7</v>
      </c>
      <c r="V82">
        <v>2.2999999999999998</v>
      </c>
      <c r="W82">
        <v>7.1</v>
      </c>
      <c r="X82">
        <v>14.1</v>
      </c>
      <c r="Y82" s="3">
        <v>923014</v>
      </c>
      <c r="Z82">
        <v>23.9</v>
      </c>
      <c r="AB82">
        <f t="shared" si="4"/>
        <v>80</v>
      </c>
      <c r="AC82">
        <f t="shared" si="5"/>
        <v>24.634158921245287</v>
      </c>
      <c r="AD82">
        <f t="shared" si="6"/>
        <v>22.931839659340618</v>
      </c>
      <c r="AE82">
        <f t="shared" si="7"/>
        <v>-1.7023192619046696</v>
      </c>
      <c r="AG82">
        <v>80</v>
      </c>
      <c r="AH82">
        <v>0.7</v>
      </c>
      <c r="AI82">
        <v>2.2999999999999998</v>
      </c>
      <c r="AJ82">
        <v>7.1</v>
      </c>
      <c r="AK82">
        <v>14.1</v>
      </c>
    </row>
    <row r="83" spans="1:37" x14ac:dyDescent="0.25">
      <c r="A83">
        <v>81</v>
      </c>
      <c r="B83">
        <v>25.5</v>
      </c>
      <c r="C83">
        <v>23.2</v>
      </c>
      <c r="D83" s="3">
        <v>588534</v>
      </c>
      <c r="E83" s="3">
        <v>4778045</v>
      </c>
      <c r="F83">
        <v>23.2</v>
      </c>
      <c r="G83">
        <v>0.7</v>
      </c>
      <c r="H83">
        <v>2.1</v>
      </c>
      <c r="I83">
        <v>7.5</v>
      </c>
      <c r="J83">
        <v>14.5</v>
      </c>
      <c r="K83" s="3">
        <v>572734</v>
      </c>
      <c r="L83">
        <v>25.5</v>
      </c>
      <c r="O83">
        <v>81</v>
      </c>
      <c r="P83">
        <v>23.8</v>
      </c>
      <c r="Q83">
        <v>22.5</v>
      </c>
      <c r="R83" s="3">
        <v>932965</v>
      </c>
      <c r="S83" s="3">
        <v>7350449</v>
      </c>
      <c r="T83">
        <v>22.5</v>
      </c>
      <c r="U83">
        <v>0.7</v>
      </c>
      <c r="V83">
        <v>2.2000000000000002</v>
      </c>
      <c r="W83">
        <v>7.2</v>
      </c>
      <c r="X83">
        <v>13.9</v>
      </c>
      <c r="Y83" s="3">
        <v>889569</v>
      </c>
      <c r="Z83">
        <v>23.8</v>
      </c>
      <c r="AB83">
        <f t="shared" si="4"/>
        <v>81</v>
      </c>
      <c r="AC83">
        <f t="shared" si="5"/>
        <v>24.457580320460284</v>
      </c>
      <c r="AD83">
        <f t="shared" si="6"/>
        <v>22.770768367248351</v>
      </c>
      <c r="AE83">
        <f t="shared" si="7"/>
        <v>-1.686811953211933</v>
      </c>
      <c r="AG83">
        <v>81</v>
      </c>
      <c r="AH83">
        <v>0.7</v>
      </c>
      <c r="AI83">
        <v>2.2000000000000002</v>
      </c>
      <c r="AJ83">
        <v>7.2</v>
      </c>
      <c r="AK83">
        <v>13.9</v>
      </c>
    </row>
    <row r="84" spans="1:37" x14ac:dyDescent="0.25">
      <c r="A84">
        <v>82</v>
      </c>
      <c r="B84">
        <v>25.3</v>
      </c>
      <c r="C84">
        <v>23.2</v>
      </c>
      <c r="D84" s="3">
        <v>566030</v>
      </c>
      <c r="E84" s="3">
        <v>4623083</v>
      </c>
      <c r="F84">
        <v>23.2</v>
      </c>
      <c r="G84">
        <v>0.7</v>
      </c>
      <c r="H84">
        <v>2.1</v>
      </c>
      <c r="I84">
        <v>7.5</v>
      </c>
      <c r="J84">
        <v>14.4</v>
      </c>
      <c r="K84" s="3">
        <v>552839</v>
      </c>
      <c r="L84">
        <v>25.3</v>
      </c>
      <c r="O84">
        <v>82</v>
      </c>
      <c r="P84">
        <v>23.9</v>
      </c>
      <c r="Q84">
        <v>22.6</v>
      </c>
      <c r="R84" s="3">
        <v>903963</v>
      </c>
      <c r="S84" s="3">
        <v>7165678</v>
      </c>
      <c r="T84">
        <v>22.6</v>
      </c>
      <c r="U84">
        <v>0.7</v>
      </c>
      <c r="V84">
        <v>2.2999999999999998</v>
      </c>
      <c r="W84">
        <v>7.2</v>
      </c>
      <c r="X84">
        <v>14</v>
      </c>
      <c r="Y84" s="3">
        <v>864218</v>
      </c>
      <c r="Z84">
        <v>23.9</v>
      </c>
      <c r="AB84">
        <f t="shared" si="4"/>
        <v>82</v>
      </c>
      <c r="AC84">
        <f t="shared" si="5"/>
        <v>24.439078757517894</v>
      </c>
      <c r="AD84">
        <f t="shared" si="6"/>
        <v>22.831033753221952</v>
      </c>
      <c r="AE84">
        <f t="shared" si="7"/>
        <v>-1.608045004295942</v>
      </c>
      <c r="AG84">
        <v>82</v>
      </c>
      <c r="AH84">
        <v>0.7</v>
      </c>
      <c r="AI84">
        <v>2.2999999999999998</v>
      </c>
      <c r="AJ84">
        <v>7.2</v>
      </c>
      <c r="AK84">
        <v>14</v>
      </c>
    </row>
    <row r="85" spans="1:37" x14ac:dyDescent="0.25">
      <c r="A85">
        <v>83</v>
      </c>
      <c r="B85">
        <v>25.4</v>
      </c>
      <c r="C85">
        <v>23.4</v>
      </c>
      <c r="D85" s="3">
        <v>545034</v>
      </c>
      <c r="E85" s="3">
        <v>4443641</v>
      </c>
      <c r="F85">
        <v>23.4</v>
      </c>
      <c r="G85">
        <v>0.7</v>
      </c>
      <c r="H85">
        <v>2.1</v>
      </c>
      <c r="I85">
        <v>7.6</v>
      </c>
      <c r="J85">
        <v>14.6</v>
      </c>
      <c r="K85" s="3">
        <v>531450</v>
      </c>
      <c r="L85">
        <v>25.4</v>
      </c>
      <c r="O85">
        <v>83</v>
      </c>
      <c r="P85">
        <v>24.4</v>
      </c>
      <c r="Q85">
        <v>22.8</v>
      </c>
      <c r="R85" s="3">
        <v>876485</v>
      </c>
      <c r="S85" s="3">
        <v>6942871</v>
      </c>
      <c r="T85">
        <v>22.8</v>
      </c>
      <c r="U85">
        <v>0.7</v>
      </c>
      <c r="V85">
        <v>2.2000000000000002</v>
      </c>
      <c r="W85">
        <v>7.2</v>
      </c>
      <c r="X85">
        <v>14.1</v>
      </c>
      <c r="Y85" s="3">
        <v>835386</v>
      </c>
      <c r="Z85">
        <v>24.4</v>
      </c>
      <c r="AB85">
        <f t="shared" si="4"/>
        <v>83</v>
      </c>
      <c r="AC85">
        <f t="shared" si="5"/>
        <v>24.783416612792372</v>
      </c>
      <c r="AD85">
        <f t="shared" si="6"/>
        <v>23.030049967675424</v>
      </c>
      <c r="AE85">
        <f t="shared" si="7"/>
        <v>-1.7533666451169481</v>
      </c>
      <c r="AG85">
        <v>83</v>
      </c>
      <c r="AH85">
        <v>0.7</v>
      </c>
      <c r="AI85">
        <v>2.2000000000000002</v>
      </c>
      <c r="AJ85">
        <v>7.2</v>
      </c>
      <c r="AK85">
        <v>14.1</v>
      </c>
    </row>
    <row r="86" spans="1:37" x14ac:dyDescent="0.25">
      <c r="A86">
        <v>84</v>
      </c>
      <c r="B86">
        <v>26.2</v>
      </c>
      <c r="C86">
        <v>23.7</v>
      </c>
      <c r="D86" s="3">
        <v>527094</v>
      </c>
      <c r="E86" s="3">
        <v>4349059</v>
      </c>
      <c r="F86">
        <v>23.7</v>
      </c>
      <c r="G86">
        <v>0.7</v>
      </c>
      <c r="H86">
        <v>2.1</v>
      </c>
      <c r="I86">
        <v>7.7</v>
      </c>
      <c r="J86">
        <v>14.9</v>
      </c>
      <c r="K86" s="3">
        <v>516428</v>
      </c>
      <c r="L86">
        <v>26.2</v>
      </c>
      <c r="O86">
        <v>84</v>
      </c>
      <c r="P86">
        <v>24.9</v>
      </c>
      <c r="Q86">
        <v>23.2</v>
      </c>
      <c r="R86" s="3">
        <v>853135</v>
      </c>
      <c r="S86" s="3">
        <v>6729067</v>
      </c>
      <c r="T86">
        <v>23.2</v>
      </c>
      <c r="U86">
        <v>0.7</v>
      </c>
      <c r="V86">
        <v>2.2000000000000002</v>
      </c>
      <c r="W86">
        <v>7.3</v>
      </c>
      <c r="X86">
        <v>14.5</v>
      </c>
      <c r="Y86" s="3">
        <v>812437</v>
      </c>
      <c r="Z86">
        <v>24.9</v>
      </c>
      <c r="AB86">
        <f t="shared" si="4"/>
        <v>84</v>
      </c>
      <c r="AC86">
        <f t="shared" si="5"/>
        <v>25.396455443263399</v>
      </c>
      <c r="AD86">
        <f t="shared" si="6"/>
        <v>23.390944401255151</v>
      </c>
      <c r="AE86">
        <f t="shared" si="7"/>
        <v>-2.0055110420082478</v>
      </c>
      <c r="AG86">
        <v>84</v>
      </c>
      <c r="AH86">
        <v>0.7</v>
      </c>
      <c r="AI86">
        <v>2.2000000000000002</v>
      </c>
      <c r="AJ86">
        <v>7.3</v>
      </c>
      <c r="AK86">
        <v>14.5</v>
      </c>
    </row>
    <row r="87" spans="1:37" x14ac:dyDescent="0.25">
      <c r="A87">
        <v>85</v>
      </c>
      <c r="B87">
        <v>26.8</v>
      </c>
      <c r="C87">
        <v>24.1</v>
      </c>
      <c r="D87" s="3">
        <v>509857</v>
      </c>
      <c r="E87" s="3">
        <v>4199493</v>
      </c>
      <c r="F87">
        <v>24.1</v>
      </c>
      <c r="G87">
        <v>0.7</v>
      </c>
      <c r="H87">
        <v>2.1</v>
      </c>
      <c r="I87">
        <v>7.8</v>
      </c>
      <c r="J87">
        <v>15.2</v>
      </c>
      <c r="K87" s="3">
        <v>501130</v>
      </c>
      <c r="L87">
        <v>26.8</v>
      </c>
      <c r="O87">
        <v>85</v>
      </c>
      <c r="P87">
        <v>25.4</v>
      </c>
      <c r="Q87">
        <v>23.6</v>
      </c>
      <c r="R87" s="3">
        <v>825918</v>
      </c>
      <c r="S87" s="3">
        <v>6619776</v>
      </c>
      <c r="T87">
        <v>23.6</v>
      </c>
      <c r="U87">
        <v>0.7</v>
      </c>
      <c r="V87">
        <v>2.2000000000000002</v>
      </c>
      <c r="W87">
        <v>7.4</v>
      </c>
      <c r="X87">
        <v>14.9</v>
      </c>
      <c r="Y87" s="3">
        <v>790932</v>
      </c>
      <c r="Z87">
        <v>25.4</v>
      </c>
      <c r="AB87">
        <f t="shared" si="4"/>
        <v>85</v>
      </c>
      <c r="AC87">
        <f t="shared" si="5"/>
        <v>25.934371282588756</v>
      </c>
      <c r="AD87">
        <f t="shared" si="6"/>
        <v>23.790846886638843</v>
      </c>
      <c r="AE87">
        <f t="shared" si="7"/>
        <v>-2.143524395949914</v>
      </c>
      <c r="AG87">
        <v>85</v>
      </c>
      <c r="AH87">
        <v>0.7</v>
      </c>
      <c r="AI87">
        <v>2.2000000000000002</v>
      </c>
      <c r="AJ87">
        <v>7.4</v>
      </c>
      <c r="AK87">
        <v>14.9</v>
      </c>
    </row>
    <row r="88" spans="1:37" x14ac:dyDescent="0.25">
      <c r="A88">
        <v>86</v>
      </c>
      <c r="B88">
        <v>27.3</v>
      </c>
      <c r="C88">
        <v>24.6</v>
      </c>
      <c r="D88" s="3">
        <v>495311</v>
      </c>
      <c r="E88" s="3">
        <v>4090891</v>
      </c>
      <c r="F88">
        <v>24.6</v>
      </c>
      <c r="G88">
        <v>0.7</v>
      </c>
      <c r="H88">
        <v>2</v>
      </c>
      <c r="I88">
        <v>7.9</v>
      </c>
      <c r="J88">
        <v>15.7</v>
      </c>
      <c r="K88" s="3">
        <v>487657</v>
      </c>
      <c r="L88">
        <v>27.3</v>
      </c>
      <c r="O88">
        <v>86</v>
      </c>
      <c r="P88">
        <v>25.9</v>
      </c>
      <c r="Q88">
        <v>24.1</v>
      </c>
      <c r="R88" s="3">
        <v>803738</v>
      </c>
      <c r="S88" s="3">
        <v>6456984</v>
      </c>
      <c r="T88">
        <v>24.1</v>
      </c>
      <c r="U88">
        <v>0.7</v>
      </c>
      <c r="V88">
        <v>2.2000000000000002</v>
      </c>
      <c r="W88">
        <v>7.5</v>
      </c>
      <c r="X88">
        <v>15.3</v>
      </c>
      <c r="Y88" s="3">
        <v>769236</v>
      </c>
      <c r="Z88">
        <v>25.9</v>
      </c>
      <c r="AB88">
        <f t="shared" si="4"/>
        <v>86</v>
      </c>
      <c r="AC88">
        <f t="shared" si="5"/>
        <v>26.433802343098684</v>
      </c>
      <c r="AD88">
        <f t="shared" si="6"/>
        <v>24.290643693963816</v>
      </c>
      <c r="AE88">
        <f t="shared" si="7"/>
        <v>-2.1431586491348682</v>
      </c>
      <c r="AG88">
        <v>86</v>
      </c>
      <c r="AH88">
        <v>0.7</v>
      </c>
      <c r="AI88">
        <v>2.2000000000000002</v>
      </c>
      <c r="AJ88">
        <v>7.5</v>
      </c>
      <c r="AK88">
        <v>15.3</v>
      </c>
    </row>
    <row r="89" spans="1:37" x14ac:dyDescent="0.25">
      <c r="A89">
        <v>87</v>
      </c>
      <c r="B89">
        <v>28</v>
      </c>
      <c r="C89">
        <v>24.9</v>
      </c>
      <c r="D89" s="3">
        <v>480871</v>
      </c>
      <c r="E89" s="3">
        <v>3949040</v>
      </c>
      <c r="F89">
        <v>24.9</v>
      </c>
      <c r="G89">
        <v>0.7</v>
      </c>
      <c r="H89">
        <v>2</v>
      </c>
      <c r="I89">
        <v>8</v>
      </c>
      <c r="J89">
        <v>16</v>
      </c>
      <c r="K89" s="3">
        <v>473041</v>
      </c>
      <c r="L89">
        <v>28</v>
      </c>
      <c r="O89">
        <v>87</v>
      </c>
      <c r="P89">
        <v>26</v>
      </c>
      <c r="Q89">
        <v>24.3</v>
      </c>
      <c r="R89" s="3">
        <v>784878</v>
      </c>
      <c r="S89" s="3">
        <v>6317254</v>
      </c>
      <c r="T89">
        <v>24.3</v>
      </c>
      <c r="U89">
        <v>0.7</v>
      </c>
      <c r="V89">
        <v>2.2000000000000002</v>
      </c>
      <c r="W89">
        <v>7.6</v>
      </c>
      <c r="X89">
        <v>15.6</v>
      </c>
      <c r="Y89" s="3">
        <v>750344</v>
      </c>
      <c r="Z89">
        <v>26</v>
      </c>
      <c r="AB89">
        <f t="shared" si="4"/>
        <v>87</v>
      </c>
      <c r="AC89">
        <f t="shared" si="5"/>
        <v>26.759820469935192</v>
      </c>
      <c r="AD89">
        <f t="shared" si="6"/>
        <v>24.527946140980557</v>
      </c>
      <c r="AE89">
        <f t="shared" si="7"/>
        <v>-2.2318743289546354</v>
      </c>
      <c r="AG89">
        <v>87</v>
      </c>
      <c r="AH89">
        <v>0.7</v>
      </c>
      <c r="AI89">
        <v>2.2000000000000002</v>
      </c>
      <c r="AJ89">
        <v>7.6</v>
      </c>
      <c r="AK89">
        <v>15.6</v>
      </c>
    </row>
    <row r="90" spans="1:37" x14ac:dyDescent="0.25">
      <c r="A90">
        <v>88</v>
      </c>
      <c r="B90">
        <v>28.3</v>
      </c>
      <c r="C90">
        <v>25</v>
      </c>
      <c r="D90" s="3">
        <v>465645</v>
      </c>
      <c r="E90" s="3">
        <v>3849868</v>
      </c>
      <c r="F90">
        <v>25</v>
      </c>
      <c r="G90">
        <v>0.7</v>
      </c>
      <c r="H90">
        <v>2</v>
      </c>
      <c r="I90">
        <v>8</v>
      </c>
      <c r="J90">
        <v>16.100000000000001</v>
      </c>
      <c r="K90" s="3">
        <v>458533</v>
      </c>
      <c r="L90">
        <v>28.3</v>
      </c>
      <c r="O90">
        <v>88</v>
      </c>
      <c r="P90">
        <v>26.3</v>
      </c>
      <c r="Q90">
        <v>24.4</v>
      </c>
      <c r="R90" s="3">
        <v>763497</v>
      </c>
      <c r="S90" s="3">
        <v>6127103</v>
      </c>
      <c r="T90">
        <v>24.4</v>
      </c>
      <c r="U90">
        <v>0.7</v>
      </c>
      <c r="V90">
        <v>2.2000000000000002</v>
      </c>
      <c r="W90">
        <v>7.6</v>
      </c>
      <c r="X90">
        <v>15.7</v>
      </c>
      <c r="Y90" s="3">
        <v>729521</v>
      </c>
      <c r="Z90">
        <v>26.3</v>
      </c>
      <c r="AB90">
        <f t="shared" si="4"/>
        <v>88</v>
      </c>
      <c r="AC90">
        <f t="shared" si="5"/>
        <v>27.057674865882056</v>
      </c>
      <c r="AD90">
        <f t="shared" si="6"/>
        <v>24.627302459764618</v>
      </c>
      <c r="AE90">
        <f t="shared" si="7"/>
        <v>-2.4303724061174385</v>
      </c>
      <c r="AG90">
        <v>88</v>
      </c>
      <c r="AH90">
        <v>0.7</v>
      </c>
      <c r="AI90">
        <v>2.2000000000000002</v>
      </c>
      <c r="AJ90">
        <v>7.6</v>
      </c>
      <c r="AK90">
        <v>15.7</v>
      </c>
    </row>
    <row r="91" spans="1:37" x14ac:dyDescent="0.25">
      <c r="A91">
        <v>89</v>
      </c>
      <c r="B91">
        <v>27.9</v>
      </c>
      <c r="C91">
        <v>24.8</v>
      </c>
      <c r="D91" s="3">
        <v>452954</v>
      </c>
      <c r="E91" s="3">
        <v>3761689</v>
      </c>
      <c r="F91">
        <v>24.8</v>
      </c>
      <c r="G91">
        <v>0.7</v>
      </c>
      <c r="H91">
        <v>2</v>
      </c>
      <c r="I91">
        <v>8</v>
      </c>
      <c r="J91">
        <v>15.8</v>
      </c>
      <c r="K91" s="3">
        <v>445800</v>
      </c>
      <c r="L91">
        <v>27.9</v>
      </c>
      <c r="O91">
        <v>89</v>
      </c>
      <c r="P91">
        <v>26.4</v>
      </c>
      <c r="Q91">
        <v>24.4</v>
      </c>
      <c r="R91" s="3">
        <v>742497</v>
      </c>
      <c r="S91" s="3">
        <v>6009424</v>
      </c>
      <c r="T91">
        <v>24.4</v>
      </c>
      <c r="U91">
        <v>0.7</v>
      </c>
      <c r="V91">
        <v>2.2000000000000002</v>
      </c>
      <c r="W91">
        <v>7.6</v>
      </c>
      <c r="X91">
        <v>15.6</v>
      </c>
      <c r="Y91" s="3">
        <v>707766</v>
      </c>
      <c r="Z91">
        <v>26.4</v>
      </c>
      <c r="AB91">
        <f t="shared" si="4"/>
        <v>89</v>
      </c>
      <c r="AC91">
        <f t="shared" si="5"/>
        <v>26.968347008785805</v>
      </c>
      <c r="AD91">
        <f t="shared" si="6"/>
        <v>24.551559202342883</v>
      </c>
      <c r="AE91">
        <f t="shared" si="7"/>
        <v>-2.4167878064429225</v>
      </c>
      <c r="AG91">
        <v>89</v>
      </c>
      <c r="AH91">
        <v>0.7</v>
      </c>
      <c r="AI91">
        <v>2.2000000000000002</v>
      </c>
      <c r="AJ91">
        <v>7.6</v>
      </c>
      <c r="AK91">
        <v>15.6</v>
      </c>
    </row>
    <row r="92" spans="1:37" x14ac:dyDescent="0.25">
      <c r="A92">
        <v>90</v>
      </c>
      <c r="B92">
        <v>27.3</v>
      </c>
      <c r="C92">
        <v>24.4</v>
      </c>
      <c r="D92" s="3">
        <v>438098</v>
      </c>
      <c r="E92" s="3">
        <v>3593776</v>
      </c>
      <c r="F92">
        <v>24.4</v>
      </c>
      <c r="G92">
        <v>0.7</v>
      </c>
      <c r="H92">
        <v>2</v>
      </c>
      <c r="I92">
        <v>8</v>
      </c>
      <c r="J92">
        <v>15.4</v>
      </c>
      <c r="K92" s="3">
        <v>431346</v>
      </c>
      <c r="L92">
        <v>27.3</v>
      </c>
      <c r="O92">
        <v>90</v>
      </c>
      <c r="P92">
        <v>26.2</v>
      </c>
      <c r="Q92">
        <v>24.2</v>
      </c>
      <c r="R92" s="3">
        <v>722538</v>
      </c>
      <c r="S92" s="3">
        <v>5823087</v>
      </c>
      <c r="T92">
        <v>24.2</v>
      </c>
      <c r="U92">
        <v>0.7</v>
      </c>
      <c r="V92">
        <v>2.2000000000000002</v>
      </c>
      <c r="W92">
        <v>7.7</v>
      </c>
      <c r="X92">
        <v>15.3</v>
      </c>
      <c r="Y92" s="3">
        <v>688675</v>
      </c>
      <c r="Z92">
        <v>26.2</v>
      </c>
      <c r="AB92">
        <f t="shared" si="4"/>
        <v>90</v>
      </c>
      <c r="AC92">
        <f t="shared" si="5"/>
        <v>26.615210108940271</v>
      </c>
      <c r="AD92">
        <f t="shared" si="6"/>
        <v>24.275492747080047</v>
      </c>
      <c r="AE92">
        <f t="shared" si="7"/>
        <v>-2.3397173618602238</v>
      </c>
      <c r="AG92">
        <v>90</v>
      </c>
      <c r="AH92">
        <v>0.7</v>
      </c>
      <c r="AI92">
        <v>2.2000000000000002</v>
      </c>
      <c r="AJ92">
        <v>7.7</v>
      </c>
      <c r="AK92">
        <v>15.3</v>
      </c>
    </row>
    <row r="93" spans="1:37" x14ac:dyDescent="0.25">
      <c r="A93">
        <v>91</v>
      </c>
      <c r="B93">
        <v>27</v>
      </c>
      <c r="C93">
        <v>24.1</v>
      </c>
      <c r="D93" s="3">
        <v>425732</v>
      </c>
      <c r="E93" s="3">
        <v>3514154</v>
      </c>
      <c r="F93">
        <v>24.1</v>
      </c>
      <c r="G93">
        <v>0.7</v>
      </c>
      <c r="H93">
        <v>2</v>
      </c>
      <c r="I93">
        <v>8</v>
      </c>
      <c r="J93">
        <v>15</v>
      </c>
      <c r="K93" s="3">
        <v>418724</v>
      </c>
      <c r="L93">
        <v>27</v>
      </c>
      <c r="O93">
        <v>91</v>
      </c>
      <c r="P93">
        <v>25.8</v>
      </c>
      <c r="Q93">
        <v>23.9</v>
      </c>
      <c r="R93" s="3">
        <v>701676</v>
      </c>
      <c r="S93" s="3">
        <v>5727690</v>
      </c>
      <c r="T93">
        <v>23.9</v>
      </c>
      <c r="U93">
        <v>0.7</v>
      </c>
      <c r="V93">
        <v>2.1</v>
      </c>
      <c r="W93">
        <v>7.7</v>
      </c>
      <c r="X93">
        <v>15.1</v>
      </c>
      <c r="Y93" s="3">
        <v>667491</v>
      </c>
      <c r="Z93">
        <v>25.8</v>
      </c>
      <c r="AB93">
        <f t="shared" si="4"/>
        <v>91</v>
      </c>
      <c r="AC93">
        <f t="shared" si="5"/>
        <v>26.25314420334076</v>
      </c>
      <c r="AD93">
        <f t="shared" si="6"/>
        <v>23.975524033890128</v>
      </c>
      <c r="AE93">
        <f t="shared" si="7"/>
        <v>-2.2776201694506319</v>
      </c>
      <c r="AG93">
        <v>91</v>
      </c>
      <c r="AH93">
        <v>0.7</v>
      </c>
      <c r="AI93">
        <v>2.1</v>
      </c>
      <c r="AJ93">
        <v>7.7</v>
      </c>
      <c r="AK93">
        <v>15.1</v>
      </c>
    </row>
    <row r="94" spans="1:37" x14ac:dyDescent="0.25">
      <c r="A94">
        <v>92</v>
      </c>
      <c r="B94">
        <v>26.5</v>
      </c>
      <c r="C94">
        <v>23.9</v>
      </c>
      <c r="D94" s="3">
        <v>413158</v>
      </c>
      <c r="E94" s="3">
        <v>3493618</v>
      </c>
      <c r="F94">
        <v>23.9</v>
      </c>
      <c r="G94">
        <v>0.7</v>
      </c>
      <c r="H94">
        <v>2</v>
      </c>
      <c r="I94">
        <v>8</v>
      </c>
      <c r="J94">
        <v>14.8</v>
      </c>
      <c r="K94" s="3">
        <v>406020</v>
      </c>
      <c r="L94">
        <v>26.5</v>
      </c>
      <c r="O94">
        <v>92</v>
      </c>
      <c r="P94">
        <v>25.3</v>
      </c>
      <c r="Q94">
        <v>23.7</v>
      </c>
      <c r="R94" s="3">
        <v>683192</v>
      </c>
      <c r="S94" s="3">
        <v>5617866</v>
      </c>
      <c r="T94">
        <v>23.7</v>
      </c>
      <c r="U94">
        <v>0.7</v>
      </c>
      <c r="V94">
        <v>2.1</v>
      </c>
      <c r="W94">
        <v>7.7</v>
      </c>
      <c r="X94">
        <v>14.8</v>
      </c>
      <c r="Y94" s="3">
        <v>648609</v>
      </c>
      <c r="Z94">
        <v>25.3</v>
      </c>
      <c r="AB94">
        <f t="shared" si="4"/>
        <v>92</v>
      </c>
      <c r="AC94">
        <f t="shared" si="5"/>
        <v>25.752218360924889</v>
      </c>
      <c r="AD94">
        <f t="shared" si="6"/>
        <v>23.775369726820816</v>
      </c>
      <c r="AE94">
        <f t="shared" si="7"/>
        <v>-1.9768486341040727</v>
      </c>
      <c r="AG94">
        <v>92</v>
      </c>
      <c r="AH94">
        <v>0.7</v>
      </c>
      <c r="AI94">
        <v>2.1</v>
      </c>
      <c r="AJ94">
        <v>7.7</v>
      </c>
      <c r="AK94">
        <v>14.8</v>
      </c>
    </row>
    <row r="95" spans="1:37" x14ac:dyDescent="0.25">
      <c r="A95">
        <v>93</v>
      </c>
      <c r="B95">
        <v>26.3</v>
      </c>
      <c r="C95">
        <v>23.9</v>
      </c>
      <c r="D95" s="3">
        <v>400606</v>
      </c>
      <c r="E95" s="3">
        <v>3353923</v>
      </c>
      <c r="F95">
        <v>23.9</v>
      </c>
      <c r="G95">
        <v>0.7</v>
      </c>
      <c r="H95">
        <v>2</v>
      </c>
      <c r="I95">
        <v>8.1</v>
      </c>
      <c r="J95">
        <v>14.8</v>
      </c>
      <c r="K95" s="3">
        <v>393172</v>
      </c>
      <c r="L95">
        <v>26.3</v>
      </c>
      <c r="O95">
        <v>93</v>
      </c>
      <c r="P95">
        <v>25.2</v>
      </c>
      <c r="Q95">
        <v>23.6</v>
      </c>
      <c r="R95" s="3">
        <v>663696</v>
      </c>
      <c r="S95" s="3">
        <v>5447551</v>
      </c>
      <c r="T95">
        <v>23.6</v>
      </c>
      <c r="U95">
        <v>0.7</v>
      </c>
      <c r="V95">
        <v>2.1</v>
      </c>
      <c r="W95">
        <v>7.8</v>
      </c>
      <c r="X95">
        <v>14.6</v>
      </c>
      <c r="Y95" s="3">
        <v>629119</v>
      </c>
      <c r="Z95">
        <v>25.2</v>
      </c>
      <c r="AB95">
        <f t="shared" si="4"/>
        <v>93</v>
      </c>
      <c r="AC95">
        <f t="shared" si="5"/>
        <v>25.614042818673646</v>
      </c>
      <c r="AD95">
        <f t="shared" si="6"/>
        <v>23.712920768729177</v>
      </c>
      <c r="AE95">
        <f t="shared" si="7"/>
        <v>-1.901122049944469</v>
      </c>
      <c r="AG95">
        <v>93</v>
      </c>
      <c r="AH95">
        <v>0.7</v>
      </c>
      <c r="AI95">
        <v>2.1</v>
      </c>
      <c r="AJ95">
        <v>7.8</v>
      </c>
      <c r="AK95">
        <v>14.6</v>
      </c>
    </row>
    <row r="96" spans="1:37" x14ac:dyDescent="0.25">
      <c r="A96">
        <v>94</v>
      </c>
      <c r="B96">
        <v>26</v>
      </c>
      <c r="C96">
        <v>23.9</v>
      </c>
      <c r="D96" s="3">
        <v>387898</v>
      </c>
      <c r="E96" s="3">
        <v>3267120</v>
      </c>
      <c r="F96">
        <v>23.9</v>
      </c>
      <c r="G96">
        <v>0.7</v>
      </c>
      <c r="H96">
        <v>1.9</v>
      </c>
      <c r="I96">
        <v>8.1999999999999993</v>
      </c>
      <c r="J96">
        <v>14.7</v>
      </c>
      <c r="K96" s="3">
        <v>380767</v>
      </c>
      <c r="L96">
        <v>26</v>
      </c>
      <c r="O96">
        <v>94</v>
      </c>
      <c r="P96">
        <v>25.1</v>
      </c>
      <c r="Q96">
        <v>23.6</v>
      </c>
      <c r="R96" s="3">
        <v>645010</v>
      </c>
      <c r="S96" s="3">
        <v>5310627</v>
      </c>
      <c r="T96">
        <v>23.6</v>
      </c>
      <c r="U96">
        <v>0.7</v>
      </c>
      <c r="V96">
        <v>2.1</v>
      </c>
      <c r="W96">
        <v>7.8</v>
      </c>
      <c r="X96">
        <v>14.6</v>
      </c>
      <c r="Y96" s="3">
        <v>611121</v>
      </c>
      <c r="Z96">
        <v>25.1</v>
      </c>
      <c r="AB96">
        <f t="shared" si="4"/>
        <v>94</v>
      </c>
      <c r="AC96">
        <f t="shared" si="5"/>
        <v>25.43798576446305</v>
      </c>
      <c r="AD96">
        <f t="shared" si="6"/>
        <v>23.712661921487683</v>
      </c>
      <c r="AE96">
        <f t="shared" si="7"/>
        <v>-1.7253238429753672</v>
      </c>
      <c r="AG96">
        <v>94</v>
      </c>
      <c r="AH96">
        <v>0.7</v>
      </c>
      <c r="AI96">
        <v>2.1</v>
      </c>
      <c r="AJ96">
        <v>7.8</v>
      </c>
      <c r="AK96">
        <v>14.6</v>
      </c>
    </row>
    <row r="97" spans="1:37" x14ac:dyDescent="0.25">
      <c r="A97">
        <v>95</v>
      </c>
      <c r="B97">
        <v>26.1</v>
      </c>
      <c r="C97">
        <v>24</v>
      </c>
      <c r="D97" s="3">
        <v>376292</v>
      </c>
      <c r="E97" s="3">
        <v>3186488</v>
      </c>
      <c r="F97">
        <v>24</v>
      </c>
      <c r="G97">
        <v>0.7</v>
      </c>
      <c r="H97">
        <v>1.9</v>
      </c>
      <c r="I97">
        <v>8.1999999999999993</v>
      </c>
      <c r="J97">
        <v>14.8</v>
      </c>
      <c r="K97" s="3">
        <v>368585</v>
      </c>
      <c r="L97">
        <v>26.1</v>
      </c>
      <c r="O97">
        <v>95</v>
      </c>
      <c r="P97">
        <v>25.2</v>
      </c>
      <c r="Q97">
        <v>23.7</v>
      </c>
      <c r="R97" s="3">
        <v>627766</v>
      </c>
      <c r="S97" s="3">
        <v>5187430</v>
      </c>
      <c r="T97">
        <v>23.7</v>
      </c>
      <c r="U97">
        <v>0.7</v>
      </c>
      <c r="V97">
        <v>2.1</v>
      </c>
      <c r="W97">
        <v>7.9</v>
      </c>
      <c r="X97">
        <v>14.6</v>
      </c>
      <c r="Y97" s="3">
        <v>592872</v>
      </c>
      <c r="Z97">
        <v>25.2</v>
      </c>
      <c r="AB97">
        <f t="shared" si="4"/>
        <v>95</v>
      </c>
      <c r="AC97">
        <f t="shared" si="5"/>
        <v>25.537294060701672</v>
      </c>
      <c r="AD97">
        <f t="shared" si="6"/>
        <v>23.812431353567224</v>
      </c>
      <c r="AE97">
        <f t="shared" si="7"/>
        <v>-1.7248627071344487</v>
      </c>
      <c r="AG97">
        <v>95</v>
      </c>
      <c r="AH97">
        <v>0.7</v>
      </c>
      <c r="AI97">
        <v>2.1</v>
      </c>
      <c r="AJ97">
        <v>7.9</v>
      </c>
      <c r="AK97">
        <v>14.6</v>
      </c>
    </row>
    <row r="98" spans="1:37" x14ac:dyDescent="0.25">
      <c r="A98">
        <v>96</v>
      </c>
      <c r="B98">
        <v>26.4</v>
      </c>
      <c r="C98">
        <v>24</v>
      </c>
      <c r="D98" s="3">
        <v>362841</v>
      </c>
      <c r="E98" s="3">
        <v>3082776</v>
      </c>
      <c r="F98">
        <v>24</v>
      </c>
      <c r="G98">
        <v>0.7</v>
      </c>
      <c r="H98">
        <v>1.9</v>
      </c>
      <c r="I98">
        <v>8.3000000000000007</v>
      </c>
      <c r="J98">
        <v>14.7</v>
      </c>
      <c r="K98" s="3">
        <v>356625</v>
      </c>
      <c r="L98">
        <v>26.4</v>
      </c>
      <c r="O98">
        <v>96</v>
      </c>
      <c r="P98">
        <v>25.5</v>
      </c>
      <c r="Q98">
        <v>23.9</v>
      </c>
      <c r="R98" s="3">
        <v>608330</v>
      </c>
      <c r="S98" s="3">
        <v>5052878</v>
      </c>
      <c r="T98">
        <v>23.9</v>
      </c>
      <c r="U98">
        <v>0.7</v>
      </c>
      <c r="V98">
        <v>2.1</v>
      </c>
      <c r="W98">
        <v>8</v>
      </c>
      <c r="X98">
        <v>14.7</v>
      </c>
      <c r="Y98" s="3">
        <v>575052</v>
      </c>
      <c r="Z98">
        <v>25.5</v>
      </c>
      <c r="AB98">
        <f t="shared" si="4"/>
        <v>96</v>
      </c>
      <c r="AC98">
        <f t="shared" si="5"/>
        <v>25.836250670582213</v>
      </c>
      <c r="AD98">
        <f t="shared" si="6"/>
        <v>23.937361185620247</v>
      </c>
      <c r="AE98">
        <f t="shared" si="7"/>
        <v>-1.8988894849619662</v>
      </c>
      <c r="AG98">
        <v>96</v>
      </c>
      <c r="AH98">
        <v>0.7</v>
      </c>
      <c r="AI98">
        <v>2.1</v>
      </c>
      <c r="AJ98">
        <v>8</v>
      </c>
      <c r="AK98">
        <v>14.7</v>
      </c>
    </row>
    <row r="99" spans="1:37" x14ac:dyDescent="0.25">
      <c r="A99">
        <v>97</v>
      </c>
      <c r="B99">
        <v>26.2</v>
      </c>
      <c r="C99">
        <v>24.1</v>
      </c>
      <c r="D99" s="3">
        <v>352494</v>
      </c>
      <c r="E99" s="3">
        <v>2979339</v>
      </c>
      <c r="F99">
        <v>24.1</v>
      </c>
      <c r="G99">
        <v>0.7</v>
      </c>
      <c r="H99">
        <v>1.9</v>
      </c>
      <c r="I99">
        <v>8.4</v>
      </c>
      <c r="J99">
        <v>14.7</v>
      </c>
      <c r="K99" s="3">
        <v>345980</v>
      </c>
      <c r="L99">
        <v>26.2</v>
      </c>
      <c r="O99">
        <v>97</v>
      </c>
      <c r="P99">
        <v>25.5</v>
      </c>
      <c r="Q99">
        <v>24</v>
      </c>
      <c r="R99" s="3">
        <v>592279</v>
      </c>
      <c r="S99" s="3">
        <v>4861052</v>
      </c>
      <c r="T99">
        <v>24</v>
      </c>
      <c r="U99">
        <v>0.7</v>
      </c>
      <c r="V99">
        <v>2</v>
      </c>
      <c r="W99">
        <v>8.1</v>
      </c>
      <c r="X99">
        <v>14.8</v>
      </c>
      <c r="Y99" s="3">
        <v>558017</v>
      </c>
      <c r="Z99">
        <v>25.5</v>
      </c>
      <c r="AB99">
        <f t="shared" si="4"/>
        <v>97</v>
      </c>
      <c r="AC99">
        <f t="shared" si="5"/>
        <v>25.761169402597236</v>
      </c>
      <c r="AD99">
        <f t="shared" si="6"/>
        <v>24.037309914656745</v>
      </c>
      <c r="AE99">
        <f t="shared" si="7"/>
        <v>-1.7238594879404907</v>
      </c>
      <c r="AG99">
        <v>97</v>
      </c>
      <c r="AH99">
        <v>0.7</v>
      </c>
      <c r="AI99">
        <v>2</v>
      </c>
      <c r="AJ99">
        <v>8.1</v>
      </c>
      <c r="AK99">
        <v>14.8</v>
      </c>
    </row>
    <row r="100" spans="1:37" x14ac:dyDescent="0.25">
      <c r="A100">
        <v>98</v>
      </c>
      <c r="B100">
        <v>26.1</v>
      </c>
      <c r="C100">
        <v>24.3</v>
      </c>
      <c r="D100" s="3">
        <v>341353</v>
      </c>
      <c r="E100" s="3">
        <v>2913883</v>
      </c>
      <c r="F100">
        <v>24.3</v>
      </c>
      <c r="G100">
        <v>0.7</v>
      </c>
      <c r="H100">
        <v>1.9</v>
      </c>
      <c r="I100">
        <v>8.4</v>
      </c>
      <c r="J100">
        <v>15</v>
      </c>
      <c r="K100" s="3">
        <v>335825</v>
      </c>
      <c r="L100">
        <v>26.1</v>
      </c>
      <c r="O100">
        <v>98</v>
      </c>
      <c r="P100">
        <v>25.5</v>
      </c>
      <c r="Q100">
        <v>24.3</v>
      </c>
      <c r="R100" s="3">
        <v>574980</v>
      </c>
      <c r="S100" s="3">
        <v>4776690</v>
      </c>
      <c r="T100">
        <v>24.3</v>
      </c>
      <c r="U100">
        <v>0.7</v>
      </c>
      <c r="V100">
        <v>2</v>
      </c>
      <c r="W100">
        <v>8.1</v>
      </c>
      <c r="X100">
        <v>15.2</v>
      </c>
      <c r="Y100" s="3">
        <v>542846</v>
      </c>
      <c r="Z100">
        <v>25.5</v>
      </c>
      <c r="AB100">
        <f t="shared" si="4"/>
        <v>98</v>
      </c>
      <c r="AC100">
        <f t="shared" si="5"/>
        <v>25.723512413063812</v>
      </c>
      <c r="AD100">
        <f t="shared" si="6"/>
        <v>24.299999999999997</v>
      </c>
      <c r="AE100">
        <f t="shared" si="7"/>
        <v>-1.4235124130638148</v>
      </c>
      <c r="AG100">
        <v>98</v>
      </c>
      <c r="AH100">
        <v>0.7</v>
      </c>
      <c r="AI100">
        <v>2</v>
      </c>
      <c r="AJ100">
        <v>8.1</v>
      </c>
      <c r="AK100">
        <v>15.2</v>
      </c>
    </row>
    <row r="101" spans="1:37" x14ac:dyDescent="0.25">
      <c r="A101">
        <v>99</v>
      </c>
      <c r="B101">
        <v>26.1</v>
      </c>
      <c r="C101">
        <v>24.6</v>
      </c>
      <c r="D101" s="3">
        <v>331937</v>
      </c>
      <c r="E101" s="3">
        <v>2850381</v>
      </c>
      <c r="F101">
        <v>24.6</v>
      </c>
      <c r="G101">
        <v>0.7</v>
      </c>
      <c r="H101">
        <v>1.8</v>
      </c>
      <c r="I101">
        <v>8.4</v>
      </c>
      <c r="J101">
        <v>15.3</v>
      </c>
      <c r="K101" s="3">
        <v>326334</v>
      </c>
      <c r="L101">
        <v>26.1</v>
      </c>
      <c r="O101">
        <v>99</v>
      </c>
      <c r="P101">
        <v>25.7</v>
      </c>
      <c r="Q101">
        <v>24.7</v>
      </c>
      <c r="R101" s="3">
        <v>558429</v>
      </c>
      <c r="S101" s="3">
        <v>4671089</v>
      </c>
      <c r="T101">
        <v>24.7</v>
      </c>
      <c r="U101">
        <v>0.7</v>
      </c>
      <c r="V101">
        <v>2</v>
      </c>
      <c r="W101">
        <v>8.1</v>
      </c>
      <c r="X101">
        <v>15.6</v>
      </c>
      <c r="Y101" s="3">
        <v>526499</v>
      </c>
      <c r="Z101">
        <v>25.7</v>
      </c>
      <c r="AB101">
        <f t="shared" si="4"/>
        <v>99</v>
      </c>
      <c r="AC101">
        <f t="shared" si="5"/>
        <v>25.849123843453143</v>
      </c>
      <c r="AD101">
        <f t="shared" si="6"/>
        <v>24.662719039136714</v>
      </c>
      <c r="AE101">
        <f t="shared" si="7"/>
        <v>-1.1864048043164281</v>
      </c>
      <c r="AG101">
        <v>99</v>
      </c>
      <c r="AH101">
        <v>0.7</v>
      </c>
      <c r="AI101">
        <v>2</v>
      </c>
      <c r="AJ101">
        <v>8.1</v>
      </c>
      <c r="AK101">
        <v>15.6</v>
      </c>
    </row>
    <row r="102" spans="1:37" x14ac:dyDescent="0.25">
      <c r="A102">
        <v>100</v>
      </c>
      <c r="B102">
        <v>26.3</v>
      </c>
      <c r="C102">
        <v>24.8</v>
      </c>
      <c r="D102" s="3">
        <v>321326</v>
      </c>
      <c r="E102" s="3">
        <v>2772272</v>
      </c>
      <c r="F102">
        <v>24.8</v>
      </c>
      <c r="G102">
        <v>0.7</v>
      </c>
      <c r="H102">
        <v>1.8</v>
      </c>
      <c r="I102">
        <v>8.4</v>
      </c>
      <c r="J102">
        <v>15.6</v>
      </c>
      <c r="K102" s="3">
        <v>315949</v>
      </c>
      <c r="L102">
        <v>26.3</v>
      </c>
      <c r="O102">
        <v>100</v>
      </c>
      <c r="P102">
        <v>25.9</v>
      </c>
      <c r="Q102">
        <v>25</v>
      </c>
      <c r="R102" s="3">
        <v>540077</v>
      </c>
      <c r="S102" s="3">
        <v>4572391</v>
      </c>
      <c r="T102">
        <v>25</v>
      </c>
      <c r="U102">
        <v>0.7</v>
      </c>
      <c r="V102">
        <v>2</v>
      </c>
      <c r="W102">
        <v>8.1</v>
      </c>
      <c r="X102">
        <v>16</v>
      </c>
      <c r="Y102" s="3">
        <v>509446</v>
      </c>
      <c r="Z102">
        <v>25.9</v>
      </c>
      <c r="AB102">
        <f t="shared" si="4"/>
        <v>100</v>
      </c>
      <c r="AC102">
        <f t="shared" si="5"/>
        <v>26.049210532120274</v>
      </c>
      <c r="AD102">
        <f t="shared" si="6"/>
        <v>24.925394733939864</v>
      </c>
      <c r="AE102">
        <f t="shared" si="7"/>
        <v>-1.1238157981804093</v>
      </c>
      <c r="AG102">
        <v>100</v>
      </c>
      <c r="AH102">
        <v>0.7</v>
      </c>
      <c r="AI102">
        <v>2</v>
      </c>
      <c r="AJ102">
        <v>8.1</v>
      </c>
      <c r="AK102">
        <v>16</v>
      </c>
    </row>
    <row r="103" spans="1:37" x14ac:dyDescent="0.25">
      <c r="A103">
        <v>101</v>
      </c>
      <c r="B103">
        <v>25.9</v>
      </c>
      <c r="C103">
        <v>25.2</v>
      </c>
      <c r="D103" s="3">
        <v>310978</v>
      </c>
      <c r="E103" s="3">
        <v>2721986</v>
      </c>
      <c r="F103">
        <v>25.2</v>
      </c>
      <c r="G103">
        <v>0.8</v>
      </c>
      <c r="H103">
        <v>1.8</v>
      </c>
      <c r="I103">
        <v>8.4</v>
      </c>
      <c r="J103">
        <v>16</v>
      </c>
      <c r="K103" s="3">
        <v>305724</v>
      </c>
      <c r="L103">
        <v>25.9</v>
      </c>
      <c r="O103">
        <v>101</v>
      </c>
      <c r="P103">
        <v>25.8</v>
      </c>
      <c r="Q103">
        <v>25.4</v>
      </c>
      <c r="R103" s="3">
        <v>525055</v>
      </c>
      <c r="S103" s="3">
        <v>4421903</v>
      </c>
      <c r="T103">
        <v>25.4</v>
      </c>
      <c r="U103">
        <v>0.7</v>
      </c>
      <c r="V103">
        <v>2</v>
      </c>
      <c r="W103">
        <v>8.1</v>
      </c>
      <c r="X103">
        <v>16.5</v>
      </c>
      <c r="Y103" s="3">
        <v>494909</v>
      </c>
      <c r="Z103">
        <v>25.8</v>
      </c>
      <c r="AB103">
        <f t="shared" si="4"/>
        <v>101</v>
      </c>
      <c r="AC103">
        <f t="shared" si="5"/>
        <v>25.837196857061862</v>
      </c>
      <c r="AD103">
        <f t="shared" si="6"/>
        <v>25.325606285876276</v>
      </c>
      <c r="AE103">
        <f t="shared" si="7"/>
        <v>-0.51159057118558593</v>
      </c>
      <c r="AG103">
        <v>101</v>
      </c>
      <c r="AH103">
        <v>0.7</v>
      </c>
      <c r="AI103">
        <v>2</v>
      </c>
      <c r="AJ103">
        <v>8.1</v>
      </c>
      <c r="AK103">
        <v>16.5</v>
      </c>
    </row>
    <row r="104" spans="1:37" x14ac:dyDescent="0.25">
      <c r="A104">
        <v>102</v>
      </c>
      <c r="B104">
        <v>25.9</v>
      </c>
      <c r="C104">
        <v>25.6</v>
      </c>
      <c r="D104" s="3">
        <v>302629</v>
      </c>
      <c r="E104" s="3">
        <v>2624125</v>
      </c>
      <c r="F104">
        <v>25.6</v>
      </c>
      <c r="G104">
        <v>0.8</v>
      </c>
      <c r="H104">
        <v>1.8</v>
      </c>
      <c r="I104">
        <v>8.4</v>
      </c>
      <c r="J104">
        <v>16.5</v>
      </c>
      <c r="K104" s="3">
        <v>297295</v>
      </c>
      <c r="L104">
        <v>25.9</v>
      </c>
      <c r="O104">
        <v>102</v>
      </c>
      <c r="P104">
        <v>26</v>
      </c>
      <c r="Q104">
        <v>26</v>
      </c>
      <c r="R104" s="3">
        <v>508292</v>
      </c>
      <c r="S104" s="3">
        <v>4316971</v>
      </c>
      <c r="T104">
        <v>26</v>
      </c>
      <c r="U104">
        <v>0.8</v>
      </c>
      <c r="V104">
        <v>2</v>
      </c>
      <c r="W104">
        <v>8.1</v>
      </c>
      <c r="X104">
        <v>17</v>
      </c>
      <c r="Y104" s="3">
        <v>478654</v>
      </c>
      <c r="Z104">
        <v>26</v>
      </c>
      <c r="AB104">
        <f t="shared" si="4"/>
        <v>102</v>
      </c>
      <c r="AC104">
        <f t="shared" si="5"/>
        <v>25.962680828342098</v>
      </c>
      <c r="AD104">
        <f t="shared" si="6"/>
        <v>25.850723313368377</v>
      </c>
      <c r="AE104">
        <f t="shared" si="7"/>
        <v>-0.11195751497372086</v>
      </c>
      <c r="AG104">
        <v>102</v>
      </c>
      <c r="AH104">
        <v>0.8</v>
      </c>
      <c r="AI104">
        <v>2</v>
      </c>
      <c r="AJ104">
        <v>8.1</v>
      </c>
      <c r="AK104">
        <v>17</v>
      </c>
    </row>
    <row r="105" spans="1:37" x14ac:dyDescent="0.25">
      <c r="A105">
        <v>103</v>
      </c>
      <c r="B105">
        <v>26.4</v>
      </c>
      <c r="C105">
        <v>26</v>
      </c>
      <c r="D105" s="3">
        <v>293209</v>
      </c>
      <c r="E105" s="3">
        <v>2562862</v>
      </c>
      <c r="F105">
        <v>26</v>
      </c>
      <c r="G105">
        <v>0.8</v>
      </c>
      <c r="H105">
        <v>1.8</v>
      </c>
      <c r="I105">
        <v>8.4</v>
      </c>
      <c r="J105">
        <v>17</v>
      </c>
      <c r="K105" s="3">
        <v>287970</v>
      </c>
      <c r="L105">
        <v>26.4</v>
      </c>
      <c r="O105">
        <v>103</v>
      </c>
      <c r="P105">
        <v>26.4</v>
      </c>
      <c r="Q105">
        <v>26.4</v>
      </c>
      <c r="R105" s="3">
        <v>493574</v>
      </c>
      <c r="S105" s="3">
        <v>4171206</v>
      </c>
      <c r="T105">
        <v>26.4</v>
      </c>
      <c r="U105">
        <v>0.8</v>
      </c>
      <c r="V105">
        <v>1.9</v>
      </c>
      <c r="W105">
        <v>8.1</v>
      </c>
      <c r="X105">
        <v>17.5</v>
      </c>
      <c r="Y105" s="3">
        <v>464215</v>
      </c>
      <c r="Z105">
        <v>26.4</v>
      </c>
      <c r="AB105">
        <f t="shared" si="4"/>
        <v>103</v>
      </c>
      <c r="AC105">
        <f t="shared" si="5"/>
        <v>26.4</v>
      </c>
      <c r="AD105">
        <f t="shared" si="6"/>
        <v>26.250932722237263</v>
      </c>
      <c r="AE105">
        <f t="shared" si="7"/>
        <v>-0.14906727776273598</v>
      </c>
      <c r="AG105">
        <v>103</v>
      </c>
      <c r="AH105">
        <v>0.8</v>
      </c>
      <c r="AI105">
        <v>1.9</v>
      </c>
      <c r="AJ105">
        <v>8.1</v>
      </c>
      <c r="AK105">
        <v>17.5</v>
      </c>
    </row>
    <row r="106" spans="1:37" x14ac:dyDescent="0.25">
      <c r="A106">
        <v>104</v>
      </c>
      <c r="B106">
        <v>26.5</v>
      </c>
      <c r="C106">
        <v>26.5</v>
      </c>
      <c r="D106" s="3">
        <v>284770</v>
      </c>
      <c r="E106" s="3">
        <v>2493894</v>
      </c>
      <c r="F106">
        <v>26.5</v>
      </c>
      <c r="G106">
        <v>0.8</v>
      </c>
      <c r="H106">
        <v>1.7</v>
      </c>
      <c r="I106">
        <v>8.4</v>
      </c>
      <c r="J106">
        <v>17.5</v>
      </c>
      <c r="K106" s="3">
        <v>278992</v>
      </c>
      <c r="L106">
        <v>26.5</v>
      </c>
      <c r="O106">
        <v>104</v>
      </c>
      <c r="P106">
        <v>26.7</v>
      </c>
      <c r="Q106">
        <v>26.8</v>
      </c>
      <c r="R106" s="3">
        <v>477817</v>
      </c>
      <c r="S106" s="3">
        <v>4059460</v>
      </c>
      <c r="T106">
        <v>26.8</v>
      </c>
      <c r="U106">
        <v>0.8</v>
      </c>
      <c r="V106">
        <v>1.9</v>
      </c>
      <c r="W106">
        <v>8.1999999999999993</v>
      </c>
      <c r="X106">
        <v>18</v>
      </c>
      <c r="Y106" s="3">
        <v>448313</v>
      </c>
      <c r="Z106">
        <v>26.7</v>
      </c>
      <c r="AB106">
        <f t="shared" si="4"/>
        <v>104</v>
      </c>
      <c r="AC106">
        <f t="shared" si="5"/>
        <v>26.625314750972674</v>
      </c>
      <c r="AD106">
        <f t="shared" si="6"/>
        <v>26.687972126459016</v>
      </c>
      <c r="AE106">
        <f t="shared" si="7"/>
        <v>6.2657375486342204E-2</v>
      </c>
      <c r="AG106">
        <v>104</v>
      </c>
      <c r="AH106">
        <v>0.8</v>
      </c>
      <c r="AI106">
        <v>1.9</v>
      </c>
      <c r="AJ106">
        <v>8.1999999999999993</v>
      </c>
      <c r="AK106">
        <v>18</v>
      </c>
    </row>
    <row r="107" spans="1:37" x14ac:dyDescent="0.25">
      <c r="A107">
        <v>105</v>
      </c>
      <c r="B107">
        <v>27</v>
      </c>
      <c r="C107">
        <v>26.9</v>
      </c>
      <c r="D107" s="3">
        <v>274335</v>
      </c>
      <c r="E107" s="3">
        <v>2418798</v>
      </c>
      <c r="F107">
        <v>26.9</v>
      </c>
      <c r="G107">
        <v>0.8</v>
      </c>
      <c r="H107">
        <v>1.7</v>
      </c>
      <c r="I107">
        <v>8.5</v>
      </c>
      <c r="J107">
        <v>17.899999999999999</v>
      </c>
      <c r="K107" s="3">
        <v>268674</v>
      </c>
      <c r="L107">
        <v>27</v>
      </c>
      <c r="O107">
        <v>105</v>
      </c>
      <c r="P107">
        <v>27</v>
      </c>
      <c r="Q107">
        <v>27.3</v>
      </c>
      <c r="R107" s="3">
        <v>462732</v>
      </c>
      <c r="S107" s="3">
        <v>3914044</v>
      </c>
      <c r="T107">
        <v>27.3</v>
      </c>
      <c r="U107">
        <v>0.8</v>
      </c>
      <c r="V107">
        <v>1.9</v>
      </c>
      <c r="W107">
        <v>8.3000000000000007</v>
      </c>
      <c r="X107">
        <v>18.399999999999999</v>
      </c>
      <c r="Y107" s="3">
        <v>433707</v>
      </c>
      <c r="Z107">
        <v>27</v>
      </c>
      <c r="AB107">
        <f t="shared" si="4"/>
        <v>105</v>
      </c>
      <c r="AC107">
        <f t="shared" si="5"/>
        <v>27</v>
      </c>
      <c r="AD107">
        <f t="shared" si="6"/>
        <v>27.151120725795622</v>
      </c>
      <c r="AE107">
        <f t="shared" si="7"/>
        <v>0.15112072579562152</v>
      </c>
      <c r="AG107">
        <v>105</v>
      </c>
      <c r="AH107">
        <v>0.8</v>
      </c>
      <c r="AI107">
        <v>1.9</v>
      </c>
      <c r="AJ107">
        <v>8.3000000000000007</v>
      </c>
      <c r="AK107">
        <v>18.399999999999999</v>
      </c>
    </row>
    <row r="108" spans="1:37" x14ac:dyDescent="0.25">
      <c r="A108">
        <v>106</v>
      </c>
      <c r="B108">
        <v>27.5</v>
      </c>
      <c r="C108">
        <v>27.6</v>
      </c>
      <c r="D108" s="3">
        <v>265327</v>
      </c>
      <c r="E108" s="3">
        <v>2342869</v>
      </c>
      <c r="F108">
        <v>27.6</v>
      </c>
      <c r="G108">
        <v>0.8</v>
      </c>
      <c r="H108">
        <v>1.7</v>
      </c>
      <c r="I108">
        <v>8.6</v>
      </c>
      <c r="J108">
        <v>18.5</v>
      </c>
      <c r="K108" s="3">
        <v>259894</v>
      </c>
      <c r="L108">
        <v>27.5</v>
      </c>
      <c r="O108">
        <v>106</v>
      </c>
      <c r="P108">
        <v>27.4</v>
      </c>
      <c r="Q108">
        <v>27.8</v>
      </c>
      <c r="R108" s="3">
        <v>446932</v>
      </c>
      <c r="S108" s="3">
        <v>3760942</v>
      </c>
      <c r="T108">
        <v>27.8</v>
      </c>
      <c r="U108">
        <v>0.8</v>
      </c>
      <c r="V108">
        <v>1.9</v>
      </c>
      <c r="W108">
        <v>8.3000000000000007</v>
      </c>
      <c r="X108">
        <v>18.899999999999999</v>
      </c>
      <c r="Y108" s="3">
        <v>418785</v>
      </c>
      <c r="Z108">
        <v>27.4</v>
      </c>
      <c r="AB108">
        <f t="shared" si="4"/>
        <v>106</v>
      </c>
      <c r="AC108">
        <f t="shared" si="5"/>
        <v>27.437251477341807</v>
      </c>
      <c r="AD108">
        <f t="shared" si="6"/>
        <v>27.725497045316381</v>
      </c>
      <c r="AE108">
        <f t="shared" si="7"/>
        <v>0.2882455679745739</v>
      </c>
      <c r="AG108">
        <v>106</v>
      </c>
      <c r="AH108">
        <v>0.8</v>
      </c>
      <c r="AI108">
        <v>1.9</v>
      </c>
      <c r="AJ108">
        <v>8.3000000000000007</v>
      </c>
      <c r="AK108">
        <v>18.899999999999999</v>
      </c>
    </row>
    <row r="109" spans="1:37" x14ac:dyDescent="0.25">
      <c r="A109">
        <v>107</v>
      </c>
      <c r="B109">
        <v>28.4</v>
      </c>
      <c r="C109">
        <v>28.3</v>
      </c>
      <c r="D109" s="3">
        <v>256019</v>
      </c>
      <c r="E109" s="3">
        <v>2261598</v>
      </c>
      <c r="F109">
        <v>28.3</v>
      </c>
      <c r="G109">
        <v>0.8</v>
      </c>
      <c r="H109">
        <v>1.7</v>
      </c>
      <c r="I109">
        <v>8.6999999999999993</v>
      </c>
      <c r="J109">
        <v>19.3</v>
      </c>
      <c r="K109" s="3">
        <v>251154</v>
      </c>
      <c r="L109">
        <v>28.4</v>
      </c>
      <c r="O109">
        <v>107</v>
      </c>
      <c r="P109">
        <v>27.9</v>
      </c>
      <c r="Q109">
        <v>28.4</v>
      </c>
      <c r="R109" s="3">
        <v>433556</v>
      </c>
      <c r="S109" s="3">
        <v>3658416</v>
      </c>
      <c r="T109">
        <v>28.4</v>
      </c>
      <c r="U109">
        <v>0.8</v>
      </c>
      <c r="V109">
        <v>1.8</v>
      </c>
      <c r="W109">
        <v>8.4</v>
      </c>
      <c r="X109">
        <v>19.5</v>
      </c>
      <c r="Y109" s="3">
        <v>405935</v>
      </c>
      <c r="Z109">
        <v>27.9</v>
      </c>
      <c r="AB109">
        <f t="shared" si="4"/>
        <v>107</v>
      </c>
      <c r="AC109">
        <f t="shared" si="5"/>
        <v>28.085635355110032</v>
      </c>
      <c r="AD109">
        <f t="shared" si="6"/>
        <v>28.362872928977989</v>
      </c>
      <c r="AE109">
        <f t="shared" si="7"/>
        <v>0.27723757386795711</v>
      </c>
      <c r="AG109">
        <v>107</v>
      </c>
      <c r="AH109">
        <v>0.8</v>
      </c>
      <c r="AI109">
        <v>1.8</v>
      </c>
      <c r="AJ109">
        <v>8.4</v>
      </c>
      <c r="AK109">
        <v>19.5</v>
      </c>
    </row>
    <row r="110" spans="1:37" x14ac:dyDescent="0.25">
      <c r="A110">
        <v>108</v>
      </c>
      <c r="B110">
        <v>29.1</v>
      </c>
      <c r="C110">
        <v>28.9</v>
      </c>
      <c r="D110" s="3">
        <v>246941</v>
      </c>
      <c r="E110" s="3">
        <v>2191083</v>
      </c>
      <c r="F110">
        <v>28.9</v>
      </c>
      <c r="G110">
        <v>0.8</v>
      </c>
      <c r="H110">
        <v>1.7</v>
      </c>
      <c r="I110">
        <v>8.6999999999999993</v>
      </c>
      <c r="J110">
        <v>19.899999999999999</v>
      </c>
      <c r="K110" s="3">
        <v>242168</v>
      </c>
      <c r="L110">
        <v>29.1</v>
      </c>
      <c r="O110">
        <v>108</v>
      </c>
      <c r="P110">
        <v>28.8</v>
      </c>
      <c r="Q110">
        <v>28.8</v>
      </c>
      <c r="R110" s="3">
        <v>418217</v>
      </c>
      <c r="S110" s="3">
        <v>3529928</v>
      </c>
      <c r="T110">
        <v>28.8</v>
      </c>
      <c r="U110">
        <v>0.8</v>
      </c>
      <c r="V110">
        <v>1.8</v>
      </c>
      <c r="W110">
        <v>8.5</v>
      </c>
      <c r="X110">
        <v>20</v>
      </c>
      <c r="Y110" s="3">
        <v>391230</v>
      </c>
      <c r="Z110">
        <v>28.8</v>
      </c>
      <c r="AB110">
        <f t="shared" si="4"/>
        <v>108</v>
      </c>
      <c r="AC110">
        <f t="shared" si="5"/>
        <v>28.911375492740071</v>
      </c>
      <c r="AD110">
        <f t="shared" si="6"/>
        <v>28.837125164246689</v>
      </c>
      <c r="AE110">
        <f t="shared" si="7"/>
        <v>-7.425032849338109E-2</v>
      </c>
      <c r="AG110">
        <v>108</v>
      </c>
      <c r="AH110">
        <v>0.8</v>
      </c>
      <c r="AI110">
        <v>1.8</v>
      </c>
      <c r="AJ110">
        <v>8.5</v>
      </c>
      <c r="AK110">
        <v>20</v>
      </c>
    </row>
    <row r="111" spans="1:37" x14ac:dyDescent="0.25">
      <c r="A111">
        <v>109</v>
      </c>
      <c r="B111">
        <v>30.1</v>
      </c>
      <c r="C111">
        <v>29.3</v>
      </c>
      <c r="D111" s="3">
        <v>238509</v>
      </c>
      <c r="E111" s="3">
        <v>2102621</v>
      </c>
      <c r="F111">
        <v>29.3</v>
      </c>
      <c r="G111">
        <v>0.8</v>
      </c>
      <c r="H111">
        <v>1.6</v>
      </c>
      <c r="I111">
        <v>8.8000000000000007</v>
      </c>
      <c r="J111">
        <v>20.3</v>
      </c>
      <c r="K111" s="3">
        <v>233337</v>
      </c>
      <c r="L111">
        <v>30.1</v>
      </c>
      <c r="O111">
        <v>109</v>
      </c>
      <c r="P111">
        <v>29.5</v>
      </c>
      <c r="Q111">
        <v>29.3</v>
      </c>
      <c r="R111" s="3">
        <v>404268</v>
      </c>
      <c r="S111" s="3">
        <v>3356344</v>
      </c>
      <c r="T111">
        <v>29.3</v>
      </c>
      <c r="U111">
        <v>0.8</v>
      </c>
      <c r="V111">
        <v>1.8</v>
      </c>
      <c r="W111">
        <v>8.5</v>
      </c>
      <c r="X111">
        <v>20.5</v>
      </c>
      <c r="Y111" s="3">
        <v>377645</v>
      </c>
      <c r="Z111">
        <v>29.5</v>
      </c>
      <c r="AB111">
        <f t="shared" si="4"/>
        <v>109</v>
      </c>
      <c r="AC111">
        <f t="shared" si="5"/>
        <v>29.722636155307359</v>
      </c>
      <c r="AD111">
        <f t="shared" si="6"/>
        <v>29.3</v>
      </c>
      <c r="AE111">
        <f t="shared" si="7"/>
        <v>-0.42263615530735876</v>
      </c>
      <c r="AG111">
        <v>109</v>
      </c>
      <c r="AH111">
        <v>0.8</v>
      </c>
      <c r="AI111">
        <v>1.8</v>
      </c>
      <c r="AJ111">
        <v>8.5</v>
      </c>
      <c r="AK111">
        <v>20.5</v>
      </c>
    </row>
    <row r="112" spans="1:37" x14ac:dyDescent="0.25">
      <c r="A112">
        <v>110</v>
      </c>
      <c r="B112">
        <v>30.5</v>
      </c>
      <c r="C112">
        <v>29.5</v>
      </c>
      <c r="D112" s="3">
        <v>229853</v>
      </c>
      <c r="E112" s="3">
        <v>1974961</v>
      </c>
      <c r="F112">
        <v>29.5</v>
      </c>
      <c r="G112">
        <v>0.8</v>
      </c>
      <c r="H112">
        <v>1.6</v>
      </c>
      <c r="I112">
        <v>8.8000000000000007</v>
      </c>
      <c r="J112">
        <v>20.6</v>
      </c>
      <c r="K112" s="3">
        <v>225048</v>
      </c>
      <c r="L112">
        <v>30.5</v>
      </c>
      <c r="O112">
        <v>110</v>
      </c>
      <c r="P112">
        <v>30</v>
      </c>
      <c r="Q112">
        <v>29.6</v>
      </c>
      <c r="R112" s="3">
        <v>389856</v>
      </c>
      <c r="S112" s="3">
        <v>3255974</v>
      </c>
      <c r="T112">
        <v>29.6</v>
      </c>
      <c r="U112">
        <v>0.8</v>
      </c>
      <c r="V112">
        <v>1.8</v>
      </c>
      <c r="W112">
        <v>8.5</v>
      </c>
      <c r="X112">
        <v>20.8</v>
      </c>
      <c r="Y112" s="3">
        <v>364040</v>
      </c>
      <c r="Z112">
        <v>30</v>
      </c>
      <c r="AB112">
        <f t="shared" si="4"/>
        <v>110</v>
      </c>
      <c r="AC112">
        <f t="shared" si="5"/>
        <v>30.185452365545764</v>
      </c>
      <c r="AD112">
        <f t="shared" si="6"/>
        <v>29.562909526890849</v>
      </c>
      <c r="AE112">
        <f t="shared" si="7"/>
        <v>-0.62254283865491544</v>
      </c>
      <c r="AG112">
        <v>110</v>
      </c>
      <c r="AH112">
        <v>0.8</v>
      </c>
      <c r="AI112">
        <v>1.8</v>
      </c>
      <c r="AJ112">
        <v>8.5</v>
      </c>
      <c r="AK112">
        <v>20.8</v>
      </c>
    </row>
    <row r="113" spans="1:37" x14ac:dyDescent="0.25">
      <c r="A113">
        <v>111</v>
      </c>
      <c r="B113">
        <v>30.6</v>
      </c>
      <c r="C113">
        <v>29.7</v>
      </c>
      <c r="D113" s="3">
        <v>221000</v>
      </c>
      <c r="E113" s="3">
        <v>1897761</v>
      </c>
      <c r="F113">
        <v>29.7</v>
      </c>
      <c r="G113">
        <v>0.8</v>
      </c>
      <c r="H113">
        <v>1.6</v>
      </c>
      <c r="I113">
        <v>8.6999999999999993</v>
      </c>
      <c r="J113">
        <v>20.9</v>
      </c>
      <c r="K113" s="3">
        <v>216375</v>
      </c>
      <c r="L113">
        <v>30.6</v>
      </c>
      <c r="O113">
        <v>111</v>
      </c>
      <c r="P113">
        <v>30.3</v>
      </c>
      <c r="Q113">
        <v>29.8</v>
      </c>
      <c r="R113" s="3">
        <v>376145</v>
      </c>
      <c r="S113" s="3">
        <v>3136970</v>
      </c>
      <c r="T113">
        <v>29.8</v>
      </c>
      <c r="U113">
        <v>0.8</v>
      </c>
      <c r="V113">
        <v>1.8</v>
      </c>
      <c r="W113">
        <v>8.5</v>
      </c>
      <c r="X113">
        <v>21.1</v>
      </c>
      <c r="Y113" s="3">
        <v>350608</v>
      </c>
      <c r="Z113">
        <v>30.3</v>
      </c>
      <c r="AB113">
        <f t="shared" si="4"/>
        <v>111</v>
      </c>
      <c r="AC113">
        <f t="shared" si="5"/>
        <v>30.411028309707021</v>
      </c>
      <c r="AD113">
        <f t="shared" si="6"/>
        <v>29.762990563430993</v>
      </c>
      <c r="AE113">
        <f t="shared" si="7"/>
        <v>-0.64803774627602806</v>
      </c>
      <c r="AG113">
        <v>111</v>
      </c>
      <c r="AH113">
        <v>0.8</v>
      </c>
      <c r="AI113">
        <v>1.8</v>
      </c>
      <c r="AJ113">
        <v>8.5</v>
      </c>
      <c r="AK113">
        <v>21.1</v>
      </c>
    </row>
    <row r="114" spans="1:37" x14ac:dyDescent="0.25">
      <c r="A114">
        <v>112</v>
      </c>
      <c r="B114">
        <v>31.1</v>
      </c>
      <c r="C114">
        <v>29.9</v>
      </c>
      <c r="D114" s="3">
        <v>213773</v>
      </c>
      <c r="E114" s="3">
        <v>1845197</v>
      </c>
      <c r="F114">
        <v>29.9</v>
      </c>
      <c r="G114">
        <v>0.8</v>
      </c>
      <c r="H114">
        <v>1.6</v>
      </c>
      <c r="I114">
        <v>8.6999999999999993</v>
      </c>
      <c r="J114">
        <v>21.2</v>
      </c>
      <c r="K114" s="3">
        <v>209194</v>
      </c>
      <c r="L114">
        <v>31.1</v>
      </c>
      <c r="O114">
        <v>112</v>
      </c>
      <c r="P114">
        <v>30.7</v>
      </c>
      <c r="Q114">
        <v>29.8</v>
      </c>
      <c r="R114" s="3">
        <v>362085</v>
      </c>
      <c r="S114" s="3">
        <v>3020369</v>
      </c>
      <c r="T114">
        <v>29.8</v>
      </c>
      <c r="U114">
        <v>0.8</v>
      </c>
      <c r="V114">
        <v>1.8</v>
      </c>
      <c r="W114">
        <v>8.5</v>
      </c>
      <c r="X114">
        <v>21.1</v>
      </c>
      <c r="Y114" s="3">
        <v>337402</v>
      </c>
      <c r="Z114">
        <v>30.7</v>
      </c>
      <c r="AB114">
        <f t="shared" si="4"/>
        <v>112</v>
      </c>
      <c r="AC114">
        <f t="shared" si="5"/>
        <v>30.84849007915146</v>
      </c>
      <c r="AD114">
        <f t="shared" si="6"/>
        <v>29.837122519787862</v>
      </c>
      <c r="AE114">
        <f t="shared" si="7"/>
        <v>-1.0113675593635989</v>
      </c>
      <c r="AG114">
        <v>112</v>
      </c>
      <c r="AH114">
        <v>0.8</v>
      </c>
      <c r="AI114">
        <v>1.8</v>
      </c>
      <c r="AJ114">
        <v>8.5</v>
      </c>
      <c r="AK114">
        <v>21.1</v>
      </c>
    </row>
    <row r="115" spans="1:37" x14ac:dyDescent="0.25">
      <c r="A115">
        <v>113</v>
      </c>
      <c r="B115">
        <v>31.3</v>
      </c>
      <c r="C115">
        <v>29.9</v>
      </c>
      <c r="D115" s="3">
        <v>204981</v>
      </c>
      <c r="E115" s="3">
        <v>1712416</v>
      </c>
      <c r="F115">
        <v>29.9</v>
      </c>
      <c r="G115">
        <v>0.8</v>
      </c>
      <c r="H115">
        <v>1.6</v>
      </c>
      <c r="I115">
        <v>8.6999999999999993</v>
      </c>
      <c r="J115">
        <v>21.1</v>
      </c>
      <c r="K115" s="3">
        <v>200824</v>
      </c>
      <c r="L115">
        <v>31.3</v>
      </c>
      <c r="O115">
        <v>113</v>
      </c>
      <c r="P115">
        <v>30.8</v>
      </c>
      <c r="Q115">
        <v>29.7</v>
      </c>
      <c r="R115" s="3">
        <v>349353</v>
      </c>
      <c r="S115" s="3">
        <v>2900062</v>
      </c>
      <c r="T115">
        <v>29.7</v>
      </c>
      <c r="U115">
        <v>0.8</v>
      </c>
      <c r="V115">
        <v>1.7</v>
      </c>
      <c r="W115">
        <v>8.5</v>
      </c>
      <c r="X115">
        <v>21</v>
      </c>
      <c r="Y115" s="3">
        <v>325302</v>
      </c>
      <c r="Z115">
        <v>30.8</v>
      </c>
      <c r="AB115">
        <f t="shared" si="4"/>
        <v>113</v>
      </c>
      <c r="AC115">
        <f t="shared" si="5"/>
        <v>30.984889434889432</v>
      </c>
      <c r="AD115">
        <f t="shared" si="6"/>
        <v>29.773955773955773</v>
      </c>
      <c r="AE115">
        <f t="shared" si="7"/>
        <v>-1.2109336609336587</v>
      </c>
      <c r="AG115">
        <v>113</v>
      </c>
      <c r="AH115">
        <v>0.8</v>
      </c>
      <c r="AI115">
        <v>1.7</v>
      </c>
      <c r="AJ115">
        <v>8.5</v>
      </c>
      <c r="AK115">
        <v>21</v>
      </c>
    </row>
    <row r="116" spans="1:37" x14ac:dyDescent="0.25">
      <c r="A116">
        <v>114</v>
      </c>
      <c r="B116">
        <v>31.6</v>
      </c>
      <c r="C116">
        <v>29.7</v>
      </c>
      <c r="D116" s="3">
        <v>197512</v>
      </c>
      <c r="E116" s="3">
        <v>1626013</v>
      </c>
      <c r="F116">
        <v>29.7</v>
      </c>
      <c r="G116">
        <v>0.8</v>
      </c>
      <c r="H116">
        <v>1.6</v>
      </c>
      <c r="I116">
        <v>8.6999999999999993</v>
      </c>
      <c r="J116">
        <v>20.9</v>
      </c>
      <c r="K116" s="3">
        <v>193449</v>
      </c>
      <c r="L116">
        <v>31.6</v>
      </c>
      <c r="O116">
        <v>114</v>
      </c>
      <c r="P116">
        <v>30.6</v>
      </c>
      <c r="Q116">
        <v>29.5</v>
      </c>
      <c r="R116" s="3">
        <v>336689</v>
      </c>
      <c r="S116" s="3">
        <v>2764352</v>
      </c>
      <c r="T116">
        <v>29.5</v>
      </c>
      <c r="U116">
        <v>0.8</v>
      </c>
      <c r="V116">
        <v>1.7</v>
      </c>
      <c r="W116">
        <v>8.5</v>
      </c>
      <c r="X116">
        <v>20.8</v>
      </c>
      <c r="Y116" s="3">
        <v>313167</v>
      </c>
      <c r="Z116">
        <v>30.6</v>
      </c>
      <c r="AB116">
        <f t="shared" si="4"/>
        <v>114</v>
      </c>
      <c r="AC116">
        <f t="shared" si="5"/>
        <v>30.969733489828737</v>
      </c>
      <c r="AD116">
        <f t="shared" si="6"/>
        <v>29.573946697965745</v>
      </c>
      <c r="AE116">
        <f t="shared" si="7"/>
        <v>-1.3957867918629923</v>
      </c>
      <c r="AG116">
        <v>114</v>
      </c>
      <c r="AH116">
        <v>0.8</v>
      </c>
      <c r="AI116">
        <v>1.7</v>
      </c>
      <c r="AJ116">
        <v>8.5</v>
      </c>
      <c r="AK116">
        <v>20.8</v>
      </c>
    </row>
    <row r="117" spans="1:37" x14ac:dyDescent="0.25">
      <c r="A117">
        <v>115</v>
      </c>
      <c r="B117">
        <v>31.1</v>
      </c>
      <c r="C117">
        <v>29.5</v>
      </c>
      <c r="D117" s="3">
        <v>190034</v>
      </c>
      <c r="E117" s="3">
        <v>1649023</v>
      </c>
      <c r="F117">
        <v>29.5</v>
      </c>
      <c r="G117">
        <v>0.8</v>
      </c>
      <c r="H117">
        <v>1.6</v>
      </c>
      <c r="I117">
        <v>8.6</v>
      </c>
      <c r="J117">
        <v>20.7</v>
      </c>
      <c r="K117" s="3">
        <v>185806</v>
      </c>
      <c r="L117">
        <v>31.1</v>
      </c>
      <c r="O117">
        <v>115</v>
      </c>
      <c r="P117">
        <v>30.7</v>
      </c>
      <c r="Q117">
        <v>29.3</v>
      </c>
      <c r="R117" s="3">
        <v>324639</v>
      </c>
      <c r="S117" s="3">
        <v>2632899</v>
      </c>
      <c r="T117">
        <v>29.3</v>
      </c>
      <c r="U117">
        <v>0.8</v>
      </c>
      <c r="V117">
        <v>1.7</v>
      </c>
      <c r="W117">
        <v>8.5</v>
      </c>
      <c r="X117">
        <v>20.5</v>
      </c>
      <c r="Y117" s="3">
        <v>301510</v>
      </c>
      <c r="Z117">
        <v>30.7</v>
      </c>
      <c r="AB117">
        <f t="shared" si="4"/>
        <v>115</v>
      </c>
      <c r="AC117">
        <f t="shared" si="5"/>
        <v>30.84769300118716</v>
      </c>
      <c r="AD117">
        <f t="shared" si="6"/>
        <v>29.373846500593583</v>
      </c>
      <c r="AE117">
        <f t="shared" si="7"/>
        <v>-1.4738465005935772</v>
      </c>
      <c r="AG117">
        <v>115</v>
      </c>
      <c r="AH117">
        <v>0.8</v>
      </c>
      <c r="AI117">
        <v>1.7</v>
      </c>
      <c r="AJ117">
        <v>8.5</v>
      </c>
      <c r="AK117">
        <v>20.5</v>
      </c>
    </row>
    <row r="118" spans="1:37" x14ac:dyDescent="0.25">
      <c r="A118">
        <v>116</v>
      </c>
      <c r="B118">
        <v>31.4</v>
      </c>
      <c r="C118">
        <v>29</v>
      </c>
      <c r="D118" s="3">
        <v>182437</v>
      </c>
      <c r="E118" s="3">
        <v>1495201</v>
      </c>
      <c r="F118">
        <v>29</v>
      </c>
      <c r="G118">
        <v>0.8</v>
      </c>
      <c r="H118">
        <v>1.6</v>
      </c>
      <c r="I118">
        <v>8.6999999999999993</v>
      </c>
      <c r="J118">
        <v>20.2</v>
      </c>
      <c r="K118" s="3">
        <v>178732</v>
      </c>
      <c r="L118">
        <v>31.4</v>
      </c>
      <c r="O118">
        <v>116</v>
      </c>
      <c r="P118">
        <v>30.6</v>
      </c>
      <c r="Q118">
        <v>28.8</v>
      </c>
      <c r="R118" s="3">
        <v>313893</v>
      </c>
      <c r="S118" s="3">
        <v>2547143</v>
      </c>
      <c r="T118">
        <v>28.8</v>
      </c>
      <c r="U118">
        <v>0.8</v>
      </c>
      <c r="V118">
        <v>1.7</v>
      </c>
      <c r="W118">
        <v>8.5</v>
      </c>
      <c r="X118">
        <v>20</v>
      </c>
      <c r="Y118" s="3">
        <v>290710</v>
      </c>
      <c r="Z118">
        <v>30.6</v>
      </c>
      <c r="AB118">
        <f t="shared" si="4"/>
        <v>116</v>
      </c>
      <c r="AC118">
        <f t="shared" si="5"/>
        <v>30.894057582656703</v>
      </c>
      <c r="AD118">
        <f t="shared" si="6"/>
        <v>28.873514395664177</v>
      </c>
      <c r="AE118">
        <f t="shared" si="7"/>
        <v>-2.0205431869925263</v>
      </c>
      <c r="AG118">
        <v>116</v>
      </c>
      <c r="AH118">
        <v>0.8</v>
      </c>
      <c r="AI118">
        <v>1.7</v>
      </c>
      <c r="AJ118">
        <v>8.5</v>
      </c>
      <c r="AK118">
        <v>20</v>
      </c>
    </row>
    <row r="119" spans="1:37" x14ac:dyDescent="0.25">
      <c r="A119">
        <v>117</v>
      </c>
      <c r="B119">
        <v>31.3</v>
      </c>
      <c r="C119">
        <v>28.6</v>
      </c>
      <c r="D119" s="3">
        <v>175622</v>
      </c>
      <c r="E119" s="3">
        <v>1477319</v>
      </c>
      <c r="F119">
        <v>28.6</v>
      </c>
      <c r="G119">
        <v>0.8</v>
      </c>
      <c r="H119">
        <v>1.6</v>
      </c>
      <c r="I119">
        <v>8.8000000000000007</v>
      </c>
      <c r="J119">
        <v>19.600000000000001</v>
      </c>
      <c r="K119" s="3">
        <v>171636</v>
      </c>
      <c r="L119">
        <v>31.3</v>
      </c>
      <c r="O119">
        <v>117</v>
      </c>
      <c r="P119">
        <v>30.6</v>
      </c>
      <c r="Q119">
        <v>28.3</v>
      </c>
      <c r="R119" s="3">
        <v>300863</v>
      </c>
      <c r="S119" s="3">
        <v>2428363</v>
      </c>
      <c r="T119">
        <v>28.3</v>
      </c>
      <c r="U119">
        <v>0.8</v>
      </c>
      <c r="V119">
        <v>1.7</v>
      </c>
      <c r="W119">
        <v>8.6</v>
      </c>
      <c r="X119">
        <v>19.399999999999999</v>
      </c>
      <c r="Y119" s="3">
        <v>278533</v>
      </c>
      <c r="Z119">
        <v>30.6</v>
      </c>
      <c r="AB119">
        <f t="shared" si="4"/>
        <v>117</v>
      </c>
      <c r="AC119">
        <f t="shared" si="5"/>
        <v>30.858004764053437</v>
      </c>
      <c r="AD119">
        <f t="shared" si="6"/>
        <v>28.410573470308616</v>
      </c>
      <c r="AE119">
        <f t="shared" si="7"/>
        <v>-2.4474312937448204</v>
      </c>
      <c r="AG119">
        <v>117</v>
      </c>
      <c r="AH119">
        <v>0.8</v>
      </c>
      <c r="AI119">
        <v>1.7</v>
      </c>
      <c r="AJ119">
        <v>8.6</v>
      </c>
      <c r="AK119">
        <v>19.399999999999999</v>
      </c>
    </row>
    <row r="120" spans="1:37" x14ac:dyDescent="0.25">
      <c r="A120">
        <v>118</v>
      </c>
      <c r="B120">
        <v>31.1</v>
      </c>
      <c r="C120">
        <v>28.1</v>
      </c>
      <c r="D120" s="3">
        <v>169262</v>
      </c>
      <c r="E120" s="3">
        <v>1350054</v>
      </c>
      <c r="F120">
        <v>28.1</v>
      </c>
      <c r="G120">
        <v>0.8</v>
      </c>
      <c r="H120">
        <v>1.5</v>
      </c>
      <c r="I120">
        <v>8.8000000000000007</v>
      </c>
      <c r="J120">
        <v>19.100000000000001</v>
      </c>
      <c r="K120" s="3">
        <v>165209</v>
      </c>
      <c r="L120">
        <v>31.1</v>
      </c>
      <c r="O120">
        <v>118</v>
      </c>
      <c r="P120">
        <v>30.4</v>
      </c>
      <c r="Q120">
        <v>28</v>
      </c>
      <c r="R120" s="3">
        <v>290562</v>
      </c>
      <c r="S120" s="3">
        <v>2268369</v>
      </c>
      <c r="T120">
        <v>28</v>
      </c>
      <c r="U120">
        <v>0.8</v>
      </c>
      <c r="V120">
        <v>1.7</v>
      </c>
      <c r="W120">
        <v>8.6999999999999993</v>
      </c>
      <c r="X120">
        <v>19</v>
      </c>
      <c r="Y120" s="3">
        <v>267969</v>
      </c>
      <c r="Z120">
        <v>30.4</v>
      </c>
      <c r="AB120">
        <f t="shared" si="4"/>
        <v>118</v>
      </c>
      <c r="AC120">
        <f t="shared" si="5"/>
        <v>30.657671195935837</v>
      </c>
      <c r="AD120">
        <f t="shared" si="6"/>
        <v>28.036810170847975</v>
      </c>
      <c r="AE120">
        <f t="shared" si="7"/>
        <v>-2.6208610250878621</v>
      </c>
      <c r="AG120">
        <v>118</v>
      </c>
      <c r="AH120">
        <v>0.8</v>
      </c>
      <c r="AI120">
        <v>1.7</v>
      </c>
      <c r="AJ120">
        <v>8.6999999999999993</v>
      </c>
      <c r="AK120">
        <v>19</v>
      </c>
    </row>
    <row r="121" spans="1:37" x14ac:dyDescent="0.25">
      <c r="A121">
        <v>119</v>
      </c>
      <c r="B121">
        <v>30.8</v>
      </c>
      <c r="C121">
        <v>27.8</v>
      </c>
      <c r="D121" s="3">
        <v>162525</v>
      </c>
      <c r="E121" s="3">
        <v>1261378</v>
      </c>
      <c r="F121">
        <v>27.8</v>
      </c>
      <c r="G121">
        <v>0.8</v>
      </c>
      <c r="H121">
        <v>1.5</v>
      </c>
      <c r="I121">
        <v>8.8000000000000007</v>
      </c>
      <c r="J121">
        <v>18.7</v>
      </c>
      <c r="K121" s="3">
        <v>158557</v>
      </c>
      <c r="L121">
        <v>30.8</v>
      </c>
      <c r="O121">
        <v>119</v>
      </c>
      <c r="P121">
        <v>30.1</v>
      </c>
      <c r="Q121">
        <v>27.5</v>
      </c>
      <c r="R121" s="3">
        <v>279277</v>
      </c>
      <c r="S121" s="3">
        <v>2134300</v>
      </c>
      <c r="T121">
        <v>27.5</v>
      </c>
      <c r="U121">
        <v>0.8</v>
      </c>
      <c r="V121">
        <v>1.6</v>
      </c>
      <c r="W121">
        <v>8.6999999999999993</v>
      </c>
      <c r="X121">
        <v>18.399999999999999</v>
      </c>
      <c r="Y121" s="3">
        <v>257496</v>
      </c>
      <c r="Z121">
        <v>30.1</v>
      </c>
      <c r="AB121">
        <f t="shared" si="4"/>
        <v>119</v>
      </c>
      <c r="AC121">
        <f t="shared" si="5"/>
        <v>30.357507888148991</v>
      </c>
      <c r="AD121">
        <f t="shared" si="6"/>
        <v>27.610360523492425</v>
      </c>
      <c r="AE121">
        <f t="shared" si="7"/>
        <v>-2.7471473646565663</v>
      </c>
      <c r="AG121">
        <v>119</v>
      </c>
      <c r="AH121">
        <v>0.8</v>
      </c>
      <c r="AI121">
        <v>1.6</v>
      </c>
      <c r="AJ121">
        <v>8.6999999999999993</v>
      </c>
      <c r="AK121">
        <v>18.399999999999999</v>
      </c>
    </row>
    <row r="122" spans="1:37" x14ac:dyDescent="0.25">
      <c r="A122">
        <v>120</v>
      </c>
      <c r="B122">
        <v>30.4</v>
      </c>
      <c r="C122">
        <v>27.4</v>
      </c>
      <c r="D122" s="3">
        <v>155957</v>
      </c>
      <c r="E122" s="3">
        <v>1187462</v>
      </c>
      <c r="F122">
        <v>27.4</v>
      </c>
      <c r="G122">
        <v>0.8</v>
      </c>
      <c r="H122">
        <v>1.5</v>
      </c>
      <c r="I122">
        <v>8.9</v>
      </c>
      <c r="J122">
        <v>18.2</v>
      </c>
      <c r="K122" s="3">
        <v>152250</v>
      </c>
      <c r="L122">
        <v>30.4</v>
      </c>
      <c r="O122">
        <v>120</v>
      </c>
      <c r="P122">
        <v>29.9</v>
      </c>
      <c r="Q122">
        <v>27</v>
      </c>
      <c r="R122" s="3">
        <v>268638</v>
      </c>
      <c r="S122" s="3">
        <v>2085363</v>
      </c>
      <c r="T122">
        <v>27</v>
      </c>
      <c r="U122">
        <v>0.8</v>
      </c>
      <c r="V122">
        <v>1.6</v>
      </c>
      <c r="W122">
        <v>8.8000000000000007</v>
      </c>
      <c r="X122">
        <v>17.8</v>
      </c>
      <c r="Y122" s="3">
        <v>247450</v>
      </c>
      <c r="Z122">
        <v>29.9</v>
      </c>
      <c r="AB122">
        <f t="shared" si="4"/>
        <v>120</v>
      </c>
      <c r="AC122">
        <f t="shared" si="5"/>
        <v>30.083653834830837</v>
      </c>
      <c r="AD122">
        <f t="shared" si="6"/>
        <v>27.146923067864673</v>
      </c>
      <c r="AE122">
        <f t="shared" si="7"/>
        <v>-2.9367307669661642</v>
      </c>
      <c r="AG122">
        <v>120</v>
      </c>
      <c r="AH122">
        <v>0.8</v>
      </c>
      <c r="AI122">
        <v>1.6</v>
      </c>
      <c r="AJ122">
        <v>8.8000000000000007</v>
      </c>
      <c r="AK122">
        <v>17.8</v>
      </c>
    </row>
    <row r="123" spans="1:37" x14ac:dyDescent="0.25">
      <c r="A123">
        <v>121</v>
      </c>
      <c r="B123">
        <v>29.4</v>
      </c>
      <c r="C123">
        <v>27</v>
      </c>
      <c r="D123" s="3">
        <v>150258</v>
      </c>
      <c r="E123" s="3">
        <v>1157811</v>
      </c>
      <c r="F123">
        <v>27</v>
      </c>
      <c r="G123">
        <v>0.9</v>
      </c>
      <c r="H123">
        <v>1.5</v>
      </c>
      <c r="I123">
        <v>8.9</v>
      </c>
      <c r="J123">
        <v>17.7</v>
      </c>
      <c r="K123" s="3">
        <v>146656</v>
      </c>
      <c r="L123">
        <v>29.4</v>
      </c>
      <c r="O123">
        <v>121</v>
      </c>
      <c r="P123">
        <v>28.9</v>
      </c>
      <c r="Q123">
        <v>26.5</v>
      </c>
      <c r="R123" s="3">
        <v>259227</v>
      </c>
      <c r="S123" s="3">
        <v>1987210</v>
      </c>
      <c r="T123">
        <v>26.5</v>
      </c>
      <c r="U123">
        <v>0.8</v>
      </c>
      <c r="V123">
        <v>1.6</v>
      </c>
      <c r="W123">
        <v>8.8000000000000007</v>
      </c>
      <c r="X123">
        <v>17.2</v>
      </c>
      <c r="Y123" s="3">
        <v>238098</v>
      </c>
      <c r="Z123">
        <v>28.9</v>
      </c>
      <c r="AB123">
        <f t="shared" si="4"/>
        <v>121</v>
      </c>
      <c r="AC123">
        <f t="shared" si="5"/>
        <v>29.083471922048428</v>
      </c>
      <c r="AD123">
        <f t="shared" si="6"/>
        <v>26.683471922048426</v>
      </c>
      <c r="AE123">
        <f t="shared" si="7"/>
        <v>-2.4000000000000021</v>
      </c>
      <c r="AG123">
        <v>121</v>
      </c>
      <c r="AH123">
        <v>0.8</v>
      </c>
      <c r="AI123">
        <v>1.6</v>
      </c>
      <c r="AJ123">
        <v>8.8000000000000007</v>
      </c>
      <c r="AK123">
        <v>17.2</v>
      </c>
    </row>
    <row r="124" spans="1:37" x14ac:dyDescent="0.25">
      <c r="A124">
        <v>122</v>
      </c>
      <c r="B124">
        <v>28.3</v>
      </c>
      <c r="C124">
        <v>26.6</v>
      </c>
      <c r="D124" s="3">
        <v>144856</v>
      </c>
      <c r="E124" s="3">
        <v>1079539</v>
      </c>
      <c r="F124">
        <v>26.6</v>
      </c>
      <c r="G124">
        <v>0.9</v>
      </c>
      <c r="H124">
        <v>1.5</v>
      </c>
      <c r="I124">
        <v>8.9</v>
      </c>
      <c r="J124">
        <v>17.3</v>
      </c>
      <c r="K124" s="3">
        <v>140845</v>
      </c>
      <c r="L124">
        <v>28.3</v>
      </c>
      <c r="O124">
        <v>122</v>
      </c>
      <c r="P124">
        <v>28.2</v>
      </c>
      <c r="Q124">
        <v>26.1</v>
      </c>
      <c r="R124" s="3">
        <v>249819</v>
      </c>
      <c r="S124" s="3">
        <v>1888063</v>
      </c>
      <c r="T124">
        <v>26.1</v>
      </c>
      <c r="U124">
        <v>0.9</v>
      </c>
      <c r="V124">
        <v>1.6</v>
      </c>
      <c r="W124">
        <v>8.8000000000000007</v>
      </c>
      <c r="X124">
        <v>16.7</v>
      </c>
      <c r="Y124" s="3">
        <v>229201</v>
      </c>
      <c r="Z124">
        <v>28.2</v>
      </c>
      <c r="AB124">
        <f t="shared" si="4"/>
        <v>122</v>
      </c>
      <c r="AC124">
        <f t="shared" si="5"/>
        <v>28.236702603407867</v>
      </c>
      <c r="AD124">
        <f t="shared" si="6"/>
        <v>26.283513017039336</v>
      </c>
      <c r="AE124">
        <f t="shared" si="7"/>
        <v>-1.9531895863685307</v>
      </c>
      <c r="AG124">
        <v>122</v>
      </c>
      <c r="AH124">
        <v>0.9</v>
      </c>
      <c r="AI124">
        <v>1.6</v>
      </c>
      <c r="AJ124">
        <v>8.8000000000000007</v>
      </c>
      <c r="AK124">
        <v>16.7</v>
      </c>
    </row>
    <row r="125" spans="1:37" x14ac:dyDescent="0.25">
      <c r="A125">
        <v>123</v>
      </c>
      <c r="B125">
        <v>27.9</v>
      </c>
      <c r="C125">
        <v>26.3</v>
      </c>
      <c r="D125" s="3">
        <v>139386</v>
      </c>
      <c r="E125" s="3">
        <v>1012011</v>
      </c>
      <c r="F125">
        <v>26.3</v>
      </c>
      <c r="G125">
        <v>0.9</v>
      </c>
      <c r="H125">
        <v>1.5</v>
      </c>
      <c r="I125">
        <v>8.9</v>
      </c>
      <c r="J125">
        <v>17</v>
      </c>
      <c r="K125" s="3">
        <v>134898</v>
      </c>
      <c r="L125">
        <v>27.9</v>
      </c>
      <c r="O125">
        <v>123</v>
      </c>
      <c r="P125">
        <v>27.1</v>
      </c>
      <c r="Q125">
        <v>25.6</v>
      </c>
      <c r="R125" s="3">
        <v>240713</v>
      </c>
      <c r="S125" s="3">
        <v>1835835</v>
      </c>
      <c r="T125">
        <v>25.6</v>
      </c>
      <c r="U125">
        <v>0.9</v>
      </c>
      <c r="V125">
        <v>1.6</v>
      </c>
      <c r="W125">
        <v>8.8000000000000007</v>
      </c>
      <c r="X125">
        <v>16.2</v>
      </c>
      <c r="Y125" s="3">
        <v>219739</v>
      </c>
      <c r="Z125">
        <v>27.1</v>
      </c>
      <c r="AB125">
        <f t="shared" si="4"/>
        <v>123</v>
      </c>
      <c r="AC125">
        <f t="shared" si="5"/>
        <v>27.393367780499293</v>
      </c>
      <c r="AD125">
        <f t="shared" si="6"/>
        <v>25.856696807936885</v>
      </c>
      <c r="AE125">
        <f t="shared" si="7"/>
        <v>-1.5366709725624084</v>
      </c>
      <c r="AG125">
        <v>123</v>
      </c>
      <c r="AH125">
        <v>0.9</v>
      </c>
      <c r="AI125">
        <v>1.6</v>
      </c>
      <c r="AJ125">
        <v>8.8000000000000007</v>
      </c>
      <c r="AK125">
        <v>16.2</v>
      </c>
    </row>
    <row r="126" spans="1:37" x14ac:dyDescent="0.25">
      <c r="A126">
        <v>124</v>
      </c>
      <c r="B126">
        <v>27.1</v>
      </c>
      <c r="C126">
        <v>26</v>
      </c>
      <c r="D126" s="3">
        <v>133106</v>
      </c>
      <c r="E126" s="3">
        <v>966227</v>
      </c>
      <c r="F126">
        <v>26</v>
      </c>
      <c r="G126">
        <v>0.9</v>
      </c>
      <c r="H126">
        <v>1.5</v>
      </c>
      <c r="I126">
        <v>8.8000000000000007</v>
      </c>
      <c r="J126">
        <v>16.7</v>
      </c>
      <c r="K126" s="3">
        <v>128774</v>
      </c>
      <c r="L126">
        <v>27.1</v>
      </c>
      <c r="O126">
        <v>124</v>
      </c>
      <c r="P126">
        <v>26.4</v>
      </c>
      <c r="Q126">
        <v>25.1</v>
      </c>
      <c r="R126" s="3">
        <v>231924</v>
      </c>
      <c r="S126" s="3">
        <v>1725159</v>
      </c>
      <c r="T126">
        <v>25.1</v>
      </c>
      <c r="U126">
        <v>0.9</v>
      </c>
      <c r="V126">
        <v>1.6</v>
      </c>
      <c r="W126">
        <v>8.8000000000000007</v>
      </c>
      <c r="X126">
        <v>15.7</v>
      </c>
      <c r="Y126" s="3">
        <v>210985</v>
      </c>
      <c r="Z126">
        <v>26.4</v>
      </c>
      <c r="AB126">
        <f t="shared" si="4"/>
        <v>124</v>
      </c>
      <c r="AC126">
        <f t="shared" si="5"/>
        <v>26.655250801304</v>
      </c>
      <c r="AD126">
        <f t="shared" si="6"/>
        <v>25.428179601676575</v>
      </c>
      <c r="AE126">
        <f t="shared" si="7"/>
        <v>-1.2270711996274244</v>
      </c>
      <c r="AG126">
        <v>124</v>
      </c>
      <c r="AH126">
        <v>0.9</v>
      </c>
      <c r="AI126">
        <v>1.6</v>
      </c>
      <c r="AJ126">
        <v>8.8000000000000007</v>
      </c>
      <c r="AK126">
        <v>15.7</v>
      </c>
    </row>
    <row r="127" spans="1:37" x14ac:dyDescent="0.25">
      <c r="A127">
        <v>125</v>
      </c>
      <c r="B127">
        <v>26.3</v>
      </c>
      <c r="C127">
        <v>25.6</v>
      </c>
      <c r="D127" s="3">
        <v>127505</v>
      </c>
      <c r="E127" s="3">
        <v>921505</v>
      </c>
      <c r="F127">
        <v>25.6</v>
      </c>
      <c r="G127">
        <v>0.9</v>
      </c>
      <c r="H127">
        <v>1.4</v>
      </c>
      <c r="I127">
        <v>8.8000000000000007</v>
      </c>
      <c r="J127">
        <v>16.3</v>
      </c>
      <c r="K127" s="3">
        <v>122850</v>
      </c>
      <c r="L127">
        <v>26.3</v>
      </c>
      <c r="O127">
        <v>125</v>
      </c>
      <c r="P127">
        <v>25.6</v>
      </c>
      <c r="Q127">
        <v>24.7</v>
      </c>
      <c r="R127" s="3">
        <v>222699</v>
      </c>
      <c r="S127" s="3">
        <v>1656922</v>
      </c>
      <c r="T127">
        <v>24.7</v>
      </c>
      <c r="U127">
        <v>0.9</v>
      </c>
      <c r="V127">
        <v>1.5</v>
      </c>
      <c r="W127">
        <v>8.6999999999999993</v>
      </c>
      <c r="X127">
        <v>15.3</v>
      </c>
      <c r="Y127" s="3">
        <v>202016</v>
      </c>
      <c r="Z127">
        <v>25.6</v>
      </c>
      <c r="AB127">
        <f t="shared" si="4"/>
        <v>125</v>
      </c>
      <c r="AC127">
        <f t="shared" si="5"/>
        <v>25.854861452182156</v>
      </c>
      <c r="AD127">
        <f t="shared" si="6"/>
        <v>25.027679009948489</v>
      </c>
      <c r="AE127">
        <f t="shared" si="7"/>
        <v>-0.8271824422336671</v>
      </c>
      <c r="AG127">
        <v>125</v>
      </c>
      <c r="AH127">
        <v>0.9</v>
      </c>
      <c r="AI127">
        <v>1.5</v>
      </c>
      <c r="AJ127">
        <v>8.6999999999999993</v>
      </c>
      <c r="AK127">
        <v>15.3</v>
      </c>
    </row>
    <row r="128" spans="1:37" x14ac:dyDescent="0.25">
      <c r="A128">
        <v>126</v>
      </c>
      <c r="B128">
        <v>25.8</v>
      </c>
      <c r="C128">
        <v>25.3</v>
      </c>
      <c r="D128" s="3">
        <v>121703</v>
      </c>
      <c r="E128" s="3">
        <v>877414</v>
      </c>
      <c r="F128">
        <v>25.3</v>
      </c>
      <c r="G128">
        <v>0.9</v>
      </c>
      <c r="H128">
        <v>1.4</v>
      </c>
      <c r="I128">
        <v>8.8000000000000007</v>
      </c>
      <c r="J128">
        <v>16</v>
      </c>
      <c r="K128" s="3">
        <v>117151</v>
      </c>
      <c r="L128">
        <v>25.8</v>
      </c>
      <c r="O128">
        <v>126</v>
      </c>
      <c r="P128">
        <v>24.9</v>
      </c>
      <c r="Q128">
        <v>24.5</v>
      </c>
      <c r="R128" s="3">
        <v>214034</v>
      </c>
      <c r="S128" s="3">
        <v>1546892</v>
      </c>
      <c r="T128">
        <v>24.5</v>
      </c>
      <c r="U128">
        <v>0.9</v>
      </c>
      <c r="V128">
        <v>1.5</v>
      </c>
      <c r="W128">
        <v>8.8000000000000007</v>
      </c>
      <c r="X128">
        <v>15.1</v>
      </c>
      <c r="Y128" s="3">
        <v>193413</v>
      </c>
      <c r="Z128">
        <v>24.9</v>
      </c>
      <c r="AB128">
        <f t="shared" si="4"/>
        <v>126</v>
      </c>
      <c r="AC128">
        <f t="shared" si="5"/>
        <v>25.226245543386639</v>
      </c>
      <c r="AD128">
        <f t="shared" si="6"/>
        <v>24.789996038565903</v>
      </c>
      <c r="AE128">
        <f t="shared" si="7"/>
        <v>-0.43624950482073643</v>
      </c>
      <c r="AG128">
        <v>126</v>
      </c>
      <c r="AH128">
        <v>0.9</v>
      </c>
      <c r="AI128">
        <v>1.5</v>
      </c>
      <c r="AJ128">
        <v>8.8000000000000007</v>
      </c>
      <c r="AK128">
        <v>15.1</v>
      </c>
    </row>
    <row r="129" spans="1:37" x14ac:dyDescent="0.25">
      <c r="A129">
        <v>127</v>
      </c>
      <c r="B129">
        <v>24.9</v>
      </c>
      <c r="C129">
        <v>25</v>
      </c>
      <c r="D129" s="3">
        <v>116275</v>
      </c>
      <c r="E129" s="3">
        <v>817709</v>
      </c>
      <c r="F129">
        <v>25</v>
      </c>
      <c r="G129">
        <v>0.9</v>
      </c>
      <c r="H129">
        <v>1.4</v>
      </c>
      <c r="I129">
        <v>8.8000000000000007</v>
      </c>
      <c r="J129">
        <v>15.7</v>
      </c>
      <c r="K129" s="3">
        <v>112488</v>
      </c>
      <c r="L129">
        <v>24.9</v>
      </c>
      <c r="O129">
        <v>127</v>
      </c>
      <c r="P129">
        <v>24.3</v>
      </c>
      <c r="Q129">
        <v>24.4</v>
      </c>
      <c r="R129" s="3">
        <v>205955</v>
      </c>
      <c r="S129" s="3">
        <v>1515681</v>
      </c>
      <c r="T129">
        <v>24.4</v>
      </c>
      <c r="U129">
        <v>0.9</v>
      </c>
      <c r="V129">
        <v>1.5</v>
      </c>
      <c r="W129">
        <v>8.8000000000000007</v>
      </c>
      <c r="X129">
        <v>14.9</v>
      </c>
      <c r="Y129" s="3">
        <v>186083</v>
      </c>
      <c r="Z129">
        <v>24.3</v>
      </c>
      <c r="AB129">
        <f t="shared" si="4"/>
        <v>127</v>
      </c>
      <c r="AC129">
        <f t="shared" si="5"/>
        <v>24.516506842938274</v>
      </c>
      <c r="AD129">
        <f t="shared" si="6"/>
        <v>24.616506842938275</v>
      </c>
      <c r="AE129">
        <f t="shared" si="7"/>
        <v>0.10000000000000142</v>
      </c>
      <c r="AG129">
        <v>127</v>
      </c>
      <c r="AH129">
        <v>0.9</v>
      </c>
      <c r="AI129">
        <v>1.5</v>
      </c>
      <c r="AJ129">
        <v>8.8000000000000007</v>
      </c>
      <c r="AK129">
        <v>14.9</v>
      </c>
    </row>
    <row r="130" spans="1:37" x14ac:dyDescent="0.25">
      <c r="A130">
        <v>128</v>
      </c>
      <c r="B130">
        <v>24.3</v>
      </c>
      <c r="C130">
        <v>24.9</v>
      </c>
      <c r="D130" s="3">
        <v>111737</v>
      </c>
      <c r="E130" s="3">
        <v>818034</v>
      </c>
      <c r="F130">
        <v>24.9</v>
      </c>
      <c r="G130">
        <v>0.9</v>
      </c>
      <c r="H130">
        <v>1.4</v>
      </c>
      <c r="I130">
        <v>8.8000000000000007</v>
      </c>
      <c r="J130">
        <v>15.6</v>
      </c>
      <c r="K130" s="3">
        <v>108181</v>
      </c>
      <c r="L130">
        <v>24.3</v>
      </c>
      <c r="O130">
        <v>128</v>
      </c>
      <c r="P130">
        <v>23.9</v>
      </c>
      <c r="Q130">
        <v>24.3</v>
      </c>
      <c r="R130" s="3">
        <v>197558</v>
      </c>
      <c r="S130" s="3">
        <v>1445282</v>
      </c>
      <c r="T130">
        <v>24.3</v>
      </c>
      <c r="U130">
        <v>0.9</v>
      </c>
      <c r="V130">
        <v>1.5</v>
      </c>
      <c r="W130">
        <v>8.8000000000000007</v>
      </c>
      <c r="X130">
        <v>14.8</v>
      </c>
      <c r="Y130" s="3">
        <v>178638</v>
      </c>
      <c r="Z130">
        <v>23.9</v>
      </c>
      <c r="AB130">
        <f t="shared" si="4"/>
        <v>128</v>
      </c>
      <c r="AC130">
        <f t="shared" si="5"/>
        <v>24.044505407458896</v>
      </c>
      <c r="AD130">
        <f t="shared" si="6"/>
        <v>24.516758111188349</v>
      </c>
      <c r="AE130">
        <f t="shared" si="7"/>
        <v>0.47225270372945261</v>
      </c>
      <c r="AG130">
        <v>128</v>
      </c>
      <c r="AH130">
        <v>0.9</v>
      </c>
      <c r="AI130">
        <v>1.5</v>
      </c>
      <c r="AJ130">
        <v>8.8000000000000007</v>
      </c>
      <c r="AK130">
        <v>14.8</v>
      </c>
    </row>
    <row r="131" spans="1:37" x14ac:dyDescent="0.25">
      <c r="A131">
        <v>129</v>
      </c>
      <c r="B131">
        <v>24.1</v>
      </c>
      <c r="C131">
        <v>24.9</v>
      </c>
      <c r="D131" s="3">
        <v>107387</v>
      </c>
      <c r="E131" s="3">
        <v>720886</v>
      </c>
      <c r="F131">
        <v>24.9</v>
      </c>
      <c r="G131">
        <v>0.9</v>
      </c>
      <c r="H131">
        <v>1.4</v>
      </c>
      <c r="I131">
        <v>8.9</v>
      </c>
      <c r="J131">
        <v>15.5</v>
      </c>
      <c r="K131" s="3">
        <v>104237</v>
      </c>
      <c r="L131">
        <v>24.1</v>
      </c>
      <c r="O131">
        <v>129</v>
      </c>
      <c r="P131">
        <v>23.4</v>
      </c>
      <c r="Q131">
        <v>24.3</v>
      </c>
      <c r="R131" s="3">
        <v>190800</v>
      </c>
      <c r="S131" s="3">
        <v>1386622</v>
      </c>
      <c r="T131">
        <v>24.3</v>
      </c>
      <c r="U131">
        <v>0.9</v>
      </c>
      <c r="V131">
        <v>1.5</v>
      </c>
      <c r="W131">
        <v>8.9</v>
      </c>
      <c r="X131">
        <v>14.7</v>
      </c>
      <c r="Y131" s="3">
        <v>172482</v>
      </c>
      <c r="Z131">
        <v>23.4</v>
      </c>
      <c r="AB131">
        <f t="shared" ref="AB131:AB194" si="8">O131</f>
        <v>129</v>
      </c>
      <c r="AC131">
        <f t="shared" ref="AC131:AC194" si="9">($D131*B131+$R131*P131)/($D131+$R131)</f>
        <v>23.652093149600756</v>
      </c>
      <c r="AD131">
        <f t="shared" ref="AD131:AD194" si="10">($D131*C131+$R131*Q131)/($D131+$R131)</f>
        <v>24.51607984251493</v>
      </c>
      <c r="AE131">
        <f t="shared" ref="AE131:AE194" si="11">AD131-AC131</f>
        <v>0.86398669291417463</v>
      </c>
      <c r="AG131">
        <v>129</v>
      </c>
      <c r="AH131">
        <v>0.9</v>
      </c>
      <c r="AI131">
        <v>1.5</v>
      </c>
      <c r="AJ131">
        <v>8.9</v>
      </c>
      <c r="AK131">
        <v>14.7</v>
      </c>
    </row>
    <row r="132" spans="1:37" x14ac:dyDescent="0.25">
      <c r="A132">
        <v>130</v>
      </c>
      <c r="B132">
        <v>23.8</v>
      </c>
      <c r="C132">
        <v>25.1</v>
      </c>
      <c r="D132" s="3">
        <v>103617</v>
      </c>
      <c r="E132" s="3">
        <v>725646</v>
      </c>
      <c r="F132">
        <v>25.1</v>
      </c>
      <c r="G132">
        <v>0.9</v>
      </c>
      <c r="H132">
        <v>1.4</v>
      </c>
      <c r="I132">
        <v>8.9</v>
      </c>
      <c r="J132">
        <v>15.7</v>
      </c>
      <c r="K132" s="3">
        <v>100128</v>
      </c>
      <c r="L132">
        <v>23.8</v>
      </c>
      <c r="O132">
        <v>130</v>
      </c>
      <c r="P132">
        <v>23.1</v>
      </c>
      <c r="Q132">
        <v>24.2</v>
      </c>
      <c r="R132" s="3">
        <v>184651</v>
      </c>
      <c r="S132" s="3">
        <v>1293494</v>
      </c>
      <c r="T132">
        <v>24.2</v>
      </c>
      <c r="U132">
        <v>0.9</v>
      </c>
      <c r="V132">
        <v>1.4</v>
      </c>
      <c r="W132">
        <v>8.9</v>
      </c>
      <c r="X132">
        <v>14.6</v>
      </c>
      <c r="Y132" s="3">
        <v>166560</v>
      </c>
      <c r="Z132">
        <v>23.1</v>
      </c>
      <c r="AB132">
        <f t="shared" si="8"/>
        <v>130</v>
      </c>
      <c r="AC132">
        <f t="shared" si="9"/>
        <v>23.351612735371255</v>
      </c>
      <c r="AD132">
        <f t="shared" si="10"/>
        <v>24.523502088334467</v>
      </c>
      <c r="AE132">
        <f t="shared" si="11"/>
        <v>1.1718893529632126</v>
      </c>
      <c r="AG132">
        <v>130</v>
      </c>
      <c r="AH132">
        <v>0.9</v>
      </c>
      <c r="AI132">
        <v>1.4</v>
      </c>
      <c r="AJ132">
        <v>8.9</v>
      </c>
      <c r="AK132">
        <v>14.6</v>
      </c>
    </row>
    <row r="133" spans="1:37" x14ac:dyDescent="0.25">
      <c r="A133">
        <v>131</v>
      </c>
      <c r="B133">
        <v>23.8</v>
      </c>
      <c r="C133">
        <v>25.1</v>
      </c>
      <c r="D133" s="3">
        <v>99401</v>
      </c>
      <c r="E133" s="3">
        <v>662392</v>
      </c>
      <c r="F133">
        <v>25.1</v>
      </c>
      <c r="G133">
        <v>0.9</v>
      </c>
      <c r="H133">
        <v>1.4</v>
      </c>
      <c r="I133">
        <v>8.9</v>
      </c>
      <c r="J133">
        <v>15.7</v>
      </c>
      <c r="K133" s="3">
        <v>96407</v>
      </c>
      <c r="L133">
        <v>23.8</v>
      </c>
      <c r="O133">
        <v>131</v>
      </c>
      <c r="P133">
        <v>22.7</v>
      </c>
      <c r="Q133">
        <v>24.2</v>
      </c>
      <c r="R133" s="3">
        <v>178256</v>
      </c>
      <c r="S133" s="3">
        <v>1306381</v>
      </c>
      <c r="T133">
        <v>24.2</v>
      </c>
      <c r="U133">
        <v>0.9</v>
      </c>
      <c r="V133">
        <v>1.4</v>
      </c>
      <c r="W133">
        <v>9</v>
      </c>
      <c r="X133">
        <v>14.7</v>
      </c>
      <c r="Y133" s="3">
        <v>160820</v>
      </c>
      <c r="Z133">
        <v>22.7</v>
      </c>
      <c r="AB133">
        <f t="shared" si="8"/>
        <v>131</v>
      </c>
      <c r="AC133">
        <f t="shared" si="9"/>
        <v>23.093799183885153</v>
      </c>
      <c r="AD133">
        <f t="shared" si="10"/>
        <v>24.522199332269672</v>
      </c>
      <c r="AE133">
        <f t="shared" si="11"/>
        <v>1.4284001483845188</v>
      </c>
      <c r="AG133">
        <v>131</v>
      </c>
      <c r="AH133">
        <v>0.9</v>
      </c>
      <c r="AI133">
        <v>1.4</v>
      </c>
      <c r="AJ133">
        <v>9</v>
      </c>
      <c r="AK133">
        <v>14.7</v>
      </c>
    </row>
    <row r="134" spans="1:37" x14ac:dyDescent="0.25">
      <c r="A134">
        <v>132</v>
      </c>
      <c r="B134">
        <v>23.6</v>
      </c>
      <c r="C134">
        <v>25.1</v>
      </c>
      <c r="D134" s="3">
        <v>96139</v>
      </c>
      <c r="E134" s="3">
        <v>679947</v>
      </c>
      <c r="F134">
        <v>25.1</v>
      </c>
      <c r="G134">
        <v>0.9</v>
      </c>
      <c r="H134">
        <v>1.3</v>
      </c>
      <c r="I134">
        <v>9</v>
      </c>
      <c r="J134">
        <v>15.7</v>
      </c>
      <c r="K134" s="3">
        <v>93262</v>
      </c>
      <c r="L134">
        <v>23.6</v>
      </c>
      <c r="O134">
        <v>132</v>
      </c>
      <c r="P134">
        <v>22.9</v>
      </c>
      <c r="Q134">
        <v>24.3</v>
      </c>
      <c r="R134" s="3">
        <v>172297</v>
      </c>
      <c r="S134" s="3">
        <v>1232909</v>
      </c>
      <c r="T134">
        <v>24.3</v>
      </c>
      <c r="U134">
        <v>0.9</v>
      </c>
      <c r="V134">
        <v>1.4</v>
      </c>
      <c r="W134">
        <v>9</v>
      </c>
      <c r="X134">
        <v>14.7</v>
      </c>
      <c r="Y134" s="3">
        <v>155240</v>
      </c>
      <c r="Z134">
        <v>22.9</v>
      </c>
      <c r="AB134">
        <f t="shared" si="8"/>
        <v>132</v>
      </c>
      <c r="AC134">
        <f t="shared" si="9"/>
        <v>23.150701470741627</v>
      </c>
      <c r="AD134">
        <f t="shared" si="10"/>
        <v>24.586515966561862</v>
      </c>
      <c r="AE134">
        <f t="shared" si="11"/>
        <v>1.4358144958202352</v>
      </c>
      <c r="AG134">
        <v>132</v>
      </c>
      <c r="AH134">
        <v>0.9</v>
      </c>
      <c r="AI134">
        <v>1.4</v>
      </c>
      <c r="AJ134">
        <v>9</v>
      </c>
      <c r="AK134">
        <v>14.7</v>
      </c>
    </row>
    <row r="135" spans="1:37" x14ac:dyDescent="0.25">
      <c r="A135">
        <v>133</v>
      </c>
      <c r="B135">
        <v>23</v>
      </c>
      <c r="C135">
        <v>25</v>
      </c>
      <c r="D135" s="3">
        <v>92959</v>
      </c>
      <c r="E135" s="3">
        <v>686374</v>
      </c>
      <c r="F135">
        <v>25</v>
      </c>
      <c r="G135">
        <v>0.9</v>
      </c>
      <c r="H135">
        <v>1.3</v>
      </c>
      <c r="I135">
        <v>9</v>
      </c>
      <c r="J135">
        <v>15.6</v>
      </c>
      <c r="K135" s="3">
        <v>89478</v>
      </c>
      <c r="L135">
        <v>23</v>
      </c>
      <c r="O135">
        <v>133</v>
      </c>
      <c r="P135">
        <v>22.5</v>
      </c>
      <c r="Q135">
        <v>24.4</v>
      </c>
      <c r="R135" s="3">
        <v>166901</v>
      </c>
      <c r="S135" s="3">
        <v>1177301</v>
      </c>
      <c r="T135">
        <v>24.4</v>
      </c>
      <c r="U135">
        <v>0.9</v>
      </c>
      <c r="V135">
        <v>1.4</v>
      </c>
      <c r="W135">
        <v>9.1</v>
      </c>
      <c r="X135">
        <v>14.7</v>
      </c>
      <c r="Y135" s="3">
        <v>149952</v>
      </c>
      <c r="Z135">
        <v>22.5</v>
      </c>
      <c r="AB135">
        <f t="shared" si="8"/>
        <v>133</v>
      </c>
      <c r="AC135">
        <f t="shared" si="9"/>
        <v>22.678863618871699</v>
      </c>
      <c r="AD135">
        <f t="shared" si="10"/>
        <v>24.61463634264604</v>
      </c>
      <c r="AE135">
        <f t="shared" si="11"/>
        <v>1.9357727237743418</v>
      </c>
      <c r="AG135">
        <v>133</v>
      </c>
      <c r="AH135">
        <v>0.9</v>
      </c>
      <c r="AI135">
        <v>1.4</v>
      </c>
      <c r="AJ135">
        <v>9.1</v>
      </c>
      <c r="AK135">
        <v>14.7</v>
      </c>
    </row>
    <row r="136" spans="1:37" x14ac:dyDescent="0.25">
      <c r="A136">
        <v>134</v>
      </c>
      <c r="B136">
        <v>22.7</v>
      </c>
      <c r="C136">
        <v>24.9</v>
      </c>
      <c r="D136" s="3">
        <v>89775</v>
      </c>
      <c r="E136" s="3">
        <v>660876</v>
      </c>
      <c r="F136">
        <v>24.9</v>
      </c>
      <c r="G136">
        <v>0.9</v>
      </c>
      <c r="H136">
        <v>1.3</v>
      </c>
      <c r="I136">
        <v>9</v>
      </c>
      <c r="J136">
        <v>15.5</v>
      </c>
      <c r="K136" s="3">
        <v>86878</v>
      </c>
      <c r="L136">
        <v>22.7</v>
      </c>
      <c r="O136">
        <v>134</v>
      </c>
      <c r="P136">
        <v>22.2</v>
      </c>
      <c r="Q136">
        <v>24.4</v>
      </c>
      <c r="R136" s="3">
        <v>161552</v>
      </c>
      <c r="S136" s="3">
        <v>1140611</v>
      </c>
      <c r="T136">
        <v>24.4</v>
      </c>
      <c r="U136">
        <v>0.9</v>
      </c>
      <c r="V136">
        <v>1.4</v>
      </c>
      <c r="W136">
        <v>9.1</v>
      </c>
      <c r="X136">
        <v>14.8</v>
      </c>
      <c r="Y136" s="3">
        <v>145039</v>
      </c>
      <c r="Z136">
        <v>22.2</v>
      </c>
      <c r="AB136">
        <f t="shared" si="8"/>
        <v>134</v>
      </c>
      <c r="AC136">
        <f t="shared" si="9"/>
        <v>22.378601980686518</v>
      </c>
      <c r="AD136">
        <f t="shared" si="10"/>
        <v>24.578601980686514</v>
      </c>
      <c r="AE136">
        <f t="shared" si="11"/>
        <v>2.1999999999999957</v>
      </c>
      <c r="AG136">
        <v>134</v>
      </c>
      <c r="AH136">
        <v>0.9</v>
      </c>
      <c r="AI136">
        <v>1.4</v>
      </c>
      <c r="AJ136">
        <v>9.1</v>
      </c>
      <c r="AK136">
        <v>14.8</v>
      </c>
    </row>
    <row r="137" spans="1:37" x14ac:dyDescent="0.25">
      <c r="A137">
        <v>135</v>
      </c>
      <c r="B137">
        <v>21.9</v>
      </c>
      <c r="C137">
        <v>24.8</v>
      </c>
      <c r="D137" s="3">
        <v>87093</v>
      </c>
      <c r="E137" s="3">
        <v>651024</v>
      </c>
      <c r="F137">
        <v>24.8</v>
      </c>
      <c r="G137">
        <v>0.9</v>
      </c>
      <c r="H137">
        <v>1.3</v>
      </c>
      <c r="I137">
        <v>9</v>
      </c>
      <c r="J137">
        <v>15.3</v>
      </c>
      <c r="K137" s="3">
        <v>84373</v>
      </c>
      <c r="L137">
        <v>21.9</v>
      </c>
      <c r="O137">
        <v>135</v>
      </c>
      <c r="P137">
        <v>21.5</v>
      </c>
      <c r="Q137">
        <v>24.4</v>
      </c>
      <c r="R137" s="3">
        <v>155767</v>
      </c>
      <c r="S137" s="3">
        <v>1145118</v>
      </c>
      <c r="T137">
        <v>24.4</v>
      </c>
      <c r="U137">
        <v>0.9</v>
      </c>
      <c r="V137">
        <v>1.3</v>
      </c>
      <c r="W137">
        <v>9.1</v>
      </c>
      <c r="X137">
        <v>14.8</v>
      </c>
      <c r="Y137" s="3">
        <v>139416</v>
      </c>
      <c r="Z137">
        <v>21.5</v>
      </c>
      <c r="AB137">
        <f t="shared" si="8"/>
        <v>135</v>
      </c>
      <c r="AC137">
        <f t="shared" si="9"/>
        <v>21.643445606522278</v>
      </c>
      <c r="AD137">
        <f t="shared" si="10"/>
        <v>24.543445606522273</v>
      </c>
      <c r="AE137">
        <f t="shared" si="11"/>
        <v>2.899999999999995</v>
      </c>
      <c r="AG137">
        <v>135</v>
      </c>
      <c r="AH137">
        <v>0.9</v>
      </c>
      <c r="AI137">
        <v>1.3</v>
      </c>
      <c r="AJ137">
        <v>9.1</v>
      </c>
      <c r="AK137">
        <v>14.8</v>
      </c>
    </row>
    <row r="138" spans="1:37" x14ac:dyDescent="0.25">
      <c r="A138">
        <v>136</v>
      </c>
      <c r="B138">
        <v>21.8</v>
      </c>
      <c r="C138">
        <v>24.9</v>
      </c>
      <c r="D138" s="3">
        <v>83419</v>
      </c>
      <c r="E138" s="3">
        <v>607612</v>
      </c>
      <c r="F138">
        <v>24.9</v>
      </c>
      <c r="G138">
        <v>0.9</v>
      </c>
      <c r="H138">
        <v>1.3</v>
      </c>
      <c r="I138">
        <v>9</v>
      </c>
      <c r="J138">
        <v>15.4</v>
      </c>
      <c r="K138" s="3">
        <v>80834</v>
      </c>
      <c r="L138">
        <v>21.8</v>
      </c>
      <c r="O138">
        <v>136</v>
      </c>
      <c r="P138">
        <v>21.6</v>
      </c>
      <c r="Q138">
        <v>24.5</v>
      </c>
      <c r="R138" s="3">
        <v>150588</v>
      </c>
      <c r="S138" s="3">
        <v>1129843</v>
      </c>
      <c r="T138">
        <v>24.5</v>
      </c>
      <c r="U138">
        <v>0.9</v>
      </c>
      <c r="V138">
        <v>1.3</v>
      </c>
      <c r="W138">
        <v>9.1</v>
      </c>
      <c r="X138">
        <v>14.9</v>
      </c>
      <c r="Y138" s="3">
        <v>135028</v>
      </c>
      <c r="Z138">
        <v>21.6</v>
      </c>
      <c r="AB138">
        <f t="shared" si="8"/>
        <v>136</v>
      </c>
      <c r="AC138">
        <f t="shared" si="9"/>
        <v>21.671296157807244</v>
      </c>
      <c r="AD138">
        <f t="shared" si="10"/>
        <v>24.64259231561449</v>
      </c>
      <c r="AE138">
        <f t="shared" si="11"/>
        <v>2.9712961578072452</v>
      </c>
      <c r="AG138">
        <v>136</v>
      </c>
      <c r="AH138">
        <v>0.9</v>
      </c>
      <c r="AI138">
        <v>1.3</v>
      </c>
      <c r="AJ138">
        <v>9.1</v>
      </c>
      <c r="AK138">
        <v>14.9</v>
      </c>
    </row>
    <row r="139" spans="1:37" x14ac:dyDescent="0.25">
      <c r="A139">
        <v>137</v>
      </c>
      <c r="B139">
        <v>21.7</v>
      </c>
      <c r="C139">
        <v>25</v>
      </c>
      <c r="D139" s="3">
        <v>80392</v>
      </c>
      <c r="E139" s="3">
        <v>594571</v>
      </c>
      <c r="F139">
        <v>25</v>
      </c>
      <c r="G139">
        <v>0.9</v>
      </c>
      <c r="H139">
        <v>1.3</v>
      </c>
      <c r="I139">
        <v>9</v>
      </c>
      <c r="J139">
        <v>15.5</v>
      </c>
      <c r="K139" s="3">
        <v>78035</v>
      </c>
      <c r="L139">
        <v>21.7</v>
      </c>
      <c r="O139">
        <v>137</v>
      </c>
      <c r="P139">
        <v>21.3</v>
      </c>
      <c r="Q139">
        <v>24.6</v>
      </c>
      <c r="R139" s="3">
        <v>145574</v>
      </c>
      <c r="S139" s="3">
        <v>1089972</v>
      </c>
      <c r="T139">
        <v>24.6</v>
      </c>
      <c r="U139">
        <v>0.9</v>
      </c>
      <c r="V139">
        <v>1.3</v>
      </c>
      <c r="W139">
        <v>9.1</v>
      </c>
      <c r="X139">
        <v>15.1</v>
      </c>
      <c r="Y139" s="3">
        <v>130423</v>
      </c>
      <c r="Z139">
        <v>21.3</v>
      </c>
      <c r="AB139">
        <f t="shared" si="8"/>
        <v>137</v>
      </c>
      <c r="AC139">
        <f t="shared" si="9"/>
        <v>21.442308134852144</v>
      </c>
      <c r="AD139">
        <f t="shared" si="10"/>
        <v>24.742308134852149</v>
      </c>
      <c r="AE139">
        <f t="shared" si="11"/>
        <v>3.3000000000000043</v>
      </c>
      <c r="AG139">
        <v>137</v>
      </c>
      <c r="AH139">
        <v>0.9</v>
      </c>
      <c r="AI139">
        <v>1.3</v>
      </c>
      <c r="AJ139">
        <v>9.1</v>
      </c>
      <c r="AK139">
        <v>15.1</v>
      </c>
    </row>
    <row r="140" spans="1:37" x14ac:dyDescent="0.25">
      <c r="A140">
        <v>138</v>
      </c>
      <c r="B140">
        <v>21.6</v>
      </c>
      <c r="C140">
        <v>25.2</v>
      </c>
      <c r="D140" s="3">
        <v>77941</v>
      </c>
      <c r="E140" s="3">
        <v>568759</v>
      </c>
      <c r="F140">
        <v>25.2</v>
      </c>
      <c r="G140">
        <v>0.9</v>
      </c>
      <c r="H140">
        <v>1.2</v>
      </c>
      <c r="I140">
        <v>9.1</v>
      </c>
      <c r="J140">
        <v>15.8</v>
      </c>
      <c r="K140" s="3">
        <v>75612</v>
      </c>
      <c r="L140">
        <v>21.6</v>
      </c>
      <c r="O140">
        <v>138</v>
      </c>
      <c r="P140">
        <v>21.2</v>
      </c>
      <c r="Q140">
        <v>24.9</v>
      </c>
      <c r="R140" s="3">
        <v>140944</v>
      </c>
      <c r="S140" s="3">
        <v>1071562</v>
      </c>
      <c r="T140">
        <v>24.9</v>
      </c>
      <c r="U140">
        <v>0.9</v>
      </c>
      <c r="V140">
        <v>1.3</v>
      </c>
      <c r="W140">
        <v>9.1</v>
      </c>
      <c r="X140">
        <v>15.3</v>
      </c>
      <c r="Y140" s="3">
        <v>126442</v>
      </c>
      <c r="Z140">
        <v>21.2</v>
      </c>
      <c r="AB140">
        <f t="shared" si="8"/>
        <v>138</v>
      </c>
      <c r="AC140">
        <f t="shared" si="9"/>
        <v>21.342432784338811</v>
      </c>
      <c r="AD140">
        <f t="shared" si="10"/>
        <v>25.006824588254105</v>
      </c>
      <c r="AE140">
        <f t="shared" si="11"/>
        <v>3.6643918039152936</v>
      </c>
      <c r="AG140">
        <v>138</v>
      </c>
      <c r="AH140">
        <v>0.9</v>
      </c>
      <c r="AI140">
        <v>1.3</v>
      </c>
      <c r="AJ140">
        <v>9.1</v>
      </c>
      <c r="AK140">
        <v>15.3</v>
      </c>
    </row>
    <row r="141" spans="1:37" x14ac:dyDescent="0.25">
      <c r="A141">
        <v>139</v>
      </c>
      <c r="B141">
        <v>21.2</v>
      </c>
      <c r="C141">
        <v>25.4</v>
      </c>
      <c r="D141" s="3">
        <v>75282</v>
      </c>
      <c r="E141" s="3">
        <v>615714</v>
      </c>
      <c r="F141">
        <v>25.4</v>
      </c>
      <c r="G141">
        <v>0.9</v>
      </c>
      <c r="H141">
        <v>1.2</v>
      </c>
      <c r="I141">
        <v>9</v>
      </c>
      <c r="J141">
        <v>16.100000000000001</v>
      </c>
      <c r="K141" s="3">
        <v>73199</v>
      </c>
      <c r="L141">
        <v>21.2</v>
      </c>
      <c r="O141">
        <v>139</v>
      </c>
      <c r="P141">
        <v>21.3</v>
      </c>
      <c r="Q141">
        <v>25.1</v>
      </c>
      <c r="R141" s="3">
        <v>136623</v>
      </c>
      <c r="S141" s="3">
        <v>1023265</v>
      </c>
      <c r="T141">
        <v>25.1</v>
      </c>
      <c r="U141">
        <v>0.9</v>
      </c>
      <c r="V141">
        <v>1.3</v>
      </c>
      <c r="W141">
        <v>9.1999999999999993</v>
      </c>
      <c r="X141">
        <v>15.5</v>
      </c>
      <c r="Y141" s="3">
        <v>122452</v>
      </c>
      <c r="Z141">
        <v>21.3</v>
      </c>
      <c r="AB141">
        <f t="shared" si="8"/>
        <v>139</v>
      </c>
      <c r="AC141">
        <f t="shared" si="9"/>
        <v>21.264473702838536</v>
      </c>
      <c r="AD141">
        <f t="shared" si="10"/>
        <v>25.206578891484391</v>
      </c>
      <c r="AE141">
        <f t="shared" si="11"/>
        <v>3.9421051886458542</v>
      </c>
      <c r="AG141">
        <v>139</v>
      </c>
      <c r="AH141">
        <v>0.9</v>
      </c>
      <c r="AI141">
        <v>1.3</v>
      </c>
      <c r="AJ141">
        <v>9.1999999999999993</v>
      </c>
      <c r="AK141">
        <v>15.5</v>
      </c>
    </row>
    <row r="142" spans="1:37" x14ac:dyDescent="0.25">
      <c r="A142">
        <v>140</v>
      </c>
      <c r="B142">
        <v>21.3</v>
      </c>
      <c r="C142">
        <v>25.4</v>
      </c>
      <c r="D142" s="3">
        <v>73352</v>
      </c>
      <c r="E142" s="3">
        <v>588982</v>
      </c>
      <c r="F142">
        <v>25.4</v>
      </c>
      <c r="G142">
        <v>0.9</v>
      </c>
      <c r="H142">
        <v>1.2</v>
      </c>
      <c r="I142">
        <v>9</v>
      </c>
      <c r="J142">
        <v>16</v>
      </c>
      <c r="K142" s="3">
        <v>70843</v>
      </c>
      <c r="L142">
        <v>21.3</v>
      </c>
      <c r="O142">
        <v>140</v>
      </c>
      <c r="P142">
        <v>21</v>
      </c>
      <c r="Q142">
        <v>25.1</v>
      </c>
      <c r="R142" s="3">
        <v>132745</v>
      </c>
      <c r="S142" s="3">
        <v>1035727</v>
      </c>
      <c r="T142">
        <v>25.1</v>
      </c>
      <c r="U142">
        <v>0.9</v>
      </c>
      <c r="V142">
        <v>1.3</v>
      </c>
      <c r="W142">
        <v>9.1999999999999993</v>
      </c>
      <c r="X142">
        <v>15.5</v>
      </c>
      <c r="Y142" s="3">
        <v>118569</v>
      </c>
      <c r="Z142">
        <v>21</v>
      </c>
      <c r="AB142">
        <f t="shared" si="8"/>
        <v>140</v>
      </c>
      <c r="AC142">
        <f t="shared" si="9"/>
        <v>21.106773024352609</v>
      </c>
      <c r="AD142">
        <f t="shared" si="10"/>
        <v>25.206773024352611</v>
      </c>
      <c r="AE142">
        <f t="shared" si="11"/>
        <v>4.1000000000000014</v>
      </c>
      <c r="AG142">
        <v>140</v>
      </c>
      <c r="AH142">
        <v>0.9</v>
      </c>
      <c r="AI142">
        <v>1.3</v>
      </c>
      <c r="AJ142">
        <v>9.1999999999999993</v>
      </c>
      <c r="AK142">
        <v>15.5</v>
      </c>
    </row>
    <row r="143" spans="1:37" x14ac:dyDescent="0.25">
      <c r="A143">
        <v>141</v>
      </c>
      <c r="B143">
        <v>21.5</v>
      </c>
      <c r="C143">
        <v>25.3</v>
      </c>
      <c r="D143" s="3">
        <v>70120</v>
      </c>
      <c r="E143" s="3">
        <v>585481</v>
      </c>
      <c r="F143">
        <v>25.3</v>
      </c>
      <c r="G143">
        <v>0.9</v>
      </c>
      <c r="H143">
        <v>1.2</v>
      </c>
      <c r="I143">
        <v>9.1</v>
      </c>
      <c r="J143">
        <v>15.9</v>
      </c>
      <c r="K143" s="3">
        <v>66726</v>
      </c>
      <c r="L143">
        <v>21.5</v>
      </c>
      <c r="O143">
        <v>141</v>
      </c>
      <c r="P143">
        <v>21.2</v>
      </c>
      <c r="Q143">
        <v>25</v>
      </c>
      <c r="R143" s="3">
        <v>127970</v>
      </c>
      <c r="S143" s="3">
        <v>1009752</v>
      </c>
      <c r="T143">
        <v>25</v>
      </c>
      <c r="U143">
        <v>0.9</v>
      </c>
      <c r="V143">
        <v>1.2</v>
      </c>
      <c r="W143">
        <v>9.1999999999999993</v>
      </c>
      <c r="X143">
        <v>15.3</v>
      </c>
      <c r="Y143" s="3">
        <v>112862</v>
      </c>
      <c r="Z143">
        <v>21.2</v>
      </c>
      <c r="AB143">
        <f t="shared" si="8"/>
        <v>141</v>
      </c>
      <c r="AC143">
        <f t="shared" si="9"/>
        <v>21.306194154172346</v>
      </c>
      <c r="AD143">
        <f t="shared" si="10"/>
        <v>25.106194154172346</v>
      </c>
      <c r="AE143">
        <f t="shared" si="11"/>
        <v>3.8000000000000007</v>
      </c>
      <c r="AG143">
        <v>141</v>
      </c>
      <c r="AH143">
        <v>0.9</v>
      </c>
      <c r="AI143">
        <v>1.2</v>
      </c>
      <c r="AJ143">
        <v>9.1999999999999993</v>
      </c>
      <c r="AK143">
        <v>15.3</v>
      </c>
    </row>
    <row r="144" spans="1:37" x14ac:dyDescent="0.25">
      <c r="A144">
        <v>142</v>
      </c>
      <c r="B144">
        <v>21.4</v>
      </c>
      <c r="C144">
        <v>25.2</v>
      </c>
      <c r="D144" s="3">
        <v>66547</v>
      </c>
      <c r="E144" s="3">
        <v>572086</v>
      </c>
      <c r="F144">
        <v>25.2</v>
      </c>
      <c r="G144">
        <v>1</v>
      </c>
      <c r="H144">
        <v>1.2</v>
      </c>
      <c r="I144">
        <v>9.1999999999999993</v>
      </c>
      <c r="J144">
        <v>15.7</v>
      </c>
      <c r="K144" s="3">
        <v>63706</v>
      </c>
      <c r="L144">
        <v>21.4</v>
      </c>
      <c r="O144">
        <v>142</v>
      </c>
      <c r="P144">
        <v>21</v>
      </c>
      <c r="Q144">
        <v>24.9</v>
      </c>
      <c r="R144" s="3">
        <v>122779</v>
      </c>
      <c r="S144" s="3">
        <v>1003251</v>
      </c>
      <c r="T144">
        <v>24.9</v>
      </c>
      <c r="U144">
        <v>1</v>
      </c>
      <c r="V144">
        <v>1.2</v>
      </c>
      <c r="W144">
        <v>9.3000000000000007</v>
      </c>
      <c r="X144">
        <v>15.2</v>
      </c>
      <c r="Y144" s="3">
        <v>108293</v>
      </c>
      <c r="Z144">
        <v>21</v>
      </c>
      <c r="AB144">
        <f t="shared" si="8"/>
        <v>142</v>
      </c>
      <c r="AC144">
        <f t="shared" si="9"/>
        <v>21.140597699206658</v>
      </c>
      <c r="AD144">
        <f t="shared" si="10"/>
        <v>25.005448274404994</v>
      </c>
      <c r="AE144">
        <f t="shared" si="11"/>
        <v>3.8648505751983357</v>
      </c>
      <c r="AG144">
        <v>142</v>
      </c>
      <c r="AH144">
        <v>1</v>
      </c>
      <c r="AI144">
        <v>1.2</v>
      </c>
      <c r="AJ144">
        <v>9.3000000000000007</v>
      </c>
      <c r="AK144">
        <v>15.2</v>
      </c>
    </row>
    <row r="145" spans="1:37" x14ac:dyDescent="0.25">
      <c r="A145">
        <v>143</v>
      </c>
      <c r="B145">
        <v>21.3</v>
      </c>
      <c r="C145">
        <v>24.8</v>
      </c>
      <c r="D145" s="3">
        <v>63388</v>
      </c>
      <c r="E145" s="3">
        <v>533536</v>
      </c>
      <c r="F145">
        <v>24.8</v>
      </c>
      <c r="G145">
        <v>1</v>
      </c>
      <c r="H145">
        <v>1.2</v>
      </c>
      <c r="I145">
        <v>9.1999999999999993</v>
      </c>
      <c r="J145">
        <v>15.2</v>
      </c>
      <c r="K145" s="3">
        <v>61256</v>
      </c>
      <c r="L145">
        <v>21.3</v>
      </c>
      <c r="O145">
        <v>143</v>
      </c>
      <c r="P145">
        <v>21</v>
      </c>
      <c r="Q145">
        <v>24.7</v>
      </c>
      <c r="R145" s="3">
        <v>117232</v>
      </c>
      <c r="S145" s="3">
        <v>988291</v>
      </c>
      <c r="T145">
        <v>24.7</v>
      </c>
      <c r="U145">
        <v>1</v>
      </c>
      <c r="V145">
        <v>1.2</v>
      </c>
      <c r="W145">
        <v>9.3000000000000007</v>
      </c>
      <c r="X145">
        <v>14.9</v>
      </c>
      <c r="Y145" s="3">
        <v>103200</v>
      </c>
      <c r="Z145">
        <v>21</v>
      </c>
      <c r="AB145">
        <f t="shared" si="8"/>
        <v>143</v>
      </c>
      <c r="AC145">
        <f t="shared" si="9"/>
        <v>21.105284021703024</v>
      </c>
      <c r="AD145">
        <f t="shared" si="10"/>
        <v>24.735094673901006</v>
      </c>
      <c r="AE145">
        <f t="shared" si="11"/>
        <v>3.6298106521979818</v>
      </c>
      <c r="AG145">
        <v>143</v>
      </c>
      <c r="AH145">
        <v>1</v>
      </c>
      <c r="AI145">
        <v>1.2</v>
      </c>
      <c r="AJ145">
        <v>9.3000000000000007</v>
      </c>
      <c r="AK145">
        <v>14.9</v>
      </c>
    </row>
    <row r="146" spans="1:37" x14ac:dyDescent="0.25">
      <c r="A146">
        <v>144</v>
      </c>
      <c r="B146">
        <v>21.2</v>
      </c>
      <c r="C146">
        <v>24.4</v>
      </c>
      <c r="D146" s="3">
        <v>61018</v>
      </c>
      <c r="E146" s="3">
        <v>551983</v>
      </c>
      <c r="F146">
        <v>24.4</v>
      </c>
      <c r="G146">
        <v>1</v>
      </c>
      <c r="H146">
        <v>1.2</v>
      </c>
      <c r="I146">
        <v>9.1999999999999993</v>
      </c>
      <c r="J146">
        <v>14.7</v>
      </c>
      <c r="K146" s="3">
        <v>59102</v>
      </c>
      <c r="L146">
        <v>21.2</v>
      </c>
      <c r="O146">
        <v>144</v>
      </c>
      <c r="P146">
        <v>21.1</v>
      </c>
      <c r="Q146">
        <v>24.4</v>
      </c>
      <c r="R146" s="3">
        <v>112402</v>
      </c>
      <c r="S146" s="3">
        <v>883650</v>
      </c>
      <c r="T146">
        <v>24.4</v>
      </c>
      <c r="U146">
        <v>1</v>
      </c>
      <c r="V146">
        <v>1.3</v>
      </c>
      <c r="W146">
        <v>9.4</v>
      </c>
      <c r="X146">
        <v>14.5</v>
      </c>
      <c r="Y146" s="3">
        <v>99900</v>
      </c>
      <c r="Z146">
        <v>21.1</v>
      </c>
      <c r="AB146">
        <f t="shared" si="8"/>
        <v>144</v>
      </c>
      <c r="AC146">
        <f t="shared" si="9"/>
        <v>21.135185099757813</v>
      </c>
      <c r="AD146">
        <f t="shared" si="10"/>
        <v>24.4</v>
      </c>
      <c r="AE146">
        <f t="shared" si="11"/>
        <v>3.264814900242186</v>
      </c>
      <c r="AG146">
        <v>144</v>
      </c>
      <c r="AH146">
        <v>1</v>
      </c>
      <c r="AI146">
        <v>1.3</v>
      </c>
      <c r="AJ146">
        <v>9.4</v>
      </c>
      <c r="AK146">
        <v>14.5</v>
      </c>
    </row>
    <row r="147" spans="1:37" x14ac:dyDescent="0.25">
      <c r="A147">
        <v>145</v>
      </c>
      <c r="B147">
        <v>20.6</v>
      </c>
      <c r="C147">
        <v>23.9</v>
      </c>
      <c r="D147" s="3">
        <v>58887</v>
      </c>
      <c r="E147" s="3">
        <v>521198</v>
      </c>
      <c r="F147">
        <v>23.9</v>
      </c>
      <c r="G147">
        <v>1</v>
      </c>
      <c r="H147">
        <v>1.2</v>
      </c>
      <c r="I147">
        <v>9.1999999999999993</v>
      </c>
      <c r="J147">
        <v>14.2</v>
      </c>
      <c r="K147" s="3">
        <v>56952</v>
      </c>
      <c r="L147">
        <v>20.6</v>
      </c>
      <c r="O147">
        <v>145</v>
      </c>
      <c r="P147">
        <v>20.9</v>
      </c>
      <c r="Q147">
        <v>24.1</v>
      </c>
      <c r="R147" s="3">
        <v>108255</v>
      </c>
      <c r="S147" s="3">
        <v>880583</v>
      </c>
      <c r="T147">
        <v>24.1</v>
      </c>
      <c r="U147">
        <v>1</v>
      </c>
      <c r="V147">
        <v>1.3</v>
      </c>
      <c r="W147">
        <v>9.4</v>
      </c>
      <c r="X147">
        <v>14.2</v>
      </c>
      <c r="Y147" s="3">
        <v>95415</v>
      </c>
      <c r="Z147">
        <v>20.9</v>
      </c>
      <c r="AB147">
        <f t="shared" si="8"/>
        <v>145</v>
      </c>
      <c r="AC147">
        <f t="shared" si="9"/>
        <v>20.794304842588936</v>
      </c>
      <c r="AD147">
        <f t="shared" si="10"/>
        <v>24.029536561725955</v>
      </c>
      <c r="AE147">
        <f t="shared" si="11"/>
        <v>3.235231719137019</v>
      </c>
      <c r="AG147">
        <v>145</v>
      </c>
      <c r="AH147">
        <v>1</v>
      </c>
      <c r="AI147">
        <v>1.3</v>
      </c>
      <c r="AJ147">
        <v>9.4</v>
      </c>
      <c r="AK147">
        <v>14.2</v>
      </c>
    </row>
    <row r="148" spans="1:37" x14ac:dyDescent="0.25">
      <c r="A148">
        <v>146</v>
      </c>
      <c r="B148">
        <v>20.7</v>
      </c>
      <c r="C148">
        <v>23.6</v>
      </c>
      <c r="D148" s="3">
        <v>56772</v>
      </c>
      <c r="E148" s="3">
        <v>541706</v>
      </c>
      <c r="F148">
        <v>23.6</v>
      </c>
      <c r="G148">
        <v>1</v>
      </c>
      <c r="H148">
        <v>1.2</v>
      </c>
      <c r="I148">
        <v>9.1999999999999993</v>
      </c>
      <c r="J148">
        <v>13.8</v>
      </c>
      <c r="K148" s="3">
        <v>54751</v>
      </c>
      <c r="L148">
        <v>20.7</v>
      </c>
      <c r="O148">
        <v>146</v>
      </c>
      <c r="P148">
        <v>20.6</v>
      </c>
      <c r="Q148">
        <v>23.9</v>
      </c>
      <c r="R148" s="3">
        <v>104077</v>
      </c>
      <c r="S148" s="3">
        <v>891945</v>
      </c>
      <c r="T148">
        <v>23.9</v>
      </c>
      <c r="U148">
        <v>1</v>
      </c>
      <c r="V148">
        <v>1.3</v>
      </c>
      <c r="W148">
        <v>9.4</v>
      </c>
      <c r="X148">
        <v>13.9</v>
      </c>
      <c r="Y148" s="3">
        <v>91198</v>
      </c>
      <c r="Z148">
        <v>20.6</v>
      </c>
      <c r="AB148">
        <f t="shared" si="8"/>
        <v>146</v>
      </c>
      <c r="AC148">
        <f t="shared" si="9"/>
        <v>20.635295214766646</v>
      </c>
      <c r="AD148">
        <f t="shared" si="10"/>
        <v>23.794114355700067</v>
      </c>
      <c r="AE148">
        <f t="shared" si="11"/>
        <v>3.1588191409334208</v>
      </c>
      <c r="AG148">
        <v>146</v>
      </c>
      <c r="AH148">
        <v>1</v>
      </c>
      <c r="AI148">
        <v>1.3</v>
      </c>
      <c r="AJ148">
        <v>9.4</v>
      </c>
      <c r="AK148">
        <v>13.9</v>
      </c>
    </row>
    <row r="149" spans="1:37" x14ac:dyDescent="0.25">
      <c r="A149">
        <v>147</v>
      </c>
      <c r="B149">
        <v>19.600000000000001</v>
      </c>
      <c r="C149">
        <v>23.4</v>
      </c>
      <c r="D149" s="3">
        <v>54614</v>
      </c>
      <c r="E149" s="3">
        <v>545317</v>
      </c>
      <c r="F149">
        <v>23.4</v>
      </c>
      <c r="G149">
        <v>1</v>
      </c>
      <c r="H149">
        <v>1.2</v>
      </c>
      <c r="I149">
        <v>9.1999999999999993</v>
      </c>
      <c r="J149">
        <v>13.5</v>
      </c>
      <c r="K149" s="3">
        <v>52432</v>
      </c>
      <c r="L149">
        <v>19.600000000000001</v>
      </c>
      <c r="O149">
        <v>147</v>
      </c>
      <c r="P149">
        <v>20.399999999999999</v>
      </c>
      <c r="Q149">
        <v>23.5</v>
      </c>
      <c r="R149" s="3">
        <v>99558</v>
      </c>
      <c r="S149" s="3">
        <v>810931</v>
      </c>
      <c r="T149">
        <v>23.5</v>
      </c>
      <c r="U149">
        <v>1</v>
      </c>
      <c r="V149">
        <v>1.3</v>
      </c>
      <c r="W149">
        <v>9.4</v>
      </c>
      <c r="X149">
        <v>13.5</v>
      </c>
      <c r="Y149" s="3">
        <v>86457</v>
      </c>
      <c r="Z149">
        <v>20.399999999999999</v>
      </c>
      <c r="AB149">
        <f t="shared" si="8"/>
        <v>147</v>
      </c>
      <c r="AC149">
        <f t="shared" si="9"/>
        <v>20.11660742547285</v>
      </c>
      <c r="AD149">
        <f t="shared" si="10"/>
        <v>23.464575928184104</v>
      </c>
      <c r="AE149">
        <f t="shared" si="11"/>
        <v>3.3479685027112538</v>
      </c>
      <c r="AG149">
        <v>147</v>
      </c>
      <c r="AH149">
        <v>1</v>
      </c>
      <c r="AI149">
        <v>1.3</v>
      </c>
      <c r="AJ149">
        <v>9.4</v>
      </c>
      <c r="AK149">
        <v>13.5</v>
      </c>
    </row>
    <row r="150" spans="1:37" x14ac:dyDescent="0.25">
      <c r="A150">
        <v>148</v>
      </c>
      <c r="B150">
        <v>19.8</v>
      </c>
      <c r="C150">
        <v>23.2</v>
      </c>
      <c r="D150" s="3">
        <v>52379</v>
      </c>
      <c r="E150" s="3">
        <v>533634</v>
      </c>
      <c r="F150">
        <v>23.2</v>
      </c>
      <c r="G150">
        <v>1</v>
      </c>
      <c r="H150">
        <v>1.2</v>
      </c>
      <c r="I150">
        <v>9.1999999999999993</v>
      </c>
      <c r="J150">
        <v>13.3</v>
      </c>
      <c r="K150" s="3">
        <v>50139</v>
      </c>
      <c r="L150">
        <v>19.8</v>
      </c>
      <c r="O150">
        <v>148</v>
      </c>
      <c r="P150">
        <v>19.899999999999999</v>
      </c>
      <c r="Q150">
        <v>23.3</v>
      </c>
      <c r="R150" s="3">
        <v>94739</v>
      </c>
      <c r="S150" s="3">
        <v>794606</v>
      </c>
      <c r="T150">
        <v>23.3</v>
      </c>
      <c r="U150">
        <v>1</v>
      </c>
      <c r="V150">
        <v>1.3</v>
      </c>
      <c r="W150">
        <v>9.4</v>
      </c>
      <c r="X150">
        <v>13.2</v>
      </c>
      <c r="Y150" s="3">
        <v>80770</v>
      </c>
      <c r="Z150">
        <v>19.899999999999999</v>
      </c>
      <c r="AB150">
        <f t="shared" si="8"/>
        <v>148</v>
      </c>
      <c r="AC150">
        <f t="shared" si="9"/>
        <v>19.864396606805421</v>
      </c>
      <c r="AD150">
        <f t="shared" si="10"/>
        <v>23.26439660680542</v>
      </c>
      <c r="AE150">
        <f t="shared" si="11"/>
        <v>3.3999999999999986</v>
      </c>
      <c r="AG150">
        <v>148</v>
      </c>
      <c r="AH150">
        <v>1</v>
      </c>
      <c r="AI150">
        <v>1.3</v>
      </c>
      <c r="AJ150">
        <v>9.4</v>
      </c>
      <c r="AK150">
        <v>13.2</v>
      </c>
    </row>
    <row r="151" spans="1:37" x14ac:dyDescent="0.25">
      <c r="A151">
        <v>149</v>
      </c>
      <c r="B151">
        <v>19.3</v>
      </c>
      <c r="C151">
        <v>22.8</v>
      </c>
      <c r="D151" s="3">
        <v>50015</v>
      </c>
      <c r="E151" s="3">
        <v>508839</v>
      </c>
      <c r="F151">
        <v>22.8</v>
      </c>
      <c r="G151">
        <v>1</v>
      </c>
      <c r="H151">
        <v>1.3</v>
      </c>
      <c r="I151">
        <v>9.1999999999999993</v>
      </c>
      <c r="J151">
        <v>12.8</v>
      </c>
      <c r="K151" s="3">
        <v>46741</v>
      </c>
      <c r="L151">
        <v>19.3</v>
      </c>
      <c r="O151">
        <v>149</v>
      </c>
      <c r="P151">
        <v>19.899999999999999</v>
      </c>
      <c r="Q151">
        <v>23</v>
      </c>
      <c r="R151" s="3">
        <v>88885</v>
      </c>
      <c r="S151" s="3">
        <v>716771</v>
      </c>
      <c r="T151">
        <v>23</v>
      </c>
      <c r="U151">
        <v>1</v>
      </c>
      <c r="V151">
        <v>1.3</v>
      </c>
      <c r="W151">
        <v>9.4</v>
      </c>
      <c r="X151">
        <v>12.8</v>
      </c>
      <c r="Y151" s="3">
        <v>74922</v>
      </c>
      <c r="Z151">
        <v>19.899999999999999</v>
      </c>
      <c r="AB151">
        <f t="shared" si="8"/>
        <v>149</v>
      </c>
      <c r="AC151">
        <f t="shared" si="9"/>
        <v>19.683952483801296</v>
      </c>
      <c r="AD151">
        <f t="shared" si="10"/>
        <v>22.927984161267098</v>
      </c>
      <c r="AE151">
        <f t="shared" si="11"/>
        <v>3.2440316774658022</v>
      </c>
      <c r="AG151">
        <v>149</v>
      </c>
      <c r="AH151">
        <v>1</v>
      </c>
      <c r="AI151">
        <v>1.3</v>
      </c>
      <c r="AJ151">
        <v>9.4</v>
      </c>
      <c r="AK151">
        <v>12.8</v>
      </c>
    </row>
    <row r="152" spans="1:37" x14ac:dyDescent="0.25">
      <c r="A152">
        <v>150</v>
      </c>
      <c r="B152">
        <v>18.8</v>
      </c>
      <c r="C152">
        <v>22.4</v>
      </c>
      <c r="D152" s="3">
        <v>47023</v>
      </c>
      <c r="E152" s="3">
        <v>510511</v>
      </c>
      <c r="F152">
        <v>22.4</v>
      </c>
      <c r="G152">
        <v>1</v>
      </c>
      <c r="H152">
        <v>1.3</v>
      </c>
      <c r="I152">
        <v>9.1999999999999993</v>
      </c>
      <c r="J152">
        <v>12.3</v>
      </c>
      <c r="K152" s="3">
        <v>42285</v>
      </c>
      <c r="L152">
        <v>18.8</v>
      </c>
      <c r="O152">
        <v>150</v>
      </c>
      <c r="P152">
        <v>19.5</v>
      </c>
      <c r="Q152">
        <v>22.6</v>
      </c>
      <c r="R152" s="3">
        <v>82628</v>
      </c>
      <c r="S152" s="3">
        <v>657004</v>
      </c>
      <c r="T152">
        <v>22.6</v>
      </c>
      <c r="U152">
        <v>1</v>
      </c>
      <c r="V152">
        <v>1.3</v>
      </c>
      <c r="W152">
        <v>9.4</v>
      </c>
      <c r="X152">
        <v>12.4</v>
      </c>
      <c r="Y152" s="3">
        <v>67722</v>
      </c>
      <c r="Z152">
        <v>19.5</v>
      </c>
      <c r="AB152">
        <f t="shared" si="8"/>
        <v>150</v>
      </c>
      <c r="AC152">
        <f t="shared" si="9"/>
        <v>19.24611765431813</v>
      </c>
      <c r="AD152">
        <f t="shared" si="10"/>
        <v>22.527462186948039</v>
      </c>
      <c r="AE152">
        <f t="shared" si="11"/>
        <v>3.2813445326299089</v>
      </c>
      <c r="AG152">
        <v>150</v>
      </c>
      <c r="AH152">
        <v>1</v>
      </c>
      <c r="AI152">
        <v>1.3</v>
      </c>
      <c r="AJ152">
        <v>9.4</v>
      </c>
      <c r="AK152">
        <v>12.4</v>
      </c>
    </row>
    <row r="153" spans="1:37" x14ac:dyDescent="0.25">
      <c r="A153">
        <v>151</v>
      </c>
      <c r="B153">
        <v>18.600000000000001</v>
      </c>
      <c r="C153">
        <v>22.1</v>
      </c>
      <c r="D153" s="3">
        <v>41988</v>
      </c>
      <c r="E153" s="3">
        <v>462929</v>
      </c>
      <c r="F153">
        <v>22.1</v>
      </c>
      <c r="G153">
        <v>1</v>
      </c>
      <c r="H153">
        <v>1.3</v>
      </c>
      <c r="I153">
        <v>9.3000000000000007</v>
      </c>
      <c r="J153">
        <v>12</v>
      </c>
      <c r="K153" s="3">
        <v>38786</v>
      </c>
      <c r="L153">
        <v>18.600000000000001</v>
      </c>
      <c r="O153">
        <v>151</v>
      </c>
      <c r="P153">
        <v>19.2</v>
      </c>
      <c r="Q153">
        <v>22.3</v>
      </c>
      <c r="R153" s="3">
        <v>75199</v>
      </c>
      <c r="S153" s="3">
        <v>621728</v>
      </c>
      <c r="T153">
        <v>22.3</v>
      </c>
      <c r="U153">
        <v>1</v>
      </c>
      <c r="V153">
        <v>1.4</v>
      </c>
      <c r="W153">
        <v>9.4</v>
      </c>
      <c r="X153">
        <v>12.1</v>
      </c>
      <c r="Y153" s="3">
        <v>61597</v>
      </c>
      <c r="Z153">
        <v>19.2</v>
      </c>
      <c r="AB153">
        <f t="shared" si="8"/>
        <v>151</v>
      </c>
      <c r="AC153">
        <f t="shared" si="9"/>
        <v>18.98502052275423</v>
      </c>
      <c r="AD153">
        <f t="shared" si="10"/>
        <v>22.228340174251411</v>
      </c>
      <c r="AE153">
        <f t="shared" si="11"/>
        <v>3.2433196514971812</v>
      </c>
      <c r="AG153">
        <v>151</v>
      </c>
      <c r="AH153">
        <v>1</v>
      </c>
      <c r="AI153">
        <v>1.4</v>
      </c>
      <c r="AJ153">
        <v>9.4</v>
      </c>
      <c r="AK153">
        <v>12.1</v>
      </c>
    </row>
    <row r="154" spans="1:37" x14ac:dyDescent="0.25">
      <c r="A154">
        <v>152</v>
      </c>
      <c r="B154">
        <v>18</v>
      </c>
      <c r="C154">
        <v>21.9</v>
      </c>
      <c r="D154" s="3">
        <v>38809</v>
      </c>
      <c r="E154" s="3">
        <v>462747</v>
      </c>
      <c r="F154">
        <v>21.9</v>
      </c>
      <c r="G154">
        <v>1</v>
      </c>
      <c r="H154">
        <v>1.3</v>
      </c>
      <c r="I154">
        <v>9.3000000000000007</v>
      </c>
      <c r="J154">
        <v>11.8</v>
      </c>
      <c r="K154" s="3">
        <v>36547</v>
      </c>
      <c r="L154">
        <v>18</v>
      </c>
      <c r="O154">
        <v>152</v>
      </c>
      <c r="P154">
        <v>19</v>
      </c>
      <c r="Q154">
        <v>22.1</v>
      </c>
      <c r="R154" s="3">
        <v>69176</v>
      </c>
      <c r="S154" s="3">
        <v>577620</v>
      </c>
      <c r="T154">
        <v>22.1</v>
      </c>
      <c r="U154">
        <v>1</v>
      </c>
      <c r="V154">
        <v>1.4</v>
      </c>
      <c r="W154">
        <v>9.4</v>
      </c>
      <c r="X154">
        <v>11.7</v>
      </c>
      <c r="Y154" s="3">
        <v>56861</v>
      </c>
      <c r="Z154">
        <v>19</v>
      </c>
      <c r="AB154">
        <f t="shared" si="8"/>
        <v>152</v>
      </c>
      <c r="AC154">
        <f t="shared" si="9"/>
        <v>18.640607491781267</v>
      </c>
      <c r="AD154">
        <f t="shared" si="10"/>
        <v>22.028121498356256</v>
      </c>
      <c r="AE154">
        <f t="shared" si="11"/>
        <v>3.3875140065749889</v>
      </c>
      <c r="AG154">
        <v>152</v>
      </c>
      <c r="AH154">
        <v>1</v>
      </c>
      <c r="AI154">
        <v>1.4</v>
      </c>
      <c r="AJ154">
        <v>9.4</v>
      </c>
      <c r="AK154">
        <v>11.7</v>
      </c>
    </row>
    <row r="155" spans="1:37" x14ac:dyDescent="0.25">
      <c r="A155">
        <v>153</v>
      </c>
      <c r="B155">
        <v>18.399999999999999</v>
      </c>
      <c r="C155">
        <v>21.8</v>
      </c>
      <c r="D155" s="3">
        <v>36634</v>
      </c>
      <c r="E155" s="3">
        <v>426593</v>
      </c>
      <c r="F155">
        <v>21.8</v>
      </c>
      <c r="G155">
        <v>1</v>
      </c>
      <c r="H155">
        <v>1.4</v>
      </c>
      <c r="I155">
        <v>9.3000000000000007</v>
      </c>
      <c r="J155">
        <v>11.6</v>
      </c>
      <c r="K155" s="3">
        <v>34608</v>
      </c>
      <c r="L155">
        <v>18.399999999999999</v>
      </c>
      <c r="O155">
        <v>153</v>
      </c>
      <c r="P155">
        <v>18.899999999999999</v>
      </c>
      <c r="Q155">
        <v>21.9</v>
      </c>
      <c r="R155" s="3">
        <v>64407</v>
      </c>
      <c r="S155" s="3">
        <v>553562</v>
      </c>
      <c r="T155">
        <v>21.9</v>
      </c>
      <c r="U155">
        <v>1</v>
      </c>
      <c r="V155">
        <v>1.4</v>
      </c>
      <c r="W155">
        <v>9.4</v>
      </c>
      <c r="X155">
        <v>11.5</v>
      </c>
      <c r="Y155" s="3">
        <v>52626</v>
      </c>
      <c r="Z155">
        <v>18.899999999999999</v>
      </c>
      <c r="AB155">
        <f t="shared" si="8"/>
        <v>153</v>
      </c>
      <c r="AC155">
        <f t="shared" si="9"/>
        <v>18.71871715442246</v>
      </c>
      <c r="AD155">
        <f t="shared" si="10"/>
        <v>21.863743430884494</v>
      </c>
      <c r="AE155">
        <f t="shared" si="11"/>
        <v>3.1450262764620334</v>
      </c>
      <c r="AG155">
        <v>153</v>
      </c>
      <c r="AH155">
        <v>1</v>
      </c>
      <c r="AI155">
        <v>1.4</v>
      </c>
      <c r="AJ155">
        <v>9.4</v>
      </c>
      <c r="AK155">
        <v>11.5</v>
      </c>
    </row>
    <row r="156" spans="1:37" x14ac:dyDescent="0.25">
      <c r="A156">
        <v>154</v>
      </c>
      <c r="B156">
        <v>18.2</v>
      </c>
      <c r="C156">
        <v>21.7</v>
      </c>
      <c r="D156" s="3">
        <v>34686</v>
      </c>
      <c r="E156" s="3">
        <v>425863</v>
      </c>
      <c r="F156">
        <v>21.7</v>
      </c>
      <c r="G156">
        <v>1</v>
      </c>
      <c r="H156">
        <v>1.4</v>
      </c>
      <c r="I156">
        <v>9.1999999999999993</v>
      </c>
      <c r="J156">
        <v>11.5</v>
      </c>
      <c r="K156" s="3">
        <v>33016</v>
      </c>
      <c r="L156">
        <v>18.2</v>
      </c>
      <c r="O156">
        <v>154</v>
      </c>
      <c r="P156">
        <v>19.100000000000001</v>
      </c>
      <c r="Q156">
        <v>21.7</v>
      </c>
      <c r="R156" s="3">
        <v>59607</v>
      </c>
      <c r="S156" s="3">
        <v>511257</v>
      </c>
      <c r="T156">
        <v>21.7</v>
      </c>
      <c r="U156">
        <v>1</v>
      </c>
      <c r="V156">
        <v>1.4</v>
      </c>
      <c r="W156">
        <v>9.4</v>
      </c>
      <c r="X156">
        <v>11.4</v>
      </c>
      <c r="Y156" s="3">
        <v>48784</v>
      </c>
      <c r="Z156">
        <v>19.100000000000001</v>
      </c>
      <c r="AB156">
        <f t="shared" si="8"/>
        <v>154</v>
      </c>
      <c r="AC156">
        <f t="shared" si="9"/>
        <v>18.768931946167797</v>
      </c>
      <c r="AD156">
        <f t="shared" si="10"/>
        <v>21.7</v>
      </c>
      <c r="AE156">
        <f t="shared" si="11"/>
        <v>2.9310680538322025</v>
      </c>
      <c r="AG156">
        <v>154</v>
      </c>
      <c r="AH156">
        <v>1</v>
      </c>
      <c r="AI156">
        <v>1.4</v>
      </c>
      <c r="AJ156">
        <v>9.4</v>
      </c>
      <c r="AK156">
        <v>11.4</v>
      </c>
    </row>
    <row r="157" spans="1:37" x14ac:dyDescent="0.25">
      <c r="A157">
        <v>155</v>
      </c>
      <c r="B157">
        <v>18</v>
      </c>
      <c r="C157">
        <v>21.7</v>
      </c>
      <c r="D157" s="3">
        <v>32938</v>
      </c>
      <c r="E157" s="3">
        <v>415028</v>
      </c>
      <c r="F157">
        <v>21.7</v>
      </c>
      <c r="G157">
        <v>1</v>
      </c>
      <c r="H157">
        <v>1.4</v>
      </c>
      <c r="I157">
        <v>9.1999999999999993</v>
      </c>
      <c r="J157">
        <v>11.6</v>
      </c>
      <c r="K157" s="3">
        <v>31309</v>
      </c>
      <c r="L157">
        <v>18</v>
      </c>
      <c r="O157">
        <v>155</v>
      </c>
      <c r="P157">
        <v>18.8</v>
      </c>
      <c r="Q157">
        <v>21.7</v>
      </c>
      <c r="R157" s="3">
        <v>55646</v>
      </c>
      <c r="S157" s="3">
        <v>476302</v>
      </c>
      <c r="T157">
        <v>21.7</v>
      </c>
      <c r="U157">
        <v>1</v>
      </c>
      <c r="V157">
        <v>1.5</v>
      </c>
      <c r="W157">
        <v>9.4</v>
      </c>
      <c r="X157">
        <v>11.3</v>
      </c>
      <c r="Y157" s="3">
        <v>45793</v>
      </c>
      <c r="Z157">
        <v>18.8</v>
      </c>
      <c r="AB157">
        <f t="shared" si="8"/>
        <v>155</v>
      </c>
      <c r="AC157">
        <f t="shared" si="9"/>
        <v>18.502537704325839</v>
      </c>
      <c r="AD157">
        <f t="shared" si="10"/>
        <v>21.7</v>
      </c>
      <c r="AE157">
        <f t="shared" si="11"/>
        <v>3.1974622956741605</v>
      </c>
      <c r="AG157">
        <v>155</v>
      </c>
      <c r="AH157">
        <v>1</v>
      </c>
      <c r="AI157">
        <v>1.5</v>
      </c>
      <c r="AJ157">
        <v>9.4</v>
      </c>
      <c r="AK157">
        <v>11.3</v>
      </c>
    </row>
    <row r="158" spans="1:37" x14ac:dyDescent="0.25">
      <c r="A158">
        <v>156</v>
      </c>
      <c r="B158">
        <v>18.100000000000001</v>
      </c>
      <c r="C158">
        <v>21.7</v>
      </c>
      <c r="D158" s="3">
        <v>31762</v>
      </c>
      <c r="E158" s="3">
        <v>402231</v>
      </c>
      <c r="F158">
        <v>21.7</v>
      </c>
      <c r="G158">
        <v>1</v>
      </c>
      <c r="H158">
        <v>1.4</v>
      </c>
      <c r="I158">
        <v>9.1999999999999993</v>
      </c>
      <c r="J158">
        <v>11.5</v>
      </c>
      <c r="K158" s="3">
        <v>29988</v>
      </c>
      <c r="L158">
        <v>18.100000000000001</v>
      </c>
      <c r="O158">
        <v>156</v>
      </c>
      <c r="P158">
        <v>19</v>
      </c>
      <c r="Q158">
        <v>21.6</v>
      </c>
      <c r="R158" s="3">
        <v>52675</v>
      </c>
      <c r="S158" s="3">
        <v>413543</v>
      </c>
      <c r="T158">
        <v>21.6</v>
      </c>
      <c r="U158">
        <v>1</v>
      </c>
      <c r="V158">
        <v>1.5</v>
      </c>
      <c r="W158">
        <v>9.3000000000000007</v>
      </c>
      <c r="X158">
        <v>11.2</v>
      </c>
      <c r="Y158" s="3">
        <v>43200</v>
      </c>
      <c r="Z158">
        <v>19</v>
      </c>
      <c r="AB158">
        <f t="shared" si="8"/>
        <v>156</v>
      </c>
      <c r="AC158">
        <f t="shared" si="9"/>
        <v>18.661454101874774</v>
      </c>
      <c r="AD158">
        <f t="shared" si="10"/>
        <v>21.637616210902802</v>
      </c>
      <c r="AE158">
        <f t="shared" si="11"/>
        <v>2.9761621090280279</v>
      </c>
      <c r="AG158">
        <v>156</v>
      </c>
      <c r="AH158">
        <v>1</v>
      </c>
      <c r="AI158">
        <v>1.5</v>
      </c>
      <c r="AJ158">
        <v>9.3000000000000007</v>
      </c>
      <c r="AK158">
        <v>11.2</v>
      </c>
    </row>
    <row r="159" spans="1:37" x14ac:dyDescent="0.25">
      <c r="A159">
        <v>157</v>
      </c>
      <c r="B159">
        <v>18</v>
      </c>
      <c r="C159">
        <v>21.7</v>
      </c>
      <c r="D159" s="3">
        <v>30234</v>
      </c>
      <c r="E159" s="3">
        <v>398742</v>
      </c>
      <c r="F159">
        <v>21.7</v>
      </c>
      <c r="G159">
        <v>1</v>
      </c>
      <c r="H159">
        <v>1.4</v>
      </c>
      <c r="I159">
        <v>9.1999999999999993</v>
      </c>
      <c r="J159">
        <v>11.5</v>
      </c>
      <c r="K159" s="3">
        <v>28732</v>
      </c>
      <c r="L159">
        <v>18</v>
      </c>
      <c r="O159">
        <v>157</v>
      </c>
      <c r="P159">
        <v>18.8</v>
      </c>
      <c r="Q159">
        <v>21.6</v>
      </c>
      <c r="R159" s="3">
        <v>49641</v>
      </c>
      <c r="S159" s="3">
        <v>402801</v>
      </c>
      <c r="T159">
        <v>21.6</v>
      </c>
      <c r="U159">
        <v>1</v>
      </c>
      <c r="V159">
        <v>1.5</v>
      </c>
      <c r="W159">
        <v>9.3000000000000007</v>
      </c>
      <c r="X159">
        <v>11.1</v>
      </c>
      <c r="Y159" s="3">
        <v>40257</v>
      </c>
      <c r="Z159">
        <v>18.8</v>
      </c>
      <c r="AB159">
        <f t="shared" si="8"/>
        <v>157</v>
      </c>
      <c r="AC159">
        <f t="shared" si="9"/>
        <v>18.497186854460093</v>
      </c>
      <c r="AD159">
        <f t="shared" si="10"/>
        <v>21.637851643192487</v>
      </c>
      <c r="AE159">
        <f t="shared" si="11"/>
        <v>3.1406647887323942</v>
      </c>
      <c r="AG159">
        <v>157</v>
      </c>
      <c r="AH159">
        <v>1</v>
      </c>
      <c r="AI159">
        <v>1.5</v>
      </c>
      <c r="AJ159">
        <v>9.3000000000000007</v>
      </c>
      <c r="AK159">
        <v>11.1</v>
      </c>
    </row>
    <row r="160" spans="1:37" x14ac:dyDescent="0.25">
      <c r="A160">
        <v>158</v>
      </c>
      <c r="B160">
        <v>17.3</v>
      </c>
      <c r="C160">
        <v>21.6</v>
      </c>
      <c r="D160" s="3">
        <v>28818</v>
      </c>
      <c r="E160" s="3">
        <v>367143</v>
      </c>
      <c r="F160">
        <v>21.6</v>
      </c>
      <c r="G160">
        <v>1</v>
      </c>
      <c r="H160">
        <v>1.4</v>
      </c>
      <c r="I160">
        <v>9.1999999999999993</v>
      </c>
      <c r="J160">
        <v>11.4</v>
      </c>
      <c r="K160" s="3">
        <v>27331</v>
      </c>
      <c r="L160">
        <v>17.3</v>
      </c>
      <c r="O160">
        <v>158</v>
      </c>
      <c r="P160">
        <v>18.7</v>
      </c>
      <c r="Q160">
        <v>21.4</v>
      </c>
      <c r="R160" s="3">
        <v>46967</v>
      </c>
      <c r="S160" s="3">
        <v>390542</v>
      </c>
      <c r="T160">
        <v>21.4</v>
      </c>
      <c r="U160">
        <v>1</v>
      </c>
      <c r="V160">
        <v>1.5</v>
      </c>
      <c r="W160">
        <v>9.3000000000000007</v>
      </c>
      <c r="X160">
        <v>11</v>
      </c>
      <c r="Y160" s="3">
        <v>38104</v>
      </c>
      <c r="Z160">
        <v>18.7</v>
      </c>
      <c r="AB160">
        <f t="shared" si="8"/>
        <v>158</v>
      </c>
      <c r="AC160">
        <f t="shared" si="9"/>
        <v>18.167636075740582</v>
      </c>
      <c r="AD160">
        <f t="shared" si="10"/>
        <v>21.476051989179918</v>
      </c>
      <c r="AE160">
        <f t="shared" si="11"/>
        <v>3.3084159134393367</v>
      </c>
      <c r="AG160">
        <v>158</v>
      </c>
      <c r="AH160">
        <v>1</v>
      </c>
      <c r="AI160">
        <v>1.5</v>
      </c>
      <c r="AJ160">
        <v>9.3000000000000007</v>
      </c>
      <c r="AK160">
        <v>11</v>
      </c>
    </row>
    <row r="161" spans="1:37" x14ac:dyDescent="0.25">
      <c r="A161">
        <v>159</v>
      </c>
      <c r="B161">
        <v>17.5</v>
      </c>
      <c r="C161">
        <v>21.5</v>
      </c>
      <c r="D161" s="3">
        <v>27478</v>
      </c>
      <c r="E161" s="3">
        <v>364754</v>
      </c>
      <c r="F161">
        <v>21.5</v>
      </c>
      <c r="G161">
        <v>1</v>
      </c>
      <c r="H161">
        <v>1.5</v>
      </c>
      <c r="I161">
        <v>9.1999999999999993</v>
      </c>
      <c r="J161">
        <v>11.2</v>
      </c>
      <c r="K161" s="3">
        <v>26005</v>
      </c>
      <c r="L161">
        <v>17.5</v>
      </c>
      <c r="O161">
        <v>159</v>
      </c>
      <c r="P161">
        <v>18.600000000000001</v>
      </c>
      <c r="Q161">
        <v>21.4</v>
      </c>
      <c r="R161" s="3">
        <v>44339</v>
      </c>
      <c r="S161" s="3">
        <v>354345</v>
      </c>
      <c r="T161">
        <v>21.4</v>
      </c>
      <c r="U161">
        <v>1</v>
      </c>
      <c r="V161">
        <v>1.5</v>
      </c>
      <c r="W161">
        <v>9.3000000000000007</v>
      </c>
      <c r="X161">
        <v>10.9</v>
      </c>
      <c r="Y161" s="3">
        <v>35391</v>
      </c>
      <c r="Z161">
        <v>18.600000000000001</v>
      </c>
      <c r="AB161">
        <f t="shared" si="8"/>
        <v>159</v>
      </c>
      <c r="AC161">
        <f t="shared" si="9"/>
        <v>18.179127504629822</v>
      </c>
      <c r="AD161">
        <f t="shared" si="10"/>
        <v>21.438261135942746</v>
      </c>
      <c r="AE161">
        <f t="shared" si="11"/>
        <v>3.259133631312924</v>
      </c>
      <c r="AG161">
        <v>159</v>
      </c>
      <c r="AH161">
        <v>1</v>
      </c>
      <c r="AI161">
        <v>1.5</v>
      </c>
      <c r="AJ161">
        <v>9.3000000000000007</v>
      </c>
      <c r="AK161">
        <v>10.9</v>
      </c>
    </row>
    <row r="162" spans="1:37" x14ac:dyDescent="0.25">
      <c r="A162">
        <v>160</v>
      </c>
      <c r="B162">
        <v>17.3</v>
      </c>
      <c r="C162">
        <v>21.5</v>
      </c>
      <c r="D162" s="3">
        <v>25919</v>
      </c>
      <c r="E162" s="3">
        <v>366952</v>
      </c>
      <c r="F162">
        <v>21.5</v>
      </c>
      <c r="G162">
        <v>1</v>
      </c>
      <c r="H162">
        <v>1.5</v>
      </c>
      <c r="I162">
        <v>9.1999999999999993</v>
      </c>
      <c r="J162">
        <v>11.2</v>
      </c>
      <c r="K162" s="3">
        <v>24617</v>
      </c>
      <c r="L162">
        <v>17.3</v>
      </c>
      <c r="O162">
        <v>160</v>
      </c>
      <c r="P162">
        <v>18.399999999999999</v>
      </c>
      <c r="Q162">
        <v>21.3</v>
      </c>
      <c r="R162" s="3">
        <v>41831</v>
      </c>
      <c r="S162" s="3">
        <v>364693</v>
      </c>
      <c r="T162">
        <v>21.3</v>
      </c>
      <c r="U162">
        <v>1</v>
      </c>
      <c r="V162">
        <v>1.6</v>
      </c>
      <c r="W162">
        <v>9.3000000000000007</v>
      </c>
      <c r="X162">
        <v>10.8</v>
      </c>
      <c r="Y162" s="3">
        <v>33728</v>
      </c>
      <c r="Z162">
        <v>18.399999999999999</v>
      </c>
      <c r="AB162">
        <f t="shared" si="8"/>
        <v>160</v>
      </c>
      <c r="AC162">
        <f t="shared" si="9"/>
        <v>17.979174907749076</v>
      </c>
      <c r="AD162">
        <f t="shared" si="10"/>
        <v>21.376513653136531</v>
      </c>
      <c r="AE162">
        <f t="shared" si="11"/>
        <v>3.3973387453874544</v>
      </c>
      <c r="AG162">
        <v>160</v>
      </c>
      <c r="AH162">
        <v>1</v>
      </c>
      <c r="AI162">
        <v>1.6</v>
      </c>
      <c r="AJ162">
        <v>9.3000000000000007</v>
      </c>
      <c r="AK162">
        <v>10.8</v>
      </c>
    </row>
    <row r="163" spans="1:37" x14ac:dyDescent="0.25">
      <c r="A163">
        <v>161</v>
      </c>
      <c r="B163">
        <v>17</v>
      </c>
      <c r="C163">
        <v>21.4</v>
      </c>
      <c r="D163" s="3">
        <v>25020</v>
      </c>
      <c r="E163" s="3">
        <v>362785</v>
      </c>
      <c r="F163">
        <v>21.4</v>
      </c>
      <c r="G163">
        <v>1</v>
      </c>
      <c r="H163">
        <v>1.5</v>
      </c>
      <c r="I163">
        <v>9.3000000000000007</v>
      </c>
      <c r="J163">
        <v>11</v>
      </c>
      <c r="K163" s="3">
        <v>23969</v>
      </c>
      <c r="L163">
        <v>17</v>
      </c>
      <c r="O163">
        <v>161</v>
      </c>
      <c r="P163">
        <v>18.899999999999999</v>
      </c>
      <c r="Q163">
        <v>21.3</v>
      </c>
      <c r="R163" s="3">
        <v>40037</v>
      </c>
      <c r="S163" s="3">
        <v>332363</v>
      </c>
      <c r="T163">
        <v>21.3</v>
      </c>
      <c r="U163">
        <v>1</v>
      </c>
      <c r="V163">
        <v>1.6</v>
      </c>
      <c r="W163">
        <v>9.4</v>
      </c>
      <c r="X163">
        <v>10.7</v>
      </c>
      <c r="Y163" s="3">
        <v>32275</v>
      </c>
      <c r="Z163">
        <v>18.899999999999999</v>
      </c>
      <c r="AB163">
        <f t="shared" si="8"/>
        <v>161</v>
      </c>
      <c r="AC163">
        <f t="shared" si="9"/>
        <v>18.169286932997213</v>
      </c>
      <c r="AD163">
        <f t="shared" si="10"/>
        <v>21.338458582473834</v>
      </c>
      <c r="AE163">
        <f t="shared" si="11"/>
        <v>3.1691716494766204</v>
      </c>
      <c r="AG163">
        <v>161</v>
      </c>
      <c r="AH163">
        <v>1</v>
      </c>
      <c r="AI163">
        <v>1.6</v>
      </c>
      <c r="AJ163">
        <v>9.4</v>
      </c>
      <c r="AK163">
        <v>10.7</v>
      </c>
    </row>
    <row r="164" spans="1:37" x14ac:dyDescent="0.25">
      <c r="A164">
        <v>162</v>
      </c>
      <c r="B164">
        <v>17.399999999999999</v>
      </c>
      <c r="C164">
        <v>21.3</v>
      </c>
      <c r="D164" s="3">
        <v>24068</v>
      </c>
      <c r="E164" s="3">
        <v>363229</v>
      </c>
      <c r="F164">
        <v>21.3</v>
      </c>
      <c r="G164">
        <v>1</v>
      </c>
      <c r="H164">
        <v>1.5</v>
      </c>
      <c r="I164">
        <v>9.3000000000000007</v>
      </c>
      <c r="J164">
        <v>10.8</v>
      </c>
      <c r="K164" s="3">
        <v>23060</v>
      </c>
      <c r="L164">
        <v>17.399999999999999</v>
      </c>
      <c r="O164">
        <v>162</v>
      </c>
      <c r="P164">
        <v>18</v>
      </c>
      <c r="Q164">
        <v>21.2</v>
      </c>
      <c r="R164" s="3">
        <v>38622</v>
      </c>
      <c r="S164" s="3">
        <v>346754</v>
      </c>
      <c r="T164">
        <v>21.2</v>
      </c>
      <c r="U164">
        <v>1</v>
      </c>
      <c r="V164">
        <v>1.6</v>
      </c>
      <c r="W164">
        <v>9.4</v>
      </c>
      <c r="X164">
        <v>10.6</v>
      </c>
      <c r="Y164" s="3">
        <v>31138</v>
      </c>
      <c r="Z164">
        <v>18</v>
      </c>
      <c r="AB164">
        <f t="shared" si="8"/>
        <v>162</v>
      </c>
      <c r="AC164">
        <f t="shared" si="9"/>
        <v>17.769647471686074</v>
      </c>
      <c r="AD164">
        <f t="shared" si="10"/>
        <v>21.238392088052322</v>
      </c>
      <c r="AE164">
        <f t="shared" si="11"/>
        <v>3.4687446163662479</v>
      </c>
      <c r="AG164">
        <v>162</v>
      </c>
      <c r="AH164">
        <v>1</v>
      </c>
      <c r="AI164">
        <v>1.6</v>
      </c>
      <c r="AJ164">
        <v>9.4</v>
      </c>
      <c r="AK164">
        <v>10.6</v>
      </c>
    </row>
    <row r="165" spans="1:37" x14ac:dyDescent="0.25">
      <c r="A165">
        <v>163</v>
      </c>
      <c r="B165">
        <v>17.399999999999999</v>
      </c>
      <c r="C165">
        <v>21.3</v>
      </c>
      <c r="D165" s="3">
        <v>23318</v>
      </c>
      <c r="E165" s="3">
        <v>345913</v>
      </c>
      <c r="F165">
        <v>21.3</v>
      </c>
      <c r="G165">
        <v>1</v>
      </c>
      <c r="H165">
        <v>1.5</v>
      </c>
      <c r="I165">
        <v>9.3000000000000007</v>
      </c>
      <c r="J165">
        <v>10.8</v>
      </c>
      <c r="K165" s="3">
        <v>22451</v>
      </c>
      <c r="L165">
        <v>17.399999999999999</v>
      </c>
      <c r="O165">
        <v>163</v>
      </c>
      <c r="P165">
        <v>17.899999999999999</v>
      </c>
      <c r="Q165">
        <v>21.1</v>
      </c>
      <c r="R165" s="3">
        <v>37397</v>
      </c>
      <c r="S165" s="3">
        <v>349384</v>
      </c>
      <c r="T165">
        <v>21.1</v>
      </c>
      <c r="U165">
        <v>1</v>
      </c>
      <c r="V165">
        <v>1.6</v>
      </c>
      <c r="W165">
        <v>9.4</v>
      </c>
      <c r="X165">
        <v>10.4</v>
      </c>
      <c r="Y165" s="3">
        <v>30089</v>
      </c>
      <c r="Z165">
        <v>17.899999999999999</v>
      </c>
      <c r="AB165">
        <f t="shared" si="8"/>
        <v>163</v>
      </c>
      <c r="AC165">
        <f t="shared" si="9"/>
        <v>17.70797167092152</v>
      </c>
      <c r="AD165">
        <f t="shared" si="10"/>
        <v>21.176811331631395</v>
      </c>
      <c r="AE165">
        <f t="shared" si="11"/>
        <v>3.4688396607098753</v>
      </c>
      <c r="AG165">
        <v>163</v>
      </c>
      <c r="AH165">
        <v>1</v>
      </c>
      <c r="AI165">
        <v>1.6</v>
      </c>
      <c r="AJ165">
        <v>9.4</v>
      </c>
      <c r="AK165">
        <v>10.4</v>
      </c>
    </row>
    <row r="166" spans="1:37" x14ac:dyDescent="0.25">
      <c r="A166">
        <v>164</v>
      </c>
      <c r="B166">
        <v>17.2</v>
      </c>
      <c r="C166">
        <v>21.2</v>
      </c>
      <c r="D166" s="3">
        <v>22327</v>
      </c>
      <c r="E166" s="3">
        <v>338686</v>
      </c>
      <c r="F166">
        <v>21.2</v>
      </c>
      <c r="G166">
        <v>1.1000000000000001</v>
      </c>
      <c r="H166">
        <v>1.5</v>
      </c>
      <c r="I166">
        <v>9.4</v>
      </c>
      <c r="J166">
        <v>10.7</v>
      </c>
      <c r="K166" s="3">
        <v>21491</v>
      </c>
      <c r="L166">
        <v>17.2</v>
      </c>
      <c r="O166">
        <v>164</v>
      </c>
      <c r="P166">
        <v>18.5</v>
      </c>
      <c r="Q166">
        <v>20.9</v>
      </c>
      <c r="R166" s="3">
        <v>36336</v>
      </c>
      <c r="S166" s="3">
        <v>342411</v>
      </c>
      <c r="T166">
        <v>20.9</v>
      </c>
      <c r="U166">
        <v>1</v>
      </c>
      <c r="V166">
        <v>1.6</v>
      </c>
      <c r="W166">
        <v>9.4</v>
      </c>
      <c r="X166">
        <v>10.199999999999999</v>
      </c>
      <c r="Y166" s="3">
        <v>29082</v>
      </c>
      <c r="Z166">
        <v>18.5</v>
      </c>
      <c r="AB166">
        <f t="shared" si="8"/>
        <v>164</v>
      </c>
      <c r="AC166">
        <f t="shared" si="9"/>
        <v>18.005223053713582</v>
      </c>
      <c r="AD166">
        <f t="shared" si="10"/>
        <v>21.014179295296863</v>
      </c>
      <c r="AE166">
        <f t="shared" si="11"/>
        <v>3.0089562415832809</v>
      </c>
      <c r="AG166">
        <v>164</v>
      </c>
      <c r="AH166">
        <v>1</v>
      </c>
      <c r="AI166">
        <v>1.6</v>
      </c>
      <c r="AJ166">
        <v>9.4</v>
      </c>
      <c r="AK166">
        <v>10.199999999999999</v>
      </c>
    </row>
    <row r="167" spans="1:37" x14ac:dyDescent="0.25">
      <c r="A167">
        <v>165</v>
      </c>
      <c r="B167">
        <v>17</v>
      </c>
      <c r="C167">
        <v>20.9</v>
      </c>
      <c r="D167" s="3">
        <v>21994</v>
      </c>
      <c r="E167" s="3">
        <v>338372</v>
      </c>
      <c r="F167">
        <v>20.9</v>
      </c>
      <c r="G167">
        <v>1.1000000000000001</v>
      </c>
      <c r="H167">
        <v>1.5</v>
      </c>
      <c r="I167">
        <v>9.4</v>
      </c>
      <c r="J167">
        <v>10.4</v>
      </c>
      <c r="K167" s="3">
        <v>21197</v>
      </c>
      <c r="L167">
        <v>17</v>
      </c>
      <c r="O167">
        <v>165</v>
      </c>
      <c r="P167">
        <v>18</v>
      </c>
      <c r="Q167">
        <v>20.8</v>
      </c>
      <c r="R167" s="3">
        <v>35198</v>
      </c>
      <c r="S167" s="3">
        <v>322858</v>
      </c>
      <c r="T167">
        <v>20.8</v>
      </c>
      <c r="U167">
        <v>1</v>
      </c>
      <c r="V167">
        <v>1.6</v>
      </c>
      <c r="W167">
        <v>9.5</v>
      </c>
      <c r="X167">
        <v>10</v>
      </c>
      <c r="Y167" s="3">
        <v>28077</v>
      </c>
      <c r="Z167">
        <v>18</v>
      </c>
      <c r="AB167">
        <f t="shared" si="8"/>
        <v>165</v>
      </c>
      <c r="AC167">
        <f t="shared" si="9"/>
        <v>17.615435725276264</v>
      </c>
      <c r="AD167">
        <f t="shared" si="10"/>
        <v>20.838456427472373</v>
      </c>
      <c r="AE167">
        <f t="shared" si="11"/>
        <v>3.2230207021961093</v>
      </c>
      <c r="AG167">
        <v>165</v>
      </c>
      <c r="AH167">
        <v>1</v>
      </c>
      <c r="AI167">
        <v>1.6</v>
      </c>
      <c r="AJ167">
        <v>9.5</v>
      </c>
      <c r="AK167">
        <v>10</v>
      </c>
    </row>
    <row r="168" spans="1:37" x14ac:dyDescent="0.25">
      <c r="A168">
        <v>166</v>
      </c>
      <c r="B168">
        <v>17.7</v>
      </c>
      <c r="C168">
        <v>20.8</v>
      </c>
      <c r="D168" s="3">
        <v>21344</v>
      </c>
      <c r="E168" s="3">
        <v>333283</v>
      </c>
      <c r="F168">
        <v>20.8</v>
      </c>
      <c r="G168">
        <v>1.1000000000000001</v>
      </c>
      <c r="H168">
        <v>1.5</v>
      </c>
      <c r="I168">
        <v>9.3000000000000007</v>
      </c>
      <c r="J168">
        <v>10.3</v>
      </c>
      <c r="K168" s="3">
        <v>20502</v>
      </c>
      <c r="L168">
        <v>17.7</v>
      </c>
      <c r="O168">
        <v>166</v>
      </c>
      <c r="P168">
        <v>17.8</v>
      </c>
      <c r="Q168">
        <v>20.6</v>
      </c>
      <c r="R168" s="3">
        <v>33996</v>
      </c>
      <c r="S168" s="3">
        <v>311009</v>
      </c>
      <c r="T168">
        <v>20.6</v>
      </c>
      <c r="U168">
        <v>1</v>
      </c>
      <c r="V168">
        <v>1.6</v>
      </c>
      <c r="W168">
        <v>9.4</v>
      </c>
      <c r="X168">
        <v>9.8000000000000007</v>
      </c>
      <c r="Y168" s="3">
        <v>26999</v>
      </c>
      <c r="Z168">
        <v>17.8</v>
      </c>
      <c r="AB168">
        <f t="shared" si="8"/>
        <v>166</v>
      </c>
      <c r="AC168">
        <f t="shared" si="9"/>
        <v>17.761431152873151</v>
      </c>
      <c r="AD168">
        <f t="shared" si="10"/>
        <v>20.677137694253705</v>
      </c>
      <c r="AE168">
        <f t="shared" si="11"/>
        <v>2.9157065413805547</v>
      </c>
      <c r="AG168">
        <v>166</v>
      </c>
      <c r="AH168">
        <v>1</v>
      </c>
      <c r="AI168">
        <v>1.6</v>
      </c>
      <c r="AJ168">
        <v>9.4</v>
      </c>
      <c r="AK168">
        <v>9.8000000000000007</v>
      </c>
    </row>
    <row r="169" spans="1:37" x14ac:dyDescent="0.25">
      <c r="A169">
        <v>167</v>
      </c>
      <c r="B169">
        <v>16.899999999999999</v>
      </c>
      <c r="C169">
        <v>20.6</v>
      </c>
      <c r="D169" s="3">
        <v>20551</v>
      </c>
      <c r="E169" s="3">
        <v>317908</v>
      </c>
      <c r="F169">
        <v>20.6</v>
      </c>
      <c r="G169">
        <v>1.1000000000000001</v>
      </c>
      <c r="H169">
        <v>1.5</v>
      </c>
      <c r="I169">
        <v>9.3000000000000007</v>
      </c>
      <c r="J169">
        <v>10</v>
      </c>
      <c r="K169" s="3">
        <v>19762</v>
      </c>
      <c r="L169">
        <v>16.899999999999999</v>
      </c>
      <c r="O169">
        <v>167</v>
      </c>
      <c r="P169">
        <v>18.5</v>
      </c>
      <c r="Q169">
        <v>20.399999999999999</v>
      </c>
      <c r="R169" s="3">
        <v>32937</v>
      </c>
      <c r="S169" s="3">
        <v>292963</v>
      </c>
      <c r="T169">
        <v>20.399999999999999</v>
      </c>
      <c r="U169">
        <v>1.1000000000000001</v>
      </c>
      <c r="V169">
        <v>1.6</v>
      </c>
      <c r="W169">
        <v>9.4</v>
      </c>
      <c r="X169">
        <v>9.6</v>
      </c>
      <c r="Y169" s="3">
        <v>26213</v>
      </c>
      <c r="Z169">
        <v>18.5</v>
      </c>
      <c r="AB169">
        <f t="shared" si="8"/>
        <v>167</v>
      </c>
      <c r="AC169">
        <f t="shared" si="9"/>
        <v>17.885252766975768</v>
      </c>
      <c r="AD169">
        <f t="shared" si="10"/>
        <v>20.476843404128026</v>
      </c>
      <c r="AE169">
        <f t="shared" si="11"/>
        <v>2.5915906371522581</v>
      </c>
      <c r="AG169">
        <v>167</v>
      </c>
      <c r="AH169">
        <v>1.1000000000000001</v>
      </c>
      <c r="AI169">
        <v>1.6</v>
      </c>
      <c r="AJ169">
        <v>9.4</v>
      </c>
      <c r="AK169">
        <v>9.6</v>
      </c>
    </row>
    <row r="170" spans="1:37" x14ac:dyDescent="0.25">
      <c r="A170">
        <v>168</v>
      </c>
      <c r="B170">
        <v>17.3</v>
      </c>
      <c r="C170">
        <v>20.399999999999999</v>
      </c>
      <c r="D170" s="3">
        <v>20071</v>
      </c>
      <c r="E170" s="3">
        <v>323459</v>
      </c>
      <c r="F170">
        <v>20.399999999999999</v>
      </c>
      <c r="G170">
        <v>1.1000000000000001</v>
      </c>
      <c r="H170">
        <v>1.5</v>
      </c>
      <c r="I170">
        <v>9.1999999999999993</v>
      </c>
      <c r="J170">
        <v>9.9</v>
      </c>
      <c r="K170" s="3">
        <v>19286</v>
      </c>
      <c r="L170">
        <v>17.3</v>
      </c>
      <c r="O170">
        <v>168</v>
      </c>
      <c r="P170">
        <v>17.899999999999999</v>
      </c>
      <c r="Q170">
        <v>20.3</v>
      </c>
      <c r="R170" s="3">
        <v>31808</v>
      </c>
      <c r="S170" s="3">
        <v>261100</v>
      </c>
      <c r="T170">
        <v>20.3</v>
      </c>
      <c r="U170">
        <v>1.1000000000000001</v>
      </c>
      <c r="V170">
        <v>1.6</v>
      </c>
      <c r="W170">
        <v>9.4</v>
      </c>
      <c r="X170">
        <v>9.5</v>
      </c>
      <c r="Y170" s="3">
        <v>25260</v>
      </c>
      <c r="Z170">
        <v>17.899999999999999</v>
      </c>
      <c r="AB170">
        <f t="shared" si="8"/>
        <v>168</v>
      </c>
      <c r="AC170">
        <f t="shared" si="9"/>
        <v>17.667871393049211</v>
      </c>
      <c r="AD170">
        <f t="shared" si="10"/>
        <v>20.338688101158464</v>
      </c>
      <c r="AE170">
        <f t="shared" si="11"/>
        <v>2.6708167081092533</v>
      </c>
      <c r="AG170">
        <v>168</v>
      </c>
      <c r="AH170">
        <v>1.1000000000000001</v>
      </c>
      <c r="AI170">
        <v>1.6</v>
      </c>
      <c r="AJ170">
        <v>9.4</v>
      </c>
      <c r="AK170">
        <v>9.5</v>
      </c>
    </row>
    <row r="171" spans="1:37" x14ac:dyDescent="0.25">
      <c r="A171">
        <v>169</v>
      </c>
      <c r="B171">
        <v>17.7</v>
      </c>
      <c r="C171">
        <v>20.3</v>
      </c>
      <c r="D171" s="3">
        <v>19357</v>
      </c>
      <c r="E171" s="3">
        <v>318376</v>
      </c>
      <c r="F171">
        <v>20.3</v>
      </c>
      <c r="G171">
        <v>1.1000000000000001</v>
      </c>
      <c r="H171">
        <v>1.5</v>
      </c>
      <c r="I171">
        <v>9.3000000000000007</v>
      </c>
      <c r="J171">
        <v>9.6999999999999993</v>
      </c>
      <c r="K171" s="3">
        <v>18444</v>
      </c>
      <c r="L171">
        <v>17.7</v>
      </c>
      <c r="O171">
        <v>169</v>
      </c>
      <c r="P171">
        <v>18.399999999999999</v>
      </c>
      <c r="Q171">
        <v>20.2</v>
      </c>
      <c r="R171" s="3">
        <v>30890</v>
      </c>
      <c r="S171" s="3">
        <v>252657</v>
      </c>
      <c r="T171">
        <v>20.2</v>
      </c>
      <c r="U171">
        <v>1.1000000000000001</v>
      </c>
      <c r="V171">
        <v>1.6</v>
      </c>
      <c r="W171">
        <v>9.4</v>
      </c>
      <c r="X171">
        <v>9.3000000000000007</v>
      </c>
      <c r="Y171" s="3">
        <v>24264</v>
      </c>
      <c r="Z171">
        <v>18.399999999999999</v>
      </c>
      <c r="AB171">
        <f t="shared" si="8"/>
        <v>169</v>
      </c>
      <c r="AC171">
        <f t="shared" si="9"/>
        <v>18.130334149302445</v>
      </c>
      <c r="AD171">
        <f t="shared" si="10"/>
        <v>20.238523692956797</v>
      </c>
      <c r="AE171">
        <f t="shared" si="11"/>
        <v>2.1081895436543512</v>
      </c>
      <c r="AG171">
        <v>169</v>
      </c>
      <c r="AH171">
        <v>1.1000000000000001</v>
      </c>
      <c r="AI171">
        <v>1.6</v>
      </c>
      <c r="AJ171">
        <v>9.4</v>
      </c>
      <c r="AK171">
        <v>9.3000000000000007</v>
      </c>
    </row>
    <row r="172" spans="1:37" x14ac:dyDescent="0.25">
      <c r="A172">
        <v>170</v>
      </c>
      <c r="B172">
        <v>17.2</v>
      </c>
      <c r="C172">
        <v>20.2</v>
      </c>
      <c r="D172" s="3">
        <v>18388</v>
      </c>
      <c r="E172" s="3">
        <v>294515</v>
      </c>
      <c r="F172">
        <v>20.2</v>
      </c>
      <c r="G172">
        <v>1.1000000000000001</v>
      </c>
      <c r="H172">
        <v>1.5</v>
      </c>
      <c r="I172">
        <v>9.3000000000000007</v>
      </c>
      <c r="J172">
        <v>9.5</v>
      </c>
      <c r="K172" s="3">
        <v>17498</v>
      </c>
      <c r="L172">
        <v>17.2</v>
      </c>
      <c r="O172">
        <v>170</v>
      </c>
      <c r="P172">
        <v>18.5</v>
      </c>
      <c r="Q172">
        <v>20</v>
      </c>
      <c r="R172" s="3">
        <v>29721</v>
      </c>
      <c r="S172" s="3">
        <v>288885</v>
      </c>
      <c r="T172">
        <v>20</v>
      </c>
      <c r="U172">
        <v>1.1000000000000001</v>
      </c>
      <c r="V172">
        <v>1.6</v>
      </c>
      <c r="W172">
        <v>9.4</v>
      </c>
      <c r="X172">
        <v>9.1</v>
      </c>
      <c r="Y172" s="3">
        <v>23150</v>
      </c>
      <c r="Z172">
        <v>18.5</v>
      </c>
      <c r="AB172">
        <f t="shared" si="8"/>
        <v>170</v>
      </c>
      <c r="AC172">
        <f t="shared" si="9"/>
        <v>18.003119998337109</v>
      </c>
      <c r="AD172">
        <f t="shared" si="10"/>
        <v>20.076443077178904</v>
      </c>
      <c r="AE172">
        <f t="shared" si="11"/>
        <v>2.0733230788417956</v>
      </c>
      <c r="AG172">
        <v>170</v>
      </c>
      <c r="AH172">
        <v>1.1000000000000001</v>
      </c>
      <c r="AI172">
        <v>1.6</v>
      </c>
      <c r="AJ172">
        <v>9.4</v>
      </c>
      <c r="AK172">
        <v>9.1</v>
      </c>
    </row>
    <row r="173" spans="1:37" x14ac:dyDescent="0.25">
      <c r="A173">
        <v>171</v>
      </c>
      <c r="B173">
        <v>17.3</v>
      </c>
      <c r="C173">
        <v>19.899999999999999</v>
      </c>
      <c r="D173" s="3">
        <v>17865</v>
      </c>
      <c r="E173" s="3">
        <v>302912</v>
      </c>
      <c r="F173">
        <v>19.899999999999999</v>
      </c>
      <c r="G173">
        <v>1.1000000000000001</v>
      </c>
      <c r="H173">
        <v>1.5</v>
      </c>
      <c r="I173">
        <v>9.3000000000000007</v>
      </c>
      <c r="J173">
        <v>9.1999999999999993</v>
      </c>
      <c r="K173" s="3">
        <v>17029</v>
      </c>
      <c r="L173">
        <v>17.3</v>
      </c>
      <c r="O173">
        <v>171</v>
      </c>
      <c r="P173">
        <v>18.3</v>
      </c>
      <c r="Q173">
        <v>19.8</v>
      </c>
      <c r="R173" s="3">
        <v>28667</v>
      </c>
      <c r="S173" s="3">
        <v>269274</v>
      </c>
      <c r="T173">
        <v>19.8</v>
      </c>
      <c r="U173">
        <v>1.1000000000000001</v>
      </c>
      <c r="V173">
        <v>1.6</v>
      </c>
      <c r="W173">
        <v>9.4</v>
      </c>
      <c r="X173">
        <v>8.9</v>
      </c>
      <c r="Y173" s="3">
        <v>22153</v>
      </c>
      <c r="Z173">
        <v>18.3</v>
      </c>
      <c r="AB173">
        <f t="shared" si="8"/>
        <v>171</v>
      </c>
      <c r="AC173">
        <f t="shared" si="9"/>
        <v>17.916070661050458</v>
      </c>
      <c r="AD173">
        <f t="shared" si="10"/>
        <v>19.838392933894955</v>
      </c>
      <c r="AE173">
        <f t="shared" si="11"/>
        <v>1.9223222728444966</v>
      </c>
      <c r="AG173">
        <v>171</v>
      </c>
      <c r="AH173">
        <v>1.1000000000000001</v>
      </c>
      <c r="AI173">
        <v>1.6</v>
      </c>
      <c r="AJ173">
        <v>9.4</v>
      </c>
      <c r="AK173">
        <v>8.9</v>
      </c>
    </row>
    <row r="174" spans="1:37" x14ac:dyDescent="0.25">
      <c r="A174">
        <v>172</v>
      </c>
      <c r="B174">
        <v>16.899999999999999</v>
      </c>
      <c r="C174">
        <v>19.7</v>
      </c>
      <c r="D174" s="3">
        <v>17200</v>
      </c>
      <c r="E174" s="3">
        <v>288274</v>
      </c>
      <c r="F174">
        <v>19.7</v>
      </c>
      <c r="G174">
        <v>1.1000000000000001</v>
      </c>
      <c r="H174">
        <v>1.5</v>
      </c>
      <c r="I174">
        <v>9.3000000000000007</v>
      </c>
      <c r="J174">
        <v>9</v>
      </c>
      <c r="K174" s="3">
        <v>16480</v>
      </c>
      <c r="L174">
        <v>16.899999999999999</v>
      </c>
      <c r="O174">
        <v>172</v>
      </c>
      <c r="P174">
        <v>18.5</v>
      </c>
      <c r="Q174">
        <v>19.600000000000001</v>
      </c>
      <c r="R174" s="3">
        <v>27558</v>
      </c>
      <c r="S174" s="3">
        <v>244379</v>
      </c>
      <c r="T174">
        <v>19.600000000000001</v>
      </c>
      <c r="U174">
        <v>1.1000000000000001</v>
      </c>
      <c r="V174">
        <v>1.6</v>
      </c>
      <c r="W174">
        <v>9.4</v>
      </c>
      <c r="X174">
        <v>8.6</v>
      </c>
      <c r="Y174" s="3">
        <v>21542</v>
      </c>
      <c r="Z174">
        <v>18.5</v>
      </c>
      <c r="AB174">
        <f t="shared" si="8"/>
        <v>172</v>
      </c>
      <c r="AC174">
        <f t="shared" si="9"/>
        <v>17.88513785245096</v>
      </c>
      <c r="AD174">
        <f t="shared" si="10"/>
        <v>19.638428884221817</v>
      </c>
      <c r="AE174">
        <f t="shared" si="11"/>
        <v>1.753291031770857</v>
      </c>
      <c r="AG174">
        <v>172</v>
      </c>
      <c r="AH174">
        <v>1.1000000000000001</v>
      </c>
      <c r="AI174">
        <v>1.6</v>
      </c>
      <c r="AJ174">
        <v>9.4</v>
      </c>
      <c r="AK174">
        <v>8.6</v>
      </c>
    </row>
    <row r="175" spans="1:37" x14ac:dyDescent="0.25">
      <c r="A175">
        <v>173</v>
      </c>
      <c r="B175">
        <v>17.2</v>
      </c>
      <c r="C175">
        <v>19.5</v>
      </c>
      <c r="D175" s="3">
        <v>16616</v>
      </c>
      <c r="E175" s="3">
        <v>279617</v>
      </c>
      <c r="F175">
        <v>19.5</v>
      </c>
      <c r="G175">
        <v>1.1000000000000001</v>
      </c>
      <c r="H175">
        <v>1.6</v>
      </c>
      <c r="I175">
        <v>9.4</v>
      </c>
      <c r="J175">
        <v>8.6</v>
      </c>
      <c r="K175" s="3">
        <v>15946</v>
      </c>
      <c r="L175">
        <v>17.2</v>
      </c>
      <c r="O175">
        <v>173</v>
      </c>
      <c r="P175">
        <v>18.7</v>
      </c>
      <c r="Q175">
        <v>19.399999999999999</v>
      </c>
      <c r="R175" s="3">
        <v>26755</v>
      </c>
      <c r="S175" s="3">
        <v>270758</v>
      </c>
      <c r="T175">
        <v>19.399999999999999</v>
      </c>
      <c r="U175">
        <v>1.1000000000000001</v>
      </c>
      <c r="V175">
        <v>1.6</v>
      </c>
      <c r="W175">
        <v>9.5</v>
      </c>
      <c r="X175">
        <v>8.4</v>
      </c>
      <c r="Y175" s="3">
        <v>20751</v>
      </c>
      <c r="Z175">
        <v>18.7</v>
      </c>
      <c r="AB175">
        <f t="shared" si="8"/>
        <v>173</v>
      </c>
      <c r="AC175">
        <f t="shared" si="9"/>
        <v>18.125330289824998</v>
      </c>
      <c r="AD175">
        <f t="shared" si="10"/>
        <v>19.438311314011667</v>
      </c>
      <c r="AE175">
        <f t="shared" si="11"/>
        <v>1.3129810241866693</v>
      </c>
      <c r="AG175">
        <v>173</v>
      </c>
      <c r="AH175">
        <v>1.1000000000000001</v>
      </c>
      <c r="AI175">
        <v>1.6</v>
      </c>
      <c r="AJ175">
        <v>9.5</v>
      </c>
      <c r="AK175">
        <v>8.4</v>
      </c>
    </row>
    <row r="176" spans="1:37" x14ac:dyDescent="0.25">
      <c r="A176">
        <v>174</v>
      </c>
      <c r="B176">
        <v>17.600000000000001</v>
      </c>
      <c r="C176">
        <v>19.3</v>
      </c>
      <c r="D176" s="3">
        <v>16084</v>
      </c>
      <c r="E176" s="3">
        <v>273386</v>
      </c>
      <c r="F176">
        <v>19.3</v>
      </c>
      <c r="G176">
        <v>1.1000000000000001</v>
      </c>
      <c r="H176">
        <v>1.6</v>
      </c>
      <c r="I176">
        <v>9.5</v>
      </c>
      <c r="J176">
        <v>8.3000000000000007</v>
      </c>
      <c r="K176" s="3">
        <v>15455</v>
      </c>
      <c r="L176">
        <v>17.600000000000001</v>
      </c>
      <c r="O176">
        <v>174</v>
      </c>
      <c r="P176">
        <v>18.600000000000001</v>
      </c>
      <c r="Q176">
        <v>19.3</v>
      </c>
      <c r="R176" s="3">
        <v>26059</v>
      </c>
      <c r="S176" s="3">
        <v>242286</v>
      </c>
      <c r="T176">
        <v>19.3</v>
      </c>
      <c r="U176">
        <v>1.1000000000000001</v>
      </c>
      <c r="V176">
        <v>1.7</v>
      </c>
      <c r="W176">
        <v>9.5</v>
      </c>
      <c r="X176">
        <v>8.1999999999999993</v>
      </c>
      <c r="Y176" s="3">
        <v>20182</v>
      </c>
      <c r="Z176">
        <v>18.600000000000001</v>
      </c>
      <c r="AB176">
        <f t="shared" si="8"/>
        <v>174</v>
      </c>
      <c r="AC176">
        <f t="shared" si="9"/>
        <v>18.218347056450657</v>
      </c>
      <c r="AD176">
        <f t="shared" si="10"/>
        <v>19.3</v>
      </c>
      <c r="AE176">
        <f t="shared" si="11"/>
        <v>1.0816529435493436</v>
      </c>
      <c r="AG176">
        <v>174</v>
      </c>
      <c r="AH176">
        <v>1.1000000000000001</v>
      </c>
      <c r="AI176">
        <v>1.7</v>
      </c>
      <c r="AJ176">
        <v>9.5</v>
      </c>
      <c r="AK176">
        <v>8.1999999999999993</v>
      </c>
    </row>
    <row r="177" spans="1:37" x14ac:dyDescent="0.25">
      <c r="A177">
        <v>175</v>
      </c>
      <c r="B177">
        <v>16.8</v>
      </c>
      <c r="C177">
        <v>19.100000000000001</v>
      </c>
      <c r="D177" s="3">
        <v>15673</v>
      </c>
      <c r="E177" s="3">
        <v>269298</v>
      </c>
      <c r="F177">
        <v>19.100000000000001</v>
      </c>
      <c r="G177">
        <v>1.1000000000000001</v>
      </c>
      <c r="H177">
        <v>1.6</v>
      </c>
      <c r="I177">
        <v>9.5</v>
      </c>
      <c r="J177">
        <v>8</v>
      </c>
      <c r="K177" s="3">
        <v>15009</v>
      </c>
      <c r="L177">
        <v>16.8</v>
      </c>
      <c r="O177">
        <v>175</v>
      </c>
      <c r="P177">
        <v>18.7</v>
      </c>
      <c r="Q177">
        <v>19.100000000000001</v>
      </c>
      <c r="R177" s="3">
        <v>25388</v>
      </c>
      <c r="S177" s="3">
        <v>251658</v>
      </c>
      <c r="T177">
        <v>19.100000000000001</v>
      </c>
      <c r="U177">
        <v>1.1000000000000001</v>
      </c>
      <c r="V177">
        <v>1.7</v>
      </c>
      <c r="W177">
        <v>9.6</v>
      </c>
      <c r="X177">
        <v>8</v>
      </c>
      <c r="Y177" s="3">
        <v>19605</v>
      </c>
      <c r="Z177">
        <v>18.7</v>
      </c>
      <c r="AB177">
        <f t="shared" si="8"/>
        <v>175</v>
      </c>
      <c r="AC177">
        <f t="shared" si="9"/>
        <v>17.974769245756313</v>
      </c>
      <c r="AD177">
        <f t="shared" si="10"/>
        <v>19.100000000000001</v>
      </c>
      <c r="AE177">
        <f t="shared" si="11"/>
        <v>1.1252307542436881</v>
      </c>
      <c r="AG177">
        <v>175</v>
      </c>
      <c r="AH177">
        <v>1.1000000000000001</v>
      </c>
      <c r="AI177">
        <v>1.7</v>
      </c>
      <c r="AJ177">
        <v>9.6</v>
      </c>
      <c r="AK177">
        <v>8</v>
      </c>
    </row>
    <row r="178" spans="1:37" x14ac:dyDescent="0.25">
      <c r="A178">
        <v>176</v>
      </c>
      <c r="B178">
        <v>16.3</v>
      </c>
      <c r="C178">
        <v>18.8</v>
      </c>
      <c r="D178" s="3">
        <v>15182</v>
      </c>
      <c r="E178" s="3">
        <v>261111</v>
      </c>
      <c r="F178">
        <v>18.8</v>
      </c>
      <c r="G178">
        <v>1.1000000000000001</v>
      </c>
      <c r="H178">
        <v>1.6</v>
      </c>
      <c r="I178">
        <v>9.5</v>
      </c>
      <c r="J178">
        <v>7.7</v>
      </c>
      <c r="K178" s="3">
        <v>14590</v>
      </c>
      <c r="L178">
        <v>16.3</v>
      </c>
      <c r="O178">
        <v>176</v>
      </c>
      <c r="P178">
        <v>18.600000000000001</v>
      </c>
      <c r="Q178">
        <v>18.8</v>
      </c>
      <c r="R178" s="3">
        <v>24648</v>
      </c>
      <c r="S178" s="3">
        <v>235951</v>
      </c>
      <c r="T178">
        <v>18.8</v>
      </c>
      <c r="U178">
        <v>1.1000000000000001</v>
      </c>
      <c r="V178">
        <v>1.7</v>
      </c>
      <c r="W178">
        <v>9.6</v>
      </c>
      <c r="X178">
        <v>7.6</v>
      </c>
      <c r="Y178" s="3">
        <v>18938</v>
      </c>
      <c r="Z178">
        <v>18.600000000000001</v>
      </c>
      <c r="AB178">
        <f t="shared" si="8"/>
        <v>176</v>
      </c>
      <c r="AC178">
        <f t="shared" si="9"/>
        <v>17.723309063519959</v>
      </c>
      <c r="AD178">
        <f t="shared" si="10"/>
        <v>18.8</v>
      </c>
      <c r="AE178">
        <f t="shared" si="11"/>
        <v>1.0766909364800412</v>
      </c>
      <c r="AG178">
        <v>176</v>
      </c>
      <c r="AH178">
        <v>1.1000000000000001</v>
      </c>
      <c r="AI178">
        <v>1.7</v>
      </c>
      <c r="AJ178">
        <v>9.6</v>
      </c>
      <c r="AK178">
        <v>7.6</v>
      </c>
    </row>
    <row r="179" spans="1:37" x14ac:dyDescent="0.25">
      <c r="A179">
        <v>177</v>
      </c>
      <c r="B179">
        <v>16.2</v>
      </c>
      <c r="C179">
        <v>18.5</v>
      </c>
      <c r="D179" s="3">
        <v>14559</v>
      </c>
      <c r="E179" s="3">
        <v>251265</v>
      </c>
      <c r="F179">
        <v>18.5</v>
      </c>
      <c r="G179">
        <v>1.1000000000000001</v>
      </c>
      <c r="H179">
        <v>1.6</v>
      </c>
      <c r="I179">
        <v>9.5</v>
      </c>
      <c r="J179">
        <v>7.4</v>
      </c>
      <c r="K179" s="3">
        <v>13911</v>
      </c>
      <c r="L179">
        <v>16.2</v>
      </c>
      <c r="O179">
        <v>177</v>
      </c>
      <c r="P179">
        <v>18.7</v>
      </c>
      <c r="Q179">
        <v>18.7</v>
      </c>
      <c r="R179" s="3">
        <v>24126</v>
      </c>
      <c r="S179" s="3">
        <v>230491</v>
      </c>
      <c r="T179">
        <v>18.7</v>
      </c>
      <c r="U179">
        <v>1.1000000000000001</v>
      </c>
      <c r="V179">
        <v>1.7</v>
      </c>
      <c r="W179">
        <v>9.6</v>
      </c>
      <c r="X179">
        <v>7.4</v>
      </c>
      <c r="Y179" s="3">
        <v>18292</v>
      </c>
      <c r="Z179">
        <v>18.7</v>
      </c>
      <c r="AB179">
        <f t="shared" si="8"/>
        <v>177</v>
      </c>
      <c r="AC179">
        <f t="shared" si="9"/>
        <v>17.759131446297015</v>
      </c>
      <c r="AD179">
        <f t="shared" si="10"/>
        <v>18.62473051570376</v>
      </c>
      <c r="AE179">
        <f t="shared" si="11"/>
        <v>0.8655990694067448</v>
      </c>
      <c r="AG179">
        <v>177</v>
      </c>
      <c r="AH179">
        <v>1.1000000000000001</v>
      </c>
      <c r="AI179">
        <v>1.7</v>
      </c>
      <c r="AJ179">
        <v>9.6</v>
      </c>
      <c r="AK179">
        <v>7.4</v>
      </c>
    </row>
    <row r="180" spans="1:37" x14ac:dyDescent="0.25">
      <c r="A180">
        <v>178</v>
      </c>
      <c r="B180">
        <v>16.399999999999999</v>
      </c>
      <c r="C180">
        <v>18.3</v>
      </c>
      <c r="D180" s="3">
        <v>14529</v>
      </c>
      <c r="E180" s="3">
        <v>249109</v>
      </c>
      <c r="F180">
        <v>18.3</v>
      </c>
      <c r="G180">
        <v>1.1000000000000001</v>
      </c>
      <c r="H180">
        <v>1.6</v>
      </c>
      <c r="I180">
        <v>9.5</v>
      </c>
      <c r="J180">
        <v>7.1</v>
      </c>
      <c r="K180" s="3">
        <v>13930</v>
      </c>
      <c r="L180">
        <v>16.399999999999999</v>
      </c>
      <c r="O180">
        <v>178</v>
      </c>
      <c r="P180">
        <v>18.600000000000001</v>
      </c>
      <c r="Q180">
        <v>18.5</v>
      </c>
      <c r="R180" s="3">
        <v>23243</v>
      </c>
      <c r="S180" s="3">
        <v>203092</v>
      </c>
      <c r="T180">
        <v>18.5</v>
      </c>
      <c r="U180">
        <v>1.1000000000000001</v>
      </c>
      <c r="V180">
        <v>1.7</v>
      </c>
      <c r="W180">
        <v>9.6</v>
      </c>
      <c r="X180">
        <v>7.3</v>
      </c>
      <c r="Y180" s="3">
        <v>17708</v>
      </c>
      <c r="Z180">
        <v>18.600000000000001</v>
      </c>
      <c r="AB180">
        <f t="shared" si="8"/>
        <v>178</v>
      </c>
      <c r="AC180">
        <f t="shared" si="9"/>
        <v>17.753769988351159</v>
      </c>
      <c r="AD180">
        <f t="shared" si="10"/>
        <v>18.423069998941013</v>
      </c>
      <c r="AE180">
        <f t="shared" si="11"/>
        <v>0.66930001058985411</v>
      </c>
      <c r="AG180">
        <v>178</v>
      </c>
      <c r="AH180">
        <v>1.1000000000000001</v>
      </c>
      <c r="AI180">
        <v>1.7</v>
      </c>
      <c r="AJ180">
        <v>9.6</v>
      </c>
      <c r="AK180">
        <v>7.3</v>
      </c>
    </row>
    <row r="181" spans="1:37" x14ac:dyDescent="0.25">
      <c r="A181">
        <v>179</v>
      </c>
      <c r="B181">
        <v>15.8</v>
      </c>
      <c r="C181">
        <v>18.3</v>
      </c>
      <c r="D181" s="3">
        <v>13789</v>
      </c>
      <c r="E181" s="3">
        <v>240443</v>
      </c>
      <c r="F181">
        <v>18.3</v>
      </c>
      <c r="G181">
        <v>1.1000000000000001</v>
      </c>
      <c r="H181">
        <v>1.6</v>
      </c>
      <c r="I181">
        <v>9.4</v>
      </c>
      <c r="J181">
        <v>7.3</v>
      </c>
      <c r="K181" s="3">
        <v>13265</v>
      </c>
      <c r="L181">
        <v>15.8</v>
      </c>
      <c r="O181">
        <v>179</v>
      </c>
      <c r="P181">
        <v>18.899999999999999</v>
      </c>
      <c r="Q181">
        <v>18.5</v>
      </c>
      <c r="R181" s="3">
        <v>22744</v>
      </c>
      <c r="S181" s="3">
        <v>184002</v>
      </c>
      <c r="T181">
        <v>18.5</v>
      </c>
      <c r="U181">
        <v>1.1000000000000001</v>
      </c>
      <c r="V181">
        <v>1.7</v>
      </c>
      <c r="W181">
        <v>9.6</v>
      </c>
      <c r="X181">
        <v>7.2</v>
      </c>
      <c r="Y181" s="3">
        <v>17300</v>
      </c>
      <c r="Z181">
        <v>18.899999999999999</v>
      </c>
      <c r="AB181">
        <f t="shared" si="8"/>
        <v>179</v>
      </c>
      <c r="AC181">
        <f t="shared" si="9"/>
        <v>17.729937316946323</v>
      </c>
      <c r="AD181">
        <f t="shared" si="10"/>
        <v>18.424512084964277</v>
      </c>
      <c r="AE181">
        <f t="shared" si="11"/>
        <v>0.69457476801795437</v>
      </c>
      <c r="AG181">
        <v>179</v>
      </c>
      <c r="AH181">
        <v>1.1000000000000001</v>
      </c>
      <c r="AI181">
        <v>1.7</v>
      </c>
      <c r="AJ181">
        <v>9.6</v>
      </c>
      <c r="AK181">
        <v>7.2</v>
      </c>
    </row>
    <row r="182" spans="1:37" x14ac:dyDescent="0.25">
      <c r="A182">
        <v>180</v>
      </c>
      <c r="B182">
        <v>16</v>
      </c>
      <c r="C182">
        <v>18.2</v>
      </c>
      <c r="D182" s="3">
        <v>13809</v>
      </c>
      <c r="E182" s="3">
        <v>246986</v>
      </c>
      <c r="F182">
        <v>18.2</v>
      </c>
      <c r="G182">
        <v>1.1000000000000001</v>
      </c>
      <c r="H182">
        <v>1.6</v>
      </c>
      <c r="I182">
        <v>9.4</v>
      </c>
      <c r="J182">
        <v>7</v>
      </c>
      <c r="K182" s="3">
        <v>13274</v>
      </c>
      <c r="L182">
        <v>16</v>
      </c>
      <c r="O182">
        <v>180</v>
      </c>
      <c r="P182">
        <v>18.5</v>
      </c>
      <c r="Q182">
        <v>18.399999999999999</v>
      </c>
      <c r="R182" s="3">
        <v>22260</v>
      </c>
      <c r="S182" s="3">
        <v>171145</v>
      </c>
      <c r="T182">
        <v>18.399999999999999</v>
      </c>
      <c r="U182">
        <v>1.1000000000000001</v>
      </c>
      <c r="V182">
        <v>1.7</v>
      </c>
      <c r="W182">
        <v>9.5</v>
      </c>
      <c r="X182">
        <v>7.1</v>
      </c>
      <c r="Y182" s="3">
        <v>16900</v>
      </c>
      <c r="Z182">
        <v>18.5</v>
      </c>
      <c r="AB182">
        <f t="shared" si="8"/>
        <v>180</v>
      </c>
      <c r="AC182">
        <f t="shared" si="9"/>
        <v>17.542876154038094</v>
      </c>
      <c r="AD182">
        <f t="shared" si="10"/>
        <v>18.323430092323047</v>
      </c>
      <c r="AE182">
        <f t="shared" si="11"/>
        <v>0.78055393828495312</v>
      </c>
      <c r="AG182">
        <v>180</v>
      </c>
      <c r="AH182">
        <v>1.1000000000000001</v>
      </c>
      <c r="AI182">
        <v>1.7</v>
      </c>
      <c r="AJ182">
        <v>9.5</v>
      </c>
      <c r="AK182">
        <v>7.1</v>
      </c>
    </row>
    <row r="183" spans="1:37" x14ac:dyDescent="0.25">
      <c r="A183">
        <v>181</v>
      </c>
      <c r="B183">
        <v>15.8</v>
      </c>
      <c r="C183">
        <v>18.399999999999999</v>
      </c>
      <c r="D183" s="3">
        <v>13234</v>
      </c>
      <c r="E183" s="3">
        <v>231232</v>
      </c>
      <c r="F183">
        <v>18.399999999999999</v>
      </c>
      <c r="G183">
        <v>1.1000000000000001</v>
      </c>
      <c r="H183">
        <v>1.6</v>
      </c>
      <c r="I183">
        <v>9.4</v>
      </c>
      <c r="J183">
        <v>7.3</v>
      </c>
      <c r="K183" s="3">
        <v>12765</v>
      </c>
      <c r="L183">
        <v>15.8</v>
      </c>
      <c r="O183">
        <v>181</v>
      </c>
      <c r="P183">
        <v>18.600000000000001</v>
      </c>
      <c r="Q183">
        <v>18.600000000000001</v>
      </c>
      <c r="R183" s="3">
        <v>21884</v>
      </c>
      <c r="S183" s="3">
        <v>171315</v>
      </c>
      <c r="T183">
        <v>18.600000000000001</v>
      </c>
      <c r="U183">
        <v>1.1000000000000001</v>
      </c>
      <c r="V183">
        <v>1.7</v>
      </c>
      <c r="W183">
        <v>9.5</v>
      </c>
      <c r="X183">
        <v>7.3</v>
      </c>
      <c r="Y183" s="3">
        <v>16605</v>
      </c>
      <c r="Z183">
        <v>18.600000000000001</v>
      </c>
      <c r="AB183">
        <f t="shared" si="8"/>
        <v>181</v>
      </c>
      <c r="AC183">
        <f t="shared" si="9"/>
        <v>17.54483740531921</v>
      </c>
      <c r="AD183">
        <f t="shared" si="10"/>
        <v>18.524631243237085</v>
      </c>
      <c r="AE183">
        <f t="shared" si="11"/>
        <v>0.97979383791787455</v>
      </c>
      <c r="AG183">
        <v>181</v>
      </c>
      <c r="AH183">
        <v>1.1000000000000001</v>
      </c>
      <c r="AI183">
        <v>1.7</v>
      </c>
      <c r="AJ183">
        <v>9.5</v>
      </c>
      <c r="AK183">
        <v>7.3</v>
      </c>
    </row>
    <row r="184" spans="1:37" x14ac:dyDescent="0.25">
      <c r="A184">
        <v>182</v>
      </c>
      <c r="B184">
        <v>15.6</v>
      </c>
      <c r="C184">
        <v>18.7</v>
      </c>
      <c r="D184" s="3">
        <v>13017</v>
      </c>
      <c r="E184" s="3">
        <v>234890</v>
      </c>
      <c r="F184">
        <v>18.7</v>
      </c>
      <c r="G184">
        <v>1.1000000000000001</v>
      </c>
      <c r="H184">
        <v>1.7</v>
      </c>
      <c r="I184">
        <v>9.4</v>
      </c>
      <c r="J184">
        <v>7.7</v>
      </c>
      <c r="K184" s="3">
        <v>12517</v>
      </c>
      <c r="L184">
        <v>15.6</v>
      </c>
      <c r="O184">
        <v>182</v>
      </c>
      <c r="P184">
        <v>18.3</v>
      </c>
      <c r="Q184">
        <v>18.899999999999999</v>
      </c>
      <c r="R184" s="3">
        <v>21440</v>
      </c>
      <c r="S184" s="3">
        <v>223363</v>
      </c>
      <c r="T184">
        <v>18.899999999999999</v>
      </c>
      <c r="U184">
        <v>1.1000000000000001</v>
      </c>
      <c r="V184">
        <v>1.7</v>
      </c>
      <c r="W184">
        <v>9.5</v>
      </c>
      <c r="X184">
        <v>7.7</v>
      </c>
      <c r="Y184" s="3">
        <v>16180</v>
      </c>
      <c r="Z184">
        <v>18.3</v>
      </c>
      <c r="AB184">
        <f t="shared" si="8"/>
        <v>182</v>
      </c>
      <c r="AC184">
        <f t="shared" si="9"/>
        <v>17.280006965203004</v>
      </c>
      <c r="AD184">
        <f t="shared" si="10"/>
        <v>18.824444960385406</v>
      </c>
      <c r="AE184">
        <f t="shared" si="11"/>
        <v>1.5444379951824025</v>
      </c>
      <c r="AG184">
        <v>182</v>
      </c>
      <c r="AH184">
        <v>1.1000000000000001</v>
      </c>
      <c r="AI184">
        <v>1.7</v>
      </c>
      <c r="AJ184">
        <v>9.5</v>
      </c>
      <c r="AK184">
        <v>7.7</v>
      </c>
    </row>
    <row r="185" spans="1:37" x14ac:dyDescent="0.25">
      <c r="A185">
        <v>183</v>
      </c>
      <c r="B185">
        <v>16</v>
      </c>
      <c r="C185">
        <v>19.2</v>
      </c>
      <c r="D185" s="3">
        <v>12798</v>
      </c>
      <c r="E185" s="3">
        <v>230423</v>
      </c>
      <c r="F185">
        <v>19.2</v>
      </c>
      <c r="G185">
        <v>1.1000000000000001</v>
      </c>
      <c r="H185">
        <v>1.7</v>
      </c>
      <c r="I185">
        <v>9.4</v>
      </c>
      <c r="J185">
        <v>8.1999999999999993</v>
      </c>
      <c r="K185" s="3">
        <v>12305</v>
      </c>
      <c r="L185">
        <v>16</v>
      </c>
      <c r="O185">
        <v>183</v>
      </c>
      <c r="P185">
        <v>18.3</v>
      </c>
      <c r="Q185">
        <v>19.100000000000001</v>
      </c>
      <c r="R185" s="3">
        <v>21042</v>
      </c>
      <c r="S185" s="3">
        <v>159096</v>
      </c>
      <c r="T185">
        <v>19.100000000000001</v>
      </c>
      <c r="U185">
        <v>1.1000000000000001</v>
      </c>
      <c r="V185">
        <v>1.7</v>
      </c>
      <c r="W185">
        <v>9.5</v>
      </c>
      <c r="X185">
        <v>7.9</v>
      </c>
      <c r="Y185" s="3">
        <v>15867</v>
      </c>
      <c r="Z185">
        <v>18.3</v>
      </c>
      <c r="AB185">
        <f t="shared" si="8"/>
        <v>183</v>
      </c>
      <c r="AC185">
        <f t="shared" si="9"/>
        <v>17.430159574468089</v>
      </c>
      <c r="AD185">
        <f t="shared" si="10"/>
        <v>19.13781914893617</v>
      </c>
      <c r="AE185">
        <f t="shared" si="11"/>
        <v>1.7076595744680816</v>
      </c>
      <c r="AG185">
        <v>183</v>
      </c>
      <c r="AH185">
        <v>1.1000000000000001</v>
      </c>
      <c r="AI185">
        <v>1.7</v>
      </c>
      <c r="AJ185">
        <v>9.5</v>
      </c>
      <c r="AK185">
        <v>7.9</v>
      </c>
    </row>
    <row r="186" spans="1:37" x14ac:dyDescent="0.25">
      <c r="A186">
        <v>184</v>
      </c>
      <c r="B186">
        <v>15.8</v>
      </c>
      <c r="C186">
        <v>19.399999999999999</v>
      </c>
      <c r="D186" s="3">
        <v>12463</v>
      </c>
      <c r="E186" s="3">
        <v>225357</v>
      </c>
      <c r="F186">
        <v>19.399999999999999</v>
      </c>
      <c r="G186">
        <v>1.1000000000000001</v>
      </c>
      <c r="H186">
        <v>1.7</v>
      </c>
      <c r="I186">
        <v>9.4</v>
      </c>
      <c r="J186">
        <v>8.4</v>
      </c>
      <c r="K186" s="3">
        <v>12008</v>
      </c>
      <c r="L186">
        <v>15.8</v>
      </c>
      <c r="O186">
        <v>184</v>
      </c>
      <c r="P186">
        <v>19</v>
      </c>
      <c r="Q186">
        <v>19.3</v>
      </c>
      <c r="R186" s="3">
        <v>20763</v>
      </c>
      <c r="S186" s="3">
        <v>169535</v>
      </c>
      <c r="T186">
        <v>19.3</v>
      </c>
      <c r="U186">
        <v>1.1000000000000001</v>
      </c>
      <c r="V186">
        <v>1.8</v>
      </c>
      <c r="W186">
        <v>9.5</v>
      </c>
      <c r="X186">
        <v>8.1999999999999993</v>
      </c>
      <c r="Y186" s="3">
        <v>15525</v>
      </c>
      <c r="Z186">
        <v>19</v>
      </c>
      <c r="AB186">
        <f t="shared" si="8"/>
        <v>184</v>
      </c>
      <c r="AC186">
        <f t="shared" si="9"/>
        <v>17.799686992114609</v>
      </c>
      <c r="AD186">
        <f t="shared" si="10"/>
        <v>19.337509781496419</v>
      </c>
      <c r="AE186">
        <f t="shared" si="11"/>
        <v>1.5378227893818099</v>
      </c>
      <c r="AG186">
        <v>184</v>
      </c>
      <c r="AH186">
        <v>1.1000000000000001</v>
      </c>
      <c r="AI186">
        <v>1.8</v>
      </c>
      <c r="AJ186">
        <v>9.5</v>
      </c>
      <c r="AK186">
        <v>8.1999999999999993</v>
      </c>
    </row>
    <row r="187" spans="1:37" x14ac:dyDescent="0.25">
      <c r="A187">
        <v>185</v>
      </c>
      <c r="B187">
        <v>16.2</v>
      </c>
      <c r="C187">
        <v>19.600000000000001</v>
      </c>
      <c r="D187" s="3">
        <v>12001</v>
      </c>
      <c r="E187" s="3">
        <v>218352</v>
      </c>
      <c r="F187">
        <v>19.600000000000001</v>
      </c>
      <c r="G187">
        <v>1.1000000000000001</v>
      </c>
      <c r="H187">
        <v>1.7</v>
      </c>
      <c r="I187">
        <v>9.4</v>
      </c>
      <c r="J187">
        <v>8.6</v>
      </c>
      <c r="K187" s="3">
        <v>11583</v>
      </c>
      <c r="L187">
        <v>16.2</v>
      </c>
      <c r="O187">
        <v>185</v>
      </c>
      <c r="P187">
        <v>18.2</v>
      </c>
      <c r="Q187">
        <v>19.600000000000001</v>
      </c>
      <c r="R187" s="3">
        <v>20381</v>
      </c>
      <c r="S187" s="3">
        <v>163971</v>
      </c>
      <c r="T187">
        <v>19.600000000000001</v>
      </c>
      <c r="U187">
        <v>1.1000000000000001</v>
      </c>
      <c r="V187">
        <v>1.7</v>
      </c>
      <c r="W187">
        <v>9.5</v>
      </c>
      <c r="X187">
        <v>8.5</v>
      </c>
      <c r="Y187" s="3">
        <v>15188</v>
      </c>
      <c r="Z187">
        <v>18.2</v>
      </c>
      <c r="AB187">
        <f t="shared" si="8"/>
        <v>185</v>
      </c>
      <c r="AC187">
        <f t="shared" si="9"/>
        <v>17.45878574516707</v>
      </c>
      <c r="AD187">
        <f t="shared" si="10"/>
        <v>19.600000000000001</v>
      </c>
      <c r="AE187">
        <f t="shared" si="11"/>
        <v>2.1412142548329314</v>
      </c>
      <c r="AG187">
        <v>185</v>
      </c>
      <c r="AH187">
        <v>1.1000000000000001</v>
      </c>
      <c r="AI187">
        <v>1.7</v>
      </c>
      <c r="AJ187">
        <v>9.5</v>
      </c>
      <c r="AK187">
        <v>8.5</v>
      </c>
    </row>
    <row r="188" spans="1:37" x14ac:dyDescent="0.25">
      <c r="A188">
        <v>186</v>
      </c>
      <c r="B188">
        <v>16.600000000000001</v>
      </c>
      <c r="C188">
        <v>19.899999999999999</v>
      </c>
      <c r="D188" s="3">
        <v>11932</v>
      </c>
      <c r="E188" s="3">
        <v>212801</v>
      </c>
      <c r="F188">
        <v>19.899999999999999</v>
      </c>
      <c r="G188">
        <v>1.2</v>
      </c>
      <c r="H188">
        <v>1.7</v>
      </c>
      <c r="I188">
        <v>9.6</v>
      </c>
      <c r="J188">
        <v>8.6999999999999993</v>
      </c>
      <c r="K188" s="3">
        <v>11512</v>
      </c>
      <c r="L188">
        <v>16.600000000000001</v>
      </c>
      <c r="O188">
        <v>186</v>
      </c>
      <c r="P188">
        <v>18.600000000000001</v>
      </c>
      <c r="Q188">
        <v>19.8</v>
      </c>
      <c r="R188" s="3">
        <v>20003</v>
      </c>
      <c r="S188" s="3">
        <v>151919</v>
      </c>
      <c r="T188">
        <v>19.8</v>
      </c>
      <c r="U188">
        <v>1.1000000000000001</v>
      </c>
      <c r="V188">
        <v>1.8</v>
      </c>
      <c r="W188">
        <v>9.5</v>
      </c>
      <c r="X188">
        <v>8.6</v>
      </c>
      <c r="Y188" s="3">
        <v>14922</v>
      </c>
      <c r="Z188">
        <v>18.600000000000001</v>
      </c>
      <c r="AB188">
        <f t="shared" si="8"/>
        <v>186</v>
      </c>
      <c r="AC188">
        <f t="shared" si="9"/>
        <v>17.852732112102707</v>
      </c>
      <c r="AD188">
        <f t="shared" si="10"/>
        <v>19.837363394394863</v>
      </c>
      <c r="AE188">
        <f t="shared" si="11"/>
        <v>1.9846312822921561</v>
      </c>
      <c r="AG188">
        <v>186</v>
      </c>
      <c r="AH188">
        <v>1.1000000000000001</v>
      </c>
      <c r="AI188">
        <v>1.8</v>
      </c>
      <c r="AJ188">
        <v>9.5</v>
      </c>
      <c r="AK188">
        <v>8.6</v>
      </c>
    </row>
    <row r="189" spans="1:37" x14ac:dyDescent="0.25">
      <c r="A189">
        <v>187</v>
      </c>
      <c r="B189">
        <v>15.8</v>
      </c>
      <c r="C189">
        <v>20</v>
      </c>
      <c r="D189" s="3">
        <v>11756</v>
      </c>
      <c r="E189" s="3">
        <v>218358</v>
      </c>
      <c r="F189">
        <v>20</v>
      </c>
      <c r="G189">
        <v>1.2</v>
      </c>
      <c r="H189">
        <v>1.7</v>
      </c>
      <c r="I189">
        <v>9.6</v>
      </c>
      <c r="J189">
        <v>8.8000000000000007</v>
      </c>
      <c r="K189" s="3">
        <v>11303</v>
      </c>
      <c r="L189">
        <v>15.8</v>
      </c>
      <c r="O189">
        <v>187</v>
      </c>
      <c r="P189">
        <v>18.5</v>
      </c>
      <c r="Q189">
        <v>19.899999999999999</v>
      </c>
      <c r="R189" s="3">
        <v>19695</v>
      </c>
      <c r="S189" s="3">
        <v>197438</v>
      </c>
      <c r="T189">
        <v>19.899999999999999</v>
      </c>
      <c r="U189">
        <v>1.1000000000000001</v>
      </c>
      <c r="V189">
        <v>1.8</v>
      </c>
      <c r="W189">
        <v>9.6</v>
      </c>
      <c r="X189">
        <v>8.6</v>
      </c>
      <c r="Y189" s="3">
        <v>14563</v>
      </c>
      <c r="Z189">
        <v>18.5</v>
      </c>
      <c r="AB189">
        <f t="shared" si="8"/>
        <v>187</v>
      </c>
      <c r="AC189">
        <f t="shared" si="9"/>
        <v>17.490772948395918</v>
      </c>
      <c r="AD189">
        <f t="shared" si="10"/>
        <v>19.937378779689041</v>
      </c>
      <c r="AE189">
        <f t="shared" si="11"/>
        <v>2.4466058312931231</v>
      </c>
      <c r="AG189">
        <v>187</v>
      </c>
      <c r="AH189">
        <v>1.1000000000000001</v>
      </c>
      <c r="AI189">
        <v>1.8</v>
      </c>
      <c r="AJ189">
        <v>9.6</v>
      </c>
      <c r="AK189">
        <v>8.6</v>
      </c>
    </row>
    <row r="190" spans="1:37" x14ac:dyDescent="0.25">
      <c r="A190">
        <v>188</v>
      </c>
      <c r="B190">
        <v>15.9</v>
      </c>
      <c r="C190">
        <v>19.899999999999999</v>
      </c>
      <c r="D190" s="3">
        <v>11531</v>
      </c>
      <c r="E190" s="3">
        <v>213227</v>
      </c>
      <c r="F190">
        <v>19.899999999999999</v>
      </c>
      <c r="G190">
        <v>1.2</v>
      </c>
      <c r="H190">
        <v>1.7</v>
      </c>
      <c r="I190">
        <v>9.6</v>
      </c>
      <c r="J190">
        <v>8.6</v>
      </c>
      <c r="K190" s="3">
        <v>11126</v>
      </c>
      <c r="L190">
        <v>15.9</v>
      </c>
      <c r="O190">
        <v>188</v>
      </c>
      <c r="P190">
        <v>18.5</v>
      </c>
      <c r="Q190">
        <v>19.899999999999999</v>
      </c>
      <c r="R190" s="3">
        <v>19345</v>
      </c>
      <c r="S190" s="3">
        <v>134969</v>
      </c>
      <c r="T190">
        <v>19.899999999999999</v>
      </c>
      <c r="U190">
        <v>1.1000000000000001</v>
      </c>
      <c r="V190">
        <v>1.8</v>
      </c>
      <c r="W190">
        <v>9.6</v>
      </c>
      <c r="X190">
        <v>8.6</v>
      </c>
      <c r="Y190" s="3">
        <v>14262</v>
      </c>
      <c r="Z190">
        <v>18.5</v>
      </c>
      <c r="AB190">
        <f t="shared" si="8"/>
        <v>188</v>
      </c>
      <c r="AC190">
        <f t="shared" si="9"/>
        <v>17.528999870449542</v>
      </c>
      <c r="AD190">
        <f t="shared" si="10"/>
        <v>19.900000000000002</v>
      </c>
      <c r="AE190">
        <f t="shared" si="11"/>
        <v>2.3710001295504597</v>
      </c>
      <c r="AG190">
        <v>188</v>
      </c>
      <c r="AH190">
        <v>1.1000000000000001</v>
      </c>
      <c r="AI190">
        <v>1.8</v>
      </c>
      <c r="AJ190">
        <v>9.6</v>
      </c>
      <c r="AK190">
        <v>8.6</v>
      </c>
    </row>
    <row r="191" spans="1:37" x14ac:dyDescent="0.25">
      <c r="A191">
        <v>189</v>
      </c>
      <c r="B191">
        <v>15.8</v>
      </c>
      <c r="C191">
        <v>19.7</v>
      </c>
      <c r="D191" s="3">
        <v>11360</v>
      </c>
      <c r="E191" s="3">
        <v>213881</v>
      </c>
      <c r="F191">
        <v>19.7</v>
      </c>
      <c r="G191">
        <v>1.2</v>
      </c>
      <c r="H191">
        <v>1.8</v>
      </c>
      <c r="I191">
        <v>9.6</v>
      </c>
      <c r="J191">
        <v>8.4</v>
      </c>
      <c r="K191" s="3">
        <v>10919</v>
      </c>
      <c r="L191">
        <v>15.8</v>
      </c>
      <c r="O191">
        <v>189</v>
      </c>
      <c r="P191">
        <v>18.2</v>
      </c>
      <c r="Q191">
        <v>19.899999999999999</v>
      </c>
      <c r="R191" s="3">
        <v>19075</v>
      </c>
      <c r="S191" s="3">
        <v>167963</v>
      </c>
      <c r="T191">
        <v>19.899999999999999</v>
      </c>
      <c r="U191">
        <v>1.1000000000000001</v>
      </c>
      <c r="V191">
        <v>1.8</v>
      </c>
      <c r="W191">
        <v>9.6</v>
      </c>
      <c r="X191">
        <v>8.6</v>
      </c>
      <c r="Y191" s="3">
        <v>13977</v>
      </c>
      <c r="Z191">
        <v>18.2</v>
      </c>
      <c r="AB191">
        <f t="shared" si="8"/>
        <v>189</v>
      </c>
      <c r="AC191">
        <f t="shared" si="9"/>
        <v>17.30418925579103</v>
      </c>
      <c r="AD191">
        <f t="shared" si="10"/>
        <v>19.825349104649252</v>
      </c>
      <c r="AE191">
        <f t="shared" si="11"/>
        <v>2.5211598488582219</v>
      </c>
      <c r="AG191">
        <v>189</v>
      </c>
      <c r="AH191">
        <v>1.1000000000000001</v>
      </c>
      <c r="AI191">
        <v>1.8</v>
      </c>
      <c r="AJ191">
        <v>9.6</v>
      </c>
      <c r="AK191">
        <v>8.6</v>
      </c>
    </row>
    <row r="192" spans="1:37" x14ac:dyDescent="0.25">
      <c r="A192">
        <v>190</v>
      </c>
      <c r="B192">
        <v>15.6</v>
      </c>
      <c r="C192">
        <v>19.7</v>
      </c>
      <c r="D192" s="3">
        <v>11064</v>
      </c>
      <c r="E192" s="3">
        <v>213600</v>
      </c>
      <c r="F192">
        <v>19.7</v>
      </c>
      <c r="G192">
        <v>1.2</v>
      </c>
      <c r="H192">
        <v>1.8</v>
      </c>
      <c r="I192">
        <v>9.6</v>
      </c>
      <c r="J192">
        <v>8.4</v>
      </c>
      <c r="K192" s="3">
        <v>10643</v>
      </c>
      <c r="L192">
        <v>15.6</v>
      </c>
      <c r="O192">
        <v>190</v>
      </c>
      <c r="P192">
        <v>18.399999999999999</v>
      </c>
      <c r="Q192">
        <v>19.899999999999999</v>
      </c>
      <c r="R192" s="3">
        <v>18763</v>
      </c>
      <c r="S192" s="3">
        <v>185868</v>
      </c>
      <c r="T192">
        <v>19.899999999999999</v>
      </c>
      <c r="U192">
        <v>1.1000000000000001</v>
      </c>
      <c r="V192">
        <v>1.8</v>
      </c>
      <c r="W192">
        <v>9.6</v>
      </c>
      <c r="X192">
        <v>8.6</v>
      </c>
      <c r="Y192" s="3">
        <v>13651</v>
      </c>
      <c r="Z192">
        <v>18.399999999999999</v>
      </c>
      <c r="AB192">
        <f t="shared" si="8"/>
        <v>190</v>
      </c>
      <c r="AC192">
        <f t="shared" si="9"/>
        <v>17.361370570288663</v>
      </c>
      <c r="AD192">
        <f t="shared" si="10"/>
        <v>19.825812183592049</v>
      </c>
      <c r="AE192">
        <f t="shared" si="11"/>
        <v>2.4644416133033857</v>
      </c>
      <c r="AG192">
        <v>190</v>
      </c>
      <c r="AH192">
        <v>1.1000000000000001</v>
      </c>
      <c r="AI192">
        <v>1.8</v>
      </c>
      <c r="AJ192">
        <v>9.6</v>
      </c>
      <c r="AK192">
        <v>8.6</v>
      </c>
    </row>
    <row r="193" spans="1:37" x14ac:dyDescent="0.25">
      <c r="A193">
        <v>191</v>
      </c>
      <c r="B193">
        <v>15.5</v>
      </c>
      <c r="C193">
        <v>19.7</v>
      </c>
      <c r="D193" s="3">
        <v>10806</v>
      </c>
      <c r="E193" s="3">
        <v>204334</v>
      </c>
      <c r="F193">
        <v>19.7</v>
      </c>
      <c r="G193">
        <v>1.2</v>
      </c>
      <c r="H193">
        <v>1.8</v>
      </c>
      <c r="I193">
        <v>9.5</v>
      </c>
      <c r="J193">
        <v>8.5</v>
      </c>
      <c r="K193" s="3">
        <v>10423</v>
      </c>
      <c r="L193">
        <v>15.5</v>
      </c>
      <c r="O193">
        <v>191</v>
      </c>
      <c r="P193">
        <v>17.899999999999999</v>
      </c>
      <c r="Q193">
        <v>19.899999999999999</v>
      </c>
      <c r="R193" s="3">
        <v>18485</v>
      </c>
      <c r="S193" s="3">
        <v>185219</v>
      </c>
      <c r="T193">
        <v>19.899999999999999</v>
      </c>
      <c r="U193">
        <v>1.2</v>
      </c>
      <c r="V193">
        <v>1.8</v>
      </c>
      <c r="W193">
        <v>9.6</v>
      </c>
      <c r="X193">
        <v>8.6</v>
      </c>
      <c r="Y193" s="3">
        <v>13362</v>
      </c>
      <c r="Z193">
        <v>17.899999999999999</v>
      </c>
      <c r="AB193">
        <f t="shared" si="8"/>
        <v>191</v>
      </c>
      <c r="AC193">
        <f t="shared" si="9"/>
        <v>17.014594926769316</v>
      </c>
      <c r="AD193">
        <f t="shared" si="10"/>
        <v>19.826216243897441</v>
      </c>
      <c r="AE193">
        <f t="shared" si="11"/>
        <v>2.8116213171281252</v>
      </c>
      <c r="AG193">
        <v>191</v>
      </c>
      <c r="AH193">
        <v>1.2</v>
      </c>
      <c r="AI193">
        <v>1.8</v>
      </c>
      <c r="AJ193">
        <v>9.6</v>
      </c>
      <c r="AK193">
        <v>8.6</v>
      </c>
    </row>
    <row r="194" spans="1:37" x14ac:dyDescent="0.25">
      <c r="A194">
        <v>192</v>
      </c>
      <c r="B194">
        <v>16</v>
      </c>
      <c r="C194">
        <v>19.8</v>
      </c>
      <c r="D194" s="3">
        <v>10593</v>
      </c>
      <c r="E194" s="3">
        <v>202168</v>
      </c>
      <c r="F194">
        <v>19.8</v>
      </c>
      <c r="G194">
        <v>1.2</v>
      </c>
      <c r="H194">
        <v>1.8</v>
      </c>
      <c r="I194">
        <v>9.4</v>
      </c>
      <c r="J194">
        <v>8.6</v>
      </c>
      <c r="K194" s="3">
        <v>10209</v>
      </c>
      <c r="L194">
        <v>16</v>
      </c>
      <c r="O194">
        <v>192</v>
      </c>
      <c r="P194">
        <v>17.5</v>
      </c>
      <c r="Q194">
        <v>19.899999999999999</v>
      </c>
      <c r="R194" s="3">
        <v>18123</v>
      </c>
      <c r="S194" s="3">
        <v>170725</v>
      </c>
      <c r="T194">
        <v>19.899999999999999</v>
      </c>
      <c r="U194">
        <v>1.2</v>
      </c>
      <c r="V194">
        <v>1.9</v>
      </c>
      <c r="W194">
        <v>9.5</v>
      </c>
      <c r="X194">
        <v>8.6999999999999993</v>
      </c>
      <c r="Y194" s="3">
        <v>13128</v>
      </c>
      <c r="Z194">
        <v>17.5</v>
      </c>
      <c r="AB194">
        <f t="shared" si="8"/>
        <v>192</v>
      </c>
      <c r="AC194">
        <f t="shared" si="9"/>
        <v>16.946667363142499</v>
      </c>
      <c r="AD194">
        <f t="shared" si="10"/>
        <v>19.863111157542832</v>
      </c>
      <c r="AE194">
        <f t="shared" si="11"/>
        <v>2.9164437944003332</v>
      </c>
      <c r="AG194">
        <v>192</v>
      </c>
      <c r="AH194">
        <v>1.2</v>
      </c>
      <c r="AI194">
        <v>1.9</v>
      </c>
      <c r="AJ194">
        <v>9.5</v>
      </c>
      <c r="AK194">
        <v>8.6999999999999993</v>
      </c>
    </row>
    <row r="195" spans="1:37" x14ac:dyDescent="0.25">
      <c r="A195">
        <v>193</v>
      </c>
      <c r="B195">
        <v>15.8</v>
      </c>
      <c r="C195">
        <v>19.899999999999999</v>
      </c>
      <c r="D195" s="3">
        <v>10382</v>
      </c>
      <c r="E195" s="3">
        <v>202550</v>
      </c>
      <c r="F195">
        <v>19.899999999999999</v>
      </c>
      <c r="G195">
        <v>1.2</v>
      </c>
      <c r="H195">
        <v>1.8</v>
      </c>
      <c r="I195">
        <v>9.4</v>
      </c>
      <c r="J195">
        <v>8.6999999999999993</v>
      </c>
      <c r="K195" s="3">
        <v>9818</v>
      </c>
      <c r="L195">
        <v>15.8</v>
      </c>
      <c r="O195">
        <v>193</v>
      </c>
      <c r="P195">
        <v>17.8</v>
      </c>
      <c r="Q195">
        <v>19.899999999999999</v>
      </c>
      <c r="R195" s="3">
        <v>17900</v>
      </c>
      <c r="S195" s="3">
        <v>155739</v>
      </c>
      <c r="T195">
        <v>19.899999999999999</v>
      </c>
      <c r="U195">
        <v>1.2</v>
      </c>
      <c r="V195">
        <v>1.9</v>
      </c>
      <c r="W195">
        <v>9.5</v>
      </c>
      <c r="X195">
        <v>8.6</v>
      </c>
      <c r="Y195" s="3">
        <v>12902</v>
      </c>
      <c r="Z195">
        <v>17.8</v>
      </c>
      <c r="AB195">
        <f t="shared" ref="AB195:AB258" si="12">O195</f>
        <v>193</v>
      </c>
      <c r="AC195">
        <f t="shared" ref="AC195:AC258" si="13">($D195*B195+$R195*P195)/($D195+$R195)</f>
        <v>17.065822784810127</v>
      </c>
      <c r="AD195">
        <f t="shared" ref="AD195:AD258" si="14">($D195*C195+$R195*Q195)/($D195+$R195)</f>
        <v>19.900000000000002</v>
      </c>
      <c r="AE195">
        <f t="shared" ref="AE195:AE258" si="15">AD195-AC195</f>
        <v>2.8341772151898752</v>
      </c>
      <c r="AG195">
        <v>193</v>
      </c>
      <c r="AH195">
        <v>1.2</v>
      </c>
      <c r="AI195">
        <v>1.9</v>
      </c>
      <c r="AJ195">
        <v>9.5</v>
      </c>
      <c r="AK195">
        <v>8.6</v>
      </c>
    </row>
    <row r="196" spans="1:37" x14ac:dyDescent="0.25">
      <c r="A196">
        <v>194</v>
      </c>
      <c r="B196">
        <v>15.8</v>
      </c>
      <c r="C196">
        <v>19.899999999999999</v>
      </c>
      <c r="D196" s="3">
        <v>10081</v>
      </c>
      <c r="E196" s="3">
        <v>201423</v>
      </c>
      <c r="F196">
        <v>19.899999999999999</v>
      </c>
      <c r="G196">
        <v>1.2</v>
      </c>
      <c r="H196">
        <v>1.8</v>
      </c>
      <c r="I196">
        <v>9.4</v>
      </c>
      <c r="J196">
        <v>8.6999999999999993</v>
      </c>
      <c r="K196" s="3">
        <v>9630</v>
      </c>
      <c r="L196">
        <v>15.8</v>
      </c>
      <c r="O196">
        <v>194</v>
      </c>
      <c r="P196">
        <v>18.100000000000001</v>
      </c>
      <c r="Q196">
        <v>19.8</v>
      </c>
      <c r="R196" s="3">
        <v>17563</v>
      </c>
      <c r="S196" s="3">
        <v>121004</v>
      </c>
      <c r="T196">
        <v>19.8</v>
      </c>
      <c r="U196">
        <v>1.2</v>
      </c>
      <c r="V196">
        <v>1.9</v>
      </c>
      <c r="W196">
        <v>9.5</v>
      </c>
      <c r="X196">
        <v>8.6</v>
      </c>
      <c r="Y196" s="3">
        <v>12543</v>
      </c>
      <c r="Z196">
        <v>18.100000000000001</v>
      </c>
      <c r="AB196">
        <f t="shared" si="12"/>
        <v>194</v>
      </c>
      <c r="AC196">
        <f t="shared" si="13"/>
        <v>17.261253798292579</v>
      </c>
      <c r="AD196">
        <f t="shared" si="14"/>
        <v>19.836467226161194</v>
      </c>
      <c r="AE196">
        <f t="shared" si="15"/>
        <v>2.575213427868615</v>
      </c>
      <c r="AG196">
        <v>194</v>
      </c>
      <c r="AH196">
        <v>1.2</v>
      </c>
      <c r="AI196">
        <v>1.9</v>
      </c>
      <c r="AJ196">
        <v>9.5</v>
      </c>
      <c r="AK196">
        <v>8.6</v>
      </c>
    </row>
    <row r="197" spans="1:37" x14ac:dyDescent="0.25">
      <c r="A197">
        <v>195</v>
      </c>
      <c r="B197">
        <v>14.7</v>
      </c>
      <c r="C197">
        <v>19.600000000000001</v>
      </c>
      <c r="D197" s="3">
        <v>9847</v>
      </c>
      <c r="E197" s="3">
        <v>197696</v>
      </c>
      <c r="F197">
        <v>19.600000000000001</v>
      </c>
      <c r="G197">
        <v>1.2</v>
      </c>
      <c r="H197">
        <v>1.8</v>
      </c>
      <c r="I197">
        <v>9.4</v>
      </c>
      <c r="J197">
        <v>8.5</v>
      </c>
      <c r="K197" s="3">
        <v>9378</v>
      </c>
      <c r="L197">
        <v>14.7</v>
      </c>
      <c r="O197">
        <v>195</v>
      </c>
      <c r="P197">
        <v>17.399999999999999</v>
      </c>
      <c r="Q197">
        <v>19.8</v>
      </c>
      <c r="R197" s="3">
        <v>17279</v>
      </c>
      <c r="S197" s="3">
        <v>154492</v>
      </c>
      <c r="T197">
        <v>19.8</v>
      </c>
      <c r="U197">
        <v>1.2</v>
      </c>
      <c r="V197">
        <v>1.9</v>
      </c>
      <c r="W197">
        <v>9.4</v>
      </c>
      <c r="X197">
        <v>8.6</v>
      </c>
      <c r="Y197" s="3">
        <v>12305</v>
      </c>
      <c r="Z197">
        <v>17.399999999999999</v>
      </c>
      <c r="AB197">
        <f t="shared" si="12"/>
        <v>195</v>
      </c>
      <c r="AC197">
        <f t="shared" si="13"/>
        <v>16.419873921698738</v>
      </c>
      <c r="AD197">
        <f t="shared" si="14"/>
        <v>19.727398068273981</v>
      </c>
      <c r="AE197">
        <f t="shared" si="15"/>
        <v>3.3075241465752434</v>
      </c>
      <c r="AG197">
        <v>195</v>
      </c>
      <c r="AH197">
        <v>1.2</v>
      </c>
      <c r="AI197">
        <v>1.9</v>
      </c>
      <c r="AJ197">
        <v>9.4</v>
      </c>
      <c r="AK197">
        <v>8.6</v>
      </c>
    </row>
    <row r="198" spans="1:37" x14ac:dyDescent="0.25">
      <c r="A198">
        <v>196</v>
      </c>
      <c r="B198">
        <v>15</v>
      </c>
      <c r="C198">
        <v>19.7</v>
      </c>
      <c r="D198" s="3">
        <v>9660</v>
      </c>
      <c r="E198" s="3">
        <v>194982</v>
      </c>
      <c r="F198">
        <v>19.7</v>
      </c>
      <c r="G198">
        <v>1.2</v>
      </c>
      <c r="H198">
        <v>1.8</v>
      </c>
      <c r="I198">
        <v>9.3000000000000007</v>
      </c>
      <c r="J198">
        <v>8.5</v>
      </c>
      <c r="K198" s="3">
        <v>9225</v>
      </c>
      <c r="L198">
        <v>15</v>
      </c>
      <c r="O198">
        <v>196</v>
      </c>
      <c r="P198">
        <v>17.899999999999999</v>
      </c>
      <c r="Q198">
        <v>19.899999999999999</v>
      </c>
      <c r="R198" s="3">
        <v>17110</v>
      </c>
      <c r="S198" s="3">
        <v>171216</v>
      </c>
      <c r="T198">
        <v>19.899999999999999</v>
      </c>
      <c r="U198">
        <v>1.2</v>
      </c>
      <c r="V198">
        <v>1.9</v>
      </c>
      <c r="W198">
        <v>9.4</v>
      </c>
      <c r="X198">
        <v>8.6</v>
      </c>
      <c r="Y198" s="3">
        <v>12072</v>
      </c>
      <c r="Z198">
        <v>17.899999999999999</v>
      </c>
      <c r="AB198">
        <f t="shared" si="12"/>
        <v>196</v>
      </c>
      <c r="AC198">
        <f t="shared" si="13"/>
        <v>16.853530070974973</v>
      </c>
      <c r="AD198">
        <f t="shared" si="14"/>
        <v>19.827829660067238</v>
      </c>
      <c r="AE198">
        <f t="shared" si="15"/>
        <v>2.974299589092265</v>
      </c>
      <c r="AG198">
        <v>196</v>
      </c>
      <c r="AH198">
        <v>1.2</v>
      </c>
      <c r="AI198">
        <v>1.9</v>
      </c>
      <c r="AJ198">
        <v>9.4</v>
      </c>
      <c r="AK198">
        <v>8.6</v>
      </c>
    </row>
    <row r="199" spans="1:37" x14ac:dyDescent="0.25">
      <c r="A199">
        <v>197</v>
      </c>
      <c r="B199">
        <v>15.5</v>
      </c>
      <c r="C199">
        <v>19.8</v>
      </c>
      <c r="D199" s="3">
        <v>9509</v>
      </c>
      <c r="E199" s="3">
        <v>195959</v>
      </c>
      <c r="F199">
        <v>19.8</v>
      </c>
      <c r="G199">
        <v>1.2</v>
      </c>
      <c r="H199">
        <v>1.8</v>
      </c>
      <c r="I199">
        <v>9.4</v>
      </c>
      <c r="J199">
        <v>8.5</v>
      </c>
      <c r="K199" s="3">
        <v>9069</v>
      </c>
      <c r="L199">
        <v>15.5</v>
      </c>
      <c r="O199">
        <v>197</v>
      </c>
      <c r="P199">
        <v>18.100000000000001</v>
      </c>
      <c r="Q199">
        <v>19.899999999999999</v>
      </c>
      <c r="R199" s="3">
        <v>16889</v>
      </c>
      <c r="S199" s="3">
        <v>148093</v>
      </c>
      <c r="T199">
        <v>19.899999999999999</v>
      </c>
      <c r="U199">
        <v>1.2</v>
      </c>
      <c r="V199">
        <v>1.9</v>
      </c>
      <c r="W199">
        <v>9.5</v>
      </c>
      <c r="X199">
        <v>8.6</v>
      </c>
      <c r="Y199" s="3">
        <v>11795</v>
      </c>
      <c r="Z199">
        <v>18.100000000000001</v>
      </c>
      <c r="AB199">
        <f t="shared" si="12"/>
        <v>197</v>
      </c>
      <c r="AC199">
        <f t="shared" si="13"/>
        <v>17.163436623986666</v>
      </c>
      <c r="AD199">
        <f t="shared" si="14"/>
        <v>19.863978331691797</v>
      </c>
      <c r="AE199">
        <f t="shared" si="15"/>
        <v>2.7005417077051312</v>
      </c>
      <c r="AG199">
        <v>197</v>
      </c>
      <c r="AH199">
        <v>1.2</v>
      </c>
      <c r="AI199">
        <v>1.9</v>
      </c>
      <c r="AJ199">
        <v>9.5</v>
      </c>
      <c r="AK199">
        <v>8.6</v>
      </c>
    </row>
    <row r="200" spans="1:37" x14ac:dyDescent="0.25">
      <c r="A200">
        <v>198</v>
      </c>
      <c r="B200">
        <v>15.1</v>
      </c>
      <c r="C200">
        <v>19.899999999999999</v>
      </c>
      <c r="D200" s="3">
        <v>9265</v>
      </c>
      <c r="E200" s="3">
        <v>189300</v>
      </c>
      <c r="F200">
        <v>19.899999999999999</v>
      </c>
      <c r="G200">
        <v>1.2</v>
      </c>
      <c r="H200">
        <v>1.8</v>
      </c>
      <c r="I200">
        <v>9.6</v>
      </c>
      <c r="J200">
        <v>8.5</v>
      </c>
      <c r="K200" s="3">
        <v>8787</v>
      </c>
      <c r="L200">
        <v>15.1</v>
      </c>
      <c r="O200">
        <v>198</v>
      </c>
      <c r="P200">
        <v>18</v>
      </c>
      <c r="Q200">
        <v>20</v>
      </c>
      <c r="R200" s="3">
        <v>16603</v>
      </c>
      <c r="S200" s="3">
        <v>147297</v>
      </c>
      <c r="T200">
        <v>20</v>
      </c>
      <c r="U200">
        <v>1.2</v>
      </c>
      <c r="V200">
        <v>2</v>
      </c>
      <c r="W200">
        <v>9.5</v>
      </c>
      <c r="X200">
        <v>8.6</v>
      </c>
      <c r="Y200" s="3">
        <v>11548</v>
      </c>
      <c r="Z200">
        <v>18</v>
      </c>
      <c r="AB200">
        <f t="shared" si="12"/>
        <v>198</v>
      </c>
      <c r="AC200">
        <f t="shared" si="13"/>
        <v>16.961322869955158</v>
      </c>
      <c r="AD200">
        <f t="shared" si="14"/>
        <v>19.964183547239834</v>
      </c>
      <c r="AE200">
        <f t="shared" si="15"/>
        <v>3.0028606772846764</v>
      </c>
      <c r="AG200">
        <v>198</v>
      </c>
      <c r="AH200">
        <v>1.2</v>
      </c>
      <c r="AI200">
        <v>2</v>
      </c>
      <c r="AJ200">
        <v>9.5</v>
      </c>
      <c r="AK200">
        <v>8.6</v>
      </c>
    </row>
    <row r="201" spans="1:37" x14ac:dyDescent="0.25">
      <c r="A201">
        <v>199</v>
      </c>
      <c r="B201">
        <v>14.4</v>
      </c>
      <c r="C201">
        <v>20.100000000000001</v>
      </c>
      <c r="D201" s="3">
        <v>8975</v>
      </c>
      <c r="E201" s="3">
        <v>185177</v>
      </c>
      <c r="F201">
        <v>20.100000000000001</v>
      </c>
      <c r="G201">
        <v>1.2</v>
      </c>
      <c r="H201">
        <v>1.8</v>
      </c>
      <c r="I201">
        <v>9.6999999999999993</v>
      </c>
      <c r="J201">
        <v>8.6999999999999993</v>
      </c>
      <c r="K201" s="3">
        <v>8490</v>
      </c>
      <c r="L201">
        <v>14.4</v>
      </c>
      <c r="O201">
        <v>199</v>
      </c>
      <c r="P201">
        <v>17.2</v>
      </c>
      <c r="Q201">
        <v>20.100000000000001</v>
      </c>
      <c r="R201" s="3">
        <v>16300</v>
      </c>
      <c r="S201" s="3">
        <v>161363</v>
      </c>
      <c r="T201">
        <v>20.100000000000001</v>
      </c>
      <c r="U201">
        <v>1.2</v>
      </c>
      <c r="V201">
        <v>1.9</v>
      </c>
      <c r="W201">
        <v>9.6</v>
      </c>
      <c r="X201">
        <v>8.6999999999999993</v>
      </c>
      <c r="Y201" s="3">
        <v>11175</v>
      </c>
      <c r="Z201">
        <v>17.2</v>
      </c>
      <c r="AB201">
        <f t="shared" si="12"/>
        <v>199</v>
      </c>
      <c r="AC201">
        <f t="shared" si="13"/>
        <v>16.205736894164193</v>
      </c>
      <c r="AD201">
        <f t="shared" si="14"/>
        <v>20.100000000000001</v>
      </c>
      <c r="AE201">
        <f t="shared" si="15"/>
        <v>3.8942631058358081</v>
      </c>
      <c r="AG201">
        <v>199</v>
      </c>
      <c r="AH201">
        <v>1.2</v>
      </c>
      <c r="AI201">
        <v>1.9</v>
      </c>
      <c r="AJ201">
        <v>9.6</v>
      </c>
      <c r="AK201">
        <v>8.6999999999999993</v>
      </c>
    </row>
    <row r="202" spans="1:37" x14ac:dyDescent="0.25">
      <c r="A202">
        <v>200</v>
      </c>
      <c r="B202">
        <v>15.2</v>
      </c>
      <c r="C202">
        <v>20.3</v>
      </c>
      <c r="D202" s="3">
        <v>8780</v>
      </c>
      <c r="E202" s="3">
        <v>180493</v>
      </c>
      <c r="F202">
        <v>20.3</v>
      </c>
      <c r="G202">
        <v>1.2</v>
      </c>
      <c r="H202">
        <v>1.9</v>
      </c>
      <c r="I202">
        <v>9.6999999999999993</v>
      </c>
      <c r="J202">
        <v>8.8000000000000007</v>
      </c>
      <c r="K202" s="3">
        <v>8217</v>
      </c>
      <c r="L202">
        <v>15.2</v>
      </c>
      <c r="O202">
        <v>200</v>
      </c>
      <c r="P202">
        <v>17.399999999999999</v>
      </c>
      <c r="Q202">
        <v>20.2</v>
      </c>
      <c r="R202" s="3">
        <v>15997</v>
      </c>
      <c r="S202" s="3">
        <v>199184</v>
      </c>
      <c r="T202">
        <v>20.2</v>
      </c>
      <c r="U202">
        <v>1.2</v>
      </c>
      <c r="V202">
        <v>2</v>
      </c>
      <c r="W202">
        <v>9.6999999999999993</v>
      </c>
      <c r="X202">
        <v>8.6999999999999993</v>
      </c>
      <c r="Y202" s="3">
        <v>10837</v>
      </c>
      <c r="Z202">
        <v>17.399999999999999</v>
      </c>
      <c r="AB202">
        <f t="shared" si="12"/>
        <v>200</v>
      </c>
      <c r="AC202">
        <f t="shared" si="13"/>
        <v>16.620406021713684</v>
      </c>
      <c r="AD202">
        <f t="shared" si="14"/>
        <v>20.235436089922104</v>
      </c>
      <c r="AE202">
        <f t="shared" si="15"/>
        <v>3.6150300682084193</v>
      </c>
      <c r="AG202">
        <v>200</v>
      </c>
      <c r="AH202">
        <v>1.2</v>
      </c>
      <c r="AI202">
        <v>2</v>
      </c>
      <c r="AJ202">
        <v>9.6999999999999993</v>
      </c>
      <c r="AK202">
        <v>8.6999999999999993</v>
      </c>
    </row>
    <row r="203" spans="1:37" x14ac:dyDescent="0.25">
      <c r="A203">
        <v>201</v>
      </c>
      <c r="B203">
        <v>15.9</v>
      </c>
      <c r="C203">
        <v>20.5</v>
      </c>
      <c r="D203" s="3">
        <v>8647</v>
      </c>
      <c r="E203" s="3">
        <v>185171</v>
      </c>
      <c r="F203">
        <v>20.5</v>
      </c>
      <c r="G203">
        <v>1.2</v>
      </c>
      <c r="H203">
        <v>1.9</v>
      </c>
      <c r="I203">
        <v>9.6999999999999993</v>
      </c>
      <c r="J203">
        <v>9</v>
      </c>
      <c r="K203" s="3">
        <v>8062</v>
      </c>
      <c r="L203">
        <v>15.9</v>
      </c>
      <c r="O203">
        <v>201</v>
      </c>
      <c r="P203">
        <v>17.5</v>
      </c>
      <c r="Q203">
        <v>20.5</v>
      </c>
      <c r="R203" s="3">
        <v>15733</v>
      </c>
      <c r="S203" s="3">
        <v>189830</v>
      </c>
      <c r="T203">
        <v>20.5</v>
      </c>
      <c r="U203">
        <v>1.2</v>
      </c>
      <c r="V203">
        <v>2</v>
      </c>
      <c r="W203">
        <v>9.6999999999999993</v>
      </c>
      <c r="X203">
        <v>8.9</v>
      </c>
      <c r="Y203" s="3">
        <v>10510</v>
      </c>
      <c r="Z203">
        <v>17.5</v>
      </c>
      <c r="AB203">
        <f t="shared" si="12"/>
        <v>201</v>
      </c>
      <c r="AC203">
        <f t="shared" si="13"/>
        <v>16.932518457752259</v>
      </c>
      <c r="AD203">
        <f t="shared" si="14"/>
        <v>20.5</v>
      </c>
      <c r="AE203">
        <f t="shared" si="15"/>
        <v>3.5674815422477408</v>
      </c>
      <c r="AG203">
        <v>201</v>
      </c>
      <c r="AH203">
        <v>1.2</v>
      </c>
      <c r="AI203">
        <v>2</v>
      </c>
      <c r="AJ203">
        <v>9.6999999999999993</v>
      </c>
      <c r="AK203">
        <v>8.9</v>
      </c>
    </row>
    <row r="204" spans="1:37" x14ac:dyDescent="0.25">
      <c r="A204">
        <v>202</v>
      </c>
      <c r="B204">
        <v>15.5</v>
      </c>
      <c r="C204">
        <v>20.6</v>
      </c>
      <c r="D204" s="3">
        <v>8406</v>
      </c>
      <c r="E204" s="3">
        <v>184513</v>
      </c>
      <c r="F204">
        <v>20.6</v>
      </c>
      <c r="G204">
        <v>1.2</v>
      </c>
      <c r="H204">
        <v>1.9</v>
      </c>
      <c r="I204">
        <v>9.6999999999999993</v>
      </c>
      <c r="J204">
        <v>9.1</v>
      </c>
      <c r="K204" s="3">
        <v>7769</v>
      </c>
      <c r="L204">
        <v>15.5</v>
      </c>
      <c r="O204">
        <v>202</v>
      </c>
      <c r="P204">
        <v>17.399999999999999</v>
      </c>
      <c r="Q204">
        <v>20.7</v>
      </c>
      <c r="R204" s="3">
        <v>15483</v>
      </c>
      <c r="S204" s="3">
        <v>191610</v>
      </c>
      <c r="T204">
        <v>20.7</v>
      </c>
      <c r="U204">
        <v>1.2</v>
      </c>
      <c r="V204">
        <v>2</v>
      </c>
      <c r="W204">
        <v>9.6999999999999993</v>
      </c>
      <c r="X204">
        <v>9.1999999999999993</v>
      </c>
      <c r="Y204" s="3">
        <v>10225</v>
      </c>
      <c r="Z204">
        <v>17.399999999999999</v>
      </c>
      <c r="AB204">
        <f t="shared" si="12"/>
        <v>202</v>
      </c>
      <c r="AC204">
        <f t="shared" si="13"/>
        <v>16.731432877056385</v>
      </c>
      <c r="AD204">
        <f t="shared" si="14"/>
        <v>20.664812256687178</v>
      </c>
      <c r="AE204">
        <f t="shared" si="15"/>
        <v>3.933379379630793</v>
      </c>
      <c r="AG204">
        <v>202</v>
      </c>
      <c r="AH204">
        <v>1.2</v>
      </c>
      <c r="AI204">
        <v>2</v>
      </c>
      <c r="AJ204">
        <v>9.6999999999999993</v>
      </c>
      <c r="AK204">
        <v>9.1999999999999993</v>
      </c>
    </row>
    <row r="205" spans="1:37" x14ac:dyDescent="0.25">
      <c r="A205">
        <v>203</v>
      </c>
      <c r="B205">
        <v>16</v>
      </c>
      <c r="C205">
        <v>20.8</v>
      </c>
      <c r="D205" s="3">
        <v>8069</v>
      </c>
      <c r="E205" s="3">
        <v>176124</v>
      </c>
      <c r="F205">
        <v>20.8</v>
      </c>
      <c r="G205">
        <v>1.2</v>
      </c>
      <c r="H205">
        <v>1.9</v>
      </c>
      <c r="I205">
        <v>9.6999999999999993</v>
      </c>
      <c r="J205">
        <v>9.3000000000000007</v>
      </c>
      <c r="K205" s="3">
        <v>7518</v>
      </c>
      <c r="L205">
        <v>16</v>
      </c>
      <c r="O205">
        <v>203</v>
      </c>
      <c r="P205">
        <v>17</v>
      </c>
      <c r="Q205">
        <v>20.7</v>
      </c>
      <c r="R205" s="3">
        <v>15096</v>
      </c>
      <c r="S205" s="3">
        <v>222082</v>
      </c>
      <c r="T205">
        <v>20.7</v>
      </c>
      <c r="U205">
        <v>1.2</v>
      </c>
      <c r="V205">
        <v>2</v>
      </c>
      <c r="W205">
        <v>9.6999999999999993</v>
      </c>
      <c r="X205">
        <v>9.1</v>
      </c>
      <c r="Y205" s="3">
        <v>9824</v>
      </c>
      <c r="Z205">
        <v>17</v>
      </c>
      <c r="AB205">
        <f t="shared" si="12"/>
        <v>203</v>
      </c>
      <c r="AC205">
        <f t="shared" si="13"/>
        <v>16.651672782214547</v>
      </c>
      <c r="AD205">
        <f t="shared" si="14"/>
        <v>20.734832721778545</v>
      </c>
      <c r="AE205">
        <f t="shared" si="15"/>
        <v>4.0831599395639984</v>
      </c>
      <c r="AG205">
        <v>203</v>
      </c>
      <c r="AH205">
        <v>1.2</v>
      </c>
      <c r="AI205">
        <v>2</v>
      </c>
      <c r="AJ205">
        <v>9.6999999999999993</v>
      </c>
      <c r="AK205">
        <v>9.1</v>
      </c>
    </row>
    <row r="206" spans="1:37" x14ac:dyDescent="0.25">
      <c r="A206">
        <v>204</v>
      </c>
      <c r="B206">
        <v>15.1</v>
      </c>
      <c r="C206">
        <v>20.8</v>
      </c>
      <c r="D206" s="3">
        <v>7674</v>
      </c>
      <c r="E206" s="3">
        <v>170508</v>
      </c>
      <c r="F206">
        <v>20.8</v>
      </c>
      <c r="G206">
        <v>1.2</v>
      </c>
      <c r="H206">
        <v>1.9</v>
      </c>
      <c r="I206">
        <v>9.6999999999999993</v>
      </c>
      <c r="J206">
        <v>9.4</v>
      </c>
      <c r="K206" s="3">
        <v>7094</v>
      </c>
      <c r="L206">
        <v>15.1</v>
      </c>
      <c r="O206">
        <v>204</v>
      </c>
      <c r="P206">
        <v>17.600000000000001</v>
      </c>
      <c r="Q206">
        <v>20.6</v>
      </c>
      <c r="R206" s="3">
        <v>14826</v>
      </c>
      <c r="S206" s="3">
        <v>190222</v>
      </c>
      <c r="T206">
        <v>20.6</v>
      </c>
      <c r="U206">
        <v>1.2</v>
      </c>
      <c r="V206">
        <v>2</v>
      </c>
      <c r="W206">
        <v>9.6999999999999993</v>
      </c>
      <c r="X206">
        <v>9.1</v>
      </c>
      <c r="Y206" s="3">
        <v>9482</v>
      </c>
      <c r="Z206">
        <v>17.600000000000001</v>
      </c>
      <c r="AB206">
        <f t="shared" si="12"/>
        <v>204</v>
      </c>
      <c r="AC206">
        <f t="shared" si="13"/>
        <v>16.747333333333334</v>
      </c>
      <c r="AD206">
        <f t="shared" si="14"/>
        <v>20.668213333333334</v>
      </c>
      <c r="AE206">
        <f t="shared" si="15"/>
        <v>3.9208800000000004</v>
      </c>
      <c r="AG206">
        <v>204</v>
      </c>
      <c r="AH206">
        <v>1.2</v>
      </c>
      <c r="AI206">
        <v>2</v>
      </c>
      <c r="AJ206">
        <v>9.6999999999999993</v>
      </c>
      <c r="AK206">
        <v>9.1</v>
      </c>
    </row>
    <row r="207" spans="1:37" x14ac:dyDescent="0.25">
      <c r="A207">
        <v>205</v>
      </c>
      <c r="B207">
        <v>16.100000000000001</v>
      </c>
      <c r="C207">
        <v>20.6</v>
      </c>
      <c r="D207" s="3">
        <v>7421</v>
      </c>
      <c r="E207" s="3">
        <v>171104</v>
      </c>
      <c r="F207">
        <v>20.6</v>
      </c>
      <c r="G207">
        <v>1.2</v>
      </c>
      <c r="H207">
        <v>1.9</v>
      </c>
      <c r="I207">
        <v>9.6999999999999993</v>
      </c>
      <c r="J207">
        <v>9.1</v>
      </c>
      <c r="K207" s="3">
        <v>6808</v>
      </c>
      <c r="L207">
        <v>16.100000000000001</v>
      </c>
      <c r="O207">
        <v>205</v>
      </c>
      <c r="P207">
        <v>16.899999999999999</v>
      </c>
      <c r="Q207">
        <v>20.5</v>
      </c>
      <c r="R207" s="3">
        <v>14494</v>
      </c>
      <c r="S207" s="3">
        <v>226688</v>
      </c>
      <c r="T207">
        <v>20.5</v>
      </c>
      <c r="U207">
        <v>1.2</v>
      </c>
      <c r="V207">
        <v>2</v>
      </c>
      <c r="W207">
        <v>9.6999999999999993</v>
      </c>
      <c r="X207">
        <v>8.9</v>
      </c>
      <c r="Y207" s="3">
        <v>9122</v>
      </c>
      <c r="Z207">
        <v>16.899999999999999</v>
      </c>
      <c r="AB207">
        <f t="shared" si="12"/>
        <v>205</v>
      </c>
      <c r="AC207">
        <f t="shared" si="13"/>
        <v>16.629098790782567</v>
      </c>
      <c r="AD207">
        <f t="shared" si="14"/>
        <v>20.533862651152177</v>
      </c>
      <c r="AE207">
        <f t="shared" si="15"/>
        <v>3.9047638603696093</v>
      </c>
      <c r="AG207">
        <v>205</v>
      </c>
      <c r="AH207">
        <v>1.2</v>
      </c>
      <c r="AI207">
        <v>2</v>
      </c>
      <c r="AJ207">
        <v>9.6999999999999993</v>
      </c>
      <c r="AK207">
        <v>8.9</v>
      </c>
    </row>
    <row r="208" spans="1:37" x14ac:dyDescent="0.25">
      <c r="A208">
        <v>206</v>
      </c>
      <c r="B208">
        <v>15.8</v>
      </c>
      <c r="C208">
        <v>20.100000000000001</v>
      </c>
      <c r="D208" s="3">
        <v>7141</v>
      </c>
      <c r="E208" s="3">
        <v>162478</v>
      </c>
      <c r="F208">
        <v>20.100000000000001</v>
      </c>
      <c r="G208">
        <v>1.2</v>
      </c>
      <c r="H208">
        <v>1.9</v>
      </c>
      <c r="I208">
        <v>9.6</v>
      </c>
      <c r="J208">
        <v>8.6999999999999993</v>
      </c>
      <c r="K208" s="3">
        <v>6470</v>
      </c>
      <c r="L208">
        <v>15.8</v>
      </c>
      <c r="O208">
        <v>206</v>
      </c>
      <c r="P208">
        <v>17</v>
      </c>
      <c r="Q208">
        <v>20.2</v>
      </c>
      <c r="R208" s="3">
        <v>14140</v>
      </c>
      <c r="S208" s="3">
        <v>225044</v>
      </c>
      <c r="T208">
        <v>20.2</v>
      </c>
      <c r="U208">
        <v>1.2</v>
      </c>
      <c r="V208">
        <v>2.1</v>
      </c>
      <c r="W208">
        <v>9.6</v>
      </c>
      <c r="X208">
        <v>8.6</v>
      </c>
      <c r="Y208" s="3">
        <v>8734</v>
      </c>
      <c r="Z208">
        <v>17</v>
      </c>
      <c r="AB208">
        <f t="shared" si="12"/>
        <v>206</v>
      </c>
      <c r="AC208">
        <f t="shared" si="13"/>
        <v>16.597330952492833</v>
      </c>
      <c r="AD208">
        <f t="shared" si="14"/>
        <v>20.166444246041067</v>
      </c>
      <c r="AE208">
        <f t="shared" si="15"/>
        <v>3.5691132935482344</v>
      </c>
      <c r="AG208">
        <v>206</v>
      </c>
      <c r="AH208">
        <v>1.2</v>
      </c>
      <c r="AI208">
        <v>2.1</v>
      </c>
      <c r="AJ208">
        <v>9.6</v>
      </c>
      <c r="AK208">
        <v>8.6</v>
      </c>
    </row>
    <row r="209" spans="1:37" x14ac:dyDescent="0.25">
      <c r="A209">
        <v>207</v>
      </c>
      <c r="B209">
        <v>15.8</v>
      </c>
      <c r="C209">
        <v>19.600000000000001</v>
      </c>
      <c r="D209" s="3">
        <v>6723</v>
      </c>
      <c r="E209" s="3">
        <v>154190</v>
      </c>
      <c r="F209">
        <v>19.600000000000001</v>
      </c>
      <c r="G209">
        <v>1.2</v>
      </c>
      <c r="H209">
        <v>1.9</v>
      </c>
      <c r="I209">
        <v>9.6</v>
      </c>
      <c r="J209">
        <v>8.1999999999999993</v>
      </c>
      <c r="K209" s="3">
        <v>6056</v>
      </c>
      <c r="L209">
        <v>15.8</v>
      </c>
      <c r="O209">
        <v>207</v>
      </c>
      <c r="P209">
        <v>16.600000000000001</v>
      </c>
      <c r="Q209">
        <v>19.8</v>
      </c>
      <c r="R209" s="3">
        <v>13725</v>
      </c>
      <c r="S209" s="3">
        <v>251173</v>
      </c>
      <c r="T209">
        <v>19.8</v>
      </c>
      <c r="U209">
        <v>1.2</v>
      </c>
      <c r="V209">
        <v>2.1</v>
      </c>
      <c r="W209">
        <v>9.6</v>
      </c>
      <c r="X209">
        <v>8.1999999999999993</v>
      </c>
      <c r="Y209" s="3">
        <v>8308</v>
      </c>
      <c r="Z209">
        <v>16.600000000000001</v>
      </c>
      <c r="AB209">
        <f t="shared" si="12"/>
        <v>207</v>
      </c>
      <c r="AC209">
        <f t="shared" si="13"/>
        <v>16.336971830985917</v>
      </c>
      <c r="AD209">
        <f t="shared" si="14"/>
        <v>19.734242957746481</v>
      </c>
      <c r="AE209">
        <f t="shared" si="15"/>
        <v>3.3972711267605646</v>
      </c>
      <c r="AG209">
        <v>207</v>
      </c>
      <c r="AH209">
        <v>1.2</v>
      </c>
      <c r="AI209">
        <v>2.1</v>
      </c>
      <c r="AJ209">
        <v>9.6</v>
      </c>
      <c r="AK209">
        <v>8.1999999999999993</v>
      </c>
    </row>
    <row r="210" spans="1:37" x14ac:dyDescent="0.25">
      <c r="A210">
        <v>208</v>
      </c>
      <c r="B210">
        <v>15.3</v>
      </c>
      <c r="C210">
        <v>19.3</v>
      </c>
      <c r="D210" s="3">
        <v>6450</v>
      </c>
      <c r="E210" s="3">
        <v>152987</v>
      </c>
      <c r="F210">
        <v>19.3</v>
      </c>
      <c r="G210">
        <v>1.2</v>
      </c>
      <c r="H210">
        <v>1.9</v>
      </c>
      <c r="I210">
        <v>9.5</v>
      </c>
      <c r="J210">
        <v>7.8</v>
      </c>
      <c r="K210" s="3">
        <v>5897</v>
      </c>
      <c r="L210">
        <v>15.3</v>
      </c>
      <c r="O210">
        <v>208</v>
      </c>
      <c r="P210">
        <v>16.8</v>
      </c>
      <c r="Q210">
        <v>19.5</v>
      </c>
      <c r="R210" s="3">
        <v>13376</v>
      </c>
      <c r="S210" s="3">
        <v>236304</v>
      </c>
      <c r="T210">
        <v>19.5</v>
      </c>
      <c r="U210">
        <v>1.2</v>
      </c>
      <c r="V210">
        <v>2.1</v>
      </c>
      <c r="W210">
        <v>9.6</v>
      </c>
      <c r="X210">
        <v>7.8</v>
      </c>
      <c r="Y210" s="3">
        <v>8021</v>
      </c>
      <c r="Z210">
        <v>16.8</v>
      </c>
      <c r="AB210">
        <f t="shared" si="12"/>
        <v>208</v>
      </c>
      <c r="AC210">
        <f t="shared" si="13"/>
        <v>16.312004438615961</v>
      </c>
      <c r="AD210">
        <f t="shared" si="14"/>
        <v>19.434933925148794</v>
      </c>
      <c r="AE210">
        <f t="shared" si="15"/>
        <v>3.1229294865328328</v>
      </c>
      <c r="AG210">
        <v>208</v>
      </c>
      <c r="AH210">
        <v>1.2</v>
      </c>
      <c r="AI210">
        <v>2.1</v>
      </c>
      <c r="AJ210">
        <v>9.6</v>
      </c>
      <c r="AK210">
        <v>7.8</v>
      </c>
    </row>
    <row r="211" spans="1:37" x14ac:dyDescent="0.25">
      <c r="A211">
        <v>209</v>
      </c>
      <c r="B211">
        <v>15.6</v>
      </c>
      <c r="C211">
        <v>19.100000000000001</v>
      </c>
      <c r="D211" s="3">
        <v>6141</v>
      </c>
      <c r="E211" s="3">
        <v>145903</v>
      </c>
      <c r="F211">
        <v>19.100000000000001</v>
      </c>
      <c r="G211">
        <v>1.2</v>
      </c>
      <c r="H211">
        <v>1.9</v>
      </c>
      <c r="I211">
        <v>9.6</v>
      </c>
      <c r="J211">
        <v>7.5</v>
      </c>
      <c r="K211" s="3">
        <v>5592</v>
      </c>
      <c r="L211">
        <v>15.6</v>
      </c>
      <c r="O211">
        <v>209</v>
      </c>
      <c r="P211">
        <v>16.600000000000001</v>
      </c>
      <c r="Q211">
        <v>19.399999999999999</v>
      </c>
      <c r="R211" s="3">
        <v>13151</v>
      </c>
      <c r="S211" s="3">
        <v>258708</v>
      </c>
      <c r="T211">
        <v>19.399999999999999</v>
      </c>
      <c r="U211">
        <v>1.2</v>
      </c>
      <c r="V211">
        <v>2.1</v>
      </c>
      <c r="W211">
        <v>9.6</v>
      </c>
      <c r="X211">
        <v>7.7</v>
      </c>
      <c r="Y211" s="3">
        <v>7747</v>
      </c>
      <c r="Z211">
        <v>16.600000000000001</v>
      </c>
      <c r="AB211">
        <f t="shared" si="12"/>
        <v>209</v>
      </c>
      <c r="AC211">
        <f t="shared" si="13"/>
        <v>16.281681526021149</v>
      </c>
      <c r="AD211">
        <f t="shared" si="14"/>
        <v>19.304504457806345</v>
      </c>
      <c r="AE211">
        <f t="shared" si="15"/>
        <v>3.0228229317851962</v>
      </c>
      <c r="AG211">
        <v>209</v>
      </c>
      <c r="AH211">
        <v>1.2</v>
      </c>
      <c r="AI211">
        <v>2.1</v>
      </c>
      <c r="AJ211">
        <v>9.6</v>
      </c>
      <c r="AK211">
        <v>7.7</v>
      </c>
    </row>
    <row r="212" spans="1:37" x14ac:dyDescent="0.25">
      <c r="A212">
        <v>210</v>
      </c>
      <c r="B212">
        <v>15</v>
      </c>
      <c r="C212">
        <v>19.100000000000001</v>
      </c>
      <c r="D212" s="3">
        <v>5948</v>
      </c>
      <c r="E212" s="3">
        <v>143983</v>
      </c>
      <c r="F212">
        <v>19.100000000000001</v>
      </c>
      <c r="G212">
        <v>1.3</v>
      </c>
      <c r="H212">
        <v>1.9</v>
      </c>
      <c r="I212">
        <v>9.6999999999999993</v>
      </c>
      <c r="J212">
        <v>7.3</v>
      </c>
      <c r="K212" s="3">
        <v>5425</v>
      </c>
      <c r="L212">
        <v>15</v>
      </c>
      <c r="O212">
        <v>210</v>
      </c>
      <c r="P212">
        <v>16.7</v>
      </c>
      <c r="Q212">
        <v>19.399999999999999</v>
      </c>
      <c r="R212" s="3">
        <v>12938</v>
      </c>
      <c r="S212" s="3">
        <v>240529</v>
      </c>
      <c r="T212">
        <v>19.399999999999999</v>
      </c>
      <c r="U212">
        <v>1.2</v>
      </c>
      <c r="V212">
        <v>2.1</v>
      </c>
      <c r="W212">
        <v>9.6999999999999993</v>
      </c>
      <c r="X212">
        <v>7.6</v>
      </c>
      <c r="Y212" s="3">
        <v>7532</v>
      </c>
      <c r="Z212">
        <v>16.7</v>
      </c>
      <c r="AB212">
        <f t="shared" si="12"/>
        <v>210</v>
      </c>
      <c r="AC212">
        <f t="shared" si="13"/>
        <v>16.164598115005823</v>
      </c>
      <c r="AD212">
        <f t="shared" si="14"/>
        <v>19.305517314412793</v>
      </c>
      <c r="AE212">
        <f t="shared" si="15"/>
        <v>3.1409191994069694</v>
      </c>
      <c r="AG212">
        <v>210</v>
      </c>
      <c r="AH212">
        <v>1.2</v>
      </c>
      <c r="AI212">
        <v>2.1</v>
      </c>
      <c r="AJ212">
        <v>9.6999999999999993</v>
      </c>
      <c r="AK212">
        <v>7.6</v>
      </c>
    </row>
    <row r="213" spans="1:37" x14ac:dyDescent="0.25">
      <c r="A213">
        <v>211</v>
      </c>
      <c r="B213">
        <v>14.9</v>
      </c>
      <c r="C213">
        <v>19.100000000000001</v>
      </c>
      <c r="D213" s="3">
        <v>5685</v>
      </c>
      <c r="E213" s="3">
        <v>137979</v>
      </c>
      <c r="F213">
        <v>19.100000000000001</v>
      </c>
      <c r="G213">
        <v>1.3</v>
      </c>
      <c r="H213">
        <v>1.9</v>
      </c>
      <c r="I213">
        <v>9.8000000000000007</v>
      </c>
      <c r="J213">
        <v>7.3</v>
      </c>
      <c r="K213" s="3">
        <v>5162</v>
      </c>
      <c r="L213">
        <v>14.9</v>
      </c>
      <c r="O213">
        <v>211</v>
      </c>
      <c r="P213">
        <v>16.2</v>
      </c>
      <c r="Q213">
        <v>19.5</v>
      </c>
      <c r="R213" s="3">
        <v>12658</v>
      </c>
      <c r="S213" s="3">
        <v>267526</v>
      </c>
      <c r="T213">
        <v>19.5</v>
      </c>
      <c r="U213">
        <v>1.2</v>
      </c>
      <c r="V213">
        <v>2.1</v>
      </c>
      <c r="W213">
        <v>9.6999999999999993</v>
      </c>
      <c r="X213">
        <v>7.7</v>
      </c>
      <c r="Y213" s="3">
        <v>7257</v>
      </c>
      <c r="Z213">
        <v>16.2</v>
      </c>
      <c r="AB213">
        <f t="shared" si="12"/>
        <v>211</v>
      </c>
      <c r="AC213">
        <f t="shared" si="13"/>
        <v>15.797094259390501</v>
      </c>
      <c r="AD213">
        <f t="shared" si="14"/>
        <v>19.376029002889386</v>
      </c>
      <c r="AE213">
        <f t="shared" si="15"/>
        <v>3.5789347434988841</v>
      </c>
      <c r="AG213">
        <v>211</v>
      </c>
      <c r="AH213">
        <v>1.2</v>
      </c>
      <c r="AI213">
        <v>2.1</v>
      </c>
      <c r="AJ213">
        <v>9.6999999999999993</v>
      </c>
      <c r="AK213">
        <v>7.7</v>
      </c>
    </row>
    <row r="214" spans="1:37" x14ac:dyDescent="0.25">
      <c r="A214">
        <v>212</v>
      </c>
      <c r="B214">
        <v>14.8</v>
      </c>
      <c r="C214">
        <v>19.2</v>
      </c>
      <c r="D214" s="3">
        <v>5499</v>
      </c>
      <c r="E214" s="3">
        <v>135739</v>
      </c>
      <c r="F214">
        <v>19.2</v>
      </c>
      <c r="G214">
        <v>1.3</v>
      </c>
      <c r="H214">
        <v>1.9</v>
      </c>
      <c r="I214">
        <v>9.8000000000000007</v>
      </c>
      <c r="J214">
        <v>7.4</v>
      </c>
      <c r="K214" s="3">
        <v>4998</v>
      </c>
      <c r="L214">
        <v>14.8</v>
      </c>
      <c r="O214">
        <v>212</v>
      </c>
      <c r="P214">
        <v>16.5</v>
      </c>
      <c r="Q214">
        <v>19.399999999999999</v>
      </c>
      <c r="R214" s="3">
        <v>12392</v>
      </c>
      <c r="S214" s="3">
        <v>266231</v>
      </c>
      <c r="T214">
        <v>19.399999999999999</v>
      </c>
      <c r="U214">
        <v>1.2</v>
      </c>
      <c r="V214">
        <v>2.2000000000000002</v>
      </c>
      <c r="W214">
        <v>9.8000000000000007</v>
      </c>
      <c r="X214">
        <v>7.5</v>
      </c>
      <c r="Y214" s="3">
        <v>7010</v>
      </c>
      <c r="Z214">
        <v>16.5</v>
      </c>
      <c r="AB214">
        <f t="shared" si="12"/>
        <v>212</v>
      </c>
      <c r="AC214">
        <f t="shared" si="13"/>
        <v>15.977485886758705</v>
      </c>
      <c r="AD214">
        <f t="shared" si="14"/>
        <v>19.338527751383374</v>
      </c>
      <c r="AE214">
        <f t="shared" si="15"/>
        <v>3.3610418646246689</v>
      </c>
      <c r="AG214">
        <v>212</v>
      </c>
      <c r="AH214">
        <v>1.2</v>
      </c>
      <c r="AI214">
        <v>2.2000000000000002</v>
      </c>
      <c r="AJ214">
        <v>9.8000000000000007</v>
      </c>
      <c r="AK214">
        <v>7.5</v>
      </c>
    </row>
    <row r="215" spans="1:37" x14ac:dyDescent="0.25">
      <c r="A215">
        <v>213</v>
      </c>
      <c r="B215">
        <v>14.2</v>
      </c>
      <c r="C215">
        <v>19.5</v>
      </c>
      <c r="D215" s="3">
        <v>5280</v>
      </c>
      <c r="E215" s="3">
        <v>131892</v>
      </c>
      <c r="F215">
        <v>19.5</v>
      </c>
      <c r="G215">
        <v>1.3</v>
      </c>
      <c r="H215">
        <v>2</v>
      </c>
      <c r="I215">
        <v>9.8000000000000007</v>
      </c>
      <c r="J215">
        <v>7.6</v>
      </c>
      <c r="K215" s="3">
        <v>4778</v>
      </c>
      <c r="L215">
        <v>14.2</v>
      </c>
      <c r="O215">
        <v>213</v>
      </c>
      <c r="P215">
        <v>16.100000000000001</v>
      </c>
      <c r="Q215">
        <v>19.8</v>
      </c>
      <c r="R215" s="3">
        <v>12149</v>
      </c>
      <c r="S215" s="3">
        <v>268691</v>
      </c>
      <c r="T215">
        <v>19.8</v>
      </c>
      <c r="U215">
        <v>1.2</v>
      </c>
      <c r="V215">
        <v>2.1</v>
      </c>
      <c r="W215">
        <v>9.8000000000000007</v>
      </c>
      <c r="X215">
        <v>7.8</v>
      </c>
      <c r="Y215" s="3">
        <v>6828</v>
      </c>
      <c r="Z215">
        <v>16.100000000000001</v>
      </c>
      <c r="AB215">
        <f t="shared" si="12"/>
        <v>213</v>
      </c>
      <c r="AC215">
        <f t="shared" si="13"/>
        <v>15.524407596534513</v>
      </c>
      <c r="AD215">
        <f t="shared" si="14"/>
        <v>19.709116988926503</v>
      </c>
      <c r="AE215">
        <f t="shared" si="15"/>
        <v>4.1847093923919907</v>
      </c>
      <c r="AG215">
        <v>213</v>
      </c>
      <c r="AH215">
        <v>1.2</v>
      </c>
      <c r="AI215">
        <v>2.1</v>
      </c>
      <c r="AJ215">
        <v>9.8000000000000007</v>
      </c>
      <c r="AK215">
        <v>7.8</v>
      </c>
    </row>
    <row r="216" spans="1:37" x14ac:dyDescent="0.25">
      <c r="A216">
        <v>214</v>
      </c>
      <c r="B216">
        <v>15.4</v>
      </c>
      <c r="C216">
        <v>19.8</v>
      </c>
      <c r="D216" s="3">
        <v>5101</v>
      </c>
      <c r="E216" s="3">
        <v>127952</v>
      </c>
      <c r="F216">
        <v>19.8</v>
      </c>
      <c r="G216">
        <v>1.3</v>
      </c>
      <c r="H216">
        <v>2</v>
      </c>
      <c r="I216">
        <v>9.8000000000000007</v>
      </c>
      <c r="J216">
        <v>8</v>
      </c>
      <c r="K216" s="3">
        <v>4536</v>
      </c>
      <c r="L216">
        <v>15.4</v>
      </c>
      <c r="O216">
        <v>214</v>
      </c>
      <c r="P216">
        <v>16.100000000000001</v>
      </c>
      <c r="Q216">
        <v>20.100000000000001</v>
      </c>
      <c r="R216" s="3">
        <v>11984</v>
      </c>
      <c r="S216" s="3">
        <v>276682</v>
      </c>
      <c r="T216">
        <v>20.100000000000001</v>
      </c>
      <c r="U216">
        <v>1.2</v>
      </c>
      <c r="V216">
        <v>2.2000000000000002</v>
      </c>
      <c r="W216">
        <v>9.8000000000000007</v>
      </c>
      <c r="X216">
        <v>8.1999999999999993</v>
      </c>
      <c r="Y216" s="3">
        <v>6585</v>
      </c>
      <c r="Z216">
        <v>16.100000000000001</v>
      </c>
      <c r="AB216">
        <f t="shared" si="12"/>
        <v>214</v>
      </c>
      <c r="AC216">
        <f t="shared" si="13"/>
        <v>15.89100380450688</v>
      </c>
      <c r="AD216">
        <f t="shared" si="14"/>
        <v>20.01043020193152</v>
      </c>
      <c r="AE216">
        <f t="shared" si="15"/>
        <v>4.1194263974246397</v>
      </c>
      <c r="AG216">
        <v>214</v>
      </c>
      <c r="AH216">
        <v>1.2</v>
      </c>
      <c r="AI216">
        <v>2.2000000000000002</v>
      </c>
      <c r="AJ216">
        <v>9.8000000000000007</v>
      </c>
      <c r="AK216">
        <v>8.1999999999999993</v>
      </c>
    </row>
    <row r="217" spans="1:37" x14ac:dyDescent="0.25">
      <c r="A217">
        <v>215</v>
      </c>
      <c r="B217">
        <v>14.9</v>
      </c>
      <c r="C217">
        <v>20.100000000000001</v>
      </c>
      <c r="D217" s="3">
        <v>4886</v>
      </c>
      <c r="E217" s="3">
        <v>122866</v>
      </c>
      <c r="F217">
        <v>20.100000000000001</v>
      </c>
      <c r="G217">
        <v>1.3</v>
      </c>
      <c r="H217">
        <v>2</v>
      </c>
      <c r="I217">
        <v>9.8000000000000007</v>
      </c>
      <c r="J217">
        <v>8.4</v>
      </c>
      <c r="K217" s="3">
        <v>4369</v>
      </c>
      <c r="L217">
        <v>14.9</v>
      </c>
      <c r="O217">
        <v>215</v>
      </c>
      <c r="P217">
        <v>15.7</v>
      </c>
      <c r="Q217">
        <v>20.5</v>
      </c>
      <c r="R217" s="3">
        <v>11777</v>
      </c>
      <c r="S217" s="3">
        <v>267972</v>
      </c>
      <c r="T217">
        <v>20.5</v>
      </c>
      <c r="U217">
        <v>1.2</v>
      </c>
      <c r="V217">
        <v>2.2000000000000002</v>
      </c>
      <c r="W217">
        <v>9.8000000000000007</v>
      </c>
      <c r="X217">
        <v>8.6</v>
      </c>
      <c r="Y217" s="3">
        <v>6414</v>
      </c>
      <c r="Z217">
        <v>15.7</v>
      </c>
      <c r="AB217">
        <f t="shared" si="12"/>
        <v>215</v>
      </c>
      <c r="AC217">
        <f t="shared" si="13"/>
        <v>15.465420392486346</v>
      </c>
      <c r="AD217">
        <f t="shared" si="14"/>
        <v>20.38271019624317</v>
      </c>
      <c r="AE217">
        <f t="shared" si="15"/>
        <v>4.9172898037568249</v>
      </c>
      <c r="AG217">
        <v>215</v>
      </c>
      <c r="AH217">
        <v>1.2</v>
      </c>
      <c r="AI217">
        <v>2.2000000000000002</v>
      </c>
      <c r="AJ217">
        <v>9.8000000000000007</v>
      </c>
      <c r="AK217">
        <v>8.6</v>
      </c>
    </row>
    <row r="218" spans="1:37" x14ac:dyDescent="0.25">
      <c r="A218">
        <v>216</v>
      </c>
      <c r="B218">
        <v>14.6</v>
      </c>
      <c r="C218">
        <v>20.6</v>
      </c>
      <c r="D218" s="3">
        <v>4768</v>
      </c>
      <c r="E218" s="3">
        <v>124111</v>
      </c>
      <c r="F218">
        <v>20.6</v>
      </c>
      <c r="G218">
        <v>1.3</v>
      </c>
      <c r="H218">
        <v>2</v>
      </c>
      <c r="I218">
        <v>9.8000000000000007</v>
      </c>
      <c r="J218">
        <v>8.9</v>
      </c>
      <c r="K218" s="3">
        <v>4320</v>
      </c>
      <c r="L218">
        <v>14.6</v>
      </c>
      <c r="O218">
        <v>216</v>
      </c>
      <c r="P218">
        <v>16.3</v>
      </c>
      <c r="Q218">
        <v>20.7</v>
      </c>
      <c r="R218" s="3">
        <v>11646</v>
      </c>
      <c r="S218" s="3">
        <v>266357</v>
      </c>
      <c r="T218">
        <v>20.7</v>
      </c>
      <c r="U218">
        <v>1.2</v>
      </c>
      <c r="V218">
        <v>2.2000000000000002</v>
      </c>
      <c r="W218">
        <v>9.8000000000000007</v>
      </c>
      <c r="X218">
        <v>8.8000000000000007</v>
      </c>
      <c r="Y218" s="3">
        <v>6306</v>
      </c>
      <c r="Z218">
        <v>16.3</v>
      </c>
      <c r="AB218">
        <f t="shared" si="12"/>
        <v>216</v>
      </c>
      <c r="AC218">
        <f t="shared" si="13"/>
        <v>15.806177653222861</v>
      </c>
      <c r="AD218">
        <f t="shared" si="14"/>
        <v>20.67095162666017</v>
      </c>
      <c r="AE218">
        <f t="shared" si="15"/>
        <v>4.864773973437309</v>
      </c>
      <c r="AG218">
        <v>216</v>
      </c>
      <c r="AH218">
        <v>1.2</v>
      </c>
      <c r="AI218">
        <v>2.2000000000000002</v>
      </c>
      <c r="AJ218">
        <v>9.8000000000000007</v>
      </c>
      <c r="AK218">
        <v>8.8000000000000007</v>
      </c>
    </row>
    <row r="219" spans="1:37" x14ac:dyDescent="0.25">
      <c r="A219">
        <v>217</v>
      </c>
      <c r="B219">
        <v>15.1</v>
      </c>
      <c r="C219">
        <v>21</v>
      </c>
      <c r="D219" s="3">
        <v>4629</v>
      </c>
      <c r="E219" s="3">
        <v>119661</v>
      </c>
      <c r="F219">
        <v>21</v>
      </c>
      <c r="G219">
        <v>1.3</v>
      </c>
      <c r="H219">
        <v>2</v>
      </c>
      <c r="I219">
        <v>9.9</v>
      </c>
      <c r="J219">
        <v>9.3000000000000007</v>
      </c>
      <c r="K219" s="3">
        <v>4183</v>
      </c>
      <c r="L219">
        <v>15.1</v>
      </c>
      <c r="O219">
        <v>217</v>
      </c>
      <c r="P219">
        <v>16.600000000000001</v>
      </c>
      <c r="Q219">
        <v>20.8</v>
      </c>
      <c r="R219" s="3">
        <v>11481</v>
      </c>
      <c r="S219" s="3">
        <v>280519</v>
      </c>
      <c r="T219">
        <v>20.8</v>
      </c>
      <c r="U219">
        <v>1.2</v>
      </c>
      <c r="V219">
        <v>2.2000000000000002</v>
      </c>
      <c r="W219">
        <v>9.9</v>
      </c>
      <c r="X219">
        <v>8.9</v>
      </c>
      <c r="Y219" s="3">
        <v>6139</v>
      </c>
      <c r="Z219">
        <v>16.600000000000001</v>
      </c>
      <c r="AB219">
        <f t="shared" si="12"/>
        <v>217</v>
      </c>
      <c r="AC219">
        <f t="shared" si="13"/>
        <v>16.16899441340782</v>
      </c>
      <c r="AD219">
        <f t="shared" si="14"/>
        <v>20.857467411545628</v>
      </c>
      <c r="AE219">
        <f t="shared" si="15"/>
        <v>4.6884729981378079</v>
      </c>
      <c r="AG219">
        <v>217</v>
      </c>
      <c r="AH219">
        <v>1.2</v>
      </c>
      <c r="AI219">
        <v>2.2000000000000002</v>
      </c>
      <c r="AJ219">
        <v>9.9</v>
      </c>
      <c r="AK219">
        <v>8.9</v>
      </c>
    </row>
    <row r="220" spans="1:37" x14ac:dyDescent="0.25">
      <c r="A220">
        <v>218</v>
      </c>
      <c r="B220">
        <v>14.9</v>
      </c>
      <c r="C220">
        <v>21.1</v>
      </c>
      <c r="D220" s="3">
        <v>4488</v>
      </c>
      <c r="E220" s="3">
        <v>116503</v>
      </c>
      <c r="F220">
        <v>21.1</v>
      </c>
      <c r="G220">
        <v>1.3</v>
      </c>
      <c r="H220">
        <v>2</v>
      </c>
      <c r="I220">
        <v>9.8000000000000007</v>
      </c>
      <c r="J220">
        <v>9.4</v>
      </c>
      <c r="K220" s="3">
        <v>4079</v>
      </c>
      <c r="L220">
        <v>14.9</v>
      </c>
      <c r="O220">
        <v>218</v>
      </c>
      <c r="P220">
        <v>16.100000000000001</v>
      </c>
      <c r="Q220">
        <v>20.9</v>
      </c>
      <c r="R220" s="3">
        <v>11387</v>
      </c>
      <c r="S220" s="3">
        <v>275170</v>
      </c>
      <c r="T220">
        <v>20.9</v>
      </c>
      <c r="U220">
        <v>1.2</v>
      </c>
      <c r="V220">
        <v>2.2000000000000002</v>
      </c>
      <c r="W220">
        <v>9.8000000000000007</v>
      </c>
      <c r="X220">
        <v>9.1</v>
      </c>
      <c r="Y220" s="3">
        <v>5985</v>
      </c>
      <c r="Z220">
        <v>16.100000000000001</v>
      </c>
      <c r="AB220">
        <f t="shared" si="12"/>
        <v>218</v>
      </c>
      <c r="AC220">
        <f t="shared" si="13"/>
        <v>15.760749606299214</v>
      </c>
      <c r="AD220">
        <f t="shared" si="14"/>
        <v>20.956541732283462</v>
      </c>
      <c r="AE220">
        <f t="shared" si="15"/>
        <v>5.1957921259842479</v>
      </c>
      <c r="AG220">
        <v>218</v>
      </c>
      <c r="AH220">
        <v>1.2</v>
      </c>
      <c r="AI220">
        <v>2.2000000000000002</v>
      </c>
      <c r="AJ220">
        <v>9.8000000000000007</v>
      </c>
      <c r="AK220">
        <v>9.1</v>
      </c>
    </row>
    <row r="221" spans="1:37" x14ac:dyDescent="0.25">
      <c r="A221">
        <v>219</v>
      </c>
      <c r="B221">
        <v>15</v>
      </c>
      <c r="C221">
        <v>21.2</v>
      </c>
      <c r="D221" s="3">
        <v>4392</v>
      </c>
      <c r="E221" s="3">
        <v>114417</v>
      </c>
      <c r="F221">
        <v>21.2</v>
      </c>
      <c r="G221">
        <v>1.3</v>
      </c>
      <c r="H221">
        <v>2</v>
      </c>
      <c r="I221">
        <v>9.8000000000000007</v>
      </c>
      <c r="J221">
        <v>9.6</v>
      </c>
      <c r="K221" s="3">
        <v>3928</v>
      </c>
      <c r="L221">
        <v>15</v>
      </c>
      <c r="O221">
        <v>219</v>
      </c>
      <c r="P221">
        <v>15.9</v>
      </c>
      <c r="Q221">
        <v>21.2</v>
      </c>
      <c r="R221" s="3">
        <v>11302</v>
      </c>
      <c r="S221" s="3">
        <v>274232</v>
      </c>
      <c r="T221">
        <v>21.2</v>
      </c>
      <c r="U221">
        <v>1.2</v>
      </c>
      <c r="V221">
        <v>2.2000000000000002</v>
      </c>
      <c r="W221">
        <v>9.8000000000000007</v>
      </c>
      <c r="X221">
        <v>9.4</v>
      </c>
      <c r="Y221" s="3">
        <v>5899</v>
      </c>
      <c r="Z221">
        <v>15.9</v>
      </c>
      <c r="AB221">
        <f t="shared" si="12"/>
        <v>219</v>
      </c>
      <c r="AC221">
        <f t="shared" si="13"/>
        <v>15.648133044475596</v>
      </c>
      <c r="AD221">
        <f t="shared" si="14"/>
        <v>21.2</v>
      </c>
      <c r="AE221">
        <f t="shared" si="15"/>
        <v>5.5518669555244031</v>
      </c>
      <c r="AG221">
        <v>219</v>
      </c>
      <c r="AH221">
        <v>1.2</v>
      </c>
      <c r="AI221">
        <v>2.2000000000000002</v>
      </c>
      <c r="AJ221">
        <v>9.8000000000000007</v>
      </c>
      <c r="AK221">
        <v>9.4</v>
      </c>
    </row>
    <row r="222" spans="1:37" x14ac:dyDescent="0.25">
      <c r="A222">
        <v>220</v>
      </c>
      <c r="B222">
        <v>15.1</v>
      </c>
      <c r="C222">
        <v>21.2</v>
      </c>
      <c r="D222" s="3">
        <v>4279</v>
      </c>
      <c r="E222" s="3">
        <v>107921</v>
      </c>
      <c r="F222">
        <v>21.2</v>
      </c>
      <c r="G222">
        <v>1.3</v>
      </c>
      <c r="H222">
        <v>2</v>
      </c>
      <c r="I222">
        <v>9.9</v>
      </c>
      <c r="J222">
        <v>9.6</v>
      </c>
      <c r="K222" s="3">
        <v>3845</v>
      </c>
      <c r="L222">
        <v>15.1</v>
      </c>
      <c r="O222">
        <v>220</v>
      </c>
      <c r="P222">
        <v>15.6</v>
      </c>
      <c r="Q222">
        <v>21.1</v>
      </c>
      <c r="R222" s="3">
        <v>11148</v>
      </c>
      <c r="S222" s="3">
        <v>278300</v>
      </c>
      <c r="T222">
        <v>21.1</v>
      </c>
      <c r="U222">
        <v>1.2</v>
      </c>
      <c r="V222">
        <v>2.2999999999999998</v>
      </c>
      <c r="W222">
        <v>9.9</v>
      </c>
      <c r="X222">
        <v>9.1999999999999993</v>
      </c>
      <c r="Y222" s="3">
        <v>5740</v>
      </c>
      <c r="Z222">
        <v>15.6</v>
      </c>
      <c r="AB222">
        <f t="shared" si="12"/>
        <v>220</v>
      </c>
      <c r="AC222">
        <f t="shared" si="13"/>
        <v>15.461314578336681</v>
      </c>
      <c r="AD222">
        <f t="shared" si="14"/>
        <v>21.127737084332665</v>
      </c>
      <c r="AE222">
        <f t="shared" si="15"/>
        <v>5.6664225059959836</v>
      </c>
      <c r="AG222">
        <v>220</v>
      </c>
      <c r="AH222">
        <v>1.2</v>
      </c>
      <c r="AI222">
        <v>2.2999999999999998</v>
      </c>
      <c r="AJ222">
        <v>9.9</v>
      </c>
      <c r="AK222">
        <v>9.1999999999999993</v>
      </c>
    </row>
    <row r="223" spans="1:37" x14ac:dyDescent="0.25">
      <c r="A223">
        <v>221</v>
      </c>
      <c r="B223">
        <v>14.6</v>
      </c>
      <c r="C223">
        <v>21.3</v>
      </c>
      <c r="D223" s="3">
        <v>4166</v>
      </c>
      <c r="E223" s="3">
        <v>109705</v>
      </c>
      <c r="F223">
        <v>21.3</v>
      </c>
      <c r="G223">
        <v>1.3</v>
      </c>
      <c r="H223">
        <v>2</v>
      </c>
      <c r="I223">
        <v>9.9</v>
      </c>
      <c r="J223">
        <v>9.6</v>
      </c>
      <c r="K223" s="3">
        <v>3716</v>
      </c>
      <c r="L223">
        <v>14.6</v>
      </c>
      <c r="O223">
        <v>221</v>
      </c>
      <c r="P223">
        <v>15.5</v>
      </c>
      <c r="Q223">
        <v>20.9</v>
      </c>
      <c r="R223" s="3">
        <v>10996</v>
      </c>
      <c r="S223" s="3">
        <v>270955</v>
      </c>
      <c r="T223">
        <v>20.9</v>
      </c>
      <c r="U223">
        <v>1.3</v>
      </c>
      <c r="V223">
        <v>2.2000000000000002</v>
      </c>
      <c r="W223">
        <v>9.9</v>
      </c>
      <c r="X223">
        <v>9</v>
      </c>
      <c r="Y223" s="3">
        <v>5597</v>
      </c>
      <c r="Z223">
        <v>15.5</v>
      </c>
      <c r="AB223">
        <f t="shared" si="12"/>
        <v>221</v>
      </c>
      <c r="AC223">
        <f t="shared" si="13"/>
        <v>15.252710724178868</v>
      </c>
      <c r="AD223">
        <f t="shared" si="14"/>
        <v>21.009906344809394</v>
      </c>
      <c r="AE223">
        <f t="shared" si="15"/>
        <v>5.7571956206305259</v>
      </c>
      <c r="AG223">
        <v>221</v>
      </c>
      <c r="AH223">
        <v>1.3</v>
      </c>
      <c r="AI223">
        <v>2.2000000000000002</v>
      </c>
      <c r="AJ223">
        <v>9.9</v>
      </c>
      <c r="AK223">
        <v>9</v>
      </c>
    </row>
    <row r="224" spans="1:37" x14ac:dyDescent="0.25">
      <c r="A224">
        <v>222</v>
      </c>
      <c r="B224">
        <v>14.9</v>
      </c>
      <c r="C224">
        <v>21.4</v>
      </c>
      <c r="D224" s="3">
        <v>4111</v>
      </c>
      <c r="E224" s="3">
        <v>111456</v>
      </c>
      <c r="F224">
        <v>21.4</v>
      </c>
      <c r="G224">
        <v>1.3</v>
      </c>
      <c r="H224">
        <v>2</v>
      </c>
      <c r="I224">
        <v>10</v>
      </c>
      <c r="J224">
        <v>9.6999999999999993</v>
      </c>
      <c r="K224" s="3">
        <v>3671</v>
      </c>
      <c r="L224">
        <v>14.9</v>
      </c>
      <c r="O224">
        <v>222</v>
      </c>
      <c r="P224">
        <v>15.3</v>
      </c>
      <c r="Q224">
        <v>21.3</v>
      </c>
      <c r="R224" s="3">
        <v>10907</v>
      </c>
      <c r="S224" s="3">
        <v>261743</v>
      </c>
      <c r="T224">
        <v>21.3</v>
      </c>
      <c r="U224">
        <v>1.3</v>
      </c>
      <c r="V224">
        <v>2.2999999999999998</v>
      </c>
      <c r="W224">
        <v>9.9</v>
      </c>
      <c r="X224">
        <v>9.4</v>
      </c>
      <c r="Y224" s="3">
        <v>5524</v>
      </c>
      <c r="Z224">
        <v>15.3</v>
      </c>
      <c r="AB224">
        <f t="shared" si="12"/>
        <v>222</v>
      </c>
      <c r="AC224">
        <f t="shared" si="13"/>
        <v>15.190504727660141</v>
      </c>
      <c r="AD224">
        <f t="shared" si="14"/>
        <v>21.327373818084965</v>
      </c>
      <c r="AE224">
        <f t="shared" si="15"/>
        <v>6.136869090424824</v>
      </c>
      <c r="AG224">
        <v>222</v>
      </c>
      <c r="AH224">
        <v>1.3</v>
      </c>
      <c r="AI224">
        <v>2.2999999999999998</v>
      </c>
      <c r="AJ224">
        <v>9.9</v>
      </c>
      <c r="AK224">
        <v>9.4</v>
      </c>
    </row>
    <row r="225" spans="1:37" x14ac:dyDescent="0.25">
      <c r="A225">
        <v>223</v>
      </c>
      <c r="B225">
        <v>15</v>
      </c>
      <c r="C225">
        <v>21.4</v>
      </c>
      <c r="D225" s="3">
        <v>3931</v>
      </c>
      <c r="E225" s="3">
        <v>107287</v>
      </c>
      <c r="F225">
        <v>21.4</v>
      </c>
      <c r="G225">
        <v>1.3</v>
      </c>
      <c r="H225">
        <v>2</v>
      </c>
      <c r="I225">
        <v>10</v>
      </c>
      <c r="J225">
        <v>9.5</v>
      </c>
      <c r="K225" s="3">
        <v>3507</v>
      </c>
      <c r="L225">
        <v>15</v>
      </c>
      <c r="O225">
        <v>223</v>
      </c>
      <c r="P225">
        <v>15.9</v>
      </c>
      <c r="Q225">
        <v>21.2</v>
      </c>
      <c r="R225" s="3">
        <v>10773</v>
      </c>
      <c r="S225" s="3">
        <v>270258</v>
      </c>
      <c r="T225">
        <v>21.2</v>
      </c>
      <c r="U225">
        <v>1.3</v>
      </c>
      <c r="V225">
        <v>2.2000000000000002</v>
      </c>
      <c r="W225">
        <v>9.9</v>
      </c>
      <c r="X225">
        <v>9.1999999999999993</v>
      </c>
      <c r="Y225" s="3">
        <v>5391</v>
      </c>
      <c r="Z225">
        <v>15.9</v>
      </c>
      <c r="AB225">
        <f t="shared" si="12"/>
        <v>223</v>
      </c>
      <c r="AC225">
        <f t="shared" si="13"/>
        <v>15.659392002176279</v>
      </c>
      <c r="AD225">
        <f t="shared" si="14"/>
        <v>21.253468443960827</v>
      </c>
      <c r="AE225">
        <f t="shared" si="15"/>
        <v>5.5940764417845479</v>
      </c>
      <c r="AG225">
        <v>223</v>
      </c>
      <c r="AH225">
        <v>1.3</v>
      </c>
      <c r="AI225">
        <v>2.2000000000000002</v>
      </c>
      <c r="AJ225">
        <v>9.9</v>
      </c>
      <c r="AK225">
        <v>9.1999999999999993</v>
      </c>
    </row>
    <row r="226" spans="1:37" x14ac:dyDescent="0.25">
      <c r="A226">
        <v>224</v>
      </c>
      <c r="B226">
        <v>14.3</v>
      </c>
      <c r="C226">
        <v>21.5</v>
      </c>
      <c r="D226" s="3">
        <v>3828</v>
      </c>
      <c r="E226" s="3">
        <v>103146</v>
      </c>
      <c r="F226">
        <v>21.5</v>
      </c>
      <c r="G226">
        <v>1.3</v>
      </c>
      <c r="H226">
        <v>2</v>
      </c>
      <c r="I226">
        <v>10</v>
      </c>
      <c r="J226">
        <v>9.6999999999999993</v>
      </c>
      <c r="K226" s="3">
        <v>3426</v>
      </c>
      <c r="L226">
        <v>14.3</v>
      </c>
      <c r="O226">
        <v>224</v>
      </c>
      <c r="P226">
        <v>15.8</v>
      </c>
      <c r="Q226">
        <v>21.3</v>
      </c>
      <c r="R226" s="3">
        <v>10688</v>
      </c>
      <c r="S226" s="3">
        <v>267556</v>
      </c>
      <c r="T226">
        <v>21.3</v>
      </c>
      <c r="U226">
        <v>1.3</v>
      </c>
      <c r="V226">
        <v>2.2999999999999998</v>
      </c>
      <c r="W226">
        <v>9.9</v>
      </c>
      <c r="X226">
        <v>9.3000000000000007</v>
      </c>
      <c r="Y226" s="3">
        <v>5327</v>
      </c>
      <c r="Z226">
        <v>15.8</v>
      </c>
      <c r="AB226">
        <f t="shared" si="12"/>
        <v>224</v>
      </c>
      <c r="AC226">
        <f t="shared" si="13"/>
        <v>15.404436483879856</v>
      </c>
      <c r="AD226">
        <f t="shared" si="14"/>
        <v>21.352741802149353</v>
      </c>
      <c r="AE226">
        <f t="shared" si="15"/>
        <v>5.9483053182694974</v>
      </c>
      <c r="AG226">
        <v>224</v>
      </c>
      <c r="AH226">
        <v>1.3</v>
      </c>
      <c r="AI226">
        <v>2.2999999999999998</v>
      </c>
      <c r="AJ226">
        <v>9.9</v>
      </c>
      <c r="AK226">
        <v>9.3000000000000007</v>
      </c>
    </row>
    <row r="227" spans="1:37" x14ac:dyDescent="0.25">
      <c r="A227">
        <v>225</v>
      </c>
      <c r="B227">
        <v>15.4</v>
      </c>
      <c r="C227">
        <v>21.5</v>
      </c>
      <c r="D227" s="3">
        <v>3753</v>
      </c>
      <c r="E227" s="3">
        <v>100332</v>
      </c>
      <c r="F227">
        <v>21.5</v>
      </c>
      <c r="G227">
        <v>1.3</v>
      </c>
      <c r="H227">
        <v>1.9</v>
      </c>
      <c r="I227">
        <v>10</v>
      </c>
      <c r="J227">
        <v>9.6</v>
      </c>
      <c r="K227" s="3">
        <v>3354</v>
      </c>
      <c r="L227">
        <v>15.4</v>
      </c>
      <c r="O227">
        <v>225</v>
      </c>
      <c r="P227">
        <v>15.5</v>
      </c>
      <c r="Q227">
        <v>21.2</v>
      </c>
      <c r="R227" s="3">
        <v>10522</v>
      </c>
      <c r="S227" s="3">
        <v>270151</v>
      </c>
      <c r="T227">
        <v>21.2</v>
      </c>
      <c r="U227">
        <v>1.3</v>
      </c>
      <c r="V227">
        <v>2.2999999999999998</v>
      </c>
      <c r="W227">
        <v>10</v>
      </c>
      <c r="X227">
        <v>9.1999999999999993</v>
      </c>
      <c r="Y227" s="3">
        <v>5218</v>
      </c>
      <c r="Z227">
        <v>15.5</v>
      </c>
      <c r="AB227">
        <f t="shared" si="12"/>
        <v>225</v>
      </c>
      <c r="AC227">
        <f t="shared" si="13"/>
        <v>15.473709281961472</v>
      </c>
      <c r="AD227">
        <f t="shared" si="14"/>
        <v>21.278872154115589</v>
      </c>
      <c r="AE227">
        <f t="shared" si="15"/>
        <v>5.8051628721541171</v>
      </c>
      <c r="AG227">
        <v>225</v>
      </c>
      <c r="AH227">
        <v>1.3</v>
      </c>
      <c r="AI227">
        <v>2.2999999999999998</v>
      </c>
      <c r="AJ227">
        <v>10</v>
      </c>
      <c r="AK227">
        <v>9.1999999999999993</v>
      </c>
    </row>
    <row r="228" spans="1:37" x14ac:dyDescent="0.25">
      <c r="A228">
        <v>226</v>
      </c>
      <c r="B228">
        <v>15</v>
      </c>
      <c r="C228">
        <v>21.4</v>
      </c>
      <c r="D228" s="3">
        <v>3692</v>
      </c>
      <c r="E228" s="3">
        <v>101485</v>
      </c>
      <c r="F228">
        <v>21.4</v>
      </c>
      <c r="G228">
        <v>1.3</v>
      </c>
      <c r="H228">
        <v>2</v>
      </c>
      <c r="I228">
        <v>10.1</v>
      </c>
      <c r="J228">
        <v>9.5</v>
      </c>
      <c r="K228" s="3">
        <v>3288</v>
      </c>
      <c r="L228">
        <v>15</v>
      </c>
      <c r="O228">
        <v>226</v>
      </c>
      <c r="P228">
        <v>15.6</v>
      </c>
      <c r="Q228">
        <v>21.2</v>
      </c>
      <c r="R228" s="3">
        <v>10396</v>
      </c>
      <c r="S228" s="3">
        <v>274102</v>
      </c>
      <c r="T228">
        <v>21.2</v>
      </c>
      <c r="U228">
        <v>1.3</v>
      </c>
      <c r="V228">
        <v>2.2999999999999998</v>
      </c>
      <c r="W228">
        <v>10</v>
      </c>
      <c r="X228">
        <v>9.1</v>
      </c>
      <c r="Y228" s="3">
        <v>5122</v>
      </c>
      <c r="Z228">
        <v>15.6</v>
      </c>
      <c r="AB228">
        <f t="shared" si="12"/>
        <v>226</v>
      </c>
      <c r="AC228">
        <f t="shared" si="13"/>
        <v>15.4427597955707</v>
      </c>
      <c r="AD228">
        <f t="shared" si="14"/>
        <v>21.252413401476435</v>
      </c>
      <c r="AE228">
        <f t="shared" si="15"/>
        <v>5.8096536059057353</v>
      </c>
      <c r="AG228">
        <v>226</v>
      </c>
      <c r="AH228">
        <v>1.3</v>
      </c>
      <c r="AI228">
        <v>2.2999999999999998</v>
      </c>
      <c r="AJ228">
        <v>10</v>
      </c>
      <c r="AK228">
        <v>9.1</v>
      </c>
    </row>
    <row r="229" spans="1:37" x14ac:dyDescent="0.25">
      <c r="A229">
        <v>227</v>
      </c>
      <c r="B229">
        <v>15</v>
      </c>
      <c r="C229">
        <v>21.3</v>
      </c>
      <c r="D229" s="3">
        <v>3609</v>
      </c>
      <c r="E229" s="3">
        <v>96518</v>
      </c>
      <c r="F229">
        <v>21.3</v>
      </c>
      <c r="G229">
        <v>1.3</v>
      </c>
      <c r="H229">
        <v>1.9</v>
      </c>
      <c r="I229">
        <v>10.1</v>
      </c>
      <c r="J229">
        <v>9.4</v>
      </c>
      <c r="K229" s="3">
        <v>3227</v>
      </c>
      <c r="L229">
        <v>15</v>
      </c>
      <c r="O229">
        <v>227</v>
      </c>
      <c r="P229">
        <v>16.100000000000001</v>
      </c>
      <c r="Q229">
        <v>21.2</v>
      </c>
      <c r="R229" s="3">
        <v>10235</v>
      </c>
      <c r="S229" s="3">
        <v>273466</v>
      </c>
      <c r="T229">
        <v>21.2</v>
      </c>
      <c r="U229">
        <v>1.3</v>
      </c>
      <c r="V229">
        <v>2.2999999999999998</v>
      </c>
      <c r="W229">
        <v>10</v>
      </c>
      <c r="X229">
        <v>9.1</v>
      </c>
      <c r="Y229" s="3">
        <v>4993</v>
      </c>
      <c r="Z229">
        <v>16.100000000000001</v>
      </c>
      <c r="AB229">
        <f t="shared" si="12"/>
        <v>227</v>
      </c>
      <c r="AC229">
        <f t="shared" si="13"/>
        <v>15.813240392950014</v>
      </c>
      <c r="AD229">
        <f t="shared" si="14"/>
        <v>21.226069055186365</v>
      </c>
      <c r="AE229">
        <f t="shared" si="15"/>
        <v>5.4128286622363504</v>
      </c>
      <c r="AG229">
        <v>227</v>
      </c>
      <c r="AH229">
        <v>1.3</v>
      </c>
      <c r="AI229">
        <v>2.2999999999999998</v>
      </c>
      <c r="AJ229">
        <v>10</v>
      </c>
      <c r="AK229">
        <v>9.1</v>
      </c>
    </row>
    <row r="230" spans="1:37" x14ac:dyDescent="0.25">
      <c r="A230">
        <v>228</v>
      </c>
      <c r="B230">
        <v>14.6</v>
      </c>
      <c r="C230">
        <v>21.2</v>
      </c>
      <c r="D230" s="3">
        <v>3462</v>
      </c>
      <c r="E230" s="3">
        <v>95268</v>
      </c>
      <c r="F230">
        <v>21.2</v>
      </c>
      <c r="G230">
        <v>1.3</v>
      </c>
      <c r="H230">
        <v>2</v>
      </c>
      <c r="I230">
        <v>10.1</v>
      </c>
      <c r="J230">
        <v>9.3000000000000007</v>
      </c>
      <c r="K230" s="3">
        <v>3078</v>
      </c>
      <c r="L230">
        <v>14.6</v>
      </c>
      <c r="O230">
        <v>228</v>
      </c>
      <c r="P230">
        <v>15.6</v>
      </c>
      <c r="Q230">
        <v>21</v>
      </c>
      <c r="R230" s="3">
        <v>10100</v>
      </c>
      <c r="S230" s="3">
        <v>278473</v>
      </c>
      <c r="T230">
        <v>21</v>
      </c>
      <c r="U230">
        <v>1.3</v>
      </c>
      <c r="V230">
        <v>2.2999999999999998</v>
      </c>
      <c r="W230">
        <v>10</v>
      </c>
      <c r="X230">
        <v>8.9</v>
      </c>
      <c r="Y230" s="3">
        <v>4868</v>
      </c>
      <c r="Z230">
        <v>15.6</v>
      </c>
      <c r="AB230">
        <f t="shared" si="12"/>
        <v>228</v>
      </c>
      <c r="AC230">
        <f t="shared" si="13"/>
        <v>15.344727916236543</v>
      </c>
      <c r="AD230">
        <f t="shared" si="14"/>
        <v>21.051054416752692</v>
      </c>
      <c r="AE230">
        <f t="shared" si="15"/>
        <v>5.7063265005161483</v>
      </c>
      <c r="AG230">
        <v>228</v>
      </c>
      <c r="AH230">
        <v>1.3</v>
      </c>
      <c r="AI230">
        <v>2.2999999999999998</v>
      </c>
      <c r="AJ230">
        <v>10</v>
      </c>
      <c r="AK230">
        <v>8.9</v>
      </c>
    </row>
    <row r="231" spans="1:37" x14ac:dyDescent="0.25">
      <c r="A231">
        <v>229</v>
      </c>
      <c r="B231">
        <v>16</v>
      </c>
      <c r="C231">
        <v>21.1</v>
      </c>
      <c r="D231" s="3">
        <v>3406</v>
      </c>
      <c r="E231" s="3">
        <v>93582</v>
      </c>
      <c r="F231">
        <v>21.1</v>
      </c>
      <c r="G231">
        <v>1.3</v>
      </c>
      <c r="H231">
        <v>1.9</v>
      </c>
      <c r="I231">
        <v>10.1</v>
      </c>
      <c r="J231">
        <v>9.1999999999999993</v>
      </c>
      <c r="K231" s="3">
        <v>3040</v>
      </c>
      <c r="L231">
        <v>16</v>
      </c>
      <c r="O231">
        <v>229</v>
      </c>
      <c r="P231">
        <v>15.9</v>
      </c>
      <c r="Q231">
        <v>20.9</v>
      </c>
      <c r="R231" s="3">
        <v>9953</v>
      </c>
      <c r="S231" s="3">
        <v>278377</v>
      </c>
      <c r="T231">
        <v>20.9</v>
      </c>
      <c r="U231">
        <v>1.3</v>
      </c>
      <c r="V231">
        <v>2.2999999999999998</v>
      </c>
      <c r="W231">
        <v>10</v>
      </c>
      <c r="X231">
        <v>8.8000000000000007</v>
      </c>
      <c r="Y231" s="3">
        <v>4786</v>
      </c>
      <c r="Z231">
        <v>15.9</v>
      </c>
      <c r="AB231">
        <f t="shared" si="12"/>
        <v>229</v>
      </c>
      <c r="AC231">
        <f t="shared" si="13"/>
        <v>15.92549592035332</v>
      </c>
      <c r="AD231">
        <f t="shared" si="14"/>
        <v>20.950991840706639</v>
      </c>
      <c r="AE231">
        <f t="shared" si="15"/>
        <v>5.0254959203533183</v>
      </c>
      <c r="AG231">
        <v>229</v>
      </c>
      <c r="AH231">
        <v>1.3</v>
      </c>
      <c r="AI231">
        <v>2.2999999999999998</v>
      </c>
      <c r="AJ231">
        <v>10</v>
      </c>
      <c r="AK231">
        <v>8.8000000000000007</v>
      </c>
    </row>
    <row r="232" spans="1:37" x14ac:dyDescent="0.25">
      <c r="A232">
        <v>230</v>
      </c>
      <c r="B232">
        <v>14.9</v>
      </c>
      <c r="C232">
        <v>20.9</v>
      </c>
      <c r="D232" s="3">
        <v>3354</v>
      </c>
      <c r="E232" s="3">
        <v>93166</v>
      </c>
      <c r="F232">
        <v>20.9</v>
      </c>
      <c r="G232">
        <v>1.3</v>
      </c>
      <c r="H232">
        <v>1.9</v>
      </c>
      <c r="I232">
        <v>10</v>
      </c>
      <c r="J232">
        <v>9</v>
      </c>
      <c r="K232" s="3">
        <v>2991</v>
      </c>
      <c r="L232">
        <v>14.9</v>
      </c>
      <c r="O232">
        <v>230</v>
      </c>
      <c r="P232">
        <v>16.100000000000001</v>
      </c>
      <c r="Q232">
        <v>20.6</v>
      </c>
      <c r="R232" s="3">
        <v>9725</v>
      </c>
      <c r="S232" s="3">
        <v>265562</v>
      </c>
      <c r="T232">
        <v>20.6</v>
      </c>
      <c r="U232">
        <v>1.3</v>
      </c>
      <c r="V232">
        <v>2.2999999999999998</v>
      </c>
      <c r="W232">
        <v>10</v>
      </c>
      <c r="X232">
        <v>8.4</v>
      </c>
      <c r="Y232" s="3">
        <v>4644</v>
      </c>
      <c r="Z232">
        <v>16.100000000000001</v>
      </c>
      <c r="AB232">
        <f t="shared" si="12"/>
        <v>230</v>
      </c>
      <c r="AC232">
        <f t="shared" si="13"/>
        <v>15.792270051227158</v>
      </c>
      <c r="AD232">
        <f t="shared" si="14"/>
        <v>20.676932487193209</v>
      </c>
      <c r="AE232">
        <f t="shared" si="15"/>
        <v>4.8846624359660513</v>
      </c>
      <c r="AG232">
        <v>230</v>
      </c>
      <c r="AH232">
        <v>1.3</v>
      </c>
      <c r="AI232">
        <v>2.2999999999999998</v>
      </c>
      <c r="AJ232">
        <v>10</v>
      </c>
      <c r="AK232">
        <v>8.4</v>
      </c>
    </row>
    <row r="233" spans="1:37" x14ac:dyDescent="0.25">
      <c r="A233">
        <v>231</v>
      </c>
      <c r="B233">
        <v>15.5</v>
      </c>
      <c r="C233">
        <v>20.5</v>
      </c>
      <c r="D233" s="3">
        <v>3309</v>
      </c>
      <c r="E233" s="3">
        <v>92531</v>
      </c>
      <c r="F233">
        <v>20.5</v>
      </c>
      <c r="G233">
        <v>1.3</v>
      </c>
      <c r="H233">
        <v>1.9</v>
      </c>
      <c r="I233">
        <v>10.1</v>
      </c>
      <c r="J233">
        <v>8.6</v>
      </c>
      <c r="K233" s="3">
        <v>2962</v>
      </c>
      <c r="L233">
        <v>15.5</v>
      </c>
      <c r="O233">
        <v>231</v>
      </c>
      <c r="P233">
        <v>15.6</v>
      </c>
      <c r="Q233">
        <v>20.3</v>
      </c>
      <c r="R233" s="3">
        <v>9571</v>
      </c>
      <c r="S233" s="3">
        <v>272301</v>
      </c>
      <c r="T233">
        <v>20.3</v>
      </c>
      <c r="U233">
        <v>1.3</v>
      </c>
      <c r="V233">
        <v>2.2999999999999998</v>
      </c>
      <c r="W233">
        <v>10</v>
      </c>
      <c r="X233">
        <v>8.1</v>
      </c>
      <c r="Y233" s="3">
        <v>4532</v>
      </c>
      <c r="Z233">
        <v>15.6</v>
      </c>
      <c r="AB233">
        <f t="shared" si="12"/>
        <v>231</v>
      </c>
      <c r="AC233">
        <f t="shared" si="13"/>
        <v>15.57430900621118</v>
      </c>
      <c r="AD233">
        <f t="shared" si="14"/>
        <v>20.351381987577643</v>
      </c>
      <c r="AE233">
        <f t="shared" si="15"/>
        <v>4.7770729813664623</v>
      </c>
      <c r="AG233">
        <v>231</v>
      </c>
      <c r="AH233">
        <v>1.3</v>
      </c>
      <c r="AI233">
        <v>2.2999999999999998</v>
      </c>
      <c r="AJ233">
        <v>10</v>
      </c>
      <c r="AK233">
        <v>8.1</v>
      </c>
    </row>
    <row r="234" spans="1:37" x14ac:dyDescent="0.25">
      <c r="A234">
        <v>232</v>
      </c>
      <c r="B234">
        <v>15.6</v>
      </c>
      <c r="C234">
        <v>19.899999999999999</v>
      </c>
      <c r="D234" s="3">
        <v>3189</v>
      </c>
      <c r="E234" s="3">
        <v>91564</v>
      </c>
      <c r="F234">
        <v>19.899999999999999</v>
      </c>
      <c r="G234">
        <v>1.4</v>
      </c>
      <c r="H234">
        <v>1.9</v>
      </c>
      <c r="I234">
        <v>10.1</v>
      </c>
      <c r="J234">
        <v>7.9</v>
      </c>
      <c r="K234" s="3">
        <v>2825</v>
      </c>
      <c r="L234">
        <v>15.6</v>
      </c>
      <c r="O234">
        <v>232</v>
      </c>
      <c r="P234">
        <v>16.2</v>
      </c>
      <c r="Q234">
        <v>20.100000000000001</v>
      </c>
      <c r="R234" s="3">
        <v>9448</v>
      </c>
      <c r="S234" s="3">
        <v>270092</v>
      </c>
      <c r="T234">
        <v>20.100000000000001</v>
      </c>
      <c r="U234">
        <v>1.3</v>
      </c>
      <c r="V234">
        <v>2.2999999999999998</v>
      </c>
      <c r="W234">
        <v>10</v>
      </c>
      <c r="X234">
        <v>7.8</v>
      </c>
      <c r="Y234" s="3">
        <v>4454</v>
      </c>
      <c r="Z234">
        <v>16.2</v>
      </c>
      <c r="AB234">
        <f t="shared" si="12"/>
        <v>232</v>
      </c>
      <c r="AC234">
        <f t="shared" si="13"/>
        <v>16.048587481205981</v>
      </c>
      <c r="AD234">
        <f t="shared" si="14"/>
        <v>20.049529160401995</v>
      </c>
      <c r="AE234">
        <f t="shared" si="15"/>
        <v>4.0009416791960142</v>
      </c>
      <c r="AG234">
        <v>232</v>
      </c>
      <c r="AH234">
        <v>1.3</v>
      </c>
      <c r="AI234">
        <v>2.2999999999999998</v>
      </c>
      <c r="AJ234">
        <v>10</v>
      </c>
      <c r="AK234">
        <v>7.8</v>
      </c>
    </row>
    <row r="235" spans="1:37" x14ac:dyDescent="0.25">
      <c r="A235">
        <v>233</v>
      </c>
      <c r="B235">
        <v>15.6</v>
      </c>
      <c r="C235">
        <v>19.5</v>
      </c>
      <c r="D235" s="3">
        <v>3120</v>
      </c>
      <c r="E235" s="3">
        <v>90186</v>
      </c>
      <c r="F235">
        <v>19.5</v>
      </c>
      <c r="G235">
        <v>1.4</v>
      </c>
      <c r="H235">
        <v>1.8</v>
      </c>
      <c r="I235">
        <v>10.1</v>
      </c>
      <c r="J235">
        <v>7.4</v>
      </c>
      <c r="K235" s="3">
        <v>2764</v>
      </c>
      <c r="L235">
        <v>15.6</v>
      </c>
      <c r="O235">
        <v>233</v>
      </c>
      <c r="P235">
        <v>15.8</v>
      </c>
      <c r="Q235">
        <v>19.7</v>
      </c>
      <c r="R235" s="3">
        <v>9345</v>
      </c>
      <c r="S235" s="3">
        <v>268221</v>
      </c>
      <c r="T235">
        <v>19.7</v>
      </c>
      <c r="U235">
        <v>1.3</v>
      </c>
      <c r="V235">
        <v>2.2999999999999998</v>
      </c>
      <c r="W235">
        <v>10</v>
      </c>
      <c r="X235">
        <v>7.3</v>
      </c>
      <c r="Y235" s="3">
        <v>4296</v>
      </c>
      <c r="Z235">
        <v>15.8</v>
      </c>
      <c r="AB235">
        <f t="shared" si="12"/>
        <v>233</v>
      </c>
      <c r="AC235">
        <f t="shared" si="13"/>
        <v>15.749939831528279</v>
      </c>
      <c r="AD235">
        <f t="shared" si="14"/>
        <v>19.649939831528279</v>
      </c>
      <c r="AE235">
        <f t="shared" si="15"/>
        <v>3.9000000000000004</v>
      </c>
      <c r="AG235">
        <v>233</v>
      </c>
      <c r="AH235">
        <v>1.3</v>
      </c>
      <c r="AI235">
        <v>2.2999999999999998</v>
      </c>
      <c r="AJ235">
        <v>10</v>
      </c>
      <c r="AK235">
        <v>7.3</v>
      </c>
    </row>
    <row r="236" spans="1:37" x14ac:dyDescent="0.25">
      <c r="A236">
        <v>234</v>
      </c>
      <c r="B236">
        <v>15.4</v>
      </c>
      <c r="C236">
        <v>19.100000000000001</v>
      </c>
      <c r="D236" s="3">
        <v>3003</v>
      </c>
      <c r="E236" s="3">
        <v>86087</v>
      </c>
      <c r="F236">
        <v>19.100000000000001</v>
      </c>
      <c r="G236">
        <v>1.4</v>
      </c>
      <c r="H236">
        <v>1.8</v>
      </c>
      <c r="I236">
        <v>10.1</v>
      </c>
      <c r="J236">
        <v>6.9</v>
      </c>
      <c r="K236" s="3">
        <v>2673</v>
      </c>
      <c r="L236">
        <v>15.4</v>
      </c>
      <c r="O236">
        <v>234</v>
      </c>
      <c r="P236">
        <v>15.9</v>
      </c>
      <c r="Q236">
        <v>19.5</v>
      </c>
      <c r="R236" s="3">
        <v>9304</v>
      </c>
      <c r="S236" s="3">
        <v>278645</v>
      </c>
      <c r="T236">
        <v>19.5</v>
      </c>
      <c r="U236">
        <v>1.3</v>
      </c>
      <c r="V236">
        <v>2.2999999999999998</v>
      </c>
      <c r="W236">
        <v>10</v>
      </c>
      <c r="X236">
        <v>7.1</v>
      </c>
      <c r="Y236" s="3">
        <v>4234</v>
      </c>
      <c r="Z236">
        <v>15.9</v>
      </c>
      <c r="AB236">
        <f t="shared" si="12"/>
        <v>234</v>
      </c>
      <c r="AC236">
        <f t="shared" si="13"/>
        <v>15.777996262289756</v>
      </c>
      <c r="AD236">
        <f t="shared" si="14"/>
        <v>19.402397009831802</v>
      </c>
      <c r="AE236">
        <f t="shared" si="15"/>
        <v>3.6244007475420457</v>
      </c>
      <c r="AG236">
        <v>234</v>
      </c>
      <c r="AH236">
        <v>1.3</v>
      </c>
      <c r="AI236">
        <v>2.2999999999999998</v>
      </c>
      <c r="AJ236">
        <v>10</v>
      </c>
      <c r="AK236">
        <v>7.1</v>
      </c>
    </row>
    <row r="237" spans="1:37" x14ac:dyDescent="0.25">
      <c r="A237">
        <v>235</v>
      </c>
      <c r="B237">
        <v>15.5</v>
      </c>
      <c r="C237">
        <v>18.5</v>
      </c>
      <c r="D237" s="3">
        <v>2954</v>
      </c>
      <c r="E237" s="3">
        <v>84198</v>
      </c>
      <c r="F237">
        <v>18.5</v>
      </c>
      <c r="G237">
        <v>1.4</v>
      </c>
      <c r="H237">
        <v>1.8</v>
      </c>
      <c r="I237">
        <v>10.199999999999999</v>
      </c>
      <c r="J237">
        <v>6.2</v>
      </c>
      <c r="K237" s="3">
        <v>2619</v>
      </c>
      <c r="L237">
        <v>15.5</v>
      </c>
      <c r="O237">
        <v>235</v>
      </c>
      <c r="P237">
        <v>16.2</v>
      </c>
      <c r="Q237">
        <v>19.2</v>
      </c>
      <c r="R237" s="3">
        <v>9177</v>
      </c>
      <c r="S237" s="3">
        <v>282524</v>
      </c>
      <c r="T237">
        <v>19.2</v>
      </c>
      <c r="U237">
        <v>1.3</v>
      </c>
      <c r="V237">
        <v>2.2999999999999998</v>
      </c>
      <c r="W237">
        <v>10</v>
      </c>
      <c r="X237">
        <v>6.8</v>
      </c>
      <c r="Y237" s="3">
        <v>4177</v>
      </c>
      <c r="Z237">
        <v>16.2</v>
      </c>
      <c r="AB237">
        <f t="shared" si="12"/>
        <v>235</v>
      </c>
      <c r="AC237">
        <f t="shared" si="13"/>
        <v>16.029544143104442</v>
      </c>
      <c r="AD237">
        <f t="shared" si="14"/>
        <v>19.029544143104442</v>
      </c>
      <c r="AE237">
        <f t="shared" si="15"/>
        <v>3</v>
      </c>
      <c r="AG237">
        <v>235</v>
      </c>
      <c r="AH237">
        <v>1.3</v>
      </c>
      <c r="AI237">
        <v>2.2999999999999998</v>
      </c>
      <c r="AJ237">
        <v>10</v>
      </c>
      <c r="AK237">
        <v>6.8</v>
      </c>
    </row>
    <row r="238" spans="1:37" x14ac:dyDescent="0.25">
      <c r="A238">
        <v>236</v>
      </c>
      <c r="B238">
        <v>16</v>
      </c>
      <c r="C238">
        <v>18.399999999999999</v>
      </c>
      <c r="D238" s="3">
        <v>2866</v>
      </c>
      <c r="E238" s="3">
        <v>82446</v>
      </c>
      <c r="F238">
        <v>18.399999999999999</v>
      </c>
      <c r="G238">
        <v>1.4</v>
      </c>
      <c r="H238">
        <v>1.8</v>
      </c>
      <c r="I238">
        <v>10.199999999999999</v>
      </c>
      <c r="J238">
        <v>6.2</v>
      </c>
      <c r="K238" s="3">
        <v>2544</v>
      </c>
      <c r="L238">
        <v>16</v>
      </c>
      <c r="O238">
        <v>236</v>
      </c>
      <c r="P238">
        <v>16.5</v>
      </c>
      <c r="Q238">
        <v>19.100000000000001</v>
      </c>
      <c r="R238" s="3">
        <v>9074</v>
      </c>
      <c r="S238" s="3">
        <v>274389</v>
      </c>
      <c r="T238">
        <v>19.100000000000001</v>
      </c>
      <c r="U238">
        <v>1.3</v>
      </c>
      <c r="V238">
        <v>2.2999999999999998</v>
      </c>
      <c r="W238">
        <v>10</v>
      </c>
      <c r="X238">
        <v>6.7</v>
      </c>
      <c r="Y238" s="3">
        <v>4104</v>
      </c>
      <c r="Z238">
        <v>16.5</v>
      </c>
      <c r="AB238">
        <f t="shared" si="12"/>
        <v>236</v>
      </c>
      <c r="AC238">
        <f t="shared" si="13"/>
        <v>16.37998324958124</v>
      </c>
      <c r="AD238">
        <f t="shared" si="14"/>
        <v>18.931976549413736</v>
      </c>
      <c r="AE238">
        <f t="shared" si="15"/>
        <v>2.5519932998324961</v>
      </c>
      <c r="AG238">
        <v>236</v>
      </c>
      <c r="AH238">
        <v>1.3</v>
      </c>
      <c r="AI238">
        <v>2.2999999999999998</v>
      </c>
      <c r="AJ238">
        <v>10</v>
      </c>
      <c r="AK238">
        <v>6.7</v>
      </c>
    </row>
    <row r="239" spans="1:37" x14ac:dyDescent="0.25">
      <c r="A239">
        <v>237</v>
      </c>
      <c r="B239">
        <v>15.2</v>
      </c>
      <c r="C239">
        <v>17.7</v>
      </c>
      <c r="D239" s="3">
        <v>2764</v>
      </c>
      <c r="E239" s="3">
        <v>81220</v>
      </c>
      <c r="F239">
        <v>17.7</v>
      </c>
      <c r="G239">
        <v>1.4</v>
      </c>
      <c r="H239">
        <v>1.7</v>
      </c>
      <c r="I239">
        <v>10.199999999999999</v>
      </c>
      <c r="J239">
        <v>5.4</v>
      </c>
      <c r="K239" s="3">
        <v>2437</v>
      </c>
      <c r="L239">
        <v>15.2</v>
      </c>
      <c r="O239">
        <v>237</v>
      </c>
      <c r="P239">
        <v>15.7</v>
      </c>
      <c r="Q239">
        <v>18.7</v>
      </c>
      <c r="R239" s="3">
        <v>8945</v>
      </c>
      <c r="S239" s="3">
        <v>270283</v>
      </c>
      <c r="T239">
        <v>18.7</v>
      </c>
      <c r="U239">
        <v>1.3</v>
      </c>
      <c r="V239">
        <v>2.2000000000000002</v>
      </c>
      <c r="W239">
        <v>10.1</v>
      </c>
      <c r="X239">
        <v>6.2</v>
      </c>
      <c r="Y239" s="3">
        <v>3975</v>
      </c>
      <c r="Z239">
        <v>15.7</v>
      </c>
      <c r="AB239">
        <f t="shared" si="12"/>
        <v>237</v>
      </c>
      <c r="AC239">
        <f t="shared" si="13"/>
        <v>15.581971133316252</v>
      </c>
      <c r="AD239">
        <f t="shared" si="14"/>
        <v>18.463942266632504</v>
      </c>
      <c r="AE239">
        <f t="shared" si="15"/>
        <v>2.8819711333162523</v>
      </c>
      <c r="AG239">
        <v>237</v>
      </c>
      <c r="AH239">
        <v>1.3</v>
      </c>
      <c r="AI239">
        <v>2.2000000000000002</v>
      </c>
      <c r="AJ239">
        <v>10.1</v>
      </c>
      <c r="AK239">
        <v>6.2</v>
      </c>
    </row>
    <row r="240" spans="1:37" x14ac:dyDescent="0.25">
      <c r="A240">
        <v>238</v>
      </c>
      <c r="B240">
        <v>14.9</v>
      </c>
      <c r="C240">
        <v>17.399999999999999</v>
      </c>
      <c r="D240" s="3">
        <v>2722</v>
      </c>
      <c r="E240" s="3">
        <v>79887</v>
      </c>
      <c r="F240">
        <v>17.399999999999999</v>
      </c>
      <c r="G240">
        <v>1.4</v>
      </c>
      <c r="H240">
        <v>1.7</v>
      </c>
      <c r="I240">
        <v>10.199999999999999</v>
      </c>
      <c r="J240">
        <v>5</v>
      </c>
      <c r="K240" s="3">
        <v>2357</v>
      </c>
      <c r="L240">
        <v>14.9</v>
      </c>
      <c r="O240">
        <v>238</v>
      </c>
      <c r="P240">
        <v>15.8</v>
      </c>
      <c r="Q240">
        <v>18.399999999999999</v>
      </c>
      <c r="R240" s="3">
        <v>8772</v>
      </c>
      <c r="S240" s="3">
        <v>247281</v>
      </c>
      <c r="T240">
        <v>18.399999999999999</v>
      </c>
      <c r="U240">
        <v>1.3</v>
      </c>
      <c r="V240">
        <v>2.2999999999999998</v>
      </c>
      <c r="W240">
        <v>10.1</v>
      </c>
      <c r="X240">
        <v>5.8</v>
      </c>
      <c r="Y240" s="3">
        <v>3870</v>
      </c>
      <c r="Z240">
        <v>15.8</v>
      </c>
      <c r="AB240">
        <f t="shared" si="12"/>
        <v>238</v>
      </c>
      <c r="AC240">
        <f t="shared" si="13"/>
        <v>15.586862710979643</v>
      </c>
      <c r="AD240">
        <f t="shared" si="14"/>
        <v>18.163180789977378</v>
      </c>
      <c r="AE240">
        <f t="shared" si="15"/>
        <v>2.5763180789977351</v>
      </c>
      <c r="AG240">
        <v>238</v>
      </c>
      <c r="AH240">
        <v>1.3</v>
      </c>
      <c r="AI240">
        <v>2.2999999999999998</v>
      </c>
      <c r="AJ240">
        <v>10.1</v>
      </c>
      <c r="AK240">
        <v>5.8</v>
      </c>
    </row>
    <row r="241" spans="1:37" x14ac:dyDescent="0.25">
      <c r="A241">
        <v>239</v>
      </c>
      <c r="B241">
        <v>16.3</v>
      </c>
      <c r="C241">
        <v>17</v>
      </c>
      <c r="D241" s="3">
        <v>2548</v>
      </c>
      <c r="E241" s="3">
        <v>74756</v>
      </c>
      <c r="F241">
        <v>17</v>
      </c>
      <c r="G241">
        <v>1.4</v>
      </c>
      <c r="H241">
        <v>1.7</v>
      </c>
      <c r="I241">
        <v>10.199999999999999</v>
      </c>
      <c r="J241">
        <v>4.5999999999999996</v>
      </c>
      <c r="K241" s="3">
        <v>2216</v>
      </c>
      <c r="L241">
        <v>16.3</v>
      </c>
      <c r="O241">
        <v>239</v>
      </c>
      <c r="P241">
        <v>16.2</v>
      </c>
      <c r="Q241">
        <v>18.399999999999999</v>
      </c>
      <c r="R241" s="3">
        <v>8690</v>
      </c>
      <c r="S241" s="3">
        <v>260878</v>
      </c>
      <c r="T241">
        <v>18.399999999999999</v>
      </c>
      <c r="U241">
        <v>1.3</v>
      </c>
      <c r="V241">
        <v>2.2000000000000002</v>
      </c>
      <c r="W241">
        <v>10.1</v>
      </c>
      <c r="X241">
        <v>5.9</v>
      </c>
      <c r="Y241" s="3">
        <v>3803</v>
      </c>
      <c r="Z241">
        <v>16.2</v>
      </c>
      <c r="AB241">
        <f t="shared" si="12"/>
        <v>239</v>
      </c>
      <c r="AC241">
        <f t="shared" si="13"/>
        <v>16.222673073500623</v>
      </c>
      <c r="AD241">
        <f t="shared" si="14"/>
        <v>18.08257697099128</v>
      </c>
      <c r="AE241">
        <f t="shared" si="15"/>
        <v>1.859903897490657</v>
      </c>
      <c r="AG241">
        <v>239</v>
      </c>
      <c r="AH241">
        <v>1.3</v>
      </c>
      <c r="AI241">
        <v>2.2000000000000002</v>
      </c>
      <c r="AJ241">
        <v>10.1</v>
      </c>
      <c r="AK241">
        <v>5.9</v>
      </c>
    </row>
    <row r="242" spans="1:37" x14ac:dyDescent="0.25">
      <c r="A242">
        <v>240</v>
      </c>
      <c r="B242">
        <v>15.1</v>
      </c>
      <c r="C242">
        <v>17.399999999999999</v>
      </c>
      <c r="D242" s="3">
        <v>2551</v>
      </c>
      <c r="E242" s="3">
        <v>76199</v>
      </c>
      <c r="F242">
        <v>17.399999999999999</v>
      </c>
      <c r="G242">
        <v>1.4</v>
      </c>
      <c r="H242">
        <v>1.7</v>
      </c>
      <c r="I242">
        <v>10.199999999999999</v>
      </c>
      <c r="J242">
        <v>5.0999999999999996</v>
      </c>
      <c r="K242" s="3">
        <v>2236</v>
      </c>
      <c r="L242">
        <v>15.1</v>
      </c>
      <c r="O242">
        <v>240</v>
      </c>
      <c r="P242">
        <v>16</v>
      </c>
      <c r="Q242">
        <v>18.399999999999999</v>
      </c>
      <c r="R242" s="3">
        <v>8548</v>
      </c>
      <c r="S242" s="3">
        <v>272971</v>
      </c>
      <c r="T242">
        <v>18.399999999999999</v>
      </c>
      <c r="U242">
        <v>1.3</v>
      </c>
      <c r="V242">
        <v>2.2999999999999998</v>
      </c>
      <c r="W242">
        <v>10.1</v>
      </c>
      <c r="X242">
        <v>5.7</v>
      </c>
      <c r="Y242" s="3">
        <v>3679</v>
      </c>
      <c r="Z242">
        <v>16</v>
      </c>
      <c r="AB242">
        <f t="shared" si="12"/>
        <v>240</v>
      </c>
      <c r="AC242">
        <f t="shared" si="13"/>
        <v>15.793143526443824</v>
      </c>
      <c r="AD242">
        <f t="shared" si="14"/>
        <v>18.17015947382647</v>
      </c>
      <c r="AE242">
        <f t="shared" si="15"/>
        <v>2.3770159473826453</v>
      </c>
      <c r="AG242">
        <v>240</v>
      </c>
      <c r="AH242">
        <v>1.3</v>
      </c>
      <c r="AI242">
        <v>2.2999999999999998</v>
      </c>
      <c r="AJ242">
        <v>10.1</v>
      </c>
      <c r="AK242">
        <v>5.7</v>
      </c>
    </row>
    <row r="243" spans="1:37" x14ac:dyDescent="0.25">
      <c r="A243">
        <v>241</v>
      </c>
      <c r="B243">
        <v>14.8</v>
      </c>
      <c r="C243">
        <v>16.899999999999999</v>
      </c>
      <c r="D243" s="3">
        <v>2442</v>
      </c>
      <c r="E243" s="3">
        <v>72944</v>
      </c>
      <c r="F243">
        <v>16.899999999999999</v>
      </c>
      <c r="G243">
        <v>1.4</v>
      </c>
      <c r="H243">
        <v>1.6</v>
      </c>
      <c r="I243">
        <v>10.199999999999999</v>
      </c>
      <c r="J243">
        <v>4.5</v>
      </c>
      <c r="K243" s="3">
        <v>2114</v>
      </c>
      <c r="L243">
        <v>14.8</v>
      </c>
      <c r="O243">
        <v>241</v>
      </c>
      <c r="P243">
        <v>15.8</v>
      </c>
      <c r="Q243">
        <v>18.3</v>
      </c>
      <c r="R243" s="3">
        <v>8365</v>
      </c>
      <c r="S243" s="3">
        <v>260813</v>
      </c>
      <c r="T243">
        <v>18.3</v>
      </c>
      <c r="U243">
        <v>1.3</v>
      </c>
      <c r="V243">
        <v>2.2000000000000002</v>
      </c>
      <c r="W243">
        <v>10.1</v>
      </c>
      <c r="X243">
        <v>5.7</v>
      </c>
      <c r="Y243" s="3">
        <v>3557</v>
      </c>
      <c r="Z243">
        <v>15.8</v>
      </c>
      <c r="AB243">
        <f t="shared" si="12"/>
        <v>241</v>
      </c>
      <c r="AC243">
        <f t="shared" si="13"/>
        <v>15.574035347459979</v>
      </c>
      <c r="AD243">
        <f t="shared" si="14"/>
        <v>17.983649486443969</v>
      </c>
      <c r="AE243">
        <f t="shared" si="15"/>
        <v>2.40961413898399</v>
      </c>
      <c r="AG243">
        <v>241</v>
      </c>
      <c r="AH243">
        <v>1.3</v>
      </c>
      <c r="AI243">
        <v>2.2000000000000002</v>
      </c>
      <c r="AJ243">
        <v>10.1</v>
      </c>
      <c r="AK243">
        <v>5.7</v>
      </c>
    </row>
    <row r="244" spans="1:37" x14ac:dyDescent="0.25">
      <c r="A244">
        <v>242</v>
      </c>
      <c r="B244">
        <v>15.5</v>
      </c>
      <c r="C244">
        <v>17.100000000000001</v>
      </c>
      <c r="D244" s="3">
        <v>2426</v>
      </c>
      <c r="E244" s="3">
        <v>74169</v>
      </c>
      <c r="F244">
        <v>17.100000000000001</v>
      </c>
      <c r="G244">
        <v>1.4</v>
      </c>
      <c r="H244">
        <v>1.6</v>
      </c>
      <c r="I244">
        <v>10.199999999999999</v>
      </c>
      <c r="J244">
        <v>4.8</v>
      </c>
      <c r="K244" s="3">
        <v>2110</v>
      </c>
      <c r="L244">
        <v>15.5</v>
      </c>
      <c r="O244">
        <v>242</v>
      </c>
      <c r="P244">
        <v>15.7</v>
      </c>
      <c r="Q244">
        <v>18.3</v>
      </c>
      <c r="R244" s="3">
        <v>8311</v>
      </c>
      <c r="S244" s="3">
        <v>267334</v>
      </c>
      <c r="T244">
        <v>18.3</v>
      </c>
      <c r="U244">
        <v>1.3</v>
      </c>
      <c r="V244">
        <v>2.2999999999999998</v>
      </c>
      <c r="W244">
        <v>10.1</v>
      </c>
      <c r="X244">
        <v>5.6</v>
      </c>
      <c r="Y244" s="3">
        <v>3483</v>
      </c>
      <c r="Z244">
        <v>15.7</v>
      </c>
      <c r="AB244">
        <f t="shared" si="12"/>
        <v>242</v>
      </c>
      <c r="AC244">
        <f t="shared" si="13"/>
        <v>15.654810468473505</v>
      </c>
      <c r="AD244">
        <f t="shared" si="14"/>
        <v>18.028862810841019</v>
      </c>
      <c r="AE244">
        <f t="shared" si="15"/>
        <v>2.3740523423675146</v>
      </c>
      <c r="AG244">
        <v>242</v>
      </c>
      <c r="AH244">
        <v>1.3</v>
      </c>
      <c r="AI244">
        <v>2.2999999999999998</v>
      </c>
      <c r="AJ244">
        <v>10.1</v>
      </c>
      <c r="AK244">
        <v>5.6</v>
      </c>
    </row>
    <row r="245" spans="1:37" x14ac:dyDescent="0.25">
      <c r="A245">
        <v>243</v>
      </c>
      <c r="B245">
        <v>14.4</v>
      </c>
      <c r="C245">
        <v>16.8</v>
      </c>
      <c r="D245" s="3">
        <v>2319</v>
      </c>
      <c r="E245" s="3">
        <v>69939</v>
      </c>
      <c r="F245">
        <v>16.8</v>
      </c>
      <c r="G245">
        <v>1.4</v>
      </c>
      <c r="H245">
        <v>1.5</v>
      </c>
      <c r="I245">
        <v>10.199999999999999</v>
      </c>
      <c r="J245">
        <v>4.5999999999999996</v>
      </c>
      <c r="K245" s="3">
        <v>1996</v>
      </c>
      <c r="L245">
        <v>14.4</v>
      </c>
      <c r="O245">
        <v>243</v>
      </c>
      <c r="P245">
        <v>16</v>
      </c>
      <c r="Q245">
        <v>18.2</v>
      </c>
      <c r="R245" s="3">
        <v>8204</v>
      </c>
      <c r="S245" s="3">
        <v>282734</v>
      </c>
      <c r="T245">
        <v>18.2</v>
      </c>
      <c r="U245">
        <v>1.4</v>
      </c>
      <c r="V245">
        <v>2.2000000000000002</v>
      </c>
      <c r="W245">
        <v>10.1</v>
      </c>
      <c r="X245">
        <v>5.5</v>
      </c>
      <c r="Y245" s="3">
        <v>3482</v>
      </c>
      <c r="Z245">
        <v>16</v>
      </c>
      <c r="AB245">
        <f t="shared" si="12"/>
        <v>243</v>
      </c>
      <c r="AC245">
        <f t="shared" si="13"/>
        <v>15.647400931293358</v>
      </c>
      <c r="AD245">
        <f t="shared" si="14"/>
        <v>17.891475814881687</v>
      </c>
      <c r="AE245">
        <f t="shared" si="15"/>
        <v>2.2440748835883291</v>
      </c>
      <c r="AG245">
        <v>243</v>
      </c>
      <c r="AH245">
        <v>1.4</v>
      </c>
      <c r="AI245">
        <v>2.2000000000000002</v>
      </c>
      <c r="AJ245">
        <v>10.1</v>
      </c>
      <c r="AK245">
        <v>5.5</v>
      </c>
    </row>
    <row r="246" spans="1:37" x14ac:dyDescent="0.25">
      <c r="A246">
        <v>244</v>
      </c>
      <c r="B246">
        <v>14.5</v>
      </c>
      <c r="C246">
        <v>16.7</v>
      </c>
      <c r="D246" s="3">
        <v>2296</v>
      </c>
      <c r="E246" s="3">
        <v>73389</v>
      </c>
      <c r="F246">
        <v>16.7</v>
      </c>
      <c r="G246">
        <v>1.4</v>
      </c>
      <c r="H246">
        <v>1.5</v>
      </c>
      <c r="I246">
        <v>10.199999999999999</v>
      </c>
      <c r="J246">
        <v>4.4000000000000004</v>
      </c>
      <c r="K246" s="3">
        <v>1981</v>
      </c>
      <c r="L246">
        <v>14.5</v>
      </c>
      <c r="O246">
        <v>244</v>
      </c>
      <c r="P246">
        <v>15.5</v>
      </c>
      <c r="Q246">
        <v>18.3</v>
      </c>
      <c r="R246" s="3">
        <v>8069</v>
      </c>
      <c r="S246" s="3">
        <v>284114</v>
      </c>
      <c r="T246">
        <v>18.3</v>
      </c>
      <c r="U246">
        <v>1.4</v>
      </c>
      <c r="V246">
        <v>2.2999999999999998</v>
      </c>
      <c r="W246">
        <v>10.1</v>
      </c>
      <c r="X246">
        <v>5.6</v>
      </c>
      <c r="Y246" s="3">
        <v>3397</v>
      </c>
      <c r="Z246">
        <v>15.5</v>
      </c>
      <c r="AB246">
        <f t="shared" si="12"/>
        <v>244</v>
      </c>
      <c r="AC246">
        <f t="shared" si="13"/>
        <v>15.278485287023637</v>
      </c>
      <c r="AD246">
        <f t="shared" si="14"/>
        <v>17.94557645923782</v>
      </c>
      <c r="AE246">
        <f t="shared" si="15"/>
        <v>2.6670911722141835</v>
      </c>
      <c r="AG246">
        <v>244</v>
      </c>
      <c r="AH246">
        <v>1.4</v>
      </c>
      <c r="AI246">
        <v>2.2999999999999998</v>
      </c>
      <c r="AJ246">
        <v>10.1</v>
      </c>
      <c r="AK246">
        <v>5.6</v>
      </c>
    </row>
    <row r="247" spans="1:37" x14ac:dyDescent="0.25">
      <c r="A247">
        <v>245</v>
      </c>
      <c r="B247">
        <v>14.3</v>
      </c>
      <c r="C247">
        <v>16.899999999999999</v>
      </c>
      <c r="D247" s="3">
        <v>2196</v>
      </c>
      <c r="E247" s="3">
        <v>69289</v>
      </c>
      <c r="F247">
        <v>16.899999999999999</v>
      </c>
      <c r="G247">
        <v>1.4</v>
      </c>
      <c r="H247">
        <v>1.5</v>
      </c>
      <c r="I247">
        <v>10.199999999999999</v>
      </c>
      <c r="J247">
        <v>4.5999999999999996</v>
      </c>
      <c r="K247" s="3">
        <v>1917</v>
      </c>
      <c r="L247">
        <v>14.3</v>
      </c>
      <c r="O247">
        <v>245</v>
      </c>
      <c r="P247">
        <v>15.7</v>
      </c>
      <c r="Q247">
        <v>18.399999999999999</v>
      </c>
      <c r="R247" s="3">
        <v>7936</v>
      </c>
      <c r="S247" s="3">
        <v>266924</v>
      </c>
      <c r="T247">
        <v>18.399999999999999</v>
      </c>
      <c r="U247">
        <v>1.4</v>
      </c>
      <c r="V247">
        <v>2.2000000000000002</v>
      </c>
      <c r="W247">
        <v>10.1</v>
      </c>
      <c r="X247">
        <v>5.7</v>
      </c>
      <c r="Y247" s="3">
        <v>3305</v>
      </c>
      <c r="Z247">
        <v>15.7</v>
      </c>
      <c r="AB247">
        <f t="shared" si="12"/>
        <v>245</v>
      </c>
      <c r="AC247">
        <f t="shared" si="13"/>
        <v>15.396565337544414</v>
      </c>
      <c r="AD247">
        <f t="shared" si="14"/>
        <v>18.074891433083298</v>
      </c>
      <c r="AE247">
        <f t="shared" si="15"/>
        <v>2.6783260955388837</v>
      </c>
      <c r="AG247">
        <v>245</v>
      </c>
      <c r="AH247">
        <v>1.4</v>
      </c>
      <c r="AI247">
        <v>2.2000000000000002</v>
      </c>
      <c r="AJ247">
        <v>10.1</v>
      </c>
      <c r="AK247">
        <v>5.7</v>
      </c>
    </row>
    <row r="248" spans="1:37" x14ac:dyDescent="0.25">
      <c r="A248">
        <v>246</v>
      </c>
      <c r="B248">
        <v>14.1</v>
      </c>
      <c r="C248">
        <v>16.8</v>
      </c>
      <c r="D248" s="3">
        <v>2149</v>
      </c>
      <c r="E248" s="3">
        <v>68692</v>
      </c>
      <c r="F248">
        <v>16.8</v>
      </c>
      <c r="G248">
        <v>1.4</v>
      </c>
      <c r="H248">
        <v>1.4</v>
      </c>
      <c r="I248">
        <v>10.199999999999999</v>
      </c>
      <c r="J248">
        <v>4.5</v>
      </c>
      <c r="K248" s="3">
        <v>1816</v>
      </c>
      <c r="L248">
        <v>14.1</v>
      </c>
      <c r="O248">
        <v>246</v>
      </c>
      <c r="P248">
        <v>15.3</v>
      </c>
      <c r="Q248">
        <v>18.5</v>
      </c>
      <c r="R248" s="3">
        <v>7744</v>
      </c>
      <c r="S248" s="3">
        <v>275007</v>
      </c>
      <c r="T248">
        <v>18.5</v>
      </c>
      <c r="U248">
        <v>1.4</v>
      </c>
      <c r="V248">
        <v>2.2999999999999998</v>
      </c>
      <c r="W248">
        <v>10.1</v>
      </c>
      <c r="X248">
        <v>5.8</v>
      </c>
      <c r="Y248" s="3">
        <v>3193</v>
      </c>
      <c r="Z248">
        <v>15.3</v>
      </c>
      <c r="AB248">
        <f t="shared" si="12"/>
        <v>246</v>
      </c>
      <c r="AC248">
        <f t="shared" si="13"/>
        <v>15.039330839987871</v>
      </c>
      <c r="AD248">
        <f t="shared" si="14"/>
        <v>18.130718689982817</v>
      </c>
      <c r="AE248">
        <f t="shared" si="15"/>
        <v>3.0913878499949465</v>
      </c>
      <c r="AG248">
        <v>246</v>
      </c>
      <c r="AH248">
        <v>1.4</v>
      </c>
      <c r="AI248">
        <v>2.2999999999999998</v>
      </c>
      <c r="AJ248">
        <v>10.1</v>
      </c>
      <c r="AK248">
        <v>5.8</v>
      </c>
    </row>
    <row r="249" spans="1:37" x14ac:dyDescent="0.25">
      <c r="A249">
        <v>247</v>
      </c>
      <c r="B249">
        <v>14.5</v>
      </c>
      <c r="C249">
        <v>16.8</v>
      </c>
      <c r="D249" s="3">
        <v>2083</v>
      </c>
      <c r="E249" s="3">
        <v>68535</v>
      </c>
      <c r="F249">
        <v>16.8</v>
      </c>
      <c r="G249">
        <v>1.4</v>
      </c>
      <c r="H249">
        <v>1.4</v>
      </c>
      <c r="I249">
        <v>10.199999999999999</v>
      </c>
      <c r="J249">
        <v>4.5999999999999996</v>
      </c>
      <c r="K249" s="3">
        <v>1791</v>
      </c>
      <c r="L249">
        <v>14.5</v>
      </c>
      <c r="O249">
        <v>247</v>
      </c>
      <c r="P249">
        <v>15.3</v>
      </c>
      <c r="Q249">
        <v>18.5</v>
      </c>
      <c r="R249" s="3">
        <v>7649</v>
      </c>
      <c r="S249" s="3">
        <v>275664</v>
      </c>
      <c r="T249">
        <v>18.5</v>
      </c>
      <c r="U249">
        <v>1.4</v>
      </c>
      <c r="V249">
        <v>2.2000000000000002</v>
      </c>
      <c r="W249">
        <v>10.1</v>
      </c>
      <c r="X249">
        <v>5.9</v>
      </c>
      <c r="Y249" s="3">
        <v>3116</v>
      </c>
      <c r="Z249">
        <v>15.3</v>
      </c>
      <c r="AB249">
        <f t="shared" si="12"/>
        <v>247</v>
      </c>
      <c r="AC249">
        <f t="shared" si="13"/>
        <v>15.128771064529388</v>
      </c>
      <c r="AD249">
        <f t="shared" si="14"/>
        <v>18.136138512124948</v>
      </c>
      <c r="AE249">
        <f t="shared" si="15"/>
        <v>3.0073674475955592</v>
      </c>
      <c r="AG249">
        <v>247</v>
      </c>
      <c r="AH249">
        <v>1.4</v>
      </c>
      <c r="AI249">
        <v>2.2000000000000002</v>
      </c>
      <c r="AJ249">
        <v>10.1</v>
      </c>
      <c r="AK249">
        <v>5.9</v>
      </c>
    </row>
    <row r="250" spans="1:37" x14ac:dyDescent="0.25">
      <c r="A250">
        <v>248</v>
      </c>
      <c r="B250">
        <v>14.5</v>
      </c>
      <c r="C250">
        <v>16.8</v>
      </c>
      <c r="D250" s="3">
        <v>2050</v>
      </c>
      <c r="E250" s="3">
        <v>68326</v>
      </c>
      <c r="F250">
        <v>16.8</v>
      </c>
      <c r="G250">
        <v>1.4</v>
      </c>
      <c r="H250">
        <v>1.4</v>
      </c>
      <c r="I250">
        <v>10.199999999999999</v>
      </c>
      <c r="J250">
        <v>4.5999999999999996</v>
      </c>
      <c r="K250" s="3">
        <v>1772</v>
      </c>
      <c r="L250">
        <v>14.5</v>
      </c>
      <c r="O250">
        <v>248</v>
      </c>
      <c r="P250">
        <v>15.9</v>
      </c>
      <c r="Q250">
        <v>18.7</v>
      </c>
      <c r="R250" s="3">
        <v>7518</v>
      </c>
      <c r="S250" s="3">
        <v>272669</v>
      </c>
      <c r="T250">
        <v>18.7</v>
      </c>
      <c r="U250">
        <v>1.4</v>
      </c>
      <c r="V250">
        <v>2.2999999999999998</v>
      </c>
      <c r="W250">
        <v>10.1</v>
      </c>
      <c r="X250">
        <v>6.1</v>
      </c>
      <c r="Y250" s="3">
        <v>3071</v>
      </c>
      <c r="Z250">
        <v>15.9</v>
      </c>
      <c r="AB250">
        <f t="shared" si="12"/>
        <v>248</v>
      </c>
      <c r="AC250">
        <f t="shared" si="13"/>
        <v>15.600041806020068</v>
      </c>
      <c r="AD250">
        <f t="shared" si="14"/>
        <v>18.292913879598665</v>
      </c>
      <c r="AE250">
        <f t="shared" si="15"/>
        <v>2.6928720735785969</v>
      </c>
      <c r="AG250">
        <v>248</v>
      </c>
      <c r="AH250">
        <v>1.4</v>
      </c>
      <c r="AI250">
        <v>2.2999999999999998</v>
      </c>
      <c r="AJ250">
        <v>10.1</v>
      </c>
      <c r="AK250">
        <v>6.1</v>
      </c>
    </row>
    <row r="251" spans="1:37" x14ac:dyDescent="0.25">
      <c r="A251">
        <v>249</v>
      </c>
      <c r="B251">
        <v>15.2</v>
      </c>
      <c r="C251">
        <v>16.8</v>
      </c>
      <c r="D251" s="3">
        <v>1939</v>
      </c>
      <c r="E251" s="3">
        <v>63358</v>
      </c>
      <c r="F251">
        <v>16.8</v>
      </c>
      <c r="G251">
        <v>1.4</v>
      </c>
      <c r="H251">
        <v>1.2</v>
      </c>
      <c r="I251">
        <v>10.199999999999999</v>
      </c>
      <c r="J251">
        <v>4.7</v>
      </c>
      <c r="K251" s="3">
        <v>1688</v>
      </c>
      <c r="L251">
        <v>15.2</v>
      </c>
      <c r="O251">
        <v>249</v>
      </c>
      <c r="P251">
        <v>15.1</v>
      </c>
      <c r="Q251">
        <v>18.5</v>
      </c>
      <c r="R251" s="3">
        <v>7419</v>
      </c>
      <c r="S251" s="3">
        <v>267463</v>
      </c>
      <c r="T251">
        <v>18.5</v>
      </c>
      <c r="U251">
        <v>1.4</v>
      </c>
      <c r="V251">
        <v>2.2000000000000002</v>
      </c>
      <c r="W251">
        <v>10.1</v>
      </c>
      <c r="X251">
        <v>5.9</v>
      </c>
      <c r="Y251" s="3">
        <v>3008</v>
      </c>
      <c r="Z251">
        <v>15.1</v>
      </c>
      <c r="AB251">
        <f t="shared" si="12"/>
        <v>249</v>
      </c>
      <c r="AC251">
        <f t="shared" si="13"/>
        <v>15.120720239367385</v>
      </c>
      <c r="AD251">
        <f t="shared" si="14"/>
        <v>18.147755930754435</v>
      </c>
      <c r="AE251">
        <f t="shared" si="15"/>
        <v>3.0270356913870504</v>
      </c>
      <c r="AG251">
        <v>249</v>
      </c>
      <c r="AH251">
        <v>1.4</v>
      </c>
      <c r="AI251">
        <v>2.2000000000000002</v>
      </c>
      <c r="AJ251">
        <v>10.1</v>
      </c>
      <c r="AK251">
        <v>5.9</v>
      </c>
    </row>
    <row r="252" spans="1:37" x14ac:dyDescent="0.25">
      <c r="A252">
        <v>250</v>
      </c>
      <c r="B252">
        <v>14.4</v>
      </c>
      <c r="C252">
        <v>16.7</v>
      </c>
      <c r="D252" s="3">
        <v>1949</v>
      </c>
      <c r="E252" s="3">
        <v>67087</v>
      </c>
      <c r="F252">
        <v>16.7</v>
      </c>
      <c r="G252">
        <v>1.4</v>
      </c>
      <c r="H252">
        <v>1.2</v>
      </c>
      <c r="I252">
        <v>10.199999999999999</v>
      </c>
      <c r="J252">
        <v>4.5</v>
      </c>
      <c r="K252" s="3">
        <v>1664</v>
      </c>
      <c r="L252">
        <v>14.4</v>
      </c>
      <c r="O252">
        <v>250</v>
      </c>
      <c r="P252">
        <v>15</v>
      </c>
      <c r="Q252">
        <v>18.399999999999999</v>
      </c>
      <c r="R252" s="3">
        <v>7298</v>
      </c>
      <c r="S252" s="3">
        <v>272303</v>
      </c>
      <c r="T252">
        <v>18.399999999999999</v>
      </c>
      <c r="U252">
        <v>1.4</v>
      </c>
      <c r="V252">
        <v>2.2999999999999998</v>
      </c>
      <c r="W252">
        <v>10.1</v>
      </c>
      <c r="X252">
        <v>5.7</v>
      </c>
      <c r="Y252" s="3">
        <v>2929</v>
      </c>
      <c r="Z252">
        <v>15</v>
      </c>
      <c r="AB252">
        <f t="shared" si="12"/>
        <v>250</v>
      </c>
      <c r="AC252">
        <f t="shared" si="13"/>
        <v>14.873537363469234</v>
      </c>
      <c r="AD252">
        <f t="shared" si="14"/>
        <v>18.041689196496158</v>
      </c>
      <c r="AE252">
        <f t="shared" si="15"/>
        <v>3.1681518330269238</v>
      </c>
      <c r="AG252">
        <v>250</v>
      </c>
      <c r="AH252">
        <v>1.4</v>
      </c>
      <c r="AI252">
        <v>2.2999999999999998</v>
      </c>
      <c r="AJ252">
        <v>10.1</v>
      </c>
      <c r="AK252">
        <v>5.7</v>
      </c>
    </row>
    <row r="253" spans="1:37" x14ac:dyDescent="0.25">
      <c r="A253">
        <v>251</v>
      </c>
      <c r="B253">
        <v>14.2</v>
      </c>
      <c r="C253">
        <v>16.8</v>
      </c>
      <c r="D253" s="3">
        <v>1896</v>
      </c>
      <c r="E253" s="3">
        <v>66589</v>
      </c>
      <c r="F253">
        <v>16.8</v>
      </c>
      <c r="G253">
        <v>1.4</v>
      </c>
      <c r="H253">
        <v>1.2</v>
      </c>
      <c r="I253">
        <v>10.199999999999999</v>
      </c>
      <c r="J253">
        <v>4.7</v>
      </c>
      <c r="K253" s="3">
        <v>1620</v>
      </c>
      <c r="L253">
        <v>14.2</v>
      </c>
      <c r="O253">
        <v>251</v>
      </c>
      <c r="P253">
        <v>15.2</v>
      </c>
      <c r="Q253">
        <v>18.5</v>
      </c>
      <c r="R253" s="3">
        <v>7233</v>
      </c>
      <c r="S253" s="3">
        <v>273476</v>
      </c>
      <c r="T253">
        <v>18.5</v>
      </c>
      <c r="U253">
        <v>1.4</v>
      </c>
      <c r="V253">
        <v>2.2000000000000002</v>
      </c>
      <c r="W253">
        <v>10.1</v>
      </c>
      <c r="X253">
        <v>6</v>
      </c>
      <c r="Y253" s="3">
        <v>2913</v>
      </c>
      <c r="Z253">
        <v>15.2</v>
      </c>
      <c r="AB253">
        <f t="shared" si="12"/>
        <v>251</v>
      </c>
      <c r="AC253">
        <f t="shared" si="13"/>
        <v>14.992310220177455</v>
      </c>
      <c r="AD253">
        <f t="shared" si="14"/>
        <v>18.146927374301676</v>
      </c>
      <c r="AE253">
        <f t="shared" si="15"/>
        <v>3.1546171541242209</v>
      </c>
      <c r="AG253">
        <v>251</v>
      </c>
      <c r="AH253">
        <v>1.4</v>
      </c>
      <c r="AI253">
        <v>2.2000000000000002</v>
      </c>
      <c r="AJ253">
        <v>10.1</v>
      </c>
      <c r="AK253">
        <v>6</v>
      </c>
    </row>
    <row r="254" spans="1:37" x14ac:dyDescent="0.25">
      <c r="A254">
        <v>252</v>
      </c>
      <c r="B254">
        <v>14.9</v>
      </c>
      <c r="C254">
        <v>16.8</v>
      </c>
      <c r="D254" s="3">
        <v>1862</v>
      </c>
      <c r="E254" s="3">
        <v>65464</v>
      </c>
      <c r="F254">
        <v>16.8</v>
      </c>
      <c r="G254">
        <v>1.4</v>
      </c>
      <c r="H254">
        <v>1.2</v>
      </c>
      <c r="I254">
        <v>10.199999999999999</v>
      </c>
      <c r="J254">
        <v>4.7</v>
      </c>
      <c r="K254" s="3">
        <v>1600</v>
      </c>
      <c r="L254">
        <v>14.9</v>
      </c>
      <c r="O254">
        <v>252</v>
      </c>
      <c r="P254">
        <v>15.8</v>
      </c>
      <c r="Q254">
        <v>18.600000000000001</v>
      </c>
      <c r="R254" s="3">
        <v>7115</v>
      </c>
      <c r="S254" s="3">
        <v>257495</v>
      </c>
      <c r="T254">
        <v>18.600000000000001</v>
      </c>
      <c r="U254">
        <v>1.4</v>
      </c>
      <c r="V254">
        <v>2.2000000000000002</v>
      </c>
      <c r="W254">
        <v>10.1</v>
      </c>
      <c r="X254">
        <v>5.9</v>
      </c>
      <c r="Y254" s="3">
        <v>2829</v>
      </c>
      <c r="Z254">
        <v>15.8</v>
      </c>
      <c r="AB254">
        <f t="shared" si="12"/>
        <v>252</v>
      </c>
      <c r="AC254">
        <f t="shared" si="13"/>
        <v>15.613322936393002</v>
      </c>
      <c r="AD254">
        <f t="shared" si="14"/>
        <v>18.226645872786008</v>
      </c>
      <c r="AE254">
        <f t="shared" si="15"/>
        <v>2.6133229363930059</v>
      </c>
      <c r="AG254">
        <v>252</v>
      </c>
      <c r="AH254">
        <v>1.4</v>
      </c>
      <c r="AI254">
        <v>2.2000000000000002</v>
      </c>
      <c r="AJ254">
        <v>10.1</v>
      </c>
      <c r="AK254">
        <v>5.9</v>
      </c>
    </row>
    <row r="255" spans="1:37" x14ac:dyDescent="0.25">
      <c r="A255">
        <v>253</v>
      </c>
      <c r="B255">
        <v>14.3</v>
      </c>
      <c r="C255">
        <v>16.7</v>
      </c>
      <c r="D255" s="3">
        <v>1796</v>
      </c>
      <c r="E255" s="3">
        <v>60171</v>
      </c>
      <c r="F255">
        <v>16.7</v>
      </c>
      <c r="G255">
        <v>1.5</v>
      </c>
      <c r="H255">
        <v>1.1000000000000001</v>
      </c>
      <c r="I255">
        <v>10.199999999999999</v>
      </c>
      <c r="J255">
        <v>4.7</v>
      </c>
      <c r="K255" s="3">
        <v>1524</v>
      </c>
      <c r="L255">
        <v>14.3</v>
      </c>
      <c r="O255">
        <v>253</v>
      </c>
      <c r="P255">
        <v>15.9</v>
      </c>
      <c r="Q255">
        <v>18.7</v>
      </c>
      <c r="R255" s="3">
        <v>7058</v>
      </c>
      <c r="S255" s="3">
        <v>267949</v>
      </c>
      <c r="T255">
        <v>18.7</v>
      </c>
      <c r="U255">
        <v>1.4</v>
      </c>
      <c r="V255">
        <v>2.1</v>
      </c>
      <c r="W255">
        <v>10.1</v>
      </c>
      <c r="X255">
        <v>6.2</v>
      </c>
      <c r="Y255" s="3">
        <v>2788</v>
      </c>
      <c r="Z255">
        <v>15.9</v>
      </c>
      <c r="AB255">
        <f t="shared" si="12"/>
        <v>253</v>
      </c>
      <c r="AC255">
        <f t="shared" si="13"/>
        <v>15.575446126044726</v>
      </c>
      <c r="AD255">
        <f t="shared" si="14"/>
        <v>18.294307657555905</v>
      </c>
      <c r="AE255">
        <f t="shared" si="15"/>
        <v>2.7188615315111786</v>
      </c>
      <c r="AG255">
        <v>253</v>
      </c>
      <c r="AH255">
        <v>1.4</v>
      </c>
      <c r="AI255">
        <v>2.1</v>
      </c>
      <c r="AJ255">
        <v>10.1</v>
      </c>
      <c r="AK255">
        <v>6.2</v>
      </c>
    </row>
    <row r="256" spans="1:37" x14ac:dyDescent="0.25">
      <c r="A256">
        <v>254</v>
      </c>
      <c r="B256">
        <v>14</v>
      </c>
      <c r="C256">
        <v>16.899999999999999</v>
      </c>
      <c r="D256" s="3">
        <v>1776</v>
      </c>
      <c r="E256" s="3">
        <v>62939</v>
      </c>
      <c r="F256">
        <v>16.899999999999999</v>
      </c>
      <c r="G256">
        <v>1.5</v>
      </c>
      <c r="H256">
        <v>1.1000000000000001</v>
      </c>
      <c r="I256">
        <v>10.199999999999999</v>
      </c>
      <c r="J256">
        <v>4.9000000000000004</v>
      </c>
      <c r="K256" s="3">
        <v>1502</v>
      </c>
      <c r="L256">
        <v>14</v>
      </c>
      <c r="O256">
        <v>254</v>
      </c>
      <c r="P256">
        <v>15</v>
      </c>
      <c r="Q256">
        <v>18.899999999999999</v>
      </c>
      <c r="R256" s="3">
        <v>6959</v>
      </c>
      <c r="S256" s="3">
        <v>257662</v>
      </c>
      <c r="T256">
        <v>18.899999999999999</v>
      </c>
      <c r="U256">
        <v>1.4</v>
      </c>
      <c r="V256">
        <v>2.2000000000000002</v>
      </c>
      <c r="W256">
        <v>10.1</v>
      </c>
      <c r="X256">
        <v>6.3</v>
      </c>
      <c r="Y256" s="3">
        <v>2753</v>
      </c>
      <c r="Z256">
        <v>15</v>
      </c>
      <c r="AB256">
        <f t="shared" si="12"/>
        <v>254</v>
      </c>
      <c r="AC256">
        <f t="shared" si="13"/>
        <v>14.796680022896394</v>
      </c>
      <c r="AD256">
        <f t="shared" si="14"/>
        <v>18.493360045792784</v>
      </c>
      <c r="AE256">
        <f t="shared" si="15"/>
        <v>3.6966800228963894</v>
      </c>
      <c r="AG256">
        <v>254</v>
      </c>
      <c r="AH256">
        <v>1.4</v>
      </c>
      <c r="AI256">
        <v>2.2000000000000002</v>
      </c>
      <c r="AJ256">
        <v>10.1</v>
      </c>
      <c r="AK256">
        <v>6.3</v>
      </c>
    </row>
    <row r="257" spans="1:37" x14ac:dyDescent="0.25">
      <c r="A257">
        <v>255</v>
      </c>
      <c r="B257">
        <v>13.7</v>
      </c>
      <c r="C257">
        <v>16.8</v>
      </c>
      <c r="D257" s="3">
        <v>1699</v>
      </c>
      <c r="E257" s="3">
        <v>62330</v>
      </c>
      <c r="F257">
        <v>16.8</v>
      </c>
      <c r="G257">
        <v>1.5</v>
      </c>
      <c r="H257">
        <v>1.1000000000000001</v>
      </c>
      <c r="I257">
        <v>10.199999999999999</v>
      </c>
      <c r="J257">
        <v>4.9000000000000004</v>
      </c>
      <c r="K257" s="3">
        <v>1453</v>
      </c>
      <c r="L257">
        <v>13.7</v>
      </c>
      <c r="O257">
        <v>255</v>
      </c>
      <c r="P257">
        <v>15.7</v>
      </c>
      <c r="Q257">
        <v>19.100000000000001</v>
      </c>
      <c r="R257" s="3">
        <v>6885</v>
      </c>
      <c r="S257" s="3">
        <v>259602</v>
      </c>
      <c r="T257">
        <v>19.100000000000001</v>
      </c>
      <c r="U257">
        <v>1.4</v>
      </c>
      <c r="V257">
        <v>2.1</v>
      </c>
      <c r="W257">
        <v>10.199999999999999</v>
      </c>
      <c r="X257">
        <v>6.6</v>
      </c>
      <c r="Y257" s="3">
        <v>2720</v>
      </c>
      <c r="Z257">
        <v>15.7</v>
      </c>
      <c r="AB257">
        <f t="shared" si="12"/>
        <v>255</v>
      </c>
      <c r="AC257">
        <f t="shared" si="13"/>
        <v>15.304147250698973</v>
      </c>
      <c r="AD257">
        <f t="shared" si="14"/>
        <v>18.644769338303821</v>
      </c>
      <c r="AE257">
        <f t="shared" si="15"/>
        <v>3.3406220876048476</v>
      </c>
      <c r="AG257">
        <v>255</v>
      </c>
      <c r="AH257">
        <v>1.4</v>
      </c>
      <c r="AI257">
        <v>2.1</v>
      </c>
      <c r="AJ257">
        <v>10.199999999999999</v>
      </c>
      <c r="AK257">
        <v>6.6</v>
      </c>
    </row>
    <row r="258" spans="1:37" x14ac:dyDescent="0.25">
      <c r="A258">
        <v>256</v>
      </c>
      <c r="B258">
        <v>13.7</v>
      </c>
      <c r="C258">
        <v>16.8</v>
      </c>
      <c r="D258" s="3">
        <v>1662</v>
      </c>
      <c r="E258" s="3">
        <v>60512</v>
      </c>
      <c r="F258">
        <v>16.8</v>
      </c>
      <c r="G258">
        <v>1.5</v>
      </c>
      <c r="H258">
        <v>1</v>
      </c>
      <c r="I258">
        <v>10.199999999999999</v>
      </c>
      <c r="J258">
        <v>4.8</v>
      </c>
      <c r="K258" s="3">
        <v>1408</v>
      </c>
      <c r="L258">
        <v>13.7</v>
      </c>
      <c r="O258">
        <v>256</v>
      </c>
      <c r="P258">
        <v>15.6</v>
      </c>
      <c r="Q258">
        <v>19</v>
      </c>
      <c r="R258" s="3">
        <v>6757</v>
      </c>
      <c r="S258" s="3">
        <v>264239</v>
      </c>
      <c r="T258">
        <v>19</v>
      </c>
      <c r="U258">
        <v>1.4</v>
      </c>
      <c r="V258">
        <v>2.2000000000000002</v>
      </c>
      <c r="W258">
        <v>10.199999999999999</v>
      </c>
      <c r="X258">
        <v>6.3</v>
      </c>
      <c r="Y258" s="3">
        <v>2632</v>
      </c>
      <c r="Z258">
        <v>15.6</v>
      </c>
      <c r="AB258">
        <f t="shared" si="12"/>
        <v>256</v>
      </c>
      <c r="AC258">
        <f t="shared" si="13"/>
        <v>15.224919824207149</v>
      </c>
      <c r="AD258">
        <f t="shared" si="14"/>
        <v>18.56569663855565</v>
      </c>
      <c r="AE258">
        <f t="shared" si="15"/>
        <v>3.3407768143485015</v>
      </c>
      <c r="AG258">
        <v>256</v>
      </c>
      <c r="AH258">
        <v>1.4</v>
      </c>
      <c r="AI258">
        <v>2.2000000000000002</v>
      </c>
      <c r="AJ258">
        <v>10.199999999999999</v>
      </c>
      <c r="AK258">
        <v>6.3</v>
      </c>
    </row>
    <row r="259" spans="1:37" x14ac:dyDescent="0.25">
      <c r="A259">
        <v>257</v>
      </c>
      <c r="B259">
        <v>14.2</v>
      </c>
      <c r="C259">
        <v>16.5</v>
      </c>
      <c r="D259" s="3">
        <v>1635</v>
      </c>
      <c r="E259" s="3">
        <v>60035</v>
      </c>
      <c r="F259">
        <v>16.5</v>
      </c>
      <c r="G259">
        <v>1.5</v>
      </c>
      <c r="H259">
        <v>1</v>
      </c>
      <c r="I259">
        <v>10.199999999999999</v>
      </c>
      <c r="J259">
        <v>4.5999999999999996</v>
      </c>
      <c r="K259" s="3">
        <v>1383</v>
      </c>
      <c r="L259">
        <v>14.2</v>
      </c>
      <c r="O259">
        <v>257</v>
      </c>
      <c r="P259">
        <v>15.4</v>
      </c>
      <c r="Q259">
        <v>19</v>
      </c>
      <c r="R259" s="3">
        <v>6682</v>
      </c>
      <c r="S259" s="3">
        <v>261238</v>
      </c>
      <c r="T259">
        <v>19</v>
      </c>
      <c r="U259">
        <v>1.4</v>
      </c>
      <c r="V259">
        <v>2</v>
      </c>
      <c r="W259">
        <v>10.199999999999999</v>
      </c>
      <c r="X259">
        <v>6.5</v>
      </c>
      <c r="Y259" s="3">
        <v>2576</v>
      </c>
      <c r="Z259">
        <v>15.4</v>
      </c>
      <c r="AB259">
        <f t="shared" ref="AB259:AB311" si="16">O259</f>
        <v>257</v>
      </c>
      <c r="AC259">
        <f t="shared" ref="AC259:AC311" si="17">($D259*B259+$R259*P259)/($D259+$R259)</f>
        <v>15.16409763135746</v>
      </c>
      <c r="AD259">
        <f t="shared" ref="AD259:AD311" si="18">($D259*C259+$R259*Q259)/($D259+$R259)</f>
        <v>18.50853673199471</v>
      </c>
      <c r="AE259">
        <f t="shared" ref="AE259:AE311" si="19">AD259-AC259</f>
        <v>3.3444391006372491</v>
      </c>
      <c r="AG259">
        <v>257</v>
      </c>
      <c r="AH259">
        <v>1.4</v>
      </c>
      <c r="AI259">
        <v>2</v>
      </c>
      <c r="AJ259">
        <v>10.199999999999999</v>
      </c>
      <c r="AK259">
        <v>6.5</v>
      </c>
    </row>
    <row r="260" spans="1:37" x14ac:dyDescent="0.25">
      <c r="A260">
        <v>258</v>
      </c>
      <c r="B260">
        <v>14.1</v>
      </c>
      <c r="C260">
        <v>16.7</v>
      </c>
      <c r="D260" s="3">
        <v>1607</v>
      </c>
      <c r="E260" s="3">
        <v>62069</v>
      </c>
      <c r="F260">
        <v>16.7</v>
      </c>
      <c r="G260">
        <v>1.5</v>
      </c>
      <c r="H260">
        <v>0.9</v>
      </c>
      <c r="I260">
        <v>10.199999999999999</v>
      </c>
      <c r="J260">
        <v>4.9000000000000004</v>
      </c>
      <c r="K260" s="3">
        <v>1358</v>
      </c>
      <c r="L260">
        <v>14.1</v>
      </c>
      <c r="O260">
        <v>258</v>
      </c>
      <c r="P260">
        <v>16</v>
      </c>
      <c r="Q260">
        <v>19.100000000000001</v>
      </c>
      <c r="R260" s="3">
        <v>6629</v>
      </c>
      <c r="S260" s="3">
        <v>263802</v>
      </c>
      <c r="T260">
        <v>19.100000000000001</v>
      </c>
      <c r="U260">
        <v>1.4</v>
      </c>
      <c r="V260">
        <v>2.1</v>
      </c>
      <c r="W260">
        <v>10.199999999999999</v>
      </c>
      <c r="X260">
        <v>6.6</v>
      </c>
      <c r="Y260" s="3">
        <v>2519</v>
      </c>
      <c r="Z260">
        <v>16</v>
      </c>
      <c r="AB260">
        <f t="shared" si="16"/>
        <v>258</v>
      </c>
      <c r="AC260">
        <f t="shared" si="17"/>
        <v>15.629273919378338</v>
      </c>
      <c r="AD260">
        <f t="shared" si="18"/>
        <v>18.631714424477902</v>
      </c>
      <c r="AE260">
        <f t="shared" si="19"/>
        <v>3.0024405050995639</v>
      </c>
      <c r="AG260">
        <v>258</v>
      </c>
      <c r="AH260">
        <v>1.4</v>
      </c>
      <c r="AI260">
        <v>2.1</v>
      </c>
      <c r="AJ260">
        <v>10.199999999999999</v>
      </c>
      <c r="AK260">
        <v>6.6</v>
      </c>
    </row>
    <row r="261" spans="1:37" x14ac:dyDescent="0.25">
      <c r="A261">
        <v>259</v>
      </c>
      <c r="B261">
        <v>14.8</v>
      </c>
      <c r="C261">
        <v>16.399999999999999</v>
      </c>
      <c r="D261" s="3">
        <v>1584</v>
      </c>
      <c r="E261" s="3">
        <v>61309</v>
      </c>
      <c r="F261">
        <v>16.399999999999999</v>
      </c>
      <c r="G261">
        <v>1.5</v>
      </c>
      <c r="H261">
        <v>0.9</v>
      </c>
      <c r="I261">
        <v>10.199999999999999</v>
      </c>
      <c r="J261">
        <v>4.5999999999999996</v>
      </c>
      <c r="K261" s="3">
        <v>1321</v>
      </c>
      <c r="L261">
        <v>14.8</v>
      </c>
      <c r="O261">
        <v>259</v>
      </c>
      <c r="P261">
        <v>15.8</v>
      </c>
      <c r="Q261">
        <v>19</v>
      </c>
      <c r="R261" s="3">
        <v>6520</v>
      </c>
      <c r="S261" s="3">
        <v>263211</v>
      </c>
      <c r="T261">
        <v>19</v>
      </c>
      <c r="U261">
        <v>1.4</v>
      </c>
      <c r="V261">
        <v>1.9</v>
      </c>
      <c r="W261">
        <v>10.1</v>
      </c>
      <c r="X261">
        <v>6.7</v>
      </c>
      <c r="Y261" s="3">
        <v>2480</v>
      </c>
      <c r="Z261">
        <v>15.8</v>
      </c>
      <c r="AB261">
        <f t="shared" si="16"/>
        <v>259</v>
      </c>
      <c r="AC261">
        <f t="shared" si="17"/>
        <v>15.604540967423494</v>
      </c>
      <c r="AD261">
        <f t="shared" si="18"/>
        <v>18.491806515301086</v>
      </c>
      <c r="AE261">
        <f t="shared" si="19"/>
        <v>2.8872655478775915</v>
      </c>
      <c r="AG261">
        <v>259</v>
      </c>
      <c r="AH261">
        <v>1.4</v>
      </c>
      <c r="AI261">
        <v>1.9</v>
      </c>
      <c r="AJ261">
        <v>10.1</v>
      </c>
      <c r="AK261">
        <v>6.7</v>
      </c>
    </row>
    <row r="262" spans="1:37" x14ac:dyDescent="0.25">
      <c r="A262">
        <v>260</v>
      </c>
      <c r="B262">
        <v>15.1</v>
      </c>
      <c r="C262">
        <v>15.9</v>
      </c>
      <c r="D262" s="3">
        <v>1530</v>
      </c>
      <c r="E262" s="3">
        <v>59985</v>
      </c>
      <c r="F262">
        <v>15.9</v>
      </c>
      <c r="G262">
        <v>1.5</v>
      </c>
      <c r="H262">
        <v>0.8</v>
      </c>
      <c r="I262">
        <v>10.199999999999999</v>
      </c>
      <c r="J262">
        <v>4.0999999999999996</v>
      </c>
      <c r="K262" s="3">
        <v>1266</v>
      </c>
      <c r="L262">
        <v>15.1</v>
      </c>
      <c r="O262">
        <v>260</v>
      </c>
      <c r="P262">
        <v>15.5</v>
      </c>
      <c r="Q262">
        <v>18.899999999999999</v>
      </c>
      <c r="R262" s="3">
        <v>6390</v>
      </c>
      <c r="S262" s="3">
        <v>268042</v>
      </c>
      <c r="T262">
        <v>18.899999999999999</v>
      </c>
      <c r="U262">
        <v>1.4</v>
      </c>
      <c r="V262">
        <v>2</v>
      </c>
      <c r="W262">
        <v>10.1</v>
      </c>
      <c r="X262">
        <v>6.5</v>
      </c>
      <c r="Y262" s="3">
        <v>2418</v>
      </c>
      <c r="Z262">
        <v>15.5</v>
      </c>
      <c r="AB262">
        <f t="shared" si="16"/>
        <v>260</v>
      </c>
      <c r="AC262">
        <f t="shared" si="17"/>
        <v>15.422727272727272</v>
      </c>
      <c r="AD262">
        <f t="shared" si="18"/>
        <v>18.320454545454545</v>
      </c>
      <c r="AE262">
        <f t="shared" si="19"/>
        <v>2.8977272727272734</v>
      </c>
      <c r="AG262">
        <v>260</v>
      </c>
      <c r="AH262">
        <v>1.4</v>
      </c>
      <c r="AI262">
        <v>2</v>
      </c>
      <c r="AJ262">
        <v>10.1</v>
      </c>
      <c r="AK262">
        <v>6.5</v>
      </c>
    </row>
    <row r="263" spans="1:37" x14ac:dyDescent="0.25">
      <c r="A263">
        <v>261</v>
      </c>
      <c r="B263">
        <v>13.6</v>
      </c>
      <c r="C263">
        <v>15.7</v>
      </c>
      <c r="D263" s="3">
        <v>1504</v>
      </c>
      <c r="E263" s="3">
        <v>60538</v>
      </c>
      <c r="F263">
        <v>15.7</v>
      </c>
      <c r="G263">
        <v>1.5</v>
      </c>
      <c r="H263">
        <v>0.7</v>
      </c>
      <c r="I263">
        <v>10.199999999999999</v>
      </c>
      <c r="J263">
        <v>4</v>
      </c>
      <c r="K263" s="3">
        <v>1208</v>
      </c>
      <c r="L263">
        <v>13.6</v>
      </c>
      <c r="O263">
        <v>261</v>
      </c>
      <c r="P263">
        <v>15.5</v>
      </c>
      <c r="Q263">
        <v>18.7</v>
      </c>
      <c r="R263" s="3">
        <v>6287</v>
      </c>
      <c r="S263" s="3">
        <v>254257</v>
      </c>
      <c r="T263">
        <v>18.7</v>
      </c>
      <c r="U263">
        <v>1.4</v>
      </c>
      <c r="V263">
        <v>1.8</v>
      </c>
      <c r="W263">
        <v>10.1</v>
      </c>
      <c r="X263">
        <v>6.4</v>
      </c>
      <c r="Y263" s="3">
        <v>2325</v>
      </c>
      <c r="Z263">
        <v>15.5</v>
      </c>
      <c r="AB263">
        <f t="shared" si="16"/>
        <v>261</v>
      </c>
      <c r="AC263">
        <f t="shared" si="17"/>
        <v>15.133217815428058</v>
      </c>
      <c r="AD263">
        <f t="shared" si="18"/>
        <v>18.120870234886404</v>
      </c>
      <c r="AE263">
        <f t="shared" si="19"/>
        <v>2.987652419458346</v>
      </c>
      <c r="AG263">
        <v>261</v>
      </c>
      <c r="AH263">
        <v>1.4</v>
      </c>
      <c r="AI263">
        <v>1.8</v>
      </c>
      <c r="AJ263">
        <v>10.1</v>
      </c>
      <c r="AK263">
        <v>6.4</v>
      </c>
    </row>
    <row r="264" spans="1:37" x14ac:dyDescent="0.25">
      <c r="A264">
        <v>262</v>
      </c>
      <c r="B264">
        <v>14.3</v>
      </c>
      <c r="C264">
        <v>15.8</v>
      </c>
      <c r="D264" s="3">
        <v>1455</v>
      </c>
      <c r="E264" s="3">
        <v>61045</v>
      </c>
      <c r="F264">
        <v>15.8</v>
      </c>
      <c r="G264">
        <v>1.5</v>
      </c>
      <c r="H264">
        <v>0.6</v>
      </c>
      <c r="I264">
        <v>10.199999999999999</v>
      </c>
      <c r="J264">
        <v>4.2</v>
      </c>
      <c r="K264" s="3">
        <v>1163</v>
      </c>
      <c r="L264">
        <v>14.3</v>
      </c>
      <c r="O264">
        <v>262</v>
      </c>
      <c r="P264">
        <v>15.6</v>
      </c>
      <c r="Q264">
        <v>19.2</v>
      </c>
      <c r="R264" s="3">
        <v>6203</v>
      </c>
      <c r="S264" s="3">
        <v>256374</v>
      </c>
      <c r="T264">
        <v>19.2</v>
      </c>
      <c r="U264">
        <v>1.4</v>
      </c>
      <c r="V264">
        <v>1.9</v>
      </c>
      <c r="W264">
        <v>10.1</v>
      </c>
      <c r="X264">
        <v>6.9</v>
      </c>
      <c r="Y264" s="3">
        <v>2273</v>
      </c>
      <c r="Z264">
        <v>15.6</v>
      </c>
      <c r="AB264">
        <f t="shared" si="16"/>
        <v>262</v>
      </c>
      <c r="AC264">
        <f t="shared" si="17"/>
        <v>15.353003395142336</v>
      </c>
      <c r="AD264">
        <f t="shared" si="18"/>
        <v>18.554008879603025</v>
      </c>
      <c r="AE264">
        <f t="shared" si="19"/>
        <v>3.2010054844606888</v>
      </c>
      <c r="AG264">
        <v>262</v>
      </c>
      <c r="AH264">
        <v>1.4</v>
      </c>
      <c r="AI264">
        <v>1.9</v>
      </c>
      <c r="AJ264">
        <v>10.1</v>
      </c>
      <c r="AK264">
        <v>6.9</v>
      </c>
    </row>
    <row r="265" spans="1:37" x14ac:dyDescent="0.25">
      <c r="A265">
        <v>263</v>
      </c>
      <c r="B265">
        <v>15.1</v>
      </c>
      <c r="C265">
        <v>15.7</v>
      </c>
      <c r="D265" s="3">
        <v>1345</v>
      </c>
      <c r="E265" s="3">
        <v>56525</v>
      </c>
      <c r="F265">
        <v>15.7</v>
      </c>
      <c r="G265">
        <v>1.5</v>
      </c>
      <c r="H265">
        <v>0.5</v>
      </c>
      <c r="I265">
        <v>10.199999999999999</v>
      </c>
      <c r="J265">
        <v>4.0999999999999996</v>
      </c>
      <c r="K265" s="3">
        <v>1078</v>
      </c>
      <c r="L265">
        <v>15.1</v>
      </c>
      <c r="O265">
        <v>263</v>
      </c>
      <c r="P265">
        <v>15.5</v>
      </c>
      <c r="Q265">
        <v>18.899999999999999</v>
      </c>
      <c r="R265" s="3">
        <v>6027</v>
      </c>
      <c r="S265" s="3">
        <v>249442</v>
      </c>
      <c r="T265">
        <v>18.899999999999999</v>
      </c>
      <c r="U265">
        <v>1.5</v>
      </c>
      <c r="V265">
        <v>1.7</v>
      </c>
      <c r="W265">
        <v>10.1</v>
      </c>
      <c r="X265">
        <v>6.8</v>
      </c>
      <c r="Y265" s="3">
        <v>2151</v>
      </c>
      <c r="Z265">
        <v>15.5</v>
      </c>
      <c r="AB265">
        <f t="shared" si="16"/>
        <v>263</v>
      </c>
      <c r="AC265">
        <f t="shared" si="17"/>
        <v>15.427021161150298</v>
      </c>
      <c r="AD265">
        <f t="shared" si="18"/>
        <v>18.316169289202385</v>
      </c>
      <c r="AE265">
        <f t="shared" si="19"/>
        <v>2.8891481280520868</v>
      </c>
      <c r="AG265">
        <v>263</v>
      </c>
      <c r="AH265">
        <v>1.5</v>
      </c>
      <c r="AI265">
        <v>1.7</v>
      </c>
      <c r="AJ265">
        <v>10.1</v>
      </c>
      <c r="AK265">
        <v>6.8</v>
      </c>
    </row>
    <row r="266" spans="1:37" x14ac:dyDescent="0.25">
      <c r="A266">
        <v>264</v>
      </c>
      <c r="B266">
        <v>13.7</v>
      </c>
      <c r="C266">
        <v>15.4</v>
      </c>
      <c r="D266" s="3">
        <v>1292</v>
      </c>
      <c r="E266" s="3">
        <v>55091</v>
      </c>
      <c r="F266">
        <v>15.4</v>
      </c>
      <c r="G266">
        <v>1.5</v>
      </c>
      <c r="H266">
        <v>0.4</v>
      </c>
      <c r="I266">
        <v>10.199999999999999</v>
      </c>
      <c r="J266">
        <v>3.9</v>
      </c>
      <c r="K266" s="3">
        <v>1010</v>
      </c>
      <c r="L266">
        <v>13.7</v>
      </c>
      <c r="O266">
        <v>264</v>
      </c>
      <c r="P266">
        <v>15.6</v>
      </c>
      <c r="Q266">
        <v>19</v>
      </c>
      <c r="R266" s="3">
        <v>5883</v>
      </c>
      <c r="S266" s="3">
        <v>250894</v>
      </c>
      <c r="T266">
        <v>19</v>
      </c>
      <c r="U266">
        <v>1.5</v>
      </c>
      <c r="V266">
        <v>1.8</v>
      </c>
      <c r="W266">
        <v>10.1</v>
      </c>
      <c r="X266">
        <v>6.8</v>
      </c>
      <c r="Y266" s="3">
        <v>2003</v>
      </c>
      <c r="Z266">
        <v>15.6</v>
      </c>
      <c r="AB266">
        <f t="shared" si="16"/>
        <v>264</v>
      </c>
      <c r="AC266">
        <f t="shared" si="17"/>
        <v>15.257867595818816</v>
      </c>
      <c r="AD266">
        <f t="shared" si="18"/>
        <v>18.35174912891986</v>
      </c>
      <c r="AE266">
        <f t="shared" si="19"/>
        <v>3.0938815331010439</v>
      </c>
      <c r="AG266">
        <v>264</v>
      </c>
      <c r="AH266">
        <v>1.5</v>
      </c>
      <c r="AI266">
        <v>1.8</v>
      </c>
      <c r="AJ266">
        <v>10.1</v>
      </c>
      <c r="AK266">
        <v>6.8</v>
      </c>
    </row>
    <row r="267" spans="1:37" x14ac:dyDescent="0.25">
      <c r="A267">
        <v>265</v>
      </c>
      <c r="B267">
        <v>13.9</v>
      </c>
      <c r="C267">
        <v>15.4</v>
      </c>
      <c r="D267" s="3">
        <v>1255</v>
      </c>
      <c r="E267" s="3">
        <v>57545</v>
      </c>
      <c r="F267">
        <v>15.4</v>
      </c>
      <c r="G267">
        <v>1.5</v>
      </c>
      <c r="H267">
        <v>0.3</v>
      </c>
      <c r="I267">
        <v>10.199999999999999</v>
      </c>
      <c r="J267">
        <v>4</v>
      </c>
      <c r="K267">
        <v>929</v>
      </c>
      <c r="L267">
        <v>13.9</v>
      </c>
      <c r="O267">
        <v>265</v>
      </c>
      <c r="P267">
        <v>16.2</v>
      </c>
      <c r="Q267">
        <v>19</v>
      </c>
      <c r="R267" s="3">
        <v>5772</v>
      </c>
      <c r="S267" s="3">
        <v>244644</v>
      </c>
      <c r="T267">
        <v>19</v>
      </c>
      <c r="U267">
        <v>1.5</v>
      </c>
      <c r="V267">
        <v>1.6</v>
      </c>
      <c r="W267">
        <v>10.1</v>
      </c>
      <c r="X267">
        <v>6.9</v>
      </c>
      <c r="Y267" s="3">
        <v>1865</v>
      </c>
      <c r="Z267">
        <v>16.2</v>
      </c>
      <c r="AB267">
        <f t="shared" si="16"/>
        <v>265</v>
      </c>
      <c r="AC267">
        <f t="shared" si="17"/>
        <v>15.789227266258715</v>
      </c>
      <c r="AD267">
        <f t="shared" si="18"/>
        <v>18.357051373274512</v>
      </c>
      <c r="AE267">
        <f t="shared" si="19"/>
        <v>2.567824107015797</v>
      </c>
      <c r="AG267">
        <v>265</v>
      </c>
      <c r="AH267">
        <v>1.5</v>
      </c>
      <c r="AI267">
        <v>1.6</v>
      </c>
      <c r="AJ267">
        <v>10.1</v>
      </c>
      <c r="AK267">
        <v>6.9</v>
      </c>
    </row>
    <row r="268" spans="1:37" x14ac:dyDescent="0.25">
      <c r="A268">
        <v>266</v>
      </c>
      <c r="B268">
        <v>14</v>
      </c>
      <c r="C268">
        <v>15</v>
      </c>
      <c r="D268" s="3">
        <v>1144</v>
      </c>
      <c r="E268" s="3">
        <v>52925</v>
      </c>
      <c r="F268">
        <v>15</v>
      </c>
      <c r="G268">
        <v>1.5</v>
      </c>
      <c r="H268">
        <v>0.3</v>
      </c>
      <c r="I268">
        <v>10.199999999999999</v>
      </c>
      <c r="J268">
        <v>3.5</v>
      </c>
      <c r="K268">
        <v>819</v>
      </c>
      <c r="L268">
        <v>14</v>
      </c>
      <c r="O268">
        <v>266</v>
      </c>
      <c r="P268">
        <v>15.8</v>
      </c>
      <c r="Q268">
        <v>19.7</v>
      </c>
      <c r="R268" s="3">
        <v>5569</v>
      </c>
      <c r="S268" s="3">
        <v>238688</v>
      </c>
      <c r="T268">
        <v>19.7</v>
      </c>
      <c r="U268">
        <v>1.5</v>
      </c>
      <c r="V268">
        <v>1.9</v>
      </c>
      <c r="W268">
        <v>10.1</v>
      </c>
      <c r="X268">
        <v>7.6</v>
      </c>
      <c r="Y268" s="3">
        <v>1777</v>
      </c>
      <c r="Z268">
        <v>15.8</v>
      </c>
      <c r="AB268">
        <f t="shared" si="16"/>
        <v>266</v>
      </c>
      <c r="AC268">
        <f t="shared" si="17"/>
        <v>15.493251899299866</v>
      </c>
      <c r="AD268">
        <f t="shared" si="18"/>
        <v>18.899046625949651</v>
      </c>
      <c r="AE268">
        <f t="shared" si="19"/>
        <v>3.4057947266497859</v>
      </c>
      <c r="AG268">
        <v>266</v>
      </c>
      <c r="AH268">
        <v>1.5</v>
      </c>
      <c r="AI268">
        <v>1.9</v>
      </c>
      <c r="AJ268">
        <v>10.1</v>
      </c>
      <c r="AK268">
        <v>7.6</v>
      </c>
    </row>
    <row r="269" spans="1:37" x14ac:dyDescent="0.25">
      <c r="A269">
        <v>267</v>
      </c>
      <c r="B269">
        <v>14</v>
      </c>
      <c r="C269">
        <v>14.6</v>
      </c>
      <c r="D269" s="3">
        <v>1006</v>
      </c>
      <c r="E269" s="3">
        <v>46948</v>
      </c>
      <c r="F269">
        <v>14.6</v>
      </c>
      <c r="G269">
        <v>1.5</v>
      </c>
      <c r="H269">
        <v>0.4</v>
      </c>
      <c r="I269">
        <v>10.199999999999999</v>
      </c>
      <c r="J269">
        <v>3.1</v>
      </c>
      <c r="K269">
        <v>692</v>
      </c>
      <c r="L269">
        <v>14</v>
      </c>
      <c r="O269">
        <v>267</v>
      </c>
      <c r="P269">
        <v>15.7</v>
      </c>
      <c r="Q269">
        <v>20</v>
      </c>
      <c r="R269" s="3">
        <v>5383</v>
      </c>
      <c r="S269" s="3">
        <v>231702</v>
      </c>
      <c r="T269">
        <v>20</v>
      </c>
      <c r="U269">
        <v>1.5</v>
      </c>
      <c r="V269">
        <v>1.7</v>
      </c>
      <c r="W269">
        <v>10.1</v>
      </c>
      <c r="X269">
        <v>7.9</v>
      </c>
      <c r="Y269" s="3">
        <v>1666</v>
      </c>
      <c r="Z269">
        <v>15.7</v>
      </c>
      <c r="AB269">
        <f t="shared" si="16"/>
        <v>267</v>
      </c>
      <c r="AC269">
        <f t="shared" si="17"/>
        <v>15.432321177023008</v>
      </c>
      <c r="AD269">
        <f t="shared" si="18"/>
        <v>19.149726091720144</v>
      </c>
      <c r="AE269">
        <f t="shared" si="19"/>
        <v>3.717404914697136</v>
      </c>
      <c r="AG269">
        <v>267</v>
      </c>
      <c r="AH269">
        <v>1.5</v>
      </c>
      <c r="AI269">
        <v>1.7</v>
      </c>
      <c r="AJ269">
        <v>10.1</v>
      </c>
      <c r="AK269">
        <v>7.9</v>
      </c>
    </row>
    <row r="270" spans="1:37" x14ac:dyDescent="0.25">
      <c r="A270">
        <v>268</v>
      </c>
      <c r="B270">
        <v>14.8</v>
      </c>
      <c r="C270">
        <v>15</v>
      </c>
      <c r="D270">
        <v>905</v>
      </c>
      <c r="E270" s="3">
        <v>45044</v>
      </c>
      <c r="F270">
        <v>15</v>
      </c>
      <c r="G270">
        <v>1.5</v>
      </c>
      <c r="H270">
        <v>0.4</v>
      </c>
      <c r="I270">
        <v>10.199999999999999</v>
      </c>
      <c r="J270">
        <v>3.5</v>
      </c>
      <c r="K270">
        <v>630</v>
      </c>
      <c r="L270">
        <v>14.8</v>
      </c>
      <c r="O270">
        <v>268</v>
      </c>
      <c r="P270">
        <v>15.4</v>
      </c>
      <c r="Q270">
        <v>20.5</v>
      </c>
      <c r="R270" s="3">
        <v>5258</v>
      </c>
      <c r="S270" s="3">
        <v>234923</v>
      </c>
      <c r="T270">
        <v>20.5</v>
      </c>
      <c r="U270">
        <v>1.5</v>
      </c>
      <c r="V270">
        <v>1.9</v>
      </c>
      <c r="W270">
        <v>10.1</v>
      </c>
      <c r="X270">
        <v>8.3000000000000007</v>
      </c>
      <c r="Y270" s="3">
        <v>1560</v>
      </c>
      <c r="Z270">
        <v>15.4</v>
      </c>
      <c r="AB270">
        <f t="shared" si="16"/>
        <v>268</v>
      </c>
      <c r="AC270">
        <f t="shared" si="17"/>
        <v>15.311893558331981</v>
      </c>
      <c r="AD270">
        <f t="shared" si="18"/>
        <v>19.692357618043161</v>
      </c>
      <c r="AE270">
        <f t="shared" si="19"/>
        <v>4.3804640597111799</v>
      </c>
      <c r="AG270">
        <v>268</v>
      </c>
      <c r="AH270">
        <v>1.5</v>
      </c>
      <c r="AI270">
        <v>1.9</v>
      </c>
      <c r="AJ270">
        <v>10.1</v>
      </c>
      <c r="AK270">
        <v>8.3000000000000007</v>
      </c>
    </row>
    <row r="271" spans="1:37" x14ac:dyDescent="0.25">
      <c r="A271">
        <v>269</v>
      </c>
      <c r="B271">
        <v>13.9</v>
      </c>
      <c r="C271">
        <v>15.6</v>
      </c>
      <c r="D271">
        <v>842</v>
      </c>
      <c r="E271" s="3">
        <v>44019</v>
      </c>
      <c r="F271">
        <v>15.6</v>
      </c>
      <c r="G271">
        <v>1.5</v>
      </c>
      <c r="H271">
        <v>0.4</v>
      </c>
      <c r="I271">
        <v>10.1</v>
      </c>
      <c r="J271">
        <v>4.2</v>
      </c>
      <c r="K271">
        <v>581</v>
      </c>
      <c r="L271">
        <v>13.9</v>
      </c>
      <c r="O271">
        <v>269</v>
      </c>
      <c r="P271">
        <v>16</v>
      </c>
      <c r="Q271">
        <v>20.5</v>
      </c>
      <c r="R271" s="3">
        <v>5135</v>
      </c>
      <c r="S271" s="3">
        <v>232906</v>
      </c>
      <c r="T271">
        <v>20.5</v>
      </c>
      <c r="U271">
        <v>1.5</v>
      </c>
      <c r="V271">
        <v>1.8</v>
      </c>
      <c r="W271">
        <v>10.1</v>
      </c>
      <c r="X271">
        <v>8.4</v>
      </c>
      <c r="Y271" s="3">
        <v>1487</v>
      </c>
      <c r="Z271">
        <v>16</v>
      </c>
      <c r="AB271">
        <f t="shared" si="16"/>
        <v>269</v>
      </c>
      <c r="AC271">
        <f t="shared" si="17"/>
        <v>15.704165969549942</v>
      </c>
      <c r="AD271">
        <f t="shared" si="18"/>
        <v>19.809720595616529</v>
      </c>
      <c r="AE271">
        <f t="shared" si="19"/>
        <v>4.1055546260665867</v>
      </c>
      <c r="AG271">
        <v>269</v>
      </c>
      <c r="AH271">
        <v>1.5</v>
      </c>
      <c r="AI271">
        <v>1.8</v>
      </c>
      <c r="AJ271">
        <v>10.1</v>
      </c>
      <c r="AK271">
        <v>8.4</v>
      </c>
    </row>
    <row r="272" spans="1:37" x14ac:dyDescent="0.25">
      <c r="A272">
        <v>270</v>
      </c>
      <c r="B272">
        <v>14.1</v>
      </c>
      <c r="C272">
        <v>15.4</v>
      </c>
      <c r="D272">
        <v>766</v>
      </c>
      <c r="E272" s="3">
        <v>40627</v>
      </c>
      <c r="F272">
        <v>15.4</v>
      </c>
      <c r="G272">
        <v>1.5</v>
      </c>
      <c r="H272">
        <v>0.4</v>
      </c>
      <c r="I272">
        <v>10.1</v>
      </c>
      <c r="J272">
        <v>4.0999999999999996</v>
      </c>
      <c r="K272">
        <v>507</v>
      </c>
      <c r="L272">
        <v>14.1</v>
      </c>
      <c r="O272">
        <v>270</v>
      </c>
      <c r="P272">
        <v>16</v>
      </c>
      <c r="Q272">
        <v>20.9</v>
      </c>
      <c r="R272" s="3">
        <v>4947</v>
      </c>
      <c r="S272" s="3">
        <v>225240</v>
      </c>
      <c r="T272">
        <v>20.9</v>
      </c>
      <c r="U272">
        <v>1.5</v>
      </c>
      <c r="V272">
        <v>1.9</v>
      </c>
      <c r="W272">
        <v>10.1</v>
      </c>
      <c r="X272">
        <v>8.9</v>
      </c>
      <c r="Y272" s="3">
        <v>1398</v>
      </c>
      <c r="Z272">
        <v>16</v>
      </c>
      <c r="AB272">
        <f t="shared" si="16"/>
        <v>270</v>
      </c>
      <c r="AC272">
        <f t="shared" si="17"/>
        <v>15.745247680728164</v>
      </c>
      <c r="AD272">
        <f t="shared" si="18"/>
        <v>20.16255907579205</v>
      </c>
      <c r="AE272">
        <f t="shared" si="19"/>
        <v>4.4173113950638854</v>
      </c>
      <c r="AG272">
        <v>270</v>
      </c>
      <c r="AH272">
        <v>1.5</v>
      </c>
      <c r="AI272">
        <v>1.9</v>
      </c>
      <c r="AJ272">
        <v>10.1</v>
      </c>
      <c r="AK272">
        <v>8.9</v>
      </c>
    </row>
    <row r="273" spans="1:37" x14ac:dyDescent="0.25">
      <c r="A273">
        <v>271</v>
      </c>
      <c r="B273">
        <v>14.5</v>
      </c>
      <c r="C273">
        <v>14.7</v>
      </c>
      <c r="D273">
        <v>703</v>
      </c>
      <c r="E273" s="3">
        <v>37498</v>
      </c>
      <c r="F273">
        <v>14.7</v>
      </c>
      <c r="G273">
        <v>1.5</v>
      </c>
      <c r="H273">
        <v>0.4</v>
      </c>
      <c r="I273">
        <v>10.1</v>
      </c>
      <c r="J273">
        <v>3.3</v>
      </c>
      <c r="K273">
        <v>451</v>
      </c>
      <c r="L273">
        <v>14.5</v>
      </c>
      <c r="O273">
        <v>271</v>
      </c>
      <c r="P273">
        <v>16.2</v>
      </c>
      <c r="Q273">
        <v>21.1</v>
      </c>
      <c r="R273" s="3">
        <v>4844</v>
      </c>
      <c r="S273" s="3">
        <v>231084</v>
      </c>
      <c r="T273">
        <v>21.1</v>
      </c>
      <c r="U273">
        <v>1.5</v>
      </c>
      <c r="V273">
        <v>1.8</v>
      </c>
      <c r="W273">
        <v>10.1</v>
      </c>
      <c r="X273">
        <v>9.1</v>
      </c>
      <c r="Y273" s="3">
        <v>1345</v>
      </c>
      <c r="Z273">
        <v>16.2</v>
      </c>
      <c r="AB273">
        <f t="shared" si="16"/>
        <v>271</v>
      </c>
      <c r="AC273">
        <f t="shared" si="17"/>
        <v>15.984550207319272</v>
      </c>
      <c r="AD273">
        <f t="shared" si="18"/>
        <v>20.288894898143145</v>
      </c>
      <c r="AE273">
        <f t="shared" si="19"/>
        <v>4.3043446908238732</v>
      </c>
      <c r="AG273">
        <v>271</v>
      </c>
      <c r="AH273">
        <v>1.5</v>
      </c>
      <c r="AI273">
        <v>1.8</v>
      </c>
      <c r="AJ273">
        <v>10.1</v>
      </c>
      <c r="AK273">
        <v>9.1</v>
      </c>
    </row>
    <row r="274" spans="1:37" x14ac:dyDescent="0.25">
      <c r="A274">
        <v>272</v>
      </c>
      <c r="B274">
        <v>13.7</v>
      </c>
      <c r="C274">
        <v>14.4</v>
      </c>
      <c r="D274">
        <v>663</v>
      </c>
      <c r="E274" s="3">
        <v>38394</v>
      </c>
      <c r="F274">
        <v>14.4</v>
      </c>
      <c r="G274">
        <v>1.6</v>
      </c>
      <c r="H274">
        <v>0.4</v>
      </c>
      <c r="I274">
        <v>10</v>
      </c>
      <c r="J274">
        <v>2.9</v>
      </c>
      <c r="K274">
        <v>419</v>
      </c>
      <c r="L274">
        <v>13.7</v>
      </c>
      <c r="O274">
        <v>272</v>
      </c>
      <c r="P274">
        <v>16</v>
      </c>
      <c r="Q274">
        <v>21.3</v>
      </c>
      <c r="R274" s="3">
        <v>4750</v>
      </c>
      <c r="S274" s="3">
        <v>222575</v>
      </c>
      <c r="T274">
        <v>21.3</v>
      </c>
      <c r="U274">
        <v>1.5</v>
      </c>
      <c r="V274">
        <v>1.9</v>
      </c>
      <c r="W274">
        <v>10.1</v>
      </c>
      <c r="X274">
        <v>9.1999999999999993</v>
      </c>
      <c r="Y274" s="3">
        <v>1295</v>
      </c>
      <c r="Z274">
        <v>16</v>
      </c>
      <c r="AB274">
        <f t="shared" si="16"/>
        <v>272</v>
      </c>
      <c r="AC274">
        <f t="shared" si="17"/>
        <v>15.718289303528543</v>
      </c>
      <c r="AD274">
        <f t="shared" si="18"/>
        <v>20.454867910585627</v>
      </c>
      <c r="AE274">
        <f t="shared" si="19"/>
        <v>4.7365786070570834</v>
      </c>
      <c r="AG274">
        <v>272</v>
      </c>
      <c r="AH274">
        <v>1.5</v>
      </c>
      <c r="AI274">
        <v>1.9</v>
      </c>
      <c r="AJ274">
        <v>10.1</v>
      </c>
      <c r="AK274">
        <v>9.1999999999999993</v>
      </c>
    </row>
    <row r="275" spans="1:37" x14ac:dyDescent="0.25">
      <c r="A275">
        <v>273</v>
      </c>
      <c r="B275">
        <v>14.3</v>
      </c>
      <c r="C275">
        <v>15.1</v>
      </c>
      <c r="D275">
        <v>626</v>
      </c>
      <c r="E275" s="3">
        <v>36487</v>
      </c>
      <c r="F275">
        <v>15.1</v>
      </c>
      <c r="G275">
        <v>1.6</v>
      </c>
      <c r="H275">
        <v>0.4</v>
      </c>
      <c r="I275">
        <v>10.1</v>
      </c>
      <c r="J275">
        <v>3.7</v>
      </c>
      <c r="K275">
        <v>402</v>
      </c>
      <c r="L275">
        <v>14.3</v>
      </c>
      <c r="O275">
        <v>273</v>
      </c>
      <c r="P275">
        <v>16.399999999999999</v>
      </c>
      <c r="Q275">
        <v>21.2</v>
      </c>
      <c r="R275" s="3">
        <v>4681</v>
      </c>
      <c r="S275" s="3">
        <v>224476</v>
      </c>
      <c r="T275">
        <v>21.2</v>
      </c>
      <c r="U275">
        <v>1.6</v>
      </c>
      <c r="V275">
        <v>1.8</v>
      </c>
      <c r="W275">
        <v>10.1</v>
      </c>
      <c r="X275">
        <v>9.1999999999999993</v>
      </c>
      <c r="Y275" s="3">
        <v>1251</v>
      </c>
      <c r="Z275">
        <v>16.399999999999999</v>
      </c>
      <c r="AB275">
        <f t="shared" si="16"/>
        <v>273</v>
      </c>
      <c r="AC275">
        <f t="shared" si="17"/>
        <v>16.152289429055962</v>
      </c>
      <c r="AD275">
        <f t="shared" si="18"/>
        <v>20.480459770114944</v>
      </c>
      <c r="AE275">
        <f t="shared" si="19"/>
        <v>4.328170341058982</v>
      </c>
      <c r="AG275">
        <v>273</v>
      </c>
      <c r="AH275">
        <v>1.6</v>
      </c>
      <c r="AI275">
        <v>1.8</v>
      </c>
      <c r="AJ275">
        <v>10.1</v>
      </c>
      <c r="AK275">
        <v>9.1999999999999993</v>
      </c>
    </row>
    <row r="276" spans="1:37" x14ac:dyDescent="0.25">
      <c r="A276">
        <v>274</v>
      </c>
      <c r="B276">
        <v>15.8</v>
      </c>
      <c r="C276">
        <v>15.5</v>
      </c>
      <c r="D276">
        <v>599</v>
      </c>
      <c r="E276" s="3">
        <v>36058</v>
      </c>
      <c r="F276">
        <v>15.5</v>
      </c>
      <c r="G276">
        <v>1.6</v>
      </c>
      <c r="H276">
        <v>0.4</v>
      </c>
      <c r="I276">
        <v>10.1</v>
      </c>
      <c r="J276">
        <v>4</v>
      </c>
      <c r="K276">
        <v>381</v>
      </c>
      <c r="L276">
        <v>15.8</v>
      </c>
      <c r="O276">
        <v>274</v>
      </c>
      <c r="P276">
        <v>16.3</v>
      </c>
      <c r="Q276">
        <v>21.5</v>
      </c>
      <c r="R276" s="3">
        <v>4562</v>
      </c>
      <c r="S276" s="3">
        <v>215743</v>
      </c>
      <c r="T276">
        <v>21.5</v>
      </c>
      <c r="U276">
        <v>1.6</v>
      </c>
      <c r="V276">
        <v>1.8</v>
      </c>
      <c r="W276">
        <v>10.1</v>
      </c>
      <c r="X276">
        <v>9.4</v>
      </c>
      <c r="Y276" s="3">
        <v>1195</v>
      </c>
      <c r="Z276">
        <v>16.3</v>
      </c>
      <c r="AB276">
        <f t="shared" si="16"/>
        <v>274</v>
      </c>
      <c r="AC276">
        <f t="shared" si="17"/>
        <v>16.241968610734354</v>
      </c>
      <c r="AD276">
        <f t="shared" si="18"/>
        <v>20.803623328812247</v>
      </c>
      <c r="AE276">
        <f t="shared" si="19"/>
        <v>4.561654718077893</v>
      </c>
      <c r="AG276">
        <v>274</v>
      </c>
      <c r="AH276">
        <v>1.6</v>
      </c>
      <c r="AI276">
        <v>1.8</v>
      </c>
      <c r="AJ276">
        <v>10.1</v>
      </c>
      <c r="AK276">
        <v>9.4</v>
      </c>
    </row>
    <row r="277" spans="1:37" x14ac:dyDescent="0.25">
      <c r="A277">
        <v>275</v>
      </c>
      <c r="B277">
        <v>13.9</v>
      </c>
      <c r="C277">
        <v>15.5</v>
      </c>
      <c r="D277">
        <v>531</v>
      </c>
      <c r="E277" s="3">
        <v>31396</v>
      </c>
      <c r="F277">
        <v>15.5</v>
      </c>
      <c r="G277">
        <v>1.6</v>
      </c>
      <c r="H277">
        <v>0.4</v>
      </c>
      <c r="I277">
        <v>10.1</v>
      </c>
      <c r="J277">
        <v>4</v>
      </c>
      <c r="K277">
        <v>334</v>
      </c>
      <c r="L277">
        <v>13.9</v>
      </c>
      <c r="O277">
        <v>275</v>
      </c>
      <c r="P277">
        <v>16.3</v>
      </c>
      <c r="Q277">
        <v>21.7</v>
      </c>
      <c r="R277" s="3">
        <v>4476</v>
      </c>
      <c r="S277" s="3">
        <v>229841</v>
      </c>
      <c r="T277">
        <v>21.7</v>
      </c>
      <c r="U277">
        <v>1.6</v>
      </c>
      <c r="V277">
        <v>1.8</v>
      </c>
      <c r="W277">
        <v>10.1</v>
      </c>
      <c r="X277">
        <v>9.8000000000000007</v>
      </c>
      <c r="Y277" s="3">
        <v>1176</v>
      </c>
      <c r="Z277">
        <v>16.3</v>
      </c>
      <c r="AB277">
        <f t="shared" si="16"/>
        <v>275</v>
      </c>
      <c r="AC277">
        <f t="shared" si="17"/>
        <v>16.045476333133614</v>
      </c>
      <c r="AD277">
        <f t="shared" si="18"/>
        <v>21.042480527261834</v>
      </c>
      <c r="AE277">
        <f t="shared" si="19"/>
        <v>4.9970041941282197</v>
      </c>
      <c r="AG277">
        <v>275</v>
      </c>
      <c r="AH277">
        <v>1.6</v>
      </c>
      <c r="AI277">
        <v>1.8</v>
      </c>
      <c r="AJ277">
        <v>10.1</v>
      </c>
      <c r="AK277">
        <v>9.8000000000000007</v>
      </c>
    </row>
    <row r="278" spans="1:37" x14ac:dyDescent="0.25">
      <c r="A278">
        <v>276</v>
      </c>
      <c r="B278">
        <v>14.6</v>
      </c>
      <c r="C278">
        <v>15.3</v>
      </c>
      <c r="D278">
        <v>508</v>
      </c>
      <c r="E278" s="3">
        <v>30970</v>
      </c>
      <c r="F278">
        <v>15.3</v>
      </c>
      <c r="G278">
        <v>1.6</v>
      </c>
      <c r="H278">
        <v>0.4</v>
      </c>
      <c r="I278">
        <v>10.1</v>
      </c>
      <c r="J278">
        <v>3.8</v>
      </c>
      <c r="K278">
        <v>310</v>
      </c>
      <c r="L278">
        <v>14.6</v>
      </c>
      <c r="O278">
        <v>276</v>
      </c>
      <c r="P278">
        <v>16.3</v>
      </c>
      <c r="Q278">
        <v>21.7</v>
      </c>
      <c r="R278" s="3">
        <v>4444</v>
      </c>
      <c r="S278" s="3">
        <v>227047</v>
      </c>
      <c r="T278">
        <v>21.7</v>
      </c>
      <c r="U278">
        <v>1.6</v>
      </c>
      <c r="V278">
        <v>1.8</v>
      </c>
      <c r="W278">
        <v>10.1</v>
      </c>
      <c r="X278">
        <v>9.6999999999999993</v>
      </c>
      <c r="Y278" s="3">
        <v>1153</v>
      </c>
      <c r="Z278">
        <v>16.3</v>
      </c>
      <c r="AB278">
        <f t="shared" si="16"/>
        <v>276</v>
      </c>
      <c r="AC278">
        <f t="shared" si="17"/>
        <v>16.125605815831989</v>
      </c>
      <c r="AD278">
        <f t="shared" si="18"/>
        <v>21.043457189014539</v>
      </c>
      <c r="AE278">
        <f t="shared" si="19"/>
        <v>4.9178513731825504</v>
      </c>
      <c r="AG278">
        <v>276</v>
      </c>
      <c r="AH278">
        <v>1.6</v>
      </c>
      <c r="AI278">
        <v>1.8</v>
      </c>
      <c r="AJ278">
        <v>10.1</v>
      </c>
      <c r="AK278">
        <v>9.6999999999999993</v>
      </c>
    </row>
    <row r="279" spans="1:37" x14ac:dyDescent="0.25">
      <c r="A279">
        <v>277</v>
      </c>
      <c r="B279">
        <v>14.7</v>
      </c>
      <c r="C279">
        <v>16.2</v>
      </c>
      <c r="D279">
        <v>487</v>
      </c>
      <c r="E279" s="3">
        <v>30910</v>
      </c>
      <c r="F279">
        <v>16.2</v>
      </c>
      <c r="G279">
        <v>1.6</v>
      </c>
      <c r="H279">
        <v>0.4</v>
      </c>
      <c r="I279">
        <v>10</v>
      </c>
      <c r="J279">
        <v>5</v>
      </c>
      <c r="K279">
        <v>308</v>
      </c>
      <c r="L279">
        <v>14.7</v>
      </c>
      <c r="O279">
        <v>277</v>
      </c>
      <c r="P279">
        <v>15.9</v>
      </c>
      <c r="Q279">
        <v>21.5</v>
      </c>
      <c r="R279" s="3">
        <v>4410</v>
      </c>
      <c r="S279" s="3">
        <v>228185</v>
      </c>
      <c r="T279">
        <v>21.5</v>
      </c>
      <c r="U279">
        <v>1.6</v>
      </c>
      <c r="V279">
        <v>1.7</v>
      </c>
      <c r="W279">
        <v>10.1</v>
      </c>
      <c r="X279">
        <v>9.6</v>
      </c>
      <c r="Y279" s="3">
        <v>1126</v>
      </c>
      <c r="Z279">
        <v>15.9</v>
      </c>
      <c r="AB279">
        <f t="shared" si="16"/>
        <v>277</v>
      </c>
      <c r="AC279">
        <f t="shared" si="17"/>
        <v>15.780661629569122</v>
      </c>
      <c r="AD279">
        <f t="shared" si="18"/>
        <v>20.972922197263628</v>
      </c>
      <c r="AE279">
        <f t="shared" si="19"/>
        <v>5.1922605676945057</v>
      </c>
      <c r="AG279">
        <v>277</v>
      </c>
      <c r="AH279">
        <v>1.6</v>
      </c>
      <c r="AI279">
        <v>1.7</v>
      </c>
      <c r="AJ279">
        <v>10.1</v>
      </c>
      <c r="AK279">
        <v>9.6</v>
      </c>
    </row>
    <row r="280" spans="1:37" x14ac:dyDescent="0.25">
      <c r="A280">
        <v>278</v>
      </c>
      <c r="B280">
        <v>15</v>
      </c>
      <c r="C280">
        <v>16.899999999999999</v>
      </c>
      <c r="D280">
        <v>482</v>
      </c>
      <c r="E280" s="3">
        <v>29755</v>
      </c>
      <c r="F280">
        <v>16.899999999999999</v>
      </c>
      <c r="G280">
        <v>1.7</v>
      </c>
      <c r="H280">
        <v>0.4</v>
      </c>
      <c r="I280">
        <v>10.1</v>
      </c>
      <c r="J280">
        <v>5.5</v>
      </c>
      <c r="K280">
        <v>290</v>
      </c>
      <c r="L280">
        <v>15</v>
      </c>
      <c r="O280">
        <v>278</v>
      </c>
      <c r="P280">
        <v>16</v>
      </c>
      <c r="Q280">
        <v>21.6</v>
      </c>
      <c r="R280" s="3">
        <v>4349</v>
      </c>
      <c r="S280" s="3">
        <v>231375</v>
      </c>
      <c r="T280">
        <v>21.6</v>
      </c>
      <c r="U280">
        <v>1.6</v>
      </c>
      <c r="V280">
        <v>1.8</v>
      </c>
      <c r="W280">
        <v>10.1</v>
      </c>
      <c r="X280">
        <v>9.6</v>
      </c>
      <c r="Y280" s="3">
        <v>1083</v>
      </c>
      <c r="Z280">
        <v>16</v>
      </c>
      <c r="AB280">
        <f t="shared" si="16"/>
        <v>278</v>
      </c>
      <c r="AC280">
        <f t="shared" si="17"/>
        <v>15.900227696129166</v>
      </c>
      <c r="AD280">
        <f t="shared" si="18"/>
        <v>21.131070171807082</v>
      </c>
      <c r="AE280">
        <f t="shared" si="19"/>
        <v>5.2308424756779157</v>
      </c>
      <c r="AG280">
        <v>278</v>
      </c>
      <c r="AH280">
        <v>1.6</v>
      </c>
      <c r="AI280">
        <v>1.8</v>
      </c>
      <c r="AJ280">
        <v>10.1</v>
      </c>
      <c r="AK280">
        <v>9.6</v>
      </c>
    </row>
    <row r="281" spans="1:37" x14ac:dyDescent="0.25">
      <c r="A281">
        <v>279</v>
      </c>
      <c r="B281">
        <v>15.7</v>
      </c>
      <c r="C281">
        <v>17.8</v>
      </c>
      <c r="D281">
        <v>458</v>
      </c>
      <c r="E281" s="3">
        <v>28601</v>
      </c>
      <c r="F281">
        <v>17.8</v>
      </c>
      <c r="G281">
        <v>1.7</v>
      </c>
      <c r="H281">
        <v>0.3</v>
      </c>
      <c r="I281">
        <v>10.1</v>
      </c>
      <c r="J281">
        <v>6.6</v>
      </c>
      <c r="K281">
        <v>269</v>
      </c>
      <c r="L281">
        <v>15.7</v>
      </c>
      <c r="O281">
        <v>279</v>
      </c>
      <c r="P281">
        <v>16.100000000000001</v>
      </c>
      <c r="Q281">
        <v>21.4</v>
      </c>
      <c r="R281" s="3">
        <v>4306</v>
      </c>
      <c r="S281" s="3">
        <v>231737</v>
      </c>
      <c r="T281">
        <v>21.4</v>
      </c>
      <c r="U281">
        <v>1.7</v>
      </c>
      <c r="V281">
        <v>1.6</v>
      </c>
      <c r="W281">
        <v>10.1</v>
      </c>
      <c r="X281">
        <v>9.5</v>
      </c>
      <c r="Y281" s="3">
        <v>1090</v>
      </c>
      <c r="Z281">
        <v>16.100000000000001</v>
      </c>
      <c r="AB281">
        <f t="shared" si="16"/>
        <v>279</v>
      </c>
      <c r="AC281">
        <f t="shared" si="17"/>
        <v>16.0615449202351</v>
      </c>
      <c r="AD281">
        <f t="shared" si="18"/>
        <v>21.053904282115866</v>
      </c>
      <c r="AE281">
        <f t="shared" si="19"/>
        <v>4.9923593618807658</v>
      </c>
      <c r="AG281">
        <v>279</v>
      </c>
      <c r="AH281">
        <v>1.7</v>
      </c>
      <c r="AI281">
        <v>1.6</v>
      </c>
      <c r="AJ281">
        <v>10.1</v>
      </c>
      <c r="AK281">
        <v>9.5</v>
      </c>
    </row>
    <row r="282" spans="1:37" x14ac:dyDescent="0.25">
      <c r="A282">
        <v>280</v>
      </c>
      <c r="B282">
        <v>16.7</v>
      </c>
      <c r="C282">
        <v>17.7</v>
      </c>
      <c r="D282">
        <v>424</v>
      </c>
      <c r="E282" s="3">
        <v>28796</v>
      </c>
      <c r="F282">
        <v>17.7</v>
      </c>
      <c r="G282">
        <v>1.7</v>
      </c>
      <c r="H282">
        <v>0.4</v>
      </c>
      <c r="I282">
        <v>10.1</v>
      </c>
      <c r="J282">
        <v>6.4</v>
      </c>
      <c r="K282">
        <v>240</v>
      </c>
      <c r="L282">
        <v>16.7</v>
      </c>
      <c r="O282">
        <v>280</v>
      </c>
      <c r="P282">
        <v>16.100000000000001</v>
      </c>
      <c r="Q282">
        <v>21.6</v>
      </c>
      <c r="R282" s="3">
        <v>4247</v>
      </c>
      <c r="S282" s="3">
        <v>228456</v>
      </c>
      <c r="T282">
        <v>21.6</v>
      </c>
      <c r="U282">
        <v>1.7</v>
      </c>
      <c r="V282">
        <v>1.7</v>
      </c>
      <c r="W282">
        <v>10.1</v>
      </c>
      <c r="X282">
        <v>9.6</v>
      </c>
      <c r="Y282" s="3">
        <v>1044</v>
      </c>
      <c r="Z282">
        <v>16.100000000000001</v>
      </c>
      <c r="AB282">
        <f t="shared" si="16"/>
        <v>280</v>
      </c>
      <c r="AC282">
        <f t="shared" si="17"/>
        <v>16.154463712267184</v>
      </c>
      <c r="AD282">
        <f t="shared" si="18"/>
        <v>21.245985870263329</v>
      </c>
      <c r="AE282">
        <f t="shared" si="19"/>
        <v>5.0915221579961454</v>
      </c>
      <c r="AG282">
        <v>280</v>
      </c>
      <c r="AH282">
        <v>1.7</v>
      </c>
      <c r="AI282">
        <v>1.7</v>
      </c>
      <c r="AJ282">
        <v>10.1</v>
      </c>
      <c r="AK282">
        <v>9.6</v>
      </c>
    </row>
    <row r="283" spans="1:37" x14ac:dyDescent="0.25">
      <c r="A283">
        <v>281</v>
      </c>
      <c r="B283">
        <v>16</v>
      </c>
      <c r="C283">
        <v>18.399999999999999</v>
      </c>
      <c r="D283">
        <v>402</v>
      </c>
      <c r="E283" s="3">
        <v>26551</v>
      </c>
      <c r="F283">
        <v>18.399999999999999</v>
      </c>
      <c r="G283">
        <v>1.7</v>
      </c>
      <c r="H283">
        <v>0.3</v>
      </c>
      <c r="I283">
        <v>10.1</v>
      </c>
      <c r="J283">
        <v>7.3</v>
      </c>
      <c r="K283">
        <v>221</v>
      </c>
      <c r="L283">
        <v>16</v>
      </c>
      <c r="O283">
        <v>281</v>
      </c>
      <c r="P283">
        <v>16.5</v>
      </c>
      <c r="Q283">
        <v>21.5</v>
      </c>
      <c r="R283" s="3">
        <v>4140</v>
      </c>
      <c r="S283" s="3">
        <v>216144</v>
      </c>
      <c r="T283">
        <v>21.5</v>
      </c>
      <c r="U283">
        <v>1.7</v>
      </c>
      <c r="V283">
        <v>1.6</v>
      </c>
      <c r="W283">
        <v>10.1</v>
      </c>
      <c r="X283">
        <v>9.6</v>
      </c>
      <c r="Y283" s="3">
        <v>1022</v>
      </c>
      <c r="Z283">
        <v>16.5</v>
      </c>
      <c r="AB283">
        <f t="shared" si="16"/>
        <v>281</v>
      </c>
      <c r="AC283">
        <f t="shared" si="17"/>
        <v>16.455746367239101</v>
      </c>
      <c r="AD283">
        <f t="shared" si="18"/>
        <v>21.22562747688243</v>
      </c>
      <c r="AE283">
        <f t="shared" si="19"/>
        <v>4.7698811096433289</v>
      </c>
      <c r="AG283">
        <v>281</v>
      </c>
      <c r="AH283">
        <v>1.7</v>
      </c>
      <c r="AI283">
        <v>1.6</v>
      </c>
      <c r="AJ283">
        <v>10.1</v>
      </c>
      <c r="AK283">
        <v>9.6</v>
      </c>
    </row>
    <row r="284" spans="1:37" x14ac:dyDescent="0.25">
      <c r="A284">
        <v>282</v>
      </c>
      <c r="B284">
        <v>16.5</v>
      </c>
      <c r="C284">
        <v>19.7</v>
      </c>
      <c r="D284">
        <v>388</v>
      </c>
      <c r="E284" s="3">
        <v>27397</v>
      </c>
      <c r="F284">
        <v>19.7</v>
      </c>
      <c r="G284">
        <v>1.8</v>
      </c>
      <c r="H284">
        <v>0.3</v>
      </c>
      <c r="I284">
        <v>10.1</v>
      </c>
      <c r="J284">
        <v>8.6</v>
      </c>
      <c r="K284">
        <v>216</v>
      </c>
      <c r="L284">
        <v>16.5</v>
      </c>
      <c r="O284">
        <v>282</v>
      </c>
      <c r="P284">
        <v>16.399999999999999</v>
      </c>
      <c r="Q284">
        <v>21.8</v>
      </c>
      <c r="R284" s="3">
        <v>4085</v>
      </c>
      <c r="S284" s="3">
        <v>220629</v>
      </c>
      <c r="T284">
        <v>21.8</v>
      </c>
      <c r="U284">
        <v>1.7</v>
      </c>
      <c r="V284">
        <v>1.6</v>
      </c>
      <c r="W284">
        <v>10</v>
      </c>
      <c r="X284">
        <v>9.9</v>
      </c>
      <c r="Y284" s="3">
        <v>1006</v>
      </c>
      <c r="Z284">
        <v>16.399999999999999</v>
      </c>
      <c r="AB284">
        <f t="shared" si="16"/>
        <v>282</v>
      </c>
      <c r="AC284">
        <f t="shared" si="17"/>
        <v>16.408674267829198</v>
      </c>
      <c r="AD284">
        <f t="shared" si="18"/>
        <v>21.617840375586855</v>
      </c>
      <c r="AE284">
        <f t="shared" si="19"/>
        <v>5.2091661077576568</v>
      </c>
      <c r="AG284">
        <v>282</v>
      </c>
      <c r="AH284">
        <v>1.7</v>
      </c>
      <c r="AI284">
        <v>1.6</v>
      </c>
      <c r="AJ284">
        <v>10</v>
      </c>
      <c r="AK284">
        <v>9.9</v>
      </c>
    </row>
    <row r="285" spans="1:37" x14ac:dyDescent="0.25">
      <c r="A285">
        <v>283</v>
      </c>
      <c r="B285">
        <v>16.899999999999999</v>
      </c>
      <c r="C285">
        <v>22.2</v>
      </c>
      <c r="D285">
        <v>360</v>
      </c>
      <c r="E285" s="3">
        <v>24410</v>
      </c>
      <c r="F285">
        <v>22.2</v>
      </c>
      <c r="G285">
        <v>1.8</v>
      </c>
      <c r="H285">
        <v>0.3</v>
      </c>
      <c r="I285">
        <v>10.1</v>
      </c>
      <c r="J285">
        <v>11.6</v>
      </c>
      <c r="K285">
        <v>201</v>
      </c>
      <c r="L285">
        <v>16.899999999999999</v>
      </c>
      <c r="O285">
        <v>283</v>
      </c>
      <c r="P285">
        <v>16.8</v>
      </c>
      <c r="Q285">
        <v>21.9</v>
      </c>
      <c r="R285" s="3">
        <v>3971</v>
      </c>
      <c r="S285" s="3">
        <v>219639</v>
      </c>
      <c r="T285">
        <v>21.9</v>
      </c>
      <c r="U285">
        <v>1.8</v>
      </c>
      <c r="V285">
        <v>1.5</v>
      </c>
      <c r="W285">
        <v>10.1</v>
      </c>
      <c r="X285">
        <v>10.199999999999999</v>
      </c>
      <c r="Y285">
        <v>960</v>
      </c>
      <c r="Z285">
        <v>16.8</v>
      </c>
      <c r="AB285">
        <f t="shared" si="16"/>
        <v>283</v>
      </c>
      <c r="AC285">
        <f t="shared" si="17"/>
        <v>16.808312168090509</v>
      </c>
      <c r="AD285">
        <f t="shared" si="18"/>
        <v>21.924936504271528</v>
      </c>
      <c r="AE285">
        <f t="shared" si="19"/>
        <v>5.1166243361810189</v>
      </c>
      <c r="AG285">
        <v>283</v>
      </c>
      <c r="AH285">
        <v>1.8</v>
      </c>
      <c r="AI285">
        <v>1.5</v>
      </c>
      <c r="AJ285">
        <v>10.1</v>
      </c>
      <c r="AK285">
        <v>10.199999999999999</v>
      </c>
    </row>
    <row r="286" spans="1:37" x14ac:dyDescent="0.25">
      <c r="A286">
        <v>284</v>
      </c>
      <c r="B286">
        <v>17</v>
      </c>
      <c r="C286">
        <v>20.8</v>
      </c>
      <c r="D286">
        <v>346</v>
      </c>
      <c r="E286" s="3">
        <v>23625</v>
      </c>
      <c r="F286">
        <v>20.8</v>
      </c>
      <c r="G286">
        <v>1.8</v>
      </c>
      <c r="H286">
        <v>0.3</v>
      </c>
      <c r="I286">
        <v>10.1</v>
      </c>
      <c r="J286">
        <v>10</v>
      </c>
      <c r="K286">
        <v>181</v>
      </c>
      <c r="L286">
        <v>17</v>
      </c>
      <c r="O286">
        <v>284</v>
      </c>
      <c r="P286">
        <v>16.8</v>
      </c>
      <c r="Q286">
        <v>22.1</v>
      </c>
      <c r="R286" s="3">
        <v>3895</v>
      </c>
      <c r="S286" s="3">
        <v>215136</v>
      </c>
      <c r="T286">
        <v>22.1</v>
      </c>
      <c r="U286">
        <v>1.8</v>
      </c>
      <c r="V286">
        <v>1.6</v>
      </c>
      <c r="W286">
        <v>10</v>
      </c>
      <c r="X286">
        <v>10.3</v>
      </c>
      <c r="Y286">
        <v>934</v>
      </c>
      <c r="Z286">
        <v>16.8</v>
      </c>
      <c r="AB286">
        <f t="shared" si="16"/>
        <v>284</v>
      </c>
      <c r="AC286">
        <f t="shared" si="17"/>
        <v>16.816316906390004</v>
      </c>
      <c r="AD286">
        <f t="shared" si="18"/>
        <v>21.993940108464987</v>
      </c>
      <c r="AE286">
        <f t="shared" si="19"/>
        <v>5.1776232020749831</v>
      </c>
      <c r="AG286">
        <v>284</v>
      </c>
      <c r="AH286">
        <v>1.8</v>
      </c>
      <c r="AI286">
        <v>1.6</v>
      </c>
      <c r="AJ286">
        <v>10</v>
      </c>
      <c r="AK286">
        <v>10.3</v>
      </c>
    </row>
    <row r="287" spans="1:37" x14ac:dyDescent="0.25">
      <c r="A287">
        <v>285</v>
      </c>
      <c r="B287">
        <v>16.5</v>
      </c>
      <c r="C287">
        <v>19.2</v>
      </c>
      <c r="D287">
        <v>292</v>
      </c>
      <c r="E287" s="3">
        <v>21766</v>
      </c>
      <c r="F287">
        <v>19.2</v>
      </c>
      <c r="G287">
        <v>1.8</v>
      </c>
      <c r="H287">
        <v>0.3</v>
      </c>
      <c r="I287">
        <v>10.199999999999999</v>
      </c>
      <c r="J287">
        <v>8</v>
      </c>
      <c r="K287">
        <v>139</v>
      </c>
      <c r="L287">
        <v>16.5</v>
      </c>
      <c r="O287">
        <v>285</v>
      </c>
      <c r="P287">
        <v>16.5</v>
      </c>
      <c r="Q287">
        <v>22.3</v>
      </c>
      <c r="R287" s="3">
        <v>3789</v>
      </c>
      <c r="S287" s="3">
        <v>220194</v>
      </c>
      <c r="T287">
        <v>22.3</v>
      </c>
      <c r="U287">
        <v>1.8</v>
      </c>
      <c r="V287">
        <v>1.4</v>
      </c>
      <c r="W287">
        <v>10.1</v>
      </c>
      <c r="X287">
        <v>10.6</v>
      </c>
      <c r="Y287">
        <v>893</v>
      </c>
      <c r="Z287">
        <v>16.5</v>
      </c>
      <c r="AB287">
        <f t="shared" si="16"/>
        <v>285</v>
      </c>
      <c r="AC287">
        <f t="shared" si="17"/>
        <v>16.5</v>
      </c>
      <c r="AD287">
        <f t="shared" si="18"/>
        <v>22.078191619701052</v>
      </c>
      <c r="AE287">
        <f t="shared" si="19"/>
        <v>5.5781916197010517</v>
      </c>
      <c r="AG287">
        <v>285</v>
      </c>
      <c r="AH287">
        <v>1.8</v>
      </c>
      <c r="AI287">
        <v>1.4</v>
      </c>
      <c r="AJ287">
        <v>10.1</v>
      </c>
      <c r="AK287">
        <v>10.6</v>
      </c>
    </row>
    <row r="288" spans="1:37" x14ac:dyDescent="0.25">
      <c r="A288">
        <v>286</v>
      </c>
      <c r="B288">
        <v>17.2</v>
      </c>
      <c r="C288">
        <v>20.3</v>
      </c>
      <c r="D288">
        <v>289</v>
      </c>
      <c r="E288" s="3">
        <v>20329</v>
      </c>
      <c r="F288">
        <v>20.3</v>
      </c>
      <c r="G288">
        <v>1.8</v>
      </c>
      <c r="H288">
        <v>0.3</v>
      </c>
      <c r="I288">
        <v>10.199999999999999</v>
      </c>
      <c r="J288">
        <v>9.1</v>
      </c>
      <c r="K288">
        <v>143</v>
      </c>
      <c r="L288">
        <v>17.2</v>
      </c>
      <c r="O288">
        <v>286</v>
      </c>
      <c r="P288">
        <v>16.8</v>
      </c>
      <c r="Q288">
        <v>21.9</v>
      </c>
      <c r="R288" s="3">
        <v>3723</v>
      </c>
      <c r="S288" s="3">
        <v>221866</v>
      </c>
      <c r="T288">
        <v>21.9</v>
      </c>
      <c r="U288">
        <v>1.8</v>
      </c>
      <c r="V288">
        <v>1.4</v>
      </c>
      <c r="W288">
        <v>10.1</v>
      </c>
      <c r="X288">
        <v>10.1</v>
      </c>
      <c r="Y288">
        <v>859</v>
      </c>
      <c r="Z288">
        <v>16.8</v>
      </c>
      <c r="AB288">
        <f t="shared" si="16"/>
        <v>286</v>
      </c>
      <c r="AC288">
        <f t="shared" si="17"/>
        <v>16.828813559322032</v>
      </c>
      <c r="AD288">
        <f t="shared" si="18"/>
        <v>21.784745762711864</v>
      </c>
      <c r="AE288">
        <f t="shared" si="19"/>
        <v>4.9559322033898319</v>
      </c>
      <c r="AG288">
        <v>286</v>
      </c>
      <c r="AH288">
        <v>1.8</v>
      </c>
      <c r="AI288">
        <v>1.4</v>
      </c>
      <c r="AJ288">
        <v>10.1</v>
      </c>
      <c r="AK288">
        <v>10.1</v>
      </c>
    </row>
    <row r="289" spans="1:37" x14ac:dyDescent="0.25">
      <c r="A289">
        <v>287</v>
      </c>
      <c r="B289">
        <v>16.5</v>
      </c>
      <c r="C289">
        <v>25.5</v>
      </c>
      <c r="D289">
        <v>284</v>
      </c>
      <c r="E289" s="3">
        <v>21372</v>
      </c>
      <c r="F289">
        <v>25.5</v>
      </c>
      <c r="G289">
        <v>1.9</v>
      </c>
      <c r="H289">
        <v>0.2</v>
      </c>
      <c r="I289">
        <v>10.199999999999999</v>
      </c>
      <c r="J289">
        <v>15.1</v>
      </c>
      <c r="K289">
        <v>136</v>
      </c>
      <c r="L289">
        <v>16.5</v>
      </c>
      <c r="O289">
        <v>287</v>
      </c>
      <c r="P289">
        <v>17.100000000000001</v>
      </c>
      <c r="Q289">
        <v>22.3</v>
      </c>
      <c r="R289" s="3">
        <v>3658</v>
      </c>
      <c r="S289" s="3">
        <v>209314</v>
      </c>
      <c r="T289">
        <v>22.3</v>
      </c>
      <c r="U289">
        <v>1.9</v>
      </c>
      <c r="V289">
        <v>1.2</v>
      </c>
      <c r="W289">
        <v>10.1</v>
      </c>
      <c r="X289">
        <v>10.7</v>
      </c>
      <c r="Y289">
        <v>840</v>
      </c>
      <c r="Z289">
        <v>17.100000000000001</v>
      </c>
      <c r="AB289">
        <f t="shared" si="16"/>
        <v>287</v>
      </c>
      <c r="AC289">
        <f t="shared" si="17"/>
        <v>17.056773211567734</v>
      </c>
      <c r="AD289">
        <f t="shared" si="18"/>
        <v>22.530542871638765</v>
      </c>
      <c r="AE289">
        <f t="shared" si="19"/>
        <v>5.4737696600710315</v>
      </c>
      <c r="AG289">
        <v>287</v>
      </c>
      <c r="AH289">
        <v>1.9</v>
      </c>
      <c r="AI289">
        <v>1.2</v>
      </c>
      <c r="AJ289">
        <v>10.1</v>
      </c>
      <c r="AK289">
        <v>10.7</v>
      </c>
    </row>
    <row r="290" spans="1:37" x14ac:dyDescent="0.25">
      <c r="A290">
        <v>288</v>
      </c>
      <c r="B290">
        <v>16.2</v>
      </c>
      <c r="C290">
        <v>22.8</v>
      </c>
      <c r="D290">
        <v>275</v>
      </c>
      <c r="E290" s="3">
        <v>19490</v>
      </c>
      <c r="F290">
        <v>22.8</v>
      </c>
      <c r="G290">
        <v>1.9</v>
      </c>
      <c r="H290">
        <v>0.3</v>
      </c>
      <c r="I290">
        <v>10.1</v>
      </c>
      <c r="J290">
        <v>12</v>
      </c>
      <c r="K290">
        <v>127</v>
      </c>
      <c r="L290">
        <v>16.2</v>
      </c>
      <c r="O290">
        <v>288</v>
      </c>
      <c r="P290">
        <v>16.5</v>
      </c>
      <c r="Q290">
        <v>22</v>
      </c>
      <c r="R290" s="3">
        <v>3540</v>
      </c>
      <c r="S290" s="3">
        <v>212540</v>
      </c>
      <c r="T290">
        <v>22</v>
      </c>
      <c r="U290">
        <v>1.9</v>
      </c>
      <c r="V290">
        <v>1.3</v>
      </c>
      <c r="W290">
        <v>10.1</v>
      </c>
      <c r="X290">
        <v>10.3</v>
      </c>
      <c r="Y290">
        <v>817</v>
      </c>
      <c r="Z290">
        <v>16.5</v>
      </c>
      <c r="AB290">
        <f t="shared" si="16"/>
        <v>288</v>
      </c>
      <c r="AC290">
        <f t="shared" si="17"/>
        <v>16.478374836173</v>
      </c>
      <c r="AD290">
        <f t="shared" si="18"/>
        <v>22.057667103538662</v>
      </c>
      <c r="AE290">
        <f t="shared" si="19"/>
        <v>5.5792922673656626</v>
      </c>
      <c r="AG290">
        <v>288</v>
      </c>
      <c r="AH290">
        <v>1.9</v>
      </c>
      <c r="AI290">
        <v>1.3</v>
      </c>
      <c r="AJ290">
        <v>10.1</v>
      </c>
      <c r="AK290">
        <v>10.3</v>
      </c>
    </row>
    <row r="291" spans="1:37" x14ac:dyDescent="0.25">
      <c r="A291">
        <v>289</v>
      </c>
      <c r="B291">
        <v>17.100000000000001</v>
      </c>
      <c r="C291">
        <v>21.7</v>
      </c>
      <c r="D291">
        <v>254</v>
      </c>
      <c r="E291" s="3">
        <v>19612</v>
      </c>
      <c r="F291">
        <v>21.7</v>
      </c>
      <c r="G291">
        <v>1.9</v>
      </c>
      <c r="H291">
        <v>0.2</v>
      </c>
      <c r="I291">
        <v>10.1</v>
      </c>
      <c r="J291">
        <v>10.8</v>
      </c>
      <c r="K291">
        <v>116</v>
      </c>
      <c r="L291">
        <v>17.100000000000001</v>
      </c>
      <c r="O291">
        <v>289</v>
      </c>
      <c r="P291">
        <v>17.2</v>
      </c>
      <c r="Q291">
        <v>22</v>
      </c>
      <c r="R291" s="3">
        <v>3475</v>
      </c>
      <c r="S291" s="3">
        <v>209785</v>
      </c>
      <c r="T291">
        <v>22</v>
      </c>
      <c r="U291">
        <v>1.9</v>
      </c>
      <c r="V291">
        <v>1.1000000000000001</v>
      </c>
      <c r="W291">
        <v>10.1</v>
      </c>
      <c r="X291">
        <v>10.3</v>
      </c>
      <c r="Y291">
        <v>812</v>
      </c>
      <c r="Z291">
        <v>17.2</v>
      </c>
      <c r="AB291">
        <f t="shared" si="16"/>
        <v>289</v>
      </c>
      <c r="AC291">
        <f t="shared" si="17"/>
        <v>17.193188522392063</v>
      </c>
      <c r="AD291">
        <f t="shared" si="18"/>
        <v>21.979565567176188</v>
      </c>
      <c r="AE291">
        <f t="shared" si="19"/>
        <v>4.7863770447841247</v>
      </c>
      <c r="AG291">
        <v>289</v>
      </c>
      <c r="AH291">
        <v>1.9</v>
      </c>
      <c r="AI291">
        <v>1.1000000000000001</v>
      </c>
      <c r="AJ291">
        <v>10.1</v>
      </c>
      <c r="AK291">
        <v>10.3</v>
      </c>
    </row>
    <row r="292" spans="1:37" x14ac:dyDescent="0.25">
      <c r="A292">
        <v>290</v>
      </c>
      <c r="B292">
        <v>16.899999999999999</v>
      </c>
      <c r="C292">
        <v>23.1</v>
      </c>
      <c r="D292">
        <v>227</v>
      </c>
      <c r="E292" s="3">
        <v>15484</v>
      </c>
      <c r="F292">
        <v>23.1</v>
      </c>
      <c r="G292">
        <v>2</v>
      </c>
      <c r="H292">
        <v>0.3</v>
      </c>
      <c r="I292">
        <v>10.199999999999999</v>
      </c>
      <c r="J292">
        <v>12.3</v>
      </c>
      <c r="K292">
        <v>97</v>
      </c>
      <c r="L292">
        <v>16.899999999999999</v>
      </c>
      <c r="O292">
        <v>290</v>
      </c>
      <c r="P292">
        <v>17</v>
      </c>
      <c r="Q292">
        <v>22.5</v>
      </c>
      <c r="R292" s="3">
        <v>3377</v>
      </c>
      <c r="S292" s="3">
        <v>209109</v>
      </c>
      <c r="T292">
        <v>22.5</v>
      </c>
      <c r="U292">
        <v>2</v>
      </c>
      <c r="V292">
        <v>1.2</v>
      </c>
      <c r="W292">
        <v>10</v>
      </c>
      <c r="X292">
        <v>10.9</v>
      </c>
      <c r="Y292">
        <v>779</v>
      </c>
      <c r="Z292">
        <v>17</v>
      </c>
      <c r="AB292">
        <f t="shared" si="16"/>
        <v>290</v>
      </c>
      <c r="AC292">
        <f t="shared" si="17"/>
        <v>16.993701442841289</v>
      </c>
      <c r="AD292">
        <f t="shared" si="18"/>
        <v>22.537791342952275</v>
      </c>
      <c r="AE292">
        <f t="shared" si="19"/>
        <v>5.5440899001109862</v>
      </c>
      <c r="AG292">
        <v>290</v>
      </c>
      <c r="AH292">
        <v>2</v>
      </c>
      <c r="AI292">
        <v>1.2</v>
      </c>
      <c r="AJ292">
        <v>10</v>
      </c>
      <c r="AK292">
        <v>10.9</v>
      </c>
    </row>
    <row r="293" spans="1:37" x14ac:dyDescent="0.25">
      <c r="A293">
        <v>291</v>
      </c>
      <c r="B293">
        <v>17</v>
      </c>
      <c r="C293">
        <v>25.1</v>
      </c>
      <c r="D293">
        <v>228</v>
      </c>
      <c r="E293" s="3">
        <v>17004</v>
      </c>
      <c r="F293">
        <v>25.1</v>
      </c>
      <c r="G293">
        <v>2</v>
      </c>
      <c r="H293">
        <v>0.1</v>
      </c>
      <c r="I293">
        <v>10.1</v>
      </c>
      <c r="J293">
        <v>14.7</v>
      </c>
      <c r="K293">
        <v>102</v>
      </c>
      <c r="L293">
        <v>17</v>
      </c>
      <c r="O293">
        <v>291</v>
      </c>
      <c r="P293">
        <v>17</v>
      </c>
      <c r="Q293">
        <v>22.3</v>
      </c>
      <c r="R293" s="3">
        <v>3287</v>
      </c>
      <c r="S293" s="3">
        <v>207728</v>
      </c>
      <c r="T293">
        <v>22.3</v>
      </c>
      <c r="U293">
        <v>2</v>
      </c>
      <c r="V293">
        <v>1</v>
      </c>
      <c r="W293">
        <v>10</v>
      </c>
      <c r="X293">
        <v>10.9</v>
      </c>
      <c r="Y293">
        <v>761</v>
      </c>
      <c r="Z293">
        <v>17</v>
      </c>
      <c r="AB293">
        <f t="shared" si="16"/>
        <v>291</v>
      </c>
      <c r="AC293">
        <f t="shared" si="17"/>
        <v>17</v>
      </c>
      <c r="AD293">
        <f t="shared" si="18"/>
        <v>22.481621621621624</v>
      </c>
      <c r="AE293">
        <f t="shared" si="19"/>
        <v>5.481621621621624</v>
      </c>
      <c r="AG293">
        <v>291</v>
      </c>
      <c r="AH293">
        <v>2</v>
      </c>
      <c r="AI293">
        <v>1</v>
      </c>
      <c r="AJ293">
        <v>10</v>
      </c>
      <c r="AK293">
        <v>10.9</v>
      </c>
    </row>
    <row r="294" spans="1:37" x14ac:dyDescent="0.25">
      <c r="A294">
        <v>292</v>
      </c>
      <c r="B294">
        <v>18.899999999999999</v>
      </c>
      <c r="C294">
        <v>22.5</v>
      </c>
      <c r="D294">
        <v>209</v>
      </c>
      <c r="E294" s="3">
        <v>15331</v>
      </c>
      <c r="F294">
        <v>22.5</v>
      </c>
      <c r="G294">
        <v>2</v>
      </c>
      <c r="H294">
        <v>0.2</v>
      </c>
      <c r="I294">
        <v>10.199999999999999</v>
      </c>
      <c r="J294">
        <v>11.6</v>
      </c>
      <c r="K294">
        <v>97</v>
      </c>
      <c r="L294">
        <v>18.899999999999999</v>
      </c>
      <c r="O294">
        <v>292</v>
      </c>
      <c r="P294">
        <v>17.8</v>
      </c>
      <c r="Q294">
        <v>23.1</v>
      </c>
      <c r="R294" s="3">
        <v>3243</v>
      </c>
      <c r="S294" s="3">
        <v>199324</v>
      </c>
      <c r="T294">
        <v>23.1</v>
      </c>
      <c r="U294">
        <v>2</v>
      </c>
      <c r="V294">
        <v>1.1000000000000001</v>
      </c>
      <c r="W294">
        <v>10</v>
      </c>
      <c r="X294">
        <v>11.6</v>
      </c>
      <c r="Y294">
        <v>735</v>
      </c>
      <c r="Z294">
        <v>17.8</v>
      </c>
      <c r="AB294">
        <f t="shared" si="16"/>
        <v>292</v>
      </c>
      <c r="AC294">
        <f t="shared" si="17"/>
        <v>17.866599073001158</v>
      </c>
      <c r="AD294">
        <f t="shared" si="18"/>
        <v>23.06367323290846</v>
      </c>
      <c r="AE294">
        <f t="shared" si="19"/>
        <v>5.1970741599073023</v>
      </c>
      <c r="AG294">
        <v>292</v>
      </c>
      <c r="AH294">
        <v>2</v>
      </c>
      <c r="AI294">
        <v>1.1000000000000001</v>
      </c>
      <c r="AJ294">
        <v>10</v>
      </c>
      <c r="AK294">
        <v>11.6</v>
      </c>
    </row>
    <row r="295" spans="1:37" x14ac:dyDescent="0.25">
      <c r="A295">
        <v>293</v>
      </c>
      <c r="B295">
        <v>17.399999999999999</v>
      </c>
      <c r="C295">
        <v>23</v>
      </c>
      <c r="D295">
        <v>199</v>
      </c>
      <c r="E295" s="3">
        <v>16610</v>
      </c>
      <c r="F295">
        <v>23</v>
      </c>
      <c r="G295">
        <v>2.1</v>
      </c>
      <c r="H295">
        <v>0.1</v>
      </c>
      <c r="I295">
        <v>10.199999999999999</v>
      </c>
      <c r="J295">
        <v>12.2</v>
      </c>
      <c r="K295">
        <v>87</v>
      </c>
      <c r="L295">
        <v>17.399999999999999</v>
      </c>
      <c r="O295">
        <v>293</v>
      </c>
      <c r="P295">
        <v>17.7</v>
      </c>
      <c r="Q295">
        <v>22.8</v>
      </c>
      <c r="R295" s="3">
        <v>3115</v>
      </c>
      <c r="S295" s="3">
        <v>194984</v>
      </c>
      <c r="T295">
        <v>22.8</v>
      </c>
      <c r="U295">
        <v>2.1</v>
      </c>
      <c r="V295">
        <v>0.9</v>
      </c>
      <c r="W295">
        <v>10</v>
      </c>
      <c r="X295">
        <v>11.5</v>
      </c>
      <c r="Y295">
        <v>726</v>
      </c>
      <c r="Z295">
        <v>17.7</v>
      </c>
      <c r="AB295">
        <f t="shared" si="16"/>
        <v>293</v>
      </c>
      <c r="AC295">
        <f t="shared" si="17"/>
        <v>17.681985515992757</v>
      </c>
      <c r="AD295">
        <f t="shared" si="18"/>
        <v>22.812009656004829</v>
      </c>
      <c r="AE295">
        <f t="shared" si="19"/>
        <v>5.1300241400120719</v>
      </c>
      <c r="AG295">
        <v>293</v>
      </c>
      <c r="AH295">
        <v>2.1</v>
      </c>
      <c r="AI295">
        <v>0.9</v>
      </c>
      <c r="AJ295">
        <v>10</v>
      </c>
      <c r="AK295">
        <v>11.5</v>
      </c>
    </row>
    <row r="296" spans="1:37" x14ac:dyDescent="0.25">
      <c r="A296">
        <v>294</v>
      </c>
      <c r="B296">
        <v>18</v>
      </c>
      <c r="C296">
        <v>24.9</v>
      </c>
      <c r="D296">
        <v>180</v>
      </c>
      <c r="E296" s="3">
        <v>15889</v>
      </c>
      <c r="F296">
        <v>24.9</v>
      </c>
      <c r="G296">
        <v>2.1</v>
      </c>
      <c r="H296">
        <v>0.1</v>
      </c>
      <c r="I296">
        <v>10.199999999999999</v>
      </c>
      <c r="J296">
        <v>14.3</v>
      </c>
      <c r="K296">
        <v>76</v>
      </c>
      <c r="L296">
        <v>18</v>
      </c>
      <c r="O296">
        <v>294</v>
      </c>
      <c r="P296">
        <v>18</v>
      </c>
      <c r="Q296">
        <v>23.1</v>
      </c>
      <c r="R296" s="3">
        <v>3085</v>
      </c>
      <c r="S296" s="3">
        <v>195839</v>
      </c>
      <c r="T296">
        <v>23.1</v>
      </c>
      <c r="U296">
        <v>2.1</v>
      </c>
      <c r="V296">
        <v>0.9</v>
      </c>
      <c r="W296">
        <v>10</v>
      </c>
      <c r="X296">
        <v>11.7</v>
      </c>
      <c r="Y296">
        <v>709</v>
      </c>
      <c r="Z296">
        <v>18</v>
      </c>
      <c r="AB296">
        <f t="shared" si="16"/>
        <v>294</v>
      </c>
      <c r="AC296">
        <f t="shared" si="17"/>
        <v>18</v>
      </c>
      <c r="AD296">
        <f t="shared" si="18"/>
        <v>23.199234303215928</v>
      </c>
      <c r="AE296">
        <f t="shared" si="19"/>
        <v>5.1992343032159276</v>
      </c>
      <c r="AG296">
        <v>294</v>
      </c>
      <c r="AH296">
        <v>2.1</v>
      </c>
      <c r="AI296">
        <v>0.9</v>
      </c>
      <c r="AJ296">
        <v>10</v>
      </c>
      <c r="AK296">
        <v>11.7</v>
      </c>
    </row>
    <row r="297" spans="1:37" x14ac:dyDescent="0.25">
      <c r="A297">
        <v>295</v>
      </c>
      <c r="B297">
        <v>21.4</v>
      </c>
      <c r="C297">
        <v>25.6</v>
      </c>
      <c r="D297">
        <v>192</v>
      </c>
      <c r="E297" s="3">
        <v>16873</v>
      </c>
      <c r="F297">
        <v>25.6</v>
      </c>
      <c r="G297">
        <v>2.2000000000000002</v>
      </c>
      <c r="H297">
        <v>0</v>
      </c>
      <c r="I297">
        <v>10.199999999999999</v>
      </c>
      <c r="J297">
        <v>15.2</v>
      </c>
      <c r="K297">
        <v>89</v>
      </c>
      <c r="L297">
        <v>21.4</v>
      </c>
      <c r="O297">
        <v>295</v>
      </c>
      <c r="P297">
        <v>17.899999999999999</v>
      </c>
      <c r="Q297">
        <v>23.7</v>
      </c>
      <c r="R297" s="3">
        <v>3011</v>
      </c>
      <c r="S297" s="3">
        <v>180153</v>
      </c>
      <c r="T297">
        <v>23.7</v>
      </c>
      <c r="U297">
        <v>2.2000000000000002</v>
      </c>
      <c r="V297">
        <v>0.8</v>
      </c>
      <c r="W297">
        <v>10</v>
      </c>
      <c r="X297">
        <v>12.6</v>
      </c>
      <c r="Y297">
        <v>696</v>
      </c>
      <c r="Z297">
        <v>17.899999999999999</v>
      </c>
      <c r="AB297">
        <f t="shared" si="16"/>
        <v>295</v>
      </c>
      <c r="AC297">
        <f t="shared" si="17"/>
        <v>18.109803309397439</v>
      </c>
      <c r="AD297">
        <f t="shared" si="18"/>
        <v>23.813893225101467</v>
      </c>
      <c r="AE297">
        <f t="shared" si="19"/>
        <v>5.7040899157040279</v>
      </c>
      <c r="AG297">
        <v>295</v>
      </c>
      <c r="AH297">
        <v>2.2000000000000002</v>
      </c>
      <c r="AI297">
        <v>0.8</v>
      </c>
      <c r="AJ297">
        <v>10</v>
      </c>
      <c r="AK297">
        <v>12.6</v>
      </c>
    </row>
    <row r="298" spans="1:37" x14ac:dyDescent="0.25">
      <c r="A298">
        <v>296</v>
      </c>
      <c r="B298">
        <v>19</v>
      </c>
      <c r="C298">
        <v>26.2</v>
      </c>
      <c r="D298">
        <v>186</v>
      </c>
      <c r="E298" s="3">
        <v>15399</v>
      </c>
      <c r="F298">
        <v>26.2</v>
      </c>
      <c r="G298">
        <v>2.2000000000000002</v>
      </c>
      <c r="H298">
        <v>0</v>
      </c>
      <c r="I298">
        <v>10.1</v>
      </c>
      <c r="J298">
        <v>15.8</v>
      </c>
      <c r="K298">
        <v>95</v>
      </c>
      <c r="L298">
        <v>19</v>
      </c>
      <c r="O298">
        <v>296</v>
      </c>
      <c r="P298">
        <v>17.7</v>
      </c>
      <c r="Q298">
        <v>23.9</v>
      </c>
      <c r="R298" s="3">
        <v>2940</v>
      </c>
      <c r="S298" s="3">
        <v>180688</v>
      </c>
      <c r="T298">
        <v>23.9</v>
      </c>
      <c r="U298">
        <v>2.2000000000000002</v>
      </c>
      <c r="V298">
        <v>0.8</v>
      </c>
      <c r="W298">
        <v>10</v>
      </c>
      <c r="X298">
        <v>12.6</v>
      </c>
      <c r="Y298">
        <v>680</v>
      </c>
      <c r="Z298">
        <v>17.7</v>
      </c>
      <c r="AB298">
        <f t="shared" si="16"/>
        <v>296</v>
      </c>
      <c r="AC298">
        <f t="shared" si="17"/>
        <v>17.777351247600766</v>
      </c>
      <c r="AD298">
        <f t="shared" si="18"/>
        <v>24.036852207293666</v>
      </c>
      <c r="AE298">
        <f t="shared" si="19"/>
        <v>6.2595009596929003</v>
      </c>
      <c r="AG298">
        <v>296</v>
      </c>
      <c r="AH298">
        <v>2.2000000000000002</v>
      </c>
      <c r="AI298">
        <v>0.8</v>
      </c>
      <c r="AJ298">
        <v>10</v>
      </c>
      <c r="AK298">
        <v>12.6</v>
      </c>
    </row>
    <row r="299" spans="1:37" x14ac:dyDescent="0.25">
      <c r="A299">
        <v>297</v>
      </c>
      <c r="B299">
        <v>19.8</v>
      </c>
      <c r="C299">
        <v>25.3</v>
      </c>
      <c r="D299">
        <v>165</v>
      </c>
      <c r="E299" s="3">
        <v>14094</v>
      </c>
      <c r="F299">
        <v>25.3</v>
      </c>
      <c r="G299">
        <v>2.2999999999999998</v>
      </c>
      <c r="H299">
        <v>0</v>
      </c>
      <c r="I299">
        <v>10.1</v>
      </c>
      <c r="J299">
        <v>14.8</v>
      </c>
      <c r="K299">
        <v>74</v>
      </c>
      <c r="L299">
        <v>19.8</v>
      </c>
      <c r="O299">
        <v>297</v>
      </c>
      <c r="P299">
        <v>18.899999999999999</v>
      </c>
      <c r="Q299">
        <v>24</v>
      </c>
      <c r="R299" s="3">
        <v>2811</v>
      </c>
      <c r="S299" s="3">
        <v>150479</v>
      </c>
      <c r="T299">
        <v>24</v>
      </c>
      <c r="U299">
        <v>2.2999999999999998</v>
      </c>
      <c r="V299">
        <v>0.6</v>
      </c>
      <c r="W299">
        <v>10.1</v>
      </c>
      <c r="X299">
        <v>12.8</v>
      </c>
      <c r="Y299">
        <v>628</v>
      </c>
      <c r="Z299">
        <v>18.899999999999999</v>
      </c>
      <c r="AB299">
        <f t="shared" si="16"/>
        <v>297</v>
      </c>
      <c r="AC299">
        <f t="shared" si="17"/>
        <v>18.949899193548386</v>
      </c>
      <c r="AD299">
        <f t="shared" si="18"/>
        <v>24.072076612903224</v>
      </c>
      <c r="AE299">
        <f t="shared" si="19"/>
        <v>5.1221774193548377</v>
      </c>
      <c r="AG299">
        <v>297</v>
      </c>
      <c r="AH299">
        <v>2.2999999999999998</v>
      </c>
      <c r="AI299">
        <v>0.6</v>
      </c>
      <c r="AJ299">
        <v>10.1</v>
      </c>
      <c r="AK299">
        <v>12.8</v>
      </c>
    </row>
    <row r="300" spans="1:37" x14ac:dyDescent="0.25">
      <c r="A300">
        <v>298</v>
      </c>
      <c r="B300">
        <v>20.7</v>
      </c>
      <c r="C300">
        <v>27.2</v>
      </c>
      <c r="D300">
        <v>168</v>
      </c>
      <c r="E300" s="3">
        <v>12438</v>
      </c>
      <c r="F300">
        <v>27.2</v>
      </c>
      <c r="G300">
        <v>2.2999999999999998</v>
      </c>
      <c r="H300">
        <v>0</v>
      </c>
      <c r="I300">
        <v>10.199999999999999</v>
      </c>
      <c r="J300">
        <v>16.7</v>
      </c>
      <c r="K300">
        <v>86</v>
      </c>
      <c r="L300">
        <v>20.7</v>
      </c>
      <c r="O300">
        <v>298</v>
      </c>
      <c r="P300">
        <v>18</v>
      </c>
      <c r="Q300">
        <v>23.9</v>
      </c>
      <c r="R300" s="3">
        <v>2710</v>
      </c>
      <c r="S300" s="3">
        <v>135094</v>
      </c>
      <c r="T300">
        <v>23.9</v>
      </c>
      <c r="U300">
        <v>2.2999999999999998</v>
      </c>
      <c r="V300">
        <v>0.7</v>
      </c>
      <c r="W300">
        <v>10.1</v>
      </c>
      <c r="X300">
        <v>12.6</v>
      </c>
      <c r="Y300">
        <v>600</v>
      </c>
      <c r="Z300">
        <v>18</v>
      </c>
      <c r="AB300">
        <f t="shared" si="16"/>
        <v>298</v>
      </c>
      <c r="AC300">
        <f t="shared" si="17"/>
        <v>18.157609451007644</v>
      </c>
      <c r="AD300">
        <f t="shared" si="18"/>
        <v>24.092633773453784</v>
      </c>
      <c r="AE300">
        <f t="shared" si="19"/>
        <v>5.9350243224461394</v>
      </c>
      <c r="AG300">
        <v>298</v>
      </c>
      <c r="AH300">
        <v>2.2999999999999998</v>
      </c>
      <c r="AI300">
        <v>0.7</v>
      </c>
      <c r="AJ300">
        <v>10.1</v>
      </c>
      <c r="AK300">
        <v>12.6</v>
      </c>
    </row>
    <row r="301" spans="1:37" x14ac:dyDescent="0.25">
      <c r="A301">
        <v>299</v>
      </c>
      <c r="B301">
        <v>19.399999999999999</v>
      </c>
      <c r="C301">
        <v>27.3</v>
      </c>
      <c r="D301">
        <v>170</v>
      </c>
      <c r="E301" s="3">
        <v>11536</v>
      </c>
      <c r="F301">
        <v>27.3</v>
      </c>
      <c r="G301">
        <v>2.4</v>
      </c>
      <c r="H301">
        <v>0</v>
      </c>
      <c r="I301">
        <v>10.199999999999999</v>
      </c>
      <c r="J301">
        <v>16.899999999999999</v>
      </c>
      <c r="K301">
        <v>86</v>
      </c>
      <c r="L301">
        <v>19.399999999999999</v>
      </c>
      <c r="O301">
        <v>299</v>
      </c>
      <c r="P301">
        <v>19</v>
      </c>
      <c r="Q301">
        <v>24.2</v>
      </c>
      <c r="R301" s="3">
        <v>2638</v>
      </c>
      <c r="S301" s="3">
        <v>110974</v>
      </c>
      <c r="T301">
        <v>24.2</v>
      </c>
      <c r="U301">
        <v>2.4</v>
      </c>
      <c r="V301">
        <v>0.5</v>
      </c>
      <c r="W301">
        <v>10.1</v>
      </c>
      <c r="X301">
        <v>13</v>
      </c>
      <c r="Y301">
        <v>592</v>
      </c>
      <c r="Z301">
        <v>19</v>
      </c>
      <c r="AB301">
        <f t="shared" si="16"/>
        <v>299</v>
      </c>
      <c r="AC301">
        <f t="shared" si="17"/>
        <v>19.024216524216524</v>
      </c>
      <c r="AD301">
        <f t="shared" si="18"/>
        <v>24.387678062678066</v>
      </c>
      <c r="AE301">
        <f t="shared" si="19"/>
        <v>5.3634615384615429</v>
      </c>
      <c r="AG301">
        <v>299</v>
      </c>
      <c r="AH301">
        <v>2.4</v>
      </c>
      <c r="AI301">
        <v>0.5</v>
      </c>
      <c r="AJ301">
        <v>10.1</v>
      </c>
      <c r="AK301">
        <v>13</v>
      </c>
    </row>
    <row r="302" spans="1:37" x14ac:dyDescent="0.25">
      <c r="A302">
        <v>300</v>
      </c>
      <c r="B302">
        <v>20.2</v>
      </c>
      <c r="C302">
        <v>25.4</v>
      </c>
      <c r="D302">
        <v>153</v>
      </c>
      <c r="E302" s="3">
        <v>15126</v>
      </c>
      <c r="F302">
        <v>25.4</v>
      </c>
      <c r="G302">
        <v>2.4</v>
      </c>
      <c r="H302">
        <v>0</v>
      </c>
      <c r="I302">
        <v>10.199999999999999</v>
      </c>
      <c r="J302">
        <v>14.7</v>
      </c>
      <c r="K302">
        <v>73</v>
      </c>
      <c r="L302">
        <v>20.2</v>
      </c>
      <c r="O302">
        <v>300</v>
      </c>
      <c r="P302">
        <v>17.899999999999999</v>
      </c>
      <c r="Q302">
        <v>24.7</v>
      </c>
      <c r="R302" s="3">
        <v>2551</v>
      </c>
      <c r="S302" s="3">
        <v>158255</v>
      </c>
      <c r="T302">
        <v>24.7</v>
      </c>
      <c r="U302">
        <v>2.4</v>
      </c>
      <c r="V302">
        <v>0.6</v>
      </c>
      <c r="W302">
        <v>10</v>
      </c>
      <c r="X302">
        <v>13.6</v>
      </c>
      <c r="Y302">
        <v>571</v>
      </c>
      <c r="Z302">
        <v>17.899999999999999</v>
      </c>
      <c r="AB302">
        <f t="shared" si="16"/>
        <v>300</v>
      </c>
      <c r="AC302">
        <f t="shared" si="17"/>
        <v>18.030140532544376</v>
      </c>
      <c r="AD302">
        <f t="shared" si="18"/>
        <v>24.739607988165677</v>
      </c>
      <c r="AE302">
        <f t="shared" si="19"/>
        <v>6.7094674556213008</v>
      </c>
      <c r="AG302">
        <v>300</v>
      </c>
      <c r="AH302">
        <v>2.4</v>
      </c>
      <c r="AI302">
        <v>0.6</v>
      </c>
      <c r="AJ302">
        <v>10</v>
      </c>
      <c r="AK302">
        <v>13.6</v>
      </c>
    </row>
    <row r="303" spans="1:37" x14ac:dyDescent="0.25">
      <c r="A303">
        <v>301</v>
      </c>
      <c r="B303">
        <v>21.3</v>
      </c>
      <c r="C303">
        <v>25.8</v>
      </c>
      <c r="D303">
        <v>129</v>
      </c>
      <c r="E303" s="3">
        <v>12805</v>
      </c>
      <c r="F303">
        <v>25.8</v>
      </c>
      <c r="G303">
        <v>2.4</v>
      </c>
      <c r="H303">
        <v>0</v>
      </c>
      <c r="I303">
        <v>10.199999999999999</v>
      </c>
      <c r="J303">
        <v>15.2</v>
      </c>
      <c r="K303">
        <v>62</v>
      </c>
      <c r="L303">
        <v>21.3</v>
      </c>
      <c r="O303">
        <v>301</v>
      </c>
      <c r="P303">
        <v>17.7</v>
      </c>
      <c r="Q303">
        <v>24.7</v>
      </c>
      <c r="R303" s="3">
        <v>2508</v>
      </c>
      <c r="S303" s="3">
        <v>177728</v>
      </c>
      <c r="T303">
        <v>24.7</v>
      </c>
      <c r="U303">
        <v>2.5</v>
      </c>
      <c r="V303">
        <v>0.4</v>
      </c>
      <c r="W303">
        <v>10</v>
      </c>
      <c r="X303">
        <v>13.7</v>
      </c>
      <c r="Y303">
        <v>561</v>
      </c>
      <c r="Z303">
        <v>17.7</v>
      </c>
      <c r="AB303">
        <f t="shared" si="16"/>
        <v>301</v>
      </c>
      <c r="AC303">
        <f t="shared" si="17"/>
        <v>17.876109215017063</v>
      </c>
      <c r="AD303">
        <f t="shared" si="18"/>
        <v>24.753811149032991</v>
      </c>
      <c r="AE303">
        <f t="shared" si="19"/>
        <v>6.8777019340159278</v>
      </c>
      <c r="AG303">
        <v>301</v>
      </c>
      <c r="AH303">
        <v>2.5</v>
      </c>
      <c r="AI303">
        <v>0.4</v>
      </c>
      <c r="AJ303">
        <v>10</v>
      </c>
      <c r="AK303">
        <v>13.7</v>
      </c>
    </row>
    <row r="304" spans="1:37" x14ac:dyDescent="0.25">
      <c r="A304">
        <v>302</v>
      </c>
      <c r="B304">
        <v>20.399999999999999</v>
      </c>
      <c r="C304">
        <v>24.4</v>
      </c>
      <c r="D304">
        <v>139</v>
      </c>
      <c r="E304" s="3">
        <v>13115</v>
      </c>
      <c r="F304">
        <v>24.4</v>
      </c>
      <c r="G304">
        <v>2.5</v>
      </c>
      <c r="H304">
        <v>0</v>
      </c>
      <c r="I304">
        <v>10.199999999999999</v>
      </c>
      <c r="J304">
        <v>13.5</v>
      </c>
      <c r="K304">
        <v>61</v>
      </c>
      <c r="L304">
        <v>20.399999999999999</v>
      </c>
      <c r="O304">
        <v>302</v>
      </c>
      <c r="P304">
        <v>18</v>
      </c>
      <c r="Q304">
        <v>25.7</v>
      </c>
      <c r="R304" s="3">
        <v>2421</v>
      </c>
      <c r="S304" s="3">
        <v>173241</v>
      </c>
      <c r="T304">
        <v>25.7</v>
      </c>
      <c r="U304">
        <v>2.5</v>
      </c>
      <c r="V304">
        <v>0.5</v>
      </c>
      <c r="W304">
        <v>10</v>
      </c>
      <c r="X304">
        <v>14.7</v>
      </c>
      <c r="Y304">
        <v>535</v>
      </c>
      <c r="Z304">
        <v>18</v>
      </c>
      <c r="AB304">
        <f t="shared" si="16"/>
        <v>302</v>
      </c>
      <c r="AC304">
        <f t="shared" si="17"/>
        <v>18.130312499999999</v>
      </c>
      <c r="AD304">
        <f t="shared" si="18"/>
        <v>25.6294140625</v>
      </c>
      <c r="AE304">
        <f t="shared" si="19"/>
        <v>7.4991015625000017</v>
      </c>
      <c r="AG304">
        <v>302</v>
      </c>
      <c r="AH304">
        <v>2.5</v>
      </c>
      <c r="AI304">
        <v>0.5</v>
      </c>
      <c r="AJ304">
        <v>10</v>
      </c>
      <c r="AK304">
        <v>14.7</v>
      </c>
    </row>
    <row r="305" spans="1:37" x14ac:dyDescent="0.25">
      <c r="A305">
        <v>303</v>
      </c>
      <c r="B305">
        <v>21.5</v>
      </c>
      <c r="C305">
        <v>24.1</v>
      </c>
      <c r="D305">
        <v>127</v>
      </c>
      <c r="E305" s="3">
        <v>13357</v>
      </c>
      <c r="F305">
        <v>24.1</v>
      </c>
      <c r="G305">
        <v>2.6</v>
      </c>
      <c r="H305">
        <v>0</v>
      </c>
      <c r="I305">
        <v>10.199999999999999</v>
      </c>
      <c r="J305">
        <v>13.1</v>
      </c>
      <c r="K305">
        <v>62</v>
      </c>
      <c r="L305">
        <v>21.5</v>
      </c>
      <c r="O305">
        <v>303</v>
      </c>
      <c r="P305">
        <v>18.7</v>
      </c>
      <c r="Q305">
        <v>25.2</v>
      </c>
      <c r="R305" s="3">
        <v>2328</v>
      </c>
      <c r="S305" s="3">
        <v>168817</v>
      </c>
      <c r="T305">
        <v>25.2</v>
      </c>
      <c r="U305">
        <v>2.6</v>
      </c>
      <c r="V305">
        <v>0.3</v>
      </c>
      <c r="W305">
        <v>10</v>
      </c>
      <c r="X305">
        <v>14.2</v>
      </c>
      <c r="Y305">
        <v>515</v>
      </c>
      <c r="Z305">
        <v>18.7</v>
      </c>
      <c r="AB305">
        <f t="shared" si="16"/>
        <v>303</v>
      </c>
      <c r="AC305">
        <f t="shared" si="17"/>
        <v>18.844847250509165</v>
      </c>
      <c r="AD305">
        <f t="shared" si="18"/>
        <v>25.143095723014255</v>
      </c>
      <c r="AE305">
        <f t="shared" si="19"/>
        <v>6.2982484725050902</v>
      </c>
      <c r="AG305">
        <v>303</v>
      </c>
      <c r="AH305">
        <v>2.6</v>
      </c>
      <c r="AI305">
        <v>0.3</v>
      </c>
      <c r="AJ305">
        <v>10</v>
      </c>
      <c r="AK305">
        <v>14.2</v>
      </c>
    </row>
    <row r="306" spans="1:37" x14ac:dyDescent="0.25">
      <c r="A306">
        <v>304</v>
      </c>
      <c r="B306">
        <v>23.2</v>
      </c>
      <c r="C306">
        <v>26.7</v>
      </c>
      <c r="D306">
        <v>138</v>
      </c>
      <c r="E306" s="3">
        <v>15504</v>
      </c>
      <c r="F306">
        <v>26.7</v>
      </c>
      <c r="G306">
        <v>2.6</v>
      </c>
      <c r="H306">
        <v>0</v>
      </c>
      <c r="I306">
        <v>10.199999999999999</v>
      </c>
      <c r="J306">
        <v>15.9</v>
      </c>
      <c r="K306">
        <v>66</v>
      </c>
      <c r="L306">
        <v>23.2</v>
      </c>
      <c r="O306">
        <v>304</v>
      </c>
      <c r="P306">
        <v>18.7</v>
      </c>
      <c r="Q306">
        <v>25.6</v>
      </c>
      <c r="R306" s="3">
        <v>2250</v>
      </c>
      <c r="S306" s="3">
        <v>172295</v>
      </c>
      <c r="T306">
        <v>25.6</v>
      </c>
      <c r="U306">
        <v>2.6</v>
      </c>
      <c r="V306">
        <v>0.4</v>
      </c>
      <c r="W306">
        <v>10</v>
      </c>
      <c r="X306">
        <v>14.6</v>
      </c>
      <c r="Y306">
        <v>496</v>
      </c>
      <c r="Z306">
        <v>18.7</v>
      </c>
      <c r="AB306">
        <f t="shared" si="16"/>
        <v>304</v>
      </c>
      <c r="AC306">
        <f t="shared" si="17"/>
        <v>18.960050251256281</v>
      </c>
      <c r="AD306">
        <f t="shared" si="18"/>
        <v>25.663567839195981</v>
      </c>
      <c r="AE306">
        <f t="shared" si="19"/>
        <v>6.7035175879397002</v>
      </c>
      <c r="AG306">
        <v>304</v>
      </c>
      <c r="AH306">
        <v>2.6</v>
      </c>
      <c r="AI306">
        <v>0.4</v>
      </c>
      <c r="AJ306">
        <v>10</v>
      </c>
      <c r="AK306">
        <v>14.6</v>
      </c>
    </row>
    <row r="307" spans="1:37" x14ac:dyDescent="0.25">
      <c r="A307">
        <v>305</v>
      </c>
      <c r="B307">
        <v>20</v>
      </c>
      <c r="C307">
        <v>26.1</v>
      </c>
      <c r="D307">
        <v>124</v>
      </c>
      <c r="E307" s="3">
        <v>13519</v>
      </c>
      <c r="F307">
        <v>26.1</v>
      </c>
      <c r="G307">
        <v>2.7</v>
      </c>
      <c r="H307">
        <v>0</v>
      </c>
      <c r="I307">
        <v>10.199999999999999</v>
      </c>
      <c r="J307">
        <v>15.2</v>
      </c>
      <c r="K307">
        <v>61</v>
      </c>
      <c r="L307">
        <v>20</v>
      </c>
      <c r="O307">
        <v>305</v>
      </c>
      <c r="P307">
        <v>18.2</v>
      </c>
      <c r="Q307">
        <v>24.8</v>
      </c>
      <c r="R307" s="3">
        <v>2183</v>
      </c>
      <c r="S307" s="3">
        <v>164028</v>
      </c>
      <c r="T307">
        <v>24.8</v>
      </c>
      <c r="U307">
        <v>2.7</v>
      </c>
      <c r="V307">
        <v>0.2</v>
      </c>
      <c r="W307">
        <v>10</v>
      </c>
      <c r="X307">
        <v>13.7</v>
      </c>
      <c r="Y307">
        <v>476</v>
      </c>
      <c r="Z307">
        <v>18.2</v>
      </c>
      <c r="AB307">
        <f t="shared" si="16"/>
        <v>305</v>
      </c>
      <c r="AC307">
        <f t="shared" si="17"/>
        <v>18.296749024707413</v>
      </c>
      <c r="AD307">
        <f t="shared" si="18"/>
        <v>24.869874295622022</v>
      </c>
      <c r="AE307">
        <f t="shared" si="19"/>
        <v>6.5731252709146091</v>
      </c>
      <c r="AG307">
        <v>305</v>
      </c>
      <c r="AH307">
        <v>2.7</v>
      </c>
      <c r="AI307">
        <v>0.2</v>
      </c>
      <c r="AJ307">
        <v>10</v>
      </c>
      <c r="AK307">
        <v>13.7</v>
      </c>
    </row>
    <row r="308" spans="1:37" x14ac:dyDescent="0.25">
      <c r="A308">
        <v>306</v>
      </c>
      <c r="B308">
        <v>22.8</v>
      </c>
      <c r="C308">
        <v>23.7</v>
      </c>
      <c r="D308">
        <v>128</v>
      </c>
      <c r="E308" s="3">
        <v>13070</v>
      </c>
      <c r="F308">
        <v>23.7</v>
      </c>
      <c r="G308">
        <v>2.8</v>
      </c>
      <c r="H308">
        <v>0</v>
      </c>
      <c r="I308">
        <v>10</v>
      </c>
      <c r="J308">
        <v>12.7</v>
      </c>
      <c r="K308">
        <v>72</v>
      </c>
      <c r="L308">
        <v>22.8</v>
      </c>
      <c r="O308">
        <v>306</v>
      </c>
      <c r="P308">
        <v>19.600000000000001</v>
      </c>
      <c r="Q308">
        <v>24.6</v>
      </c>
      <c r="R308" s="3">
        <v>2126</v>
      </c>
      <c r="S308" s="3">
        <v>171294</v>
      </c>
      <c r="T308">
        <v>24.6</v>
      </c>
      <c r="U308">
        <v>2.8</v>
      </c>
      <c r="V308">
        <v>0.3</v>
      </c>
      <c r="W308">
        <v>10</v>
      </c>
      <c r="X308">
        <v>13.4</v>
      </c>
      <c r="Y308">
        <v>464</v>
      </c>
      <c r="Z308">
        <v>19.600000000000001</v>
      </c>
      <c r="AB308">
        <f t="shared" si="16"/>
        <v>306</v>
      </c>
      <c r="AC308">
        <f t="shared" si="17"/>
        <v>19.781721384205859</v>
      </c>
      <c r="AD308">
        <f t="shared" si="18"/>
        <v>24.548890860692104</v>
      </c>
      <c r="AE308">
        <f t="shared" si="19"/>
        <v>4.7671694764862451</v>
      </c>
      <c r="AG308">
        <v>306</v>
      </c>
      <c r="AH308">
        <v>2.8</v>
      </c>
      <c r="AI308">
        <v>0.3</v>
      </c>
      <c r="AJ308">
        <v>10</v>
      </c>
      <c r="AK308">
        <v>13.4</v>
      </c>
    </row>
    <row r="309" spans="1:37" x14ac:dyDescent="0.25">
      <c r="A309">
        <v>307</v>
      </c>
      <c r="B309">
        <v>22.7</v>
      </c>
      <c r="C309">
        <v>26.9</v>
      </c>
      <c r="D309">
        <v>121</v>
      </c>
      <c r="E309" s="3">
        <v>13960</v>
      </c>
      <c r="F309">
        <v>26.9</v>
      </c>
      <c r="G309">
        <v>3</v>
      </c>
      <c r="H309">
        <v>0</v>
      </c>
      <c r="I309">
        <v>9.9</v>
      </c>
      <c r="J309">
        <v>16.100000000000001</v>
      </c>
      <c r="K309">
        <v>64</v>
      </c>
      <c r="L309">
        <v>22.7</v>
      </c>
      <c r="O309">
        <v>307</v>
      </c>
      <c r="P309">
        <v>19.3</v>
      </c>
      <c r="Q309">
        <v>24.6</v>
      </c>
      <c r="R309" s="3">
        <v>2068</v>
      </c>
      <c r="S309" s="3">
        <v>163764</v>
      </c>
      <c r="T309">
        <v>24.6</v>
      </c>
      <c r="U309">
        <v>2.9</v>
      </c>
      <c r="V309">
        <v>0.2</v>
      </c>
      <c r="W309">
        <v>10.1</v>
      </c>
      <c r="X309">
        <v>13.4</v>
      </c>
      <c r="Y309">
        <v>449</v>
      </c>
      <c r="Z309">
        <v>19.3</v>
      </c>
      <c r="AB309">
        <f t="shared" si="16"/>
        <v>307</v>
      </c>
      <c r="AC309">
        <f t="shared" si="17"/>
        <v>19.487939698492461</v>
      </c>
      <c r="AD309">
        <f t="shared" si="18"/>
        <v>24.72713567839196</v>
      </c>
      <c r="AE309">
        <f t="shared" si="19"/>
        <v>5.2391959798994989</v>
      </c>
      <c r="AG309">
        <v>307</v>
      </c>
      <c r="AH309">
        <v>2.9</v>
      </c>
      <c r="AI309">
        <v>0.2</v>
      </c>
      <c r="AJ309">
        <v>10.1</v>
      </c>
      <c r="AK309">
        <v>13.4</v>
      </c>
    </row>
    <row r="310" spans="1:37" x14ac:dyDescent="0.25">
      <c r="A310">
        <v>308</v>
      </c>
      <c r="B310">
        <v>23</v>
      </c>
      <c r="C310">
        <v>26.3</v>
      </c>
      <c r="D310">
        <v>101</v>
      </c>
      <c r="E310" s="3">
        <v>9341</v>
      </c>
      <c r="F310">
        <v>26.3</v>
      </c>
      <c r="G310">
        <v>3</v>
      </c>
      <c r="H310">
        <v>0</v>
      </c>
      <c r="I310">
        <v>10.199999999999999</v>
      </c>
      <c r="J310">
        <v>15.2</v>
      </c>
      <c r="K310">
        <v>50</v>
      </c>
      <c r="L310">
        <v>23</v>
      </c>
      <c r="O310">
        <v>308</v>
      </c>
      <c r="P310">
        <v>18.8</v>
      </c>
      <c r="Q310">
        <v>25</v>
      </c>
      <c r="R310" s="3">
        <v>1980</v>
      </c>
      <c r="S310" s="3">
        <v>167818</v>
      </c>
      <c r="T310">
        <v>25</v>
      </c>
      <c r="U310">
        <v>3</v>
      </c>
      <c r="V310">
        <v>0.2</v>
      </c>
      <c r="W310">
        <v>10.1</v>
      </c>
      <c r="X310">
        <v>13.6</v>
      </c>
      <c r="Y310">
        <v>433</v>
      </c>
      <c r="Z310">
        <v>18.8</v>
      </c>
      <c r="AB310">
        <f t="shared" si="16"/>
        <v>308</v>
      </c>
      <c r="AC310">
        <f t="shared" si="17"/>
        <v>19.003844305622298</v>
      </c>
      <c r="AD310">
        <f t="shared" si="18"/>
        <v>25.06309466602595</v>
      </c>
      <c r="AE310">
        <f t="shared" si="19"/>
        <v>6.0592503604036523</v>
      </c>
      <c r="AG310">
        <v>308</v>
      </c>
      <c r="AH310">
        <v>3</v>
      </c>
      <c r="AI310">
        <v>0.2</v>
      </c>
      <c r="AJ310">
        <v>10.1</v>
      </c>
      <c r="AK310">
        <v>13.6</v>
      </c>
    </row>
    <row r="311" spans="1:37" x14ac:dyDescent="0.25">
      <c r="A311">
        <v>309</v>
      </c>
      <c r="B311">
        <v>21.3</v>
      </c>
      <c r="C311">
        <v>26.9</v>
      </c>
      <c r="D311">
        <v>101</v>
      </c>
      <c r="E311" s="3">
        <v>10639</v>
      </c>
      <c r="F311">
        <v>26.9</v>
      </c>
      <c r="G311">
        <v>3.1</v>
      </c>
      <c r="H311">
        <v>0</v>
      </c>
      <c r="I311">
        <v>10.1</v>
      </c>
      <c r="J311">
        <v>15.9</v>
      </c>
      <c r="K311">
        <v>51</v>
      </c>
      <c r="L311">
        <v>21.3</v>
      </c>
      <c r="O311">
        <v>309</v>
      </c>
      <c r="P311">
        <v>18.899999999999999</v>
      </c>
      <c r="Q311">
        <v>25.3</v>
      </c>
      <c r="R311" s="3">
        <v>1956</v>
      </c>
      <c r="S311" s="3">
        <v>169534</v>
      </c>
      <c r="T311">
        <v>25.3</v>
      </c>
      <c r="U311">
        <v>3.2</v>
      </c>
      <c r="V311">
        <v>0.1</v>
      </c>
      <c r="W311">
        <v>10.1</v>
      </c>
      <c r="X311">
        <v>13.9</v>
      </c>
      <c r="Y311">
        <v>422</v>
      </c>
      <c r="Z311">
        <v>18.899999999999999</v>
      </c>
      <c r="AB311">
        <f t="shared" si="16"/>
        <v>309</v>
      </c>
      <c r="AC311">
        <f t="shared" si="17"/>
        <v>19.017841516771998</v>
      </c>
      <c r="AD311">
        <f t="shared" si="18"/>
        <v>25.378561011181333</v>
      </c>
      <c r="AE311">
        <f t="shared" si="19"/>
        <v>6.3607194944093344</v>
      </c>
      <c r="AG311">
        <v>309</v>
      </c>
      <c r="AH311">
        <v>3.2</v>
      </c>
      <c r="AI311">
        <v>0.1</v>
      </c>
      <c r="AJ311">
        <v>10.1</v>
      </c>
      <c r="AK311">
        <v>13.9</v>
      </c>
    </row>
    <row r="312" spans="1:37" x14ac:dyDescent="0.25">
      <c r="O312">
        <v>310</v>
      </c>
      <c r="P312">
        <v>18.899999999999999</v>
      </c>
      <c r="Q312">
        <v>26.3</v>
      </c>
      <c r="R312" s="3">
        <v>1909</v>
      </c>
      <c r="S312" s="3">
        <v>168328</v>
      </c>
      <c r="T312">
        <v>26.3</v>
      </c>
      <c r="U312">
        <v>3.3</v>
      </c>
      <c r="V312">
        <v>0.1</v>
      </c>
      <c r="W312">
        <v>10.1</v>
      </c>
      <c r="X312">
        <v>14.9</v>
      </c>
      <c r="Y312">
        <v>426</v>
      </c>
      <c r="Z312">
        <v>18.899999999999999</v>
      </c>
      <c r="AG312">
        <v>310</v>
      </c>
      <c r="AH312">
        <v>3.3</v>
      </c>
      <c r="AI312">
        <v>0.1</v>
      </c>
      <c r="AJ312">
        <v>10.1</v>
      </c>
      <c r="AK312">
        <v>14.9</v>
      </c>
    </row>
    <row r="313" spans="1:37" x14ac:dyDescent="0.25">
      <c r="O313">
        <v>311</v>
      </c>
      <c r="P313">
        <v>19.100000000000001</v>
      </c>
      <c r="Q313">
        <v>25.7</v>
      </c>
      <c r="R313" s="3">
        <v>1827</v>
      </c>
      <c r="S313" s="3">
        <v>158636</v>
      </c>
      <c r="T313">
        <v>25.7</v>
      </c>
      <c r="U313">
        <v>3.4</v>
      </c>
      <c r="V313">
        <v>0.1</v>
      </c>
      <c r="W313">
        <v>10.1</v>
      </c>
      <c r="X313">
        <v>14.2</v>
      </c>
      <c r="Y313">
        <v>388</v>
      </c>
      <c r="Z313">
        <v>19.100000000000001</v>
      </c>
      <c r="AG313">
        <v>311</v>
      </c>
      <c r="AH313">
        <v>3.4</v>
      </c>
      <c r="AI313">
        <v>0.1</v>
      </c>
      <c r="AJ313">
        <v>10.1</v>
      </c>
      <c r="AK313">
        <v>14.2</v>
      </c>
    </row>
    <row r="314" spans="1:37" x14ac:dyDescent="0.25">
      <c r="O314">
        <v>312</v>
      </c>
      <c r="P314">
        <v>19.7</v>
      </c>
      <c r="Q314">
        <v>25.5</v>
      </c>
      <c r="R314" s="3">
        <v>1787</v>
      </c>
      <c r="S314" s="3">
        <v>157454</v>
      </c>
      <c r="T314">
        <v>25.5</v>
      </c>
      <c r="U314">
        <v>3.6</v>
      </c>
      <c r="V314">
        <v>0.1</v>
      </c>
      <c r="W314">
        <v>10.1</v>
      </c>
      <c r="X314">
        <v>13.8</v>
      </c>
      <c r="Y314">
        <v>380</v>
      </c>
      <c r="Z314">
        <v>19.7</v>
      </c>
      <c r="AG314">
        <v>312</v>
      </c>
      <c r="AH314">
        <v>3.6</v>
      </c>
      <c r="AI314">
        <v>0.1</v>
      </c>
      <c r="AJ314">
        <v>10.1</v>
      </c>
      <c r="AK314">
        <v>13.8</v>
      </c>
    </row>
    <row r="315" spans="1:37" x14ac:dyDescent="0.25">
      <c r="O315">
        <v>313</v>
      </c>
      <c r="P315">
        <v>20.7</v>
      </c>
      <c r="Q315">
        <v>25.4</v>
      </c>
      <c r="R315" s="3">
        <v>1720</v>
      </c>
      <c r="S315" s="3">
        <v>160923</v>
      </c>
      <c r="T315">
        <v>25.4</v>
      </c>
      <c r="U315">
        <v>3.7</v>
      </c>
      <c r="V315">
        <v>0</v>
      </c>
      <c r="W315">
        <v>10.1</v>
      </c>
      <c r="X315">
        <v>13.6</v>
      </c>
      <c r="Y315">
        <v>361</v>
      </c>
      <c r="Z315">
        <v>20.7</v>
      </c>
      <c r="AG315">
        <v>313</v>
      </c>
      <c r="AH315">
        <v>3.7</v>
      </c>
      <c r="AI315">
        <v>0</v>
      </c>
      <c r="AJ315">
        <v>10.1</v>
      </c>
      <c r="AK315">
        <v>13.6</v>
      </c>
    </row>
    <row r="316" spans="1:37" x14ac:dyDescent="0.25">
      <c r="O316">
        <v>314</v>
      </c>
      <c r="P316">
        <v>18.600000000000001</v>
      </c>
      <c r="Q316">
        <v>25.5</v>
      </c>
      <c r="R316" s="3">
        <v>1659</v>
      </c>
      <c r="S316" s="3">
        <v>157355</v>
      </c>
      <c r="T316">
        <v>25.5</v>
      </c>
      <c r="U316">
        <v>3.9</v>
      </c>
      <c r="V316">
        <v>0</v>
      </c>
      <c r="W316">
        <v>10.1</v>
      </c>
      <c r="X316">
        <v>13.6</v>
      </c>
      <c r="Y316">
        <v>343</v>
      </c>
      <c r="Z316">
        <v>18.600000000000001</v>
      </c>
      <c r="AG316">
        <v>314</v>
      </c>
      <c r="AH316">
        <v>3.9</v>
      </c>
      <c r="AI316">
        <v>0</v>
      </c>
      <c r="AJ316">
        <v>10.1</v>
      </c>
      <c r="AK316">
        <v>13.6</v>
      </c>
    </row>
    <row r="317" spans="1:37" x14ac:dyDescent="0.25">
      <c r="O317">
        <v>315</v>
      </c>
      <c r="P317">
        <v>19.600000000000001</v>
      </c>
      <c r="Q317">
        <v>26.4</v>
      </c>
      <c r="R317" s="3">
        <v>1602</v>
      </c>
      <c r="S317" s="3">
        <v>147102</v>
      </c>
      <c r="T317">
        <v>26.4</v>
      </c>
      <c r="U317">
        <v>4</v>
      </c>
      <c r="V317">
        <v>0</v>
      </c>
      <c r="W317">
        <v>10.1</v>
      </c>
      <c r="X317">
        <v>14.5</v>
      </c>
      <c r="Y317">
        <v>334</v>
      </c>
      <c r="Z317">
        <v>19.600000000000001</v>
      </c>
      <c r="AG317">
        <v>315</v>
      </c>
      <c r="AH317">
        <v>4</v>
      </c>
      <c r="AI317">
        <v>0</v>
      </c>
      <c r="AJ317">
        <v>10.1</v>
      </c>
      <c r="AK317">
        <v>14.5</v>
      </c>
    </row>
    <row r="318" spans="1:37" x14ac:dyDescent="0.25">
      <c r="O318">
        <v>316</v>
      </c>
      <c r="P318">
        <v>19.899999999999999</v>
      </c>
      <c r="Q318">
        <v>26.3</v>
      </c>
      <c r="R318" s="3">
        <v>1545</v>
      </c>
      <c r="S318" s="3">
        <v>155224</v>
      </c>
      <c r="T318">
        <v>26.3</v>
      </c>
      <c r="U318">
        <v>4.2</v>
      </c>
      <c r="V318">
        <v>0</v>
      </c>
      <c r="W318">
        <v>10.1</v>
      </c>
      <c r="X318">
        <v>14.2</v>
      </c>
      <c r="Y318">
        <v>321</v>
      </c>
      <c r="Z318">
        <v>19.899999999999999</v>
      </c>
      <c r="AG318">
        <v>316</v>
      </c>
      <c r="AH318">
        <v>4.2</v>
      </c>
      <c r="AI318">
        <v>0</v>
      </c>
      <c r="AJ318">
        <v>10.1</v>
      </c>
      <c r="AK318">
        <v>14.2</v>
      </c>
    </row>
    <row r="319" spans="1:37" x14ac:dyDescent="0.25">
      <c r="O319">
        <v>317</v>
      </c>
      <c r="P319">
        <v>19.7</v>
      </c>
      <c r="Q319">
        <v>26.2</v>
      </c>
      <c r="R319" s="3">
        <v>1484</v>
      </c>
      <c r="S319" s="3">
        <v>141927</v>
      </c>
      <c r="T319">
        <v>26.2</v>
      </c>
      <c r="U319">
        <v>4.4000000000000004</v>
      </c>
      <c r="V319">
        <v>0</v>
      </c>
      <c r="W319">
        <v>10.1</v>
      </c>
      <c r="X319">
        <v>13.9</v>
      </c>
      <c r="Y319">
        <v>314</v>
      </c>
      <c r="Z319">
        <v>19.7</v>
      </c>
      <c r="AG319">
        <v>317</v>
      </c>
      <c r="AH319">
        <v>4.4000000000000004</v>
      </c>
      <c r="AI319">
        <v>0</v>
      </c>
      <c r="AJ319">
        <v>10.1</v>
      </c>
      <c r="AK319">
        <v>13.9</v>
      </c>
    </row>
    <row r="320" spans="1:37" x14ac:dyDescent="0.25">
      <c r="O320">
        <v>318</v>
      </c>
      <c r="P320">
        <v>18.899999999999999</v>
      </c>
      <c r="Q320">
        <v>26</v>
      </c>
      <c r="R320" s="3">
        <v>1456</v>
      </c>
      <c r="S320" s="3">
        <v>149617</v>
      </c>
      <c r="T320">
        <v>26</v>
      </c>
      <c r="U320">
        <v>4.5999999999999996</v>
      </c>
      <c r="V320">
        <v>0</v>
      </c>
      <c r="W320">
        <v>10.1</v>
      </c>
      <c r="X320">
        <v>13.5</v>
      </c>
      <c r="Y320">
        <v>295</v>
      </c>
      <c r="Z320">
        <v>18.899999999999999</v>
      </c>
      <c r="AG320">
        <v>318</v>
      </c>
      <c r="AH320">
        <v>4.5999999999999996</v>
      </c>
      <c r="AI320">
        <v>0</v>
      </c>
      <c r="AJ320">
        <v>10.1</v>
      </c>
      <c r="AK320">
        <v>13.5</v>
      </c>
    </row>
    <row r="321" spans="15:37" x14ac:dyDescent="0.25">
      <c r="O321">
        <v>319</v>
      </c>
      <c r="P321">
        <v>19.399999999999999</v>
      </c>
      <c r="Q321">
        <v>26</v>
      </c>
      <c r="R321" s="3">
        <v>1399</v>
      </c>
      <c r="S321" s="3">
        <v>143712</v>
      </c>
      <c r="T321">
        <v>26</v>
      </c>
      <c r="U321">
        <v>4.8</v>
      </c>
      <c r="V321">
        <v>0</v>
      </c>
      <c r="W321">
        <v>10.1</v>
      </c>
      <c r="X321">
        <v>13.3</v>
      </c>
      <c r="Y321">
        <v>297</v>
      </c>
      <c r="Z321">
        <v>19.399999999999999</v>
      </c>
      <c r="AG321">
        <v>319</v>
      </c>
      <c r="AH321">
        <v>4.8</v>
      </c>
      <c r="AI321">
        <v>0</v>
      </c>
      <c r="AJ321">
        <v>10.1</v>
      </c>
      <c r="AK321">
        <v>13.3</v>
      </c>
    </row>
    <row r="322" spans="15:37" x14ac:dyDescent="0.25">
      <c r="O322">
        <v>320</v>
      </c>
      <c r="P322">
        <v>19.7</v>
      </c>
      <c r="Q322">
        <v>26.1</v>
      </c>
      <c r="R322" s="3">
        <v>1340</v>
      </c>
      <c r="S322" s="3">
        <v>140483</v>
      </c>
      <c r="T322">
        <v>26.1</v>
      </c>
      <c r="U322">
        <v>5</v>
      </c>
      <c r="V322">
        <v>0</v>
      </c>
      <c r="W322">
        <v>10.1</v>
      </c>
      <c r="X322">
        <v>13.2</v>
      </c>
      <c r="Y322">
        <v>286</v>
      </c>
      <c r="Z322">
        <v>19.7</v>
      </c>
      <c r="AG322">
        <v>320</v>
      </c>
      <c r="AH322">
        <v>5</v>
      </c>
      <c r="AI322">
        <v>0</v>
      </c>
      <c r="AJ322">
        <v>10.1</v>
      </c>
      <c r="AK322">
        <v>13.2</v>
      </c>
    </row>
    <row r="323" spans="15:37" x14ac:dyDescent="0.25">
      <c r="O323">
        <v>321</v>
      </c>
      <c r="P323">
        <v>20.100000000000001</v>
      </c>
      <c r="Q323">
        <v>25.4</v>
      </c>
      <c r="R323" s="3">
        <v>1310</v>
      </c>
      <c r="S323" s="3">
        <v>146118</v>
      </c>
      <c r="T323">
        <v>25.4</v>
      </c>
      <c r="U323">
        <v>5.2</v>
      </c>
      <c r="V323">
        <v>0</v>
      </c>
      <c r="W323">
        <v>10.1</v>
      </c>
      <c r="X323">
        <v>12.3</v>
      </c>
      <c r="Y323">
        <v>275</v>
      </c>
      <c r="Z323">
        <v>20.100000000000001</v>
      </c>
      <c r="AG323">
        <v>321</v>
      </c>
      <c r="AH323">
        <v>5.2</v>
      </c>
      <c r="AI323">
        <v>0</v>
      </c>
      <c r="AJ323">
        <v>10.1</v>
      </c>
      <c r="AK323">
        <v>12.3</v>
      </c>
    </row>
    <row r="324" spans="15:37" x14ac:dyDescent="0.25">
      <c r="O324">
        <v>322</v>
      </c>
      <c r="P324">
        <v>20</v>
      </c>
      <c r="Q324">
        <v>25</v>
      </c>
      <c r="R324" s="3">
        <v>1253</v>
      </c>
      <c r="S324" s="3">
        <v>137982</v>
      </c>
      <c r="T324">
        <v>25</v>
      </c>
      <c r="U324">
        <v>5.4</v>
      </c>
      <c r="V324">
        <v>0</v>
      </c>
      <c r="W324">
        <v>10</v>
      </c>
      <c r="X324">
        <v>11.7</v>
      </c>
      <c r="Y324">
        <v>259</v>
      </c>
      <c r="Z324">
        <v>20</v>
      </c>
      <c r="AG324">
        <v>322</v>
      </c>
      <c r="AH324">
        <v>5.4</v>
      </c>
      <c r="AI324">
        <v>0</v>
      </c>
      <c r="AJ324">
        <v>10</v>
      </c>
      <c r="AK324">
        <v>11.7</v>
      </c>
    </row>
    <row r="325" spans="15:37" x14ac:dyDescent="0.25">
      <c r="O325">
        <v>323</v>
      </c>
      <c r="P325">
        <v>20</v>
      </c>
      <c r="Q325">
        <v>26.2</v>
      </c>
      <c r="R325" s="3">
        <v>1226</v>
      </c>
      <c r="S325" s="3">
        <v>138220</v>
      </c>
      <c r="T325">
        <v>26.2</v>
      </c>
      <c r="U325">
        <v>5.7</v>
      </c>
      <c r="V325">
        <v>0</v>
      </c>
      <c r="W325">
        <v>10</v>
      </c>
      <c r="X325">
        <v>12.8</v>
      </c>
      <c r="Y325">
        <v>256</v>
      </c>
      <c r="Z325">
        <v>20</v>
      </c>
      <c r="AG325">
        <v>323</v>
      </c>
      <c r="AH325">
        <v>5.7</v>
      </c>
      <c r="AI325">
        <v>0</v>
      </c>
      <c r="AJ325">
        <v>10</v>
      </c>
      <c r="AK325">
        <v>12.8</v>
      </c>
    </row>
    <row r="326" spans="15:37" x14ac:dyDescent="0.25">
      <c r="O326">
        <v>324</v>
      </c>
      <c r="P326">
        <v>20.5</v>
      </c>
      <c r="Q326">
        <v>26.6</v>
      </c>
      <c r="R326" s="3">
        <v>1175</v>
      </c>
      <c r="S326" s="3">
        <v>134860</v>
      </c>
      <c r="T326">
        <v>26.6</v>
      </c>
      <c r="U326">
        <v>5.8</v>
      </c>
      <c r="V326">
        <v>0</v>
      </c>
      <c r="W326">
        <v>10</v>
      </c>
      <c r="X326">
        <v>13.2</v>
      </c>
      <c r="Y326">
        <v>240</v>
      </c>
      <c r="Z326">
        <v>20.5</v>
      </c>
      <c r="AG326">
        <v>324</v>
      </c>
      <c r="AH326">
        <v>5.8</v>
      </c>
      <c r="AI326">
        <v>0</v>
      </c>
      <c r="AJ326">
        <v>10</v>
      </c>
      <c r="AK326">
        <v>13.2</v>
      </c>
    </row>
    <row r="327" spans="15:37" x14ac:dyDescent="0.25">
      <c r="O327">
        <v>325</v>
      </c>
      <c r="P327">
        <v>20</v>
      </c>
      <c r="Q327">
        <v>25.8</v>
      </c>
      <c r="R327" s="3">
        <v>1136</v>
      </c>
      <c r="S327" s="3">
        <v>131862</v>
      </c>
      <c r="T327">
        <v>25.8</v>
      </c>
      <c r="U327">
        <v>6.1</v>
      </c>
      <c r="V327">
        <v>0</v>
      </c>
      <c r="W327">
        <v>9.9</v>
      </c>
      <c r="X327">
        <v>12.1</v>
      </c>
      <c r="Y327">
        <v>232</v>
      </c>
      <c r="Z327">
        <v>20</v>
      </c>
      <c r="AG327">
        <v>325</v>
      </c>
      <c r="AH327">
        <v>6.1</v>
      </c>
      <c r="AI327">
        <v>0</v>
      </c>
      <c r="AJ327">
        <v>9.9</v>
      </c>
      <c r="AK327">
        <v>12.1</v>
      </c>
    </row>
    <row r="328" spans="15:37" x14ac:dyDescent="0.25">
      <c r="O328">
        <v>326</v>
      </c>
      <c r="P328">
        <v>20</v>
      </c>
      <c r="Q328">
        <v>25.8</v>
      </c>
      <c r="R328" s="3">
        <v>1100</v>
      </c>
      <c r="S328" s="3">
        <v>138434</v>
      </c>
      <c r="T328">
        <v>25.8</v>
      </c>
      <c r="U328">
        <v>6.3</v>
      </c>
      <c r="V328">
        <v>0</v>
      </c>
      <c r="W328">
        <v>9.9</v>
      </c>
      <c r="X328">
        <v>11.9</v>
      </c>
      <c r="Y328">
        <v>222</v>
      </c>
      <c r="Z328">
        <v>20</v>
      </c>
      <c r="AG328">
        <v>326</v>
      </c>
      <c r="AH328">
        <v>6.3</v>
      </c>
      <c r="AI328">
        <v>0</v>
      </c>
      <c r="AJ328">
        <v>9.9</v>
      </c>
      <c r="AK328">
        <v>11.9</v>
      </c>
    </row>
    <row r="329" spans="15:37" x14ac:dyDescent="0.25">
      <c r="O329">
        <v>327</v>
      </c>
      <c r="P329">
        <v>20.399999999999999</v>
      </c>
      <c r="Q329">
        <v>25.4</v>
      </c>
      <c r="R329" s="3">
        <v>1051</v>
      </c>
      <c r="S329" s="3">
        <v>128057</v>
      </c>
      <c r="T329">
        <v>25.4</v>
      </c>
      <c r="U329">
        <v>6.6</v>
      </c>
      <c r="V329">
        <v>0</v>
      </c>
      <c r="W329">
        <v>9.8000000000000007</v>
      </c>
      <c r="X329">
        <v>11.3</v>
      </c>
      <c r="Y329">
        <v>204</v>
      </c>
      <c r="Z329">
        <v>20.399999999999999</v>
      </c>
      <c r="AG329">
        <v>327</v>
      </c>
      <c r="AH329">
        <v>6.6</v>
      </c>
      <c r="AI329">
        <v>0</v>
      </c>
      <c r="AJ329">
        <v>9.8000000000000007</v>
      </c>
      <c r="AK329">
        <v>11.3</v>
      </c>
    </row>
    <row r="330" spans="15:37" x14ac:dyDescent="0.25">
      <c r="O330">
        <v>328</v>
      </c>
      <c r="P330">
        <v>20.2</v>
      </c>
      <c r="Q330">
        <v>25.4</v>
      </c>
      <c r="R330" s="3">
        <v>1009</v>
      </c>
      <c r="S330" s="3">
        <v>128743</v>
      </c>
      <c r="T330">
        <v>25.4</v>
      </c>
      <c r="U330">
        <v>6.8</v>
      </c>
      <c r="V330">
        <v>0</v>
      </c>
      <c r="W330">
        <v>9.8000000000000007</v>
      </c>
      <c r="X330">
        <v>11</v>
      </c>
      <c r="Y330">
        <v>192</v>
      </c>
      <c r="Z330">
        <v>20.2</v>
      </c>
      <c r="AG330">
        <v>328</v>
      </c>
      <c r="AH330">
        <v>6.8</v>
      </c>
      <c r="AI330">
        <v>0</v>
      </c>
      <c r="AJ330">
        <v>9.8000000000000007</v>
      </c>
      <c r="AK330">
        <v>11</v>
      </c>
    </row>
    <row r="331" spans="15:37" x14ac:dyDescent="0.25">
      <c r="O331">
        <v>329</v>
      </c>
      <c r="P331">
        <v>20.3</v>
      </c>
      <c r="Q331">
        <v>25.7</v>
      </c>
      <c r="R331">
        <v>969</v>
      </c>
      <c r="S331" s="3">
        <v>122867</v>
      </c>
      <c r="T331">
        <v>25.7</v>
      </c>
      <c r="U331">
        <v>7.1</v>
      </c>
      <c r="V331">
        <v>0</v>
      </c>
      <c r="W331">
        <v>9.6999999999999993</v>
      </c>
      <c r="X331">
        <v>11.2</v>
      </c>
      <c r="Y331">
        <v>187</v>
      </c>
      <c r="Z331">
        <v>20.3</v>
      </c>
      <c r="AG331">
        <v>329</v>
      </c>
      <c r="AH331">
        <v>7.1</v>
      </c>
      <c r="AI331">
        <v>0</v>
      </c>
      <c r="AJ331">
        <v>9.6999999999999993</v>
      </c>
      <c r="AK331">
        <v>11.2</v>
      </c>
    </row>
    <row r="332" spans="15:37" x14ac:dyDescent="0.25">
      <c r="O332">
        <v>330</v>
      </c>
      <c r="P332">
        <v>20.9</v>
      </c>
      <c r="Q332">
        <v>25.5</v>
      </c>
      <c r="R332">
        <v>931</v>
      </c>
      <c r="S332" s="3">
        <v>127542</v>
      </c>
      <c r="T332">
        <v>25.5</v>
      </c>
      <c r="U332">
        <v>7.4</v>
      </c>
      <c r="V332">
        <v>0</v>
      </c>
      <c r="W332">
        <v>9.6999999999999993</v>
      </c>
      <c r="X332">
        <v>10.6</v>
      </c>
      <c r="Y332">
        <v>177</v>
      </c>
      <c r="Z332">
        <v>20.9</v>
      </c>
      <c r="AG332">
        <v>330</v>
      </c>
      <c r="AH332">
        <v>7.4</v>
      </c>
      <c r="AI332">
        <v>0</v>
      </c>
      <c r="AJ332">
        <v>9.6999999999999993</v>
      </c>
      <c r="AK332">
        <v>10.6</v>
      </c>
    </row>
    <row r="333" spans="15:37" x14ac:dyDescent="0.25">
      <c r="O333">
        <v>331</v>
      </c>
      <c r="P333">
        <v>21.5</v>
      </c>
      <c r="Q333">
        <v>25.3</v>
      </c>
      <c r="R333">
        <v>882</v>
      </c>
      <c r="S333" s="3">
        <v>121536</v>
      </c>
      <c r="T333">
        <v>25.3</v>
      </c>
      <c r="U333">
        <v>7.6</v>
      </c>
      <c r="V333">
        <v>0</v>
      </c>
      <c r="W333">
        <v>9.6</v>
      </c>
      <c r="X333">
        <v>10.199999999999999</v>
      </c>
      <c r="Y333">
        <v>162</v>
      </c>
      <c r="Z333">
        <v>21.5</v>
      </c>
      <c r="AG333">
        <v>331</v>
      </c>
      <c r="AH333">
        <v>7.6</v>
      </c>
      <c r="AI333">
        <v>0</v>
      </c>
      <c r="AJ333">
        <v>9.6</v>
      </c>
      <c r="AK333">
        <v>10.199999999999999</v>
      </c>
    </row>
    <row r="334" spans="15:37" x14ac:dyDescent="0.25">
      <c r="O334">
        <v>332</v>
      </c>
      <c r="P334">
        <v>21.2</v>
      </c>
      <c r="Q334">
        <v>25.8</v>
      </c>
      <c r="R334">
        <v>851</v>
      </c>
      <c r="S334" s="3">
        <v>122473</v>
      </c>
      <c r="T334">
        <v>25.8</v>
      </c>
      <c r="U334">
        <v>8</v>
      </c>
      <c r="V334">
        <v>0</v>
      </c>
      <c r="W334">
        <v>9.6999999999999993</v>
      </c>
      <c r="X334">
        <v>10.5</v>
      </c>
      <c r="Y334">
        <v>160</v>
      </c>
      <c r="Z334">
        <v>21.2</v>
      </c>
      <c r="AG334">
        <v>332</v>
      </c>
      <c r="AH334">
        <v>8</v>
      </c>
      <c r="AI334">
        <v>0</v>
      </c>
      <c r="AJ334">
        <v>9.6999999999999993</v>
      </c>
      <c r="AK334">
        <v>10.5</v>
      </c>
    </row>
    <row r="335" spans="15:37" x14ac:dyDescent="0.25">
      <c r="O335">
        <v>333</v>
      </c>
      <c r="P335">
        <v>21.6</v>
      </c>
      <c r="Q335">
        <v>26.1</v>
      </c>
      <c r="R335">
        <v>812</v>
      </c>
      <c r="S335" s="3">
        <v>120662</v>
      </c>
      <c r="T335">
        <v>26.1</v>
      </c>
      <c r="U335">
        <v>8.1999999999999993</v>
      </c>
      <c r="V335">
        <v>0</v>
      </c>
      <c r="W335">
        <v>9.9</v>
      </c>
      <c r="X335">
        <v>10.4</v>
      </c>
      <c r="Y335">
        <v>146</v>
      </c>
      <c r="Z335">
        <v>21.6</v>
      </c>
      <c r="AG335">
        <v>333</v>
      </c>
      <c r="AH335">
        <v>8.1999999999999993</v>
      </c>
      <c r="AI335">
        <v>0</v>
      </c>
      <c r="AJ335">
        <v>9.9</v>
      </c>
      <c r="AK335">
        <v>10.4</v>
      </c>
    </row>
    <row r="336" spans="15:37" x14ac:dyDescent="0.25">
      <c r="O336">
        <v>334</v>
      </c>
      <c r="P336">
        <v>22</v>
      </c>
      <c r="Q336">
        <v>26.9</v>
      </c>
      <c r="R336">
        <v>771</v>
      </c>
      <c r="S336" s="3">
        <v>114802</v>
      </c>
      <c r="T336">
        <v>26.9</v>
      </c>
      <c r="U336">
        <v>8.5</v>
      </c>
      <c r="V336">
        <v>0</v>
      </c>
      <c r="W336">
        <v>10</v>
      </c>
      <c r="X336">
        <v>10.9</v>
      </c>
      <c r="Y336">
        <v>139</v>
      </c>
      <c r="Z336">
        <v>22</v>
      </c>
      <c r="AG336">
        <v>334</v>
      </c>
      <c r="AH336">
        <v>8.5</v>
      </c>
      <c r="AI336">
        <v>0</v>
      </c>
      <c r="AJ336">
        <v>10</v>
      </c>
      <c r="AK336">
        <v>10.9</v>
      </c>
    </row>
    <row r="337" spans="15:37" x14ac:dyDescent="0.25">
      <c r="O337">
        <v>335</v>
      </c>
      <c r="P337">
        <v>22.1</v>
      </c>
      <c r="Q337">
        <v>26.3</v>
      </c>
      <c r="R337">
        <v>737</v>
      </c>
      <c r="S337" s="3">
        <v>109319</v>
      </c>
      <c r="T337">
        <v>26.3</v>
      </c>
      <c r="U337">
        <v>8.8000000000000007</v>
      </c>
      <c r="V337">
        <v>0</v>
      </c>
      <c r="W337">
        <v>10.1</v>
      </c>
      <c r="X337">
        <v>10</v>
      </c>
      <c r="Y337">
        <v>132</v>
      </c>
      <c r="Z337">
        <v>22.1</v>
      </c>
      <c r="AG337">
        <v>335</v>
      </c>
      <c r="AH337">
        <v>8.8000000000000007</v>
      </c>
      <c r="AI337">
        <v>0</v>
      </c>
      <c r="AJ337">
        <v>10.1</v>
      </c>
      <c r="AK337">
        <v>10</v>
      </c>
    </row>
    <row r="338" spans="15:37" x14ac:dyDescent="0.25">
      <c r="O338">
        <v>336</v>
      </c>
      <c r="P338">
        <v>23.6</v>
      </c>
      <c r="Q338">
        <v>26.4</v>
      </c>
      <c r="R338">
        <v>697</v>
      </c>
      <c r="S338" s="3">
        <v>108809</v>
      </c>
      <c r="T338">
        <v>26.4</v>
      </c>
      <c r="U338">
        <v>9</v>
      </c>
      <c r="V338">
        <v>0</v>
      </c>
      <c r="W338">
        <v>10.1</v>
      </c>
      <c r="X338">
        <v>9.8000000000000007</v>
      </c>
      <c r="Y338">
        <v>117</v>
      </c>
      <c r="Z338">
        <v>23.6</v>
      </c>
      <c r="AG338">
        <v>336</v>
      </c>
      <c r="AH338">
        <v>9</v>
      </c>
      <c r="AI338">
        <v>0</v>
      </c>
      <c r="AJ338">
        <v>10.1</v>
      </c>
      <c r="AK338">
        <v>9.8000000000000007</v>
      </c>
    </row>
    <row r="339" spans="15:37" x14ac:dyDescent="0.25">
      <c r="O339">
        <v>337</v>
      </c>
      <c r="P339">
        <v>23</v>
      </c>
      <c r="Q339">
        <v>26</v>
      </c>
      <c r="R339">
        <v>658</v>
      </c>
      <c r="S339" s="3">
        <v>101903</v>
      </c>
      <c r="T339">
        <v>26</v>
      </c>
      <c r="U339">
        <v>9.1999999999999993</v>
      </c>
      <c r="V339">
        <v>0</v>
      </c>
      <c r="W339">
        <v>10.199999999999999</v>
      </c>
      <c r="X339">
        <v>9</v>
      </c>
      <c r="Y339">
        <v>110</v>
      </c>
      <c r="Z339">
        <v>23</v>
      </c>
      <c r="AG339">
        <v>337</v>
      </c>
      <c r="AH339">
        <v>9.1999999999999993</v>
      </c>
      <c r="AI339">
        <v>0</v>
      </c>
      <c r="AJ339">
        <v>10.199999999999999</v>
      </c>
      <c r="AK339">
        <v>9</v>
      </c>
    </row>
    <row r="340" spans="15:37" x14ac:dyDescent="0.25">
      <c r="O340">
        <v>338</v>
      </c>
      <c r="P340">
        <v>23.3</v>
      </c>
      <c r="Q340">
        <v>26.2</v>
      </c>
      <c r="R340">
        <v>622</v>
      </c>
      <c r="S340" s="3">
        <v>99408</v>
      </c>
      <c r="T340">
        <v>26.2</v>
      </c>
      <c r="U340">
        <v>9.6</v>
      </c>
      <c r="V340">
        <v>0</v>
      </c>
      <c r="W340">
        <v>10.199999999999999</v>
      </c>
      <c r="X340">
        <v>8.9</v>
      </c>
      <c r="Y340">
        <v>103</v>
      </c>
      <c r="Z340">
        <v>23.3</v>
      </c>
      <c r="AG340">
        <v>338</v>
      </c>
      <c r="AH340">
        <v>9.6</v>
      </c>
      <c r="AI340">
        <v>0</v>
      </c>
      <c r="AJ340">
        <v>10.199999999999999</v>
      </c>
      <c r="AK340">
        <v>8.9</v>
      </c>
    </row>
    <row r="341" spans="15:37" x14ac:dyDescent="0.25">
      <c r="O341">
        <v>339</v>
      </c>
      <c r="P341">
        <v>23.7</v>
      </c>
      <c r="Q341">
        <v>25.9</v>
      </c>
      <c r="R341">
        <v>585</v>
      </c>
      <c r="S341" s="3">
        <v>99039</v>
      </c>
      <c r="T341">
        <v>25.9</v>
      </c>
      <c r="U341">
        <v>10</v>
      </c>
      <c r="V341">
        <v>0</v>
      </c>
      <c r="W341">
        <v>10.199999999999999</v>
      </c>
      <c r="X341">
        <v>8.1999999999999993</v>
      </c>
      <c r="Y341">
        <v>97</v>
      </c>
      <c r="Z341">
        <v>23.7</v>
      </c>
      <c r="AG341">
        <v>339</v>
      </c>
      <c r="AH341">
        <v>10</v>
      </c>
      <c r="AI341">
        <v>0</v>
      </c>
      <c r="AJ341">
        <v>10.199999999999999</v>
      </c>
      <c r="AK341">
        <v>8.1999999999999993</v>
      </c>
    </row>
    <row r="342" spans="15:37" x14ac:dyDescent="0.25">
      <c r="O342">
        <v>340</v>
      </c>
      <c r="P342">
        <v>23.9</v>
      </c>
      <c r="Q342">
        <v>25.9</v>
      </c>
      <c r="R342">
        <v>558</v>
      </c>
      <c r="S342" s="3">
        <v>97699</v>
      </c>
      <c r="T342">
        <v>25.9</v>
      </c>
      <c r="U342">
        <v>10.3</v>
      </c>
      <c r="V342">
        <v>0</v>
      </c>
      <c r="W342">
        <v>10.199999999999999</v>
      </c>
      <c r="X342">
        <v>7.8</v>
      </c>
      <c r="Y342">
        <v>88</v>
      </c>
      <c r="Z342">
        <v>23.9</v>
      </c>
      <c r="AG342">
        <v>340</v>
      </c>
      <c r="AH342">
        <v>10.3</v>
      </c>
      <c r="AI342">
        <v>0</v>
      </c>
      <c r="AJ342">
        <v>10.199999999999999</v>
      </c>
      <c r="AK342">
        <v>7.8</v>
      </c>
    </row>
    <row r="343" spans="15:37" x14ac:dyDescent="0.25">
      <c r="O343">
        <v>341</v>
      </c>
      <c r="P343">
        <v>25.1</v>
      </c>
      <c r="Q343">
        <v>26.2</v>
      </c>
      <c r="R343">
        <v>522</v>
      </c>
      <c r="S343" s="3">
        <v>86650</v>
      </c>
      <c r="T343">
        <v>26.2</v>
      </c>
      <c r="U343">
        <v>10.7</v>
      </c>
      <c r="V343">
        <v>0</v>
      </c>
      <c r="W343">
        <v>10.199999999999999</v>
      </c>
      <c r="X343">
        <v>7.8</v>
      </c>
      <c r="Y343">
        <v>82</v>
      </c>
      <c r="Z343">
        <v>25.1</v>
      </c>
      <c r="AG343">
        <v>341</v>
      </c>
      <c r="AH343">
        <v>10.7</v>
      </c>
      <c r="AI343">
        <v>0</v>
      </c>
      <c r="AJ343">
        <v>10.199999999999999</v>
      </c>
      <c r="AK343">
        <v>7.8</v>
      </c>
    </row>
    <row r="344" spans="15:37" x14ac:dyDescent="0.25">
      <c r="O344">
        <v>342</v>
      </c>
      <c r="P344">
        <v>24.7</v>
      </c>
      <c r="Q344">
        <v>26.8</v>
      </c>
      <c r="R344">
        <v>491</v>
      </c>
      <c r="S344" s="3">
        <v>89097</v>
      </c>
      <c r="T344">
        <v>26.8</v>
      </c>
      <c r="U344">
        <v>11.1</v>
      </c>
      <c r="V344">
        <v>0</v>
      </c>
      <c r="W344">
        <v>10.199999999999999</v>
      </c>
      <c r="X344">
        <v>8.1999999999999993</v>
      </c>
      <c r="Y344">
        <v>77</v>
      </c>
      <c r="Z344">
        <v>24.7</v>
      </c>
      <c r="AG344">
        <v>342</v>
      </c>
      <c r="AH344">
        <v>11.1</v>
      </c>
      <c r="AI344">
        <v>0</v>
      </c>
      <c r="AJ344">
        <v>10.199999999999999</v>
      </c>
      <c r="AK344">
        <v>8.1999999999999993</v>
      </c>
    </row>
    <row r="345" spans="15:37" x14ac:dyDescent="0.25">
      <c r="O345">
        <v>343</v>
      </c>
      <c r="P345">
        <v>26.2</v>
      </c>
      <c r="Q345">
        <v>27.3</v>
      </c>
      <c r="R345">
        <v>459</v>
      </c>
      <c r="S345" s="3">
        <v>82990</v>
      </c>
      <c r="T345">
        <v>27.3</v>
      </c>
      <c r="U345">
        <v>11.5</v>
      </c>
      <c r="V345">
        <v>0</v>
      </c>
      <c r="W345">
        <v>10.199999999999999</v>
      </c>
      <c r="X345">
        <v>8.1999999999999993</v>
      </c>
      <c r="Y345">
        <v>72</v>
      </c>
      <c r="Z345">
        <v>26.2</v>
      </c>
      <c r="AG345">
        <v>343</v>
      </c>
      <c r="AH345">
        <v>11.5</v>
      </c>
      <c r="AI345">
        <v>0</v>
      </c>
      <c r="AJ345">
        <v>10.199999999999999</v>
      </c>
      <c r="AK345">
        <v>8.1999999999999993</v>
      </c>
    </row>
    <row r="346" spans="15:37" x14ac:dyDescent="0.25">
      <c r="O346">
        <v>344</v>
      </c>
      <c r="P346">
        <v>25.4</v>
      </c>
      <c r="Q346">
        <v>27.4</v>
      </c>
      <c r="R346">
        <v>433</v>
      </c>
      <c r="S346" s="3">
        <v>79634</v>
      </c>
      <c r="T346">
        <v>27.4</v>
      </c>
      <c r="U346">
        <v>12</v>
      </c>
      <c r="V346">
        <v>0</v>
      </c>
      <c r="W346">
        <v>10.199999999999999</v>
      </c>
      <c r="X346">
        <v>7.9</v>
      </c>
      <c r="Y346">
        <v>65</v>
      </c>
      <c r="Z346">
        <v>25.4</v>
      </c>
      <c r="AG346">
        <v>344</v>
      </c>
      <c r="AH346">
        <v>12</v>
      </c>
      <c r="AI346">
        <v>0</v>
      </c>
      <c r="AJ346">
        <v>10.199999999999999</v>
      </c>
      <c r="AK346">
        <v>7.9</v>
      </c>
    </row>
    <row r="347" spans="15:37" x14ac:dyDescent="0.25">
      <c r="O347">
        <v>345</v>
      </c>
      <c r="P347">
        <v>26.7</v>
      </c>
      <c r="Q347">
        <v>27.7</v>
      </c>
      <c r="R347">
        <v>399</v>
      </c>
      <c r="S347" s="3">
        <v>71296</v>
      </c>
      <c r="T347">
        <v>27.7</v>
      </c>
      <c r="U347">
        <v>12.4</v>
      </c>
      <c r="V347">
        <v>0</v>
      </c>
      <c r="W347">
        <v>10.1</v>
      </c>
      <c r="X347">
        <v>7.9</v>
      </c>
      <c r="Y347">
        <v>58</v>
      </c>
      <c r="Z347">
        <v>26.7</v>
      </c>
      <c r="AG347">
        <v>345</v>
      </c>
      <c r="AH347">
        <v>12.4</v>
      </c>
      <c r="AI347">
        <v>0</v>
      </c>
      <c r="AJ347">
        <v>10.1</v>
      </c>
      <c r="AK347">
        <v>7.9</v>
      </c>
    </row>
    <row r="348" spans="15:37" x14ac:dyDescent="0.25">
      <c r="O348">
        <v>346</v>
      </c>
      <c r="P348">
        <v>28.1</v>
      </c>
      <c r="Q348">
        <v>27.9</v>
      </c>
      <c r="R348">
        <v>375</v>
      </c>
      <c r="S348" s="3">
        <v>62558</v>
      </c>
      <c r="T348">
        <v>27.9</v>
      </c>
      <c r="U348">
        <v>12.8</v>
      </c>
      <c r="V348">
        <v>0</v>
      </c>
      <c r="W348">
        <v>10.1</v>
      </c>
      <c r="X348">
        <v>7.8</v>
      </c>
      <c r="Y348">
        <v>54</v>
      </c>
      <c r="Z348">
        <v>28.1</v>
      </c>
      <c r="AG348">
        <v>346</v>
      </c>
      <c r="AH348">
        <v>12.8</v>
      </c>
      <c r="AI348">
        <v>0</v>
      </c>
      <c r="AJ348">
        <v>10.1</v>
      </c>
      <c r="AK348">
        <v>7.8</v>
      </c>
    </row>
    <row r="349" spans="15:37" x14ac:dyDescent="0.25">
      <c r="O349">
        <v>347</v>
      </c>
      <c r="P349">
        <v>28.6</v>
      </c>
      <c r="Q349">
        <v>28.3</v>
      </c>
      <c r="R349">
        <v>344</v>
      </c>
      <c r="S349" s="3">
        <v>61594</v>
      </c>
      <c r="T349">
        <v>28.3</v>
      </c>
      <c r="U349">
        <v>13.3</v>
      </c>
      <c r="V349">
        <v>0</v>
      </c>
      <c r="W349">
        <v>10.1</v>
      </c>
      <c r="X349">
        <v>7.8</v>
      </c>
      <c r="Y349">
        <v>49</v>
      </c>
      <c r="Z349">
        <v>28.6</v>
      </c>
      <c r="AG349">
        <v>347</v>
      </c>
      <c r="AH349">
        <v>13.3</v>
      </c>
      <c r="AI349">
        <v>0</v>
      </c>
      <c r="AJ349">
        <v>10.1</v>
      </c>
      <c r="AK349">
        <v>7.8</v>
      </c>
    </row>
    <row r="350" spans="15:37" x14ac:dyDescent="0.25">
      <c r="O350">
        <v>348</v>
      </c>
      <c r="P350">
        <v>28.4</v>
      </c>
      <c r="Q350">
        <v>28.7</v>
      </c>
      <c r="R350">
        <v>317</v>
      </c>
      <c r="S350" s="3">
        <v>59679</v>
      </c>
      <c r="T350">
        <v>28.7</v>
      </c>
      <c r="U350">
        <v>13.7</v>
      </c>
      <c r="V350">
        <v>0</v>
      </c>
      <c r="W350">
        <v>10.199999999999999</v>
      </c>
      <c r="X350">
        <v>7.8</v>
      </c>
      <c r="Y350">
        <v>44</v>
      </c>
      <c r="Z350">
        <v>28.4</v>
      </c>
      <c r="AG350">
        <v>348</v>
      </c>
      <c r="AH350">
        <v>13.7</v>
      </c>
      <c r="AI350">
        <v>0</v>
      </c>
      <c r="AJ350">
        <v>10.199999999999999</v>
      </c>
      <c r="AK350">
        <v>7.8</v>
      </c>
    </row>
    <row r="351" spans="15:37" x14ac:dyDescent="0.25">
      <c r="O351">
        <v>349</v>
      </c>
      <c r="P351">
        <v>29.1</v>
      </c>
      <c r="Q351">
        <v>28.8</v>
      </c>
      <c r="R351">
        <v>292</v>
      </c>
      <c r="S351" s="3">
        <v>56498</v>
      </c>
      <c r="T351">
        <v>28.8</v>
      </c>
      <c r="U351">
        <v>14.2</v>
      </c>
      <c r="V351">
        <v>0</v>
      </c>
      <c r="W351">
        <v>10.1</v>
      </c>
      <c r="X351">
        <v>7.3</v>
      </c>
      <c r="Y351">
        <v>40</v>
      </c>
      <c r="Z351">
        <v>29.1</v>
      </c>
      <c r="AG351">
        <v>349</v>
      </c>
      <c r="AH351">
        <v>14.2</v>
      </c>
      <c r="AI351">
        <v>0</v>
      </c>
      <c r="AJ351">
        <v>10.1</v>
      </c>
      <c r="AK351">
        <v>7.3</v>
      </c>
    </row>
    <row r="352" spans="15:37" x14ac:dyDescent="0.25">
      <c r="O352">
        <v>350</v>
      </c>
      <c r="P352">
        <v>29.2</v>
      </c>
      <c r="Q352">
        <v>29.7</v>
      </c>
      <c r="R352">
        <v>266</v>
      </c>
      <c r="S352" s="3">
        <v>53326</v>
      </c>
      <c r="T352">
        <v>29.7</v>
      </c>
      <c r="U352">
        <v>14.8</v>
      </c>
      <c r="V352">
        <v>0</v>
      </c>
      <c r="W352">
        <v>10.1</v>
      </c>
      <c r="X352">
        <v>7.9</v>
      </c>
      <c r="Y352">
        <v>35</v>
      </c>
      <c r="Z352">
        <v>29.2</v>
      </c>
      <c r="AG352">
        <v>350</v>
      </c>
      <c r="AH352">
        <v>14.8</v>
      </c>
      <c r="AI352">
        <v>0</v>
      </c>
      <c r="AJ352">
        <v>10.1</v>
      </c>
      <c r="AK352">
        <v>7.9</v>
      </c>
    </row>
    <row r="353" spans="15:37" x14ac:dyDescent="0.25">
      <c r="O353">
        <v>351</v>
      </c>
      <c r="P353">
        <v>30.5</v>
      </c>
      <c r="Q353">
        <v>30.1</v>
      </c>
      <c r="R353">
        <v>248</v>
      </c>
      <c r="S353" s="3">
        <v>53966</v>
      </c>
      <c r="T353">
        <v>30.1</v>
      </c>
      <c r="U353">
        <v>15.2</v>
      </c>
      <c r="V353">
        <v>0</v>
      </c>
      <c r="W353">
        <v>9.9</v>
      </c>
      <c r="X353">
        <v>8.1</v>
      </c>
      <c r="Y353">
        <v>32</v>
      </c>
      <c r="Z353">
        <v>30.5</v>
      </c>
      <c r="AG353">
        <v>351</v>
      </c>
      <c r="AH353">
        <v>15.2</v>
      </c>
      <c r="AI353">
        <v>0</v>
      </c>
      <c r="AJ353">
        <v>9.9</v>
      </c>
      <c r="AK353">
        <v>8.1</v>
      </c>
    </row>
    <row r="354" spans="15:37" x14ac:dyDescent="0.25">
      <c r="O354">
        <v>352</v>
      </c>
      <c r="P354">
        <v>29.5</v>
      </c>
      <c r="Q354">
        <v>29.6</v>
      </c>
      <c r="R354">
        <v>228</v>
      </c>
      <c r="S354" s="3">
        <v>41934</v>
      </c>
      <c r="T354">
        <v>29.6</v>
      </c>
      <c r="U354">
        <v>15.7</v>
      </c>
      <c r="V354">
        <v>0</v>
      </c>
      <c r="W354">
        <v>10</v>
      </c>
      <c r="X354">
        <v>6.8</v>
      </c>
      <c r="Y354">
        <v>28</v>
      </c>
      <c r="Z354">
        <v>29.5</v>
      </c>
      <c r="AG354">
        <v>352</v>
      </c>
      <c r="AH354">
        <v>15.7</v>
      </c>
      <c r="AI354">
        <v>0</v>
      </c>
      <c r="AJ354">
        <v>10</v>
      </c>
      <c r="AK354">
        <v>6.8</v>
      </c>
    </row>
    <row r="355" spans="15:37" x14ac:dyDescent="0.25">
      <c r="O355">
        <v>353</v>
      </c>
      <c r="P355">
        <v>31.4</v>
      </c>
      <c r="Q355">
        <v>29.6</v>
      </c>
      <c r="R355">
        <v>208</v>
      </c>
      <c r="S355" s="3">
        <v>39806</v>
      </c>
      <c r="T355">
        <v>29.6</v>
      </c>
      <c r="U355">
        <v>16.3</v>
      </c>
      <c r="V355">
        <v>0</v>
      </c>
      <c r="W355">
        <v>10.1</v>
      </c>
      <c r="X355">
        <v>6.1</v>
      </c>
      <c r="Y355">
        <v>25</v>
      </c>
      <c r="Z355">
        <v>31.4</v>
      </c>
      <c r="AG355">
        <v>353</v>
      </c>
      <c r="AH355">
        <v>16.3</v>
      </c>
      <c r="AI355">
        <v>0</v>
      </c>
      <c r="AJ355">
        <v>10.1</v>
      </c>
      <c r="AK355">
        <v>6.1</v>
      </c>
    </row>
    <row r="356" spans="15:37" x14ac:dyDescent="0.25">
      <c r="O356">
        <v>354</v>
      </c>
      <c r="P356">
        <v>32.1</v>
      </c>
      <c r="Q356">
        <v>30.1</v>
      </c>
      <c r="R356">
        <v>190</v>
      </c>
      <c r="S356" s="3">
        <v>32068</v>
      </c>
      <c r="T356">
        <v>30.1</v>
      </c>
      <c r="U356">
        <v>16.899999999999999</v>
      </c>
      <c r="V356">
        <v>0</v>
      </c>
      <c r="W356">
        <v>10.199999999999999</v>
      </c>
      <c r="X356">
        <v>6.1</v>
      </c>
      <c r="Y356">
        <v>22</v>
      </c>
      <c r="Z356">
        <v>32.1</v>
      </c>
      <c r="AG356">
        <v>354</v>
      </c>
      <c r="AH356">
        <v>16.899999999999999</v>
      </c>
      <c r="AI356">
        <v>0</v>
      </c>
      <c r="AJ356">
        <v>10.199999999999999</v>
      </c>
      <c r="AK356">
        <v>6.1</v>
      </c>
    </row>
    <row r="357" spans="15:37" x14ac:dyDescent="0.25">
      <c r="O357">
        <v>355</v>
      </c>
      <c r="P357">
        <v>30.9</v>
      </c>
      <c r="Q357">
        <v>30.8</v>
      </c>
      <c r="R357">
        <v>174</v>
      </c>
      <c r="S357" s="3">
        <v>30651</v>
      </c>
      <c r="T357">
        <v>30.8</v>
      </c>
      <c r="U357">
        <v>17.5</v>
      </c>
      <c r="V357">
        <v>0</v>
      </c>
      <c r="W357">
        <v>9.9</v>
      </c>
      <c r="X357">
        <v>6.7</v>
      </c>
      <c r="Y357">
        <v>20</v>
      </c>
      <c r="Z357">
        <v>30.9</v>
      </c>
      <c r="AG357">
        <v>355</v>
      </c>
      <c r="AH357">
        <v>17.5</v>
      </c>
      <c r="AI357">
        <v>0</v>
      </c>
      <c r="AJ357">
        <v>9.9</v>
      </c>
      <c r="AK357">
        <v>6.7</v>
      </c>
    </row>
    <row r="358" spans="15:37" x14ac:dyDescent="0.25">
      <c r="O358">
        <v>356</v>
      </c>
      <c r="P358">
        <v>32.9</v>
      </c>
      <c r="Q358">
        <v>31.1</v>
      </c>
      <c r="R358">
        <v>162</v>
      </c>
      <c r="S358" s="3">
        <v>13353</v>
      </c>
      <c r="T358">
        <v>31.1</v>
      </c>
      <c r="U358">
        <v>18</v>
      </c>
      <c r="V358">
        <v>0</v>
      </c>
      <c r="W358">
        <v>10</v>
      </c>
      <c r="X358">
        <v>6.3</v>
      </c>
      <c r="Y358">
        <v>17</v>
      </c>
      <c r="Z358">
        <v>32.9</v>
      </c>
      <c r="AG358">
        <v>356</v>
      </c>
      <c r="AH358">
        <v>18</v>
      </c>
      <c r="AI358">
        <v>0</v>
      </c>
      <c r="AJ358">
        <v>10</v>
      </c>
      <c r="AK358">
        <v>6.3</v>
      </c>
    </row>
    <row r="359" spans="15:37" x14ac:dyDescent="0.25">
      <c r="O359">
        <v>357</v>
      </c>
      <c r="P359">
        <v>31.8</v>
      </c>
      <c r="Q359">
        <v>31.4</v>
      </c>
      <c r="R359">
        <v>148</v>
      </c>
      <c r="S359" s="3">
        <v>-20972</v>
      </c>
      <c r="T359">
        <v>31.4</v>
      </c>
      <c r="U359">
        <v>18.600000000000001</v>
      </c>
      <c r="V359">
        <v>0</v>
      </c>
      <c r="W359">
        <v>10.1</v>
      </c>
      <c r="X359">
        <v>5.9</v>
      </c>
      <c r="Y359">
        <v>15</v>
      </c>
      <c r="Z359">
        <v>31.8</v>
      </c>
      <c r="AG359">
        <v>357</v>
      </c>
      <c r="AH359">
        <v>18.600000000000001</v>
      </c>
      <c r="AI359">
        <v>0</v>
      </c>
      <c r="AJ359">
        <v>10.1</v>
      </c>
      <c r="AK359">
        <v>5.9</v>
      </c>
    </row>
    <row r="360" spans="15:37" x14ac:dyDescent="0.25">
      <c r="O360">
        <v>358</v>
      </c>
      <c r="P360">
        <v>34.799999999999997</v>
      </c>
      <c r="Q360">
        <v>32</v>
      </c>
      <c r="R360">
        <v>135</v>
      </c>
      <c r="S360" s="3">
        <v>-32482</v>
      </c>
      <c r="T360">
        <v>32</v>
      </c>
      <c r="U360">
        <v>19.2</v>
      </c>
      <c r="V360">
        <v>0</v>
      </c>
      <c r="W360">
        <v>10.1</v>
      </c>
      <c r="X360">
        <v>6.1</v>
      </c>
      <c r="Y360">
        <v>14</v>
      </c>
      <c r="Z360">
        <v>34.799999999999997</v>
      </c>
      <c r="AG360">
        <v>358</v>
      </c>
      <c r="AH360">
        <v>19.2</v>
      </c>
      <c r="AI360">
        <v>0</v>
      </c>
      <c r="AJ360">
        <v>10.1</v>
      </c>
      <c r="AK360">
        <v>6.1</v>
      </c>
    </row>
    <row r="361" spans="15:37" x14ac:dyDescent="0.25">
      <c r="O361">
        <v>359</v>
      </c>
      <c r="P361">
        <v>32.6</v>
      </c>
      <c r="Q361">
        <v>32.6</v>
      </c>
      <c r="R361">
        <v>124</v>
      </c>
      <c r="S361" s="3">
        <v>-24684</v>
      </c>
      <c r="T361">
        <v>32.6</v>
      </c>
      <c r="U361">
        <v>19.8</v>
      </c>
      <c r="V361">
        <v>0</v>
      </c>
      <c r="W361">
        <v>10.199999999999999</v>
      </c>
      <c r="X361">
        <v>6.1</v>
      </c>
      <c r="Y361">
        <v>12</v>
      </c>
      <c r="Z361">
        <v>32.6</v>
      </c>
      <c r="AG361">
        <v>359</v>
      </c>
      <c r="AH361">
        <v>19.8</v>
      </c>
      <c r="AI361">
        <v>0</v>
      </c>
      <c r="AJ361">
        <v>10.199999999999999</v>
      </c>
      <c r="AK361">
        <v>6.1</v>
      </c>
    </row>
    <row r="362" spans="15:37" x14ac:dyDescent="0.25">
      <c r="O362">
        <v>360</v>
      </c>
      <c r="P362">
        <v>31.5</v>
      </c>
      <c r="Q362">
        <v>33.299999999999997</v>
      </c>
      <c r="R362">
        <v>115</v>
      </c>
      <c r="S362" s="3">
        <v>-7275</v>
      </c>
      <c r="T362">
        <v>33.299999999999997</v>
      </c>
      <c r="U362">
        <v>20.3</v>
      </c>
      <c r="V362">
        <v>0</v>
      </c>
      <c r="W362">
        <v>10.1</v>
      </c>
      <c r="X362">
        <v>6.5</v>
      </c>
      <c r="Y362">
        <v>11</v>
      </c>
      <c r="Z362">
        <v>31.5</v>
      </c>
      <c r="AG362">
        <v>360</v>
      </c>
      <c r="AH362">
        <v>20.3</v>
      </c>
      <c r="AI362">
        <v>0</v>
      </c>
      <c r="AJ362">
        <v>10.1</v>
      </c>
      <c r="AK362">
        <v>6.5</v>
      </c>
    </row>
    <row r="363" spans="15:37" x14ac:dyDescent="0.25">
      <c r="O363">
        <v>361</v>
      </c>
      <c r="P363">
        <v>32.700000000000003</v>
      </c>
      <c r="Q363">
        <v>50</v>
      </c>
      <c r="R363">
        <v>105</v>
      </c>
      <c r="S363" s="3">
        <v>7164</v>
      </c>
      <c r="T363">
        <v>50</v>
      </c>
      <c r="U363">
        <v>19.7</v>
      </c>
      <c r="V363">
        <v>0</v>
      </c>
      <c r="W363">
        <v>10.3</v>
      </c>
      <c r="X363">
        <v>29.7</v>
      </c>
      <c r="Y363">
        <v>0</v>
      </c>
      <c r="Z363">
        <v>32.700000000000003</v>
      </c>
      <c r="AG363">
        <v>361</v>
      </c>
      <c r="AH363">
        <v>19.7</v>
      </c>
      <c r="AI363">
        <v>0</v>
      </c>
      <c r="AJ363">
        <v>10.3</v>
      </c>
      <c r="AK363">
        <v>29.7</v>
      </c>
    </row>
    <row r="364" spans="15:37" x14ac:dyDescent="0.25">
      <c r="P364" t="s">
        <v>17</v>
      </c>
      <c r="Q364" t="s">
        <v>16</v>
      </c>
      <c r="R364" t="s">
        <v>7</v>
      </c>
      <c r="S364" t="s">
        <v>8</v>
      </c>
      <c r="T364" t="s">
        <v>9</v>
      </c>
      <c r="U364" t="s">
        <v>10</v>
      </c>
      <c r="V364" t="s">
        <v>11</v>
      </c>
      <c r="W364" t="s">
        <v>12</v>
      </c>
      <c r="X364" t="s">
        <v>13</v>
      </c>
      <c r="Y364" t="s">
        <v>14</v>
      </c>
      <c r="Z364" t="s">
        <v>15</v>
      </c>
      <c r="AH364" t="s">
        <v>10</v>
      </c>
      <c r="AI364" t="s">
        <v>11</v>
      </c>
      <c r="AJ364" t="s">
        <v>12</v>
      </c>
      <c r="AK364" t="s">
        <v>13</v>
      </c>
    </row>
    <row r="365" spans="15:37" x14ac:dyDescent="0.25">
      <c r="AG365">
        <v>356</v>
      </c>
      <c r="AH365">
        <v>18</v>
      </c>
      <c r="AI365">
        <v>0</v>
      </c>
      <c r="AJ365">
        <v>10</v>
      </c>
      <c r="AK365">
        <v>6.3</v>
      </c>
    </row>
    <row r="366" spans="15:37" x14ac:dyDescent="0.25">
      <c r="AG366">
        <v>357</v>
      </c>
      <c r="AH366">
        <v>18.600000000000001</v>
      </c>
      <c r="AI366">
        <v>0</v>
      </c>
      <c r="AJ366">
        <v>10.1</v>
      </c>
      <c r="AK366">
        <v>5.9</v>
      </c>
    </row>
    <row r="367" spans="15:37" x14ac:dyDescent="0.25">
      <c r="AG367">
        <v>358</v>
      </c>
      <c r="AH367">
        <v>19.2</v>
      </c>
      <c r="AI367">
        <v>0</v>
      </c>
      <c r="AJ367">
        <v>10.1</v>
      </c>
      <c r="AK367">
        <v>6.1</v>
      </c>
    </row>
    <row r="368" spans="15:37" x14ac:dyDescent="0.25">
      <c r="AG368">
        <v>359</v>
      </c>
      <c r="AH368">
        <v>19.8</v>
      </c>
      <c r="AI368">
        <v>0</v>
      </c>
      <c r="AJ368">
        <v>10.199999999999999</v>
      </c>
      <c r="AK368">
        <v>6.1</v>
      </c>
    </row>
    <row r="369" spans="33:37" x14ac:dyDescent="0.25">
      <c r="AG369">
        <v>360</v>
      </c>
      <c r="AH369">
        <v>20.3</v>
      </c>
      <c r="AI369">
        <v>0</v>
      </c>
      <c r="AJ369">
        <v>10.1</v>
      </c>
      <c r="AK369">
        <v>6.5</v>
      </c>
    </row>
    <row r="370" spans="33:37" x14ac:dyDescent="0.25">
      <c r="AG370">
        <v>361</v>
      </c>
      <c r="AH370">
        <v>19.7</v>
      </c>
      <c r="AI370">
        <v>0</v>
      </c>
      <c r="AJ370">
        <v>10.3</v>
      </c>
      <c r="AK370" s="4">
        <v>29.7</v>
      </c>
    </row>
    <row r="378" spans="33:37" x14ac:dyDescent="0.25">
      <c r="AG378">
        <v>200000</v>
      </c>
    </row>
    <row r="379" spans="33:37" x14ac:dyDescent="0.25">
      <c r="AG379">
        <f>AG378/6.52</f>
        <v>30674.846625766873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I17" sqref="I17"/>
    </sheetView>
  </sheetViews>
  <sheetFormatPr defaultRowHeight="15" x14ac:dyDescent="0.25"/>
  <sheetData>
    <row r="1" spans="1:7" x14ac:dyDescent="0.25">
      <c r="A1" t="s">
        <v>19</v>
      </c>
      <c r="E1" t="s">
        <v>20</v>
      </c>
    </row>
    <row r="2" spans="1:7" x14ac:dyDescent="0.25">
      <c r="B2" t="s">
        <v>21</v>
      </c>
      <c r="C2" t="s">
        <v>22</v>
      </c>
      <c r="F2" t="s">
        <v>21</v>
      </c>
      <c r="G2" t="s">
        <v>22</v>
      </c>
    </row>
    <row r="3" spans="1:7" x14ac:dyDescent="0.25">
      <c r="A3">
        <v>0</v>
      </c>
      <c r="B3">
        <v>0</v>
      </c>
      <c r="C3">
        <v>0</v>
      </c>
      <c r="E3">
        <v>0</v>
      </c>
      <c r="F3">
        <v>0</v>
      </c>
      <c r="G3">
        <v>0</v>
      </c>
    </row>
    <row r="4" spans="1:7" x14ac:dyDescent="0.25">
      <c r="A4">
        <v>6</v>
      </c>
      <c r="B4">
        <v>6.0000000000000001E-3</v>
      </c>
      <c r="C4">
        <v>6.0000000000000001E-3</v>
      </c>
      <c r="E4">
        <v>6</v>
      </c>
      <c r="F4">
        <v>0.1103</v>
      </c>
      <c r="G4">
        <v>0.10829999999999999</v>
      </c>
    </row>
    <row r="5" spans="1:7" x14ac:dyDescent="0.25">
      <c r="A5">
        <v>12</v>
      </c>
      <c r="B5">
        <v>6.0000000000000001E-3</v>
      </c>
      <c r="C5">
        <v>6.0000000000000001E-3</v>
      </c>
      <c r="E5">
        <v>12</v>
      </c>
      <c r="F5">
        <v>0.1103</v>
      </c>
      <c r="G5">
        <v>0.10829999999999999</v>
      </c>
    </row>
    <row r="6" spans="1:7" x14ac:dyDescent="0.25">
      <c r="A6">
        <v>24</v>
      </c>
      <c r="B6">
        <v>5.1999999999999998E-3</v>
      </c>
      <c r="C6">
        <v>5.1000000000000004E-3</v>
      </c>
      <c r="E6">
        <v>24</v>
      </c>
      <c r="F6">
        <v>0.19400000000000001</v>
      </c>
      <c r="G6">
        <v>0.1925</v>
      </c>
    </row>
    <row r="7" spans="1:7" x14ac:dyDescent="0.25">
      <c r="A7">
        <v>36</v>
      </c>
      <c r="B7">
        <v>5.1999999999999998E-3</v>
      </c>
      <c r="C7">
        <v>5.1000000000000004E-3</v>
      </c>
      <c r="E7">
        <v>36</v>
      </c>
      <c r="F7">
        <v>0.2074</v>
      </c>
      <c r="G7">
        <v>0.19969999999999999</v>
      </c>
    </row>
    <row r="8" spans="1:7" x14ac:dyDescent="0.25">
      <c r="A8">
        <v>48</v>
      </c>
      <c r="B8">
        <v>5.1000000000000004E-3</v>
      </c>
      <c r="C8">
        <v>5.1000000000000004E-3</v>
      </c>
      <c r="E8">
        <v>48</v>
      </c>
      <c r="F8">
        <v>0.21659999999999999</v>
      </c>
      <c r="G8">
        <v>0.20930000000000001</v>
      </c>
    </row>
    <row r="9" spans="1:7" x14ac:dyDescent="0.25">
      <c r="A9">
        <v>60</v>
      </c>
      <c r="B9">
        <v>5.0000000000000001E-3</v>
      </c>
      <c r="C9">
        <v>5.1000000000000004E-3</v>
      </c>
      <c r="E9">
        <v>60</v>
      </c>
      <c r="F9">
        <v>0.2288</v>
      </c>
      <c r="G9">
        <v>0.22559999999999999</v>
      </c>
    </row>
    <row r="10" spans="1:7" x14ac:dyDescent="0.25">
      <c r="A10">
        <v>72</v>
      </c>
      <c r="B10">
        <v>4.8999999999999998E-3</v>
      </c>
      <c r="C10">
        <v>5.1000000000000004E-3</v>
      </c>
      <c r="E10">
        <v>72</v>
      </c>
      <c r="F10">
        <v>0.2341</v>
      </c>
      <c r="G10">
        <v>0.2319</v>
      </c>
    </row>
    <row r="11" spans="1:7" x14ac:dyDescent="0.25">
      <c r="A11">
        <v>84</v>
      </c>
      <c r="B11">
        <v>4.4999999999999997E-3</v>
      </c>
      <c r="C11">
        <v>5.1000000000000004E-3</v>
      </c>
      <c r="E11">
        <v>84</v>
      </c>
      <c r="F11">
        <v>0.24790000000000001</v>
      </c>
      <c r="G11">
        <v>0.24540000000000001</v>
      </c>
    </row>
    <row r="12" spans="1:7" x14ac:dyDescent="0.25">
      <c r="A12">
        <v>96</v>
      </c>
      <c r="B12">
        <v>4.7000000000000002E-3</v>
      </c>
      <c r="C12">
        <v>4.7000000000000002E-3</v>
      </c>
      <c r="E12">
        <v>96</v>
      </c>
      <c r="F12">
        <v>0.26219999999999999</v>
      </c>
      <c r="G12">
        <v>0.26169999999999999</v>
      </c>
    </row>
    <row r="13" spans="1:7" x14ac:dyDescent="0.25">
      <c r="A13">
        <v>108</v>
      </c>
      <c r="B13">
        <v>4.7999999999999996E-3</v>
      </c>
      <c r="C13">
        <v>4.7999999999999996E-3</v>
      </c>
      <c r="E13">
        <v>108</v>
      </c>
      <c r="F13">
        <v>0.26429999999999998</v>
      </c>
      <c r="G13">
        <v>0.26319999999999999</v>
      </c>
    </row>
    <row r="14" spans="1:7" x14ac:dyDescent="0.25">
      <c r="A14">
        <v>120</v>
      </c>
      <c r="B14">
        <v>5.3E-3</v>
      </c>
      <c r="C14">
        <v>5.1000000000000004E-3</v>
      </c>
      <c r="E14">
        <v>120</v>
      </c>
      <c r="F14">
        <v>0.309</v>
      </c>
      <c r="G14">
        <v>0.30420000000000003</v>
      </c>
    </row>
    <row r="15" spans="1:7" x14ac:dyDescent="0.25">
      <c r="A15">
        <v>132</v>
      </c>
      <c r="B15">
        <v>6.7999999999999996E-3</v>
      </c>
      <c r="C15">
        <v>5.8999999999999999E-3</v>
      </c>
      <c r="E15">
        <v>132</v>
      </c>
      <c r="F15">
        <v>0.26879999999999998</v>
      </c>
      <c r="G15">
        <v>0.26269999999999999</v>
      </c>
    </row>
    <row r="16" spans="1:7" x14ac:dyDescent="0.25">
      <c r="A16">
        <v>144</v>
      </c>
      <c r="B16">
        <v>6.7000000000000002E-3</v>
      </c>
      <c r="C16">
        <v>6.6E-3</v>
      </c>
      <c r="E16">
        <v>144</v>
      </c>
      <c r="F16">
        <v>0.22259999999999999</v>
      </c>
      <c r="G16">
        <v>0.2175</v>
      </c>
    </row>
    <row r="17" spans="1:7" x14ac:dyDescent="0.25">
      <c r="A17">
        <v>156</v>
      </c>
      <c r="B17">
        <v>8.3000000000000001E-3</v>
      </c>
      <c r="C17">
        <v>7.4000000000000003E-3</v>
      </c>
      <c r="E17">
        <v>156</v>
      </c>
      <c r="F17">
        <v>0.20169999999999999</v>
      </c>
      <c r="G17">
        <v>0.1978</v>
      </c>
    </row>
    <row r="18" spans="1:7" x14ac:dyDescent="0.25">
      <c r="A18">
        <v>168</v>
      </c>
      <c r="B18">
        <v>8.2000000000000007E-3</v>
      </c>
      <c r="C18">
        <v>7.4000000000000003E-3</v>
      </c>
      <c r="E18">
        <v>168</v>
      </c>
      <c r="F18">
        <v>0.18290000000000001</v>
      </c>
      <c r="G18">
        <v>0.18060000000000001</v>
      </c>
    </row>
    <row r="19" spans="1:7" x14ac:dyDescent="0.25">
      <c r="A19">
        <v>180</v>
      </c>
      <c r="B19">
        <v>8.8999999999999999E-3</v>
      </c>
      <c r="C19">
        <v>8.6999999999999994E-3</v>
      </c>
      <c r="E19">
        <v>180</v>
      </c>
      <c r="F19">
        <v>0.1817</v>
      </c>
      <c r="G19">
        <v>0.17910000000000001</v>
      </c>
    </row>
    <row r="20" spans="1:7" x14ac:dyDescent="0.25">
      <c r="A20">
        <v>192</v>
      </c>
      <c r="B20">
        <v>9.1000000000000004E-3</v>
      </c>
      <c r="C20">
        <v>8.6E-3</v>
      </c>
      <c r="E20">
        <v>192</v>
      </c>
      <c r="F20">
        <v>0.17630000000000001</v>
      </c>
      <c r="G20">
        <v>0.17469999999999999</v>
      </c>
    </row>
    <row r="21" spans="1:7" x14ac:dyDescent="0.25">
      <c r="A21">
        <v>204</v>
      </c>
      <c r="B21">
        <v>9.2999999999999992E-3</v>
      </c>
      <c r="C21">
        <v>9.1999999999999998E-3</v>
      </c>
      <c r="E21">
        <v>204</v>
      </c>
      <c r="F21">
        <v>0.17</v>
      </c>
      <c r="G21">
        <v>0.1681</v>
      </c>
    </row>
    <row r="22" spans="1:7" x14ac:dyDescent="0.25">
      <c r="A22">
        <v>216</v>
      </c>
      <c r="B22">
        <v>1.11E-2</v>
      </c>
      <c r="C22">
        <v>9.9000000000000008E-3</v>
      </c>
      <c r="E22">
        <v>216</v>
      </c>
      <c r="F22">
        <v>0.16350000000000001</v>
      </c>
      <c r="G22">
        <v>0.16170000000000001</v>
      </c>
    </row>
    <row r="23" spans="1:7" x14ac:dyDescent="0.25">
      <c r="A23">
        <v>228</v>
      </c>
      <c r="B23">
        <v>1.11E-2</v>
      </c>
      <c r="C23">
        <v>1.04E-2</v>
      </c>
      <c r="E23">
        <v>228</v>
      </c>
      <c r="F23">
        <v>0.15690000000000001</v>
      </c>
      <c r="G23">
        <v>0.15579999999999999</v>
      </c>
    </row>
    <row r="24" spans="1:7" x14ac:dyDescent="0.25">
      <c r="A24">
        <v>240</v>
      </c>
      <c r="B24">
        <v>1.21E-2</v>
      </c>
      <c r="C24">
        <v>1.14E-2</v>
      </c>
      <c r="E24">
        <v>240</v>
      </c>
      <c r="F24">
        <v>0.16009999999999999</v>
      </c>
      <c r="G24">
        <v>0.1583</v>
      </c>
    </row>
    <row r="25" spans="1:7" x14ac:dyDescent="0.25">
      <c r="A25">
        <v>252</v>
      </c>
      <c r="B25">
        <v>1.55E-2</v>
      </c>
      <c r="C25">
        <v>1.44E-2</v>
      </c>
      <c r="E25">
        <v>252</v>
      </c>
      <c r="F25">
        <v>0.1547</v>
      </c>
      <c r="G25">
        <v>0.15340000000000001</v>
      </c>
    </row>
    <row r="26" spans="1:7" x14ac:dyDescent="0.25">
      <c r="A26">
        <v>264</v>
      </c>
      <c r="B26">
        <v>1.29E-2</v>
      </c>
      <c r="C26">
        <v>1.34E-2</v>
      </c>
      <c r="E26">
        <v>264</v>
      </c>
      <c r="F26">
        <v>0.15559999999999999</v>
      </c>
      <c r="G26">
        <v>0.15340000000000001</v>
      </c>
    </row>
    <row r="27" spans="1:7" x14ac:dyDescent="0.25">
      <c r="A27">
        <v>276</v>
      </c>
      <c r="B27">
        <v>1.06E-2</v>
      </c>
      <c r="C27">
        <v>1.2999999999999999E-2</v>
      </c>
      <c r="E27">
        <v>276</v>
      </c>
      <c r="F27">
        <v>0.16109999999999999</v>
      </c>
      <c r="G27">
        <v>0.15690000000000001</v>
      </c>
    </row>
    <row r="28" spans="1:7" x14ac:dyDescent="0.25">
      <c r="A28">
        <v>288</v>
      </c>
      <c r="B28">
        <v>3.8E-3</v>
      </c>
      <c r="C28">
        <v>1.01E-2</v>
      </c>
      <c r="E28">
        <v>288</v>
      </c>
      <c r="F28">
        <v>0.1658</v>
      </c>
      <c r="G28">
        <v>0.16370000000000001</v>
      </c>
    </row>
    <row r="29" spans="1:7" x14ac:dyDescent="0.25">
      <c r="A29">
        <v>300</v>
      </c>
      <c r="B29">
        <v>5.1999999999999998E-3</v>
      </c>
      <c r="C29">
        <v>5.1999999999999998E-3</v>
      </c>
      <c r="E29">
        <v>300</v>
      </c>
      <c r="F29">
        <v>0.1784</v>
      </c>
      <c r="G29">
        <v>0.1769</v>
      </c>
    </row>
    <row r="30" spans="1:7" x14ac:dyDescent="0.25">
      <c r="A30">
        <v>312</v>
      </c>
      <c r="B30">
        <v>8.3999999999999995E-3</v>
      </c>
      <c r="C30">
        <v>6.4000000000000003E-3</v>
      </c>
      <c r="E30">
        <v>312</v>
      </c>
      <c r="F30">
        <v>0.1888</v>
      </c>
      <c r="G30">
        <v>0.18779999999999999</v>
      </c>
    </row>
    <row r="31" spans="1:7" x14ac:dyDescent="0.25">
      <c r="A31">
        <v>324</v>
      </c>
      <c r="B31">
        <v>5.0000000000000001E-3</v>
      </c>
      <c r="C31">
        <v>7.7999999999999996E-3</v>
      </c>
      <c r="E31">
        <v>324</v>
      </c>
      <c r="F31">
        <v>0.19939999999999999</v>
      </c>
      <c r="G31">
        <v>0.1988</v>
      </c>
    </row>
    <row r="32" spans="1:7" x14ac:dyDescent="0.25">
      <c r="A32">
        <v>336</v>
      </c>
      <c r="B32">
        <v>8.0000000000000002E-3</v>
      </c>
      <c r="C32">
        <v>8.3000000000000001E-3</v>
      </c>
      <c r="E32">
        <v>336</v>
      </c>
      <c r="F32">
        <v>0.21060000000000001</v>
      </c>
      <c r="G32">
        <v>0.21010000000000001</v>
      </c>
    </row>
    <row r="33" spans="1:7" x14ac:dyDescent="0.25">
      <c r="A33">
        <v>348</v>
      </c>
      <c r="B33">
        <v>4.3E-3</v>
      </c>
      <c r="C33">
        <v>1.2200000000000001E-2</v>
      </c>
      <c r="E33">
        <v>348</v>
      </c>
      <c r="F33">
        <v>0.2515</v>
      </c>
      <c r="G33">
        <v>0.25019999999999998</v>
      </c>
    </row>
    <row r="34" spans="1:7" x14ac:dyDescent="0.25">
      <c r="A34">
        <v>360</v>
      </c>
      <c r="B34">
        <v>1.6E-2</v>
      </c>
      <c r="C34">
        <v>2.23E-2</v>
      </c>
      <c r="E34">
        <v>360</v>
      </c>
      <c r="F34">
        <v>0.30780000000000002</v>
      </c>
      <c r="G34">
        <v>0.30740000000000001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2"/>
  <sheetViews>
    <sheetView workbookViewId="0">
      <selection activeCell="L332" sqref="L332"/>
    </sheetView>
  </sheetViews>
  <sheetFormatPr defaultRowHeight="15" x14ac:dyDescent="0.25"/>
  <sheetData>
    <row r="1" spans="1:5" x14ac:dyDescent="0.25">
      <c r="A1" s="5"/>
      <c r="B1" s="5"/>
      <c r="D1" t="s">
        <v>384</v>
      </c>
      <c r="E1" t="s">
        <v>385</v>
      </c>
    </row>
    <row r="2" spans="1:5" x14ac:dyDescent="0.25">
      <c r="A2" s="5"/>
      <c r="B2" s="5" t="s">
        <v>23</v>
      </c>
      <c r="C2">
        <v>0</v>
      </c>
      <c r="D2">
        <v>0</v>
      </c>
      <c r="E2">
        <v>0</v>
      </c>
    </row>
    <row r="3" spans="1:5" x14ac:dyDescent="0.25">
      <c r="A3" s="5"/>
      <c r="B3" s="5" t="s">
        <v>24</v>
      </c>
      <c r="C3">
        <v>1</v>
      </c>
      <c r="D3">
        <v>0</v>
      </c>
      <c r="E3">
        <v>8.5579509999999998E-2</v>
      </c>
    </row>
    <row r="4" spans="1:5" x14ac:dyDescent="0.25">
      <c r="A4" s="5"/>
      <c r="B4" s="5" t="s">
        <v>25</v>
      </c>
      <c r="C4">
        <v>2</v>
      </c>
      <c r="D4">
        <v>0</v>
      </c>
      <c r="E4">
        <v>0.18360024999999999</v>
      </c>
    </row>
    <row r="5" spans="1:5" x14ac:dyDescent="0.25">
      <c r="A5" s="5"/>
      <c r="B5" s="5" t="s">
        <v>26</v>
      </c>
      <c r="C5">
        <v>3</v>
      </c>
      <c r="D5">
        <v>0</v>
      </c>
      <c r="E5">
        <v>0.28153283000000001</v>
      </c>
    </row>
    <row r="6" spans="1:5" x14ac:dyDescent="0.25">
      <c r="A6" s="5"/>
      <c r="B6" s="5" t="s">
        <v>27</v>
      </c>
      <c r="C6">
        <v>4</v>
      </c>
      <c r="D6">
        <v>0</v>
      </c>
      <c r="E6">
        <v>0.36689145000000001</v>
      </c>
    </row>
    <row r="7" spans="1:5" x14ac:dyDescent="0.25">
      <c r="A7" s="5"/>
      <c r="B7" s="5" t="s">
        <v>28</v>
      </c>
      <c r="C7">
        <v>5</v>
      </c>
      <c r="D7">
        <v>0</v>
      </c>
      <c r="E7">
        <v>0.42722660000000001</v>
      </c>
    </row>
    <row r="8" spans="1:5" x14ac:dyDescent="0.25">
      <c r="A8" s="5"/>
      <c r="B8" s="5" t="s">
        <v>29</v>
      </c>
      <c r="C8">
        <v>6</v>
      </c>
      <c r="D8">
        <v>0</v>
      </c>
      <c r="E8">
        <v>0.45010359</v>
      </c>
    </row>
    <row r="9" spans="1:5" x14ac:dyDescent="0.25">
      <c r="A9" s="5"/>
      <c r="B9" s="5" t="s">
        <v>30</v>
      </c>
      <c r="C9">
        <v>7</v>
      </c>
      <c r="D9">
        <v>0</v>
      </c>
      <c r="E9">
        <v>0.45010359</v>
      </c>
    </row>
    <row r="10" spans="1:5" x14ac:dyDescent="0.25">
      <c r="A10" s="5"/>
      <c r="B10" s="5" t="s">
        <v>31</v>
      </c>
      <c r="C10">
        <v>8</v>
      </c>
      <c r="D10">
        <v>0</v>
      </c>
      <c r="E10">
        <v>0.45010359</v>
      </c>
    </row>
    <row r="11" spans="1:5" x14ac:dyDescent="0.25">
      <c r="A11" s="5"/>
      <c r="B11" s="5" t="s">
        <v>32</v>
      </c>
      <c r="C11">
        <v>9</v>
      </c>
      <c r="D11">
        <v>0</v>
      </c>
      <c r="E11">
        <v>0.45010359</v>
      </c>
    </row>
    <row r="12" spans="1:5" x14ac:dyDescent="0.25">
      <c r="A12" s="5"/>
      <c r="B12" s="5" t="s">
        <v>33</v>
      </c>
      <c r="C12">
        <v>10</v>
      </c>
      <c r="D12">
        <v>0</v>
      </c>
      <c r="E12">
        <v>0.45010359</v>
      </c>
    </row>
    <row r="13" spans="1:5" x14ac:dyDescent="0.25">
      <c r="A13" s="5"/>
      <c r="B13" s="5" t="s">
        <v>34</v>
      </c>
      <c r="C13">
        <v>11</v>
      </c>
      <c r="D13">
        <v>0</v>
      </c>
      <c r="E13">
        <v>0.45010359</v>
      </c>
    </row>
    <row r="14" spans="1:5" x14ac:dyDescent="0.25">
      <c r="A14" s="5"/>
      <c r="B14" s="5" t="s">
        <v>35</v>
      </c>
      <c r="C14">
        <v>12</v>
      </c>
      <c r="D14">
        <v>0</v>
      </c>
      <c r="E14">
        <v>0.45010359</v>
      </c>
    </row>
    <row r="15" spans="1:5" x14ac:dyDescent="0.25">
      <c r="A15" s="5"/>
      <c r="B15" s="5" t="s">
        <v>36</v>
      </c>
      <c r="C15">
        <v>13</v>
      </c>
      <c r="D15">
        <v>0</v>
      </c>
      <c r="E15">
        <v>0.45044665</v>
      </c>
    </row>
    <row r="16" spans="1:5" x14ac:dyDescent="0.25">
      <c r="A16" s="5"/>
      <c r="B16" s="5" t="s">
        <v>37</v>
      </c>
      <c r="C16">
        <v>14</v>
      </c>
      <c r="D16">
        <v>0</v>
      </c>
      <c r="E16">
        <v>0.45142409</v>
      </c>
    </row>
    <row r="17" spans="1:5" x14ac:dyDescent="0.25">
      <c r="A17" s="5"/>
      <c r="B17" s="5" t="s">
        <v>38</v>
      </c>
      <c r="C17">
        <v>15</v>
      </c>
      <c r="D17">
        <v>0</v>
      </c>
      <c r="E17">
        <v>0.45295825000000001</v>
      </c>
    </row>
    <row r="18" spans="1:5" x14ac:dyDescent="0.25">
      <c r="A18" s="5"/>
      <c r="B18" s="5" t="s">
        <v>39</v>
      </c>
      <c r="C18">
        <v>16</v>
      </c>
      <c r="D18">
        <v>0</v>
      </c>
      <c r="E18">
        <v>0.45497149999999997</v>
      </c>
    </row>
    <row r="19" spans="1:5" x14ac:dyDescent="0.25">
      <c r="A19" s="5"/>
      <c r="B19" s="5" t="s">
        <v>40</v>
      </c>
      <c r="C19">
        <v>17</v>
      </c>
      <c r="D19">
        <v>0</v>
      </c>
      <c r="E19">
        <v>0.45738617999999998</v>
      </c>
    </row>
    <row r="20" spans="1:5" x14ac:dyDescent="0.25">
      <c r="A20" s="5"/>
      <c r="B20" s="5" t="s">
        <v>41</v>
      </c>
      <c r="C20">
        <v>18</v>
      </c>
      <c r="D20">
        <v>0</v>
      </c>
      <c r="E20">
        <v>0.46012465000000002</v>
      </c>
    </row>
    <row r="21" spans="1:5" x14ac:dyDescent="0.25">
      <c r="A21" s="5"/>
      <c r="B21" s="5" t="s">
        <v>42</v>
      </c>
      <c r="C21">
        <v>19</v>
      </c>
      <c r="D21">
        <v>0</v>
      </c>
      <c r="E21">
        <v>0.46310928000000001</v>
      </c>
    </row>
    <row r="22" spans="1:5" x14ac:dyDescent="0.25">
      <c r="A22" s="5"/>
      <c r="B22" s="5" t="s">
        <v>43</v>
      </c>
      <c r="C22">
        <v>20</v>
      </c>
      <c r="D22">
        <v>0</v>
      </c>
      <c r="E22">
        <v>0.46626242000000001</v>
      </c>
    </row>
    <row r="23" spans="1:5" x14ac:dyDescent="0.25">
      <c r="A23" s="5"/>
      <c r="B23" s="5" t="s">
        <v>44</v>
      </c>
      <c r="C23">
        <v>21</v>
      </c>
      <c r="D23">
        <v>0</v>
      </c>
      <c r="E23">
        <v>0.46950645000000002</v>
      </c>
    </row>
    <row r="24" spans="1:5" x14ac:dyDescent="0.25">
      <c r="A24" s="5"/>
      <c r="B24" s="5" t="s">
        <v>45</v>
      </c>
      <c r="C24">
        <v>22</v>
      </c>
      <c r="D24">
        <v>0</v>
      </c>
      <c r="E24">
        <v>0.47276374999999998</v>
      </c>
    </row>
    <row r="25" spans="1:5" x14ac:dyDescent="0.25">
      <c r="A25" s="5"/>
      <c r="B25" s="5" t="s">
        <v>46</v>
      </c>
      <c r="C25">
        <v>23</v>
      </c>
      <c r="D25">
        <v>0</v>
      </c>
      <c r="E25">
        <v>0.47595671000000001</v>
      </c>
    </row>
    <row r="26" spans="1:5" x14ac:dyDescent="0.25">
      <c r="A26" s="5"/>
      <c r="B26" s="5" t="s">
        <v>47</v>
      </c>
      <c r="C26">
        <v>24</v>
      </c>
      <c r="D26">
        <v>0</v>
      </c>
      <c r="E26">
        <v>0.47900774000000002</v>
      </c>
    </row>
    <row r="27" spans="1:5" x14ac:dyDescent="0.25">
      <c r="A27" s="5"/>
      <c r="B27" s="5" t="s">
        <v>48</v>
      </c>
      <c r="C27">
        <v>25</v>
      </c>
      <c r="D27">
        <v>0</v>
      </c>
      <c r="E27">
        <v>0.48202665</v>
      </c>
    </row>
    <row r="28" spans="1:5" x14ac:dyDescent="0.25">
      <c r="A28" s="5"/>
      <c r="B28" s="5" t="s">
        <v>49</v>
      </c>
      <c r="C28">
        <v>26</v>
      </c>
      <c r="D28">
        <v>0</v>
      </c>
      <c r="E28">
        <v>0.48516797</v>
      </c>
    </row>
    <row r="29" spans="1:5" x14ac:dyDescent="0.25">
      <c r="A29" s="5"/>
      <c r="B29" s="5" t="s">
        <v>50</v>
      </c>
      <c r="C29">
        <v>27</v>
      </c>
      <c r="D29">
        <v>0</v>
      </c>
      <c r="E29">
        <v>0.48842118000000001</v>
      </c>
    </row>
    <row r="30" spans="1:5" x14ac:dyDescent="0.25">
      <c r="A30" s="5"/>
      <c r="B30" s="5" t="s">
        <v>51</v>
      </c>
      <c r="C30">
        <v>28</v>
      </c>
      <c r="D30">
        <v>0</v>
      </c>
      <c r="E30">
        <v>0.49177577</v>
      </c>
    </row>
    <row r="31" spans="1:5" x14ac:dyDescent="0.25">
      <c r="A31" s="5"/>
      <c r="B31" s="5" t="s">
        <v>52</v>
      </c>
      <c r="C31">
        <v>29</v>
      </c>
      <c r="D31">
        <v>0</v>
      </c>
      <c r="E31">
        <v>0.49522121000000002</v>
      </c>
    </row>
    <row r="32" spans="1:5" x14ac:dyDescent="0.25">
      <c r="A32" s="5"/>
      <c r="B32" s="5" t="s">
        <v>53</v>
      </c>
      <c r="C32">
        <v>30</v>
      </c>
      <c r="D32">
        <v>0</v>
      </c>
      <c r="E32">
        <v>0.49874699</v>
      </c>
    </row>
    <row r="33" spans="1:5" x14ac:dyDescent="0.25">
      <c r="A33" s="5"/>
      <c r="B33" s="5" t="s">
        <v>54</v>
      </c>
      <c r="C33">
        <v>31</v>
      </c>
      <c r="D33">
        <v>0</v>
      </c>
      <c r="E33">
        <v>0.50234259999999997</v>
      </c>
    </row>
    <row r="34" spans="1:5" x14ac:dyDescent="0.25">
      <c r="A34" s="5"/>
      <c r="B34" s="5" t="s">
        <v>55</v>
      </c>
      <c r="C34">
        <v>32</v>
      </c>
      <c r="D34">
        <v>0</v>
      </c>
      <c r="E34">
        <v>0.50599751000000004</v>
      </c>
    </row>
    <row r="35" spans="1:5" x14ac:dyDescent="0.25">
      <c r="A35" s="5"/>
      <c r="B35" s="5" t="s">
        <v>56</v>
      </c>
      <c r="C35">
        <v>33</v>
      </c>
      <c r="D35">
        <v>0</v>
      </c>
      <c r="E35">
        <v>0.50970121999999995</v>
      </c>
    </row>
    <row r="36" spans="1:5" x14ac:dyDescent="0.25">
      <c r="A36" s="5"/>
      <c r="B36" s="5" t="s">
        <v>57</v>
      </c>
      <c r="C36">
        <v>34</v>
      </c>
      <c r="D36">
        <v>0</v>
      </c>
      <c r="E36">
        <v>0.51344321000000004</v>
      </c>
    </row>
    <row r="37" spans="1:5" x14ac:dyDescent="0.25">
      <c r="A37" s="5"/>
      <c r="B37" s="5" t="s">
        <v>58</v>
      </c>
      <c r="C37">
        <v>35</v>
      </c>
      <c r="D37">
        <v>0</v>
      </c>
      <c r="E37">
        <v>0.51721298000000004</v>
      </c>
    </row>
    <row r="38" spans="1:5" x14ac:dyDescent="0.25">
      <c r="A38" s="5"/>
      <c r="B38" s="5" t="s">
        <v>59</v>
      </c>
      <c r="C38">
        <v>36</v>
      </c>
      <c r="D38">
        <v>0</v>
      </c>
      <c r="E38">
        <v>0.52100000000000002</v>
      </c>
    </row>
    <row r="39" spans="1:5" x14ac:dyDescent="0.25">
      <c r="A39" s="5"/>
      <c r="B39" s="5" t="s">
        <v>60</v>
      </c>
      <c r="C39">
        <v>37</v>
      </c>
      <c r="D39">
        <v>0</v>
      </c>
      <c r="E39">
        <v>0.52484582999999996</v>
      </c>
    </row>
    <row r="40" spans="1:5" x14ac:dyDescent="0.25">
      <c r="A40" s="5"/>
      <c r="B40" s="5" t="s">
        <v>61</v>
      </c>
      <c r="C40">
        <v>38</v>
      </c>
      <c r="D40">
        <v>0</v>
      </c>
      <c r="E40">
        <v>0.52878831999999998</v>
      </c>
    </row>
    <row r="41" spans="1:5" x14ac:dyDescent="0.25">
      <c r="A41" s="5"/>
      <c r="B41" s="5" t="s">
        <v>62</v>
      </c>
      <c r="C41">
        <v>39</v>
      </c>
      <c r="D41">
        <v>0</v>
      </c>
      <c r="E41">
        <v>0.53281151000000004</v>
      </c>
    </row>
    <row r="42" spans="1:5" x14ac:dyDescent="0.25">
      <c r="A42" s="5"/>
      <c r="B42" s="5" t="s">
        <v>63</v>
      </c>
      <c r="C42">
        <v>40</v>
      </c>
      <c r="D42">
        <v>0</v>
      </c>
      <c r="E42">
        <v>0.53689942000000002</v>
      </c>
    </row>
    <row r="43" spans="1:5" x14ac:dyDescent="0.25">
      <c r="A43" s="5"/>
      <c r="B43" s="5" t="s">
        <v>64</v>
      </c>
      <c r="C43">
        <v>41</v>
      </c>
      <c r="D43">
        <v>0</v>
      </c>
      <c r="E43">
        <v>0.54103608000000003</v>
      </c>
    </row>
    <row r="44" spans="1:5" x14ac:dyDescent="0.25">
      <c r="A44" s="5"/>
      <c r="B44" s="5" t="s">
        <v>65</v>
      </c>
      <c r="C44">
        <v>42</v>
      </c>
      <c r="D44">
        <v>0</v>
      </c>
      <c r="E44">
        <v>0.54520552</v>
      </c>
    </row>
    <row r="45" spans="1:5" x14ac:dyDescent="0.25">
      <c r="A45" s="5"/>
      <c r="B45" s="5" t="s">
        <v>66</v>
      </c>
      <c r="C45">
        <v>43</v>
      </c>
      <c r="D45">
        <v>0</v>
      </c>
      <c r="E45">
        <v>0.54939178</v>
      </c>
    </row>
    <row r="46" spans="1:5" x14ac:dyDescent="0.25">
      <c r="A46" s="5"/>
      <c r="B46" s="5" t="s">
        <v>67</v>
      </c>
      <c r="C46">
        <v>44</v>
      </c>
      <c r="D46">
        <v>0</v>
      </c>
      <c r="E46">
        <v>0.55357889000000005</v>
      </c>
    </row>
    <row r="47" spans="1:5" x14ac:dyDescent="0.25">
      <c r="A47" s="5"/>
      <c r="B47" s="5" t="s">
        <v>68</v>
      </c>
      <c r="C47">
        <v>45</v>
      </c>
      <c r="D47">
        <v>0</v>
      </c>
      <c r="E47">
        <v>0.55775087999999995</v>
      </c>
    </row>
    <row r="48" spans="1:5" x14ac:dyDescent="0.25">
      <c r="A48" s="5"/>
      <c r="B48" s="5" t="s">
        <v>69</v>
      </c>
      <c r="C48">
        <v>46</v>
      </c>
      <c r="D48">
        <v>0</v>
      </c>
      <c r="E48">
        <v>0.56189180000000005</v>
      </c>
    </row>
    <row r="49" spans="1:5" x14ac:dyDescent="0.25">
      <c r="A49" s="5"/>
      <c r="B49" s="5" t="s">
        <v>70</v>
      </c>
      <c r="C49">
        <v>47</v>
      </c>
      <c r="D49">
        <v>0</v>
      </c>
      <c r="E49">
        <v>0.56598568999999999</v>
      </c>
    </row>
    <row r="50" spans="1:5" x14ac:dyDescent="0.25">
      <c r="A50" s="5"/>
      <c r="B50" s="5" t="s">
        <v>71</v>
      </c>
      <c r="C50">
        <v>48</v>
      </c>
      <c r="D50">
        <v>0</v>
      </c>
      <c r="E50">
        <v>0.57001659000000005</v>
      </c>
    </row>
    <row r="51" spans="1:5" x14ac:dyDescent="0.25">
      <c r="A51" s="5"/>
      <c r="B51" s="5" t="s">
        <v>72</v>
      </c>
      <c r="C51">
        <v>49</v>
      </c>
      <c r="D51">
        <v>0</v>
      </c>
      <c r="E51">
        <v>0.57401681999999998</v>
      </c>
    </row>
    <row r="52" spans="1:5" x14ac:dyDescent="0.25">
      <c r="A52" s="5"/>
      <c r="B52" s="5" t="s">
        <v>73</v>
      </c>
      <c r="C52">
        <v>50</v>
      </c>
      <c r="D52">
        <v>0</v>
      </c>
      <c r="E52">
        <v>0.57802909999999996</v>
      </c>
    </row>
    <row r="53" spans="1:5" x14ac:dyDescent="0.25">
      <c r="A53" s="5"/>
      <c r="B53" s="5" t="s">
        <v>74</v>
      </c>
      <c r="C53">
        <v>51</v>
      </c>
      <c r="D53">
        <v>0</v>
      </c>
      <c r="E53">
        <v>0.58205309999999999</v>
      </c>
    </row>
    <row r="54" spans="1:5" x14ac:dyDescent="0.25">
      <c r="A54" s="5"/>
      <c r="B54" s="5" t="s">
        <v>75</v>
      </c>
      <c r="C54">
        <v>52</v>
      </c>
      <c r="D54">
        <v>0</v>
      </c>
      <c r="E54">
        <v>0.58608853000000005</v>
      </c>
    </row>
    <row r="55" spans="1:5" x14ac:dyDescent="0.25">
      <c r="A55" s="5"/>
      <c r="B55" s="5" t="s">
        <v>76</v>
      </c>
      <c r="C55">
        <v>53</v>
      </c>
      <c r="D55">
        <v>0</v>
      </c>
      <c r="E55">
        <v>0.59013504999999999</v>
      </c>
    </row>
    <row r="56" spans="1:5" x14ac:dyDescent="0.25">
      <c r="A56" s="5"/>
      <c r="B56" s="5" t="s">
        <v>77</v>
      </c>
      <c r="C56">
        <v>54</v>
      </c>
      <c r="D56">
        <v>0</v>
      </c>
      <c r="E56">
        <v>0.59419235999999997</v>
      </c>
    </row>
    <row r="57" spans="1:5" x14ac:dyDescent="0.25">
      <c r="A57" s="5"/>
      <c r="B57" s="5" t="s">
        <v>78</v>
      </c>
      <c r="C57">
        <v>55</v>
      </c>
      <c r="D57">
        <v>0</v>
      </c>
      <c r="E57">
        <v>0.59826014000000005</v>
      </c>
    </row>
    <row r="58" spans="1:5" x14ac:dyDescent="0.25">
      <c r="A58" s="5"/>
      <c r="B58" s="5" t="s">
        <v>79</v>
      </c>
      <c r="C58">
        <v>56</v>
      </c>
      <c r="D58">
        <v>0</v>
      </c>
      <c r="E58">
        <v>0.60233806000000001</v>
      </c>
    </row>
    <row r="59" spans="1:5" x14ac:dyDescent="0.25">
      <c r="A59" s="5"/>
      <c r="B59" s="5" t="s">
        <v>80</v>
      </c>
      <c r="C59">
        <v>57</v>
      </c>
      <c r="D59">
        <v>0</v>
      </c>
      <c r="E59">
        <v>0.60642582</v>
      </c>
    </row>
    <row r="60" spans="1:5" x14ac:dyDescent="0.25">
      <c r="A60" s="5"/>
      <c r="B60" s="5" t="s">
        <v>81</v>
      </c>
      <c r="C60">
        <v>58</v>
      </c>
      <c r="D60">
        <v>0</v>
      </c>
      <c r="E60">
        <v>0.61052309999999999</v>
      </c>
    </row>
    <row r="61" spans="1:5" x14ac:dyDescent="0.25">
      <c r="A61" s="5"/>
      <c r="B61" s="5" t="s">
        <v>82</v>
      </c>
      <c r="C61">
        <v>59</v>
      </c>
      <c r="D61">
        <v>0</v>
      </c>
      <c r="E61">
        <v>0.61462958000000001</v>
      </c>
    </row>
    <row r="62" spans="1:5" x14ac:dyDescent="0.25">
      <c r="A62" s="5"/>
      <c r="B62" s="5" t="s">
        <v>83</v>
      </c>
      <c r="C62">
        <v>60</v>
      </c>
      <c r="D62">
        <v>0</v>
      </c>
      <c r="E62">
        <v>0.61874494999999996</v>
      </c>
    </row>
    <row r="63" spans="1:5" x14ac:dyDescent="0.25">
      <c r="A63" s="5"/>
      <c r="B63" s="5" t="s">
        <v>84</v>
      </c>
      <c r="C63">
        <v>61</v>
      </c>
      <c r="D63">
        <v>0</v>
      </c>
      <c r="E63">
        <v>0.62286887999999996</v>
      </c>
    </row>
    <row r="64" spans="1:5" x14ac:dyDescent="0.25">
      <c r="A64" s="5"/>
      <c r="B64" s="5" t="s">
        <v>85</v>
      </c>
      <c r="C64">
        <v>62</v>
      </c>
      <c r="D64">
        <v>0</v>
      </c>
      <c r="E64">
        <v>0.62700107000000005</v>
      </c>
    </row>
    <row r="65" spans="1:5" x14ac:dyDescent="0.25">
      <c r="A65" s="5"/>
      <c r="B65" s="5" t="s">
        <v>86</v>
      </c>
      <c r="C65">
        <v>63</v>
      </c>
      <c r="D65">
        <v>0</v>
      </c>
      <c r="E65">
        <v>0.63114119999999996</v>
      </c>
    </row>
    <row r="66" spans="1:5" x14ac:dyDescent="0.25">
      <c r="A66" s="5"/>
      <c r="B66" s="5" t="s">
        <v>87</v>
      </c>
      <c r="C66">
        <v>64</v>
      </c>
      <c r="D66">
        <v>0</v>
      </c>
      <c r="E66">
        <v>0.63528894999999996</v>
      </c>
    </row>
    <row r="67" spans="1:5" x14ac:dyDescent="0.25">
      <c r="A67" s="5"/>
      <c r="B67" s="5" t="s">
        <v>88</v>
      </c>
      <c r="C67">
        <v>65</v>
      </c>
      <c r="D67">
        <v>0</v>
      </c>
      <c r="E67">
        <v>0.63944400000000001</v>
      </c>
    </row>
    <row r="68" spans="1:5" x14ac:dyDescent="0.25">
      <c r="A68" s="5"/>
      <c r="B68" s="5" t="s">
        <v>89</v>
      </c>
      <c r="C68">
        <v>66</v>
      </c>
      <c r="D68">
        <v>0</v>
      </c>
      <c r="E68">
        <v>0.64360603999999999</v>
      </c>
    </row>
    <row r="69" spans="1:5" x14ac:dyDescent="0.25">
      <c r="A69" s="5"/>
      <c r="B69" s="5" t="s">
        <v>90</v>
      </c>
      <c r="C69">
        <v>67</v>
      </c>
      <c r="D69">
        <v>0</v>
      </c>
      <c r="E69">
        <v>0.64777476000000001</v>
      </c>
    </row>
    <row r="70" spans="1:5" x14ac:dyDescent="0.25">
      <c r="A70" s="5"/>
      <c r="B70" s="5" t="s">
        <v>91</v>
      </c>
      <c r="C70">
        <v>68</v>
      </c>
      <c r="D70">
        <v>0</v>
      </c>
      <c r="E70">
        <v>0.65194982999999995</v>
      </c>
    </row>
    <row r="71" spans="1:5" x14ac:dyDescent="0.25">
      <c r="A71" s="5"/>
      <c r="B71" s="5" t="s">
        <v>92</v>
      </c>
      <c r="C71">
        <v>69</v>
      </c>
      <c r="D71">
        <v>0</v>
      </c>
      <c r="E71">
        <v>0.65613094999999999</v>
      </c>
    </row>
    <row r="72" spans="1:5" x14ac:dyDescent="0.25">
      <c r="A72" s="5"/>
      <c r="B72" s="5" t="s">
        <v>93</v>
      </c>
      <c r="C72">
        <v>70</v>
      </c>
      <c r="D72">
        <v>0</v>
      </c>
      <c r="E72">
        <v>0.66031779000000002</v>
      </c>
    </row>
    <row r="73" spans="1:5" x14ac:dyDescent="0.25">
      <c r="A73" s="5"/>
      <c r="B73" s="5" t="s">
        <v>94</v>
      </c>
      <c r="C73">
        <v>71</v>
      </c>
      <c r="D73">
        <v>0</v>
      </c>
      <c r="E73">
        <v>0.66451004000000002</v>
      </c>
    </row>
    <row r="74" spans="1:5" x14ac:dyDescent="0.25">
      <c r="A74" s="5"/>
      <c r="B74" s="5" t="s">
        <v>95</v>
      </c>
      <c r="C74">
        <v>72</v>
      </c>
      <c r="D74">
        <v>0</v>
      </c>
      <c r="E74">
        <v>0.66870739000000001</v>
      </c>
    </row>
    <row r="75" spans="1:5" x14ac:dyDescent="0.25">
      <c r="A75" s="5"/>
      <c r="B75" s="5" t="s">
        <v>96</v>
      </c>
      <c r="C75">
        <v>73</v>
      </c>
      <c r="D75">
        <v>0</v>
      </c>
      <c r="E75">
        <v>0.67290950999999999</v>
      </c>
    </row>
    <row r="76" spans="1:5" x14ac:dyDescent="0.25">
      <c r="A76" s="5"/>
      <c r="B76" s="5" t="s">
        <v>97</v>
      </c>
      <c r="C76">
        <v>74</v>
      </c>
      <c r="D76">
        <v>0</v>
      </c>
      <c r="E76">
        <v>0.6771161</v>
      </c>
    </row>
    <row r="77" spans="1:5" x14ac:dyDescent="0.25">
      <c r="A77" s="5"/>
      <c r="B77" s="5" t="s">
        <v>98</v>
      </c>
      <c r="C77">
        <v>75</v>
      </c>
      <c r="D77">
        <v>0</v>
      </c>
      <c r="E77">
        <v>0.68132683999999999</v>
      </c>
    </row>
    <row r="78" spans="1:5" x14ac:dyDescent="0.25">
      <c r="A78" s="5"/>
      <c r="B78" s="5" t="s">
        <v>99</v>
      </c>
      <c r="C78">
        <v>76</v>
      </c>
      <c r="D78">
        <v>0</v>
      </c>
      <c r="E78">
        <v>0.68554141000000002</v>
      </c>
    </row>
    <row r="79" spans="1:5" x14ac:dyDescent="0.25">
      <c r="A79" s="5"/>
      <c r="B79" s="5" t="s">
        <v>100</v>
      </c>
      <c r="C79">
        <v>77</v>
      </c>
      <c r="D79">
        <v>0</v>
      </c>
      <c r="E79">
        <v>0.68975949999999997</v>
      </c>
    </row>
    <row r="80" spans="1:5" x14ac:dyDescent="0.25">
      <c r="A80" s="5"/>
      <c r="B80" s="5" t="s">
        <v>101</v>
      </c>
      <c r="C80">
        <v>78</v>
      </c>
      <c r="D80">
        <v>0</v>
      </c>
      <c r="E80">
        <v>0.69398079000000001</v>
      </c>
    </row>
    <row r="81" spans="1:5" x14ac:dyDescent="0.25">
      <c r="A81" s="5"/>
      <c r="B81" s="5" t="s">
        <v>102</v>
      </c>
      <c r="C81">
        <v>79</v>
      </c>
      <c r="D81">
        <v>0</v>
      </c>
      <c r="E81">
        <v>0.69820497000000004</v>
      </c>
    </row>
    <row r="82" spans="1:5" x14ac:dyDescent="0.25">
      <c r="A82" s="5"/>
      <c r="B82" s="5" t="s">
        <v>103</v>
      </c>
      <c r="C82">
        <v>80</v>
      </c>
      <c r="D82">
        <v>0</v>
      </c>
      <c r="E82">
        <v>0.70243171999999998</v>
      </c>
    </row>
    <row r="83" spans="1:5" x14ac:dyDescent="0.25">
      <c r="A83" s="5"/>
      <c r="B83" s="5" t="s">
        <v>104</v>
      </c>
      <c r="C83">
        <v>81</v>
      </c>
      <c r="D83">
        <v>0</v>
      </c>
      <c r="E83">
        <v>0.70666072999999996</v>
      </c>
    </row>
    <row r="84" spans="1:5" x14ac:dyDescent="0.25">
      <c r="A84" s="5"/>
      <c r="B84" s="5" t="s">
        <v>105</v>
      </c>
      <c r="C84">
        <v>82</v>
      </c>
      <c r="D84">
        <v>0</v>
      </c>
      <c r="E84">
        <v>0.71089166999999998</v>
      </c>
    </row>
    <row r="85" spans="1:5" x14ac:dyDescent="0.25">
      <c r="A85" s="5"/>
      <c r="B85" s="5" t="s">
        <v>106</v>
      </c>
      <c r="C85">
        <v>83</v>
      </c>
      <c r="D85">
        <v>0</v>
      </c>
      <c r="E85">
        <v>0.71512425000000002</v>
      </c>
    </row>
    <row r="86" spans="1:5" x14ac:dyDescent="0.25">
      <c r="A86" s="5"/>
      <c r="B86" s="5" t="s">
        <v>107</v>
      </c>
      <c r="C86">
        <v>84</v>
      </c>
      <c r="D86">
        <v>0</v>
      </c>
      <c r="E86">
        <v>0.71935813000000004</v>
      </c>
    </row>
    <row r="87" spans="1:5" x14ac:dyDescent="0.25">
      <c r="A87" s="5"/>
      <c r="B87" s="5" t="s">
        <v>108</v>
      </c>
      <c r="C87">
        <v>85</v>
      </c>
      <c r="D87">
        <v>0</v>
      </c>
      <c r="E87">
        <v>0.72359300999999998</v>
      </c>
    </row>
    <row r="88" spans="1:5" x14ac:dyDescent="0.25">
      <c r="A88" s="5"/>
      <c r="B88" s="5" t="s">
        <v>109</v>
      </c>
      <c r="C88">
        <v>86</v>
      </c>
      <c r="D88">
        <v>0</v>
      </c>
      <c r="E88">
        <v>0.72782857000000001</v>
      </c>
    </row>
    <row r="89" spans="1:5" x14ac:dyDescent="0.25">
      <c r="A89" s="5"/>
      <c r="B89" s="5" t="s">
        <v>110</v>
      </c>
      <c r="C89">
        <v>87</v>
      </c>
      <c r="D89">
        <v>0</v>
      </c>
      <c r="E89">
        <v>0.73206450000000001</v>
      </c>
    </row>
    <row r="90" spans="1:5" x14ac:dyDescent="0.25">
      <c r="A90" s="5"/>
      <c r="B90" s="5" t="s">
        <v>111</v>
      </c>
      <c r="C90">
        <v>88</v>
      </c>
      <c r="D90">
        <v>0</v>
      </c>
      <c r="E90">
        <v>0.73630048000000003</v>
      </c>
    </row>
    <row r="91" spans="1:5" x14ac:dyDescent="0.25">
      <c r="A91" s="5"/>
      <c r="B91" s="5" t="s">
        <v>112</v>
      </c>
      <c r="C91">
        <v>89</v>
      </c>
      <c r="D91">
        <v>0</v>
      </c>
      <c r="E91">
        <v>0.74053619000000004</v>
      </c>
    </row>
    <row r="92" spans="1:5" x14ac:dyDescent="0.25">
      <c r="A92" s="5"/>
      <c r="B92" s="5" t="s">
        <v>113</v>
      </c>
      <c r="C92">
        <v>90</v>
      </c>
      <c r="D92">
        <v>0</v>
      </c>
      <c r="E92">
        <v>0.74477132999999995</v>
      </c>
    </row>
    <row r="93" spans="1:5" x14ac:dyDescent="0.25">
      <c r="A93" s="5"/>
      <c r="B93" s="5" t="s">
        <v>114</v>
      </c>
      <c r="C93">
        <v>91</v>
      </c>
      <c r="D93">
        <v>0</v>
      </c>
      <c r="E93">
        <v>0.74900557000000001</v>
      </c>
    </row>
    <row r="94" spans="1:5" x14ac:dyDescent="0.25">
      <c r="A94" s="5"/>
      <c r="B94" s="5" t="s">
        <v>115</v>
      </c>
      <c r="C94">
        <v>92</v>
      </c>
      <c r="D94">
        <v>0</v>
      </c>
      <c r="E94">
        <v>0.75323861000000003</v>
      </c>
    </row>
    <row r="95" spans="1:5" x14ac:dyDescent="0.25">
      <c r="A95" s="5"/>
      <c r="B95" s="5" t="s">
        <v>116</v>
      </c>
      <c r="C95">
        <v>93</v>
      </c>
      <c r="D95">
        <v>0</v>
      </c>
      <c r="E95">
        <v>0.75747012000000002</v>
      </c>
    </row>
    <row r="96" spans="1:5" x14ac:dyDescent="0.25">
      <c r="A96" s="5"/>
      <c r="B96" s="5" t="s">
        <v>117</v>
      </c>
      <c r="C96">
        <v>94</v>
      </c>
      <c r="D96">
        <v>0</v>
      </c>
      <c r="E96">
        <v>0.76169980000000004</v>
      </c>
    </row>
    <row r="97" spans="1:5" x14ac:dyDescent="0.25">
      <c r="A97" s="5"/>
      <c r="B97" s="5" t="s">
        <v>118</v>
      </c>
      <c r="C97">
        <v>95</v>
      </c>
      <c r="D97">
        <v>0</v>
      </c>
      <c r="E97">
        <v>0.76592733000000002</v>
      </c>
    </row>
    <row r="98" spans="1:5" x14ac:dyDescent="0.25">
      <c r="A98" s="5"/>
      <c r="B98" s="5" t="s">
        <v>119</v>
      </c>
      <c r="C98">
        <v>96</v>
      </c>
      <c r="D98">
        <v>0</v>
      </c>
      <c r="E98">
        <v>0.77015239000000002</v>
      </c>
    </row>
    <row r="99" spans="1:5" x14ac:dyDescent="0.25">
      <c r="A99" s="5"/>
      <c r="B99" s="5" t="s">
        <v>120</v>
      </c>
      <c r="C99">
        <v>97</v>
      </c>
      <c r="D99">
        <v>0</v>
      </c>
      <c r="E99">
        <v>0.77437467000000004</v>
      </c>
    </row>
    <row r="100" spans="1:5" x14ac:dyDescent="0.25">
      <c r="A100" s="5"/>
      <c r="B100" s="5" t="s">
        <v>121</v>
      </c>
      <c r="C100">
        <v>98</v>
      </c>
      <c r="D100">
        <v>0</v>
      </c>
      <c r="E100">
        <v>0.77859385000000003</v>
      </c>
    </row>
    <row r="101" spans="1:5" x14ac:dyDescent="0.25">
      <c r="A101" s="5"/>
      <c r="B101" s="5" t="s">
        <v>122</v>
      </c>
      <c r="C101">
        <v>99</v>
      </c>
      <c r="D101">
        <v>0</v>
      </c>
      <c r="E101">
        <v>0.78280963000000003</v>
      </c>
    </row>
    <row r="102" spans="1:5" x14ac:dyDescent="0.25">
      <c r="A102" s="5"/>
      <c r="B102" s="5" t="s">
        <v>123</v>
      </c>
      <c r="C102">
        <v>100</v>
      </c>
      <c r="D102">
        <v>0</v>
      </c>
      <c r="E102">
        <v>0.78702167999999995</v>
      </c>
    </row>
    <row r="103" spans="1:5" x14ac:dyDescent="0.25">
      <c r="A103" s="5"/>
      <c r="B103" s="5" t="s">
        <v>124</v>
      </c>
      <c r="C103">
        <v>101</v>
      </c>
      <c r="D103">
        <v>0</v>
      </c>
      <c r="E103">
        <v>0.79122970000000004</v>
      </c>
    </row>
    <row r="104" spans="1:5" x14ac:dyDescent="0.25">
      <c r="A104" s="5"/>
      <c r="B104" s="5" t="s">
        <v>125</v>
      </c>
      <c r="C104">
        <v>102</v>
      </c>
      <c r="D104">
        <v>0</v>
      </c>
      <c r="E104">
        <v>0.79543335999999998</v>
      </c>
    </row>
    <row r="105" spans="1:5" x14ac:dyDescent="0.25">
      <c r="A105" s="5"/>
      <c r="B105" s="5" t="s">
        <v>126</v>
      </c>
      <c r="C105">
        <v>103</v>
      </c>
      <c r="D105">
        <v>0</v>
      </c>
      <c r="E105">
        <v>0.79963236000000004</v>
      </c>
    </row>
    <row r="106" spans="1:5" x14ac:dyDescent="0.25">
      <c r="A106" s="5"/>
      <c r="B106" s="5" t="s">
        <v>127</v>
      </c>
      <c r="C106">
        <v>104</v>
      </c>
      <c r="D106">
        <v>0</v>
      </c>
      <c r="E106">
        <v>0.80382637999999995</v>
      </c>
    </row>
    <row r="107" spans="1:5" x14ac:dyDescent="0.25">
      <c r="A107" s="5"/>
      <c r="B107" s="5" t="s">
        <v>128</v>
      </c>
      <c r="C107">
        <v>105</v>
      </c>
      <c r="D107">
        <v>0</v>
      </c>
      <c r="E107">
        <v>0.80801511000000004</v>
      </c>
    </row>
    <row r="108" spans="1:5" x14ac:dyDescent="0.25">
      <c r="A108" s="5"/>
      <c r="B108" s="5" t="s">
        <v>129</v>
      </c>
      <c r="C108">
        <v>106</v>
      </c>
      <c r="D108">
        <v>0</v>
      </c>
      <c r="E108">
        <v>0.81219823000000002</v>
      </c>
    </row>
    <row r="109" spans="1:5" x14ac:dyDescent="0.25">
      <c r="A109" s="5"/>
      <c r="B109" s="5" t="s">
        <v>130</v>
      </c>
      <c r="C109">
        <v>107</v>
      </c>
      <c r="D109">
        <v>0</v>
      </c>
      <c r="E109">
        <v>0.81637543000000001</v>
      </c>
    </row>
    <row r="110" spans="1:5" x14ac:dyDescent="0.25">
      <c r="A110" s="5"/>
      <c r="B110" s="5" t="s">
        <v>131</v>
      </c>
      <c r="C110">
        <v>108</v>
      </c>
      <c r="D110">
        <v>0</v>
      </c>
      <c r="E110">
        <v>0.82054638999999996</v>
      </c>
    </row>
    <row r="111" spans="1:5" x14ac:dyDescent="0.25">
      <c r="A111" s="5"/>
      <c r="B111" s="5" t="s">
        <v>132</v>
      </c>
      <c r="C111">
        <v>109</v>
      </c>
      <c r="D111">
        <v>0</v>
      </c>
      <c r="E111">
        <v>0.82471079999999997</v>
      </c>
    </row>
    <row r="112" spans="1:5" x14ac:dyDescent="0.25">
      <c r="A112" s="5"/>
      <c r="B112" s="5" t="s">
        <v>133</v>
      </c>
      <c r="C112">
        <v>110</v>
      </c>
      <c r="D112">
        <v>0</v>
      </c>
      <c r="E112">
        <v>0.82886835000000003</v>
      </c>
    </row>
    <row r="113" spans="1:5" x14ac:dyDescent="0.25">
      <c r="A113" s="5"/>
      <c r="B113" s="5" t="s">
        <v>134</v>
      </c>
      <c r="C113">
        <v>111</v>
      </c>
      <c r="D113">
        <v>0</v>
      </c>
      <c r="E113">
        <v>0.83301871999999999</v>
      </c>
    </row>
    <row r="114" spans="1:5" x14ac:dyDescent="0.25">
      <c r="A114" s="5"/>
      <c r="B114" s="5" t="s">
        <v>135</v>
      </c>
      <c r="C114">
        <v>112</v>
      </c>
      <c r="D114">
        <v>0</v>
      </c>
      <c r="E114">
        <v>0.83716159999999995</v>
      </c>
    </row>
    <row r="115" spans="1:5" x14ac:dyDescent="0.25">
      <c r="A115" s="5"/>
      <c r="B115" s="5" t="s">
        <v>136</v>
      </c>
      <c r="C115">
        <v>113</v>
      </c>
      <c r="D115">
        <v>0</v>
      </c>
      <c r="E115">
        <v>0.84129668000000002</v>
      </c>
    </row>
    <row r="116" spans="1:5" x14ac:dyDescent="0.25">
      <c r="A116" s="5"/>
      <c r="B116" s="5" t="s">
        <v>137</v>
      </c>
      <c r="C116">
        <v>114</v>
      </c>
      <c r="D116">
        <v>0</v>
      </c>
      <c r="E116">
        <v>0.84542364000000003</v>
      </c>
    </row>
    <row r="117" spans="1:5" x14ac:dyDescent="0.25">
      <c r="A117" s="5"/>
      <c r="B117" s="5" t="s">
        <v>138</v>
      </c>
      <c r="C117">
        <v>115</v>
      </c>
      <c r="D117">
        <v>0</v>
      </c>
      <c r="E117">
        <v>0.84954216999999999</v>
      </c>
    </row>
    <row r="118" spans="1:5" x14ac:dyDescent="0.25">
      <c r="A118" s="5"/>
      <c r="B118" s="5" t="s">
        <v>139</v>
      </c>
      <c r="C118">
        <v>116</v>
      </c>
      <c r="D118">
        <v>0</v>
      </c>
      <c r="E118">
        <v>0.85365195000000005</v>
      </c>
    </row>
    <row r="119" spans="1:5" x14ac:dyDescent="0.25">
      <c r="A119" s="5"/>
      <c r="B119" s="5" t="s">
        <v>140</v>
      </c>
      <c r="C119">
        <v>117</v>
      </c>
      <c r="D119">
        <v>0</v>
      </c>
      <c r="E119">
        <v>0.85775266999999999</v>
      </c>
    </row>
    <row r="120" spans="1:5" x14ac:dyDescent="0.25">
      <c r="A120" s="5"/>
      <c r="B120" s="5" t="s">
        <v>141</v>
      </c>
      <c r="C120">
        <v>118</v>
      </c>
      <c r="D120">
        <v>0</v>
      </c>
      <c r="E120">
        <v>0.86184402999999998</v>
      </c>
    </row>
    <row r="121" spans="1:5" x14ac:dyDescent="0.25">
      <c r="A121" s="5"/>
      <c r="B121" s="5" t="s">
        <v>142</v>
      </c>
      <c r="C121">
        <v>119</v>
      </c>
      <c r="D121">
        <v>0</v>
      </c>
      <c r="E121">
        <v>0.86592570000000002</v>
      </c>
    </row>
    <row r="122" spans="1:5" x14ac:dyDescent="0.25">
      <c r="A122" s="5"/>
      <c r="B122" s="5" t="s">
        <v>143</v>
      </c>
      <c r="C122">
        <v>120</v>
      </c>
      <c r="D122">
        <v>0</v>
      </c>
      <c r="E122">
        <v>0.86999736000000005</v>
      </c>
    </row>
    <row r="123" spans="1:5" x14ac:dyDescent="0.25">
      <c r="A123" s="5"/>
      <c r="B123" s="5" t="s">
        <v>144</v>
      </c>
      <c r="C123">
        <v>121</v>
      </c>
      <c r="D123">
        <v>0</v>
      </c>
      <c r="E123">
        <v>0.87405871999999996</v>
      </c>
    </row>
    <row r="124" spans="1:5" x14ac:dyDescent="0.25">
      <c r="A124" s="5"/>
      <c r="B124" s="5" t="s">
        <v>145</v>
      </c>
      <c r="C124">
        <v>122</v>
      </c>
      <c r="D124">
        <v>0</v>
      </c>
      <c r="E124">
        <v>0.87810946000000001</v>
      </c>
    </row>
    <row r="125" spans="1:5" x14ac:dyDescent="0.25">
      <c r="A125" s="5"/>
      <c r="B125" s="5" t="s">
        <v>146</v>
      </c>
      <c r="C125">
        <v>123</v>
      </c>
      <c r="D125">
        <v>0</v>
      </c>
      <c r="E125">
        <v>0.88214925</v>
      </c>
    </row>
    <row r="126" spans="1:5" x14ac:dyDescent="0.25">
      <c r="A126" s="5"/>
      <c r="B126" s="5" t="s">
        <v>147</v>
      </c>
      <c r="C126">
        <v>124</v>
      </c>
      <c r="D126">
        <v>0</v>
      </c>
      <c r="E126">
        <v>0.88617778999999997</v>
      </c>
    </row>
    <row r="127" spans="1:5" x14ac:dyDescent="0.25">
      <c r="A127" s="5"/>
      <c r="B127" s="5" t="s">
        <v>148</v>
      </c>
      <c r="C127">
        <v>125</v>
      </c>
      <c r="D127">
        <v>0</v>
      </c>
      <c r="E127">
        <v>0.89019477000000002</v>
      </c>
    </row>
    <row r="128" spans="1:5" x14ac:dyDescent="0.25">
      <c r="A128" s="5"/>
      <c r="B128" s="5" t="s">
        <v>149</v>
      </c>
      <c r="C128">
        <v>126</v>
      </c>
      <c r="D128">
        <v>0</v>
      </c>
      <c r="E128">
        <v>0.89419987999999995</v>
      </c>
    </row>
    <row r="129" spans="1:5" x14ac:dyDescent="0.25">
      <c r="A129" s="5"/>
      <c r="B129" s="5" t="s">
        <v>150</v>
      </c>
      <c r="C129">
        <v>127</v>
      </c>
      <c r="D129">
        <v>0</v>
      </c>
      <c r="E129">
        <v>0.89819278999999996</v>
      </c>
    </row>
    <row r="130" spans="1:5" x14ac:dyDescent="0.25">
      <c r="A130" s="5"/>
      <c r="B130" s="5" t="s">
        <v>151</v>
      </c>
      <c r="C130">
        <v>128</v>
      </c>
      <c r="D130">
        <v>0</v>
      </c>
      <c r="E130">
        <v>0.90217320000000001</v>
      </c>
    </row>
    <row r="131" spans="1:5" x14ac:dyDescent="0.25">
      <c r="A131" s="5"/>
      <c r="B131" s="5" t="s">
        <v>152</v>
      </c>
      <c r="C131">
        <v>129</v>
      </c>
      <c r="D131">
        <v>0</v>
      </c>
      <c r="E131">
        <v>0.90614079000000003</v>
      </c>
    </row>
    <row r="132" spans="1:5" x14ac:dyDescent="0.25">
      <c r="A132" s="5"/>
      <c r="B132" s="5" t="s">
        <v>153</v>
      </c>
      <c r="C132">
        <v>130</v>
      </c>
      <c r="D132">
        <v>0</v>
      </c>
      <c r="E132">
        <v>0.91009525000000002</v>
      </c>
    </row>
    <row r="133" spans="1:5" x14ac:dyDescent="0.25">
      <c r="A133" s="5"/>
      <c r="B133" s="5" t="s">
        <v>154</v>
      </c>
      <c r="C133">
        <v>131</v>
      </c>
      <c r="D133">
        <v>0</v>
      </c>
      <c r="E133">
        <v>0.91403626999999998</v>
      </c>
    </row>
    <row r="134" spans="1:5" x14ac:dyDescent="0.25">
      <c r="A134" s="5"/>
      <c r="B134" s="5" t="s">
        <v>155</v>
      </c>
      <c r="C134">
        <v>132</v>
      </c>
      <c r="D134">
        <v>0</v>
      </c>
      <c r="E134">
        <v>0.91796354000000002</v>
      </c>
    </row>
    <row r="135" spans="1:5" x14ac:dyDescent="0.25">
      <c r="A135" s="5"/>
      <c r="B135" s="5" t="s">
        <v>156</v>
      </c>
      <c r="C135">
        <v>133</v>
      </c>
      <c r="D135">
        <v>0</v>
      </c>
      <c r="E135">
        <v>0.92187673000000003</v>
      </c>
    </row>
    <row r="136" spans="1:5" x14ac:dyDescent="0.25">
      <c r="A136" s="5"/>
      <c r="B136" s="5" t="s">
        <v>157</v>
      </c>
      <c r="C136">
        <v>134</v>
      </c>
      <c r="D136">
        <v>0</v>
      </c>
      <c r="E136">
        <v>0.92577555</v>
      </c>
    </row>
    <row r="137" spans="1:5" x14ac:dyDescent="0.25">
      <c r="A137" s="5"/>
      <c r="B137" s="5" t="s">
        <v>158</v>
      </c>
      <c r="C137">
        <v>135</v>
      </c>
      <c r="D137">
        <v>0</v>
      </c>
      <c r="E137">
        <v>0.92965967000000005</v>
      </c>
    </row>
    <row r="138" spans="1:5" x14ac:dyDescent="0.25">
      <c r="A138" s="5"/>
      <c r="B138" s="5" t="s">
        <v>159</v>
      </c>
      <c r="C138">
        <v>136</v>
      </c>
      <c r="D138">
        <v>0</v>
      </c>
      <c r="E138">
        <v>0.93352879</v>
      </c>
    </row>
    <row r="139" spans="1:5" x14ac:dyDescent="0.25">
      <c r="A139" s="5"/>
      <c r="B139" s="5" t="s">
        <v>160</v>
      </c>
      <c r="C139">
        <v>137</v>
      </c>
      <c r="D139">
        <v>0</v>
      </c>
      <c r="E139">
        <v>0.93738259000000002</v>
      </c>
    </row>
    <row r="140" spans="1:5" x14ac:dyDescent="0.25">
      <c r="A140" s="5"/>
      <c r="B140" s="5" t="s">
        <v>161</v>
      </c>
      <c r="C140">
        <v>138</v>
      </c>
      <c r="D140">
        <v>0</v>
      </c>
      <c r="E140">
        <v>0.94122075999999999</v>
      </c>
    </row>
    <row r="141" spans="1:5" x14ac:dyDescent="0.25">
      <c r="A141" s="5"/>
      <c r="B141" s="5" t="s">
        <v>162</v>
      </c>
      <c r="C141">
        <v>139</v>
      </c>
      <c r="D141">
        <v>0</v>
      </c>
      <c r="E141">
        <v>0.94504299000000003</v>
      </c>
    </row>
    <row r="142" spans="1:5" x14ac:dyDescent="0.25">
      <c r="A142" s="5"/>
      <c r="B142" s="5" t="s">
        <v>163</v>
      </c>
      <c r="C142">
        <v>140</v>
      </c>
      <c r="D142">
        <v>0</v>
      </c>
      <c r="E142">
        <v>0.94884895999999996</v>
      </c>
    </row>
    <row r="143" spans="1:5" x14ac:dyDescent="0.25">
      <c r="A143" s="5"/>
      <c r="B143" s="5" t="s">
        <v>164</v>
      </c>
      <c r="C143">
        <v>141</v>
      </c>
      <c r="D143">
        <v>0</v>
      </c>
      <c r="E143">
        <v>0.95263836000000002</v>
      </c>
    </row>
    <row r="144" spans="1:5" x14ac:dyDescent="0.25">
      <c r="A144" s="5"/>
      <c r="B144" s="5" t="s">
        <v>165</v>
      </c>
      <c r="C144">
        <v>142</v>
      </c>
      <c r="D144">
        <v>0</v>
      </c>
      <c r="E144">
        <v>0.95641087999999996</v>
      </c>
    </row>
    <row r="145" spans="1:5" x14ac:dyDescent="0.25">
      <c r="A145" s="5"/>
      <c r="B145" s="5" t="s">
        <v>166</v>
      </c>
      <c r="C145">
        <v>143</v>
      </c>
      <c r="D145">
        <v>0</v>
      </c>
      <c r="E145">
        <v>0.96016619999999997</v>
      </c>
    </row>
    <row r="146" spans="1:5" x14ac:dyDescent="0.25">
      <c r="A146" s="5"/>
      <c r="B146" s="5" t="s">
        <v>167</v>
      </c>
      <c r="C146">
        <v>144</v>
      </c>
      <c r="D146">
        <v>0</v>
      </c>
      <c r="E146">
        <v>0.96390403000000002</v>
      </c>
    </row>
    <row r="147" spans="1:5" x14ac:dyDescent="0.25">
      <c r="A147" s="5"/>
      <c r="B147" s="5" t="s">
        <v>168</v>
      </c>
      <c r="C147">
        <v>145</v>
      </c>
      <c r="D147">
        <v>0</v>
      </c>
      <c r="E147">
        <v>0.96762402999999997</v>
      </c>
    </row>
    <row r="148" spans="1:5" x14ac:dyDescent="0.25">
      <c r="A148" s="5"/>
      <c r="B148" s="5" t="s">
        <v>169</v>
      </c>
      <c r="C148">
        <v>146</v>
      </c>
      <c r="D148">
        <v>0</v>
      </c>
      <c r="E148">
        <v>0.97132589999999996</v>
      </c>
    </row>
    <row r="149" spans="1:5" x14ac:dyDescent="0.25">
      <c r="A149" s="5"/>
      <c r="B149" s="5" t="s">
        <v>170</v>
      </c>
      <c r="C149">
        <v>147</v>
      </c>
      <c r="D149">
        <v>0</v>
      </c>
      <c r="E149">
        <v>0.97500933000000001</v>
      </c>
    </row>
    <row r="150" spans="1:5" x14ac:dyDescent="0.25">
      <c r="A150" s="5"/>
      <c r="B150" s="5" t="s">
        <v>171</v>
      </c>
      <c r="C150">
        <v>148</v>
      </c>
      <c r="D150">
        <v>0</v>
      </c>
      <c r="E150">
        <v>0.97867400999999998</v>
      </c>
    </row>
    <row r="151" spans="1:5" x14ac:dyDescent="0.25">
      <c r="A151" s="5"/>
      <c r="B151" s="5" t="s">
        <v>172</v>
      </c>
      <c r="C151">
        <v>149</v>
      </c>
      <c r="D151">
        <v>0</v>
      </c>
      <c r="E151">
        <v>0.98231961999999995</v>
      </c>
    </row>
    <row r="152" spans="1:5" x14ac:dyDescent="0.25">
      <c r="A152" s="5"/>
      <c r="B152" s="5" t="s">
        <v>173</v>
      </c>
      <c r="C152">
        <v>150</v>
      </c>
      <c r="D152">
        <v>0</v>
      </c>
      <c r="E152">
        <v>0.98594585000000001</v>
      </c>
    </row>
    <row r="153" spans="1:5" x14ac:dyDescent="0.25">
      <c r="A153" s="5"/>
      <c r="B153" s="5" t="s">
        <v>174</v>
      </c>
      <c r="C153">
        <v>151</v>
      </c>
      <c r="D153">
        <v>0</v>
      </c>
      <c r="E153">
        <v>0.98955238999999995</v>
      </c>
    </row>
    <row r="154" spans="1:5" x14ac:dyDescent="0.25">
      <c r="A154" s="5"/>
      <c r="B154" s="5" t="s">
        <v>175</v>
      </c>
      <c r="C154">
        <v>152</v>
      </c>
      <c r="D154">
        <v>0</v>
      </c>
      <c r="E154">
        <v>0.99313892000000004</v>
      </c>
    </row>
    <row r="155" spans="1:5" x14ac:dyDescent="0.25">
      <c r="A155" s="5"/>
      <c r="B155" s="5" t="s">
        <v>176</v>
      </c>
      <c r="C155">
        <v>153</v>
      </c>
      <c r="D155">
        <v>0</v>
      </c>
      <c r="E155">
        <v>0.99670513999999999</v>
      </c>
    </row>
    <row r="156" spans="1:5" x14ac:dyDescent="0.25">
      <c r="A156" s="5"/>
      <c r="B156" s="5" t="s">
        <v>177</v>
      </c>
      <c r="C156">
        <v>154</v>
      </c>
      <c r="D156">
        <v>0</v>
      </c>
      <c r="E156">
        <v>1.00025074</v>
      </c>
    </row>
    <row r="157" spans="1:5" x14ac:dyDescent="0.25">
      <c r="A157" s="5"/>
      <c r="B157" s="5" t="s">
        <v>178</v>
      </c>
      <c r="C157">
        <v>155</v>
      </c>
      <c r="D157">
        <v>0</v>
      </c>
      <c r="E157">
        <v>1.0037753899999999</v>
      </c>
    </row>
    <row r="158" spans="1:5" x14ac:dyDescent="0.25">
      <c r="A158" s="5"/>
      <c r="B158" s="5" t="s">
        <v>179</v>
      </c>
      <c r="C158">
        <v>156</v>
      </c>
      <c r="D158">
        <v>0</v>
      </c>
      <c r="E158">
        <v>1.00727879</v>
      </c>
    </row>
    <row r="159" spans="1:5" x14ac:dyDescent="0.25">
      <c r="A159" s="5"/>
      <c r="B159" s="5" t="s">
        <v>180</v>
      </c>
      <c r="C159">
        <v>157</v>
      </c>
      <c r="D159">
        <v>0</v>
      </c>
      <c r="E159">
        <v>1.01076063</v>
      </c>
    </row>
    <row r="160" spans="1:5" x14ac:dyDescent="0.25">
      <c r="A160" s="5"/>
      <c r="B160" s="5" t="s">
        <v>181</v>
      </c>
      <c r="C160">
        <v>158</v>
      </c>
      <c r="D160">
        <v>0</v>
      </c>
      <c r="E160">
        <v>1.0142205900000001</v>
      </c>
    </row>
    <row r="161" spans="1:5" x14ac:dyDescent="0.25">
      <c r="A161" s="5"/>
      <c r="B161" s="5" t="s">
        <v>182</v>
      </c>
      <c r="C161">
        <v>159</v>
      </c>
      <c r="D161">
        <v>0</v>
      </c>
      <c r="E161">
        <v>1.0176583699999999</v>
      </c>
    </row>
    <row r="162" spans="1:5" x14ac:dyDescent="0.25">
      <c r="A162" s="5"/>
      <c r="B162" s="5" t="s">
        <v>183</v>
      </c>
      <c r="C162">
        <v>160</v>
      </c>
      <c r="D162">
        <v>0</v>
      </c>
      <c r="E162">
        <v>1.0210736499999999</v>
      </c>
    </row>
    <row r="163" spans="1:5" x14ac:dyDescent="0.25">
      <c r="A163" s="5"/>
      <c r="B163" s="5" t="s">
        <v>184</v>
      </c>
      <c r="C163">
        <v>161</v>
      </c>
      <c r="D163">
        <v>0</v>
      </c>
      <c r="E163">
        <v>1.02446612</v>
      </c>
    </row>
    <row r="164" spans="1:5" x14ac:dyDescent="0.25">
      <c r="A164" s="5"/>
      <c r="B164" s="5" t="s">
        <v>185</v>
      </c>
      <c r="C164">
        <v>162</v>
      </c>
      <c r="D164">
        <v>0</v>
      </c>
      <c r="E164">
        <v>1.0278354599999999</v>
      </c>
    </row>
    <row r="165" spans="1:5" x14ac:dyDescent="0.25">
      <c r="A165" s="5"/>
      <c r="B165" s="5" t="s">
        <v>186</v>
      </c>
      <c r="C165">
        <v>163</v>
      </c>
      <c r="D165">
        <v>0</v>
      </c>
      <c r="E165">
        <v>1.0311813700000001</v>
      </c>
    </row>
    <row r="166" spans="1:5" x14ac:dyDescent="0.25">
      <c r="A166" s="5"/>
      <c r="B166" s="5" t="s">
        <v>187</v>
      </c>
      <c r="C166">
        <v>164</v>
      </c>
      <c r="D166">
        <v>0</v>
      </c>
      <c r="E166">
        <v>1.03450354</v>
      </c>
    </row>
    <row r="167" spans="1:5" x14ac:dyDescent="0.25">
      <c r="A167" s="5"/>
      <c r="B167" s="5" t="s">
        <v>188</v>
      </c>
      <c r="C167">
        <v>165</v>
      </c>
      <c r="D167">
        <v>0</v>
      </c>
      <c r="E167">
        <v>1.0378016400000001</v>
      </c>
    </row>
    <row r="168" spans="1:5" x14ac:dyDescent="0.25">
      <c r="A168" s="5"/>
      <c r="B168" s="5" t="s">
        <v>189</v>
      </c>
      <c r="C168">
        <v>166</v>
      </c>
      <c r="D168">
        <v>0</v>
      </c>
      <c r="E168">
        <v>1.0410753800000001</v>
      </c>
    </row>
    <row r="169" spans="1:5" x14ac:dyDescent="0.25">
      <c r="A169" s="5"/>
      <c r="B169" s="5" t="s">
        <v>190</v>
      </c>
      <c r="C169">
        <v>167</v>
      </c>
      <c r="D169">
        <v>0</v>
      </c>
      <c r="E169">
        <v>1.04432444</v>
      </c>
    </row>
    <row r="170" spans="1:5" x14ac:dyDescent="0.25">
      <c r="A170" s="5"/>
      <c r="B170" s="5" t="s">
        <v>191</v>
      </c>
      <c r="C170">
        <v>168</v>
      </c>
      <c r="D170">
        <v>0</v>
      </c>
      <c r="E170">
        <v>1.0475485</v>
      </c>
    </row>
    <row r="171" spans="1:5" x14ac:dyDescent="0.25">
      <c r="A171" s="5"/>
      <c r="B171" s="5" t="s">
        <v>192</v>
      </c>
      <c r="C171">
        <v>169</v>
      </c>
      <c r="D171">
        <v>0</v>
      </c>
      <c r="E171">
        <v>1.0507472600000001</v>
      </c>
    </row>
    <row r="172" spans="1:5" x14ac:dyDescent="0.25">
      <c r="A172" s="5"/>
      <c r="B172" s="5" t="s">
        <v>193</v>
      </c>
      <c r="C172">
        <v>170</v>
      </c>
      <c r="D172">
        <v>0</v>
      </c>
      <c r="E172">
        <v>1.0539204</v>
      </c>
    </row>
    <row r="173" spans="1:5" x14ac:dyDescent="0.25">
      <c r="A173" s="5"/>
      <c r="B173" s="5" t="s">
        <v>194</v>
      </c>
      <c r="C173">
        <v>171</v>
      </c>
      <c r="D173">
        <v>0</v>
      </c>
      <c r="E173">
        <v>1.05706762</v>
      </c>
    </row>
    <row r="174" spans="1:5" x14ac:dyDescent="0.25">
      <c r="A174" s="5"/>
      <c r="B174" s="5" t="s">
        <v>195</v>
      </c>
      <c r="C174">
        <v>172</v>
      </c>
      <c r="D174">
        <v>0</v>
      </c>
      <c r="E174">
        <v>1.0601885900000001</v>
      </c>
    </row>
    <row r="175" spans="1:5" x14ac:dyDescent="0.25">
      <c r="A175" s="5"/>
      <c r="B175" s="5" t="s">
        <v>196</v>
      </c>
      <c r="C175">
        <v>173</v>
      </c>
      <c r="D175">
        <v>0</v>
      </c>
      <c r="E175">
        <v>1.0632830099999999</v>
      </c>
    </row>
    <row r="176" spans="1:5" x14ac:dyDescent="0.25">
      <c r="A176" s="5"/>
      <c r="B176" s="5" t="s">
        <v>197</v>
      </c>
      <c r="C176">
        <v>174</v>
      </c>
      <c r="D176">
        <v>0</v>
      </c>
      <c r="E176">
        <v>1.0663505799999999</v>
      </c>
    </row>
    <row r="177" spans="1:5" x14ac:dyDescent="0.25">
      <c r="A177" s="5"/>
      <c r="B177" s="5" t="s">
        <v>198</v>
      </c>
      <c r="C177">
        <v>175</v>
      </c>
      <c r="D177">
        <v>0</v>
      </c>
      <c r="E177">
        <v>1.06939096</v>
      </c>
    </row>
    <row r="178" spans="1:5" x14ac:dyDescent="0.25">
      <c r="A178" s="5"/>
      <c r="B178" s="5" t="s">
        <v>199</v>
      </c>
      <c r="C178">
        <v>176</v>
      </c>
      <c r="D178">
        <v>0</v>
      </c>
      <c r="E178">
        <v>1.07240387</v>
      </c>
    </row>
    <row r="179" spans="1:5" x14ac:dyDescent="0.25">
      <c r="A179" s="5"/>
      <c r="B179" s="5" t="s">
        <v>200</v>
      </c>
      <c r="C179">
        <v>177</v>
      </c>
      <c r="D179">
        <v>0</v>
      </c>
      <c r="E179">
        <v>1.0753889700000001</v>
      </c>
    </row>
    <row r="180" spans="1:5" x14ac:dyDescent="0.25">
      <c r="A180" s="5"/>
      <c r="B180" s="5" t="s">
        <v>201</v>
      </c>
      <c r="C180">
        <v>178</v>
      </c>
      <c r="D180">
        <v>0</v>
      </c>
      <c r="E180">
        <v>1.07834597</v>
      </c>
    </row>
    <row r="181" spans="1:5" x14ac:dyDescent="0.25">
      <c r="A181" s="5"/>
      <c r="B181" s="5" t="s">
        <v>202</v>
      </c>
      <c r="C181">
        <v>179</v>
      </c>
      <c r="D181">
        <v>0</v>
      </c>
      <c r="E181">
        <v>1.0812745399999999</v>
      </c>
    </row>
    <row r="182" spans="1:5" x14ac:dyDescent="0.25">
      <c r="A182" s="5"/>
      <c r="B182" s="5" t="s">
        <v>203</v>
      </c>
      <c r="C182">
        <v>180</v>
      </c>
      <c r="D182">
        <v>0</v>
      </c>
      <c r="E182">
        <v>1.08417439</v>
      </c>
    </row>
    <row r="183" spans="1:5" x14ac:dyDescent="0.25">
      <c r="A183" s="5"/>
      <c r="B183" s="5" t="s">
        <v>204</v>
      </c>
      <c r="C183">
        <v>181</v>
      </c>
      <c r="D183">
        <v>0</v>
      </c>
      <c r="E183">
        <v>1.0869430200000001</v>
      </c>
    </row>
    <row r="184" spans="1:5" x14ac:dyDescent="0.25">
      <c r="A184" s="5"/>
      <c r="B184" s="5" t="s">
        <v>205</v>
      </c>
      <c r="C184">
        <v>182</v>
      </c>
      <c r="D184">
        <v>0</v>
      </c>
      <c r="E184">
        <v>1.0894883500000001</v>
      </c>
    </row>
    <row r="185" spans="1:5" x14ac:dyDescent="0.25">
      <c r="A185" s="5"/>
      <c r="B185" s="5" t="s">
        <v>206</v>
      </c>
      <c r="C185">
        <v>183</v>
      </c>
      <c r="D185">
        <v>0</v>
      </c>
      <c r="E185">
        <v>1.0918256200000001</v>
      </c>
    </row>
    <row r="186" spans="1:5" x14ac:dyDescent="0.25">
      <c r="A186" s="5"/>
      <c r="B186" s="5" t="s">
        <v>207</v>
      </c>
      <c r="C186">
        <v>184</v>
      </c>
      <c r="D186">
        <v>0</v>
      </c>
      <c r="E186">
        <v>1.09397009</v>
      </c>
    </row>
    <row r="187" spans="1:5" x14ac:dyDescent="0.25">
      <c r="A187" s="5"/>
      <c r="B187" s="5" t="s">
        <v>208</v>
      </c>
      <c r="C187">
        <v>185</v>
      </c>
      <c r="D187">
        <v>0</v>
      </c>
      <c r="E187">
        <v>1.09593702</v>
      </c>
    </row>
    <row r="188" spans="1:5" x14ac:dyDescent="0.25">
      <c r="A188" s="5"/>
      <c r="B188" s="5" t="s">
        <v>209</v>
      </c>
      <c r="C188">
        <v>186</v>
      </c>
      <c r="D188">
        <v>0</v>
      </c>
      <c r="E188">
        <v>1.0977416600000001</v>
      </c>
    </row>
    <row r="189" spans="1:5" x14ac:dyDescent="0.25">
      <c r="A189" s="5"/>
      <c r="B189" s="5" t="s">
        <v>210</v>
      </c>
      <c r="C189">
        <v>187</v>
      </c>
      <c r="D189">
        <v>0</v>
      </c>
      <c r="E189">
        <v>1.0993992400000001</v>
      </c>
    </row>
    <row r="190" spans="1:5" x14ac:dyDescent="0.25">
      <c r="A190" s="5"/>
      <c r="B190" s="5" t="s">
        <v>211</v>
      </c>
      <c r="C190">
        <v>188</v>
      </c>
      <c r="D190">
        <v>0</v>
      </c>
      <c r="E190">
        <v>1.10092503</v>
      </c>
    </row>
    <row r="191" spans="1:5" x14ac:dyDescent="0.25">
      <c r="A191" s="5"/>
      <c r="B191" s="5" t="s">
        <v>212</v>
      </c>
      <c r="C191">
        <v>189</v>
      </c>
      <c r="D191">
        <v>0</v>
      </c>
      <c r="E191">
        <v>1.1023342599999999</v>
      </c>
    </row>
    <row r="192" spans="1:5" x14ac:dyDescent="0.25">
      <c r="A192" s="5"/>
      <c r="B192" s="5" t="s">
        <v>213</v>
      </c>
      <c r="C192">
        <v>190</v>
      </c>
      <c r="D192">
        <v>0</v>
      </c>
      <c r="E192">
        <v>1.10364218</v>
      </c>
    </row>
    <row r="193" spans="1:5" x14ac:dyDescent="0.25">
      <c r="A193" s="5"/>
      <c r="B193" s="5" t="s">
        <v>214</v>
      </c>
      <c r="C193">
        <v>191</v>
      </c>
      <c r="D193">
        <v>0</v>
      </c>
      <c r="E193">
        <v>1.1048640300000001</v>
      </c>
    </row>
    <row r="194" spans="1:5" x14ac:dyDescent="0.25">
      <c r="A194" s="5"/>
      <c r="B194" s="5" t="s">
        <v>215</v>
      </c>
      <c r="C194">
        <v>192</v>
      </c>
      <c r="D194">
        <v>0</v>
      </c>
      <c r="E194">
        <v>1.10601506</v>
      </c>
    </row>
    <row r="195" spans="1:5" x14ac:dyDescent="0.25">
      <c r="A195" s="5"/>
      <c r="B195" s="5" t="s">
        <v>216</v>
      </c>
      <c r="C195">
        <v>193</v>
      </c>
      <c r="D195">
        <v>0</v>
      </c>
      <c r="E195">
        <v>1.1071105000000001</v>
      </c>
    </row>
    <row r="196" spans="1:5" x14ac:dyDescent="0.25">
      <c r="A196" s="5"/>
      <c r="B196" s="5" t="s">
        <v>217</v>
      </c>
      <c r="C196">
        <v>194</v>
      </c>
      <c r="D196">
        <v>0</v>
      </c>
      <c r="E196">
        <v>1.1081656</v>
      </c>
    </row>
    <row r="197" spans="1:5" x14ac:dyDescent="0.25">
      <c r="A197" s="5"/>
      <c r="B197" s="5" t="s">
        <v>218</v>
      </c>
      <c r="C197">
        <v>195</v>
      </c>
      <c r="D197">
        <v>0</v>
      </c>
      <c r="E197">
        <v>1.1091955899999999</v>
      </c>
    </row>
    <row r="198" spans="1:5" x14ac:dyDescent="0.25">
      <c r="A198" s="5"/>
      <c r="B198" s="5" t="s">
        <v>219</v>
      </c>
      <c r="C198">
        <v>196</v>
      </c>
      <c r="D198">
        <v>0</v>
      </c>
      <c r="E198">
        <v>1.11021572</v>
      </c>
    </row>
    <row r="199" spans="1:5" x14ac:dyDescent="0.25">
      <c r="A199" s="5"/>
      <c r="B199" s="5" t="s">
        <v>220</v>
      </c>
      <c r="C199">
        <v>197</v>
      </c>
      <c r="D199">
        <v>0</v>
      </c>
      <c r="E199">
        <v>1.1112412199999999</v>
      </c>
    </row>
    <row r="200" spans="1:5" x14ac:dyDescent="0.25">
      <c r="A200" s="5"/>
      <c r="B200" s="5" t="s">
        <v>221</v>
      </c>
      <c r="C200">
        <v>198</v>
      </c>
      <c r="D200">
        <v>0</v>
      </c>
      <c r="E200">
        <v>1.11228734</v>
      </c>
    </row>
    <row r="201" spans="1:5" x14ac:dyDescent="0.25">
      <c r="A201" s="5"/>
      <c r="B201" s="5" t="s">
        <v>222</v>
      </c>
      <c r="C201">
        <v>199</v>
      </c>
      <c r="D201">
        <v>0</v>
      </c>
      <c r="E201">
        <v>1.1133693099999999</v>
      </c>
    </row>
    <row r="202" spans="1:5" x14ac:dyDescent="0.25">
      <c r="A202" s="5"/>
      <c r="B202" s="5" t="s">
        <v>223</v>
      </c>
      <c r="C202">
        <v>200</v>
      </c>
      <c r="D202">
        <v>0</v>
      </c>
      <c r="E202">
        <v>1.1145023599999999</v>
      </c>
    </row>
    <row r="203" spans="1:5" x14ac:dyDescent="0.25">
      <c r="A203" s="5"/>
      <c r="B203" s="5" t="s">
        <v>224</v>
      </c>
      <c r="C203">
        <v>201</v>
      </c>
      <c r="D203">
        <v>0</v>
      </c>
      <c r="E203">
        <v>1.11570174</v>
      </c>
    </row>
    <row r="204" spans="1:5" x14ac:dyDescent="0.25">
      <c r="A204" s="5"/>
      <c r="B204" s="5" t="s">
        <v>225</v>
      </c>
      <c r="C204">
        <v>202</v>
      </c>
      <c r="D204">
        <v>0</v>
      </c>
      <c r="E204">
        <v>1.11698268</v>
      </c>
    </row>
    <row r="205" spans="1:5" x14ac:dyDescent="0.25">
      <c r="A205" s="5"/>
      <c r="B205" s="5" t="s">
        <v>226</v>
      </c>
      <c r="C205">
        <v>203</v>
      </c>
      <c r="D205">
        <v>0</v>
      </c>
      <c r="E205">
        <v>1.11836041</v>
      </c>
    </row>
    <row r="206" spans="1:5" x14ac:dyDescent="0.25">
      <c r="A206" s="5"/>
      <c r="B206" s="5" t="s">
        <v>227</v>
      </c>
      <c r="C206">
        <v>204</v>
      </c>
      <c r="D206">
        <v>0</v>
      </c>
      <c r="E206">
        <v>1.1198501599999999</v>
      </c>
    </row>
    <row r="207" spans="1:5" x14ac:dyDescent="0.25">
      <c r="A207" s="5"/>
      <c r="B207" s="5" t="s">
        <v>228</v>
      </c>
      <c r="C207">
        <v>205</v>
      </c>
      <c r="D207">
        <v>0</v>
      </c>
      <c r="E207">
        <v>1.12146718</v>
      </c>
    </row>
    <row r="208" spans="1:5" x14ac:dyDescent="0.25">
      <c r="A208" s="5"/>
      <c r="B208" s="5" t="s">
        <v>229</v>
      </c>
      <c r="C208">
        <v>206</v>
      </c>
      <c r="D208">
        <v>0</v>
      </c>
      <c r="E208">
        <v>1.1232266900000001</v>
      </c>
    </row>
    <row r="209" spans="1:5" x14ac:dyDescent="0.25">
      <c r="A209" s="5"/>
      <c r="B209" s="5" t="s">
        <v>230</v>
      </c>
      <c r="C209">
        <v>207</v>
      </c>
      <c r="D209">
        <v>0</v>
      </c>
      <c r="E209">
        <v>1.12514391</v>
      </c>
    </row>
    <row r="210" spans="1:5" x14ac:dyDescent="0.25">
      <c r="A210" s="5"/>
      <c r="B210" s="5" t="s">
        <v>231</v>
      </c>
      <c r="C210">
        <v>208</v>
      </c>
      <c r="D210">
        <v>0</v>
      </c>
      <c r="E210">
        <v>1.12723409</v>
      </c>
    </row>
    <row r="211" spans="1:5" x14ac:dyDescent="0.25">
      <c r="A211" s="5"/>
      <c r="B211" s="5" t="s">
        <v>232</v>
      </c>
      <c r="C211">
        <v>209</v>
      </c>
      <c r="D211">
        <v>0</v>
      </c>
      <c r="E211">
        <v>1.1295124400000001</v>
      </c>
    </row>
    <row r="212" spans="1:5" x14ac:dyDescent="0.25">
      <c r="A212" s="5"/>
      <c r="B212" s="5" t="s">
        <v>233</v>
      </c>
      <c r="C212">
        <v>210</v>
      </c>
      <c r="D212">
        <v>0</v>
      </c>
      <c r="E212">
        <v>1.13199418</v>
      </c>
    </row>
    <row r="213" spans="1:5" x14ac:dyDescent="0.25">
      <c r="A213" s="5"/>
      <c r="B213" s="5" t="s">
        <v>234</v>
      </c>
      <c r="C213">
        <v>211</v>
      </c>
      <c r="D213">
        <v>0</v>
      </c>
      <c r="E213">
        <v>1.1346945500000001</v>
      </c>
    </row>
    <row r="214" spans="1:5" x14ac:dyDescent="0.25">
      <c r="A214" s="5"/>
      <c r="B214" s="5" t="s">
        <v>235</v>
      </c>
      <c r="C214">
        <v>212</v>
      </c>
      <c r="D214">
        <v>0</v>
      </c>
      <c r="E214">
        <v>1.13762875</v>
      </c>
    </row>
    <row r="215" spans="1:5" x14ac:dyDescent="0.25">
      <c r="A215" s="5"/>
      <c r="B215" s="5" t="s">
        <v>236</v>
      </c>
      <c r="C215">
        <v>213</v>
      </c>
      <c r="D215">
        <v>0</v>
      </c>
      <c r="E215">
        <v>1.1408119999999999</v>
      </c>
    </row>
    <row r="216" spans="1:5" x14ac:dyDescent="0.25">
      <c r="A216" s="5"/>
      <c r="B216" s="5" t="s">
        <v>237</v>
      </c>
      <c r="C216">
        <v>214</v>
      </c>
      <c r="D216">
        <v>0</v>
      </c>
      <c r="E216">
        <v>1.1442595200000001</v>
      </c>
    </row>
    <row r="217" spans="1:5" x14ac:dyDescent="0.25">
      <c r="A217" s="5"/>
      <c r="B217" s="5" t="s">
        <v>238</v>
      </c>
      <c r="C217">
        <v>215</v>
      </c>
      <c r="D217">
        <v>0</v>
      </c>
      <c r="E217">
        <v>1.14798651</v>
      </c>
    </row>
    <row r="218" spans="1:5" x14ac:dyDescent="0.25">
      <c r="A218" s="5"/>
      <c r="B218" s="5" t="s">
        <v>239</v>
      </c>
      <c r="C218">
        <v>216</v>
      </c>
      <c r="D218">
        <v>0</v>
      </c>
      <c r="E218">
        <v>1.1520081799999999</v>
      </c>
    </row>
    <row r="219" spans="1:5" x14ac:dyDescent="0.25">
      <c r="A219" s="5"/>
      <c r="B219" s="5" t="s">
        <v>240</v>
      </c>
      <c r="C219">
        <v>217</v>
      </c>
      <c r="D219">
        <v>0</v>
      </c>
      <c r="E219">
        <v>1.1563721600000001</v>
      </c>
    </row>
    <row r="220" spans="1:5" x14ac:dyDescent="0.25">
      <c r="A220" s="5"/>
      <c r="B220" s="5" t="s">
        <v>241</v>
      </c>
      <c r="C220">
        <v>218</v>
      </c>
      <c r="D220">
        <v>0</v>
      </c>
      <c r="E220">
        <v>1.1610994800000001</v>
      </c>
    </row>
    <row r="221" spans="1:5" x14ac:dyDescent="0.25">
      <c r="A221" s="5"/>
      <c r="B221" s="5" t="s">
        <v>242</v>
      </c>
      <c r="C221">
        <v>219</v>
      </c>
      <c r="D221">
        <v>0</v>
      </c>
      <c r="E221">
        <v>1.1661654299999999</v>
      </c>
    </row>
    <row r="222" spans="1:5" x14ac:dyDescent="0.25">
      <c r="A222" s="5"/>
      <c r="B222" s="5" t="s">
        <v>243</v>
      </c>
      <c r="C222">
        <v>220</v>
      </c>
      <c r="D222">
        <v>0</v>
      </c>
      <c r="E222">
        <v>1.1715453</v>
      </c>
    </row>
    <row r="223" spans="1:5" x14ac:dyDescent="0.25">
      <c r="A223" s="5"/>
      <c r="B223" s="5" t="s">
        <v>244</v>
      </c>
      <c r="C223">
        <v>221</v>
      </c>
      <c r="D223">
        <v>0</v>
      </c>
      <c r="E223">
        <v>1.17721437</v>
      </c>
    </row>
    <row r="224" spans="1:5" x14ac:dyDescent="0.25">
      <c r="A224" s="5"/>
      <c r="B224" s="5" t="s">
        <v>245</v>
      </c>
      <c r="C224">
        <v>222</v>
      </c>
      <c r="D224">
        <v>0</v>
      </c>
      <c r="E224">
        <v>1.18314794</v>
      </c>
    </row>
    <row r="225" spans="1:5" x14ac:dyDescent="0.25">
      <c r="A225" s="5"/>
      <c r="B225" s="5" t="s">
        <v>246</v>
      </c>
      <c r="C225">
        <v>223</v>
      </c>
      <c r="D225">
        <v>0</v>
      </c>
      <c r="E225">
        <v>1.1893213</v>
      </c>
    </row>
    <row r="226" spans="1:5" x14ac:dyDescent="0.25">
      <c r="A226" s="5"/>
      <c r="B226" s="5" t="s">
        <v>247</v>
      </c>
      <c r="C226">
        <v>224</v>
      </c>
      <c r="D226">
        <v>0</v>
      </c>
      <c r="E226">
        <v>1.19570976</v>
      </c>
    </row>
    <row r="227" spans="1:5" x14ac:dyDescent="0.25">
      <c r="A227" s="5"/>
      <c r="B227" s="5" t="s">
        <v>248</v>
      </c>
      <c r="C227">
        <v>225</v>
      </c>
      <c r="D227">
        <v>0</v>
      </c>
      <c r="E227">
        <v>1.20228862</v>
      </c>
    </row>
    <row r="228" spans="1:5" x14ac:dyDescent="0.25">
      <c r="A228" s="5"/>
      <c r="B228" s="5" t="s">
        <v>249</v>
      </c>
      <c r="C228">
        <v>226</v>
      </c>
      <c r="D228">
        <v>0</v>
      </c>
      <c r="E228">
        <v>1.20903318</v>
      </c>
    </row>
    <row r="229" spans="1:5" x14ac:dyDescent="0.25">
      <c r="A229" s="5"/>
      <c r="B229" s="5" t="s">
        <v>250</v>
      </c>
      <c r="C229">
        <v>227</v>
      </c>
      <c r="D229">
        <v>0</v>
      </c>
      <c r="E229">
        <v>1.21591877</v>
      </c>
    </row>
    <row r="230" spans="1:5" x14ac:dyDescent="0.25">
      <c r="A230" s="5"/>
      <c r="B230" s="5" t="s">
        <v>251</v>
      </c>
      <c r="C230">
        <v>228</v>
      </c>
      <c r="D230">
        <v>0</v>
      </c>
      <c r="E230">
        <v>1.2229207</v>
      </c>
    </row>
    <row r="231" spans="1:5" x14ac:dyDescent="0.25">
      <c r="A231" s="5"/>
      <c r="B231" s="5" t="s">
        <v>252</v>
      </c>
      <c r="C231">
        <v>229</v>
      </c>
      <c r="D231">
        <v>0</v>
      </c>
      <c r="E231">
        <v>1.2300142999999999</v>
      </c>
    </row>
    <row r="232" spans="1:5" x14ac:dyDescent="0.25">
      <c r="A232" s="5"/>
      <c r="B232" s="5" t="s">
        <v>253</v>
      </c>
      <c r="C232">
        <v>230</v>
      </c>
      <c r="D232">
        <v>0</v>
      </c>
      <c r="E232">
        <v>1.2371748899999999</v>
      </c>
    </row>
    <row r="233" spans="1:5" x14ac:dyDescent="0.25">
      <c r="A233" s="5"/>
      <c r="B233" s="5" t="s">
        <v>254</v>
      </c>
      <c r="C233">
        <v>231</v>
      </c>
      <c r="D233">
        <v>0</v>
      </c>
      <c r="E233">
        <v>1.2443778299999999</v>
      </c>
    </row>
    <row r="234" spans="1:5" x14ac:dyDescent="0.25">
      <c r="A234" s="5"/>
      <c r="B234" s="5" t="s">
        <v>255</v>
      </c>
      <c r="C234">
        <v>232</v>
      </c>
      <c r="D234">
        <v>0</v>
      </c>
      <c r="E234">
        <v>1.2515984600000001</v>
      </c>
    </row>
    <row r="235" spans="1:5" x14ac:dyDescent="0.25">
      <c r="A235" s="5"/>
      <c r="B235" s="5" t="s">
        <v>256</v>
      </c>
      <c r="C235">
        <v>233</v>
      </c>
      <c r="D235">
        <v>0</v>
      </c>
      <c r="E235">
        <v>1.25881212</v>
      </c>
    </row>
    <row r="236" spans="1:5" x14ac:dyDescent="0.25">
      <c r="A236" s="5"/>
      <c r="B236" s="5" t="s">
        <v>257</v>
      </c>
      <c r="C236">
        <v>234</v>
      </c>
      <c r="D236">
        <v>0</v>
      </c>
      <c r="E236">
        <v>1.2659941699999999</v>
      </c>
    </row>
    <row r="237" spans="1:5" x14ac:dyDescent="0.25">
      <c r="A237" s="5"/>
      <c r="B237" s="5" t="s">
        <v>258</v>
      </c>
      <c r="C237">
        <v>235</v>
      </c>
      <c r="D237">
        <v>0</v>
      </c>
      <c r="E237">
        <v>1.2731199900000001</v>
      </c>
    </row>
    <row r="238" spans="1:5" x14ac:dyDescent="0.25">
      <c r="A238" s="5"/>
      <c r="B238" s="5" t="s">
        <v>259</v>
      </c>
      <c r="C238">
        <v>236</v>
      </c>
      <c r="D238">
        <v>0</v>
      </c>
      <c r="E238">
        <v>1.2801649399999999</v>
      </c>
    </row>
    <row r="239" spans="1:5" x14ac:dyDescent="0.25">
      <c r="A239" s="5"/>
      <c r="B239" s="5" t="s">
        <v>260</v>
      </c>
      <c r="C239">
        <v>237</v>
      </c>
      <c r="D239">
        <v>0</v>
      </c>
      <c r="E239">
        <v>1.2871044</v>
      </c>
    </row>
    <row r="240" spans="1:5" x14ac:dyDescent="0.25">
      <c r="A240" s="5"/>
      <c r="B240" s="5" t="s">
        <v>261</v>
      </c>
      <c r="C240">
        <v>238</v>
      </c>
      <c r="D240">
        <v>0</v>
      </c>
      <c r="E240">
        <v>1.29391375</v>
      </c>
    </row>
    <row r="241" spans="1:5" x14ac:dyDescent="0.25">
      <c r="A241" s="5"/>
      <c r="B241" s="5" t="s">
        <v>262</v>
      </c>
      <c r="C241">
        <v>239</v>
      </c>
      <c r="D241">
        <v>0</v>
      </c>
      <c r="E241">
        <v>1.3005683800000001</v>
      </c>
    </row>
    <row r="242" spans="1:5" x14ac:dyDescent="0.25">
      <c r="A242" s="5"/>
      <c r="B242" s="5" t="s">
        <v>263</v>
      </c>
      <c r="C242">
        <v>240</v>
      </c>
      <c r="D242">
        <v>0</v>
      </c>
      <c r="E242">
        <v>1.3070436999999999</v>
      </c>
    </row>
    <row r="243" spans="1:5" x14ac:dyDescent="0.25">
      <c r="A243" s="5"/>
      <c r="B243" s="5" t="s">
        <v>264</v>
      </c>
      <c r="C243">
        <v>241</v>
      </c>
      <c r="D243">
        <v>0</v>
      </c>
      <c r="E243">
        <v>1.3129854400000001</v>
      </c>
    </row>
    <row r="244" spans="1:5" x14ac:dyDescent="0.25">
      <c r="A244" s="5"/>
      <c r="B244" s="5" t="s">
        <v>265</v>
      </c>
      <c r="C244">
        <v>242</v>
      </c>
      <c r="D244">
        <v>0</v>
      </c>
      <c r="E244">
        <v>1.3181310500000001</v>
      </c>
    </row>
    <row r="245" spans="1:5" x14ac:dyDescent="0.25">
      <c r="A245" s="5"/>
      <c r="B245" s="5" t="s">
        <v>266</v>
      </c>
      <c r="C245">
        <v>243</v>
      </c>
      <c r="D245">
        <v>0</v>
      </c>
      <c r="E245">
        <v>1.3225933999999999</v>
      </c>
    </row>
    <row r="246" spans="1:5" x14ac:dyDescent="0.25">
      <c r="A246" s="5"/>
      <c r="B246" s="5" t="s">
        <v>267</v>
      </c>
      <c r="C246">
        <v>244</v>
      </c>
      <c r="D246">
        <v>0</v>
      </c>
      <c r="E246">
        <v>1.32648531</v>
      </c>
    </row>
    <row r="247" spans="1:5" x14ac:dyDescent="0.25">
      <c r="A247" s="5"/>
      <c r="B247" s="5" t="s">
        <v>268</v>
      </c>
      <c r="C247">
        <v>245</v>
      </c>
      <c r="D247">
        <v>0</v>
      </c>
      <c r="E247">
        <v>1.3299196099999999</v>
      </c>
    </row>
    <row r="248" spans="1:5" x14ac:dyDescent="0.25">
      <c r="A248" s="5"/>
      <c r="B248" s="5" t="s">
        <v>269</v>
      </c>
      <c r="C248">
        <v>246</v>
      </c>
      <c r="D248">
        <v>0</v>
      </c>
      <c r="E248">
        <v>1.33300909</v>
      </c>
    </row>
    <row r="249" spans="1:5" x14ac:dyDescent="0.25">
      <c r="A249" s="5"/>
      <c r="B249" s="5" t="s">
        <v>270</v>
      </c>
      <c r="C249">
        <v>247</v>
      </c>
      <c r="D249">
        <v>0</v>
      </c>
      <c r="E249">
        <v>1.33586651</v>
      </c>
    </row>
    <row r="250" spans="1:5" x14ac:dyDescent="0.25">
      <c r="A250" s="5"/>
      <c r="B250" s="5" t="s">
        <v>271</v>
      </c>
      <c r="C250">
        <v>248</v>
      </c>
      <c r="D250">
        <v>0</v>
      </c>
      <c r="E250">
        <v>1.33860464</v>
      </c>
    </row>
    <row r="251" spans="1:5" x14ac:dyDescent="0.25">
      <c r="A251" s="5"/>
      <c r="B251" s="5" t="s">
        <v>272</v>
      </c>
      <c r="C251">
        <v>249</v>
      </c>
      <c r="D251">
        <v>0</v>
      </c>
      <c r="E251">
        <v>1.34133623</v>
      </c>
    </row>
    <row r="252" spans="1:5" x14ac:dyDescent="0.25">
      <c r="A252" s="5"/>
      <c r="B252" s="5" t="s">
        <v>273</v>
      </c>
      <c r="C252">
        <v>250</v>
      </c>
      <c r="D252">
        <v>0</v>
      </c>
      <c r="E252">
        <v>1.3441740099999999</v>
      </c>
    </row>
    <row r="253" spans="1:5" x14ac:dyDescent="0.25">
      <c r="A253" s="5"/>
      <c r="B253" s="5" t="s">
        <v>274</v>
      </c>
      <c r="C253">
        <v>251</v>
      </c>
      <c r="D253">
        <v>0</v>
      </c>
      <c r="E253">
        <v>1.3472307100000001</v>
      </c>
    </row>
    <row r="254" spans="1:5" x14ac:dyDescent="0.25">
      <c r="A254" s="5"/>
      <c r="B254" s="5" t="s">
        <v>275</v>
      </c>
      <c r="C254">
        <v>252</v>
      </c>
      <c r="D254">
        <v>0</v>
      </c>
      <c r="E254">
        <v>1.3506190300000001</v>
      </c>
    </row>
    <row r="255" spans="1:5" x14ac:dyDescent="0.25">
      <c r="A255" s="5"/>
      <c r="B255" s="5" t="s">
        <v>276</v>
      </c>
      <c r="C255">
        <v>253</v>
      </c>
      <c r="D255">
        <v>0</v>
      </c>
      <c r="E255">
        <v>1.35445167</v>
      </c>
    </row>
    <row r="256" spans="1:5" x14ac:dyDescent="0.25">
      <c r="A256" s="5"/>
      <c r="B256" s="5" t="s">
        <v>277</v>
      </c>
      <c r="C256">
        <v>254</v>
      </c>
      <c r="D256">
        <v>0</v>
      </c>
      <c r="E256">
        <v>1.3588412999999999</v>
      </c>
    </row>
    <row r="257" spans="1:5" x14ac:dyDescent="0.25">
      <c r="A257" s="5"/>
      <c r="B257" s="5" t="s">
        <v>278</v>
      </c>
      <c r="C257">
        <v>255</v>
      </c>
      <c r="D257">
        <v>0</v>
      </c>
      <c r="E257">
        <v>1.36390057</v>
      </c>
    </row>
    <row r="258" spans="1:5" x14ac:dyDescent="0.25">
      <c r="A258" s="5"/>
      <c r="B258" s="5" t="s">
        <v>279</v>
      </c>
      <c r="C258">
        <v>256</v>
      </c>
      <c r="D258">
        <v>0</v>
      </c>
      <c r="E258">
        <v>1.3697421000000001</v>
      </c>
    </row>
    <row r="259" spans="1:5" x14ac:dyDescent="0.25">
      <c r="A259" s="5"/>
      <c r="B259" s="5" t="s">
        <v>280</v>
      </c>
      <c r="C259">
        <v>257</v>
      </c>
      <c r="D259">
        <v>0</v>
      </c>
      <c r="E259">
        <v>1.37647845</v>
      </c>
    </row>
    <row r="260" spans="1:5" x14ac:dyDescent="0.25">
      <c r="A260" s="5"/>
      <c r="B260" s="5" t="s">
        <v>281</v>
      </c>
      <c r="C260">
        <v>258</v>
      </c>
      <c r="D260">
        <v>0</v>
      </c>
      <c r="E260">
        <v>1.38422215</v>
      </c>
    </row>
    <row r="261" spans="1:5" x14ac:dyDescent="0.25">
      <c r="A261" s="5"/>
      <c r="B261" s="5" t="s">
        <v>282</v>
      </c>
      <c r="C261">
        <v>259</v>
      </c>
      <c r="D261">
        <v>0</v>
      </c>
      <c r="E261">
        <v>1.3930856700000001</v>
      </c>
    </row>
    <row r="262" spans="1:5" x14ac:dyDescent="0.25">
      <c r="A262" s="5"/>
      <c r="B262" s="5" t="s">
        <v>283</v>
      </c>
      <c r="C262">
        <v>260</v>
      </c>
      <c r="D262">
        <v>0</v>
      </c>
      <c r="E262">
        <v>1.40318141</v>
      </c>
    </row>
    <row r="263" spans="1:5" x14ac:dyDescent="0.25">
      <c r="A263" s="5"/>
      <c r="B263" s="5" t="s">
        <v>284</v>
      </c>
      <c r="C263">
        <v>261</v>
      </c>
      <c r="D263">
        <v>0</v>
      </c>
      <c r="E263">
        <v>1.4146216700000001</v>
      </c>
    </row>
    <row r="264" spans="1:5" x14ac:dyDescent="0.25">
      <c r="A264" s="5"/>
      <c r="B264" s="5" t="s">
        <v>285</v>
      </c>
      <c r="C264">
        <v>262</v>
      </c>
      <c r="D264">
        <v>0</v>
      </c>
      <c r="E264">
        <v>1.4275186900000001</v>
      </c>
    </row>
    <row r="265" spans="1:5" x14ac:dyDescent="0.25">
      <c r="A265" s="5"/>
      <c r="B265" s="5" t="s">
        <v>286</v>
      </c>
      <c r="C265">
        <v>263</v>
      </c>
      <c r="D265">
        <v>0</v>
      </c>
      <c r="E265">
        <v>1.4419845600000001</v>
      </c>
    </row>
    <row r="266" spans="1:5" x14ac:dyDescent="0.25">
      <c r="A266" s="5"/>
      <c r="B266" s="5" t="s">
        <v>287</v>
      </c>
      <c r="C266">
        <v>264</v>
      </c>
      <c r="D266">
        <v>0</v>
      </c>
      <c r="E266">
        <v>1.45813127</v>
      </c>
    </row>
    <row r="267" spans="1:5" x14ac:dyDescent="0.25">
      <c r="A267" s="5"/>
      <c r="B267" s="5" t="s">
        <v>288</v>
      </c>
      <c r="C267">
        <v>265</v>
      </c>
      <c r="D267">
        <v>0</v>
      </c>
      <c r="E267">
        <v>1.4752985999999999</v>
      </c>
    </row>
    <row r="268" spans="1:5" x14ac:dyDescent="0.25">
      <c r="A268" s="5"/>
      <c r="B268" s="5" t="s">
        <v>289</v>
      </c>
      <c r="C268">
        <v>266</v>
      </c>
      <c r="D268">
        <v>0</v>
      </c>
      <c r="E268">
        <v>1.4927519199999999</v>
      </c>
    </row>
    <row r="269" spans="1:5" x14ac:dyDescent="0.25">
      <c r="A269" s="5"/>
      <c r="B269" s="5" t="s">
        <v>290</v>
      </c>
      <c r="C269">
        <v>267</v>
      </c>
      <c r="D269">
        <v>0</v>
      </c>
      <c r="E269">
        <v>1.5104914899999999</v>
      </c>
    </row>
    <row r="270" spans="1:5" x14ac:dyDescent="0.25">
      <c r="A270" s="5"/>
      <c r="B270" s="5" t="s">
        <v>291</v>
      </c>
      <c r="C270">
        <v>268</v>
      </c>
      <c r="D270">
        <v>0</v>
      </c>
      <c r="E270">
        <v>1.5285175799999999</v>
      </c>
    </row>
    <row r="271" spans="1:5" x14ac:dyDescent="0.25">
      <c r="A271" s="5"/>
      <c r="B271" s="5" t="s">
        <v>292</v>
      </c>
      <c r="C271">
        <v>269</v>
      </c>
      <c r="D271">
        <v>0</v>
      </c>
      <c r="E271">
        <v>1.5468304399999999</v>
      </c>
    </row>
    <row r="272" spans="1:5" x14ac:dyDescent="0.25">
      <c r="A272" s="5"/>
      <c r="B272" s="5" t="s">
        <v>293</v>
      </c>
      <c r="C272">
        <v>270</v>
      </c>
      <c r="D272">
        <v>0</v>
      </c>
      <c r="E272">
        <v>1.5654303300000001</v>
      </c>
    </row>
    <row r="273" spans="1:5" x14ac:dyDescent="0.25">
      <c r="A273" s="5"/>
      <c r="B273" s="5" t="s">
        <v>294</v>
      </c>
      <c r="C273">
        <v>271</v>
      </c>
      <c r="D273">
        <v>0</v>
      </c>
      <c r="E273">
        <v>1.5843175199999999</v>
      </c>
    </row>
    <row r="274" spans="1:5" x14ac:dyDescent="0.25">
      <c r="A274" s="5"/>
      <c r="B274" s="5" t="s">
        <v>295</v>
      </c>
      <c r="C274">
        <v>272</v>
      </c>
      <c r="D274">
        <v>0</v>
      </c>
      <c r="E274">
        <v>1.60349224</v>
      </c>
    </row>
    <row r="275" spans="1:5" x14ac:dyDescent="0.25">
      <c r="A275" s="5"/>
      <c r="B275" s="5" t="s">
        <v>296</v>
      </c>
      <c r="C275">
        <v>273</v>
      </c>
      <c r="D275">
        <v>0</v>
      </c>
      <c r="E275">
        <v>1.6229547600000001</v>
      </c>
    </row>
    <row r="276" spans="1:5" x14ac:dyDescent="0.25">
      <c r="A276" s="5"/>
      <c r="B276" s="5" t="s">
        <v>297</v>
      </c>
      <c r="C276">
        <v>274</v>
      </c>
      <c r="D276">
        <v>0</v>
      </c>
      <c r="E276">
        <v>1.64270531</v>
      </c>
    </row>
    <row r="277" spans="1:5" x14ac:dyDescent="0.25">
      <c r="A277" s="5"/>
      <c r="B277" s="5" t="s">
        <v>298</v>
      </c>
      <c r="C277">
        <v>275</v>
      </c>
      <c r="D277">
        <v>0</v>
      </c>
      <c r="E277">
        <v>1.66274415</v>
      </c>
    </row>
    <row r="278" spans="1:5" x14ac:dyDescent="0.25">
      <c r="A278" s="5"/>
      <c r="B278" s="5" t="s">
        <v>299</v>
      </c>
      <c r="C278">
        <v>276</v>
      </c>
      <c r="D278">
        <v>0</v>
      </c>
      <c r="E278">
        <v>1.68307151</v>
      </c>
    </row>
    <row r="279" spans="1:5" x14ac:dyDescent="0.25">
      <c r="A279" s="5"/>
      <c r="B279" s="5" t="s">
        <v>300</v>
      </c>
      <c r="C279">
        <v>277</v>
      </c>
      <c r="D279">
        <v>0</v>
      </c>
      <c r="E279">
        <v>1.7036876299999999</v>
      </c>
    </row>
    <row r="280" spans="1:5" x14ac:dyDescent="0.25">
      <c r="A280" s="5"/>
      <c r="B280" s="5" t="s">
        <v>301</v>
      </c>
      <c r="C280">
        <v>278</v>
      </c>
      <c r="D280">
        <v>0</v>
      </c>
      <c r="E280">
        <v>1.72459275</v>
      </c>
    </row>
    <row r="281" spans="1:5" x14ac:dyDescent="0.25">
      <c r="A281" s="5"/>
      <c r="B281" s="5" t="s">
        <v>302</v>
      </c>
      <c r="C281">
        <v>279</v>
      </c>
      <c r="D281">
        <v>0</v>
      </c>
      <c r="E281">
        <v>1.74578711</v>
      </c>
    </row>
    <row r="282" spans="1:5" x14ac:dyDescent="0.25">
      <c r="A282" s="5"/>
      <c r="B282" s="5" t="s">
        <v>303</v>
      </c>
      <c r="C282">
        <v>280</v>
      </c>
      <c r="D282">
        <v>0</v>
      </c>
      <c r="E282">
        <v>1.76727094</v>
      </c>
    </row>
    <row r="283" spans="1:5" x14ac:dyDescent="0.25">
      <c r="A283" s="5"/>
      <c r="B283" s="5" t="s">
        <v>304</v>
      </c>
      <c r="C283">
        <v>281</v>
      </c>
      <c r="D283">
        <v>0</v>
      </c>
      <c r="E283">
        <v>1.78904445</v>
      </c>
    </row>
    <row r="284" spans="1:5" x14ac:dyDescent="0.25">
      <c r="A284" s="5"/>
      <c r="B284" s="5" t="s">
        <v>305</v>
      </c>
      <c r="C284">
        <v>282</v>
      </c>
      <c r="D284">
        <v>0</v>
      </c>
      <c r="E284">
        <v>1.8111078899999999</v>
      </c>
    </row>
    <row r="285" spans="1:5" x14ac:dyDescent="0.25">
      <c r="A285" s="5"/>
      <c r="B285" s="5" t="s">
        <v>306</v>
      </c>
      <c r="C285">
        <v>283</v>
      </c>
      <c r="D285">
        <v>0</v>
      </c>
      <c r="E285">
        <v>1.83346147</v>
      </c>
    </row>
    <row r="286" spans="1:5" x14ac:dyDescent="0.25">
      <c r="A286" s="5"/>
      <c r="B286" s="5" t="s">
        <v>307</v>
      </c>
      <c r="C286">
        <v>284</v>
      </c>
      <c r="D286">
        <v>0</v>
      </c>
      <c r="E286">
        <v>1.85610542</v>
      </c>
    </row>
    <row r="287" spans="1:5" x14ac:dyDescent="0.25">
      <c r="A287" s="5"/>
      <c r="B287" s="5" t="s">
        <v>308</v>
      </c>
      <c r="C287">
        <v>285</v>
      </c>
      <c r="D287">
        <v>0</v>
      </c>
      <c r="E287">
        <v>1.87903994</v>
      </c>
    </row>
    <row r="288" spans="1:5" x14ac:dyDescent="0.25">
      <c r="A288" s="5"/>
      <c r="B288" s="5" t="s">
        <v>309</v>
      </c>
      <c r="C288">
        <v>286</v>
      </c>
      <c r="D288">
        <v>0</v>
      </c>
      <c r="E288">
        <v>1.90226527</v>
      </c>
    </row>
    <row r="289" spans="1:5" x14ac:dyDescent="0.25">
      <c r="A289" s="5"/>
      <c r="B289" s="5" t="s">
        <v>310</v>
      </c>
      <c r="C289">
        <v>287</v>
      </c>
      <c r="D289">
        <v>0</v>
      </c>
      <c r="E289">
        <v>1.9257816000000001</v>
      </c>
    </row>
    <row r="290" spans="1:5" x14ac:dyDescent="0.25">
      <c r="A290" s="5"/>
      <c r="B290" s="5" t="s">
        <v>311</v>
      </c>
      <c r="C290">
        <v>288</v>
      </c>
      <c r="D290">
        <v>0</v>
      </c>
      <c r="E290">
        <v>1.94958915</v>
      </c>
    </row>
    <row r="291" spans="1:5" x14ac:dyDescent="0.25">
      <c r="A291" s="5"/>
      <c r="B291" s="5" t="s">
        <v>312</v>
      </c>
      <c r="C291">
        <v>289</v>
      </c>
      <c r="D291">
        <v>0</v>
      </c>
      <c r="E291">
        <v>1.97368813</v>
      </c>
    </row>
    <row r="292" spans="1:5" x14ac:dyDescent="0.25">
      <c r="A292" s="5"/>
      <c r="B292" s="5" t="s">
        <v>313</v>
      </c>
      <c r="C292">
        <v>290</v>
      </c>
      <c r="D292">
        <v>0</v>
      </c>
      <c r="E292">
        <v>1.99807874</v>
      </c>
    </row>
    <row r="293" spans="1:5" x14ac:dyDescent="0.25">
      <c r="A293" s="5"/>
      <c r="B293" s="5" t="s">
        <v>314</v>
      </c>
      <c r="C293">
        <v>291</v>
      </c>
      <c r="D293">
        <v>0</v>
      </c>
      <c r="E293">
        <v>2.0227611799999998</v>
      </c>
    </row>
    <row r="294" spans="1:5" x14ac:dyDescent="0.25">
      <c r="A294" s="5"/>
      <c r="B294" s="5" t="s">
        <v>315</v>
      </c>
      <c r="C294">
        <v>292</v>
      </c>
      <c r="D294">
        <v>0</v>
      </c>
      <c r="E294">
        <v>2.0477356499999999</v>
      </c>
    </row>
    <row r="295" spans="1:5" x14ac:dyDescent="0.25">
      <c r="A295" s="5"/>
      <c r="B295" s="5" t="s">
        <v>316</v>
      </c>
      <c r="C295">
        <v>293</v>
      </c>
      <c r="D295">
        <v>0</v>
      </c>
      <c r="E295">
        <v>2.0730023399999999</v>
      </c>
    </row>
    <row r="296" spans="1:5" x14ac:dyDescent="0.25">
      <c r="A296" s="5"/>
      <c r="B296" s="5" t="s">
        <v>317</v>
      </c>
      <c r="C296">
        <v>294</v>
      </c>
      <c r="D296">
        <v>0</v>
      </c>
      <c r="E296">
        <v>2.09856146</v>
      </c>
    </row>
    <row r="297" spans="1:5" x14ac:dyDescent="0.25">
      <c r="A297" s="5"/>
      <c r="B297" s="5" t="s">
        <v>318</v>
      </c>
      <c r="C297">
        <v>295</v>
      </c>
      <c r="D297">
        <v>0</v>
      </c>
      <c r="E297">
        <v>2.1244131799999999</v>
      </c>
    </row>
    <row r="298" spans="1:5" x14ac:dyDescent="0.25">
      <c r="A298" s="5"/>
      <c r="B298" s="5" t="s">
        <v>319</v>
      </c>
      <c r="C298">
        <v>296</v>
      </c>
      <c r="D298">
        <v>0</v>
      </c>
      <c r="E298">
        <v>2.1505577100000002</v>
      </c>
    </row>
    <row r="299" spans="1:5" x14ac:dyDescent="0.25">
      <c r="A299" s="5"/>
      <c r="B299" s="5" t="s">
        <v>320</v>
      </c>
      <c r="C299">
        <v>297</v>
      </c>
      <c r="D299">
        <v>0</v>
      </c>
      <c r="E299">
        <v>2.1769952099999998</v>
      </c>
    </row>
    <row r="300" spans="1:5" x14ac:dyDescent="0.25">
      <c r="A300" s="5"/>
      <c r="B300" s="5" t="s">
        <v>321</v>
      </c>
      <c r="C300">
        <v>298</v>
      </c>
      <c r="D300">
        <v>0</v>
      </c>
      <c r="E300">
        <v>2.2037258799999999</v>
      </c>
    </row>
    <row r="301" spans="1:5" x14ac:dyDescent="0.25">
      <c r="A301" s="5"/>
      <c r="B301" s="5" t="s">
        <v>322</v>
      </c>
      <c r="C301">
        <v>299</v>
      </c>
      <c r="D301">
        <v>0</v>
      </c>
      <c r="E301">
        <v>2.2307498899999998</v>
      </c>
    </row>
    <row r="302" spans="1:5" x14ac:dyDescent="0.25">
      <c r="A302" s="5"/>
      <c r="B302" s="5" t="s">
        <v>323</v>
      </c>
      <c r="C302">
        <v>300</v>
      </c>
      <c r="D302">
        <v>0</v>
      </c>
      <c r="E302">
        <v>2.2580674100000002</v>
      </c>
    </row>
    <row r="303" spans="1:5" x14ac:dyDescent="0.25">
      <c r="A303" s="5"/>
      <c r="B303" s="5" t="s">
        <v>324</v>
      </c>
      <c r="C303">
        <v>301</v>
      </c>
      <c r="D303">
        <v>0</v>
      </c>
      <c r="E303">
        <v>2.28567864</v>
      </c>
    </row>
    <row r="304" spans="1:5" x14ac:dyDescent="0.25">
      <c r="A304" s="5"/>
      <c r="B304" s="5" t="s">
        <v>325</v>
      </c>
      <c r="C304">
        <v>302</v>
      </c>
      <c r="D304">
        <v>0</v>
      </c>
      <c r="E304">
        <v>2.31358372</v>
      </c>
    </row>
    <row r="305" spans="1:5" x14ac:dyDescent="0.25">
      <c r="A305" s="5"/>
      <c r="B305" s="5" t="s">
        <v>326</v>
      </c>
      <c r="C305">
        <v>303</v>
      </c>
      <c r="D305">
        <v>0</v>
      </c>
      <c r="E305">
        <v>2.3417828300000001</v>
      </c>
    </row>
    <row r="306" spans="1:5" x14ac:dyDescent="0.25">
      <c r="A306" s="5"/>
      <c r="B306" s="5" t="s">
        <v>327</v>
      </c>
      <c r="C306">
        <v>304</v>
      </c>
      <c r="D306">
        <v>0</v>
      </c>
      <c r="E306">
        <v>2.3702761400000001</v>
      </c>
    </row>
    <row r="307" spans="1:5" x14ac:dyDescent="0.25">
      <c r="A307" s="5"/>
      <c r="B307" s="5" t="s">
        <v>328</v>
      </c>
      <c r="C307">
        <v>305</v>
      </c>
      <c r="D307">
        <v>0</v>
      </c>
      <c r="E307">
        <v>2.3990638099999999</v>
      </c>
    </row>
    <row r="308" spans="1:5" x14ac:dyDescent="0.25">
      <c r="A308" s="5"/>
      <c r="B308" s="5" t="s">
        <v>329</v>
      </c>
      <c r="C308">
        <v>306</v>
      </c>
      <c r="D308">
        <v>0</v>
      </c>
      <c r="E308">
        <v>2.42814599</v>
      </c>
    </row>
    <row r="309" spans="1:5" x14ac:dyDescent="0.25">
      <c r="A309" s="5"/>
      <c r="B309" s="5" t="s">
        <v>330</v>
      </c>
      <c r="C309">
        <v>307</v>
      </c>
      <c r="D309">
        <v>0</v>
      </c>
      <c r="E309">
        <v>2.4575228500000001</v>
      </c>
    </row>
    <row r="310" spans="1:5" x14ac:dyDescent="0.25">
      <c r="A310" s="5"/>
      <c r="B310" s="5" t="s">
        <v>331</v>
      </c>
      <c r="C310">
        <v>308</v>
      </c>
      <c r="D310">
        <v>0</v>
      </c>
      <c r="E310">
        <v>2.48719453</v>
      </c>
    </row>
    <row r="311" spans="1:5" x14ac:dyDescent="0.25">
      <c r="A311" s="5"/>
      <c r="B311" s="5" t="s">
        <v>332</v>
      </c>
      <c r="C311">
        <v>309</v>
      </c>
      <c r="D311">
        <v>0</v>
      </c>
      <c r="E311">
        <v>2.51716118</v>
      </c>
    </row>
    <row r="312" spans="1:5" x14ac:dyDescent="0.25">
      <c r="A312" s="5"/>
      <c r="B312" s="5" t="s">
        <v>333</v>
      </c>
      <c r="C312">
        <v>310</v>
      </c>
      <c r="D312">
        <v>0</v>
      </c>
      <c r="E312">
        <v>2.54742296</v>
      </c>
    </row>
    <row r="313" spans="1:5" x14ac:dyDescent="0.25">
      <c r="A313" s="5"/>
      <c r="B313" s="5" t="s">
        <v>334</v>
      </c>
      <c r="C313">
        <v>311</v>
      </c>
      <c r="D313">
        <v>0</v>
      </c>
      <c r="E313">
        <v>2.5779800100000001</v>
      </c>
    </row>
    <row r="314" spans="1:5" x14ac:dyDescent="0.25">
      <c r="A314" s="5"/>
      <c r="B314" s="5" t="s">
        <v>335</v>
      </c>
      <c r="C314">
        <v>312</v>
      </c>
      <c r="D314">
        <v>0</v>
      </c>
      <c r="E314">
        <v>2.6088324599999999</v>
      </c>
    </row>
    <row r="315" spans="1:5" x14ac:dyDescent="0.25">
      <c r="A315" s="5"/>
      <c r="B315" s="5" t="s">
        <v>336</v>
      </c>
      <c r="C315">
        <v>313</v>
      </c>
      <c r="D315">
        <v>0</v>
      </c>
      <c r="E315">
        <v>2.6399804699999998</v>
      </c>
    </row>
    <row r="316" spans="1:5" x14ac:dyDescent="0.25">
      <c r="A316" s="5"/>
      <c r="B316" s="5" t="s">
        <v>337</v>
      </c>
      <c r="C316">
        <v>314</v>
      </c>
      <c r="D316">
        <v>0</v>
      </c>
      <c r="E316">
        <v>2.6714241599999999</v>
      </c>
    </row>
    <row r="317" spans="1:5" x14ac:dyDescent="0.25">
      <c r="A317" s="5"/>
      <c r="B317" s="5" t="s">
        <v>338</v>
      </c>
      <c r="C317">
        <v>315</v>
      </c>
      <c r="D317">
        <v>0</v>
      </c>
      <c r="E317">
        <v>2.70316366</v>
      </c>
    </row>
    <row r="318" spans="1:5" x14ac:dyDescent="0.25">
      <c r="A318" s="5"/>
      <c r="B318" s="5" t="s">
        <v>339</v>
      </c>
      <c r="C318">
        <v>316</v>
      </c>
      <c r="D318">
        <v>0</v>
      </c>
      <c r="E318">
        <v>2.7351991099999999</v>
      </c>
    </row>
    <row r="319" spans="1:5" x14ac:dyDescent="0.25">
      <c r="A319" s="5"/>
      <c r="B319" s="5" t="s">
        <v>340</v>
      </c>
      <c r="C319">
        <v>317</v>
      </c>
      <c r="D319">
        <v>0</v>
      </c>
      <c r="E319">
        <v>2.76753063</v>
      </c>
    </row>
    <row r="320" spans="1:5" x14ac:dyDescent="0.25">
      <c r="A320" s="5"/>
      <c r="B320" s="5" t="s">
        <v>341</v>
      </c>
      <c r="C320">
        <v>318</v>
      </c>
      <c r="D320">
        <v>0</v>
      </c>
      <c r="E320">
        <v>2.8001583499999998</v>
      </c>
    </row>
    <row r="321" spans="1:5" x14ac:dyDescent="0.25">
      <c r="A321" s="5"/>
      <c r="B321" s="5" t="s">
        <v>342</v>
      </c>
      <c r="C321">
        <v>319</v>
      </c>
      <c r="D321">
        <v>0</v>
      </c>
      <c r="E321">
        <v>2.83308239</v>
      </c>
    </row>
    <row r="322" spans="1:5" x14ac:dyDescent="0.25">
      <c r="A322" s="5"/>
      <c r="B322" s="5" t="s">
        <v>343</v>
      </c>
      <c r="C322">
        <v>320</v>
      </c>
      <c r="D322">
        <v>0</v>
      </c>
      <c r="E322">
        <v>2.8663028599999998</v>
      </c>
    </row>
    <row r="323" spans="1:5" x14ac:dyDescent="0.25">
      <c r="A323" s="5"/>
      <c r="B323" s="5" t="s">
        <v>344</v>
      </c>
      <c r="C323">
        <v>321</v>
      </c>
      <c r="D323">
        <v>0</v>
      </c>
      <c r="E323">
        <v>2.8998198899999998</v>
      </c>
    </row>
    <row r="324" spans="1:5" x14ac:dyDescent="0.25">
      <c r="A324" s="5"/>
      <c r="B324" s="5" t="s">
        <v>345</v>
      </c>
      <c r="C324">
        <v>322</v>
      </c>
      <c r="D324">
        <v>0</v>
      </c>
      <c r="E324">
        <v>2.93363357</v>
      </c>
    </row>
    <row r="325" spans="1:5" x14ac:dyDescent="0.25">
      <c r="A325" s="5"/>
      <c r="B325" s="5" t="s">
        <v>346</v>
      </c>
      <c r="C325">
        <v>323</v>
      </c>
      <c r="D325">
        <v>0</v>
      </c>
      <c r="E325">
        <v>2.96774403</v>
      </c>
    </row>
    <row r="326" spans="1:5" x14ac:dyDescent="0.25">
      <c r="A326" s="5"/>
      <c r="B326" s="5" t="s">
        <v>347</v>
      </c>
      <c r="C326">
        <v>324</v>
      </c>
      <c r="D326">
        <v>0</v>
      </c>
      <c r="E326">
        <v>3.00215136</v>
      </c>
    </row>
    <row r="327" spans="1:5" x14ac:dyDescent="0.25">
      <c r="A327" s="5"/>
      <c r="B327" s="5" t="s">
        <v>348</v>
      </c>
      <c r="C327">
        <v>325</v>
      </c>
      <c r="D327">
        <v>7.5099289999999999E-2</v>
      </c>
      <c r="E327">
        <v>3.03685567</v>
      </c>
    </row>
    <row r="328" spans="1:5" x14ac:dyDescent="0.25">
      <c r="A328" s="5"/>
      <c r="B328" s="5" t="s">
        <v>349</v>
      </c>
      <c r="C328">
        <v>326</v>
      </c>
      <c r="D328">
        <v>0.28654828999999998</v>
      </c>
      <c r="E328">
        <v>3.0718570600000001</v>
      </c>
    </row>
    <row r="329" spans="1:5" x14ac:dyDescent="0.25">
      <c r="A329" s="5"/>
      <c r="B329" s="5" t="s">
        <v>350</v>
      </c>
      <c r="C329">
        <v>327</v>
      </c>
      <c r="D329">
        <v>0.61330680999999998</v>
      </c>
      <c r="E329">
        <v>3.1071556199999999</v>
      </c>
    </row>
    <row r="330" spans="1:5" x14ac:dyDescent="0.25">
      <c r="A330" s="5"/>
      <c r="B330" s="5" t="s">
        <v>351</v>
      </c>
      <c r="C330">
        <v>328</v>
      </c>
      <c r="D330">
        <v>1.03416456</v>
      </c>
      <c r="E330">
        <v>3.1427514599999999</v>
      </c>
    </row>
    <row r="331" spans="1:5" x14ac:dyDescent="0.25">
      <c r="A331" s="5"/>
      <c r="B331" s="5" t="s">
        <v>352</v>
      </c>
      <c r="C331">
        <v>329</v>
      </c>
      <c r="D331">
        <v>1.5279408999999999</v>
      </c>
      <c r="E331">
        <v>3.1786446499999998</v>
      </c>
    </row>
    <row r="332" spans="1:5" x14ac:dyDescent="0.25">
      <c r="A332" s="5"/>
      <c r="B332" s="5" t="s">
        <v>353</v>
      </c>
      <c r="C332">
        <v>330</v>
      </c>
      <c r="D332">
        <v>2.0736444500000002</v>
      </c>
      <c r="E332">
        <v>3.2148352999999998</v>
      </c>
    </row>
    <row r="333" spans="1:5" x14ac:dyDescent="0.25">
      <c r="A333" s="5"/>
      <c r="B333" s="5" t="s">
        <v>354</v>
      </c>
      <c r="C333">
        <v>331</v>
      </c>
      <c r="D333">
        <v>2.6505925399999999</v>
      </c>
      <c r="E333">
        <v>3.25132347</v>
      </c>
    </row>
    <row r="334" spans="1:5" x14ac:dyDescent="0.25">
      <c r="A334" s="5"/>
      <c r="B334" s="5" t="s">
        <v>355</v>
      </c>
      <c r="C334">
        <v>332</v>
      </c>
      <c r="D334">
        <v>3.2384906899999999</v>
      </c>
      <c r="E334">
        <v>3.2881092600000001</v>
      </c>
    </row>
    <row r="335" spans="1:5" x14ac:dyDescent="0.25">
      <c r="A335" s="5"/>
      <c r="B335" s="5" t="s">
        <v>356</v>
      </c>
      <c r="C335">
        <v>333</v>
      </c>
      <c r="D335">
        <v>3.8174730800000001</v>
      </c>
      <c r="E335">
        <v>3.3251927299999999</v>
      </c>
    </row>
    <row r="336" spans="1:5" x14ac:dyDescent="0.25">
      <c r="A336" s="5"/>
      <c r="B336" s="5" t="s">
        <v>357</v>
      </c>
      <c r="C336">
        <v>334</v>
      </c>
      <c r="D336">
        <v>4.3681050700000004</v>
      </c>
      <c r="E336">
        <v>3.3625739800000001</v>
      </c>
    </row>
    <row r="337" spans="1:5" x14ac:dyDescent="0.25">
      <c r="A337" s="5"/>
      <c r="B337" s="5" t="s">
        <v>358</v>
      </c>
      <c r="C337">
        <v>335</v>
      </c>
      <c r="D337">
        <v>4.8713491900000001</v>
      </c>
      <c r="E337">
        <v>3.4002530599999998</v>
      </c>
    </row>
    <row r="338" spans="1:5" x14ac:dyDescent="0.25">
      <c r="A338" s="5"/>
      <c r="B338" s="5" t="s">
        <v>359</v>
      </c>
      <c r="C338">
        <v>336</v>
      </c>
      <c r="D338">
        <v>5.3084956400000003</v>
      </c>
      <c r="E338">
        <v>3.43823005</v>
      </c>
    </row>
    <row r="339" spans="1:5" x14ac:dyDescent="0.25">
      <c r="A339" s="5"/>
      <c r="B339" s="5" t="s">
        <v>360</v>
      </c>
      <c r="C339">
        <v>337</v>
      </c>
      <c r="D339">
        <v>5.69302697</v>
      </c>
      <c r="E339">
        <v>3.47813777</v>
      </c>
    </row>
    <row r="340" spans="1:5" x14ac:dyDescent="0.25">
      <c r="A340" s="5"/>
      <c r="B340" s="5" t="s">
        <v>361</v>
      </c>
      <c r="C340">
        <v>338</v>
      </c>
      <c r="D340">
        <v>6.0545315899999999</v>
      </c>
      <c r="E340">
        <v>3.5212854899999999</v>
      </c>
    </row>
    <row r="341" spans="1:5" x14ac:dyDescent="0.25">
      <c r="A341" s="5"/>
      <c r="B341" s="5" t="s">
        <v>362</v>
      </c>
      <c r="C341">
        <v>339</v>
      </c>
      <c r="D341">
        <v>6.3985769399999999</v>
      </c>
      <c r="E341">
        <v>3.5671883700000002</v>
      </c>
    </row>
    <row r="342" spans="1:5" x14ac:dyDescent="0.25">
      <c r="A342" s="5"/>
      <c r="B342" s="5" t="s">
        <v>363</v>
      </c>
      <c r="C342">
        <v>340</v>
      </c>
      <c r="D342">
        <v>6.7306477300000003</v>
      </c>
      <c r="E342">
        <v>3.6153621399999998</v>
      </c>
    </row>
    <row r="343" spans="1:5" x14ac:dyDescent="0.25">
      <c r="A343" s="5"/>
      <c r="B343" s="5" t="s">
        <v>364</v>
      </c>
      <c r="C343">
        <v>341</v>
      </c>
      <c r="D343">
        <v>7.0561535700000002</v>
      </c>
      <c r="E343">
        <v>3.6653232400000002</v>
      </c>
    </row>
    <row r="344" spans="1:5" x14ac:dyDescent="0.25">
      <c r="A344" s="5"/>
      <c r="B344" s="5" t="s">
        <v>365</v>
      </c>
      <c r="C344">
        <v>342</v>
      </c>
      <c r="D344">
        <v>7.38043388</v>
      </c>
      <c r="E344">
        <v>3.7165889299999999</v>
      </c>
    </row>
    <row r="345" spans="1:5" x14ac:dyDescent="0.25">
      <c r="A345" s="5"/>
      <c r="B345" s="5" t="s">
        <v>366</v>
      </c>
      <c r="C345">
        <v>343</v>
      </c>
      <c r="D345">
        <v>7.7087598100000001</v>
      </c>
      <c r="E345">
        <v>3.7686773200000001</v>
      </c>
    </row>
    <row r="346" spans="1:5" x14ac:dyDescent="0.25">
      <c r="A346" s="5"/>
      <c r="B346" s="5" t="s">
        <v>367</v>
      </c>
      <c r="C346">
        <v>344</v>
      </c>
      <c r="D346">
        <v>8.0463335300000001</v>
      </c>
      <c r="E346">
        <v>3.8211074599999999</v>
      </c>
    </row>
    <row r="347" spans="1:5" x14ac:dyDescent="0.25">
      <c r="A347" s="5"/>
      <c r="B347" s="5" t="s">
        <v>368</v>
      </c>
      <c r="C347">
        <v>345</v>
      </c>
      <c r="D347">
        <v>8.3982846799999997</v>
      </c>
      <c r="E347">
        <v>3.8733993600000001</v>
      </c>
    </row>
    <row r="348" spans="1:5" x14ac:dyDescent="0.25">
      <c r="A348" s="5"/>
      <c r="B348" s="5" t="s">
        <v>369</v>
      </c>
      <c r="C348">
        <v>346</v>
      </c>
      <c r="D348">
        <v>8.7696642499999999</v>
      </c>
      <c r="E348">
        <v>3.9250739600000002</v>
      </c>
    </row>
    <row r="349" spans="1:5" x14ac:dyDescent="0.25">
      <c r="A349" s="5"/>
      <c r="B349" s="5" t="s">
        <v>370</v>
      </c>
      <c r="C349">
        <v>347</v>
      </c>
      <c r="D349">
        <v>9.1654357999999991</v>
      </c>
      <c r="E349">
        <v>3.9756531599999998</v>
      </c>
    </row>
    <row r="350" spans="1:5" x14ac:dyDescent="0.25">
      <c r="A350" s="5"/>
      <c r="B350" s="5" t="s">
        <v>371</v>
      </c>
      <c r="C350">
        <v>348</v>
      </c>
      <c r="D350">
        <v>9.5904642399999993</v>
      </c>
      <c r="E350">
        <v>4.0246597399999997</v>
      </c>
    </row>
    <row r="351" spans="1:5" x14ac:dyDescent="0.25">
      <c r="A351" s="5"/>
      <c r="B351" s="5" t="s">
        <v>372</v>
      </c>
      <c r="C351">
        <v>349</v>
      </c>
      <c r="D351">
        <v>10.04534791</v>
      </c>
      <c r="E351">
        <v>4.0726029300000004</v>
      </c>
    </row>
    <row r="352" spans="1:5" x14ac:dyDescent="0.25">
      <c r="A352" s="5"/>
      <c r="B352" s="5" t="s">
        <v>373</v>
      </c>
      <c r="C352">
        <v>350</v>
      </c>
      <c r="D352">
        <v>10.52469801</v>
      </c>
      <c r="E352">
        <v>4.1203285200000002</v>
      </c>
    </row>
    <row r="353" spans="1:5" x14ac:dyDescent="0.25">
      <c r="A353" s="5"/>
      <c r="B353" s="5" t="s">
        <v>374</v>
      </c>
      <c r="C353">
        <v>351</v>
      </c>
      <c r="D353">
        <v>11.02435878</v>
      </c>
      <c r="E353">
        <v>4.1678647299999998</v>
      </c>
    </row>
    <row r="354" spans="1:5" x14ac:dyDescent="0.25">
      <c r="A354" s="5"/>
      <c r="B354" s="5" t="s">
        <v>375</v>
      </c>
      <c r="C354">
        <v>352</v>
      </c>
      <c r="D354">
        <v>11.54023757</v>
      </c>
      <c r="E354">
        <v>4.2152397099999996</v>
      </c>
    </row>
    <row r="355" spans="1:5" x14ac:dyDescent="0.25">
      <c r="A355" s="5"/>
      <c r="B355" s="5" t="s">
        <v>376</v>
      </c>
      <c r="C355">
        <v>353</v>
      </c>
      <c r="D355">
        <v>12.068312280000001</v>
      </c>
      <c r="E355">
        <v>4.2624815800000002</v>
      </c>
    </row>
    <row r="356" spans="1:5" x14ac:dyDescent="0.25">
      <c r="A356" s="5"/>
      <c r="B356" s="5" t="s">
        <v>377</v>
      </c>
      <c r="C356">
        <v>354</v>
      </c>
      <c r="D356">
        <v>12.60463725</v>
      </c>
      <c r="E356">
        <v>4.3096183899999998</v>
      </c>
    </row>
    <row r="357" spans="1:5" x14ac:dyDescent="0.25">
      <c r="A357" s="5"/>
      <c r="B357" s="5" t="s">
        <v>378</v>
      </c>
      <c r="C357">
        <v>355</v>
      </c>
      <c r="D357">
        <v>13.1453474</v>
      </c>
      <c r="E357">
        <v>4.3566781499999996</v>
      </c>
    </row>
    <row r="358" spans="1:5" x14ac:dyDescent="0.25">
      <c r="A358" s="5"/>
      <c r="B358" s="5" t="s">
        <v>379</v>
      </c>
      <c r="C358">
        <v>356</v>
      </c>
      <c r="D358">
        <v>13.686660890000001</v>
      </c>
      <c r="E358">
        <v>4.4036888200000002</v>
      </c>
    </row>
    <row r="359" spans="1:5" x14ac:dyDescent="0.25">
      <c r="A359" s="5"/>
      <c r="B359" s="5" t="s">
        <v>380</v>
      </c>
      <c r="C359">
        <v>357</v>
      </c>
      <c r="D359">
        <v>14.22488023</v>
      </c>
      <c r="E359">
        <v>4.4506783199999997</v>
      </c>
    </row>
    <row r="360" spans="1:5" x14ac:dyDescent="0.25">
      <c r="A360" s="5"/>
      <c r="B360" s="5" t="s">
        <v>381</v>
      </c>
      <c r="C360">
        <v>358</v>
      </c>
      <c r="D360">
        <v>14.75639189</v>
      </c>
      <c r="E360">
        <v>4.4976744799999997</v>
      </c>
    </row>
    <row r="361" spans="1:5" x14ac:dyDescent="0.25">
      <c r="A361" s="5"/>
      <c r="B361" s="5" t="s">
        <v>382</v>
      </c>
      <c r="C361">
        <v>359</v>
      </c>
      <c r="D361">
        <v>15.2776645</v>
      </c>
      <c r="E361">
        <v>4.5447051299999996</v>
      </c>
    </row>
    <row r="362" spans="1:5" x14ac:dyDescent="0.25">
      <c r="A362" s="5"/>
      <c r="B362" s="5" t="s">
        <v>383</v>
      </c>
      <c r="C362">
        <v>360</v>
      </c>
      <c r="D362">
        <v>15.78524573</v>
      </c>
      <c r="E362">
        <v>4.5917980199999997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"/>
  <sheetViews>
    <sheetView tabSelected="1" workbookViewId="0">
      <selection activeCell="B1" sqref="B1:B2"/>
    </sheetView>
  </sheetViews>
  <sheetFormatPr defaultRowHeight="15" x14ac:dyDescent="0.25"/>
  <sheetData>
    <row r="1" spans="2:15" x14ac:dyDescent="0.25"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  <c r="L1" t="s">
        <v>396</v>
      </c>
      <c r="M1" t="s">
        <v>397</v>
      </c>
      <c r="N1" t="s">
        <v>398</v>
      </c>
      <c r="O1" t="s">
        <v>399</v>
      </c>
    </row>
    <row r="2" spans="2:15" x14ac:dyDescent="0.25">
      <c r="B2" t="s">
        <v>400</v>
      </c>
      <c r="C2" t="s">
        <v>401</v>
      </c>
      <c r="D2" t="s">
        <v>402</v>
      </c>
      <c r="E2" t="s">
        <v>403</v>
      </c>
      <c r="F2">
        <v>1410566</v>
      </c>
      <c r="G2" s="6">
        <v>40544</v>
      </c>
      <c r="H2" t="s">
        <v>404</v>
      </c>
      <c r="I2" t="s">
        <v>405</v>
      </c>
      <c r="J2">
        <v>350649.34</v>
      </c>
      <c r="K2">
        <v>2.0299999999999998</v>
      </c>
      <c r="L2">
        <v>47</v>
      </c>
      <c r="M2" s="7">
        <v>40549.822222222225</v>
      </c>
      <c r="N2" s="6">
        <v>40544</v>
      </c>
      <c r="O2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Decay</vt:lpstr>
      <vt:lpstr>TotalTracking</vt:lpstr>
      <vt:lpstr>Curtail_wala</vt:lpstr>
      <vt:lpstr>Curtail_FullPayoff</vt:lpstr>
      <vt:lpstr>Pool Info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2016-02-24T15:21:29Z</dcterms:created>
  <dcterms:modified xsi:type="dcterms:W3CDTF">2016-03-01T13:58:17Z</dcterms:modified>
</cp:coreProperties>
</file>